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Ko Sai-2025\Ko Sai Report Up\Ko Sai Sales 2026\"/>
    </mc:Choice>
  </mc:AlternateContent>
  <xr:revisionPtr revIDLastSave="0" documentId="13_ncr:1_{6767B133-A115-4E8C-990A-F9B4DB84953D}" xr6:coauthVersionLast="47" xr6:coauthVersionMax="47" xr10:uidLastSave="{00000000-0000-0000-0000-000000000000}"/>
  <bookViews>
    <workbookView xWindow="-120" yWindow="-120" windowWidth="29040" windowHeight="15720" tabRatio="552" activeTab="1" xr2:uid="{00000000-000D-0000-FFFF-FFFF00000000}"/>
  </bookViews>
  <sheets>
    <sheet name="Table" sheetId="171" r:id="rId1"/>
    <sheet name="DailySales" sheetId="169" r:id="rId2"/>
    <sheet name="F_U" sheetId="174" r:id="rId3"/>
    <sheet name="WS_Van" sheetId="175" r:id="rId4"/>
    <sheet name="Follow Up" sheetId="172" r:id="rId5"/>
    <sheet name="WS_Semi" sheetId="177" r:id="rId6"/>
    <sheet name="Cons%" sheetId="176" r:id="rId7"/>
    <sheet name="Yaung Chi Oo" sheetId="104" state="hidden" r:id="rId8"/>
    <sheet name="Ma Thida Oo" sheetId="165" state="hidden" r:id="rId9"/>
    <sheet name="Hein Min Thu" sheetId="109" state="hidden" r:id="rId10"/>
    <sheet name="Ko Htoo Zaw" sheetId="167" state="hidden" r:id="rId11"/>
    <sheet name="Pyae Sone Shin" sheetId="168" state="hidden" r:id="rId12"/>
  </sheets>
  <externalReferences>
    <externalReference r:id="rId13"/>
    <externalReference r:id="rId14"/>
    <externalReference r:id="rId15"/>
  </externalReferences>
  <definedNames>
    <definedName name="aa" localSheetId="1">#REF!</definedName>
    <definedName name="aa" localSheetId="9">#REF!</definedName>
    <definedName name="aa" localSheetId="8">#REF!</definedName>
    <definedName name="aa" localSheetId="0">#REF!</definedName>
    <definedName name="aa" localSheetId="7">#REF!</definedName>
    <definedName name="aa">#REF!</definedName>
    <definedName name="aaa" localSheetId="1">#REF!</definedName>
    <definedName name="aaa" localSheetId="0">#REF!</definedName>
    <definedName name="aaa">#REF!</definedName>
    <definedName name="aaaaaaa">#REF!</definedName>
    <definedName name="asd" localSheetId="1">'[1]Market ( Mar) '!#REF!</definedName>
    <definedName name="asd" localSheetId="0">'[1]Market ( Mar) '!#REF!</definedName>
    <definedName name="asd">'[1]Market ( Mar) '!#REF!</definedName>
    <definedName name="atr" localSheetId="1">#REF!</definedName>
    <definedName name="atr" localSheetId="0">#REF!</definedName>
    <definedName name="atr">#REF!</definedName>
    <definedName name="b" localSheetId="1">#REF!</definedName>
    <definedName name="b" localSheetId="0">#REF!</definedName>
    <definedName name="b">#REF!</definedName>
    <definedName name="bb" localSheetId="1">#REF!</definedName>
    <definedName name="bb" localSheetId="0">#REF!</definedName>
    <definedName name="bb">#REF!</definedName>
    <definedName name="Beg_Bal" localSheetId="1">#REF!</definedName>
    <definedName name="Beg_Bal" localSheetId="0">#REF!</definedName>
    <definedName name="Beg_Bal">#REF!</definedName>
    <definedName name="Cash_Cr" localSheetId="1">#REF!</definedName>
    <definedName name="Cash_Cr" localSheetId="0">#REF!</definedName>
    <definedName name="Cash_Cr">#REF!</definedName>
    <definedName name="Cash_Dr" localSheetId="1">#REF!</definedName>
    <definedName name="Cash_Dr" localSheetId="0">#REF!</definedName>
    <definedName name="Cash_Dr">#REF!</definedName>
    <definedName name="cc" localSheetId="1">#REF!</definedName>
    <definedName name="cc" localSheetId="0">#REF!</definedName>
    <definedName name="cc">#REF!</definedName>
    <definedName name="ccc" localSheetId="1">#REF!</definedName>
    <definedName name="ccc" localSheetId="0">#REF!</definedName>
    <definedName name="ccc">#REF!</definedName>
    <definedName name="cr" localSheetId="1">#REF!</definedName>
    <definedName name="cr" localSheetId="0">#REF!</definedName>
    <definedName name="cr">#REF!</definedName>
    <definedName name="crs" localSheetId="1">#REF!</definedName>
    <definedName name="crs" localSheetId="0">#REF!</definedName>
    <definedName name="crs">#REF!</definedName>
    <definedName name="Data" localSheetId="1">#REF!</definedName>
    <definedName name="Data" localSheetId="0">#REF!</definedName>
    <definedName name="Data">#REF!</definedName>
    <definedName name="dd" localSheetId="1">#REF!</definedName>
    <definedName name="dd" localSheetId="0">#REF!</definedName>
    <definedName name="dd">#REF!</definedName>
    <definedName name="ddd" localSheetId="1">#REF!</definedName>
    <definedName name="ddd" localSheetId="0">#REF!</definedName>
    <definedName name="ddd">#REF!</definedName>
    <definedName name="dr" localSheetId="1">#REF!</definedName>
    <definedName name="dr" localSheetId="0">#REF!</definedName>
    <definedName name="dr">#REF!</definedName>
    <definedName name="drs" localSheetId="1">#REF!</definedName>
    <definedName name="drs" localSheetId="0">#REF!</definedName>
    <definedName name="drs">#REF!</definedName>
    <definedName name="End_Bal" localSheetId="1">#REF!</definedName>
    <definedName name="End_Bal" localSheetId="0">#REF!</definedName>
    <definedName name="End_Bal">#REF!</definedName>
    <definedName name="Extra_Pay" localSheetId="1">#REF!</definedName>
    <definedName name="Extra_Pay" localSheetId="0">#REF!</definedName>
    <definedName name="Extra_Pay">#REF!</definedName>
    <definedName name="fgf" localSheetId="1">#REF!</definedName>
    <definedName name="fgf" localSheetId="0">#REF!</definedName>
    <definedName name="fgf">#REF!</definedName>
    <definedName name="fgjhj" localSheetId="1">#REF!</definedName>
    <definedName name="fgjhj" localSheetId="0">#REF!</definedName>
    <definedName name="fgjhj">#REF!</definedName>
    <definedName name="Full_Print" localSheetId="1">#REF!</definedName>
    <definedName name="Full_Print" localSheetId="0">#REF!</definedName>
    <definedName name="Full_Print">#REF!</definedName>
    <definedName name="Header_Row">ROW(#REF!)</definedName>
    <definedName name="hjj" localSheetId="1">#REF!</definedName>
    <definedName name="hjj" localSheetId="0">#REF!</definedName>
    <definedName name="hjj">#REF!</definedName>
    <definedName name="hjkjk" localSheetId="1">#REF!</definedName>
    <definedName name="hjkjk" localSheetId="0">#REF!</definedName>
    <definedName name="hjkjk">#REF!</definedName>
    <definedName name="hmjhj" localSheetId="1">#REF!</definedName>
    <definedName name="hmjhj" localSheetId="0">#REF!</definedName>
    <definedName name="hmjhj">#REF!</definedName>
    <definedName name="Int" localSheetId="1">#REF!</definedName>
    <definedName name="Int" localSheetId="0">#REF!</definedName>
    <definedName name="Int">#REF!</definedName>
    <definedName name="Interest_Rate" localSheetId="1">#REF!</definedName>
    <definedName name="Interest_Rate" localSheetId="0">#REF!</definedName>
    <definedName name="Interest_Rate">#REF!</definedName>
    <definedName name="jbkjkl" localSheetId="1">#REF!</definedName>
    <definedName name="jbkjkl" localSheetId="0">#REF!</definedName>
    <definedName name="jbkjkl">#REF!</definedName>
    <definedName name="Journal_Cr">#REF!</definedName>
    <definedName name="Journal_Dr">#REF!</definedName>
    <definedName name="kdt" localSheetId="1">#REF!</definedName>
    <definedName name="kdt" localSheetId="0">#REF!</definedName>
    <definedName name="kdt">#REF!</definedName>
    <definedName name="Last_Row" localSheetId="1">IF(DailySales!Values_Entered,Header_Row+DailySales!Number_of_Payments,Header_Row)</definedName>
    <definedName name="Last_Row" localSheetId="9">IF('Hein Min Thu'!Values_Entered,[2]!Header_Row+'Hein Min Thu'!Number_of_Payments,[2]!Header_Row)</definedName>
    <definedName name="Last_Row" localSheetId="8">IF('Ma Thida Oo'!Values_Entered,[2]!Header_Row+'Ma Thida Oo'!Number_of_Payments,[2]!Header_Row)</definedName>
    <definedName name="Last_Row" localSheetId="0">IF(Table!Values_Entered,Header_Row+Table!Number_of_Payments,Header_Row)</definedName>
    <definedName name="Last_Row" localSheetId="7">IF('Yaung Chi Oo'!Values_Entered,[2]!Header_Row+'Yaung Chi Oo'!Number_of_Payments,[2]!Header_Row)</definedName>
    <definedName name="Last_Row">IF(Values_Entered,Header_Row+Number_of_Payments,Header_Row)</definedName>
    <definedName name="Loan_Amount" localSheetId="1">#REF!</definedName>
    <definedName name="Loan_Amount" localSheetId="9">#REF!</definedName>
    <definedName name="Loan_Amount" localSheetId="8">#REF!</definedName>
    <definedName name="Loan_Amount" localSheetId="0">#REF!</definedName>
    <definedName name="Loan_Amount" localSheetId="7">#REF!</definedName>
    <definedName name="Loan_Amount">#REF!</definedName>
    <definedName name="Loan_Start" localSheetId="1">#REF!</definedName>
    <definedName name="Loan_Start" localSheetId="0">#REF!</definedName>
    <definedName name="Loan_Start">#REF!</definedName>
    <definedName name="Loan_Years" localSheetId="1">#REF!</definedName>
    <definedName name="Loan_Years" localSheetId="0">#REF!</definedName>
    <definedName name="Loan_Years">#REF!</definedName>
    <definedName name="LSO" localSheetId="1">#REF!</definedName>
    <definedName name="LSO" localSheetId="0">#REF!</definedName>
    <definedName name="LSO">#REF!</definedName>
    <definedName name="lsoq" localSheetId="1">#REF!</definedName>
    <definedName name="lsoq" localSheetId="0">#REF!</definedName>
    <definedName name="lsoq">#REF!</definedName>
    <definedName name="mms" localSheetId="1">#REF!</definedName>
    <definedName name="mms" localSheetId="0">#REF!</definedName>
    <definedName name="mms">#REF!</definedName>
    <definedName name="neew" localSheetId="1">#REF!</definedName>
    <definedName name="neew" localSheetId="0">#REF!</definedName>
    <definedName name="neew">#REF!</definedName>
    <definedName name="New" localSheetId="1">#REF!</definedName>
    <definedName name="New" localSheetId="0">#REF!</definedName>
    <definedName name="New">#REF!</definedName>
    <definedName name="Num_Pmt_Per_Year" localSheetId="1">#REF!</definedName>
    <definedName name="Num_Pmt_Per_Year" localSheetId="0">#REF!</definedName>
    <definedName name="Num_Pmt_Per_Year">#REF!</definedName>
    <definedName name="Number_of_Payments" localSheetId="1">MATCH(0.01,DailySales!End_Bal,-1)+1</definedName>
    <definedName name="Number_of_Payments" localSheetId="9">MATCH(0.01,[2]!End_Bal,-1)+1</definedName>
    <definedName name="Number_of_Payments" localSheetId="8">MATCH(0.01,[2]!End_Bal,-1)+1</definedName>
    <definedName name="Number_of_Payments" localSheetId="0">MATCH(0.01,Table!End_Bal,-1)+1</definedName>
    <definedName name="Number_of_Payments" localSheetId="7">MATCH(0.01,[2]!End_Bal,-1)+1</definedName>
    <definedName name="Number_of_Payments">MATCH(0.01,End_Bal,-1)+1</definedName>
    <definedName name="Opening_Cr" localSheetId="1">#REF!</definedName>
    <definedName name="Opening_Cr" localSheetId="9">#REF!</definedName>
    <definedName name="Opening_Cr" localSheetId="8">#REF!</definedName>
    <definedName name="Opening_Cr" localSheetId="0">#REF!</definedName>
    <definedName name="Opening_Cr" localSheetId="7">#REF!</definedName>
    <definedName name="Opening_Cr">#REF!</definedName>
    <definedName name="Opening_Dr" localSheetId="1">#REF!</definedName>
    <definedName name="Opening_Dr" localSheetId="0">#REF!</definedName>
    <definedName name="Opening_Dr">#REF!</definedName>
    <definedName name="Pay_Date" localSheetId="1">#REF!</definedName>
    <definedName name="Pay_Date" localSheetId="0">#REF!</definedName>
    <definedName name="Pay_Date">#REF!</definedName>
    <definedName name="Pay_Num" localSheetId="1">#REF!</definedName>
    <definedName name="Pay_Num" localSheetId="0">#REF!</definedName>
    <definedName name="Pay_Num">#REF!</definedName>
    <definedName name="Payment_Date" localSheetId="1">DATE(YEAR(DailySales!Loan_Start),MONTH(DailySales!Loan_Start)+Payment_Number,DAY(DailySales!Loan_Start))</definedName>
    <definedName name="Payment_Date" localSheetId="9">DATE(YEAR([2]!Loan_Start),MONTH([2]!Loan_Start)+Payment_Number,DAY([2]!Loan_Start))</definedName>
    <definedName name="Payment_Date" localSheetId="10">DATE(YEAR([2]!Loan_Start),MONTH([2]!Loan_Start)+Payment_Number,DAY([2]!Loan_Start))</definedName>
    <definedName name="Payment_Date" localSheetId="8">DATE(YEAR([2]!Loan_Start),MONTH([2]!Loan_Start)+Payment_Number,DAY([2]!Loan_Start))</definedName>
    <definedName name="Payment_Date" localSheetId="11">DATE(YEAR([2]!Loan_Start),MONTH([2]!Loan_Start)+Payment_Number,DAY([2]!Loan_Start))</definedName>
    <definedName name="Payment_Date" localSheetId="0">DATE(YEAR(Table!Loan_Start),MONTH(Table!Loan_Start)+Payment_Number,DAY(Table!Loan_Start))</definedName>
    <definedName name="Payment_Date" localSheetId="3">DATE(YEAR([0]!Loan_Start),MONTH([0]!Loan_Start)+Payment_Number,DAY([0]!Loan_Start))</definedName>
    <definedName name="Payment_Date" localSheetId="7">DATE(YEAR([2]!Loan_Start),MONTH([2]!Loan_Start)+Payment_Number,DAY([2]!Loan_Start))</definedName>
    <definedName name="Payment_Date">DATE(YEAR(Loan_Start),MONTH(Loan_Start)+Payment_Number,DAY(Loan_Start))</definedName>
    <definedName name="Princ" localSheetId="1">#REF!</definedName>
    <definedName name="Princ" localSheetId="9">#REF!</definedName>
    <definedName name="Princ" localSheetId="8">#REF!</definedName>
    <definedName name="Princ" localSheetId="0">#REF!</definedName>
    <definedName name="Princ" localSheetId="7">#REF!</definedName>
    <definedName name="Princ">#REF!</definedName>
    <definedName name="Print_Area_Reset" localSheetId="1">OFFSET(DailySales!Full_Print,0,0,DailySales!Last_Row)</definedName>
    <definedName name="Print_Area_Reset" localSheetId="9">OFFSET([2]!Full_Print,0,0,'Hein Min Thu'!Last_Row)</definedName>
    <definedName name="Print_Area_Reset" localSheetId="8">OFFSET([2]!Full_Print,0,0,'Ma Thida Oo'!Last_Row)</definedName>
    <definedName name="Print_Area_Reset" localSheetId="0">OFFSET(Table!Full_Print,0,0,Table!Last_Row)</definedName>
    <definedName name="Print_Area_Reset" localSheetId="7">OFFSET([2]!Full_Print,0,0,'Yaung Chi Oo'!Last_Row)</definedName>
    <definedName name="Print_Area_Reset">OFFSET(Full_Print,0,0,Last_Row)</definedName>
    <definedName name="s" localSheetId="1">#REF!</definedName>
    <definedName name="s" localSheetId="9">#REF!</definedName>
    <definedName name="s" localSheetId="8">#REF!</definedName>
    <definedName name="s" localSheetId="0">#REF!</definedName>
    <definedName name="s" localSheetId="7">#REF!</definedName>
    <definedName name="s">#REF!</definedName>
    <definedName name="Sched_Pay" localSheetId="1">#REF!</definedName>
    <definedName name="Sched_Pay" localSheetId="0">#REF!</definedName>
    <definedName name="Sched_Pay">#REF!</definedName>
    <definedName name="Scheduled_Extra_Payments" localSheetId="1">#REF!</definedName>
    <definedName name="Scheduled_Extra_Payments" localSheetId="0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>#REF!</definedName>
    <definedName name="smm" localSheetId="1">#REF!</definedName>
    <definedName name="smm" localSheetId="0">#REF!</definedName>
    <definedName name="smm">#REF!</definedName>
    <definedName name="smmm" localSheetId="1">'[1]Market ( Mar) '!#REF!</definedName>
    <definedName name="smmm" localSheetId="0">'[1]Market ( Mar) '!#REF!</definedName>
    <definedName name="smmm">'[1]Market ( Mar) '!#REF!</definedName>
    <definedName name="tdk" localSheetId="1">#REF!</definedName>
    <definedName name="tdk" localSheetId="0">#REF!</definedName>
    <definedName name="tdk">#REF!</definedName>
    <definedName name="Total_Interest" localSheetId="1">#REF!</definedName>
    <definedName name="Total_Interest" localSheetId="0">#REF!</definedName>
    <definedName name="Total_Interest">#REF!</definedName>
    <definedName name="Total_Pay" localSheetId="1">#REF!</definedName>
    <definedName name="Total_Pay" localSheetId="0">#REF!</definedName>
    <definedName name="Total_Pay">#REF!</definedName>
    <definedName name="Total_Payment" localSheetId="1">Scheduled_Payment+Extra_Payment</definedName>
    <definedName name="Total_Payment" localSheetId="9">Scheduled_Payment+Extra_Payment</definedName>
    <definedName name="Total_Payment" localSheetId="10">Scheduled_Payment+Extra_Payment</definedName>
    <definedName name="Total_Payment" localSheetId="8">Scheduled_Payment+Extra_Payment</definedName>
    <definedName name="Total_Payment" localSheetId="11">Scheduled_Payment+Extra_Payment</definedName>
    <definedName name="Total_Payment" localSheetId="0">Scheduled_Payment+Extra_Payment</definedName>
    <definedName name="Total_Payment" localSheetId="3">Scheduled_Payment+Extra_Payment</definedName>
    <definedName name="Total_Payment" localSheetId="7">Scheduled_Payment+Extra_Payment</definedName>
    <definedName name="Total_Payment">Scheduled_Payment+Extra_Payment</definedName>
    <definedName name="TYPE1">'[3]1.2.22'!$AV$7:$AV$8</definedName>
    <definedName name="TYPE2">'[3]19.2.22'!$AV$7:$AV$9</definedName>
    <definedName name="TYPE3">'[3]20.2.22'!$AV$7:$AV$9</definedName>
    <definedName name="TYPE4">'[3]19.2.22'!$AV$7:$AV$9</definedName>
    <definedName name="Values_Entered" localSheetId="1">IF(DailySales!Loan_Amount*DailySales!Interest_Rate*DailySales!Loan_Years*DailySales!Loan_Start&gt;0,1,0)</definedName>
    <definedName name="Values_Entered" localSheetId="9">IF('Hein Min Thu'!Loan_Amount*[2]!Interest_Rate*'[2]2025 Follow up sales '!Loan_Years*[2]!Loan_Start&gt;0,1,0)</definedName>
    <definedName name="Values_Entered" localSheetId="8">IF('Ma Thida Oo'!Loan_Amount*[2]!Interest_Rate*'[2]2025 Follow up sales '!Loan_Years*[2]!Loan_Start&gt;0,1,0)</definedName>
    <definedName name="Values_Entered" localSheetId="0">IF(Table!Loan_Amount*Table!Interest_Rate*Table!Loan_Years*Table!Loan_Start&gt;0,1,0)</definedName>
    <definedName name="Values_Entered" localSheetId="7">IF('Yaung Chi Oo'!Loan_Amount*[2]!Interest_Rate*'[2]2025 Follow up sales '!Loan_Years*[2]!Loan_Start&gt;0,1,0)</definedName>
    <definedName name="Values_Entered">IF(Loan_Amount*Interest_Rate*Loan_Years*Loan_Start&gt;0,1,0)</definedName>
    <definedName name="vkhfkgf" localSheetId="1">#REF!</definedName>
    <definedName name="vkhfkgf" localSheetId="9">#REF!</definedName>
    <definedName name="vkhfkgf" localSheetId="8">#REF!</definedName>
    <definedName name="vkhfkgf" localSheetId="0">#REF!</definedName>
    <definedName name="vkhfkgf" localSheetId="7">#REF!</definedName>
    <definedName name="vkhfkgf">#REF!</definedName>
  </definedName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00" i="169" l="1"/>
  <c r="A1267" i="169"/>
  <c r="B1267" i="169"/>
  <c r="D1267" i="169"/>
  <c r="E1267" i="169" s="1"/>
  <c r="F1267" i="169"/>
  <c r="J1267" i="169"/>
  <c r="K1267" i="169"/>
  <c r="L1267" i="169"/>
  <c r="O1267" i="169"/>
  <c r="P1267" i="169"/>
  <c r="Q1267" i="169"/>
  <c r="U1267" i="169" s="1"/>
  <c r="W1267" i="169"/>
  <c r="A1268" i="169"/>
  <c r="B1268" i="169"/>
  <c r="D1268" i="169"/>
  <c r="E1268" i="169" s="1"/>
  <c r="F1268" i="169"/>
  <c r="J1268" i="169"/>
  <c r="K1268" i="169"/>
  <c r="L1268" i="169"/>
  <c r="O1268" i="169"/>
  <c r="P1268" i="169"/>
  <c r="Q1268" i="169"/>
  <c r="U1268" i="169" s="1"/>
  <c r="W1268" i="169"/>
  <c r="A1269" i="169"/>
  <c r="B1269" i="169"/>
  <c r="D1269" i="169"/>
  <c r="E1269" i="169" s="1"/>
  <c r="F1269" i="169"/>
  <c r="J1269" i="169"/>
  <c r="K1269" i="169"/>
  <c r="L1269" i="169"/>
  <c r="O1269" i="169"/>
  <c r="P1269" i="169"/>
  <c r="Q1269" i="169"/>
  <c r="U1269" i="169" s="1"/>
  <c r="W1269" i="169"/>
  <c r="A1270" i="169"/>
  <c r="B1270" i="169"/>
  <c r="D1270" i="169"/>
  <c r="E1270" i="169" s="1"/>
  <c r="F1270" i="169"/>
  <c r="J1270" i="169"/>
  <c r="K1270" i="169"/>
  <c r="L1270" i="169"/>
  <c r="O1270" i="169"/>
  <c r="P1270" i="169"/>
  <c r="Q1270" i="169"/>
  <c r="U1270" i="169" s="1"/>
  <c r="W1270" i="169"/>
  <c r="A1271" i="169"/>
  <c r="B1271" i="169"/>
  <c r="D1271" i="169"/>
  <c r="E1271" i="169" s="1"/>
  <c r="F1271" i="169"/>
  <c r="J1271" i="169"/>
  <c r="K1271" i="169"/>
  <c r="L1271" i="169"/>
  <c r="O1271" i="169"/>
  <c r="P1271" i="169"/>
  <c r="Q1271" i="169"/>
  <c r="U1271" i="169" s="1"/>
  <c r="W1271" i="169"/>
  <c r="A1272" i="169"/>
  <c r="B1272" i="169"/>
  <c r="D1272" i="169"/>
  <c r="E1272" i="169" s="1"/>
  <c r="F1272" i="169"/>
  <c r="J1272" i="169"/>
  <c r="K1272" i="169"/>
  <c r="L1272" i="169"/>
  <c r="O1272" i="169"/>
  <c r="P1272" i="169"/>
  <c r="Q1272" i="169"/>
  <c r="U1272" i="169" s="1"/>
  <c r="W1272" i="169"/>
  <c r="A1273" i="169"/>
  <c r="B1273" i="169"/>
  <c r="D1273" i="169"/>
  <c r="E1273" i="169" s="1"/>
  <c r="F1273" i="169"/>
  <c r="J1273" i="169"/>
  <c r="K1273" i="169"/>
  <c r="L1273" i="169"/>
  <c r="O1273" i="169"/>
  <c r="P1273" i="169"/>
  <c r="Q1273" i="169"/>
  <c r="U1273" i="169" s="1"/>
  <c r="W1273" i="169"/>
  <c r="A1274" i="169"/>
  <c r="B1274" i="169"/>
  <c r="D1274" i="169"/>
  <c r="E1274" i="169" s="1"/>
  <c r="F1274" i="169"/>
  <c r="J1274" i="169"/>
  <c r="K1274" i="169"/>
  <c r="L1274" i="169"/>
  <c r="O1274" i="169"/>
  <c r="P1274" i="169"/>
  <c r="Q1274" i="169"/>
  <c r="U1274" i="169" s="1"/>
  <c r="W1274" i="169"/>
  <c r="A1275" i="169"/>
  <c r="B1275" i="169"/>
  <c r="D1275" i="169"/>
  <c r="E1275" i="169" s="1"/>
  <c r="F1275" i="169"/>
  <c r="J1275" i="169"/>
  <c r="K1275" i="169"/>
  <c r="L1275" i="169"/>
  <c r="O1275" i="169"/>
  <c r="P1275" i="169"/>
  <c r="Q1275" i="169"/>
  <c r="U1275" i="169" s="1"/>
  <c r="W1275" i="169"/>
  <c r="A1276" i="169"/>
  <c r="B1276" i="169"/>
  <c r="D1276" i="169"/>
  <c r="E1276" i="169" s="1"/>
  <c r="F1276" i="169"/>
  <c r="J1276" i="169"/>
  <c r="K1276" i="169"/>
  <c r="L1276" i="169"/>
  <c r="O1276" i="169"/>
  <c r="P1276" i="169"/>
  <c r="Q1276" i="169"/>
  <c r="U1276" i="169" s="1"/>
  <c r="W1276" i="169"/>
  <c r="A1277" i="169"/>
  <c r="B1277" i="169"/>
  <c r="D1277" i="169"/>
  <c r="E1277" i="169" s="1"/>
  <c r="F1277" i="169"/>
  <c r="J1277" i="169"/>
  <c r="K1277" i="169"/>
  <c r="L1277" i="169"/>
  <c r="O1277" i="169"/>
  <c r="P1277" i="169"/>
  <c r="Q1277" i="169"/>
  <c r="U1277" i="169" s="1"/>
  <c r="W1277" i="169"/>
  <c r="A1278" i="169"/>
  <c r="B1278" i="169"/>
  <c r="D1278" i="169"/>
  <c r="E1278" i="169" s="1"/>
  <c r="F1278" i="169"/>
  <c r="J1278" i="169"/>
  <c r="K1278" i="169"/>
  <c r="L1278" i="169"/>
  <c r="O1278" i="169"/>
  <c r="P1278" i="169"/>
  <c r="Q1278" i="169"/>
  <c r="S1278" i="169" s="1"/>
  <c r="W1278" i="169"/>
  <c r="A1279" i="169"/>
  <c r="B1279" i="169"/>
  <c r="D1279" i="169"/>
  <c r="E1279" i="169" s="1"/>
  <c r="F1279" i="169"/>
  <c r="J1279" i="169"/>
  <c r="K1279" i="169"/>
  <c r="L1279" i="169"/>
  <c r="O1279" i="169"/>
  <c r="P1279" i="169"/>
  <c r="Q1279" i="169"/>
  <c r="U1279" i="169" s="1"/>
  <c r="W1279" i="169"/>
  <c r="A1280" i="169"/>
  <c r="B1280" i="169"/>
  <c r="D1280" i="169"/>
  <c r="E1280" i="169" s="1"/>
  <c r="F1280" i="169"/>
  <c r="J1280" i="169"/>
  <c r="K1280" i="169"/>
  <c r="L1280" i="169"/>
  <c r="O1280" i="169"/>
  <c r="P1280" i="169"/>
  <c r="Q1280" i="169"/>
  <c r="U1280" i="169" s="1"/>
  <c r="W1280" i="169"/>
  <c r="A1281" i="169"/>
  <c r="B1281" i="169"/>
  <c r="D1281" i="169"/>
  <c r="E1281" i="169" s="1"/>
  <c r="F1281" i="169"/>
  <c r="J1281" i="169"/>
  <c r="K1281" i="169"/>
  <c r="L1281" i="169"/>
  <c r="O1281" i="169"/>
  <c r="P1281" i="169"/>
  <c r="Q1281" i="169"/>
  <c r="U1281" i="169" s="1"/>
  <c r="W1281" i="169"/>
  <c r="A1282" i="169"/>
  <c r="B1282" i="169"/>
  <c r="D1282" i="169"/>
  <c r="E1282" i="169" s="1"/>
  <c r="F1282" i="169"/>
  <c r="J1282" i="169"/>
  <c r="K1282" i="169"/>
  <c r="L1282" i="169"/>
  <c r="O1282" i="169"/>
  <c r="P1282" i="169"/>
  <c r="Q1282" i="169"/>
  <c r="U1282" i="169" s="1"/>
  <c r="W1282" i="169"/>
  <c r="A1283" i="169"/>
  <c r="B1283" i="169"/>
  <c r="D1283" i="169"/>
  <c r="E1283" i="169" s="1"/>
  <c r="F1283" i="169"/>
  <c r="J1283" i="169"/>
  <c r="K1283" i="169"/>
  <c r="L1283" i="169"/>
  <c r="O1283" i="169"/>
  <c r="P1283" i="169"/>
  <c r="Q1283" i="169"/>
  <c r="U1283" i="169" s="1"/>
  <c r="W1283" i="169"/>
  <c r="A1284" i="169"/>
  <c r="B1284" i="169"/>
  <c r="D1284" i="169"/>
  <c r="E1284" i="169" s="1"/>
  <c r="F1284" i="169"/>
  <c r="J1284" i="169"/>
  <c r="K1284" i="169"/>
  <c r="L1284" i="169"/>
  <c r="O1284" i="169"/>
  <c r="P1284" i="169"/>
  <c r="Q1284" i="169"/>
  <c r="U1284" i="169" s="1"/>
  <c r="W1284" i="169"/>
  <c r="A1285" i="169"/>
  <c r="B1285" i="169"/>
  <c r="D1285" i="169"/>
  <c r="E1285" i="169" s="1"/>
  <c r="F1285" i="169"/>
  <c r="J1285" i="169"/>
  <c r="K1285" i="169"/>
  <c r="L1285" i="169"/>
  <c r="O1285" i="169"/>
  <c r="P1285" i="169"/>
  <c r="Q1285" i="169"/>
  <c r="S1285" i="169" s="1"/>
  <c r="W1285" i="169"/>
  <c r="A1286" i="169"/>
  <c r="B1286" i="169"/>
  <c r="D1286" i="169"/>
  <c r="E1286" i="169" s="1"/>
  <c r="F1286" i="169"/>
  <c r="J1286" i="169"/>
  <c r="K1286" i="169"/>
  <c r="L1286" i="169"/>
  <c r="O1286" i="169"/>
  <c r="P1286" i="169"/>
  <c r="Q1286" i="169"/>
  <c r="U1286" i="169" s="1"/>
  <c r="W1286" i="169"/>
  <c r="A1287" i="169"/>
  <c r="B1287" i="169"/>
  <c r="D1287" i="169"/>
  <c r="E1287" i="169" s="1"/>
  <c r="F1287" i="169"/>
  <c r="J1287" i="169"/>
  <c r="K1287" i="169"/>
  <c r="L1287" i="169"/>
  <c r="O1287" i="169"/>
  <c r="P1287" i="169"/>
  <c r="Q1287" i="169"/>
  <c r="U1287" i="169" s="1"/>
  <c r="W1287" i="169"/>
  <c r="A1288" i="169"/>
  <c r="B1288" i="169"/>
  <c r="D1288" i="169"/>
  <c r="E1288" i="169" s="1"/>
  <c r="F1288" i="169"/>
  <c r="J1288" i="169"/>
  <c r="K1288" i="169"/>
  <c r="L1288" i="169"/>
  <c r="O1288" i="169"/>
  <c r="P1288" i="169"/>
  <c r="Q1288" i="169"/>
  <c r="U1288" i="169" s="1"/>
  <c r="W1288" i="169"/>
  <c r="A1289" i="169"/>
  <c r="B1289" i="169"/>
  <c r="D1289" i="169"/>
  <c r="E1289" i="169" s="1"/>
  <c r="F1289" i="169"/>
  <c r="J1289" i="169"/>
  <c r="K1289" i="169"/>
  <c r="L1289" i="169"/>
  <c r="O1289" i="169"/>
  <c r="P1289" i="169"/>
  <c r="Q1289" i="169"/>
  <c r="U1289" i="169" s="1"/>
  <c r="W1289" i="169"/>
  <c r="A1290" i="169"/>
  <c r="B1290" i="169"/>
  <c r="D1290" i="169"/>
  <c r="E1290" i="169" s="1"/>
  <c r="F1290" i="169"/>
  <c r="J1290" i="169"/>
  <c r="K1290" i="169"/>
  <c r="L1290" i="169"/>
  <c r="O1290" i="169"/>
  <c r="P1290" i="169"/>
  <c r="Q1290" i="169"/>
  <c r="U1290" i="169" s="1"/>
  <c r="W1290" i="169"/>
  <c r="A1291" i="169"/>
  <c r="B1291" i="169"/>
  <c r="D1291" i="169"/>
  <c r="E1291" i="169" s="1"/>
  <c r="F1291" i="169"/>
  <c r="J1291" i="169"/>
  <c r="K1291" i="169"/>
  <c r="L1291" i="169"/>
  <c r="O1291" i="169"/>
  <c r="P1291" i="169"/>
  <c r="Q1291" i="169"/>
  <c r="U1291" i="169" s="1"/>
  <c r="W1291" i="169"/>
  <c r="A1292" i="169"/>
  <c r="B1292" i="169"/>
  <c r="D1292" i="169"/>
  <c r="E1292" i="169" s="1"/>
  <c r="F1292" i="169"/>
  <c r="J1292" i="169"/>
  <c r="K1292" i="169"/>
  <c r="L1292" i="169"/>
  <c r="O1292" i="169"/>
  <c r="P1292" i="169"/>
  <c r="Q1292" i="169"/>
  <c r="U1292" i="169" s="1"/>
  <c r="W1292" i="169"/>
  <c r="A1293" i="169"/>
  <c r="B1293" i="169"/>
  <c r="D1293" i="169"/>
  <c r="E1293" i="169" s="1"/>
  <c r="F1293" i="169"/>
  <c r="J1293" i="169"/>
  <c r="K1293" i="169"/>
  <c r="L1293" i="169"/>
  <c r="O1293" i="169"/>
  <c r="P1293" i="169"/>
  <c r="Q1293" i="169"/>
  <c r="U1293" i="169" s="1"/>
  <c r="W1293" i="169"/>
  <c r="A1294" i="169"/>
  <c r="B1294" i="169"/>
  <c r="D1294" i="169"/>
  <c r="E1294" i="169" s="1"/>
  <c r="F1294" i="169"/>
  <c r="J1294" i="169"/>
  <c r="K1294" i="169"/>
  <c r="L1294" i="169"/>
  <c r="O1294" i="169"/>
  <c r="P1294" i="169"/>
  <c r="Q1294" i="169"/>
  <c r="U1294" i="169" s="1"/>
  <c r="W1294" i="169"/>
  <c r="A1295" i="169"/>
  <c r="B1295" i="169"/>
  <c r="D1295" i="169"/>
  <c r="E1295" i="169" s="1"/>
  <c r="F1295" i="169"/>
  <c r="J1295" i="169"/>
  <c r="K1295" i="169"/>
  <c r="L1295" i="169"/>
  <c r="O1295" i="169"/>
  <c r="P1295" i="169"/>
  <c r="Q1295" i="169"/>
  <c r="U1295" i="169" s="1"/>
  <c r="W1295" i="169"/>
  <c r="A1296" i="169"/>
  <c r="B1296" i="169"/>
  <c r="D1296" i="169"/>
  <c r="E1296" i="169" s="1"/>
  <c r="F1296" i="169"/>
  <c r="J1296" i="169"/>
  <c r="K1296" i="169"/>
  <c r="L1296" i="169"/>
  <c r="O1296" i="169"/>
  <c r="P1296" i="169"/>
  <c r="Q1296" i="169"/>
  <c r="U1296" i="169" s="1"/>
  <c r="W1296" i="169"/>
  <c r="A1297" i="169"/>
  <c r="B1297" i="169"/>
  <c r="D1297" i="169"/>
  <c r="E1297" i="169" s="1"/>
  <c r="F1297" i="169"/>
  <c r="J1297" i="169"/>
  <c r="K1297" i="169"/>
  <c r="L1297" i="169"/>
  <c r="O1297" i="169"/>
  <c r="P1297" i="169"/>
  <c r="Q1297" i="169"/>
  <c r="U1297" i="169" s="1"/>
  <c r="W1297" i="169"/>
  <c r="A1298" i="169"/>
  <c r="B1298" i="169"/>
  <c r="D1298" i="169"/>
  <c r="E1298" i="169" s="1"/>
  <c r="F1298" i="169"/>
  <c r="J1298" i="169"/>
  <c r="K1298" i="169"/>
  <c r="L1298" i="169"/>
  <c r="O1298" i="169"/>
  <c r="P1298" i="169"/>
  <c r="Q1298" i="169"/>
  <c r="S1298" i="169" s="1"/>
  <c r="W1298" i="169"/>
  <c r="A1299" i="169"/>
  <c r="B1299" i="169"/>
  <c r="D1299" i="169"/>
  <c r="E1299" i="169" s="1"/>
  <c r="F1299" i="169"/>
  <c r="J1299" i="169"/>
  <c r="K1299" i="169"/>
  <c r="L1299" i="169"/>
  <c r="O1299" i="169"/>
  <c r="P1299" i="169"/>
  <c r="Q1299" i="169"/>
  <c r="U1299" i="169" s="1"/>
  <c r="W1299" i="169"/>
  <c r="A1300" i="169"/>
  <c r="B1300" i="169"/>
  <c r="D1300" i="169"/>
  <c r="E1300" i="169" s="1"/>
  <c r="F1300" i="169"/>
  <c r="J1300" i="169"/>
  <c r="K1300" i="169"/>
  <c r="L1300" i="169"/>
  <c r="O1300" i="169"/>
  <c r="P1300" i="169"/>
  <c r="Q1300" i="169"/>
  <c r="U1300" i="169" s="1"/>
  <c r="W1300" i="169"/>
  <c r="A1301" i="169"/>
  <c r="B1301" i="169"/>
  <c r="D1301" i="169"/>
  <c r="E1301" i="169" s="1"/>
  <c r="F1301" i="169"/>
  <c r="J1301" i="169"/>
  <c r="K1301" i="169"/>
  <c r="L1301" i="169"/>
  <c r="O1301" i="169"/>
  <c r="P1301" i="169"/>
  <c r="Q1301" i="169"/>
  <c r="S1301" i="169" s="1"/>
  <c r="W1301" i="169"/>
  <c r="A1302" i="169"/>
  <c r="B1302" i="169"/>
  <c r="D1302" i="169"/>
  <c r="E1302" i="169" s="1"/>
  <c r="F1302" i="169"/>
  <c r="J1302" i="169"/>
  <c r="K1302" i="169"/>
  <c r="L1302" i="169"/>
  <c r="O1302" i="169"/>
  <c r="P1302" i="169"/>
  <c r="Q1302" i="169"/>
  <c r="U1302" i="169" s="1"/>
  <c r="W1302" i="169"/>
  <c r="A1303" i="169"/>
  <c r="B1303" i="169"/>
  <c r="D1303" i="169"/>
  <c r="E1303" i="169" s="1"/>
  <c r="F1303" i="169"/>
  <c r="J1303" i="169"/>
  <c r="K1303" i="169"/>
  <c r="L1303" i="169"/>
  <c r="O1303" i="169"/>
  <c r="P1303" i="169"/>
  <c r="Q1303" i="169"/>
  <c r="U1303" i="169" s="1"/>
  <c r="W1303" i="169"/>
  <c r="A1304" i="169"/>
  <c r="B1304" i="169"/>
  <c r="D1304" i="169"/>
  <c r="E1304" i="169" s="1"/>
  <c r="F1304" i="169"/>
  <c r="J1304" i="169"/>
  <c r="K1304" i="169"/>
  <c r="L1304" i="169"/>
  <c r="O1304" i="169"/>
  <c r="P1304" i="169"/>
  <c r="Q1304" i="169"/>
  <c r="S1304" i="169" s="1"/>
  <c r="W1304" i="169"/>
  <c r="S1270" i="169" l="1"/>
  <c r="S1267" i="169"/>
  <c r="S1271" i="169"/>
  <c r="S1269" i="169"/>
  <c r="V1267" i="169"/>
  <c r="X1267" i="169"/>
  <c r="AF1267" i="169" s="1"/>
  <c r="S1268" i="169"/>
  <c r="V1268" i="169"/>
  <c r="X1268" i="169"/>
  <c r="AF1268" i="169" s="1"/>
  <c r="V1269" i="169"/>
  <c r="X1269" i="169"/>
  <c r="AF1269" i="169" s="1"/>
  <c r="V1270" i="169"/>
  <c r="X1270" i="169"/>
  <c r="AF1270" i="169" s="1"/>
  <c r="V1271" i="169"/>
  <c r="X1271" i="169"/>
  <c r="AF1271" i="169" s="1"/>
  <c r="S1272" i="169"/>
  <c r="S1277" i="169"/>
  <c r="S1276" i="169"/>
  <c r="V1272" i="169"/>
  <c r="X1272" i="169"/>
  <c r="AF1272" i="169" s="1"/>
  <c r="S1275" i="169"/>
  <c r="S1273" i="169"/>
  <c r="V1273" i="169"/>
  <c r="X1273" i="169"/>
  <c r="AF1273" i="169" s="1"/>
  <c r="S1274" i="169"/>
  <c r="V1274" i="169"/>
  <c r="X1274" i="169"/>
  <c r="AF1274" i="169" s="1"/>
  <c r="V1276" i="169"/>
  <c r="X1276" i="169"/>
  <c r="AF1276" i="169" s="1"/>
  <c r="V1275" i="169"/>
  <c r="X1275" i="169"/>
  <c r="AF1275" i="169" s="1"/>
  <c r="V1277" i="169"/>
  <c r="X1277" i="169"/>
  <c r="AF1277" i="169" s="1"/>
  <c r="U1278" i="169"/>
  <c r="S1279" i="169"/>
  <c r="V1279" i="169"/>
  <c r="X1279" i="169"/>
  <c r="AF1279" i="169" s="1"/>
  <c r="S1280" i="169"/>
  <c r="V1280" i="169"/>
  <c r="X1280" i="169"/>
  <c r="AF1280" i="169" s="1"/>
  <c r="S1281" i="169"/>
  <c r="S1287" i="169"/>
  <c r="V1281" i="169"/>
  <c r="X1281" i="169"/>
  <c r="AF1281" i="169" s="1"/>
  <c r="U1285" i="169"/>
  <c r="X1285" i="169" s="1"/>
  <c r="AF1285" i="169" s="1"/>
  <c r="S1284" i="169"/>
  <c r="S1282" i="169"/>
  <c r="V1282" i="169"/>
  <c r="X1282" i="169"/>
  <c r="AF1282" i="169" s="1"/>
  <c r="S1283" i="169"/>
  <c r="V1283" i="169"/>
  <c r="X1283" i="169"/>
  <c r="AF1283" i="169" s="1"/>
  <c r="V1284" i="169"/>
  <c r="X1284" i="169"/>
  <c r="AF1284" i="169" s="1"/>
  <c r="S1288" i="169"/>
  <c r="S1286" i="169"/>
  <c r="V1286" i="169"/>
  <c r="X1286" i="169"/>
  <c r="AF1286" i="169" s="1"/>
  <c r="V1287" i="169"/>
  <c r="X1287" i="169"/>
  <c r="AF1287" i="169" s="1"/>
  <c r="S1295" i="169"/>
  <c r="S1294" i="169"/>
  <c r="S1292" i="169"/>
  <c r="S1291" i="169"/>
  <c r="S1290" i="169"/>
  <c r="V1288" i="169"/>
  <c r="X1288" i="169"/>
  <c r="AF1288" i="169" s="1"/>
  <c r="S1289" i="169"/>
  <c r="V1289" i="169"/>
  <c r="X1289" i="169"/>
  <c r="AF1289" i="169" s="1"/>
  <c r="V1290" i="169"/>
  <c r="X1290" i="169"/>
  <c r="AF1290" i="169" s="1"/>
  <c r="V1291" i="169"/>
  <c r="X1291" i="169"/>
  <c r="AF1291" i="169" s="1"/>
  <c r="V1292" i="169"/>
  <c r="X1292" i="169"/>
  <c r="AF1292" i="169" s="1"/>
  <c r="S1293" i="169"/>
  <c r="V1293" i="169"/>
  <c r="X1293" i="169"/>
  <c r="AF1293" i="169" s="1"/>
  <c r="U1301" i="169"/>
  <c r="X1301" i="169" s="1"/>
  <c r="AF1301" i="169" s="1"/>
  <c r="S1299" i="169"/>
  <c r="X1294" i="169"/>
  <c r="AF1294" i="169" s="1"/>
  <c r="V1294" i="169"/>
  <c r="V1295" i="169"/>
  <c r="X1295" i="169"/>
  <c r="AF1295" i="169" s="1"/>
  <c r="U1298" i="169"/>
  <c r="X1298" i="169" s="1"/>
  <c r="AF1298" i="169" s="1"/>
  <c r="S1296" i="169"/>
  <c r="V1296" i="169"/>
  <c r="X1296" i="169"/>
  <c r="AF1296" i="169" s="1"/>
  <c r="S1297" i="169"/>
  <c r="V1297" i="169"/>
  <c r="X1297" i="169"/>
  <c r="AF1297" i="169" s="1"/>
  <c r="V1299" i="169"/>
  <c r="X1299" i="169"/>
  <c r="AF1299" i="169" s="1"/>
  <c r="U1304" i="169"/>
  <c r="X1304" i="169" s="1"/>
  <c r="AF1304" i="169" s="1"/>
  <c r="V1300" i="169"/>
  <c r="X1300" i="169"/>
  <c r="AF1300" i="169" s="1"/>
  <c r="S1300" i="169"/>
  <c r="X1302" i="169"/>
  <c r="AF1302" i="169" s="1"/>
  <c r="V1302" i="169"/>
  <c r="S1302" i="169"/>
  <c r="V1303" i="169"/>
  <c r="X1303" i="169"/>
  <c r="AF1303" i="169" s="1"/>
  <c r="S1303" i="169"/>
  <c r="A1264" i="169"/>
  <c r="B1264" i="169"/>
  <c r="D1264" i="169"/>
  <c r="E1264" i="169" s="1"/>
  <c r="F1264" i="169"/>
  <c r="J1264" i="169"/>
  <c r="K1264" i="169"/>
  <c r="L1264" i="169"/>
  <c r="O1264" i="169"/>
  <c r="P1264" i="169"/>
  <c r="Q1264" i="169"/>
  <c r="U1264" i="169" s="1"/>
  <c r="W1264" i="169"/>
  <c r="A1265" i="169"/>
  <c r="B1265" i="169"/>
  <c r="D1265" i="169"/>
  <c r="E1265" i="169" s="1"/>
  <c r="F1265" i="169"/>
  <c r="J1265" i="169"/>
  <c r="K1265" i="169"/>
  <c r="L1265" i="169"/>
  <c r="O1265" i="169"/>
  <c r="P1265" i="169"/>
  <c r="Q1265" i="169"/>
  <c r="U1265" i="169" s="1"/>
  <c r="W1265" i="169"/>
  <c r="A1266" i="169"/>
  <c r="B1266" i="169"/>
  <c r="D1266" i="169"/>
  <c r="E1266" i="169" s="1"/>
  <c r="F1266" i="169"/>
  <c r="J1266" i="169"/>
  <c r="K1266" i="169"/>
  <c r="L1266" i="169"/>
  <c r="O1266" i="169"/>
  <c r="P1266" i="169"/>
  <c r="Q1266" i="169"/>
  <c r="U1266" i="169" s="1"/>
  <c r="W1266" i="169"/>
  <c r="A1305" i="169"/>
  <c r="B1305" i="169"/>
  <c r="D1305" i="169"/>
  <c r="E1305" i="169" s="1"/>
  <c r="F1305" i="169"/>
  <c r="J1305" i="169"/>
  <c r="K1305" i="169"/>
  <c r="L1305" i="169"/>
  <c r="O1305" i="169"/>
  <c r="P1305" i="169"/>
  <c r="Q1305" i="169"/>
  <c r="U1305" i="169" s="1"/>
  <c r="W1305" i="169"/>
  <c r="A1306" i="169"/>
  <c r="B1306" i="169"/>
  <c r="D1306" i="169"/>
  <c r="E1306" i="169" s="1"/>
  <c r="F1306" i="169"/>
  <c r="J1306" i="169"/>
  <c r="K1306" i="169"/>
  <c r="L1306" i="169"/>
  <c r="O1306" i="169"/>
  <c r="P1306" i="169"/>
  <c r="Q1306" i="169"/>
  <c r="U1306" i="169" s="1"/>
  <c r="W1306" i="169"/>
  <c r="A1307" i="169"/>
  <c r="B1307" i="169"/>
  <c r="D1307" i="169"/>
  <c r="E1307" i="169" s="1"/>
  <c r="F1307" i="169"/>
  <c r="J1307" i="169"/>
  <c r="K1307" i="169"/>
  <c r="L1307" i="169"/>
  <c r="O1307" i="169"/>
  <c r="P1307" i="169"/>
  <c r="Q1307" i="169"/>
  <c r="U1307" i="169" s="1"/>
  <c r="W1307" i="169"/>
  <c r="A1308" i="169"/>
  <c r="B1308" i="169"/>
  <c r="D1308" i="169"/>
  <c r="E1308" i="169" s="1"/>
  <c r="F1308" i="169"/>
  <c r="J1308" i="169"/>
  <c r="K1308" i="169"/>
  <c r="L1308" i="169"/>
  <c r="O1308" i="169"/>
  <c r="P1308" i="169"/>
  <c r="Q1308" i="169"/>
  <c r="U1308" i="169" s="1"/>
  <c r="W1308" i="169"/>
  <c r="A1309" i="169"/>
  <c r="B1309" i="169"/>
  <c r="D1309" i="169"/>
  <c r="E1309" i="169" s="1"/>
  <c r="F1309" i="169"/>
  <c r="J1309" i="169"/>
  <c r="K1309" i="169"/>
  <c r="L1309" i="169"/>
  <c r="O1309" i="169"/>
  <c r="P1309" i="169"/>
  <c r="Q1309" i="169"/>
  <c r="U1309" i="169" s="1"/>
  <c r="W1309" i="169"/>
  <c r="A1310" i="169"/>
  <c r="B1310" i="169"/>
  <c r="D1310" i="169"/>
  <c r="E1310" i="169" s="1"/>
  <c r="F1310" i="169"/>
  <c r="J1310" i="169"/>
  <c r="K1310" i="169"/>
  <c r="L1310" i="169"/>
  <c r="O1310" i="169"/>
  <c r="P1310" i="169"/>
  <c r="Q1310" i="169"/>
  <c r="U1310" i="169" s="1"/>
  <c r="W1310" i="169"/>
  <c r="A1311" i="169"/>
  <c r="B1311" i="169"/>
  <c r="D1311" i="169"/>
  <c r="E1311" i="169" s="1"/>
  <c r="F1311" i="169"/>
  <c r="J1311" i="169"/>
  <c r="K1311" i="169"/>
  <c r="L1311" i="169"/>
  <c r="O1311" i="169"/>
  <c r="P1311" i="169"/>
  <c r="Q1311" i="169"/>
  <c r="U1311" i="169" s="1"/>
  <c r="W1311" i="169"/>
  <c r="A1312" i="169"/>
  <c r="B1312" i="169"/>
  <c r="D1312" i="169"/>
  <c r="E1312" i="169" s="1"/>
  <c r="F1312" i="169"/>
  <c r="J1312" i="169"/>
  <c r="K1312" i="169"/>
  <c r="L1312" i="169"/>
  <c r="O1312" i="169"/>
  <c r="P1312" i="169"/>
  <c r="Q1312" i="169"/>
  <c r="U1312" i="169" s="1"/>
  <c r="W1312" i="169"/>
  <c r="A1234" i="169"/>
  <c r="B1234" i="169"/>
  <c r="D1234" i="169"/>
  <c r="E1234" i="169" s="1"/>
  <c r="F1234" i="169"/>
  <c r="J1234" i="169"/>
  <c r="K1234" i="169"/>
  <c r="L1234" i="169"/>
  <c r="O1234" i="169"/>
  <c r="P1234" i="169"/>
  <c r="Q1234" i="169"/>
  <c r="U1234" i="169" s="1"/>
  <c r="W1234" i="169"/>
  <c r="A1235" i="169"/>
  <c r="B1235" i="169"/>
  <c r="D1235" i="169"/>
  <c r="E1235" i="169" s="1"/>
  <c r="F1235" i="169"/>
  <c r="J1235" i="169"/>
  <c r="K1235" i="169"/>
  <c r="L1235" i="169"/>
  <c r="O1235" i="169"/>
  <c r="P1235" i="169"/>
  <c r="Q1235" i="169"/>
  <c r="U1235" i="169" s="1"/>
  <c r="W1235" i="169"/>
  <c r="A1236" i="169"/>
  <c r="B1236" i="169"/>
  <c r="D1236" i="169"/>
  <c r="E1236" i="169" s="1"/>
  <c r="F1236" i="169"/>
  <c r="J1236" i="169"/>
  <c r="K1236" i="169"/>
  <c r="L1236" i="169"/>
  <c r="O1236" i="169"/>
  <c r="P1236" i="169"/>
  <c r="Q1236" i="169"/>
  <c r="U1236" i="169" s="1"/>
  <c r="W1236" i="169"/>
  <c r="A1237" i="169"/>
  <c r="B1237" i="169"/>
  <c r="D1237" i="169"/>
  <c r="E1237" i="169" s="1"/>
  <c r="F1237" i="169"/>
  <c r="J1237" i="169"/>
  <c r="K1237" i="169"/>
  <c r="L1237" i="169"/>
  <c r="O1237" i="169"/>
  <c r="P1237" i="169"/>
  <c r="Q1237" i="169"/>
  <c r="U1237" i="169" s="1"/>
  <c r="W1237" i="169"/>
  <c r="A1238" i="169"/>
  <c r="B1238" i="169"/>
  <c r="D1238" i="169"/>
  <c r="E1238" i="169" s="1"/>
  <c r="F1238" i="169"/>
  <c r="J1238" i="169"/>
  <c r="K1238" i="169"/>
  <c r="L1238" i="169"/>
  <c r="O1238" i="169"/>
  <c r="P1238" i="169"/>
  <c r="Q1238" i="169"/>
  <c r="U1238" i="169" s="1"/>
  <c r="W1238" i="169"/>
  <c r="A1239" i="169"/>
  <c r="B1239" i="169"/>
  <c r="D1239" i="169"/>
  <c r="E1239" i="169" s="1"/>
  <c r="F1239" i="169"/>
  <c r="J1239" i="169"/>
  <c r="K1239" i="169"/>
  <c r="L1239" i="169"/>
  <c r="O1239" i="169"/>
  <c r="P1239" i="169"/>
  <c r="Q1239" i="169"/>
  <c r="U1239" i="169" s="1"/>
  <c r="W1239" i="169"/>
  <c r="A1240" i="169"/>
  <c r="B1240" i="169"/>
  <c r="D1240" i="169"/>
  <c r="E1240" i="169" s="1"/>
  <c r="F1240" i="169"/>
  <c r="J1240" i="169"/>
  <c r="K1240" i="169"/>
  <c r="L1240" i="169"/>
  <c r="O1240" i="169"/>
  <c r="P1240" i="169"/>
  <c r="Q1240" i="169"/>
  <c r="U1240" i="169" s="1"/>
  <c r="W1240" i="169"/>
  <c r="A1241" i="169"/>
  <c r="B1241" i="169"/>
  <c r="D1241" i="169"/>
  <c r="E1241" i="169" s="1"/>
  <c r="F1241" i="169"/>
  <c r="J1241" i="169"/>
  <c r="K1241" i="169"/>
  <c r="L1241" i="169"/>
  <c r="O1241" i="169"/>
  <c r="P1241" i="169"/>
  <c r="Q1241" i="169"/>
  <c r="U1241" i="169" s="1"/>
  <c r="W1241" i="169"/>
  <c r="A1242" i="169"/>
  <c r="B1242" i="169"/>
  <c r="D1242" i="169"/>
  <c r="E1242" i="169" s="1"/>
  <c r="F1242" i="169"/>
  <c r="J1242" i="169"/>
  <c r="K1242" i="169"/>
  <c r="L1242" i="169"/>
  <c r="O1242" i="169"/>
  <c r="P1242" i="169"/>
  <c r="Q1242" i="169"/>
  <c r="U1242" i="169" s="1"/>
  <c r="W1242" i="169"/>
  <c r="A1243" i="169"/>
  <c r="B1243" i="169"/>
  <c r="D1243" i="169"/>
  <c r="E1243" i="169" s="1"/>
  <c r="F1243" i="169"/>
  <c r="J1243" i="169"/>
  <c r="K1243" i="169"/>
  <c r="L1243" i="169"/>
  <c r="O1243" i="169"/>
  <c r="P1243" i="169"/>
  <c r="Q1243" i="169"/>
  <c r="U1243" i="169" s="1"/>
  <c r="W1243" i="169"/>
  <c r="A1244" i="169"/>
  <c r="B1244" i="169"/>
  <c r="D1244" i="169"/>
  <c r="E1244" i="169" s="1"/>
  <c r="F1244" i="169"/>
  <c r="J1244" i="169"/>
  <c r="K1244" i="169"/>
  <c r="L1244" i="169"/>
  <c r="O1244" i="169"/>
  <c r="P1244" i="169"/>
  <c r="Q1244" i="169"/>
  <c r="U1244" i="169" s="1"/>
  <c r="W1244" i="169"/>
  <c r="A1245" i="169"/>
  <c r="B1245" i="169"/>
  <c r="D1245" i="169"/>
  <c r="E1245" i="169" s="1"/>
  <c r="F1245" i="169"/>
  <c r="J1245" i="169"/>
  <c r="K1245" i="169"/>
  <c r="L1245" i="169"/>
  <c r="O1245" i="169"/>
  <c r="P1245" i="169"/>
  <c r="Q1245" i="169"/>
  <c r="U1245" i="169" s="1"/>
  <c r="W1245" i="169"/>
  <c r="A1246" i="169"/>
  <c r="B1246" i="169"/>
  <c r="D1246" i="169"/>
  <c r="E1246" i="169" s="1"/>
  <c r="F1246" i="169"/>
  <c r="J1246" i="169"/>
  <c r="K1246" i="169"/>
  <c r="L1246" i="169"/>
  <c r="O1246" i="169"/>
  <c r="P1246" i="169"/>
  <c r="Q1246" i="169"/>
  <c r="U1246" i="169" s="1"/>
  <c r="W1246" i="169"/>
  <c r="A1247" i="169"/>
  <c r="B1247" i="169"/>
  <c r="D1247" i="169"/>
  <c r="E1247" i="169" s="1"/>
  <c r="F1247" i="169"/>
  <c r="J1247" i="169"/>
  <c r="K1247" i="169"/>
  <c r="L1247" i="169"/>
  <c r="O1247" i="169"/>
  <c r="P1247" i="169"/>
  <c r="Q1247" i="169"/>
  <c r="S1247" i="169" s="1"/>
  <c r="W1247" i="169"/>
  <c r="A1248" i="169"/>
  <c r="B1248" i="169"/>
  <c r="D1248" i="169"/>
  <c r="E1248" i="169" s="1"/>
  <c r="F1248" i="169"/>
  <c r="J1248" i="169"/>
  <c r="K1248" i="169"/>
  <c r="L1248" i="169"/>
  <c r="O1248" i="169"/>
  <c r="P1248" i="169"/>
  <c r="Q1248" i="169"/>
  <c r="U1248" i="169" s="1"/>
  <c r="W1248" i="169"/>
  <c r="A1249" i="169"/>
  <c r="B1249" i="169"/>
  <c r="D1249" i="169"/>
  <c r="E1249" i="169" s="1"/>
  <c r="F1249" i="169"/>
  <c r="J1249" i="169"/>
  <c r="K1249" i="169"/>
  <c r="L1249" i="169"/>
  <c r="O1249" i="169"/>
  <c r="P1249" i="169"/>
  <c r="Q1249" i="169"/>
  <c r="U1249" i="169" s="1"/>
  <c r="W1249" i="169"/>
  <c r="A1250" i="169"/>
  <c r="B1250" i="169"/>
  <c r="D1250" i="169"/>
  <c r="E1250" i="169" s="1"/>
  <c r="F1250" i="169"/>
  <c r="J1250" i="169"/>
  <c r="K1250" i="169"/>
  <c r="L1250" i="169"/>
  <c r="O1250" i="169"/>
  <c r="P1250" i="169"/>
  <c r="Q1250" i="169"/>
  <c r="U1250" i="169" s="1"/>
  <c r="W1250" i="169"/>
  <c r="A1251" i="169"/>
  <c r="B1251" i="169"/>
  <c r="D1251" i="169"/>
  <c r="E1251" i="169" s="1"/>
  <c r="F1251" i="169"/>
  <c r="J1251" i="169"/>
  <c r="K1251" i="169"/>
  <c r="L1251" i="169"/>
  <c r="O1251" i="169"/>
  <c r="P1251" i="169"/>
  <c r="Q1251" i="169"/>
  <c r="U1251" i="169" s="1"/>
  <c r="W1251" i="169"/>
  <c r="A1252" i="169"/>
  <c r="B1252" i="169"/>
  <c r="D1252" i="169"/>
  <c r="E1252" i="169" s="1"/>
  <c r="F1252" i="169"/>
  <c r="J1252" i="169"/>
  <c r="K1252" i="169"/>
  <c r="L1252" i="169"/>
  <c r="O1252" i="169"/>
  <c r="P1252" i="169"/>
  <c r="Q1252" i="169"/>
  <c r="U1252" i="169" s="1"/>
  <c r="W1252" i="169"/>
  <c r="A1253" i="169"/>
  <c r="B1253" i="169"/>
  <c r="D1253" i="169"/>
  <c r="E1253" i="169" s="1"/>
  <c r="F1253" i="169"/>
  <c r="J1253" i="169"/>
  <c r="K1253" i="169"/>
  <c r="L1253" i="169"/>
  <c r="O1253" i="169"/>
  <c r="P1253" i="169"/>
  <c r="Q1253" i="169"/>
  <c r="U1253" i="169" s="1"/>
  <c r="W1253" i="169"/>
  <c r="A1254" i="169"/>
  <c r="B1254" i="169"/>
  <c r="D1254" i="169"/>
  <c r="E1254" i="169" s="1"/>
  <c r="F1254" i="169"/>
  <c r="J1254" i="169"/>
  <c r="K1254" i="169"/>
  <c r="L1254" i="169"/>
  <c r="O1254" i="169"/>
  <c r="P1254" i="169"/>
  <c r="Q1254" i="169"/>
  <c r="U1254" i="169" s="1"/>
  <c r="W1254" i="169"/>
  <c r="A1255" i="169"/>
  <c r="B1255" i="169"/>
  <c r="D1255" i="169"/>
  <c r="E1255" i="169" s="1"/>
  <c r="F1255" i="169"/>
  <c r="J1255" i="169"/>
  <c r="K1255" i="169"/>
  <c r="L1255" i="169"/>
  <c r="O1255" i="169"/>
  <c r="P1255" i="169"/>
  <c r="Q1255" i="169"/>
  <c r="U1255" i="169" s="1"/>
  <c r="W1255" i="169"/>
  <c r="A1204" i="169"/>
  <c r="B1204" i="169"/>
  <c r="D1204" i="169"/>
  <c r="E1204" i="169" s="1"/>
  <c r="F1204" i="169"/>
  <c r="J1204" i="169"/>
  <c r="K1204" i="169"/>
  <c r="L1204" i="169"/>
  <c r="O1204" i="169"/>
  <c r="P1204" i="169"/>
  <c r="Q1204" i="169"/>
  <c r="U1204" i="169" s="1"/>
  <c r="W1204" i="169"/>
  <c r="A1205" i="169"/>
  <c r="B1205" i="169"/>
  <c r="D1205" i="169"/>
  <c r="E1205" i="169" s="1"/>
  <c r="F1205" i="169"/>
  <c r="J1205" i="169"/>
  <c r="K1205" i="169"/>
  <c r="L1205" i="169"/>
  <c r="O1205" i="169"/>
  <c r="P1205" i="169"/>
  <c r="Q1205" i="169"/>
  <c r="U1205" i="169" s="1"/>
  <c r="W1205" i="169"/>
  <c r="A1206" i="169"/>
  <c r="B1206" i="169"/>
  <c r="D1206" i="169"/>
  <c r="E1206" i="169" s="1"/>
  <c r="F1206" i="169"/>
  <c r="J1206" i="169"/>
  <c r="K1206" i="169"/>
  <c r="L1206" i="169"/>
  <c r="O1206" i="169"/>
  <c r="P1206" i="169"/>
  <c r="Q1206" i="169"/>
  <c r="U1206" i="169" s="1"/>
  <c r="W1206" i="169"/>
  <c r="A1207" i="169"/>
  <c r="B1207" i="169"/>
  <c r="D1207" i="169"/>
  <c r="E1207" i="169" s="1"/>
  <c r="F1207" i="169"/>
  <c r="J1207" i="169"/>
  <c r="K1207" i="169"/>
  <c r="L1207" i="169"/>
  <c r="O1207" i="169"/>
  <c r="P1207" i="169"/>
  <c r="Q1207" i="169"/>
  <c r="U1207" i="169" s="1"/>
  <c r="W1207" i="169"/>
  <c r="A1208" i="169"/>
  <c r="B1208" i="169"/>
  <c r="D1208" i="169"/>
  <c r="E1208" i="169" s="1"/>
  <c r="F1208" i="169"/>
  <c r="J1208" i="169"/>
  <c r="K1208" i="169"/>
  <c r="L1208" i="169"/>
  <c r="O1208" i="169"/>
  <c r="P1208" i="169"/>
  <c r="Q1208" i="169"/>
  <c r="U1208" i="169" s="1"/>
  <c r="W1208" i="169"/>
  <c r="A1209" i="169"/>
  <c r="B1209" i="169"/>
  <c r="D1209" i="169"/>
  <c r="E1209" i="169" s="1"/>
  <c r="F1209" i="169"/>
  <c r="J1209" i="169"/>
  <c r="K1209" i="169"/>
  <c r="L1209" i="169"/>
  <c r="O1209" i="169"/>
  <c r="P1209" i="169"/>
  <c r="Q1209" i="169"/>
  <c r="U1209" i="169" s="1"/>
  <c r="W1209" i="169"/>
  <c r="A1210" i="169"/>
  <c r="B1210" i="169"/>
  <c r="D1210" i="169"/>
  <c r="E1210" i="169" s="1"/>
  <c r="F1210" i="169"/>
  <c r="J1210" i="169"/>
  <c r="K1210" i="169"/>
  <c r="L1210" i="169"/>
  <c r="O1210" i="169"/>
  <c r="P1210" i="169"/>
  <c r="Q1210" i="169"/>
  <c r="U1210" i="169" s="1"/>
  <c r="W1210" i="169"/>
  <c r="A1211" i="169"/>
  <c r="B1211" i="169"/>
  <c r="D1211" i="169"/>
  <c r="E1211" i="169" s="1"/>
  <c r="F1211" i="169"/>
  <c r="J1211" i="169"/>
  <c r="K1211" i="169"/>
  <c r="L1211" i="169"/>
  <c r="O1211" i="169"/>
  <c r="P1211" i="169"/>
  <c r="Q1211" i="169"/>
  <c r="U1211" i="169" s="1"/>
  <c r="W1211" i="169"/>
  <c r="A1212" i="169"/>
  <c r="B1212" i="169"/>
  <c r="D1212" i="169"/>
  <c r="E1212" i="169" s="1"/>
  <c r="F1212" i="169"/>
  <c r="J1212" i="169"/>
  <c r="K1212" i="169"/>
  <c r="L1212" i="169"/>
  <c r="O1212" i="169"/>
  <c r="P1212" i="169"/>
  <c r="Q1212" i="169"/>
  <c r="U1212" i="169" s="1"/>
  <c r="W1212" i="169"/>
  <c r="A1213" i="169"/>
  <c r="B1213" i="169"/>
  <c r="D1213" i="169"/>
  <c r="E1213" i="169" s="1"/>
  <c r="F1213" i="169"/>
  <c r="J1213" i="169"/>
  <c r="K1213" i="169"/>
  <c r="L1213" i="169"/>
  <c r="O1213" i="169"/>
  <c r="P1213" i="169"/>
  <c r="Q1213" i="169"/>
  <c r="U1213" i="169" s="1"/>
  <c r="W1213" i="169"/>
  <c r="A1214" i="169"/>
  <c r="B1214" i="169"/>
  <c r="D1214" i="169"/>
  <c r="E1214" i="169" s="1"/>
  <c r="F1214" i="169"/>
  <c r="J1214" i="169"/>
  <c r="K1214" i="169"/>
  <c r="L1214" i="169"/>
  <c r="O1214" i="169"/>
  <c r="P1214" i="169"/>
  <c r="Q1214" i="169"/>
  <c r="U1214" i="169" s="1"/>
  <c r="W1214" i="169"/>
  <c r="A1215" i="169"/>
  <c r="B1215" i="169"/>
  <c r="D1215" i="169"/>
  <c r="E1215" i="169" s="1"/>
  <c r="F1215" i="169"/>
  <c r="J1215" i="169"/>
  <c r="K1215" i="169"/>
  <c r="L1215" i="169"/>
  <c r="O1215" i="169"/>
  <c r="P1215" i="169"/>
  <c r="Q1215" i="169"/>
  <c r="U1215" i="169" s="1"/>
  <c r="W1215" i="169"/>
  <c r="A1216" i="169"/>
  <c r="B1216" i="169"/>
  <c r="D1216" i="169"/>
  <c r="E1216" i="169" s="1"/>
  <c r="F1216" i="169"/>
  <c r="J1216" i="169"/>
  <c r="K1216" i="169"/>
  <c r="L1216" i="169"/>
  <c r="O1216" i="169"/>
  <c r="P1216" i="169"/>
  <c r="Q1216" i="169"/>
  <c r="U1216" i="169" s="1"/>
  <c r="W1216" i="169"/>
  <c r="A1217" i="169"/>
  <c r="B1217" i="169"/>
  <c r="D1217" i="169"/>
  <c r="E1217" i="169" s="1"/>
  <c r="F1217" i="169"/>
  <c r="J1217" i="169"/>
  <c r="K1217" i="169"/>
  <c r="L1217" i="169"/>
  <c r="O1217" i="169"/>
  <c r="P1217" i="169"/>
  <c r="Q1217" i="169"/>
  <c r="U1217" i="169" s="1"/>
  <c r="W1217" i="169"/>
  <c r="A1218" i="169"/>
  <c r="B1218" i="169"/>
  <c r="D1218" i="169"/>
  <c r="E1218" i="169" s="1"/>
  <c r="F1218" i="169"/>
  <c r="J1218" i="169"/>
  <c r="K1218" i="169"/>
  <c r="L1218" i="169"/>
  <c r="O1218" i="169"/>
  <c r="P1218" i="169"/>
  <c r="Q1218" i="169"/>
  <c r="U1218" i="169" s="1"/>
  <c r="W1218" i="169"/>
  <c r="A1219" i="169"/>
  <c r="B1219" i="169"/>
  <c r="D1219" i="169"/>
  <c r="E1219" i="169" s="1"/>
  <c r="F1219" i="169"/>
  <c r="J1219" i="169"/>
  <c r="K1219" i="169"/>
  <c r="L1219" i="169"/>
  <c r="O1219" i="169"/>
  <c r="P1219" i="169"/>
  <c r="Q1219" i="169"/>
  <c r="U1219" i="169" s="1"/>
  <c r="W1219" i="169"/>
  <c r="A1220" i="169"/>
  <c r="B1220" i="169"/>
  <c r="D1220" i="169"/>
  <c r="E1220" i="169" s="1"/>
  <c r="F1220" i="169"/>
  <c r="J1220" i="169"/>
  <c r="K1220" i="169"/>
  <c r="L1220" i="169"/>
  <c r="O1220" i="169"/>
  <c r="P1220" i="169"/>
  <c r="Q1220" i="169"/>
  <c r="U1220" i="169" s="1"/>
  <c r="W1220" i="169"/>
  <c r="A1221" i="169"/>
  <c r="B1221" i="169"/>
  <c r="D1221" i="169"/>
  <c r="E1221" i="169" s="1"/>
  <c r="F1221" i="169"/>
  <c r="J1221" i="169"/>
  <c r="K1221" i="169"/>
  <c r="L1221" i="169"/>
  <c r="O1221" i="169"/>
  <c r="P1221" i="169"/>
  <c r="Q1221" i="169"/>
  <c r="U1221" i="169" s="1"/>
  <c r="W1221" i="169"/>
  <c r="A1222" i="169"/>
  <c r="B1222" i="169"/>
  <c r="D1222" i="169"/>
  <c r="E1222" i="169" s="1"/>
  <c r="F1222" i="169"/>
  <c r="J1222" i="169"/>
  <c r="K1222" i="169"/>
  <c r="L1222" i="169"/>
  <c r="O1222" i="169"/>
  <c r="P1222" i="169"/>
  <c r="Q1222" i="169"/>
  <c r="U1222" i="169" s="1"/>
  <c r="W1222" i="169"/>
  <c r="A1223" i="169"/>
  <c r="B1223" i="169"/>
  <c r="D1223" i="169"/>
  <c r="E1223" i="169" s="1"/>
  <c r="F1223" i="169"/>
  <c r="J1223" i="169"/>
  <c r="K1223" i="169"/>
  <c r="L1223" i="169"/>
  <c r="O1223" i="169"/>
  <c r="P1223" i="169"/>
  <c r="Q1223" i="169"/>
  <c r="U1223" i="169" s="1"/>
  <c r="W1223" i="169"/>
  <c r="A1224" i="169"/>
  <c r="B1224" i="169"/>
  <c r="D1224" i="169"/>
  <c r="E1224" i="169" s="1"/>
  <c r="F1224" i="169"/>
  <c r="J1224" i="169"/>
  <c r="K1224" i="169"/>
  <c r="L1224" i="169"/>
  <c r="O1224" i="169"/>
  <c r="P1224" i="169"/>
  <c r="Q1224" i="169"/>
  <c r="U1224" i="169" s="1"/>
  <c r="W1224" i="169"/>
  <c r="A1225" i="169"/>
  <c r="B1225" i="169"/>
  <c r="D1225" i="169"/>
  <c r="E1225" i="169" s="1"/>
  <c r="F1225" i="169"/>
  <c r="J1225" i="169"/>
  <c r="K1225" i="169"/>
  <c r="L1225" i="169"/>
  <c r="O1225" i="169"/>
  <c r="P1225" i="169"/>
  <c r="Q1225" i="169"/>
  <c r="U1225" i="169" s="1"/>
  <c r="W1225" i="169"/>
  <c r="A1226" i="169"/>
  <c r="B1226" i="169"/>
  <c r="D1226" i="169"/>
  <c r="E1226" i="169" s="1"/>
  <c r="F1226" i="169"/>
  <c r="J1226" i="169"/>
  <c r="K1226" i="169"/>
  <c r="L1226" i="169"/>
  <c r="O1226" i="169"/>
  <c r="P1226" i="169"/>
  <c r="Q1226" i="169"/>
  <c r="U1226" i="169" s="1"/>
  <c r="W1226" i="169"/>
  <c r="A1227" i="169"/>
  <c r="B1227" i="169"/>
  <c r="D1227" i="169"/>
  <c r="E1227" i="169" s="1"/>
  <c r="F1227" i="169"/>
  <c r="J1227" i="169"/>
  <c r="K1227" i="169"/>
  <c r="L1227" i="169"/>
  <c r="O1227" i="169"/>
  <c r="P1227" i="169"/>
  <c r="Q1227" i="169"/>
  <c r="U1227" i="169" s="1"/>
  <c r="W1227" i="169"/>
  <c r="A1228" i="169"/>
  <c r="B1228" i="169"/>
  <c r="D1228" i="169"/>
  <c r="E1228" i="169" s="1"/>
  <c r="F1228" i="169"/>
  <c r="J1228" i="169"/>
  <c r="K1228" i="169"/>
  <c r="L1228" i="169"/>
  <c r="O1228" i="169"/>
  <c r="P1228" i="169"/>
  <c r="Q1228" i="169"/>
  <c r="U1228" i="169" s="1"/>
  <c r="W1228" i="169"/>
  <c r="A1229" i="169"/>
  <c r="B1229" i="169"/>
  <c r="D1229" i="169"/>
  <c r="E1229" i="169" s="1"/>
  <c r="F1229" i="169"/>
  <c r="J1229" i="169"/>
  <c r="K1229" i="169"/>
  <c r="L1229" i="169"/>
  <c r="O1229" i="169"/>
  <c r="P1229" i="169"/>
  <c r="Q1229" i="169"/>
  <c r="U1229" i="169" s="1"/>
  <c r="W1229" i="169"/>
  <c r="A1230" i="169"/>
  <c r="B1230" i="169"/>
  <c r="D1230" i="169"/>
  <c r="E1230" i="169" s="1"/>
  <c r="F1230" i="169"/>
  <c r="J1230" i="169"/>
  <c r="K1230" i="169"/>
  <c r="L1230" i="169"/>
  <c r="O1230" i="169"/>
  <c r="P1230" i="169"/>
  <c r="Q1230" i="169"/>
  <c r="U1230" i="169" s="1"/>
  <c r="W1230" i="169"/>
  <c r="A1231" i="169"/>
  <c r="B1231" i="169"/>
  <c r="D1231" i="169"/>
  <c r="E1231" i="169" s="1"/>
  <c r="F1231" i="169"/>
  <c r="J1231" i="169"/>
  <c r="K1231" i="169"/>
  <c r="L1231" i="169"/>
  <c r="O1231" i="169"/>
  <c r="P1231" i="169"/>
  <c r="Q1231" i="169"/>
  <c r="U1231" i="169" s="1"/>
  <c r="W1231" i="169"/>
  <c r="A1232" i="169"/>
  <c r="B1232" i="169"/>
  <c r="D1232" i="169"/>
  <c r="E1232" i="169" s="1"/>
  <c r="F1232" i="169"/>
  <c r="J1232" i="169"/>
  <c r="K1232" i="169"/>
  <c r="L1232" i="169"/>
  <c r="O1232" i="169"/>
  <c r="P1232" i="169"/>
  <c r="Q1232" i="169"/>
  <c r="U1232" i="169" s="1"/>
  <c r="W1232" i="169"/>
  <c r="A1233" i="169"/>
  <c r="B1233" i="169"/>
  <c r="D1233" i="169"/>
  <c r="E1233" i="169" s="1"/>
  <c r="F1233" i="169"/>
  <c r="J1233" i="169"/>
  <c r="K1233" i="169"/>
  <c r="L1233" i="169"/>
  <c r="O1233" i="169"/>
  <c r="P1233" i="169"/>
  <c r="Q1233" i="169"/>
  <c r="U1233" i="169" s="1"/>
  <c r="W1233" i="169"/>
  <c r="A1256" i="169"/>
  <c r="B1256" i="169"/>
  <c r="D1256" i="169"/>
  <c r="E1256" i="169" s="1"/>
  <c r="F1256" i="169"/>
  <c r="J1256" i="169"/>
  <c r="K1256" i="169"/>
  <c r="L1256" i="169"/>
  <c r="O1256" i="169"/>
  <c r="P1256" i="169"/>
  <c r="Q1256" i="169"/>
  <c r="U1256" i="169" s="1"/>
  <c r="W1256" i="169"/>
  <c r="A1257" i="169"/>
  <c r="B1257" i="169"/>
  <c r="D1257" i="169"/>
  <c r="E1257" i="169" s="1"/>
  <c r="F1257" i="169"/>
  <c r="J1257" i="169"/>
  <c r="K1257" i="169"/>
  <c r="L1257" i="169"/>
  <c r="O1257" i="169"/>
  <c r="P1257" i="169"/>
  <c r="Q1257" i="169"/>
  <c r="U1257" i="169" s="1"/>
  <c r="W1257" i="169"/>
  <c r="A1182" i="169"/>
  <c r="B1182" i="169"/>
  <c r="D1182" i="169"/>
  <c r="E1182" i="169" s="1"/>
  <c r="F1182" i="169"/>
  <c r="J1182" i="169"/>
  <c r="K1182" i="169"/>
  <c r="L1182" i="169"/>
  <c r="O1182" i="169"/>
  <c r="P1182" i="169"/>
  <c r="Q1182" i="169"/>
  <c r="U1182" i="169" s="1"/>
  <c r="W1182" i="169"/>
  <c r="A1183" i="169"/>
  <c r="B1183" i="169"/>
  <c r="D1183" i="169"/>
  <c r="E1183" i="169" s="1"/>
  <c r="F1183" i="169"/>
  <c r="J1183" i="169"/>
  <c r="K1183" i="169"/>
  <c r="L1183" i="169"/>
  <c r="O1183" i="169"/>
  <c r="P1183" i="169"/>
  <c r="Q1183" i="169"/>
  <c r="U1183" i="169" s="1"/>
  <c r="W1183" i="169"/>
  <c r="A1184" i="169"/>
  <c r="B1184" i="169"/>
  <c r="D1184" i="169"/>
  <c r="E1184" i="169" s="1"/>
  <c r="F1184" i="169"/>
  <c r="J1184" i="169"/>
  <c r="K1184" i="169"/>
  <c r="L1184" i="169"/>
  <c r="O1184" i="169"/>
  <c r="P1184" i="169"/>
  <c r="Q1184" i="169"/>
  <c r="U1184" i="169" s="1"/>
  <c r="W1184" i="169"/>
  <c r="A1185" i="169"/>
  <c r="B1185" i="169"/>
  <c r="D1185" i="169"/>
  <c r="E1185" i="169" s="1"/>
  <c r="F1185" i="169"/>
  <c r="J1185" i="169"/>
  <c r="K1185" i="169"/>
  <c r="L1185" i="169"/>
  <c r="O1185" i="169"/>
  <c r="P1185" i="169"/>
  <c r="Q1185" i="169"/>
  <c r="U1185" i="169" s="1"/>
  <c r="W1185" i="169"/>
  <c r="A1186" i="169"/>
  <c r="B1186" i="169"/>
  <c r="D1186" i="169"/>
  <c r="E1186" i="169" s="1"/>
  <c r="F1186" i="169"/>
  <c r="J1186" i="169"/>
  <c r="K1186" i="169"/>
  <c r="L1186" i="169"/>
  <c r="O1186" i="169"/>
  <c r="P1186" i="169"/>
  <c r="Q1186" i="169"/>
  <c r="U1186" i="169" s="1"/>
  <c r="W1186" i="169"/>
  <c r="A1187" i="169"/>
  <c r="B1187" i="169"/>
  <c r="D1187" i="169"/>
  <c r="E1187" i="169" s="1"/>
  <c r="F1187" i="169"/>
  <c r="J1187" i="169"/>
  <c r="K1187" i="169"/>
  <c r="L1187" i="169"/>
  <c r="O1187" i="169"/>
  <c r="P1187" i="169"/>
  <c r="Q1187" i="169"/>
  <c r="U1187" i="169" s="1"/>
  <c r="W1187" i="169"/>
  <c r="A1188" i="169"/>
  <c r="B1188" i="169"/>
  <c r="D1188" i="169"/>
  <c r="E1188" i="169" s="1"/>
  <c r="F1188" i="169"/>
  <c r="J1188" i="169"/>
  <c r="K1188" i="169"/>
  <c r="L1188" i="169"/>
  <c r="O1188" i="169"/>
  <c r="P1188" i="169"/>
  <c r="Q1188" i="169"/>
  <c r="U1188" i="169" s="1"/>
  <c r="W1188" i="169"/>
  <c r="A1189" i="169"/>
  <c r="B1189" i="169"/>
  <c r="D1189" i="169"/>
  <c r="E1189" i="169" s="1"/>
  <c r="F1189" i="169"/>
  <c r="J1189" i="169"/>
  <c r="K1189" i="169"/>
  <c r="L1189" i="169"/>
  <c r="O1189" i="169"/>
  <c r="P1189" i="169"/>
  <c r="Q1189" i="169"/>
  <c r="U1189" i="169" s="1"/>
  <c r="W1189" i="169"/>
  <c r="A1190" i="169"/>
  <c r="B1190" i="169"/>
  <c r="D1190" i="169"/>
  <c r="E1190" i="169" s="1"/>
  <c r="F1190" i="169"/>
  <c r="J1190" i="169"/>
  <c r="K1190" i="169"/>
  <c r="L1190" i="169"/>
  <c r="O1190" i="169"/>
  <c r="P1190" i="169"/>
  <c r="Q1190" i="169"/>
  <c r="U1190" i="169" s="1"/>
  <c r="W1190" i="169"/>
  <c r="A1191" i="169"/>
  <c r="B1191" i="169"/>
  <c r="D1191" i="169"/>
  <c r="E1191" i="169" s="1"/>
  <c r="F1191" i="169"/>
  <c r="J1191" i="169"/>
  <c r="K1191" i="169"/>
  <c r="L1191" i="169"/>
  <c r="O1191" i="169"/>
  <c r="P1191" i="169"/>
  <c r="Q1191" i="169"/>
  <c r="U1191" i="169" s="1"/>
  <c r="W1191" i="169"/>
  <c r="A1192" i="169"/>
  <c r="B1192" i="169"/>
  <c r="D1192" i="169"/>
  <c r="E1192" i="169" s="1"/>
  <c r="F1192" i="169"/>
  <c r="J1192" i="169"/>
  <c r="K1192" i="169"/>
  <c r="L1192" i="169"/>
  <c r="O1192" i="169"/>
  <c r="P1192" i="169"/>
  <c r="Q1192" i="169"/>
  <c r="U1192" i="169" s="1"/>
  <c r="W1192" i="169"/>
  <c r="A1193" i="169"/>
  <c r="B1193" i="169"/>
  <c r="D1193" i="169"/>
  <c r="E1193" i="169" s="1"/>
  <c r="F1193" i="169"/>
  <c r="J1193" i="169"/>
  <c r="K1193" i="169"/>
  <c r="L1193" i="169"/>
  <c r="O1193" i="169"/>
  <c r="P1193" i="169"/>
  <c r="Q1193" i="169"/>
  <c r="U1193" i="169" s="1"/>
  <c r="W1193" i="169"/>
  <c r="A1194" i="169"/>
  <c r="B1194" i="169"/>
  <c r="D1194" i="169"/>
  <c r="E1194" i="169" s="1"/>
  <c r="F1194" i="169"/>
  <c r="J1194" i="169"/>
  <c r="K1194" i="169"/>
  <c r="L1194" i="169"/>
  <c r="O1194" i="169"/>
  <c r="P1194" i="169"/>
  <c r="Q1194" i="169"/>
  <c r="U1194" i="169" s="1"/>
  <c r="W1194" i="169"/>
  <c r="A1195" i="169"/>
  <c r="B1195" i="169"/>
  <c r="D1195" i="169"/>
  <c r="E1195" i="169" s="1"/>
  <c r="F1195" i="169"/>
  <c r="J1195" i="169"/>
  <c r="K1195" i="169"/>
  <c r="L1195" i="169"/>
  <c r="O1195" i="169"/>
  <c r="P1195" i="169"/>
  <c r="Q1195" i="169"/>
  <c r="U1195" i="169" s="1"/>
  <c r="W1195" i="169"/>
  <c r="A1196" i="169"/>
  <c r="B1196" i="169"/>
  <c r="D1196" i="169"/>
  <c r="E1196" i="169" s="1"/>
  <c r="F1196" i="169"/>
  <c r="J1196" i="169"/>
  <c r="K1196" i="169"/>
  <c r="L1196" i="169"/>
  <c r="O1196" i="169"/>
  <c r="P1196" i="169"/>
  <c r="Q1196" i="169"/>
  <c r="U1196" i="169" s="1"/>
  <c r="W1196" i="169"/>
  <c r="A1197" i="169"/>
  <c r="B1197" i="169"/>
  <c r="D1197" i="169"/>
  <c r="E1197" i="169" s="1"/>
  <c r="F1197" i="169"/>
  <c r="J1197" i="169"/>
  <c r="K1197" i="169"/>
  <c r="L1197" i="169"/>
  <c r="O1197" i="169"/>
  <c r="P1197" i="169"/>
  <c r="Q1197" i="169"/>
  <c r="U1197" i="169" s="1"/>
  <c r="W1197" i="169"/>
  <c r="A1198" i="169"/>
  <c r="B1198" i="169"/>
  <c r="D1198" i="169"/>
  <c r="E1198" i="169" s="1"/>
  <c r="F1198" i="169"/>
  <c r="J1198" i="169"/>
  <c r="K1198" i="169"/>
  <c r="L1198" i="169"/>
  <c r="O1198" i="169"/>
  <c r="P1198" i="169"/>
  <c r="Q1198" i="169"/>
  <c r="U1198" i="169" s="1"/>
  <c r="W1198" i="169"/>
  <c r="A1199" i="169"/>
  <c r="B1199" i="169"/>
  <c r="D1199" i="169"/>
  <c r="E1199" i="169" s="1"/>
  <c r="F1199" i="169"/>
  <c r="J1199" i="169"/>
  <c r="K1199" i="169"/>
  <c r="L1199" i="169"/>
  <c r="O1199" i="169"/>
  <c r="P1199" i="169"/>
  <c r="Q1199" i="169"/>
  <c r="U1199" i="169" s="1"/>
  <c r="W1199" i="169"/>
  <c r="A1200" i="169"/>
  <c r="B1200" i="169"/>
  <c r="D1200" i="169"/>
  <c r="E1200" i="169" s="1"/>
  <c r="F1200" i="169"/>
  <c r="J1200" i="169"/>
  <c r="K1200" i="169"/>
  <c r="L1200" i="169"/>
  <c r="O1200" i="169"/>
  <c r="P1200" i="169"/>
  <c r="Q1200" i="169"/>
  <c r="U1200" i="169" s="1"/>
  <c r="W1200" i="169"/>
  <c r="A1201" i="169"/>
  <c r="B1201" i="169"/>
  <c r="D1201" i="169"/>
  <c r="E1201" i="169" s="1"/>
  <c r="F1201" i="169"/>
  <c r="J1201" i="169"/>
  <c r="K1201" i="169"/>
  <c r="L1201" i="169"/>
  <c r="O1201" i="169"/>
  <c r="P1201" i="169"/>
  <c r="Q1201" i="169"/>
  <c r="U1201" i="169" s="1"/>
  <c r="W1201" i="169"/>
  <c r="A1202" i="169"/>
  <c r="B1202" i="169"/>
  <c r="D1202" i="169"/>
  <c r="E1202" i="169" s="1"/>
  <c r="F1202" i="169"/>
  <c r="J1202" i="169"/>
  <c r="K1202" i="169"/>
  <c r="L1202" i="169"/>
  <c r="O1202" i="169"/>
  <c r="P1202" i="169"/>
  <c r="Q1202" i="169"/>
  <c r="U1202" i="169" s="1"/>
  <c r="W1202" i="169"/>
  <c r="A1203" i="169"/>
  <c r="B1203" i="169"/>
  <c r="D1203" i="169"/>
  <c r="E1203" i="169" s="1"/>
  <c r="F1203" i="169"/>
  <c r="J1203" i="169"/>
  <c r="K1203" i="169"/>
  <c r="L1203" i="169"/>
  <c r="O1203" i="169"/>
  <c r="P1203" i="169"/>
  <c r="Q1203" i="169"/>
  <c r="U1203" i="169" s="1"/>
  <c r="W1203" i="169"/>
  <c r="A1258" i="169"/>
  <c r="B1258" i="169"/>
  <c r="D1258" i="169"/>
  <c r="E1258" i="169" s="1"/>
  <c r="F1258" i="169"/>
  <c r="J1258" i="169"/>
  <c r="K1258" i="169"/>
  <c r="L1258" i="169"/>
  <c r="O1258" i="169"/>
  <c r="P1258" i="169"/>
  <c r="Q1258" i="169"/>
  <c r="U1258" i="169" s="1"/>
  <c r="W1258" i="169"/>
  <c r="A1163" i="169"/>
  <c r="B1163" i="169"/>
  <c r="D1163" i="169"/>
  <c r="E1163" i="169" s="1"/>
  <c r="F1163" i="169"/>
  <c r="J1163" i="169"/>
  <c r="K1163" i="169"/>
  <c r="L1163" i="169"/>
  <c r="O1163" i="169"/>
  <c r="P1163" i="169"/>
  <c r="Q1163" i="169"/>
  <c r="U1163" i="169" s="1"/>
  <c r="W1163" i="169"/>
  <c r="A1164" i="169"/>
  <c r="B1164" i="169"/>
  <c r="D1164" i="169"/>
  <c r="E1164" i="169" s="1"/>
  <c r="F1164" i="169"/>
  <c r="J1164" i="169"/>
  <c r="K1164" i="169"/>
  <c r="L1164" i="169"/>
  <c r="O1164" i="169"/>
  <c r="P1164" i="169"/>
  <c r="Q1164" i="169"/>
  <c r="U1164" i="169" s="1"/>
  <c r="W1164" i="169"/>
  <c r="A1165" i="169"/>
  <c r="B1165" i="169"/>
  <c r="D1165" i="169"/>
  <c r="E1165" i="169" s="1"/>
  <c r="F1165" i="169"/>
  <c r="J1165" i="169"/>
  <c r="K1165" i="169"/>
  <c r="L1165" i="169"/>
  <c r="O1165" i="169"/>
  <c r="P1165" i="169"/>
  <c r="Q1165" i="169"/>
  <c r="U1165" i="169" s="1"/>
  <c r="W1165" i="169"/>
  <c r="A1166" i="169"/>
  <c r="B1166" i="169"/>
  <c r="D1166" i="169"/>
  <c r="E1166" i="169" s="1"/>
  <c r="F1166" i="169"/>
  <c r="J1166" i="169"/>
  <c r="K1166" i="169"/>
  <c r="L1166" i="169"/>
  <c r="O1166" i="169"/>
  <c r="P1166" i="169"/>
  <c r="Q1166" i="169"/>
  <c r="U1166" i="169" s="1"/>
  <c r="W1166" i="169"/>
  <c r="A1167" i="169"/>
  <c r="B1167" i="169"/>
  <c r="D1167" i="169"/>
  <c r="E1167" i="169" s="1"/>
  <c r="F1167" i="169"/>
  <c r="J1167" i="169"/>
  <c r="K1167" i="169"/>
  <c r="L1167" i="169"/>
  <c r="O1167" i="169"/>
  <c r="P1167" i="169"/>
  <c r="Q1167" i="169"/>
  <c r="U1167" i="169" s="1"/>
  <c r="W1167" i="169"/>
  <c r="A1168" i="169"/>
  <c r="B1168" i="169"/>
  <c r="D1168" i="169"/>
  <c r="E1168" i="169" s="1"/>
  <c r="F1168" i="169"/>
  <c r="J1168" i="169"/>
  <c r="K1168" i="169"/>
  <c r="L1168" i="169"/>
  <c r="O1168" i="169"/>
  <c r="P1168" i="169"/>
  <c r="Q1168" i="169"/>
  <c r="U1168" i="169" s="1"/>
  <c r="W1168" i="169"/>
  <c r="A1148" i="169"/>
  <c r="B1148" i="169"/>
  <c r="D1148" i="169"/>
  <c r="E1148" i="169" s="1"/>
  <c r="F1148" i="169"/>
  <c r="J1148" i="169"/>
  <c r="K1148" i="169"/>
  <c r="L1148" i="169"/>
  <c r="O1148" i="169"/>
  <c r="P1148" i="169"/>
  <c r="Q1148" i="169"/>
  <c r="U1148" i="169" s="1"/>
  <c r="W1148" i="169"/>
  <c r="A1149" i="169"/>
  <c r="B1149" i="169"/>
  <c r="D1149" i="169"/>
  <c r="E1149" i="169" s="1"/>
  <c r="F1149" i="169"/>
  <c r="J1149" i="169"/>
  <c r="K1149" i="169"/>
  <c r="L1149" i="169"/>
  <c r="O1149" i="169"/>
  <c r="P1149" i="169"/>
  <c r="Q1149" i="169"/>
  <c r="U1149" i="169" s="1"/>
  <c r="W1149" i="169"/>
  <c r="A1150" i="169"/>
  <c r="B1150" i="169"/>
  <c r="D1150" i="169"/>
  <c r="E1150" i="169" s="1"/>
  <c r="F1150" i="169"/>
  <c r="J1150" i="169"/>
  <c r="K1150" i="169"/>
  <c r="L1150" i="169"/>
  <c r="O1150" i="169"/>
  <c r="P1150" i="169"/>
  <c r="Q1150" i="169"/>
  <c r="S1150" i="169" s="1"/>
  <c r="W1150" i="169"/>
  <c r="A1151" i="169"/>
  <c r="B1151" i="169"/>
  <c r="D1151" i="169"/>
  <c r="E1151" i="169" s="1"/>
  <c r="F1151" i="169"/>
  <c r="J1151" i="169"/>
  <c r="K1151" i="169"/>
  <c r="L1151" i="169"/>
  <c r="O1151" i="169"/>
  <c r="P1151" i="169"/>
  <c r="Q1151" i="169"/>
  <c r="U1151" i="169" s="1"/>
  <c r="W1151" i="169"/>
  <c r="A1152" i="169"/>
  <c r="B1152" i="169"/>
  <c r="D1152" i="169"/>
  <c r="E1152" i="169" s="1"/>
  <c r="F1152" i="169"/>
  <c r="J1152" i="169"/>
  <c r="K1152" i="169"/>
  <c r="L1152" i="169"/>
  <c r="O1152" i="169"/>
  <c r="P1152" i="169"/>
  <c r="Q1152" i="169"/>
  <c r="U1152" i="169" s="1"/>
  <c r="W1152" i="169"/>
  <c r="A1153" i="169"/>
  <c r="B1153" i="169"/>
  <c r="D1153" i="169"/>
  <c r="E1153" i="169" s="1"/>
  <c r="F1153" i="169"/>
  <c r="J1153" i="169"/>
  <c r="K1153" i="169"/>
  <c r="L1153" i="169"/>
  <c r="O1153" i="169"/>
  <c r="P1153" i="169"/>
  <c r="Q1153" i="169"/>
  <c r="S1153" i="169" s="1"/>
  <c r="W1153" i="169"/>
  <c r="A1154" i="169"/>
  <c r="B1154" i="169"/>
  <c r="D1154" i="169"/>
  <c r="E1154" i="169" s="1"/>
  <c r="F1154" i="169"/>
  <c r="J1154" i="169"/>
  <c r="K1154" i="169"/>
  <c r="L1154" i="169"/>
  <c r="O1154" i="169"/>
  <c r="P1154" i="169"/>
  <c r="Q1154" i="169"/>
  <c r="U1154" i="169" s="1"/>
  <c r="W1154" i="169"/>
  <c r="A1155" i="169"/>
  <c r="B1155" i="169"/>
  <c r="D1155" i="169"/>
  <c r="E1155" i="169" s="1"/>
  <c r="F1155" i="169"/>
  <c r="J1155" i="169"/>
  <c r="K1155" i="169"/>
  <c r="L1155" i="169"/>
  <c r="O1155" i="169"/>
  <c r="P1155" i="169"/>
  <c r="Q1155" i="169"/>
  <c r="S1155" i="169" s="1"/>
  <c r="W1155" i="169"/>
  <c r="A1156" i="169"/>
  <c r="B1156" i="169"/>
  <c r="D1156" i="169"/>
  <c r="E1156" i="169" s="1"/>
  <c r="F1156" i="169"/>
  <c r="J1156" i="169"/>
  <c r="K1156" i="169"/>
  <c r="L1156" i="169"/>
  <c r="O1156" i="169"/>
  <c r="P1156" i="169"/>
  <c r="Q1156" i="169"/>
  <c r="U1156" i="169" s="1"/>
  <c r="W1156" i="169"/>
  <c r="A1157" i="169"/>
  <c r="B1157" i="169"/>
  <c r="D1157" i="169"/>
  <c r="E1157" i="169" s="1"/>
  <c r="F1157" i="169"/>
  <c r="J1157" i="169"/>
  <c r="K1157" i="169"/>
  <c r="L1157" i="169"/>
  <c r="O1157" i="169"/>
  <c r="P1157" i="169"/>
  <c r="Q1157" i="169"/>
  <c r="U1157" i="169" s="1"/>
  <c r="W1157" i="169"/>
  <c r="A1158" i="169"/>
  <c r="B1158" i="169"/>
  <c r="D1158" i="169"/>
  <c r="E1158" i="169" s="1"/>
  <c r="F1158" i="169"/>
  <c r="J1158" i="169"/>
  <c r="K1158" i="169"/>
  <c r="L1158" i="169"/>
  <c r="O1158" i="169"/>
  <c r="P1158" i="169"/>
  <c r="Q1158" i="169"/>
  <c r="S1158" i="169" s="1"/>
  <c r="W1158" i="169"/>
  <c r="A1159" i="169"/>
  <c r="B1159" i="169"/>
  <c r="D1159" i="169"/>
  <c r="E1159" i="169" s="1"/>
  <c r="F1159" i="169"/>
  <c r="J1159" i="169"/>
  <c r="K1159" i="169"/>
  <c r="L1159" i="169"/>
  <c r="O1159" i="169"/>
  <c r="P1159" i="169"/>
  <c r="Q1159" i="169"/>
  <c r="U1159" i="169" s="1"/>
  <c r="W1159" i="169"/>
  <c r="A1160" i="169"/>
  <c r="B1160" i="169"/>
  <c r="D1160" i="169"/>
  <c r="E1160" i="169" s="1"/>
  <c r="F1160" i="169"/>
  <c r="J1160" i="169"/>
  <c r="K1160" i="169"/>
  <c r="L1160" i="169"/>
  <c r="O1160" i="169"/>
  <c r="P1160" i="169"/>
  <c r="Q1160" i="169"/>
  <c r="S1160" i="169" s="1"/>
  <c r="W1160" i="169"/>
  <c r="A1161" i="169"/>
  <c r="B1161" i="169"/>
  <c r="D1161" i="169"/>
  <c r="E1161" i="169" s="1"/>
  <c r="F1161" i="169"/>
  <c r="J1161" i="169"/>
  <c r="K1161" i="169"/>
  <c r="L1161" i="169"/>
  <c r="O1161" i="169"/>
  <c r="P1161" i="169"/>
  <c r="Q1161" i="169"/>
  <c r="U1161" i="169" s="1"/>
  <c r="W1161" i="169"/>
  <c r="A1162" i="169"/>
  <c r="B1162" i="169"/>
  <c r="D1162" i="169"/>
  <c r="E1162" i="169" s="1"/>
  <c r="F1162" i="169"/>
  <c r="J1162" i="169"/>
  <c r="K1162" i="169"/>
  <c r="L1162" i="169"/>
  <c r="O1162" i="169"/>
  <c r="P1162" i="169"/>
  <c r="Q1162" i="169"/>
  <c r="U1162" i="169" s="1"/>
  <c r="W1162" i="169"/>
  <c r="A1169" i="169"/>
  <c r="B1169" i="169"/>
  <c r="D1169" i="169"/>
  <c r="E1169" i="169" s="1"/>
  <c r="F1169" i="169"/>
  <c r="J1169" i="169"/>
  <c r="K1169" i="169"/>
  <c r="L1169" i="169"/>
  <c r="O1169" i="169"/>
  <c r="P1169" i="169"/>
  <c r="Q1169" i="169"/>
  <c r="U1169" i="169" s="1"/>
  <c r="W1169" i="169"/>
  <c r="A1170" i="169"/>
  <c r="B1170" i="169"/>
  <c r="D1170" i="169"/>
  <c r="E1170" i="169" s="1"/>
  <c r="F1170" i="169"/>
  <c r="J1170" i="169"/>
  <c r="K1170" i="169"/>
  <c r="L1170" i="169"/>
  <c r="O1170" i="169"/>
  <c r="P1170" i="169"/>
  <c r="Q1170" i="169"/>
  <c r="U1170" i="169" s="1"/>
  <c r="W1170" i="169"/>
  <c r="A1171" i="169"/>
  <c r="B1171" i="169"/>
  <c r="D1171" i="169"/>
  <c r="E1171" i="169" s="1"/>
  <c r="F1171" i="169"/>
  <c r="J1171" i="169"/>
  <c r="K1171" i="169"/>
  <c r="L1171" i="169"/>
  <c r="O1171" i="169"/>
  <c r="P1171" i="169"/>
  <c r="Q1171" i="169"/>
  <c r="S1171" i="169" s="1"/>
  <c r="W1171" i="169"/>
  <c r="A1172" i="169"/>
  <c r="B1172" i="169"/>
  <c r="D1172" i="169"/>
  <c r="E1172" i="169" s="1"/>
  <c r="F1172" i="169"/>
  <c r="J1172" i="169"/>
  <c r="K1172" i="169"/>
  <c r="L1172" i="169"/>
  <c r="O1172" i="169"/>
  <c r="P1172" i="169"/>
  <c r="Q1172" i="169"/>
  <c r="S1172" i="169" s="1"/>
  <c r="W1172" i="169"/>
  <c r="A1173" i="169"/>
  <c r="B1173" i="169"/>
  <c r="D1173" i="169"/>
  <c r="E1173" i="169" s="1"/>
  <c r="F1173" i="169"/>
  <c r="J1173" i="169"/>
  <c r="K1173" i="169"/>
  <c r="L1173" i="169"/>
  <c r="O1173" i="169"/>
  <c r="P1173" i="169"/>
  <c r="Q1173" i="169"/>
  <c r="S1173" i="169" s="1"/>
  <c r="W1173" i="169"/>
  <c r="A1174" i="169"/>
  <c r="B1174" i="169"/>
  <c r="D1174" i="169"/>
  <c r="E1174" i="169" s="1"/>
  <c r="F1174" i="169"/>
  <c r="J1174" i="169"/>
  <c r="K1174" i="169"/>
  <c r="L1174" i="169"/>
  <c r="O1174" i="169"/>
  <c r="P1174" i="169"/>
  <c r="Q1174" i="169"/>
  <c r="U1174" i="169" s="1"/>
  <c r="W1174" i="169"/>
  <c r="A1175" i="169"/>
  <c r="B1175" i="169"/>
  <c r="D1175" i="169"/>
  <c r="E1175" i="169" s="1"/>
  <c r="F1175" i="169"/>
  <c r="J1175" i="169"/>
  <c r="K1175" i="169"/>
  <c r="L1175" i="169"/>
  <c r="O1175" i="169"/>
  <c r="P1175" i="169"/>
  <c r="Q1175" i="169"/>
  <c r="S1175" i="169" s="1"/>
  <c r="W1175" i="169"/>
  <c r="A1176" i="169"/>
  <c r="B1176" i="169"/>
  <c r="D1176" i="169"/>
  <c r="E1176" i="169" s="1"/>
  <c r="F1176" i="169"/>
  <c r="J1176" i="169"/>
  <c r="K1176" i="169"/>
  <c r="L1176" i="169"/>
  <c r="O1176" i="169"/>
  <c r="P1176" i="169"/>
  <c r="Q1176" i="169"/>
  <c r="S1176" i="169" s="1"/>
  <c r="W1176" i="169"/>
  <c r="A1177" i="169"/>
  <c r="B1177" i="169"/>
  <c r="D1177" i="169"/>
  <c r="E1177" i="169" s="1"/>
  <c r="F1177" i="169"/>
  <c r="J1177" i="169"/>
  <c r="K1177" i="169"/>
  <c r="L1177" i="169"/>
  <c r="O1177" i="169"/>
  <c r="P1177" i="169"/>
  <c r="Q1177" i="169"/>
  <c r="S1177" i="169" s="1"/>
  <c r="W1177" i="169"/>
  <c r="A1178" i="169"/>
  <c r="B1178" i="169"/>
  <c r="D1178" i="169"/>
  <c r="E1178" i="169" s="1"/>
  <c r="F1178" i="169"/>
  <c r="J1178" i="169"/>
  <c r="K1178" i="169"/>
  <c r="L1178" i="169"/>
  <c r="O1178" i="169"/>
  <c r="P1178" i="169"/>
  <c r="Q1178" i="169"/>
  <c r="U1178" i="169" s="1"/>
  <c r="W1178" i="169"/>
  <c r="A1126" i="169"/>
  <c r="B1126" i="169"/>
  <c r="D1126" i="169"/>
  <c r="E1126" i="169" s="1"/>
  <c r="F1126" i="169"/>
  <c r="J1126" i="169"/>
  <c r="K1126" i="169"/>
  <c r="L1126" i="169"/>
  <c r="O1126" i="169"/>
  <c r="P1126" i="169"/>
  <c r="Q1126" i="169"/>
  <c r="U1126" i="169" s="1"/>
  <c r="W1126" i="169"/>
  <c r="A1127" i="169"/>
  <c r="B1127" i="169"/>
  <c r="D1127" i="169"/>
  <c r="E1127" i="169" s="1"/>
  <c r="F1127" i="169"/>
  <c r="J1127" i="169"/>
  <c r="K1127" i="169"/>
  <c r="L1127" i="169"/>
  <c r="O1127" i="169"/>
  <c r="P1127" i="169"/>
  <c r="Q1127" i="169"/>
  <c r="S1127" i="169" s="1"/>
  <c r="W1127" i="169"/>
  <c r="A1128" i="169"/>
  <c r="B1128" i="169"/>
  <c r="D1128" i="169"/>
  <c r="E1128" i="169" s="1"/>
  <c r="F1128" i="169"/>
  <c r="J1128" i="169"/>
  <c r="K1128" i="169"/>
  <c r="L1128" i="169"/>
  <c r="O1128" i="169"/>
  <c r="P1128" i="169"/>
  <c r="Q1128" i="169"/>
  <c r="U1128" i="169" s="1"/>
  <c r="W1128" i="169"/>
  <c r="A1129" i="169"/>
  <c r="B1129" i="169"/>
  <c r="D1129" i="169"/>
  <c r="E1129" i="169" s="1"/>
  <c r="F1129" i="169"/>
  <c r="J1129" i="169"/>
  <c r="K1129" i="169"/>
  <c r="L1129" i="169"/>
  <c r="O1129" i="169"/>
  <c r="P1129" i="169"/>
  <c r="Q1129" i="169"/>
  <c r="U1129" i="169" s="1"/>
  <c r="W1129" i="169"/>
  <c r="A1130" i="169"/>
  <c r="B1130" i="169"/>
  <c r="D1130" i="169"/>
  <c r="E1130" i="169" s="1"/>
  <c r="F1130" i="169"/>
  <c r="J1130" i="169"/>
  <c r="K1130" i="169"/>
  <c r="L1130" i="169"/>
  <c r="O1130" i="169"/>
  <c r="P1130" i="169"/>
  <c r="Q1130" i="169"/>
  <c r="U1130" i="169" s="1"/>
  <c r="W1130" i="169"/>
  <c r="A1131" i="169"/>
  <c r="B1131" i="169"/>
  <c r="D1131" i="169"/>
  <c r="E1131" i="169" s="1"/>
  <c r="F1131" i="169"/>
  <c r="J1131" i="169"/>
  <c r="K1131" i="169"/>
  <c r="L1131" i="169"/>
  <c r="O1131" i="169"/>
  <c r="P1131" i="169"/>
  <c r="Q1131" i="169"/>
  <c r="U1131" i="169" s="1"/>
  <c r="W1131" i="169"/>
  <c r="A1132" i="169"/>
  <c r="B1132" i="169"/>
  <c r="D1132" i="169"/>
  <c r="E1132" i="169" s="1"/>
  <c r="F1132" i="169"/>
  <c r="J1132" i="169"/>
  <c r="K1132" i="169"/>
  <c r="L1132" i="169"/>
  <c r="O1132" i="169"/>
  <c r="P1132" i="169"/>
  <c r="Q1132" i="169"/>
  <c r="U1132" i="169" s="1"/>
  <c r="W1132" i="169"/>
  <c r="A1133" i="169"/>
  <c r="B1133" i="169"/>
  <c r="D1133" i="169"/>
  <c r="E1133" i="169" s="1"/>
  <c r="F1133" i="169"/>
  <c r="J1133" i="169"/>
  <c r="K1133" i="169"/>
  <c r="L1133" i="169"/>
  <c r="O1133" i="169"/>
  <c r="P1133" i="169"/>
  <c r="Q1133" i="169"/>
  <c r="U1133" i="169" s="1"/>
  <c r="W1133" i="169"/>
  <c r="A1134" i="169"/>
  <c r="B1134" i="169"/>
  <c r="D1134" i="169"/>
  <c r="E1134" i="169" s="1"/>
  <c r="F1134" i="169"/>
  <c r="J1134" i="169"/>
  <c r="K1134" i="169"/>
  <c r="L1134" i="169"/>
  <c r="O1134" i="169"/>
  <c r="P1134" i="169"/>
  <c r="Q1134" i="169"/>
  <c r="U1134" i="169" s="1"/>
  <c r="W1134" i="169"/>
  <c r="A1135" i="169"/>
  <c r="B1135" i="169"/>
  <c r="D1135" i="169"/>
  <c r="E1135" i="169" s="1"/>
  <c r="F1135" i="169"/>
  <c r="J1135" i="169"/>
  <c r="K1135" i="169"/>
  <c r="L1135" i="169"/>
  <c r="O1135" i="169"/>
  <c r="P1135" i="169"/>
  <c r="Q1135" i="169"/>
  <c r="U1135" i="169" s="1"/>
  <c r="W1135" i="169"/>
  <c r="A1136" i="169"/>
  <c r="B1136" i="169"/>
  <c r="D1136" i="169"/>
  <c r="E1136" i="169" s="1"/>
  <c r="F1136" i="169"/>
  <c r="J1136" i="169"/>
  <c r="K1136" i="169"/>
  <c r="L1136" i="169"/>
  <c r="O1136" i="169"/>
  <c r="P1136" i="169"/>
  <c r="Q1136" i="169"/>
  <c r="U1136" i="169" s="1"/>
  <c r="W1136" i="169"/>
  <c r="A1137" i="169"/>
  <c r="B1137" i="169"/>
  <c r="D1137" i="169"/>
  <c r="E1137" i="169" s="1"/>
  <c r="F1137" i="169"/>
  <c r="J1137" i="169"/>
  <c r="K1137" i="169"/>
  <c r="L1137" i="169"/>
  <c r="O1137" i="169"/>
  <c r="P1137" i="169"/>
  <c r="Q1137" i="169"/>
  <c r="U1137" i="169" s="1"/>
  <c r="W1137" i="169"/>
  <c r="A1138" i="169"/>
  <c r="B1138" i="169"/>
  <c r="D1138" i="169"/>
  <c r="E1138" i="169" s="1"/>
  <c r="F1138" i="169"/>
  <c r="J1138" i="169"/>
  <c r="K1138" i="169"/>
  <c r="L1138" i="169"/>
  <c r="O1138" i="169"/>
  <c r="P1138" i="169"/>
  <c r="Q1138" i="169"/>
  <c r="U1138" i="169" s="1"/>
  <c r="W1138" i="169"/>
  <c r="A1139" i="169"/>
  <c r="B1139" i="169"/>
  <c r="D1139" i="169"/>
  <c r="E1139" i="169" s="1"/>
  <c r="F1139" i="169"/>
  <c r="J1139" i="169"/>
  <c r="K1139" i="169"/>
  <c r="L1139" i="169"/>
  <c r="O1139" i="169"/>
  <c r="P1139" i="169"/>
  <c r="Q1139" i="169"/>
  <c r="U1139" i="169" s="1"/>
  <c r="W1139" i="169"/>
  <c r="A1140" i="169"/>
  <c r="B1140" i="169"/>
  <c r="D1140" i="169"/>
  <c r="E1140" i="169" s="1"/>
  <c r="F1140" i="169"/>
  <c r="J1140" i="169"/>
  <c r="K1140" i="169"/>
  <c r="L1140" i="169"/>
  <c r="O1140" i="169"/>
  <c r="P1140" i="169"/>
  <c r="Q1140" i="169"/>
  <c r="S1140" i="169" s="1"/>
  <c r="W1140" i="169"/>
  <c r="A1141" i="169"/>
  <c r="B1141" i="169"/>
  <c r="D1141" i="169"/>
  <c r="E1141" i="169" s="1"/>
  <c r="F1141" i="169"/>
  <c r="J1141" i="169"/>
  <c r="K1141" i="169"/>
  <c r="L1141" i="169"/>
  <c r="O1141" i="169"/>
  <c r="P1141" i="169"/>
  <c r="Q1141" i="169"/>
  <c r="U1141" i="169" s="1"/>
  <c r="W1141" i="169"/>
  <c r="A1142" i="169"/>
  <c r="B1142" i="169"/>
  <c r="D1142" i="169"/>
  <c r="E1142" i="169" s="1"/>
  <c r="F1142" i="169"/>
  <c r="J1142" i="169"/>
  <c r="K1142" i="169"/>
  <c r="L1142" i="169"/>
  <c r="O1142" i="169"/>
  <c r="P1142" i="169"/>
  <c r="Q1142" i="169"/>
  <c r="S1142" i="169" s="1"/>
  <c r="W1142" i="169"/>
  <c r="A1143" i="169"/>
  <c r="B1143" i="169"/>
  <c r="D1143" i="169"/>
  <c r="E1143" i="169" s="1"/>
  <c r="F1143" i="169"/>
  <c r="J1143" i="169"/>
  <c r="K1143" i="169"/>
  <c r="L1143" i="169"/>
  <c r="O1143" i="169"/>
  <c r="P1143" i="169"/>
  <c r="Q1143" i="169"/>
  <c r="U1143" i="169" s="1"/>
  <c r="W1143" i="169"/>
  <c r="A1144" i="169"/>
  <c r="B1144" i="169"/>
  <c r="D1144" i="169"/>
  <c r="E1144" i="169" s="1"/>
  <c r="F1144" i="169"/>
  <c r="J1144" i="169"/>
  <c r="K1144" i="169"/>
  <c r="L1144" i="169"/>
  <c r="O1144" i="169"/>
  <c r="P1144" i="169"/>
  <c r="Q1144" i="169"/>
  <c r="U1144" i="169" s="1"/>
  <c r="W1144" i="169"/>
  <c r="A1145" i="169"/>
  <c r="B1145" i="169"/>
  <c r="D1145" i="169"/>
  <c r="E1145" i="169" s="1"/>
  <c r="F1145" i="169"/>
  <c r="J1145" i="169"/>
  <c r="K1145" i="169"/>
  <c r="L1145" i="169"/>
  <c r="O1145" i="169"/>
  <c r="P1145" i="169"/>
  <c r="Q1145" i="169"/>
  <c r="U1145" i="169" s="1"/>
  <c r="W1145" i="169"/>
  <c r="A1146" i="169"/>
  <c r="B1146" i="169"/>
  <c r="D1146" i="169"/>
  <c r="E1146" i="169" s="1"/>
  <c r="F1146" i="169"/>
  <c r="J1146" i="169"/>
  <c r="K1146" i="169"/>
  <c r="L1146" i="169"/>
  <c r="O1146" i="169"/>
  <c r="P1146" i="169"/>
  <c r="Q1146" i="169"/>
  <c r="S1146" i="169" s="1"/>
  <c r="W1146" i="169"/>
  <c r="A1147" i="169"/>
  <c r="B1147" i="169"/>
  <c r="D1147" i="169"/>
  <c r="E1147" i="169" s="1"/>
  <c r="F1147" i="169"/>
  <c r="J1147" i="169"/>
  <c r="K1147" i="169"/>
  <c r="L1147" i="169"/>
  <c r="O1147" i="169"/>
  <c r="P1147" i="169"/>
  <c r="Q1147" i="169"/>
  <c r="U1147" i="169" s="1"/>
  <c r="W1147" i="169"/>
  <c r="A1179" i="169"/>
  <c r="B1179" i="169"/>
  <c r="D1179" i="169"/>
  <c r="E1179" i="169" s="1"/>
  <c r="F1179" i="169"/>
  <c r="J1179" i="169"/>
  <c r="K1179" i="169"/>
  <c r="L1179" i="169"/>
  <c r="O1179" i="169"/>
  <c r="P1179" i="169"/>
  <c r="Q1179" i="169"/>
  <c r="S1179" i="169" s="1"/>
  <c r="W1179" i="169"/>
  <c r="A1180" i="169"/>
  <c r="B1180" i="169"/>
  <c r="D1180" i="169"/>
  <c r="E1180" i="169" s="1"/>
  <c r="F1180" i="169"/>
  <c r="J1180" i="169"/>
  <c r="K1180" i="169"/>
  <c r="L1180" i="169"/>
  <c r="O1180" i="169"/>
  <c r="P1180" i="169"/>
  <c r="Q1180" i="169"/>
  <c r="S1180" i="169" s="1"/>
  <c r="W1180" i="169"/>
  <c r="A1181" i="169"/>
  <c r="B1181" i="169"/>
  <c r="D1181" i="169"/>
  <c r="E1181" i="169" s="1"/>
  <c r="F1181" i="169"/>
  <c r="J1181" i="169"/>
  <c r="K1181" i="169"/>
  <c r="L1181" i="169"/>
  <c r="O1181" i="169"/>
  <c r="P1181" i="169"/>
  <c r="Q1181" i="169"/>
  <c r="S1181" i="169" s="1"/>
  <c r="W1181" i="169"/>
  <c r="A1259" i="169"/>
  <c r="B1259" i="169"/>
  <c r="D1259" i="169"/>
  <c r="E1259" i="169" s="1"/>
  <c r="F1259" i="169"/>
  <c r="J1259" i="169"/>
  <c r="K1259" i="169"/>
  <c r="L1259" i="169"/>
  <c r="O1259" i="169"/>
  <c r="P1259" i="169"/>
  <c r="Q1259" i="169"/>
  <c r="U1259" i="169" s="1"/>
  <c r="W1259" i="169"/>
  <c r="A1111" i="169"/>
  <c r="B1111" i="169"/>
  <c r="D1111" i="169"/>
  <c r="E1111" i="169" s="1"/>
  <c r="F1111" i="169"/>
  <c r="J1111" i="169"/>
  <c r="K1111" i="169"/>
  <c r="L1111" i="169"/>
  <c r="O1111" i="169"/>
  <c r="P1111" i="169"/>
  <c r="Q1111" i="169"/>
  <c r="U1111" i="169" s="1"/>
  <c r="W1111" i="169"/>
  <c r="A1112" i="169"/>
  <c r="B1112" i="169"/>
  <c r="D1112" i="169"/>
  <c r="E1112" i="169" s="1"/>
  <c r="F1112" i="169"/>
  <c r="J1112" i="169"/>
  <c r="K1112" i="169"/>
  <c r="L1112" i="169"/>
  <c r="O1112" i="169"/>
  <c r="P1112" i="169"/>
  <c r="Q1112" i="169"/>
  <c r="U1112" i="169" s="1"/>
  <c r="W1112" i="169"/>
  <c r="A1113" i="169"/>
  <c r="B1113" i="169"/>
  <c r="D1113" i="169"/>
  <c r="E1113" i="169" s="1"/>
  <c r="F1113" i="169"/>
  <c r="J1113" i="169"/>
  <c r="K1113" i="169"/>
  <c r="L1113" i="169"/>
  <c r="O1113" i="169"/>
  <c r="P1113" i="169"/>
  <c r="Q1113" i="169"/>
  <c r="U1113" i="169" s="1"/>
  <c r="W1113" i="169"/>
  <c r="A1114" i="169"/>
  <c r="B1114" i="169"/>
  <c r="D1114" i="169"/>
  <c r="E1114" i="169" s="1"/>
  <c r="F1114" i="169"/>
  <c r="J1114" i="169"/>
  <c r="K1114" i="169"/>
  <c r="L1114" i="169"/>
  <c r="O1114" i="169"/>
  <c r="P1114" i="169"/>
  <c r="Q1114" i="169"/>
  <c r="U1114" i="169" s="1"/>
  <c r="W1114" i="169"/>
  <c r="A1115" i="169"/>
  <c r="B1115" i="169"/>
  <c r="D1115" i="169"/>
  <c r="E1115" i="169" s="1"/>
  <c r="F1115" i="169"/>
  <c r="J1115" i="169"/>
  <c r="K1115" i="169"/>
  <c r="L1115" i="169"/>
  <c r="O1115" i="169"/>
  <c r="P1115" i="169"/>
  <c r="Q1115" i="169"/>
  <c r="U1115" i="169" s="1"/>
  <c r="W1115" i="169"/>
  <c r="A1116" i="169"/>
  <c r="B1116" i="169"/>
  <c r="D1116" i="169"/>
  <c r="E1116" i="169" s="1"/>
  <c r="F1116" i="169"/>
  <c r="J1116" i="169"/>
  <c r="K1116" i="169"/>
  <c r="L1116" i="169"/>
  <c r="O1116" i="169"/>
  <c r="P1116" i="169"/>
  <c r="Q1116" i="169"/>
  <c r="U1116" i="169" s="1"/>
  <c r="W1116" i="169"/>
  <c r="A1117" i="169"/>
  <c r="B1117" i="169"/>
  <c r="D1117" i="169"/>
  <c r="E1117" i="169" s="1"/>
  <c r="F1117" i="169"/>
  <c r="J1117" i="169"/>
  <c r="K1117" i="169"/>
  <c r="L1117" i="169"/>
  <c r="O1117" i="169"/>
  <c r="P1117" i="169"/>
  <c r="Q1117" i="169"/>
  <c r="U1117" i="169" s="1"/>
  <c r="W1117" i="169"/>
  <c r="A1118" i="169"/>
  <c r="B1118" i="169"/>
  <c r="D1118" i="169"/>
  <c r="E1118" i="169" s="1"/>
  <c r="F1118" i="169"/>
  <c r="J1118" i="169"/>
  <c r="K1118" i="169"/>
  <c r="L1118" i="169"/>
  <c r="O1118" i="169"/>
  <c r="P1118" i="169"/>
  <c r="Q1118" i="169"/>
  <c r="U1118" i="169" s="1"/>
  <c r="W1118" i="169"/>
  <c r="A1119" i="169"/>
  <c r="B1119" i="169"/>
  <c r="D1119" i="169"/>
  <c r="E1119" i="169" s="1"/>
  <c r="F1119" i="169"/>
  <c r="J1119" i="169"/>
  <c r="K1119" i="169"/>
  <c r="L1119" i="169"/>
  <c r="O1119" i="169"/>
  <c r="P1119" i="169"/>
  <c r="Q1119" i="169"/>
  <c r="U1119" i="169" s="1"/>
  <c r="W1119" i="169"/>
  <c r="A1097" i="169"/>
  <c r="B1097" i="169"/>
  <c r="D1097" i="169"/>
  <c r="E1097" i="169" s="1"/>
  <c r="F1097" i="169"/>
  <c r="J1097" i="169"/>
  <c r="K1097" i="169"/>
  <c r="L1097" i="169"/>
  <c r="O1097" i="169"/>
  <c r="P1097" i="169"/>
  <c r="Q1097" i="169"/>
  <c r="U1097" i="169" s="1"/>
  <c r="W1097" i="169"/>
  <c r="A1098" i="169"/>
  <c r="B1098" i="169"/>
  <c r="D1098" i="169"/>
  <c r="E1098" i="169" s="1"/>
  <c r="F1098" i="169"/>
  <c r="J1098" i="169"/>
  <c r="K1098" i="169"/>
  <c r="L1098" i="169"/>
  <c r="O1098" i="169"/>
  <c r="P1098" i="169"/>
  <c r="Q1098" i="169"/>
  <c r="U1098" i="169" s="1"/>
  <c r="W1098" i="169"/>
  <c r="A1099" i="169"/>
  <c r="B1099" i="169"/>
  <c r="D1099" i="169"/>
  <c r="E1099" i="169" s="1"/>
  <c r="F1099" i="169"/>
  <c r="J1099" i="169"/>
  <c r="K1099" i="169"/>
  <c r="L1099" i="169"/>
  <c r="O1099" i="169"/>
  <c r="P1099" i="169"/>
  <c r="Q1099" i="169"/>
  <c r="U1099" i="169" s="1"/>
  <c r="W1099" i="169"/>
  <c r="A1100" i="169"/>
  <c r="B1100" i="169"/>
  <c r="D1100" i="169"/>
  <c r="E1100" i="169" s="1"/>
  <c r="F1100" i="169"/>
  <c r="J1100" i="169"/>
  <c r="K1100" i="169"/>
  <c r="L1100" i="169"/>
  <c r="O1100" i="169"/>
  <c r="P1100" i="169"/>
  <c r="Q1100" i="169"/>
  <c r="U1100" i="169" s="1"/>
  <c r="W1100" i="169"/>
  <c r="A1101" i="169"/>
  <c r="B1101" i="169"/>
  <c r="D1101" i="169"/>
  <c r="E1101" i="169" s="1"/>
  <c r="F1101" i="169"/>
  <c r="J1101" i="169"/>
  <c r="K1101" i="169"/>
  <c r="L1101" i="169"/>
  <c r="O1101" i="169"/>
  <c r="P1101" i="169"/>
  <c r="Q1101" i="169"/>
  <c r="U1101" i="169" s="1"/>
  <c r="W1101" i="169"/>
  <c r="A1102" i="169"/>
  <c r="B1102" i="169"/>
  <c r="D1102" i="169"/>
  <c r="E1102" i="169" s="1"/>
  <c r="F1102" i="169"/>
  <c r="J1102" i="169"/>
  <c r="K1102" i="169"/>
  <c r="L1102" i="169"/>
  <c r="O1102" i="169"/>
  <c r="P1102" i="169"/>
  <c r="Q1102" i="169"/>
  <c r="U1102" i="169" s="1"/>
  <c r="W1102" i="169"/>
  <c r="A1103" i="169"/>
  <c r="B1103" i="169"/>
  <c r="D1103" i="169"/>
  <c r="E1103" i="169" s="1"/>
  <c r="F1103" i="169"/>
  <c r="J1103" i="169"/>
  <c r="K1103" i="169"/>
  <c r="L1103" i="169"/>
  <c r="O1103" i="169"/>
  <c r="P1103" i="169"/>
  <c r="Q1103" i="169"/>
  <c r="U1103" i="169" s="1"/>
  <c r="W1103" i="169"/>
  <c r="A1104" i="169"/>
  <c r="B1104" i="169"/>
  <c r="D1104" i="169"/>
  <c r="E1104" i="169" s="1"/>
  <c r="F1104" i="169"/>
  <c r="J1104" i="169"/>
  <c r="K1104" i="169"/>
  <c r="L1104" i="169"/>
  <c r="O1104" i="169"/>
  <c r="P1104" i="169"/>
  <c r="Q1104" i="169"/>
  <c r="U1104" i="169" s="1"/>
  <c r="W1104" i="169"/>
  <c r="A1105" i="169"/>
  <c r="B1105" i="169"/>
  <c r="D1105" i="169"/>
  <c r="E1105" i="169" s="1"/>
  <c r="F1105" i="169"/>
  <c r="J1105" i="169"/>
  <c r="K1105" i="169"/>
  <c r="L1105" i="169"/>
  <c r="O1105" i="169"/>
  <c r="P1105" i="169"/>
  <c r="Q1105" i="169"/>
  <c r="U1105" i="169" s="1"/>
  <c r="W1105" i="169"/>
  <c r="A1106" i="169"/>
  <c r="B1106" i="169"/>
  <c r="D1106" i="169"/>
  <c r="E1106" i="169" s="1"/>
  <c r="F1106" i="169"/>
  <c r="J1106" i="169"/>
  <c r="K1106" i="169"/>
  <c r="L1106" i="169"/>
  <c r="O1106" i="169"/>
  <c r="P1106" i="169"/>
  <c r="Q1106" i="169"/>
  <c r="U1106" i="169" s="1"/>
  <c r="W1106" i="169"/>
  <c r="A1107" i="169"/>
  <c r="B1107" i="169"/>
  <c r="D1107" i="169"/>
  <c r="E1107" i="169" s="1"/>
  <c r="F1107" i="169"/>
  <c r="J1107" i="169"/>
  <c r="K1107" i="169"/>
  <c r="L1107" i="169"/>
  <c r="O1107" i="169"/>
  <c r="P1107" i="169"/>
  <c r="Q1107" i="169"/>
  <c r="U1107" i="169" s="1"/>
  <c r="W1107" i="169"/>
  <c r="A1108" i="169"/>
  <c r="B1108" i="169"/>
  <c r="D1108" i="169"/>
  <c r="E1108" i="169" s="1"/>
  <c r="F1108" i="169"/>
  <c r="J1108" i="169"/>
  <c r="K1108" i="169"/>
  <c r="L1108" i="169"/>
  <c r="O1108" i="169"/>
  <c r="P1108" i="169"/>
  <c r="Q1108" i="169"/>
  <c r="U1108" i="169" s="1"/>
  <c r="W1108" i="169"/>
  <c r="A1109" i="169"/>
  <c r="B1109" i="169"/>
  <c r="D1109" i="169"/>
  <c r="E1109" i="169" s="1"/>
  <c r="F1109" i="169"/>
  <c r="J1109" i="169"/>
  <c r="K1109" i="169"/>
  <c r="L1109" i="169"/>
  <c r="O1109" i="169"/>
  <c r="P1109" i="169"/>
  <c r="Q1109" i="169"/>
  <c r="U1109" i="169" s="1"/>
  <c r="W1109" i="169"/>
  <c r="A1110" i="169"/>
  <c r="B1110" i="169"/>
  <c r="D1110" i="169"/>
  <c r="E1110" i="169" s="1"/>
  <c r="F1110" i="169"/>
  <c r="J1110" i="169"/>
  <c r="K1110" i="169"/>
  <c r="L1110" i="169"/>
  <c r="O1110" i="169"/>
  <c r="P1110" i="169"/>
  <c r="Q1110" i="169"/>
  <c r="U1110" i="169" s="1"/>
  <c r="W1110" i="169"/>
  <c r="A1079" i="169"/>
  <c r="B1079" i="169"/>
  <c r="D1079" i="169"/>
  <c r="E1079" i="169" s="1"/>
  <c r="F1079" i="169"/>
  <c r="J1079" i="169"/>
  <c r="K1079" i="169"/>
  <c r="L1079" i="169"/>
  <c r="O1079" i="169"/>
  <c r="P1079" i="169"/>
  <c r="Q1079" i="169"/>
  <c r="U1079" i="169" s="1"/>
  <c r="W1079" i="169"/>
  <c r="A1080" i="169"/>
  <c r="B1080" i="169"/>
  <c r="D1080" i="169"/>
  <c r="E1080" i="169" s="1"/>
  <c r="F1080" i="169"/>
  <c r="J1080" i="169"/>
  <c r="K1080" i="169"/>
  <c r="L1080" i="169"/>
  <c r="O1080" i="169"/>
  <c r="P1080" i="169"/>
  <c r="Q1080" i="169"/>
  <c r="U1080" i="169" s="1"/>
  <c r="W1080" i="169"/>
  <c r="A1081" i="169"/>
  <c r="B1081" i="169"/>
  <c r="D1081" i="169"/>
  <c r="E1081" i="169" s="1"/>
  <c r="F1081" i="169"/>
  <c r="J1081" i="169"/>
  <c r="K1081" i="169"/>
  <c r="L1081" i="169"/>
  <c r="O1081" i="169"/>
  <c r="P1081" i="169"/>
  <c r="Q1081" i="169"/>
  <c r="U1081" i="169" s="1"/>
  <c r="W1081" i="169"/>
  <c r="A1082" i="169"/>
  <c r="B1082" i="169"/>
  <c r="D1082" i="169"/>
  <c r="E1082" i="169" s="1"/>
  <c r="F1082" i="169"/>
  <c r="J1082" i="169"/>
  <c r="K1082" i="169"/>
  <c r="L1082" i="169"/>
  <c r="O1082" i="169"/>
  <c r="P1082" i="169"/>
  <c r="Q1082" i="169"/>
  <c r="U1082" i="169" s="1"/>
  <c r="W1082" i="169"/>
  <c r="A1083" i="169"/>
  <c r="B1083" i="169"/>
  <c r="D1083" i="169"/>
  <c r="E1083" i="169" s="1"/>
  <c r="F1083" i="169"/>
  <c r="J1083" i="169"/>
  <c r="K1083" i="169"/>
  <c r="L1083" i="169"/>
  <c r="O1083" i="169"/>
  <c r="P1083" i="169"/>
  <c r="Q1083" i="169"/>
  <c r="U1083" i="169" s="1"/>
  <c r="W1083" i="169"/>
  <c r="A1084" i="169"/>
  <c r="B1084" i="169"/>
  <c r="D1084" i="169"/>
  <c r="E1084" i="169" s="1"/>
  <c r="F1084" i="169"/>
  <c r="J1084" i="169"/>
  <c r="K1084" i="169"/>
  <c r="L1084" i="169"/>
  <c r="O1084" i="169"/>
  <c r="P1084" i="169"/>
  <c r="Q1084" i="169"/>
  <c r="U1084" i="169" s="1"/>
  <c r="W1084" i="169"/>
  <c r="A1085" i="169"/>
  <c r="B1085" i="169"/>
  <c r="D1085" i="169"/>
  <c r="E1085" i="169" s="1"/>
  <c r="F1085" i="169"/>
  <c r="J1085" i="169"/>
  <c r="K1085" i="169"/>
  <c r="L1085" i="169"/>
  <c r="O1085" i="169"/>
  <c r="P1085" i="169"/>
  <c r="Q1085" i="169"/>
  <c r="U1085" i="169" s="1"/>
  <c r="W1085" i="169"/>
  <c r="A1086" i="169"/>
  <c r="B1086" i="169"/>
  <c r="D1086" i="169"/>
  <c r="E1086" i="169" s="1"/>
  <c r="F1086" i="169"/>
  <c r="J1086" i="169"/>
  <c r="K1086" i="169"/>
  <c r="L1086" i="169"/>
  <c r="O1086" i="169"/>
  <c r="P1086" i="169"/>
  <c r="Q1086" i="169"/>
  <c r="U1086" i="169" s="1"/>
  <c r="W1086" i="169"/>
  <c r="A1087" i="169"/>
  <c r="B1087" i="169"/>
  <c r="D1087" i="169"/>
  <c r="E1087" i="169" s="1"/>
  <c r="F1087" i="169"/>
  <c r="J1087" i="169"/>
  <c r="K1087" i="169"/>
  <c r="L1087" i="169"/>
  <c r="O1087" i="169"/>
  <c r="P1087" i="169"/>
  <c r="Q1087" i="169"/>
  <c r="U1087" i="169" s="1"/>
  <c r="W1087" i="169"/>
  <c r="A1088" i="169"/>
  <c r="B1088" i="169"/>
  <c r="D1088" i="169"/>
  <c r="E1088" i="169" s="1"/>
  <c r="F1088" i="169"/>
  <c r="J1088" i="169"/>
  <c r="K1088" i="169"/>
  <c r="L1088" i="169"/>
  <c r="O1088" i="169"/>
  <c r="P1088" i="169"/>
  <c r="Q1088" i="169"/>
  <c r="U1088" i="169" s="1"/>
  <c r="W1088" i="169"/>
  <c r="A1089" i="169"/>
  <c r="B1089" i="169"/>
  <c r="D1089" i="169"/>
  <c r="E1089" i="169" s="1"/>
  <c r="F1089" i="169"/>
  <c r="J1089" i="169"/>
  <c r="K1089" i="169"/>
  <c r="L1089" i="169"/>
  <c r="O1089" i="169"/>
  <c r="P1089" i="169"/>
  <c r="Q1089" i="169"/>
  <c r="U1089" i="169" s="1"/>
  <c r="W1089" i="169"/>
  <c r="A1090" i="169"/>
  <c r="B1090" i="169"/>
  <c r="D1090" i="169"/>
  <c r="E1090" i="169" s="1"/>
  <c r="F1090" i="169"/>
  <c r="J1090" i="169"/>
  <c r="K1090" i="169"/>
  <c r="L1090" i="169"/>
  <c r="O1090" i="169"/>
  <c r="P1090" i="169"/>
  <c r="Q1090" i="169"/>
  <c r="U1090" i="169" s="1"/>
  <c r="W1090" i="169"/>
  <c r="A1091" i="169"/>
  <c r="B1091" i="169"/>
  <c r="D1091" i="169"/>
  <c r="E1091" i="169" s="1"/>
  <c r="F1091" i="169"/>
  <c r="J1091" i="169"/>
  <c r="K1091" i="169"/>
  <c r="L1091" i="169"/>
  <c r="O1091" i="169"/>
  <c r="P1091" i="169"/>
  <c r="Q1091" i="169"/>
  <c r="U1091" i="169" s="1"/>
  <c r="W1091" i="169"/>
  <c r="A1092" i="169"/>
  <c r="B1092" i="169"/>
  <c r="D1092" i="169"/>
  <c r="E1092" i="169" s="1"/>
  <c r="F1092" i="169"/>
  <c r="J1092" i="169"/>
  <c r="K1092" i="169"/>
  <c r="L1092" i="169"/>
  <c r="O1092" i="169"/>
  <c r="P1092" i="169"/>
  <c r="Q1092" i="169"/>
  <c r="U1092" i="169" s="1"/>
  <c r="W1092" i="169"/>
  <c r="A1093" i="169"/>
  <c r="B1093" i="169"/>
  <c r="D1093" i="169"/>
  <c r="E1093" i="169" s="1"/>
  <c r="F1093" i="169"/>
  <c r="J1093" i="169"/>
  <c r="K1093" i="169"/>
  <c r="L1093" i="169"/>
  <c r="O1093" i="169"/>
  <c r="P1093" i="169"/>
  <c r="Q1093" i="169"/>
  <c r="U1093" i="169" s="1"/>
  <c r="W1093" i="169"/>
  <c r="A1094" i="169"/>
  <c r="B1094" i="169"/>
  <c r="D1094" i="169"/>
  <c r="E1094" i="169" s="1"/>
  <c r="F1094" i="169"/>
  <c r="J1094" i="169"/>
  <c r="K1094" i="169"/>
  <c r="L1094" i="169"/>
  <c r="O1094" i="169"/>
  <c r="P1094" i="169"/>
  <c r="Q1094" i="169"/>
  <c r="U1094" i="169" s="1"/>
  <c r="W1094" i="169"/>
  <c r="A1095" i="169"/>
  <c r="B1095" i="169"/>
  <c r="D1095" i="169"/>
  <c r="E1095" i="169" s="1"/>
  <c r="F1095" i="169"/>
  <c r="J1095" i="169"/>
  <c r="K1095" i="169"/>
  <c r="L1095" i="169"/>
  <c r="O1095" i="169"/>
  <c r="P1095" i="169"/>
  <c r="Q1095" i="169"/>
  <c r="U1095" i="169" s="1"/>
  <c r="W1095" i="169"/>
  <c r="A1096" i="169"/>
  <c r="B1096" i="169"/>
  <c r="D1096" i="169"/>
  <c r="E1096" i="169" s="1"/>
  <c r="F1096" i="169"/>
  <c r="J1096" i="169"/>
  <c r="K1096" i="169"/>
  <c r="L1096" i="169"/>
  <c r="O1096" i="169"/>
  <c r="P1096" i="169"/>
  <c r="Q1096" i="169"/>
  <c r="U1096" i="169" s="1"/>
  <c r="W1096" i="169"/>
  <c r="A1120" i="169"/>
  <c r="B1120" i="169"/>
  <c r="D1120" i="169"/>
  <c r="E1120" i="169" s="1"/>
  <c r="F1120" i="169"/>
  <c r="J1120" i="169"/>
  <c r="K1120" i="169"/>
  <c r="L1120" i="169"/>
  <c r="O1120" i="169"/>
  <c r="P1120" i="169"/>
  <c r="Q1120" i="169"/>
  <c r="U1120" i="169" s="1"/>
  <c r="W1120" i="169"/>
  <c r="A1121" i="169"/>
  <c r="B1121" i="169"/>
  <c r="D1121" i="169"/>
  <c r="E1121" i="169" s="1"/>
  <c r="F1121" i="169"/>
  <c r="J1121" i="169"/>
  <c r="K1121" i="169"/>
  <c r="L1121" i="169"/>
  <c r="O1121" i="169"/>
  <c r="P1121" i="169"/>
  <c r="Q1121" i="169"/>
  <c r="U1121" i="169" s="1"/>
  <c r="W1121" i="169"/>
  <c r="A1122" i="169"/>
  <c r="B1122" i="169"/>
  <c r="D1122" i="169"/>
  <c r="E1122" i="169" s="1"/>
  <c r="F1122" i="169"/>
  <c r="J1122" i="169"/>
  <c r="K1122" i="169"/>
  <c r="L1122" i="169"/>
  <c r="O1122" i="169"/>
  <c r="P1122" i="169"/>
  <c r="Q1122" i="169"/>
  <c r="U1122" i="169" s="1"/>
  <c r="W1122" i="169"/>
  <c r="A1123" i="169"/>
  <c r="B1123" i="169"/>
  <c r="D1123" i="169"/>
  <c r="E1123" i="169" s="1"/>
  <c r="F1123" i="169"/>
  <c r="J1123" i="169"/>
  <c r="K1123" i="169"/>
  <c r="L1123" i="169"/>
  <c r="O1123" i="169"/>
  <c r="P1123" i="169"/>
  <c r="Q1123" i="169"/>
  <c r="U1123" i="169" s="1"/>
  <c r="W1123" i="169"/>
  <c r="A1124" i="169"/>
  <c r="B1124" i="169"/>
  <c r="D1124" i="169"/>
  <c r="E1124" i="169" s="1"/>
  <c r="F1124" i="169"/>
  <c r="J1124" i="169"/>
  <c r="K1124" i="169"/>
  <c r="L1124" i="169"/>
  <c r="O1124" i="169"/>
  <c r="P1124" i="169"/>
  <c r="Q1124" i="169"/>
  <c r="U1124" i="169" s="1"/>
  <c r="W1124" i="169"/>
  <c r="A1125" i="169"/>
  <c r="B1125" i="169"/>
  <c r="D1125" i="169"/>
  <c r="E1125" i="169" s="1"/>
  <c r="F1125" i="169"/>
  <c r="J1125" i="169"/>
  <c r="K1125" i="169"/>
  <c r="L1125" i="169"/>
  <c r="O1125" i="169"/>
  <c r="P1125" i="169"/>
  <c r="Q1125" i="169"/>
  <c r="U1125" i="169" s="1"/>
  <c r="W1125" i="169"/>
  <c r="A1260" i="169"/>
  <c r="B1260" i="169"/>
  <c r="D1260" i="169"/>
  <c r="E1260" i="169" s="1"/>
  <c r="F1260" i="169"/>
  <c r="J1260" i="169"/>
  <c r="K1260" i="169"/>
  <c r="L1260" i="169"/>
  <c r="O1260" i="169"/>
  <c r="P1260" i="169"/>
  <c r="Q1260" i="169"/>
  <c r="U1260" i="169" s="1"/>
  <c r="W1260" i="169"/>
  <c r="A1261" i="169"/>
  <c r="B1261" i="169"/>
  <c r="D1261" i="169"/>
  <c r="E1261" i="169" s="1"/>
  <c r="F1261" i="169"/>
  <c r="J1261" i="169"/>
  <c r="K1261" i="169"/>
  <c r="L1261" i="169"/>
  <c r="O1261" i="169"/>
  <c r="P1261" i="169"/>
  <c r="Q1261" i="169"/>
  <c r="U1261" i="169" s="1"/>
  <c r="W1261" i="169"/>
  <c r="A1049" i="169"/>
  <c r="B1049" i="169"/>
  <c r="D1049" i="169"/>
  <c r="E1049" i="169" s="1"/>
  <c r="F1049" i="169"/>
  <c r="J1049" i="169"/>
  <c r="K1049" i="169"/>
  <c r="L1049" i="169"/>
  <c r="O1049" i="169"/>
  <c r="P1049" i="169"/>
  <c r="Q1049" i="169"/>
  <c r="U1049" i="169" s="1"/>
  <c r="W1049" i="169"/>
  <c r="A1050" i="169"/>
  <c r="B1050" i="169"/>
  <c r="D1050" i="169"/>
  <c r="E1050" i="169" s="1"/>
  <c r="F1050" i="169"/>
  <c r="J1050" i="169"/>
  <c r="K1050" i="169"/>
  <c r="L1050" i="169"/>
  <c r="O1050" i="169"/>
  <c r="P1050" i="169"/>
  <c r="Q1050" i="169"/>
  <c r="U1050" i="169" s="1"/>
  <c r="W1050" i="169"/>
  <c r="A1051" i="169"/>
  <c r="B1051" i="169"/>
  <c r="D1051" i="169"/>
  <c r="E1051" i="169" s="1"/>
  <c r="F1051" i="169"/>
  <c r="J1051" i="169"/>
  <c r="K1051" i="169"/>
  <c r="L1051" i="169"/>
  <c r="O1051" i="169"/>
  <c r="P1051" i="169"/>
  <c r="Q1051" i="169"/>
  <c r="U1051" i="169" s="1"/>
  <c r="W1051" i="169"/>
  <c r="A1052" i="169"/>
  <c r="B1052" i="169"/>
  <c r="D1052" i="169"/>
  <c r="E1052" i="169" s="1"/>
  <c r="F1052" i="169"/>
  <c r="J1052" i="169"/>
  <c r="K1052" i="169"/>
  <c r="L1052" i="169"/>
  <c r="O1052" i="169"/>
  <c r="P1052" i="169"/>
  <c r="Q1052" i="169"/>
  <c r="U1052" i="169" s="1"/>
  <c r="W1052" i="169"/>
  <c r="A1053" i="169"/>
  <c r="B1053" i="169"/>
  <c r="D1053" i="169"/>
  <c r="E1053" i="169" s="1"/>
  <c r="F1053" i="169"/>
  <c r="J1053" i="169"/>
  <c r="K1053" i="169"/>
  <c r="L1053" i="169"/>
  <c r="O1053" i="169"/>
  <c r="P1053" i="169"/>
  <c r="Q1053" i="169"/>
  <c r="U1053" i="169" s="1"/>
  <c r="W1053" i="169"/>
  <c r="A1054" i="169"/>
  <c r="B1054" i="169"/>
  <c r="D1054" i="169"/>
  <c r="E1054" i="169" s="1"/>
  <c r="F1054" i="169"/>
  <c r="J1054" i="169"/>
  <c r="K1054" i="169"/>
  <c r="L1054" i="169"/>
  <c r="O1054" i="169"/>
  <c r="P1054" i="169"/>
  <c r="Q1054" i="169"/>
  <c r="U1054" i="169" s="1"/>
  <c r="W1054" i="169"/>
  <c r="A1055" i="169"/>
  <c r="B1055" i="169"/>
  <c r="D1055" i="169"/>
  <c r="E1055" i="169" s="1"/>
  <c r="F1055" i="169"/>
  <c r="J1055" i="169"/>
  <c r="K1055" i="169"/>
  <c r="L1055" i="169"/>
  <c r="O1055" i="169"/>
  <c r="P1055" i="169"/>
  <c r="Q1055" i="169"/>
  <c r="U1055" i="169" s="1"/>
  <c r="W1055" i="169"/>
  <c r="A1056" i="169"/>
  <c r="B1056" i="169"/>
  <c r="D1056" i="169"/>
  <c r="E1056" i="169" s="1"/>
  <c r="F1056" i="169"/>
  <c r="J1056" i="169"/>
  <c r="K1056" i="169"/>
  <c r="L1056" i="169"/>
  <c r="O1056" i="169"/>
  <c r="P1056" i="169"/>
  <c r="Q1056" i="169"/>
  <c r="U1056" i="169" s="1"/>
  <c r="W1056" i="169"/>
  <c r="A1057" i="169"/>
  <c r="B1057" i="169"/>
  <c r="D1057" i="169"/>
  <c r="E1057" i="169" s="1"/>
  <c r="F1057" i="169"/>
  <c r="J1057" i="169"/>
  <c r="K1057" i="169"/>
  <c r="L1057" i="169"/>
  <c r="O1057" i="169"/>
  <c r="P1057" i="169"/>
  <c r="Q1057" i="169"/>
  <c r="U1057" i="169" s="1"/>
  <c r="W1057" i="169"/>
  <c r="A1058" i="169"/>
  <c r="B1058" i="169"/>
  <c r="D1058" i="169"/>
  <c r="E1058" i="169" s="1"/>
  <c r="F1058" i="169"/>
  <c r="J1058" i="169"/>
  <c r="K1058" i="169"/>
  <c r="L1058" i="169"/>
  <c r="O1058" i="169"/>
  <c r="P1058" i="169"/>
  <c r="Q1058" i="169"/>
  <c r="U1058" i="169" s="1"/>
  <c r="W1058" i="169"/>
  <c r="A1059" i="169"/>
  <c r="B1059" i="169"/>
  <c r="D1059" i="169"/>
  <c r="E1059" i="169" s="1"/>
  <c r="F1059" i="169"/>
  <c r="J1059" i="169"/>
  <c r="K1059" i="169"/>
  <c r="L1059" i="169"/>
  <c r="O1059" i="169"/>
  <c r="P1059" i="169"/>
  <c r="Q1059" i="169"/>
  <c r="U1059" i="169" s="1"/>
  <c r="W1059" i="169"/>
  <c r="A1060" i="169"/>
  <c r="B1060" i="169"/>
  <c r="D1060" i="169"/>
  <c r="E1060" i="169" s="1"/>
  <c r="F1060" i="169"/>
  <c r="J1060" i="169"/>
  <c r="K1060" i="169"/>
  <c r="L1060" i="169"/>
  <c r="O1060" i="169"/>
  <c r="P1060" i="169"/>
  <c r="Q1060" i="169"/>
  <c r="U1060" i="169" s="1"/>
  <c r="W1060" i="169"/>
  <c r="A1061" i="169"/>
  <c r="B1061" i="169"/>
  <c r="D1061" i="169"/>
  <c r="E1061" i="169" s="1"/>
  <c r="F1061" i="169"/>
  <c r="J1061" i="169"/>
  <c r="K1061" i="169"/>
  <c r="L1061" i="169"/>
  <c r="O1061" i="169"/>
  <c r="P1061" i="169"/>
  <c r="Q1061" i="169"/>
  <c r="U1061" i="169" s="1"/>
  <c r="W1061" i="169"/>
  <c r="A1062" i="169"/>
  <c r="B1062" i="169"/>
  <c r="D1062" i="169"/>
  <c r="E1062" i="169" s="1"/>
  <c r="F1062" i="169"/>
  <c r="J1062" i="169"/>
  <c r="K1062" i="169"/>
  <c r="L1062" i="169"/>
  <c r="O1062" i="169"/>
  <c r="P1062" i="169"/>
  <c r="Q1062" i="169"/>
  <c r="U1062" i="169" s="1"/>
  <c r="W1062" i="169"/>
  <c r="A1063" i="169"/>
  <c r="B1063" i="169"/>
  <c r="D1063" i="169"/>
  <c r="E1063" i="169" s="1"/>
  <c r="F1063" i="169"/>
  <c r="J1063" i="169"/>
  <c r="K1063" i="169"/>
  <c r="L1063" i="169"/>
  <c r="O1063" i="169"/>
  <c r="P1063" i="169"/>
  <c r="Q1063" i="169"/>
  <c r="U1063" i="169" s="1"/>
  <c r="W1063" i="169"/>
  <c r="A1064" i="169"/>
  <c r="B1064" i="169"/>
  <c r="D1064" i="169"/>
  <c r="E1064" i="169" s="1"/>
  <c r="F1064" i="169"/>
  <c r="J1064" i="169"/>
  <c r="K1064" i="169"/>
  <c r="L1064" i="169"/>
  <c r="O1064" i="169"/>
  <c r="P1064" i="169"/>
  <c r="Q1064" i="169"/>
  <c r="U1064" i="169" s="1"/>
  <c r="W1064" i="169"/>
  <c r="A1065" i="169"/>
  <c r="B1065" i="169"/>
  <c r="D1065" i="169"/>
  <c r="E1065" i="169" s="1"/>
  <c r="F1065" i="169"/>
  <c r="J1065" i="169"/>
  <c r="K1065" i="169"/>
  <c r="L1065" i="169"/>
  <c r="O1065" i="169"/>
  <c r="P1065" i="169"/>
  <c r="Q1065" i="169"/>
  <c r="U1065" i="169" s="1"/>
  <c r="W1065" i="169"/>
  <c r="A1066" i="169"/>
  <c r="B1066" i="169"/>
  <c r="D1066" i="169"/>
  <c r="E1066" i="169" s="1"/>
  <c r="F1066" i="169"/>
  <c r="J1066" i="169"/>
  <c r="K1066" i="169"/>
  <c r="L1066" i="169"/>
  <c r="O1066" i="169"/>
  <c r="P1066" i="169"/>
  <c r="Q1066" i="169"/>
  <c r="U1066" i="169" s="1"/>
  <c r="W1066" i="169"/>
  <c r="A1067" i="169"/>
  <c r="B1067" i="169"/>
  <c r="D1067" i="169"/>
  <c r="E1067" i="169" s="1"/>
  <c r="F1067" i="169"/>
  <c r="J1067" i="169"/>
  <c r="K1067" i="169"/>
  <c r="L1067" i="169"/>
  <c r="O1067" i="169"/>
  <c r="P1067" i="169"/>
  <c r="Q1067" i="169"/>
  <c r="U1067" i="169" s="1"/>
  <c r="W1067" i="169"/>
  <c r="A1068" i="169"/>
  <c r="B1068" i="169"/>
  <c r="D1068" i="169"/>
  <c r="E1068" i="169" s="1"/>
  <c r="F1068" i="169"/>
  <c r="J1068" i="169"/>
  <c r="K1068" i="169"/>
  <c r="L1068" i="169"/>
  <c r="O1068" i="169"/>
  <c r="P1068" i="169"/>
  <c r="Q1068" i="169"/>
  <c r="U1068" i="169" s="1"/>
  <c r="W1068" i="169"/>
  <c r="A1069" i="169"/>
  <c r="B1069" i="169"/>
  <c r="D1069" i="169"/>
  <c r="E1069" i="169" s="1"/>
  <c r="F1069" i="169"/>
  <c r="J1069" i="169"/>
  <c r="K1069" i="169"/>
  <c r="L1069" i="169"/>
  <c r="O1069" i="169"/>
  <c r="P1069" i="169"/>
  <c r="Q1069" i="169"/>
  <c r="U1069" i="169" s="1"/>
  <c r="W1069" i="169"/>
  <c r="A1070" i="169"/>
  <c r="B1070" i="169"/>
  <c r="D1070" i="169"/>
  <c r="E1070" i="169" s="1"/>
  <c r="F1070" i="169"/>
  <c r="J1070" i="169"/>
  <c r="K1070" i="169"/>
  <c r="L1070" i="169"/>
  <c r="O1070" i="169"/>
  <c r="P1070" i="169"/>
  <c r="Q1070" i="169"/>
  <c r="U1070" i="169" s="1"/>
  <c r="W1070" i="169"/>
  <c r="A1035" i="169"/>
  <c r="B1035" i="169"/>
  <c r="D1035" i="169"/>
  <c r="E1035" i="169" s="1"/>
  <c r="F1035" i="169"/>
  <c r="J1035" i="169"/>
  <c r="K1035" i="169"/>
  <c r="L1035" i="169"/>
  <c r="O1035" i="169"/>
  <c r="P1035" i="169"/>
  <c r="Q1035" i="169"/>
  <c r="U1035" i="169" s="1"/>
  <c r="W1035" i="169"/>
  <c r="A1036" i="169"/>
  <c r="B1036" i="169"/>
  <c r="D1036" i="169"/>
  <c r="E1036" i="169" s="1"/>
  <c r="F1036" i="169"/>
  <c r="J1036" i="169"/>
  <c r="K1036" i="169"/>
  <c r="L1036" i="169"/>
  <c r="O1036" i="169"/>
  <c r="P1036" i="169"/>
  <c r="Q1036" i="169"/>
  <c r="U1036" i="169" s="1"/>
  <c r="W1036" i="169"/>
  <c r="A1037" i="169"/>
  <c r="B1037" i="169"/>
  <c r="D1037" i="169"/>
  <c r="E1037" i="169" s="1"/>
  <c r="F1037" i="169"/>
  <c r="J1037" i="169"/>
  <c r="K1037" i="169"/>
  <c r="L1037" i="169"/>
  <c r="O1037" i="169"/>
  <c r="P1037" i="169"/>
  <c r="Q1037" i="169"/>
  <c r="U1037" i="169" s="1"/>
  <c r="W1037" i="169"/>
  <c r="A1038" i="169"/>
  <c r="B1038" i="169"/>
  <c r="D1038" i="169"/>
  <c r="E1038" i="169" s="1"/>
  <c r="F1038" i="169"/>
  <c r="J1038" i="169"/>
  <c r="K1038" i="169"/>
  <c r="L1038" i="169"/>
  <c r="O1038" i="169"/>
  <c r="P1038" i="169"/>
  <c r="Q1038" i="169"/>
  <c r="U1038" i="169" s="1"/>
  <c r="W1038" i="169"/>
  <c r="A1039" i="169"/>
  <c r="B1039" i="169"/>
  <c r="D1039" i="169"/>
  <c r="E1039" i="169" s="1"/>
  <c r="F1039" i="169"/>
  <c r="J1039" i="169"/>
  <c r="K1039" i="169"/>
  <c r="L1039" i="169"/>
  <c r="O1039" i="169"/>
  <c r="P1039" i="169"/>
  <c r="Q1039" i="169"/>
  <c r="U1039" i="169" s="1"/>
  <c r="W1039" i="169"/>
  <c r="A1040" i="169"/>
  <c r="B1040" i="169"/>
  <c r="D1040" i="169"/>
  <c r="E1040" i="169" s="1"/>
  <c r="F1040" i="169"/>
  <c r="J1040" i="169"/>
  <c r="K1040" i="169"/>
  <c r="L1040" i="169"/>
  <c r="O1040" i="169"/>
  <c r="P1040" i="169"/>
  <c r="Q1040" i="169"/>
  <c r="U1040" i="169" s="1"/>
  <c r="W1040" i="169"/>
  <c r="A1041" i="169"/>
  <c r="B1041" i="169"/>
  <c r="D1041" i="169"/>
  <c r="E1041" i="169" s="1"/>
  <c r="F1041" i="169"/>
  <c r="J1041" i="169"/>
  <c r="K1041" i="169"/>
  <c r="L1041" i="169"/>
  <c r="O1041" i="169"/>
  <c r="P1041" i="169"/>
  <c r="Q1041" i="169"/>
  <c r="U1041" i="169" s="1"/>
  <c r="W1041" i="169"/>
  <c r="A1042" i="169"/>
  <c r="B1042" i="169"/>
  <c r="D1042" i="169"/>
  <c r="E1042" i="169" s="1"/>
  <c r="F1042" i="169"/>
  <c r="J1042" i="169"/>
  <c r="K1042" i="169"/>
  <c r="L1042" i="169"/>
  <c r="O1042" i="169"/>
  <c r="P1042" i="169"/>
  <c r="Q1042" i="169"/>
  <c r="U1042" i="169" s="1"/>
  <c r="W1042" i="169"/>
  <c r="A1043" i="169"/>
  <c r="B1043" i="169"/>
  <c r="D1043" i="169"/>
  <c r="E1043" i="169" s="1"/>
  <c r="F1043" i="169"/>
  <c r="J1043" i="169"/>
  <c r="K1043" i="169"/>
  <c r="L1043" i="169"/>
  <c r="O1043" i="169"/>
  <c r="P1043" i="169"/>
  <c r="Q1043" i="169"/>
  <c r="U1043" i="169" s="1"/>
  <c r="W1043" i="169"/>
  <c r="A1044" i="169"/>
  <c r="B1044" i="169"/>
  <c r="D1044" i="169"/>
  <c r="E1044" i="169" s="1"/>
  <c r="F1044" i="169"/>
  <c r="J1044" i="169"/>
  <c r="K1044" i="169"/>
  <c r="L1044" i="169"/>
  <c r="O1044" i="169"/>
  <c r="P1044" i="169"/>
  <c r="Q1044" i="169"/>
  <c r="U1044" i="169" s="1"/>
  <c r="W1044" i="169"/>
  <c r="A1045" i="169"/>
  <c r="B1045" i="169"/>
  <c r="D1045" i="169"/>
  <c r="E1045" i="169" s="1"/>
  <c r="F1045" i="169"/>
  <c r="J1045" i="169"/>
  <c r="K1045" i="169"/>
  <c r="L1045" i="169"/>
  <c r="O1045" i="169"/>
  <c r="P1045" i="169"/>
  <c r="Q1045" i="169"/>
  <c r="U1045" i="169" s="1"/>
  <c r="W1045" i="169"/>
  <c r="A1046" i="169"/>
  <c r="B1046" i="169"/>
  <c r="D1046" i="169"/>
  <c r="E1046" i="169" s="1"/>
  <c r="F1046" i="169"/>
  <c r="J1046" i="169"/>
  <c r="K1046" i="169"/>
  <c r="L1046" i="169"/>
  <c r="O1046" i="169"/>
  <c r="P1046" i="169"/>
  <c r="Q1046" i="169"/>
  <c r="U1046" i="169" s="1"/>
  <c r="W1046" i="169"/>
  <c r="A1047" i="169"/>
  <c r="B1047" i="169"/>
  <c r="D1047" i="169"/>
  <c r="E1047" i="169" s="1"/>
  <c r="F1047" i="169"/>
  <c r="J1047" i="169"/>
  <c r="K1047" i="169"/>
  <c r="L1047" i="169"/>
  <c r="O1047" i="169"/>
  <c r="P1047" i="169"/>
  <c r="Q1047" i="169"/>
  <c r="U1047" i="169" s="1"/>
  <c r="W1047" i="169"/>
  <c r="A1048" i="169"/>
  <c r="B1048" i="169"/>
  <c r="D1048" i="169"/>
  <c r="E1048" i="169" s="1"/>
  <c r="F1048" i="169"/>
  <c r="J1048" i="169"/>
  <c r="K1048" i="169"/>
  <c r="L1048" i="169"/>
  <c r="O1048" i="169"/>
  <c r="P1048" i="169"/>
  <c r="Q1048" i="169"/>
  <c r="U1048" i="169" s="1"/>
  <c r="W1048" i="169"/>
  <c r="A1071" i="169"/>
  <c r="B1071" i="169"/>
  <c r="D1071" i="169"/>
  <c r="E1071" i="169" s="1"/>
  <c r="F1071" i="169"/>
  <c r="J1071" i="169"/>
  <c r="K1071" i="169"/>
  <c r="L1071" i="169"/>
  <c r="O1071" i="169"/>
  <c r="P1071" i="169"/>
  <c r="Q1071" i="169"/>
  <c r="U1071" i="169" s="1"/>
  <c r="W1071" i="169"/>
  <c r="A1072" i="169"/>
  <c r="B1072" i="169"/>
  <c r="D1072" i="169"/>
  <c r="E1072" i="169" s="1"/>
  <c r="F1072" i="169"/>
  <c r="J1072" i="169"/>
  <c r="K1072" i="169"/>
  <c r="L1072" i="169"/>
  <c r="O1072" i="169"/>
  <c r="P1072" i="169"/>
  <c r="Q1072" i="169"/>
  <c r="U1072" i="169" s="1"/>
  <c r="W1072" i="169"/>
  <c r="A1073" i="169"/>
  <c r="B1073" i="169"/>
  <c r="D1073" i="169"/>
  <c r="E1073" i="169" s="1"/>
  <c r="F1073" i="169"/>
  <c r="J1073" i="169"/>
  <c r="K1073" i="169"/>
  <c r="L1073" i="169"/>
  <c r="O1073" i="169"/>
  <c r="P1073" i="169"/>
  <c r="Q1073" i="169"/>
  <c r="S1073" i="169" s="1"/>
  <c r="W1073" i="169"/>
  <c r="A1074" i="169"/>
  <c r="B1074" i="169"/>
  <c r="D1074" i="169"/>
  <c r="E1074" i="169" s="1"/>
  <c r="F1074" i="169"/>
  <c r="J1074" i="169"/>
  <c r="K1074" i="169"/>
  <c r="L1074" i="169"/>
  <c r="O1074" i="169"/>
  <c r="P1074" i="169"/>
  <c r="Q1074" i="169"/>
  <c r="U1074" i="169" s="1"/>
  <c r="W1074" i="169"/>
  <c r="A1075" i="169"/>
  <c r="B1075" i="169"/>
  <c r="D1075" i="169"/>
  <c r="E1075" i="169" s="1"/>
  <c r="F1075" i="169"/>
  <c r="J1075" i="169"/>
  <c r="K1075" i="169"/>
  <c r="L1075" i="169"/>
  <c r="O1075" i="169"/>
  <c r="P1075" i="169"/>
  <c r="Q1075" i="169"/>
  <c r="U1075" i="169" s="1"/>
  <c r="W1075" i="169"/>
  <c r="A1076" i="169"/>
  <c r="B1076" i="169"/>
  <c r="D1076" i="169"/>
  <c r="E1076" i="169" s="1"/>
  <c r="F1076" i="169"/>
  <c r="J1076" i="169"/>
  <c r="K1076" i="169"/>
  <c r="L1076" i="169"/>
  <c r="O1076" i="169"/>
  <c r="P1076" i="169"/>
  <c r="Q1076" i="169"/>
  <c r="U1076" i="169" s="1"/>
  <c r="W1076" i="169"/>
  <c r="A1011" i="169"/>
  <c r="B1011" i="169"/>
  <c r="D1011" i="169"/>
  <c r="E1011" i="169" s="1"/>
  <c r="F1011" i="169"/>
  <c r="J1011" i="169"/>
  <c r="K1011" i="169"/>
  <c r="L1011" i="169"/>
  <c r="O1011" i="169"/>
  <c r="P1011" i="169"/>
  <c r="Q1011" i="169"/>
  <c r="U1011" i="169" s="1"/>
  <c r="W1011" i="169"/>
  <c r="A1012" i="169"/>
  <c r="B1012" i="169"/>
  <c r="D1012" i="169"/>
  <c r="E1012" i="169" s="1"/>
  <c r="F1012" i="169"/>
  <c r="J1012" i="169"/>
  <c r="K1012" i="169"/>
  <c r="L1012" i="169"/>
  <c r="O1012" i="169"/>
  <c r="P1012" i="169"/>
  <c r="Q1012" i="169"/>
  <c r="S1012" i="169" s="1"/>
  <c r="W1012" i="169"/>
  <c r="A1013" i="169"/>
  <c r="B1013" i="169"/>
  <c r="D1013" i="169"/>
  <c r="E1013" i="169" s="1"/>
  <c r="F1013" i="169"/>
  <c r="J1013" i="169"/>
  <c r="K1013" i="169"/>
  <c r="L1013" i="169"/>
  <c r="O1013" i="169"/>
  <c r="P1013" i="169"/>
  <c r="Q1013" i="169"/>
  <c r="U1013" i="169" s="1"/>
  <c r="W1013" i="169"/>
  <c r="A1014" i="169"/>
  <c r="B1014" i="169"/>
  <c r="D1014" i="169"/>
  <c r="E1014" i="169" s="1"/>
  <c r="F1014" i="169"/>
  <c r="J1014" i="169"/>
  <c r="K1014" i="169"/>
  <c r="L1014" i="169"/>
  <c r="O1014" i="169"/>
  <c r="P1014" i="169"/>
  <c r="Q1014" i="169"/>
  <c r="S1014" i="169" s="1"/>
  <c r="W1014" i="169"/>
  <c r="A1015" i="169"/>
  <c r="B1015" i="169"/>
  <c r="D1015" i="169"/>
  <c r="E1015" i="169" s="1"/>
  <c r="F1015" i="169"/>
  <c r="J1015" i="169"/>
  <c r="K1015" i="169"/>
  <c r="L1015" i="169"/>
  <c r="O1015" i="169"/>
  <c r="P1015" i="169"/>
  <c r="Q1015" i="169"/>
  <c r="U1015" i="169" s="1"/>
  <c r="W1015" i="169"/>
  <c r="A1016" i="169"/>
  <c r="B1016" i="169"/>
  <c r="D1016" i="169"/>
  <c r="E1016" i="169" s="1"/>
  <c r="F1016" i="169"/>
  <c r="J1016" i="169"/>
  <c r="K1016" i="169"/>
  <c r="L1016" i="169"/>
  <c r="O1016" i="169"/>
  <c r="P1016" i="169"/>
  <c r="Q1016" i="169"/>
  <c r="U1016" i="169" s="1"/>
  <c r="W1016" i="169"/>
  <c r="A1017" i="169"/>
  <c r="B1017" i="169"/>
  <c r="D1017" i="169"/>
  <c r="E1017" i="169" s="1"/>
  <c r="F1017" i="169"/>
  <c r="J1017" i="169"/>
  <c r="K1017" i="169"/>
  <c r="L1017" i="169"/>
  <c r="O1017" i="169"/>
  <c r="P1017" i="169"/>
  <c r="Q1017" i="169"/>
  <c r="U1017" i="169" s="1"/>
  <c r="W1017" i="169"/>
  <c r="A1018" i="169"/>
  <c r="B1018" i="169"/>
  <c r="D1018" i="169"/>
  <c r="E1018" i="169" s="1"/>
  <c r="F1018" i="169"/>
  <c r="J1018" i="169"/>
  <c r="K1018" i="169"/>
  <c r="L1018" i="169"/>
  <c r="O1018" i="169"/>
  <c r="P1018" i="169"/>
  <c r="Q1018" i="169"/>
  <c r="U1018" i="169" s="1"/>
  <c r="W1018" i="169"/>
  <c r="A1019" i="169"/>
  <c r="B1019" i="169"/>
  <c r="D1019" i="169"/>
  <c r="E1019" i="169" s="1"/>
  <c r="F1019" i="169"/>
  <c r="J1019" i="169"/>
  <c r="K1019" i="169"/>
  <c r="L1019" i="169"/>
  <c r="O1019" i="169"/>
  <c r="P1019" i="169"/>
  <c r="Q1019" i="169"/>
  <c r="U1019" i="169" s="1"/>
  <c r="W1019" i="169"/>
  <c r="A1020" i="169"/>
  <c r="B1020" i="169"/>
  <c r="D1020" i="169"/>
  <c r="E1020" i="169" s="1"/>
  <c r="F1020" i="169"/>
  <c r="J1020" i="169"/>
  <c r="K1020" i="169"/>
  <c r="L1020" i="169"/>
  <c r="O1020" i="169"/>
  <c r="P1020" i="169"/>
  <c r="Q1020" i="169"/>
  <c r="U1020" i="169" s="1"/>
  <c r="W1020" i="169"/>
  <c r="A1021" i="169"/>
  <c r="B1021" i="169"/>
  <c r="D1021" i="169"/>
  <c r="E1021" i="169" s="1"/>
  <c r="F1021" i="169"/>
  <c r="J1021" i="169"/>
  <c r="K1021" i="169"/>
  <c r="L1021" i="169"/>
  <c r="O1021" i="169"/>
  <c r="P1021" i="169"/>
  <c r="Q1021" i="169"/>
  <c r="S1021" i="169" s="1"/>
  <c r="W1021" i="169"/>
  <c r="A1022" i="169"/>
  <c r="B1022" i="169"/>
  <c r="D1022" i="169"/>
  <c r="E1022" i="169" s="1"/>
  <c r="F1022" i="169"/>
  <c r="J1022" i="169"/>
  <c r="K1022" i="169"/>
  <c r="L1022" i="169"/>
  <c r="O1022" i="169"/>
  <c r="P1022" i="169"/>
  <c r="Q1022" i="169"/>
  <c r="S1022" i="169" s="1"/>
  <c r="W1022" i="169"/>
  <c r="A1023" i="169"/>
  <c r="B1023" i="169"/>
  <c r="D1023" i="169"/>
  <c r="E1023" i="169" s="1"/>
  <c r="F1023" i="169"/>
  <c r="J1023" i="169"/>
  <c r="K1023" i="169"/>
  <c r="L1023" i="169"/>
  <c r="O1023" i="169"/>
  <c r="P1023" i="169"/>
  <c r="Q1023" i="169"/>
  <c r="S1023" i="169" s="1"/>
  <c r="W1023" i="169"/>
  <c r="A1024" i="169"/>
  <c r="B1024" i="169"/>
  <c r="D1024" i="169"/>
  <c r="E1024" i="169" s="1"/>
  <c r="F1024" i="169"/>
  <c r="J1024" i="169"/>
  <c r="K1024" i="169"/>
  <c r="L1024" i="169"/>
  <c r="O1024" i="169"/>
  <c r="P1024" i="169"/>
  <c r="Q1024" i="169"/>
  <c r="U1024" i="169" s="1"/>
  <c r="W1024" i="169"/>
  <c r="A1025" i="169"/>
  <c r="B1025" i="169"/>
  <c r="D1025" i="169"/>
  <c r="E1025" i="169" s="1"/>
  <c r="F1025" i="169"/>
  <c r="J1025" i="169"/>
  <c r="K1025" i="169"/>
  <c r="L1025" i="169"/>
  <c r="O1025" i="169"/>
  <c r="P1025" i="169"/>
  <c r="Q1025" i="169"/>
  <c r="U1025" i="169" s="1"/>
  <c r="W1025" i="169"/>
  <c r="A1026" i="169"/>
  <c r="B1026" i="169"/>
  <c r="D1026" i="169"/>
  <c r="E1026" i="169" s="1"/>
  <c r="F1026" i="169"/>
  <c r="J1026" i="169"/>
  <c r="K1026" i="169"/>
  <c r="L1026" i="169"/>
  <c r="O1026" i="169"/>
  <c r="P1026" i="169"/>
  <c r="Q1026" i="169"/>
  <c r="U1026" i="169" s="1"/>
  <c r="W1026" i="169"/>
  <c r="A1027" i="169"/>
  <c r="B1027" i="169"/>
  <c r="D1027" i="169"/>
  <c r="E1027" i="169" s="1"/>
  <c r="F1027" i="169"/>
  <c r="J1027" i="169"/>
  <c r="K1027" i="169"/>
  <c r="L1027" i="169"/>
  <c r="O1027" i="169"/>
  <c r="P1027" i="169"/>
  <c r="Q1027" i="169"/>
  <c r="U1027" i="169" s="1"/>
  <c r="W1027" i="169"/>
  <c r="A1028" i="169"/>
  <c r="B1028" i="169"/>
  <c r="D1028" i="169"/>
  <c r="E1028" i="169" s="1"/>
  <c r="F1028" i="169"/>
  <c r="J1028" i="169"/>
  <c r="K1028" i="169"/>
  <c r="L1028" i="169"/>
  <c r="O1028" i="169"/>
  <c r="P1028" i="169"/>
  <c r="Q1028" i="169"/>
  <c r="U1028" i="169" s="1"/>
  <c r="W1028" i="169"/>
  <c r="A1029" i="169"/>
  <c r="B1029" i="169"/>
  <c r="D1029" i="169"/>
  <c r="E1029" i="169" s="1"/>
  <c r="F1029" i="169"/>
  <c r="J1029" i="169"/>
  <c r="K1029" i="169"/>
  <c r="L1029" i="169"/>
  <c r="O1029" i="169"/>
  <c r="P1029" i="169"/>
  <c r="Q1029" i="169"/>
  <c r="U1029" i="169" s="1"/>
  <c r="W1029" i="169"/>
  <c r="A1030" i="169"/>
  <c r="B1030" i="169"/>
  <c r="D1030" i="169"/>
  <c r="E1030" i="169" s="1"/>
  <c r="F1030" i="169"/>
  <c r="J1030" i="169"/>
  <c r="K1030" i="169"/>
  <c r="L1030" i="169"/>
  <c r="O1030" i="169"/>
  <c r="P1030" i="169"/>
  <c r="Q1030" i="169"/>
  <c r="U1030" i="169" s="1"/>
  <c r="W1030" i="169"/>
  <c r="A1031" i="169"/>
  <c r="B1031" i="169"/>
  <c r="D1031" i="169"/>
  <c r="E1031" i="169" s="1"/>
  <c r="F1031" i="169"/>
  <c r="J1031" i="169"/>
  <c r="K1031" i="169"/>
  <c r="L1031" i="169"/>
  <c r="O1031" i="169"/>
  <c r="P1031" i="169"/>
  <c r="Q1031" i="169"/>
  <c r="U1031" i="169" s="1"/>
  <c r="W1031" i="169"/>
  <c r="A988" i="169"/>
  <c r="B988" i="169"/>
  <c r="D988" i="169"/>
  <c r="E988" i="169" s="1"/>
  <c r="F988" i="169"/>
  <c r="J988" i="169"/>
  <c r="K988" i="169"/>
  <c r="L988" i="169"/>
  <c r="O988" i="169"/>
  <c r="P988" i="169"/>
  <c r="Q988" i="169"/>
  <c r="U988" i="169" s="1"/>
  <c r="W988" i="169"/>
  <c r="A989" i="169"/>
  <c r="B989" i="169"/>
  <c r="D989" i="169"/>
  <c r="E989" i="169" s="1"/>
  <c r="F989" i="169"/>
  <c r="J989" i="169"/>
  <c r="K989" i="169"/>
  <c r="L989" i="169"/>
  <c r="O989" i="169"/>
  <c r="P989" i="169"/>
  <c r="Q989" i="169"/>
  <c r="U989" i="169" s="1"/>
  <c r="W989" i="169"/>
  <c r="A990" i="169"/>
  <c r="B990" i="169"/>
  <c r="D990" i="169"/>
  <c r="E990" i="169" s="1"/>
  <c r="F990" i="169"/>
  <c r="J990" i="169"/>
  <c r="K990" i="169"/>
  <c r="L990" i="169"/>
  <c r="O990" i="169"/>
  <c r="P990" i="169"/>
  <c r="Q990" i="169"/>
  <c r="S990" i="169" s="1"/>
  <c r="W990" i="169"/>
  <c r="A991" i="169"/>
  <c r="B991" i="169"/>
  <c r="D991" i="169"/>
  <c r="E991" i="169" s="1"/>
  <c r="F991" i="169"/>
  <c r="J991" i="169"/>
  <c r="K991" i="169"/>
  <c r="L991" i="169"/>
  <c r="O991" i="169"/>
  <c r="P991" i="169"/>
  <c r="Q991" i="169"/>
  <c r="U991" i="169" s="1"/>
  <c r="W991" i="169"/>
  <c r="A992" i="169"/>
  <c r="B992" i="169"/>
  <c r="D992" i="169"/>
  <c r="E992" i="169" s="1"/>
  <c r="F992" i="169"/>
  <c r="J992" i="169"/>
  <c r="K992" i="169"/>
  <c r="L992" i="169"/>
  <c r="O992" i="169"/>
  <c r="P992" i="169"/>
  <c r="Q992" i="169"/>
  <c r="U992" i="169" s="1"/>
  <c r="W992" i="169"/>
  <c r="A993" i="169"/>
  <c r="B993" i="169"/>
  <c r="D993" i="169"/>
  <c r="E993" i="169" s="1"/>
  <c r="F993" i="169"/>
  <c r="J993" i="169"/>
  <c r="K993" i="169"/>
  <c r="L993" i="169"/>
  <c r="O993" i="169"/>
  <c r="P993" i="169"/>
  <c r="Q993" i="169"/>
  <c r="S993" i="169" s="1"/>
  <c r="W993" i="169"/>
  <c r="A994" i="169"/>
  <c r="B994" i="169"/>
  <c r="D994" i="169"/>
  <c r="E994" i="169" s="1"/>
  <c r="F994" i="169"/>
  <c r="J994" i="169"/>
  <c r="K994" i="169"/>
  <c r="L994" i="169"/>
  <c r="O994" i="169"/>
  <c r="P994" i="169"/>
  <c r="Q994" i="169"/>
  <c r="U994" i="169" s="1"/>
  <c r="W994" i="169"/>
  <c r="A995" i="169"/>
  <c r="B995" i="169"/>
  <c r="D995" i="169"/>
  <c r="E995" i="169" s="1"/>
  <c r="F995" i="169"/>
  <c r="J995" i="169"/>
  <c r="K995" i="169"/>
  <c r="L995" i="169"/>
  <c r="O995" i="169"/>
  <c r="P995" i="169"/>
  <c r="Q995" i="169"/>
  <c r="U995" i="169" s="1"/>
  <c r="W995" i="169"/>
  <c r="A996" i="169"/>
  <c r="B996" i="169"/>
  <c r="D996" i="169"/>
  <c r="E996" i="169" s="1"/>
  <c r="F996" i="169"/>
  <c r="J996" i="169"/>
  <c r="K996" i="169"/>
  <c r="L996" i="169"/>
  <c r="O996" i="169"/>
  <c r="P996" i="169"/>
  <c r="Q996" i="169"/>
  <c r="U996" i="169" s="1"/>
  <c r="W996" i="169"/>
  <c r="A997" i="169"/>
  <c r="B997" i="169"/>
  <c r="D997" i="169"/>
  <c r="E997" i="169" s="1"/>
  <c r="F997" i="169"/>
  <c r="J997" i="169"/>
  <c r="K997" i="169"/>
  <c r="L997" i="169"/>
  <c r="O997" i="169"/>
  <c r="P997" i="169"/>
  <c r="Q997" i="169"/>
  <c r="U997" i="169" s="1"/>
  <c r="W997" i="169"/>
  <c r="A998" i="169"/>
  <c r="B998" i="169"/>
  <c r="D998" i="169"/>
  <c r="E998" i="169" s="1"/>
  <c r="F998" i="169"/>
  <c r="J998" i="169"/>
  <c r="K998" i="169"/>
  <c r="L998" i="169"/>
  <c r="O998" i="169"/>
  <c r="P998" i="169"/>
  <c r="Q998" i="169"/>
  <c r="U998" i="169" s="1"/>
  <c r="W998" i="169"/>
  <c r="A999" i="169"/>
  <c r="B999" i="169"/>
  <c r="D999" i="169"/>
  <c r="E999" i="169" s="1"/>
  <c r="F999" i="169"/>
  <c r="J999" i="169"/>
  <c r="K999" i="169"/>
  <c r="L999" i="169"/>
  <c r="O999" i="169"/>
  <c r="P999" i="169"/>
  <c r="Q999" i="169"/>
  <c r="U999" i="169" s="1"/>
  <c r="W999" i="169"/>
  <c r="A1000" i="169"/>
  <c r="B1000" i="169"/>
  <c r="D1000" i="169"/>
  <c r="E1000" i="169" s="1"/>
  <c r="F1000" i="169"/>
  <c r="J1000" i="169"/>
  <c r="K1000" i="169"/>
  <c r="L1000" i="169"/>
  <c r="O1000" i="169"/>
  <c r="P1000" i="169"/>
  <c r="Q1000" i="169"/>
  <c r="U1000" i="169" s="1"/>
  <c r="W1000" i="169"/>
  <c r="A1001" i="169"/>
  <c r="B1001" i="169"/>
  <c r="D1001" i="169"/>
  <c r="E1001" i="169" s="1"/>
  <c r="F1001" i="169"/>
  <c r="J1001" i="169"/>
  <c r="K1001" i="169"/>
  <c r="L1001" i="169"/>
  <c r="O1001" i="169"/>
  <c r="P1001" i="169"/>
  <c r="Q1001" i="169"/>
  <c r="S1001" i="169" s="1"/>
  <c r="W1001" i="169"/>
  <c r="A1002" i="169"/>
  <c r="B1002" i="169"/>
  <c r="D1002" i="169"/>
  <c r="E1002" i="169" s="1"/>
  <c r="F1002" i="169"/>
  <c r="J1002" i="169"/>
  <c r="K1002" i="169"/>
  <c r="L1002" i="169"/>
  <c r="O1002" i="169"/>
  <c r="P1002" i="169"/>
  <c r="Q1002" i="169"/>
  <c r="U1002" i="169" s="1"/>
  <c r="W1002" i="169"/>
  <c r="A1003" i="169"/>
  <c r="B1003" i="169"/>
  <c r="D1003" i="169"/>
  <c r="E1003" i="169" s="1"/>
  <c r="F1003" i="169"/>
  <c r="J1003" i="169"/>
  <c r="K1003" i="169"/>
  <c r="L1003" i="169"/>
  <c r="O1003" i="169"/>
  <c r="P1003" i="169"/>
  <c r="Q1003" i="169"/>
  <c r="S1003" i="169" s="1"/>
  <c r="W1003" i="169"/>
  <c r="A1004" i="169"/>
  <c r="B1004" i="169"/>
  <c r="D1004" i="169"/>
  <c r="E1004" i="169" s="1"/>
  <c r="F1004" i="169"/>
  <c r="J1004" i="169"/>
  <c r="K1004" i="169"/>
  <c r="L1004" i="169"/>
  <c r="O1004" i="169"/>
  <c r="P1004" i="169"/>
  <c r="Q1004" i="169"/>
  <c r="U1004" i="169" s="1"/>
  <c r="W1004" i="169"/>
  <c r="A1005" i="169"/>
  <c r="B1005" i="169"/>
  <c r="D1005" i="169"/>
  <c r="E1005" i="169" s="1"/>
  <c r="F1005" i="169"/>
  <c r="J1005" i="169"/>
  <c r="K1005" i="169"/>
  <c r="L1005" i="169"/>
  <c r="O1005" i="169"/>
  <c r="P1005" i="169"/>
  <c r="Q1005" i="169"/>
  <c r="U1005" i="169" s="1"/>
  <c r="W1005" i="169"/>
  <c r="A969" i="169"/>
  <c r="B969" i="169"/>
  <c r="D969" i="169"/>
  <c r="E969" i="169" s="1"/>
  <c r="F969" i="169"/>
  <c r="J969" i="169"/>
  <c r="K969" i="169"/>
  <c r="L969" i="169"/>
  <c r="O969" i="169"/>
  <c r="P969" i="169"/>
  <c r="Q969" i="169"/>
  <c r="U969" i="169" s="1"/>
  <c r="W969" i="169"/>
  <c r="A970" i="169"/>
  <c r="B970" i="169"/>
  <c r="D970" i="169"/>
  <c r="E970" i="169" s="1"/>
  <c r="F970" i="169"/>
  <c r="J970" i="169"/>
  <c r="K970" i="169"/>
  <c r="L970" i="169"/>
  <c r="O970" i="169"/>
  <c r="P970" i="169"/>
  <c r="Q970" i="169"/>
  <c r="U970" i="169" s="1"/>
  <c r="W970" i="169"/>
  <c r="A971" i="169"/>
  <c r="B971" i="169"/>
  <c r="D971" i="169"/>
  <c r="E971" i="169" s="1"/>
  <c r="F971" i="169"/>
  <c r="J971" i="169"/>
  <c r="K971" i="169"/>
  <c r="L971" i="169"/>
  <c r="O971" i="169"/>
  <c r="P971" i="169"/>
  <c r="Q971" i="169"/>
  <c r="U971" i="169" s="1"/>
  <c r="W971" i="169"/>
  <c r="A972" i="169"/>
  <c r="B972" i="169"/>
  <c r="D972" i="169"/>
  <c r="E972" i="169" s="1"/>
  <c r="F972" i="169"/>
  <c r="J972" i="169"/>
  <c r="K972" i="169"/>
  <c r="L972" i="169"/>
  <c r="O972" i="169"/>
  <c r="P972" i="169"/>
  <c r="Q972" i="169"/>
  <c r="U972" i="169" s="1"/>
  <c r="W972" i="169"/>
  <c r="A973" i="169"/>
  <c r="B973" i="169"/>
  <c r="D973" i="169"/>
  <c r="E973" i="169" s="1"/>
  <c r="F973" i="169"/>
  <c r="J973" i="169"/>
  <c r="K973" i="169"/>
  <c r="L973" i="169"/>
  <c r="O973" i="169"/>
  <c r="P973" i="169"/>
  <c r="Q973" i="169"/>
  <c r="U973" i="169" s="1"/>
  <c r="W973" i="169"/>
  <c r="A974" i="169"/>
  <c r="B974" i="169"/>
  <c r="D974" i="169"/>
  <c r="E974" i="169" s="1"/>
  <c r="F974" i="169"/>
  <c r="J974" i="169"/>
  <c r="K974" i="169"/>
  <c r="L974" i="169"/>
  <c r="O974" i="169"/>
  <c r="P974" i="169"/>
  <c r="Q974" i="169"/>
  <c r="U974" i="169" s="1"/>
  <c r="W974" i="169"/>
  <c r="A975" i="169"/>
  <c r="B975" i="169"/>
  <c r="D975" i="169"/>
  <c r="E975" i="169" s="1"/>
  <c r="F975" i="169"/>
  <c r="J975" i="169"/>
  <c r="K975" i="169"/>
  <c r="L975" i="169"/>
  <c r="O975" i="169"/>
  <c r="P975" i="169"/>
  <c r="Q975" i="169"/>
  <c r="U975" i="169" s="1"/>
  <c r="W975" i="169"/>
  <c r="A976" i="169"/>
  <c r="B976" i="169"/>
  <c r="D976" i="169"/>
  <c r="E976" i="169" s="1"/>
  <c r="F976" i="169"/>
  <c r="J976" i="169"/>
  <c r="K976" i="169"/>
  <c r="L976" i="169"/>
  <c r="O976" i="169"/>
  <c r="P976" i="169"/>
  <c r="Q976" i="169"/>
  <c r="U976" i="169" s="1"/>
  <c r="W976" i="169"/>
  <c r="A977" i="169"/>
  <c r="B977" i="169"/>
  <c r="D977" i="169"/>
  <c r="E977" i="169" s="1"/>
  <c r="F977" i="169"/>
  <c r="J977" i="169"/>
  <c r="K977" i="169"/>
  <c r="L977" i="169"/>
  <c r="O977" i="169"/>
  <c r="P977" i="169"/>
  <c r="Q977" i="169"/>
  <c r="U977" i="169" s="1"/>
  <c r="W977" i="169"/>
  <c r="A978" i="169"/>
  <c r="B978" i="169"/>
  <c r="D978" i="169"/>
  <c r="E978" i="169" s="1"/>
  <c r="F978" i="169"/>
  <c r="J978" i="169"/>
  <c r="K978" i="169"/>
  <c r="L978" i="169"/>
  <c r="O978" i="169"/>
  <c r="P978" i="169"/>
  <c r="Q978" i="169"/>
  <c r="U978" i="169" s="1"/>
  <c r="W978" i="169"/>
  <c r="A979" i="169"/>
  <c r="B979" i="169"/>
  <c r="D979" i="169"/>
  <c r="E979" i="169" s="1"/>
  <c r="F979" i="169"/>
  <c r="J979" i="169"/>
  <c r="K979" i="169"/>
  <c r="L979" i="169"/>
  <c r="O979" i="169"/>
  <c r="P979" i="169"/>
  <c r="Q979" i="169"/>
  <c r="U979" i="169" s="1"/>
  <c r="W979" i="169"/>
  <c r="A980" i="169"/>
  <c r="B980" i="169"/>
  <c r="D980" i="169"/>
  <c r="E980" i="169" s="1"/>
  <c r="F980" i="169"/>
  <c r="J980" i="169"/>
  <c r="K980" i="169"/>
  <c r="L980" i="169"/>
  <c r="O980" i="169"/>
  <c r="P980" i="169"/>
  <c r="Q980" i="169"/>
  <c r="U980" i="169" s="1"/>
  <c r="W980" i="169"/>
  <c r="A981" i="169"/>
  <c r="B981" i="169"/>
  <c r="D981" i="169"/>
  <c r="E981" i="169" s="1"/>
  <c r="F981" i="169"/>
  <c r="J981" i="169"/>
  <c r="K981" i="169"/>
  <c r="L981" i="169"/>
  <c r="O981" i="169"/>
  <c r="P981" i="169"/>
  <c r="Q981" i="169"/>
  <c r="U981" i="169" s="1"/>
  <c r="W981" i="169"/>
  <c r="A982" i="169"/>
  <c r="B982" i="169"/>
  <c r="D982" i="169"/>
  <c r="E982" i="169" s="1"/>
  <c r="F982" i="169"/>
  <c r="J982" i="169"/>
  <c r="K982" i="169"/>
  <c r="L982" i="169"/>
  <c r="O982" i="169"/>
  <c r="P982" i="169"/>
  <c r="Q982" i="169"/>
  <c r="U982" i="169" s="1"/>
  <c r="W982" i="169"/>
  <c r="A983" i="169"/>
  <c r="B983" i="169"/>
  <c r="D983" i="169"/>
  <c r="E983" i="169" s="1"/>
  <c r="F983" i="169"/>
  <c r="J983" i="169"/>
  <c r="K983" i="169"/>
  <c r="L983" i="169"/>
  <c r="O983" i="169"/>
  <c r="P983" i="169"/>
  <c r="Q983" i="169"/>
  <c r="U983" i="169" s="1"/>
  <c r="W983" i="169"/>
  <c r="A984" i="169"/>
  <c r="B984" i="169"/>
  <c r="D984" i="169"/>
  <c r="E984" i="169" s="1"/>
  <c r="F984" i="169"/>
  <c r="J984" i="169"/>
  <c r="K984" i="169"/>
  <c r="L984" i="169"/>
  <c r="O984" i="169"/>
  <c r="P984" i="169"/>
  <c r="Q984" i="169"/>
  <c r="U984" i="169" s="1"/>
  <c r="W984" i="169"/>
  <c r="A985" i="169"/>
  <c r="B985" i="169"/>
  <c r="D985" i="169"/>
  <c r="E985" i="169" s="1"/>
  <c r="F985" i="169"/>
  <c r="J985" i="169"/>
  <c r="K985" i="169"/>
  <c r="L985" i="169"/>
  <c r="O985" i="169"/>
  <c r="P985" i="169"/>
  <c r="Q985" i="169"/>
  <c r="U985" i="169" s="1"/>
  <c r="W985" i="169"/>
  <c r="A986" i="169"/>
  <c r="B986" i="169"/>
  <c r="D986" i="169"/>
  <c r="E986" i="169" s="1"/>
  <c r="F986" i="169"/>
  <c r="J986" i="169"/>
  <c r="K986" i="169"/>
  <c r="L986" i="169"/>
  <c r="O986" i="169"/>
  <c r="P986" i="169"/>
  <c r="Q986" i="169"/>
  <c r="U986" i="169" s="1"/>
  <c r="W986" i="169"/>
  <c r="A987" i="169"/>
  <c r="B987" i="169"/>
  <c r="D987" i="169"/>
  <c r="E987" i="169" s="1"/>
  <c r="F987" i="169"/>
  <c r="J987" i="169"/>
  <c r="K987" i="169"/>
  <c r="L987" i="169"/>
  <c r="O987" i="169"/>
  <c r="P987" i="169"/>
  <c r="Q987" i="169"/>
  <c r="U987" i="169" s="1"/>
  <c r="W987" i="169"/>
  <c r="A1006" i="169"/>
  <c r="B1006" i="169"/>
  <c r="D1006" i="169"/>
  <c r="E1006" i="169" s="1"/>
  <c r="F1006" i="169"/>
  <c r="J1006" i="169"/>
  <c r="K1006" i="169"/>
  <c r="L1006" i="169"/>
  <c r="O1006" i="169"/>
  <c r="P1006" i="169"/>
  <c r="Q1006" i="169"/>
  <c r="U1006" i="169" s="1"/>
  <c r="W1006" i="169"/>
  <c r="A1007" i="169"/>
  <c r="B1007" i="169"/>
  <c r="D1007" i="169"/>
  <c r="E1007" i="169" s="1"/>
  <c r="F1007" i="169"/>
  <c r="J1007" i="169"/>
  <c r="K1007" i="169"/>
  <c r="L1007" i="169"/>
  <c r="O1007" i="169"/>
  <c r="P1007" i="169"/>
  <c r="Q1007" i="169"/>
  <c r="U1007" i="169" s="1"/>
  <c r="W1007" i="169"/>
  <c r="A1008" i="169"/>
  <c r="B1008" i="169"/>
  <c r="D1008" i="169"/>
  <c r="E1008" i="169" s="1"/>
  <c r="F1008" i="169"/>
  <c r="J1008" i="169"/>
  <c r="K1008" i="169"/>
  <c r="L1008" i="169"/>
  <c r="O1008" i="169"/>
  <c r="P1008" i="169"/>
  <c r="Q1008" i="169"/>
  <c r="U1008" i="169" s="1"/>
  <c r="W1008" i="169"/>
  <c r="A1009" i="169"/>
  <c r="B1009" i="169"/>
  <c r="D1009" i="169"/>
  <c r="E1009" i="169" s="1"/>
  <c r="F1009" i="169"/>
  <c r="J1009" i="169"/>
  <c r="K1009" i="169"/>
  <c r="L1009" i="169"/>
  <c r="O1009" i="169"/>
  <c r="P1009" i="169"/>
  <c r="Q1009" i="169"/>
  <c r="U1009" i="169" s="1"/>
  <c r="W1009" i="169"/>
  <c r="A1010" i="169"/>
  <c r="B1010" i="169"/>
  <c r="D1010" i="169"/>
  <c r="E1010" i="169" s="1"/>
  <c r="F1010" i="169"/>
  <c r="J1010" i="169"/>
  <c r="K1010" i="169"/>
  <c r="L1010" i="169"/>
  <c r="O1010" i="169"/>
  <c r="P1010" i="169"/>
  <c r="Q1010" i="169"/>
  <c r="U1010" i="169" s="1"/>
  <c r="W1010" i="169"/>
  <c r="A1032" i="169"/>
  <c r="B1032" i="169"/>
  <c r="D1032" i="169"/>
  <c r="E1032" i="169" s="1"/>
  <c r="F1032" i="169"/>
  <c r="J1032" i="169"/>
  <c r="K1032" i="169"/>
  <c r="L1032" i="169"/>
  <c r="O1032" i="169"/>
  <c r="P1032" i="169"/>
  <c r="Q1032" i="169"/>
  <c r="U1032" i="169" s="1"/>
  <c r="W1032" i="169"/>
  <c r="A1033" i="169"/>
  <c r="B1033" i="169"/>
  <c r="D1033" i="169"/>
  <c r="E1033" i="169" s="1"/>
  <c r="F1033" i="169"/>
  <c r="J1033" i="169"/>
  <c r="K1033" i="169"/>
  <c r="L1033" i="169"/>
  <c r="O1033" i="169"/>
  <c r="P1033" i="169"/>
  <c r="Q1033" i="169"/>
  <c r="U1033" i="169" s="1"/>
  <c r="W1033" i="169"/>
  <c r="A1034" i="169"/>
  <c r="B1034" i="169"/>
  <c r="D1034" i="169"/>
  <c r="E1034" i="169" s="1"/>
  <c r="F1034" i="169"/>
  <c r="J1034" i="169"/>
  <c r="K1034" i="169"/>
  <c r="L1034" i="169"/>
  <c r="O1034" i="169"/>
  <c r="P1034" i="169"/>
  <c r="Q1034" i="169"/>
  <c r="U1034" i="169" s="1"/>
  <c r="W1034" i="169"/>
  <c r="A948" i="169"/>
  <c r="B948" i="169"/>
  <c r="D948" i="169"/>
  <c r="E948" i="169" s="1"/>
  <c r="F948" i="169"/>
  <c r="J948" i="169"/>
  <c r="K948" i="169"/>
  <c r="L948" i="169"/>
  <c r="O948" i="169"/>
  <c r="P948" i="169"/>
  <c r="Q948" i="169"/>
  <c r="U948" i="169" s="1"/>
  <c r="W948" i="169"/>
  <c r="A949" i="169"/>
  <c r="B949" i="169"/>
  <c r="D949" i="169"/>
  <c r="E949" i="169" s="1"/>
  <c r="F949" i="169"/>
  <c r="J949" i="169"/>
  <c r="K949" i="169"/>
  <c r="L949" i="169"/>
  <c r="O949" i="169"/>
  <c r="P949" i="169"/>
  <c r="Q949" i="169"/>
  <c r="U949" i="169" s="1"/>
  <c r="W949" i="169"/>
  <c r="A950" i="169"/>
  <c r="B950" i="169"/>
  <c r="D950" i="169"/>
  <c r="E950" i="169" s="1"/>
  <c r="F950" i="169"/>
  <c r="J950" i="169"/>
  <c r="K950" i="169"/>
  <c r="L950" i="169"/>
  <c r="O950" i="169"/>
  <c r="P950" i="169"/>
  <c r="Q950" i="169"/>
  <c r="U950" i="169" s="1"/>
  <c r="W950" i="169"/>
  <c r="A951" i="169"/>
  <c r="B951" i="169"/>
  <c r="D951" i="169"/>
  <c r="E951" i="169" s="1"/>
  <c r="F951" i="169"/>
  <c r="J951" i="169"/>
  <c r="K951" i="169"/>
  <c r="L951" i="169"/>
  <c r="O951" i="169"/>
  <c r="P951" i="169"/>
  <c r="Q951" i="169"/>
  <c r="U951" i="169" s="1"/>
  <c r="W951" i="169"/>
  <c r="A952" i="169"/>
  <c r="B952" i="169"/>
  <c r="D952" i="169"/>
  <c r="E952" i="169" s="1"/>
  <c r="F952" i="169"/>
  <c r="J952" i="169"/>
  <c r="K952" i="169"/>
  <c r="L952" i="169"/>
  <c r="O952" i="169"/>
  <c r="P952" i="169"/>
  <c r="Q952" i="169"/>
  <c r="U952" i="169" s="1"/>
  <c r="W952" i="169"/>
  <c r="A953" i="169"/>
  <c r="B953" i="169"/>
  <c r="D953" i="169"/>
  <c r="E953" i="169" s="1"/>
  <c r="F953" i="169"/>
  <c r="J953" i="169"/>
  <c r="K953" i="169"/>
  <c r="L953" i="169"/>
  <c r="O953" i="169"/>
  <c r="P953" i="169"/>
  <c r="Q953" i="169"/>
  <c r="U953" i="169" s="1"/>
  <c r="W953" i="169"/>
  <c r="A954" i="169"/>
  <c r="B954" i="169"/>
  <c r="D954" i="169"/>
  <c r="E954" i="169" s="1"/>
  <c r="F954" i="169"/>
  <c r="J954" i="169"/>
  <c r="K954" i="169"/>
  <c r="L954" i="169"/>
  <c r="O954" i="169"/>
  <c r="P954" i="169"/>
  <c r="Q954" i="169"/>
  <c r="U954" i="169" s="1"/>
  <c r="W954" i="169"/>
  <c r="A955" i="169"/>
  <c r="B955" i="169"/>
  <c r="D955" i="169"/>
  <c r="E955" i="169" s="1"/>
  <c r="F955" i="169"/>
  <c r="J955" i="169"/>
  <c r="K955" i="169"/>
  <c r="L955" i="169"/>
  <c r="O955" i="169"/>
  <c r="P955" i="169"/>
  <c r="Q955" i="169"/>
  <c r="U955" i="169" s="1"/>
  <c r="W955" i="169"/>
  <c r="A956" i="169"/>
  <c r="B956" i="169"/>
  <c r="D956" i="169"/>
  <c r="E956" i="169" s="1"/>
  <c r="F956" i="169"/>
  <c r="J956" i="169"/>
  <c r="K956" i="169"/>
  <c r="L956" i="169"/>
  <c r="O956" i="169"/>
  <c r="P956" i="169"/>
  <c r="Q956" i="169"/>
  <c r="S956" i="169" s="1"/>
  <c r="W956" i="169"/>
  <c r="A957" i="169"/>
  <c r="B957" i="169"/>
  <c r="D957" i="169"/>
  <c r="E957" i="169" s="1"/>
  <c r="F957" i="169"/>
  <c r="J957" i="169"/>
  <c r="K957" i="169"/>
  <c r="L957" i="169"/>
  <c r="O957" i="169"/>
  <c r="P957" i="169"/>
  <c r="Q957" i="169"/>
  <c r="U957" i="169" s="1"/>
  <c r="W957" i="169"/>
  <c r="A958" i="169"/>
  <c r="B958" i="169"/>
  <c r="D958" i="169"/>
  <c r="E958" i="169" s="1"/>
  <c r="F958" i="169"/>
  <c r="J958" i="169"/>
  <c r="K958" i="169"/>
  <c r="L958" i="169"/>
  <c r="O958" i="169"/>
  <c r="P958" i="169"/>
  <c r="Q958" i="169"/>
  <c r="U958" i="169" s="1"/>
  <c r="W958" i="169"/>
  <c r="A959" i="169"/>
  <c r="B959" i="169"/>
  <c r="D959" i="169"/>
  <c r="E959" i="169" s="1"/>
  <c r="F959" i="169"/>
  <c r="J959" i="169"/>
  <c r="K959" i="169"/>
  <c r="L959" i="169"/>
  <c r="O959" i="169"/>
  <c r="P959" i="169"/>
  <c r="Q959" i="169"/>
  <c r="U959" i="169" s="1"/>
  <c r="W959" i="169"/>
  <c r="A960" i="169"/>
  <c r="B960" i="169"/>
  <c r="D960" i="169"/>
  <c r="E960" i="169" s="1"/>
  <c r="F960" i="169"/>
  <c r="J960" i="169"/>
  <c r="K960" i="169"/>
  <c r="L960" i="169"/>
  <c r="O960" i="169"/>
  <c r="P960" i="169"/>
  <c r="Q960" i="169"/>
  <c r="U960" i="169" s="1"/>
  <c r="W960" i="169"/>
  <c r="A961" i="169"/>
  <c r="B961" i="169"/>
  <c r="D961" i="169"/>
  <c r="E961" i="169" s="1"/>
  <c r="F961" i="169"/>
  <c r="J961" i="169"/>
  <c r="K961" i="169"/>
  <c r="L961" i="169"/>
  <c r="O961" i="169"/>
  <c r="P961" i="169"/>
  <c r="Q961" i="169"/>
  <c r="U961" i="169" s="1"/>
  <c r="W961" i="169"/>
  <c r="A962" i="169"/>
  <c r="B962" i="169"/>
  <c r="D962" i="169"/>
  <c r="E962" i="169" s="1"/>
  <c r="F962" i="169"/>
  <c r="J962" i="169"/>
  <c r="K962" i="169"/>
  <c r="L962" i="169"/>
  <c r="O962" i="169"/>
  <c r="P962" i="169"/>
  <c r="Q962" i="169"/>
  <c r="U962" i="169" s="1"/>
  <c r="W962" i="169"/>
  <c r="A963" i="169"/>
  <c r="B963" i="169"/>
  <c r="D963" i="169"/>
  <c r="E963" i="169" s="1"/>
  <c r="F963" i="169"/>
  <c r="J963" i="169"/>
  <c r="K963" i="169"/>
  <c r="L963" i="169"/>
  <c r="O963" i="169"/>
  <c r="P963" i="169"/>
  <c r="Q963" i="169"/>
  <c r="U963" i="169" s="1"/>
  <c r="W963" i="169"/>
  <c r="A964" i="169"/>
  <c r="B964" i="169"/>
  <c r="D964" i="169"/>
  <c r="E964" i="169" s="1"/>
  <c r="F964" i="169"/>
  <c r="J964" i="169"/>
  <c r="K964" i="169"/>
  <c r="L964" i="169"/>
  <c r="O964" i="169"/>
  <c r="P964" i="169"/>
  <c r="Q964" i="169"/>
  <c r="U964" i="169" s="1"/>
  <c r="W964" i="169"/>
  <c r="A965" i="169"/>
  <c r="B965" i="169"/>
  <c r="D965" i="169"/>
  <c r="E965" i="169" s="1"/>
  <c r="F965" i="169"/>
  <c r="J965" i="169"/>
  <c r="K965" i="169"/>
  <c r="L965" i="169"/>
  <c r="O965" i="169"/>
  <c r="P965" i="169"/>
  <c r="Q965" i="169"/>
  <c r="U965" i="169" s="1"/>
  <c r="W965" i="169"/>
  <c r="A966" i="169"/>
  <c r="B966" i="169"/>
  <c r="D966" i="169"/>
  <c r="E966" i="169" s="1"/>
  <c r="F966" i="169"/>
  <c r="J966" i="169"/>
  <c r="K966" i="169"/>
  <c r="L966" i="169"/>
  <c r="O966" i="169"/>
  <c r="P966" i="169"/>
  <c r="Q966" i="169"/>
  <c r="U966" i="169" s="1"/>
  <c r="W966" i="169"/>
  <c r="A912" i="169"/>
  <c r="B912" i="169"/>
  <c r="D912" i="169"/>
  <c r="E912" i="169" s="1"/>
  <c r="F912" i="169"/>
  <c r="J912" i="169"/>
  <c r="K912" i="169"/>
  <c r="L912" i="169"/>
  <c r="O912" i="169"/>
  <c r="P912" i="169"/>
  <c r="Q912" i="169"/>
  <c r="U912" i="169" s="1"/>
  <c r="W912" i="169"/>
  <c r="A913" i="169"/>
  <c r="B913" i="169"/>
  <c r="D913" i="169"/>
  <c r="E913" i="169" s="1"/>
  <c r="F913" i="169"/>
  <c r="J913" i="169"/>
  <c r="K913" i="169"/>
  <c r="L913" i="169"/>
  <c r="O913" i="169"/>
  <c r="P913" i="169"/>
  <c r="Q913" i="169"/>
  <c r="U913" i="169" s="1"/>
  <c r="W913" i="169"/>
  <c r="A914" i="169"/>
  <c r="B914" i="169"/>
  <c r="D914" i="169"/>
  <c r="E914" i="169" s="1"/>
  <c r="F914" i="169"/>
  <c r="J914" i="169"/>
  <c r="K914" i="169"/>
  <c r="L914" i="169"/>
  <c r="O914" i="169"/>
  <c r="P914" i="169"/>
  <c r="Q914" i="169"/>
  <c r="S914" i="169" s="1"/>
  <c r="W914" i="169"/>
  <c r="A915" i="169"/>
  <c r="B915" i="169"/>
  <c r="D915" i="169"/>
  <c r="E915" i="169" s="1"/>
  <c r="F915" i="169"/>
  <c r="J915" i="169"/>
  <c r="K915" i="169"/>
  <c r="L915" i="169"/>
  <c r="O915" i="169"/>
  <c r="P915" i="169"/>
  <c r="Q915" i="169"/>
  <c r="S915" i="169" s="1"/>
  <c r="W915" i="169"/>
  <c r="A916" i="169"/>
  <c r="B916" i="169"/>
  <c r="D916" i="169"/>
  <c r="E916" i="169" s="1"/>
  <c r="F916" i="169"/>
  <c r="J916" i="169"/>
  <c r="K916" i="169"/>
  <c r="L916" i="169"/>
  <c r="O916" i="169"/>
  <c r="P916" i="169"/>
  <c r="Q916" i="169"/>
  <c r="S916" i="169" s="1"/>
  <c r="W916" i="169"/>
  <c r="A917" i="169"/>
  <c r="B917" i="169"/>
  <c r="D917" i="169"/>
  <c r="E917" i="169" s="1"/>
  <c r="F917" i="169"/>
  <c r="J917" i="169"/>
  <c r="K917" i="169"/>
  <c r="L917" i="169"/>
  <c r="O917" i="169"/>
  <c r="P917" i="169"/>
  <c r="Q917" i="169"/>
  <c r="U917" i="169" s="1"/>
  <c r="W917" i="169"/>
  <c r="A918" i="169"/>
  <c r="B918" i="169"/>
  <c r="D918" i="169"/>
  <c r="E918" i="169" s="1"/>
  <c r="F918" i="169"/>
  <c r="J918" i="169"/>
  <c r="K918" i="169"/>
  <c r="L918" i="169"/>
  <c r="O918" i="169"/>
  <c r="P918" i="169"/>
  <c r="Q918" i="169"/>
  <c r="U918" i="169" s="1"/>
  <c r="W918" i="169"/>
  <c r="A919" i="169"/>
  <c r="B919" i="169"/>
  <c r="D919" i="169"/>
  <c r="E919" i="169" s="1"/>
  <c r="F919" i="169"/>
  <c r="J919" i="169"/>
  <c r="K919" i="169"/>
  <c r="L919" i="169"/>
  <c r="O919" i="169"/>
  <c r="P919" i="169"/>
  <c r="Q919" i="169"/>
  <c r="U919" i="169" s="1"/>
  <c r="W919" i="169"/>
  <c r="A920" i="169"/>
  <c r="B920" i="169"/>
  <c r="D920" i="169"/>
  <c r="E920" i="169" s="1"/>
  <c r="F920" i="169"/>
  <c r="J920" i="169"/>
  <c r="K920" i="169"/>
  <c r="L920" i="169"/>
  <c r="O920" i="169"/>
  <c r="P920" i="169"/>
  <c r="Q920" i="169"/>
  <c r="U920" i="169" s="1"/>
  <c r="W920" i="169"/>
  <c r="A921" i="169"/>
  <c r="B921" i="169"/>
  <c r="D921" i="169"/>
  <c r="E921" i="169" s="1"/>
  <c r="F921" i="169"/>
  <c r="J921" i="169"/>
  <c r="K921" i="169"/>
  <c r="L921" i="169"/>
  <c r="O921" i="169"/>
  <c r="P921" i="169"/>
  <c r="Q921" i="169"/>
  <c r="U921" i="169" s="1"/>
  <c r="W921" i="169"/>
  <c r="A922" i="169"/>
  <c r="B922" i="169"/>
  <c r="D922" i="169"/>
  <c r="E922" i="169" s="1"/>
  <c r="F922" i="169"/>
  <c r="J922" i="169"/>
  <c r="K922" i="169"/>
  <c r="L922" i="169"/>
  <c r="O922" i="169"/>
  <c r="P922" i="169"/>
  <c r="Q922" i="169"/>
  <c r="U922" i="169" s="1"/>
  <c r="W922" i="169"/>
  <c r="A923" i="169"/>
  <c r="B923" i="169"/>
  <c r="D923" i="169"/>
  <c r="E923" i="169" s="1"/>
  <c r="F923" i="169"/>
  <c r="J923" i="169"/>
  <c r="K923" i="169"/>
  <c r="L923" i="169"/>
  <c r="O923" i="169"/>
  <c r="P923" i="169"/>
  <c r="Q923" i="169"/>
  <c r="U923" i="169" s="1"/>
  <c r="W923" i="169"/>
  <c r="A924" i="169"/>
  <c r="B924" i="169"/>
  <c r="D924" i="169"/>
  <c r="E924" i="169" s="1"/>
  <c r="F924" i="169"/>
  <c r="J924" i="169"/>
  <c r="K924" i="169"/>
  <c r="L924" i="169"/>
  <c r="O924" i="169"/>
  <c r="P924" i="169"/>
  <c r="Q924" i="169"/>
  <c r="S924" i="169" s="1"/>
  <c r="W924" i="169"/>
  <c r="A925" i="169"/>
  <c r="B925" i="169"/>
  <c r="D925" i="169"/>
  <c r="E925" i="169" s="1"/>
  <c r="F925" i="169"/>
  <c r="J925" i="169"/>
  <c r="K925" i="169"/>
  <c r="L925" i="169"/>
  <c r="O925" i="169"/>
  <c r="P925" i="169"/>
  <c r="Q925" i="169"/>
  <c r="S925" i="169" s="1"/>
  <c r="W925" i="169"/>
  <c r="A926" i="169"/>
  <c r="B926" i="169"/>
  <c r="D926" i="169"/>
  <c r="E926" i="169" s="1"/>
  <c r="F926" i="169"/>
  <c r="J926" i="169"/>
  <c r="K926" i="169"/>
  <c r="L926" i="169"/>
  <c r="O926" i="169"/>
  <c r="P926" i="169"/>
  <c r="Q926" i="169"/>
  <c r="U926" i="169" s="1"/>
  <c r="W926" i="169"/>
  <c r="A927" i="169"/>
  <c r="B927" i="169"/>
  <c r="D927" i="169"/>
  <c r="E927" i="169" s="1"/>
  <c r="F927" i="169"/>
  <c r="J927" i="169"/>
  <c r="K927" i="169"/>
  <c r="L927" i="169"/>
  <c r="O927" i="169"/>
  <c r="P927" i="169"/>
  <c r="Q927" i="169"/>
  <c r="S927" i="169" s="1"/>
  <c r="W927" i="169"/>
  <c r="A928" i="169"/>
  <c r="B928" i="169"/>
  <c r="D928" i="169"/>
  <c r="E928" i="169" s="1"/>
  <c r="F928" i="169"/>
  <c r="J928" i="169"/>
  <c r="K928" i="169"/>
  <c r="L928" i="169"/>
  <c r="O928" i="169"/>
  <c r="P928" i="169"/>
  <c r="Q928" i="169"/>
  <c r="S928" i="169" s="1"/>
  <c r="W928" i="169"/>
  <c r="A929" i="169"/>
  <c r="B929" i="169"/>
  <c r="D929" i="169"/>
  <c r="E929" i="169" s="1"/>
  <c r="F929" i="169"/>
  <c r="J929" i="169"/>
  <c r="K929" i="169"/>
  <c r="L929" i="169"/>
  <c r="O929" i="169"/>
  <c r="P929" i="169"/>
  <c r="Q929" i="169"/>
  <c r="S929" i="169" s="1"/>
  <c r="W929" i="169"/>
  <c r="A930" i="169"/>
  <c r="B930" i="169"/>
  <c r="D930" i="169"/>
  <c r="E930" i="169" s="1"/>
  <c r="F930" i="169"/>
  <c r="J930" i="169"/>
  <c r="K930" i="169"/>
  <c r="L930" i="169"/>
  <c r="O930" i="169"/>
  <c r="P930" i="169"/>
  <c r="Q930" i="169"/>
  <c r="S930" i="169" s="1"/>
  <c r="W930" i="169"/>
  <c r="A931" i="169"/>
  <c r="B931" i="169"/>
  <c r="D931" i="169"/>
  <c r="E931" i="169" s="1"/>
  <c r="F931" i="169"/>
  <c r="J931" i="169"/>
  <c r="K931" i="169"/>
  <c r="L931" i="169"/>
  <c r="O931" i="169"/>
  <c r="P931" i="169"/>
  <c r="Q931" i="169"/>
  <c r="S931" i="169" s="1"/>
  <c r="W931" i="169"/>
  <c r="A932" i="169"/>
  <c r="B932" i="169"/>
  <c r="D932" i="169"/>
  <c r="E932" i="169" s="1"/>
  <c r="F932" i="169"/>
  <c r="J932" i="169"/>
  <c r="K932" i="169"/>
  <c r="L932" i="169"/>
  <c r="O932" i="169"/>
  <c r="P932" i="169"/>
  <c r="Q932" i="169"/>
  <c r="U932" i="169" s="1"/>
  <c r="W932" i="169"/>
  <c r="A933" i="169"/>
  <c r="B933" i="169"/>
  <c r="D933" i="169"/>
  <c r="E933" i="169" s="1"/>
  <c r="F933" i="169"/>
  <c r="J933" i="169"/>
  <c r="K933" i="169"/>
  <c r="L933" i="169"/>
  <c r="O933" i="169"/>
  <c r="P933" i="169"/>
  <c r="Q933" i="169"/>
  <c r="S933" i="169" s="1"/>
  <c r="W933" i="169"/>
  <c r="A934" i="169"/>
  <c r="B934" i="169"/>
  <c r="D934" i="169"/>
  <c r="E934" i="169" s="1"/>
  <c r="F934" i="169"/>
  <c r="J934" i="169"/>
  <c r="K934" i="169"/>
  <c r="L934" i="169"/>
  <c r="O934" i="169"/>
  <c r="P934" i="169"/>
  <c r="Q934" i="169"/>
  <c r="S934" i="169" s="1"/>
  <c r="W934" i="169"/>
  <c r="A935" i="169"/>
  <c r="B935" i="169"/>
  <c r="D935" i="169"/>
  <c r="E935" i="169" s="1"/>
  <c r="F935" i="169"/>
  <c r="J935" i="169"/>
  <c r="K935" i="169"/>
  <c r="L935" i="169"/>
  <c r="O935" i="169"/>
  <c r="P935" i="169"/>
  <c r="Q935" i="169"/>
  <c r="S935" i="169" s="1"/>
  <c r="W935" i="169"/>
  <c r="A936" i="169"/>
  <c r="B936" i="169"/>
  <c r="D936" i="169"/>
  <c r="E936" i="169" s="1"/>
  <c r="F936" i="169"/>
  <c r="J936" i="169"/>
  <c r="K936" i="169"/>
  <c r="L936" i="169"/>
  <c r="O936" i="169"/>
  <c r="P936" i="169"/>
  <c r="Q936" i="169"/>
  <c r="S936" i="169" s="1"/>
  <c r="W936" i="169"/>
  <c r="A937" i="169"/>
  <c r="B937" i="169"/>
  <c r="D937" i="169"/>
  <c r="E937" i="169" s="1"/>
  <c r="F937" i="169"/>
  <c r="J937" i="169"/>
  <c r="K937" i="169"/>
  <c r="L937" i="169"/>
  <c r="O937" i="169"/>
  <c r="P937" i="169"/>
  <c r="Q937" i="169"/>
  <c r="U937" i="169" s="1"/>
  <c r="W937" i="169"/>
  <c r="A938" i="169"/>
  <c r="B938" i="169"/>
  <c r="D938" i="169"/>
  <c r="E938" i="169" s="1"/>
  <c r="F938" i="169"/>
  <c r="J938" i="169"/>
  <c r="K938" i="169"/>
  <c r="L938" i="169"/>
  <c r="O938" i="169"/>
  <c r="P938" i="169"/>
  <c r="Q938" i="169"/>
  <c r="S938" i="169" s="1"/>
  <c r="W938" i="169"/>
  <c r="A939" i="169"/>
  <c r="B939" i="169"/>
  <c r="D939" i="169"/>
  <c r="E939" i="169" s="1"/>
  <c r="F939" i="169"/>
  <c r="J939" i="169"/>
  <c r="K939" i="169"/>
  <c r="L939" i="169"/>
  <c r="O939" i="169"/>
  <c r="P939" i="169"/>
  <c r="Q939" i="169"/>
  <c r="S939" i="169" s="1"/>
  <c r="W939" i="169"/>
  <c r="A940" i="169"/>
  <c r="B940" i="169"/>
  <c r="D940" i="169"/>
  <c r="E940" i="169" s="1"/>
  <c r="F940" i="169"/>
  <c r="J940" i="169"/>
  <c r="K940" i="169"/>
  <c r="L940" i="169"/>
  <c r="O940" i="169"/>
  <c r="P940" i="169"/>
  <c r="Q940" i="169"/>
  <c r="U940" i="169" s="1"/>
  <c r="W940" i="169"/>
  <c r="A941" i="169"/>
  <c r="B941" i="169"/>
  <c r="D941" i="169"/>
  <c r="E941" i="169" s="1"/>
  <c r="F941" i="169"/>
  <c r="J941" i="169"/>
  <c r="K941" i="169"/>
  <c r="L941" i="169"/>
  <c r="O941" i="169"/>
  <c r="P941" i="169"/>
  <c r="Q941" i="169"/>
  <c r="U941" i="169" s="1"/>
  <c r="W941" i="169"/>
  <c r="A942" i="169"/>
  <c r="B942" i="169"/>
  <c r="D942" i="169"/>
  <c r="E942" i="169" s="1"/>
  <c r="F942" i="169"/>
  <c r="J942" i="169"/>
  <c r="K942" i="169"/>
  <c r="L942" i="169"/>
  <c r="O942" i="169"/>
  <c r="P942" i="169"/>
  <c r="Q942" i="169"/>
  <c r="S942" i="169" s="1"/>
  <c r="W942" i="169"/>
  <c r="A943" i="169"/>
  <c r="B943" i="169"/>
  <c r="D943" i="169"/>
  <c r="E943" i="169" s="1"/>
  <c r="F943" i="169"/>
  <c r="J943" i="169"/>
  <c r="K943" i="169"/>
  <c r="L943" i="169"/>
  <c r="O943" i="169"/>
  <c r="P943" i="169"/>
  <c r="Q943" i="169"/>
  <c r="S943" i="169" s="1"/>
  <c r="W943" i="169"/>
  <c r="X1278" i="169" l="1"/>
  <c r="AF1278" i="169" s="1"/>
  <c r="V1278" i="169"/>
  <c r="V1285" i="169"/>
  <c r="V1301" i="169"/>
  <c r="V1298" i="169"/>
  <c r="V1304" i="169"/>
  <c r="V1264" i="169"/>
  <c r="X1264" i="169"/>
  <c r="AF1264" i="169" s="1"/>
  <c r="S1264" i="169"/>
  <c r="V1265" i="169"/>
  <c r="X1265" i="169"/>
  <c r="AF1265" i="169" s="1"/>
  <c r="S1265" i="169"/>
  <c r="V1266" i="169"/>
  <c r="X1266" i="169"/>
  <c r="AF1266" i="169" s="1"/>
  <c r="S1266" i="169"/>
  <c r="S1305" i="169"/>
  <c r="V1305" i="169"/>
  <c r="X1305" i="169"/>
  <c r="AF1305" i="169" s="1"/>
  <c r="V1306" i="169"/>
  <c r="X1306" i="169"/>
  <c r="AF1306" i="169" s="1"/>
  <c r="S1306" i="169"/>
  <c r="S1308" i="169"/>
  <c r="V1307" i="169"/>
  <c r="X1307" i="169"/>
  <c r="AF1307" i="169" s="1"/>
  <c r="S1307" i="169"/>
  <c r="V1308" i="169"/>
  <c r="X1308" i="169"/>
  <c r="AF1308" i="169" s="1"/>
  <c r="V1309" i="169"/>
  <c r="X1309" i="169"/>
  <c r="AF1309" i="169" s="1"/>
  <c r="S1309" i="169"/>
  <c r="V1310" i="169"/>
  <c r="X1310" i="169"/>
  <c r="AF1310" i="169" s="1"/>
  <c r="S1310" i="169"/>
  <c r="S1311" i="169"/>
  <c r="V1311" i="169"/>
  <c r="X1311" i="169"/>
  <c r="AF1311" i="169" s="1"/>
  <c r="X1312" i="169"/>
  <c r="AF1312" i="169" s="1"/>
  <c r="V1312" i="169"/>
  <c r="S1312" i="169"/>
  <c r="V1234" i="169"/>
  <c r="X1234" i="169"/>
  <c r="AF1234" i="169" s="1"/>
  <c r="S1234" i="169"/>
  <c r="V1235" i="169"/>
  <c r="X1235" i="169"/>
  <c r="AF1235" i="169" s="1"/>
  <c r="S1235" i="169"/>
  <c r="V1236" i="169"/>
  <c r="X1236" i="169"/>
  <c r="AF1236" i="169" s="1"/>
  <c r="S1236" i="169"/>
  <c r="V1237" i="169"/>
  <c r="X1237" i="169"/>
  <c r="AF1237" i="169" s="1"/>
  <c r="S1237" i="169"/>
  <c r="S1238" i="169"/>
  <c r="V1238" i="169"/>
  <c r="X1238" i="169"/>
  <c r="AF1238" i="169" s="1"/>
  <c r="V1239" i="169"/>
  <c r="X1239" i="169"/>
  <c r="AF1239" i="169" s="1"/>
  <c r="S1239" i="169"/>
  <c r="S1241" i="169"/>
  <c r="V1240" i="169"/>
  <c r="X1240" i="169"/>
  <c r="AF1240" i="169" s="1"/>
  <c r="S1240" i="169"/>
  <c r="V1241" i="169"/>
  <c r="X1241" i="169"/>
  <c r="AF1241" i="169" s="1"/>
  <c r="S1242" i="169"/>
  <c r="V1242" i="169"/>
  <c r="X1242" i="169"/>
  <c r="AF1242" i="169" s="1"/>
  <c r="V1243" i="169"/>
  <c r="X1243" i="169"/>
  <c r="AF1243" i="169" s="1"/>
  <c r="S1243" i="169"/>
  <c r="V1244" i="169"/>
  <c r="X1244" i="169"/>
  <c r="AF1244" i="169" s="1"/>
  <c r="S1244" i="169"/>
  <c r="S1245" i="169"/>
  <c r="V1245" i="169"/>
  <c r="X1245" i="169"/>
  <c r="AF1245" i="169" s="1"/>
  <c r="S1246" i="169"/>
  <c r="V1246" i="169"/>
  <c r="X1246" i="169"/>
  <c r="AF1246" i="169" s="1"/>
  <c r="U1247" i="169"/>
  <c r="X1247" i="169" s="1"/>
  <c r="AF1247" i="169" s="1"/>
  <c r="S1248" i="169"/>
  <c r="V1248" i="169"/>
  <c r="X1248" i="169"/>
  <c r="AF1248" i="169" s="1"/>
  <c r="V1249" i="169"/>
  <c r="X1249" i="169"/>
  <c r="AF1249" i="169" s="1"/>
  <c r="S1249" i="169"/>
  <c r="S1250" i="169"/>
  <c r="V1250" i="169"/>
  <c r="X1250" i="169"/>
  <c r="AF1250" i="169" s="1"/>
  <c r="V1251" i="169"/>
  <c r="X1251" i="169"/>
  <c r="AF1251" i="169" s="1"/>
  <c r="S1251" i="169"/>
  <c r="S1255" i="169"/>
  <c r="V1252" i="169"/>
  <c r="X1252" i="169"/>
  <c r="AF1252" i="169" s="1"/>
  <c r="S1252" i="169"/>
  <c r="V1253" i="169"/>
  <c r="X1253" i="169"/>
  <c r="AF1253" i="169" s="1"/>
  <c r="S1253" i="169"/>
  <c r="V1254" i="169"/>
  <c r="X1254" i="169"/>
  <c r="AF1254" i="169" s="1"/>
  <c r="S1254" i="169"/>
  <c r="V1255" i="169"/>
  <c r="X1255" i="169"/>
  <c r="AF1255" i="169" s="1"/>
  <c r="V1204" i="169"/>
  <c r="X1204" i="169"/>
  <c r="AF1204" i="169" s="1"/>
  <c r="S1204" i="169"/>
  <c r="V1205" i="169"/>
  <c r="X1205" i="169"/>
  <c r="AF1205" i="169" s="1"/>
  <c r="S1205" i="169"/>
  <c r="V1206" i="169"/>
  <c r="X1206" i="169"/>
  <c r="AF1206" i="169" s="1"/>
  <c r="S1206" i="169"/>
  <c r="V1207" i="169"/>
  <c r="X1207" i="169"/>
  <c r="AF1207" i="169" s="1"/>
  <c r="S1207" i="169"/>
  <c r="V1208" i="169"/>
  <c r="X1208" i="169"/>
  <c r="AF1208" i="169" s="1"/>
  <c r="S1208" i="169"/>
  <c r="V1209" i="169"/>
  <c r="X1209" i="169"/>
  <c r="AF1209" i="169" s="1"/>
  <c r="S1209" i="169"/>
  <c r="V1210" i="169"/>
  <c r="X1210" i="169"/>
  <c r="AF1210" i="169" s="1"/>
  <c r="S1210" i="169"/>
  <c r="V1211" i="169"/>
  <c r="X1211" i="169"/>
  <c r="AF1211" i="169" s="1"/>
  <c r="S1211" i="169"/>
  <c r="V1212" i="169"/>
  <c r="X1212" i="169"/>
  <c r="AF1212" i="169" s="1"/>
  <c r="S1212" i="169"/>
  <c r="V1213" i="169"/>
  <c r="X1213" i="169"/>
  <c r="AF1213" i="169" s="1"/>
  <c r="S1213" i="169"/>
  <c r="V1214" i="169"/>
  <c r="X1214" i="169"/>
  <c r="AF1214" i="169" s="1"/>
  <c r="S1214" i="169"/>
  <c r="V1215" i="169"/>
  <c r="X1215" i="169"/>
  <c r="AF1215" i="169" s="1"/>
  <c r="S1215" i="169"/>
  <c r="V1216" i="169"/>
  <c r="X1216" i="169"/>
  <c r="AF1216" i="169" s="1"/>
  <c r="S1216" i="169"/>
  <c r="V1217" i="169"/>
  <c r="X1217" i="169"/>
  <c r="AF1217" i="169" s="1"/>
  <c r="S1217" i="169"/>
  <c r="V1218" i="169"/>
  <c r="X1218" i="169"/>
  <c r="AF1218" i="169" s="1"/>
  <c r="S1218" i="169"/>
  <c r="V1219" i="169"/>
  <c r="X1219" i="169"/>
  <c r="AF1219" i="169" s="1"/>
  <c r="S1219" i="169"/>
  <c r="V1220" i="169"/>
  <c r="X1220" i="169"/>
  <c r="AF1220" i="169" s="1"/>
  <c r="S1220" i="169"/>
  <c r="V1221" i="169"/>
  <c r="X1221" i="169"/>
  <c r="AF1221" i="169" s="1"/>
  <c r="S1221" i="169"/>
  <c r="V1222" i="169"/>
  <c r="X1222" i="169"/>
  <c r="AF1222" i="169" s="1"/>
  <c r="S1222" i="169"/>
  <c r="V1223" i="169"/>
  <c r="X1223" i="169"/>
  <c r="AF1223" i="169" s="1"/>
  <c r="S1223" i="169"/>
  <c r="S1226" i="169"/>
  <c r="V1224" i="169"/>
  <c r="X1224" i="169"/>
  <c r="AF1224" i="169" s="1"/>
  <c r="S1224" i="169"/>
  <c r="V1225" i="169"/>
  <c r="X1225" i="169"/>
  <c r="AF1225" i="169" s="1"/>
  <c r="S1225" i="169"/>
  <c r="V1226" i="169"/>
  <c r="X1226" i="169"/>
  <c r="AF1226" i="169" s="1"/>
  <c r="V1227" i="169"/>
  <c r="X1227" i="169"/>
  <c r="AF1227" i="169" s="1"/>
  <c r="S1227" i="169"/>
  <c r="V1228" i="169"/>
  <c r="X1228" i="169"/>
  <c r="AF1228" i="169" s="1"/>
  <c r="S1228" i="169"/>
  <c r="V1229" i="169"/>
  <c r="X1229" i="169"/>
  <c r="AF1229" i="169" s="1"/>
  <c r="S1229" i="169"/>
  <c r="V1230" i="169"/>
  <c r="X1230" i="169"/>
  <c r="AF1230" i="169" s="1"/>
  <c r="S1230" i="169"/>
  <c r="V1231" i="169"/>
  <c r="X1231" i="169"/>
  <c r="AF1231" i="169" s="1"/>
  <c r="S1231" i="169"/>
  <c r="V1232" i="169"/>
  <c r="X1232" i="169"/>
  <c r="AF1232" i="169" s="1"/>
  <c r="S1232" i="169"/>
  <c r="V1233" i="169"/>
  <c r="X1233" i="169"/>
  <c r="AF1233" i="169" s="1"/>
  <c r="S1233" i="169"/>
  <c r="V1256" i="169"/>
  <c r="X1256" i="169"/>
  <c r="AF1256" i="169" s="1"/>
  <c r="S1256" i="169"/>
  <c r="V1257" i="169"/>
  <c r="X1257" i="169"/>
  <c r="AF1257" i="169" s="1"/>
  <c r="S1257" i="169"/>
  <c r="V1182" i="169"/>
  <c r="X1182" i="169"/>
  <c r="AF1182" i="169" s="1"/>
  <c r="S1182" i="169"/>
  <c r="V1183" i="169"/>
  <c r="X1183" i="169"/>
  <c r="AF1183" i="169" s="1"/>
  <c r="S1183" i="169"/>
  <c r="V1184" i="169"/>
  <c r="X1184" i="169"/>
  <c r="AF1184" i="169" s="1"/>
  <c r="S1184" i="169"/>
  <c r="V1185" i="169"/>
  <c r="X1185" i="169"/>
  <c r="AF1185" i="169" s="1"/>
  <c r="S1185" i="169"/>
  <c r="V1186" i="169"/>
  <c r="X1186" i="169"/>
  <c r="AF1186" i="169" s="1"/>
  <c r="S1186" i="169"/>
  <c r="V1187" i="169"/>
  <c r="X1187" i="169"/>
  <c r="AF1187" i="169" s="1"/>
  <c r="S1187" i="169"/>
  <c r="V1188" i="169"/>
  <c r="X1188" i="169"/>
  <c r="AF1188" i="169" s="1"/>
  <c r="S1188" i="169"/>
  <c r="V1189" i="169"/>
  <c r="X1189" i="169"/>
  <c r="AF1189" i="169" s="1"/>
  <c r="S1189" i="169"/>
  <c r="V1190" i="169"/>
  <c r="X1190" i="169"/>
  <c r="AF1190" i="169" s="1"/>
  <c r="S1190" i="169"/>
  <c r="V1191" i="169"/>
  <c r="X1191" i="169"/>
  <c r="AF1191" i="169" s="1"/>
  <c r="S1191" i="169"/>
  <c r="V1192" i="169"/>
  <c r="X1192" i="169"/>
  <c r="AF1192" i="169" s="1"/>
  <c r="S1192" i="169"/>
  <c r="V1193" i="169"/>
  <c r="X1193" i="169"/>
  <c r="AF1193" i="169" s="1"/>
  <c r="S1193" i="169"/>
  <c r="V1194" i="169"/>
  <c r="X1194" i="169"/>
  <c r="AF1194" i="169" s="1"/>
  <c r="S1194" i="169"/>
  <c r="V1195" i="169"/>
  <c r="X1195" i="169"/>
  <c r="AF1195" i="169" s="1"/>
  <c r="S1195" i="169"/>
  <c r="V1196" i="169"/>
  <c r="X1196" i="169"/>
  <c r="AF1196" i="169" s="1"/>
  <c r="S1196" i="169"/>
  <c r="V1197" i="169"/>
  <c r="X1197" i="169"/>
  <c r="AF1197" i="169" s="1"/>
  <c r="S1197" i="169"/>
  <c r="V1198" i="169"/>
  <c r="X1198" i="169"/>
  <c r="AF1198" i="169" s="1"/>
  <c r="S1198" i="169"/>
  <c r="V1199" i="169"/>
  <c r="X1199" i="169"/>
  <c r="AF1199" i="169" s="1"/>
  <c r="S1199" i="169"/>
  <c r="V1200" i="169"/>
  <c r="X1200" i="169"/>
  <c r="AF1200" i="169" s="1"/>
  <c r="S1200" i="169"/>
  <c r="V1201" i="169"/>
  <c r="X1201" i="169"/>
  <c r="AF1201" i="169" s="1"/>
  <c r="S1201" i="169"/>
  <c r="S1202" i="169"/>
  <c r="V1202" i="169"/>
  <c r="X1202" i="169"/>
  <c r="AF1202" i="169" s="1"/>
  <c r="V1203" i="169"/>
  <c r="X1203" i="169"/>
  <c r="AF1203" i="169" s="1"/>
  <c r="S1203" i="169"/>
  <c r="S1164" i="169"/>
  <c r="S1163" i="169"/>
  <c r="S1258" i="169"/>
  <c r="V1258" i="169"/>
  <c r="X1258" i="169"/>
  <c r="AF1258" i="169" s="1"/>
  <c r="S1167" i="169"/>
  <c r="V1163" i="169"/>
  <c r="X1163" i="169"/>
  <c r="AF1163" i="169" s="1"/>
  <c r="S1168" i="169"/>
  <c r="V1164" i="169"/>
  <c r="X1164" i="169"/>
  <c r="AF1164" i="169" s="1"/>
  <c r="V1165" i="169"/>
  <c r="X1165" i="169"/>
  <c r="AF1165" i="169" s="1"/>
  <c r="S1165" i="169"/>
  <c r="V1166" i="169"/>
  <c r="X1166" i="169"/>
  <c r="AF1166" i="169" s="1"/>
  <c r="S1166" i="169"/>
  <c r="V1167" i="169"/>
  <c r="X1167" i="169"/>
  <c r="AF1167" i="169" s="1"/>
  <c r="V1168" i="169"/>
  <c r="X1168" i="169"/>
  <c r="AF1168" i="169" s="1"/>
  <c r="V1148" i="169"/>
  <c r="X1148" i="169"/>
  <c r="AF1148" i="169" s="1"/>
  <c r="S1148" i="169"/>
  <c r="U1150" i="169"/>
  <c r="V1149" i="169"/>
  <c r="X1149" i="169"/>
  <c r="AF1149" i="169" s="1"/>
  <c r="S1149" i="169"/>
  <c r="V1151" i="169"/>
  <c r="X1151" i="169"/>
  <c r="AF1151" i="169" s="1"/>
  <c r="S1151" i="169"/>
  <c r="U1153" i="169"/>
  <c r="V1153" i="169" s="1"/>
  <c r="V1152" i="169"/>
  <c r="X1152" i="169"/>
  <c r="AF1152" i="169" s="1"/>
  <c r="S1152" i="169"/>
  <c r="U1155" i="169"/>
  <c r="V1154" i="169"/>
  <c r="X1154" i="169"/>
  <c r="AF1154" i="169" s="1"/>
  <c r="S1154" i="169"/>
  <c r="V1156" i="169"/>
  <c r="X1156" i="169"/>
  <c r="AF1156" i="169" s="1"/>
  <c r="S1156" i="169"/>
  <c r="U1160" i="169"/>
  <c r="V1160" i="169" s="1"/>
  <c r="U1158" i="169"/>
  <c r="V1158" i="169" s="1"/>
  <c r="X1162" i="169"/>
  <c r="AF1162" i="169" s="1"/>
  <c r="V1157" i="169"/>
  <c r="X1157" i="169"/>
  <c r="AF1157" i="169" s="1"/>
  <c r="S1162" i="169"/>
  <c r="S1161" i="169"/>
  <c r="S1157" i="169"/>
  <c r="V1159" i="169"/>
  <c r="X1159" i="169"/>
  <c r="AF1159" i="169" s="1"/>
  <c r="V1162" i="169"/>
  <c r="S1159" i="169"/>
  <c r="V1161" i="169"/>
  <c r="X1161" i="169"/>
  <c r="AF1161" i="169" s="1"/>
  <c r="V1169" i="169"/>
  <c r="X1169" i="169"/>
  <c r="AF1169" i="169" s="1"/>
  <c r="S1169" i="169"/>
  <c r="U1173" i="169"/>
  <c r="V1173" i="169" s="1"/>
  <c r="U1175" i="169"/>
  <c r="X1175" i="169" s="1"/>
  <c r="AF1175" i="169" s="1"/>
  <c r="U1172" i="169"/>
  <c r="V1172" i="169" s="1"/>
  <c r="U1171" i="169"/>
  <c r="V1170" i="169"/>
  <c r="X1170" i="169"/>
  <c r="AF1170" i="169" s="1"/>
  <c r="S1170" i="169"/>
  <c r="U1177" i="169"/>
  <c r="V1177" i="169" s="1"/>
  <c r="U1176" i="169"/>
  <c r="X1176" i="169" s="1"/>
  <c r="AF1176" i="169" s="1"/>
  <c r="S1131" i="169"/>
  <c r="V1174" i="169"/>
  <c r="X1174" i="169"/>
  <c r="AF1174" i="169" s="1"/>
  <c r="S1133" i="169"/>
  <c r="S1174" i="169"/>
  <c r="V1178" i="169"/>
  <c r="X1178" i="169"/>
  <c r="AF1178" i="169" s="1"/>
  <c r="S1178" i="169"/>
  <c r="V1138" i="169"/>
  <c r="S1129" i="169"/>
  <c r="V1126" i="169"/>
  <c r="X1126" i="169"/>
  <c r="AF1126" i="169" s="1"/>
  <c r="V1129" i="169"/>
  <c r="X1129" i="169"/>
  <c r="AF1129" i="169" s="1"/>
  <c r="S1126" i="169"/>
  <c r="U1127" i="169"/>
  <c r="V1131" i="169"/>
  <c r="X1131" i="169"/>
  <c r="AF1131" i="169" s="1"/>
  <c r="V1128" i="169"/>
  <c r="X1128" i="169"/>
  <c r="AF1128" i="169" s="1"/>
  <c r="S1128" i="169"/>
  <c r="V1135" i="169"/>
  <c r="V1133" i="169"/>
  <c r="X1133" i="169"/>
  <c r="AF1133" i="169" s="1"/>
  <c r="V1130" i="169"/>
  <c r="X1130" i="169"/>
  <c r="AF1130" i="169" s="1"/>
  <c r="S1138" i="169"/>
  <c r="S1135" i="169"/>
  <c r="S1130" i="169"/>
  <c r="V1132" i="169"/>
  <c r="X1132" i="169"/>
  <c r="AF1132" i="169" s="1"/>
  <c r="X1135" i="169"/>
  <c r="AF1135" i="169" s="1"/>
  <c r="S1132" i="169"/>
  <c r="V1134" i="169"/>
  <c r="X1134" i="169"/>
  <c r="AF1134" i="169" s="1"/>
  <c r="S1134" i="169"/>
  <c r="U1140" i="169"/>
  <c r="V1140" i="169" s="1"/>
  <c r="V1136" i="169"/>
  <c r="X1136" i="169"/>
  <c r="AF1136" i="169" s="1"/>
  <c r="S1136" i="169"/>
  <c r="X1138" i="169"/>
  <c r="AF1138" i="169" s="1"/>
  <c r="S1144" i="169"/>
  <c r="V1144" i="169"/>
  <c r="V1137" i="169"/>
  <c r="X1137" i="169"/>
  <c r="AF1137" i="169" s="1"/>
  <c r="S1137" i="169"/>
  <c r="V1139" i="169"/>
  <c r="X1139" i="169"/>
  <c r="AF1139" i="169" s="1"/>
  <c r="S1143" i="169"/>
  <c r="S1139" i="169"/>
  <c r="U1142" i="169"/>
  <c r="V1141" i="169"/>
  <c r="X1141" i="169"/>
  <c r="AF1141" i="169" s="1"/>
  <c r="S1141" i="169"/>
  <c r="U1181" i="169"/>
  <c r="V1181" i="169" s="1"/>
  <c r="X1144" i="169"/>
  <c r="AF1144" i="169" s="1"/>
  <c r="V1143" i="169"/>
  <c r="X1143" i="169"/>
  <c r="AF1143" i="169" s="1"/>
  <c r="U1146" i="169"/>
  <c r="V1145" i="169"/>
  <c r="X1145" i="169"/>
  <c r="AF1145" i="169" s="1"/>
  <c r="S1145" i="169"/>
  <c r="U1179" i="169"/>
  <c r="U1180" i="169"/>
  <c r="X1180" i="169" s="1"/>
  <c r="AF1180" i="169" s="1"/>
  <c r="V1147" i="169"/>
  <c r="X1147" i="169"/>
  <c r="AF1147" i="169" s="1"/>
  <c r="S1147" i="169"/>
  <c r="V1259" i="169"/>
  <c r="X1259" i="169"/>
  <c r="AF1259" i="169" s="1"/>
  <c r="S1259" i="169"/>
  <c r="S1112" i="169"/>
  <c r="V1111" i="169"/>
  <c r="X1111" i="169"/>
  <c r="AF1111" i="169" s="1"/>
  <c r="S1111" i="169"/>
  <c r="S1114" i="169"/>
  <c r="V1112" i="169"/>
  <c r="X1112" i="169"/>
  <c r="AF1112" i="169" s="1"/>
  <c r="V1113" i="169"/>
  <c r="X1113" i="169"/>
  <c r="AF1113" i="169" s="1"/>
  <c r="S1113" i="169"/>
  <c r="V1114" i="169"/>
  <c r="X1114" i="169"/>
  <c r="AF1114" i="169" s="1"/>
  <c r="S1115" i="169"/>
  <c r="V1115" i="169"/>
  <c r="X1115" i="169"/>
  <c r="AF1115" i="169" s="1"/>
  <c r="S1118" i="169"/>
  <c r="V1116" i="169"/>
  <c r="X1116" i="169"/>
  <c r="AF1116" i="169" s="1"/>
  <c r="S1116" i="169"/>
  <c r="V1117" i="169"/>
  <c r="X1117" i="169"/>
  <c r="AF1117" i="169" s="1"/>
  <c r="S1117" i="169"/>
  <c r="V1118" i="169"/>
  <c r="X1118" i="169"/>
  <c r="AF1118" i="169" s="1"/>
  <c r="V1119" i="169"/>
  <c r="X1119" i="169"/>
  <c r="AF1119" i="169" s="1"/>
  <c r="S1119" i="169"/>
  <c r="V1099" i="169"/>
  <c r="V1097" i="169"/>
  <c r="X1097" i="169"/>
  <c r="AF1097" i="169" s="1"/>
  <c r="S1097" i="169"/>
  <c r="S1099" i="169"/>
  <c r="V1098" i="169"/>
  <c r="X1098" i="169"/>
  <c r="AF1098" i="169" s="1"/>
  <c r="S1098" i="169"/>
  <c r="S1102" i="169"/>
  <c r="S1101" i="169"/>
  <c r="X1099" i="169"/>
  <c r="AF1099" i="169" s="1"/>
  <c r="V1100" i="169"/>
  <c r="X1100" i="169"/>
  <c r="AF1100" i="169" s="1"/>
  <c r="S1100" i="169"/>
  <c r="S1106" i="169"/>
  <c r="S1104" i="169"/>
  <c r="V1101" i="169"/>
  <c r="X1101" i="169"/>
  <c r="AF1101" i="169" s="1"/>
  <c r="V1102" i="169"/>
  <c r="X1102" i="169"/>
  <c r="AF1102" i="169" s="1"/>
  <c r="V1103" i="169"/>
  <c r="X1103" i="169"/>
  <c r="AF1103" i="169" s="1"/>
  <c r="S1103" i="169"/>
  <c r="V1104" i="169"/>
  <c r="X1104" i="169"/>
  <c r="AF1104" i="169" s="1"/>
  <c r="V1105" i="169"/>
  <c r="X1105" i="169"/>
  <c r="AF1105" i="169" s="1"/>
  <c r="S1105" i="169"/>
  <c r="V1106" i="169"/>
  <c r="X1106" i="169"/>
  <c r="AF1106" i="169" s="1"/>
  <c r="S1108" i="169"/>
  <c r="S1107" i="169"/>
  <c r="V1107" i="169"/>
  <c r="X1107" i="169"/>
  <c r="AF1107" i="169" s="1"/>
  <c r="V1108" i="169"/>
  <c r="X1108" i="169"/>
  <c r="AF1108" i="169" s="1"/>
  <c r="S1109" i="169"/>
  <c r="V1109" i="169"/>
  <c r="X1109" i="169"/>
  <c r="AF1109" i="169" s="1"/>
  <c r="S1110" i="169"/>
  <c r="V1110" i="169"/>
  <c r="X1110" i="169"/>
  <c r="AF1110" i="169" s="1"/>
  <c r="S1079" i="169"/>
  <c r="V1079" i="169"/>
  <c r="X1079" i="169"/>
  <c r="AF1079" i="169" s="1"/>
  <c r="V1080" i="169"/>
  <c r="X1080" i="169"/>
  <c r="AF1080" i="169" s="1"/>
  <c r="S1080" i="169"/>
  <c r="S1082" i="169"/>
  <c r="V1081" i="169"/>
  <c r="X1081" i="169"/>
  <c r="AF1081" i="169" s="1"/>
  <c r="S1081" i="169"/>
  <c r="V1082" i="169"/>
  <c r="X1082" i="169"/>
  <c r="AF1082" i="169" s="1"/>
  <c r="V1083" i="169"/>
  <c r="X1083" i="169"/>
  <c r="AF1083" i="169" s="1"/>
  <c r="S1083" i="169"/>
  <c r="X1084" i="169"/>
  <c r="AF1084" i="169" s="1"/>
  <c r="V1084" i="169"/>
  <c r="S1084" i="169"/>
  <c r="V1085" i="169"/>
  <c r="X1085" i="169"/>
  <c r="AF1085" i="169" s="1"/>
  <c r="S1085" i="169"/>
  <c r="V1086" i="169"/>
  <c r="X1086" i="169"/>
  <c r="AF1086" i="169" s="1"/>
  <c r="S1086" i="169"/>
  <c r="S1087" i="169"/>
  <c r="V1087" i="169"/>
  <c r="X1087" i="169"/>
  <c r="AF1087" i="169" s="1"/>
  <c r="V1088" i="169"/>
  <c r="X1088" i="169"/>
  <c r="AF1088" i="169" s="1"/>
  <c r="S1088" i="169"/>
  <c r="V1089" i="169"/>
  <c r="X1089" i="169"/>
  <c r="AF1089" i="169" s="1"/>
  <c r="S1089" i="169"/>
  <c r="V1090" i="169"/>
  <c r="X1090" i="169"/>
  <c r="AF1090" i="169" s="1"/>
  <c r="S1090" i="169"/>
  <c r="V1091" i="169"/>
  <c r="X1091" i="169"/>
  <c r="AF1091" i="169" s="1"/>
  <c r="S1091" i="169"/>
  <c r="S1092" i="169"/>
  <c r="V1092" i="169"/>
  <c r="X1092" i="169"/>
  <c r="AF1092" i="169" s="1"/>
  <c r="S1093" i="169"/>
  <c r="V1093" i="169"/>
  <c r="X1093" i="169"/>
  <c r="AF1093" i="169" s="1"/>
  <c r="V1094" i="169"/>
  <c r="X1094" i="169"/>
  <c r="AF1094" i="169" s="1"/>
  <c r="S1094" i="169"/>
  <c r="V1095" i="169"/>
  <c r="X1095" i="169"/>
  <c r="AF1095" i="169" s="1"/>
  <c r="S1095" i="169"/>
  <c r="V1096" i="169"/>
  <c r="X1096" i="169"/>
  <c r="AF1096" i="169" s="1"/>
  <c r="S1096" i="169"/>
  <c r="S1122" i="169"/>
  <c r="S1120" i="169"/>
  <c r="V1120" i="169"/>
  <c r="X1120" i="169"/>
  <c r="AF1120" i="169" s="1"/>
  <c r="V1121" i="169"/>
  <c r="X1121" i="169"/>
  <c r="AF1121" i="169" s="1"/>
  <c r="S1121" i="169"/>
  <c r="V1122" i="169"/>
  <c r="X1122" i="169"/>
  <c r="AF1122" i="169" s="1"/>
  <c r="V1123" i="169"/>
  <c r="X1123" i="169"/>
  <c r="AF1123" i="169" s="1"/>
  <c r="S1123" i="169"/>
  <c r="V1124" i="169"/>
  <c r="X1124" i="169"/>
  <c r="AF1124" i="169" s="1"/>
  <c r="S1124" i="169"/>
  <c r="V1125" i="169"/>
  <c r="X1125" i="169"/>
  <c r="AF1125" i="169" s="1"/>
  <c r="S1125" i="169"/>
  <c r="S1261" i="169"/>
  <c r="V1260" i="169"/>
  <c r="X1260" i="169"/>
  <c r="AF1260" i="169" s="1"/>
  <c r="S1260" i="169"/>
  <c r="V1261" i="169"/>
  <c r="X1261" i="169"/>
  <c r="AF1261" i="169" s="1"/>
  <c r="S1049" i="169"/>
  <c r="V1049" i="169"/>
  <c r="X1049" i="169"/>
  <c r="AF1049" i="169" s="1"/>
  <c r="S1051" i="169"/>
  <c r="S1050" i="169"/>
  <c r="V1050" i="169"/>
  <c r="X1050" i="169"/>
  <c r="AF1050" i="169" s="1"/>
  <c r="V1051" i="169"/>
  <c r="X1051" i="169"/>
  <c r="AF1051" i="169" s="1"/>
  <c r="S1056" i="169"/>
  <c r="S1053" i="169"/>
  <c r="S1052" i="169"/>
  <c r="V1052" i="169"/>
  <c r="X1052" i="169"/>
  <c r="AF1052" i="169" s="1"/>
  <c r="V1053" i="169"/>
  <c r="X1053" i="169"/>
  <c r="AF1053" i="169" s="1"/>
  <c r="S1055" i="169"/>
  <c r="V1054" i="169"/>
  <c r="X1054" i="169"/>
  <c r="AF1054" i="169" s="1"/>
  <c r="S1054" i="169"/>
  <c r="V1055" i="169"/>
  <c r="X1055" i="169"/>
  <c r="AF1055" i="169" s="1"/>
  <c r="V1056" i="169"/>
  <c r="X1056" i="169"/>
  <c r="AF1056" i="169" s="1"/>
  <c r="S1058" i="169"/>
  <c r="S1057" i="169"/>
  <c r="V1057" i="169"/>
  <c r="X1057" i="169"/>
  <c r="AF1057" i="169" s="1"/>
  <c r="S1060" i="169"/>
  <c r="S1059" i="169"/>
  <c r="V1058" i="169"/>
  <c r="X1058" i="169"/>
  <c r="AF1058" i="169" s="1"/>
  <c r="V1059" i="169"/>
  <c r="X1059" i="169"/>
  <c r="AF1059" i="169" s="1"/>
  <c r="V1060" i="169"/>
  <c r="X1060" i="169"/>
  <c r="AF1060" i="169" s="1"/>
  <c r="S1061" i="169"/>
  <c r="V1061" i="169"/>
  <c r="X1061" i="169"/>
  <c r="AF1061" i="169" s="1"/>
  <c r="S1064" i="169"/>
  <c r="S1062" i="169"/>
  <c r="V1062" i="169"/>
  <c r="X1062" i="169"/>
  <c r="AF1062" i="169" s="1"/>
  <c r="S1063" i="169"/>
  <c r="V1063" i="169"/>
  <c r="X1063" i="169"/>
  <c r="AF1063" i="169" s="1"/>
  <c r="V1064" i="169"/>
  <c r="X1064" i="169"/>
  <c r="AF1064" i="169" s="1"/>
  <c r="S1066" i="169"/>
  <c r="S1065" i="169"/>
  <c r="V1065" i="169"/>
  <c r="X1065" i="169"/>
  <c r="AF1065" i="169" s="1"/>
  <c r="V1066" i="169"/>
  <c r="X1066" i="169"/>
  <c r="AF1066" i="169" s="1"/>
  <c r="S1067" i="169"/>
  <c r="V1067" i="169"/>
  <c r="X1067" i="169"/>
  <c r="AF1067" i="169" s="1"/>
  <c r="S1068" i="169"/>
  <c r="V1068" i="169"/>
  <c r="X1068" i="169"/>
  <c r="AF1068" i="169" s="1"/>
  <c r="S1070" i="169"/>
  <c r="S1069" i="169"/>
  <c r="V1069" i="169"/>
  <c r="X1069" i="169"/>
  <c r="AF1069" i="169" s="1"/>
  <c r="V1070" i="169"/>
  <c r="X1070" i="169"/>
  <c r="AF1070" i="169" s="1"/>
  <c r="S1036" i="169"/>
  <c r="V1035" i="169"/>
  <c r="X1035" i="169"/>
  <c r="AF1035" i="169" s="1"/>
  <c r="S1035" i="169"/>
  <c r="V1036" i="169"/>
  <c r="X1036" i="169"/>
  <c r="AF1036" i="169" s="1"/>
  <c r="V1037" i="169"/>
  <c r="X1037" i="169"/>
  <c r="AF1037" i="169" s="1"/>
  <c r="S1037" i="169"/>
  <c r="S1039" i="169"/>
  <c r="S1038" i="169"/>
  <c r="V1038" i="169"/>
  <c r="X1038" i="169"/>
  <c r="AF1038" i="169" s="1"/>
  <c r="V1039" i="169"/>
  <c r="X1039" i="169"/>
  <c r="AF1039" i="169" s="1"/>
  <c r="S1040" i="169"/>
  <c r="V1040" i="169"/>
  <c r="X1040" i="169"/>
  <c r="AF1040" i="169" s="1"/>
  <c r="S1041" i="169"/>
  <c r="V1041" i="169"/>
  <c r="X1041" i="169"/>
  <c r="AF1041" i="169" s="1"/>
  <c r="S1042" i="169"/>
  <c r="V1042" i="169"/>
  <c r="X1042" i="169"/>
  <c r="AF1042" i="169" s="1"/>
  <c r="S1043" i="169"/>
  <c r="V1043" i="169"/>
  <c r="X1043" i="169"/>
  <c r="AF1043" i="169" s="1"/>
  <c r="S1044" i="169"/>
  <c r="V1044" i="169"/>
  <c r="X1044" i="169"/>
  <c r="AF1044" i="169" s="1"/>
  <c r="S1045" i="169"/>
  <c r="V1045" i="169"/>
  <c r="X1045" i="169"/>
  <c r="AF1045" i="169" s="1"/>
  <c r="S1071" i="169"/>
  <c r="S1048" i="169"/>
  <c r="S1046" i="169"/>
  <c r="V1046" i="169"/>
  <c r="X1046" i="169"/>
  <c r="AF1046" i="169" s="1"/>
  <c r="S1047" i="169"/>
  <c r="V1047" i="169"/>
  <c r="X1047" i="169"/>
  <c r="AF1047" i="169" s="1"/>
  <c r="U1073" i="169"/>
  <c r="X1073" i="169" s="1"/>
  <c r="AF1073" i="169" s="1"/>
  <c r="V1048" i="169"/>
  <c r="X1048" i="169"/>
  <c r="AF1048" i="169" s="1"/>
  <c r="S1076" i="169"/>
  <c r="V1071" i="169"/>
  <c r="X1071" i="169"/>
  <c r="AF1071" i="169" s="1"/>
  <c r="S1074" i="169"/>
  <c r="V1072" i="169"/>
  <c r="X1072" i="169"/>
  <c r="AF1072" i="169" s="1"/>
  <c r="S1072" i="169"/>
  <c r="X1074" i="169"/>
  <c r="AF1074" i="169" s="1"/>
  <c r="V1074" i="169"/>
  <c r="S1075" i="169"/>
  <c r="S1013" i="169"/>
  <c r="V1075" i="169"/>
  <c r="X1075" i="169"/>
  <c r="AF1075" i="169" s="1"/>
  <c r="V1076" i="169"/>
  <c r="X1076" i="169"/>
  <c r="AF1076" i="169" s="1"/>
  <c r="U1014" i="169"/>
  <c r="V1014" i="169" s="1"/>
  <c r="V1011" i="169"/>
  <c r="X1011" i="169"/>
  <c r="AF1011" i="169" s="1"/>
  <c r="S1011" i="169"/>
  <c r="U1012" i="169"/>
  <c r="V1012" i="169" s="1"/>
  <c r="V1013" i="169"/>
  <c r="X1013" i="169"/>
  <c r="AF1013" i="169" s="1"/>
  <c r="S1015" i="169"/>
  <c r="V1015" i="169"/>
  <c r="X1015" i="169"/>
  <c r="AF1015" i="169" s="1"/>
  <c r="S1016" i="169"/>
  <c r="V1016" i="169"/>
  <c r="X1016" i="169"/>
  <c r="AF1016" i="169" s="1"/>
  <c r="S1017" i="169"/>
  <c r="V1017" i="169"/>
  <c r="X1017" i="169"/>
  <c r="AF1017" i="169" s="1"/>
  <c r="S1018" i="169"/>
  <c r="V1018" i="169"/>
  <c r="X1018" i="169"/>
  <c r="AF1018" i="169" s="1"/>
  <c r="S1020" i="169"/>
  <c r="S1019" i="169"/>
  <c r="V1019" i="169"/>
  <c r="X1019" i="169"/>
  <c r="AF1019" i="169" s="1"/>
  <c r="V1020" i="169"/>
  <c r="X1020" i="169"/>
  <c r="AF1020" i="169" s="1"/>
  <c r="U1021" i="169"/>
  <c r="V1021" i="169" s="1"/>
  <c r="U1023" i="169"/>
  <c r="X1023" i="169" s="1"/>
  <c r="AF1023" i="169" s="1"/>
  <c r="U1022" i="169"/>
  <c r="V1022" i="169" s="1"/>
  <c r="V1024" i="169"/>
  <c r="X1024" i="169"/>
  <c r="AF1024" i="169" s="1"/>
  <c r="S1024" i="169"/>
  <c r="S1025" i="169"/>
  <c r="V1025" i="169"/>
  <c r="X1025" i="169"/>
  <c r="AF1025" i="169" s="1"/>
  <c r="S1026" i="169"/>
  <c r="V1026" i="169"/>
  <c r="X1026" i="169"/>
  <c r="AF1026" i="169" s="1"/>
  <c r="S1028" i="169"/>
  <c r="S1027" i="169"/>
  <c r="V1027" i="169"/>
  <c r="X1027" i="169"/>
  <c r="AF1027" i="169" s="1"/>
  <c r="V1028" i="169"/>
  <c r="X1028" i="169"/>
  <c r="AF1028" i="169" s="1"/>
  <c r="V1029" i="169"/>
  <c r="X1029" i="169"/>
  <c r="AF1029" i="169" s="1"/>
  <c r="S1029" i="169"/>
  <c r="V1030" i="169"/>
  <c r="X1030" i="169"/>
  <c r="AF1030" i="169" s="1"/>
  <c r="S1030" i="169"/>
  <c r="V1031" i="169"/>
  <c r="X1031" i="169"/>
  <c r="AF1031" i="169" s="1"/>
  <c r="S1031" i="169"/>
  <c r="V988" i="169"/>
  <c r="X988" i="169"/>
  <c r="AF988" i="169" s="1"/>
  <c r="S988" i="169"/>
  <c r="V989" i="169"/>
  <c r="X989" i="169"/>
  <c r="AF989" i="169" s="1"/>
  <c r="S989" i="169"/>
  <c r="U990" i="169"/>
  <c r="V990" i="169" s="1"/>
  <c r="S991" i="169"/>
  <c r="V991" i="169"/>
  <c r="X991" i="169"/>
  <c r="AF991" i="169" s="1"/>
  <c r="U993" i="169"/>
  <c r="X993" i="169" s="1"/>
  <c r="AF993" i="169" s="1"/>
  <c r="V992" i="169"/>
  <c r="X992" i="169"/>
  <c r="AF992" i="169" s="1"/>
  <c r="S992" i="169"/>
  <c r="S994" i="169"/>
  <c r="V994" i="169"/>
  <c r="X994" i="169"/>
  <c r="AF994" i="169" s="1"/>
  <c r="V995" i="169"/>
  <c r="X995" i="169"/>
  <c r="AF995" i="169" s="1"/>
  <c r="S995" i="169"/>
  <c r="S997" i="169"/>
  <c r="V996" i="169"/>
  <c r="X996" i="169"/>
  <c r="AF996" i="169" s="1"/>
  <c r="S996" i="169"/>
  <c r="V997" i="169"/>
  <c r="X997" i="169"/>
  <c r="AF997" i="169" s="1"/>
  <c r="S998" i="169"/>
  <c r="V998" i="169"/>
  <c r="X998" i="169"/>
  <c r="AF998" i="169" s="1"/>
  <c r="U1001" i="169"/>
  <c r="X1001" i="169" s="1"/>
  <c r="AF1001" i="169" s="1"/>
  <c r="S999" i="169"/>
  <c r="V999" i="169"/>
  <c r="X999" i="169"/>
  <c r="AF999" i="169" s="1"/>
  <c r="S1000" i="169"/>
  <c r="V1000" i="169"/>
  <c r="X1000" i="169"/>
  <c r="AF1000" i="169" s="1"/>
  <c r="V1002" i="169"/>
  <c r="X1002" i="169"/>
  <c r="AF1002" i="169" s="1"/>
  <c r="S1002" i="169"/>
  <c r="U1003" i="169"/>
  <c r="V1004" i="169"/>
  <c r="X1004" i="169"/>
  <c r="AF1004" i="169" s="1"/>
  <c r="S1004" i="169"/>
  <c r="V1005" i="169"/>
  <c r="X1005" i="169"/>
  <c r="AF1005" i="169" s="1"/>
  <c r="S1005" i="169"/>
  <c r="V969" i="169"/>
  <c r="X969" i="169"/>
  <c r="AF969" i="169" s="1"/>
  <c r="S969" i="169"/>
  <c r="S971" i="169"/>
  <c r="V970" i="169"/>
  <c r="X970" i="169"/>
  <c r="AF970" i="169" s="1"/>
  <c r="S970" i="169"/>
  <c r="V971" i="169"/>
  <c r="X971" i="169"/>
  <c r="AF971" i="169" s="1"/>
  <c r="V972" i="169"/>
  <c r="X972" i="169"/>
  <c r="AF972" i="169" s="1"/>
  <c r="S972" i="169"/>
  <c r="V973" i="169"/>
  <c r="X973" i="169"/>
  <c r="AF973" i="169" s="1"/>
  <c r="S973" i="169"/>
  <c r="V974" i="169"/>
  <c r="X974" i="169"/>
  <c r="AF974" i="169" s="1"/>
  <c r="S974" i="169"/>
  <c r="S975" i="169"/>
  <c r="V975" i="169"/>
  <c r="X975" i="169"/>
  <c r="AF975" i="169" s="1"/>
  <c r="V976" i="169"/>
  <c r="X976" i="169"/>
  <c r="AF976" i="169" s="1"/>
  <c r="S976" i="169"/>
  <c r="V977" i="169"/>
  <c r="X977" i="169"/>
  <c r="AF977" i="169" s="1"/>
  <c r="S977" i="169"/>
  <c r="V978" i="169"/>
  <c r="X978" i="169"/>
  <c r="AF978" i="169" s="1"/>
  <c r="S978" i="169"/>
  <c r="V979" i="169"/>
  <c r="X979" i="169"/>
  <c r="AF979" i="169" s="1"/>
  <c r="S979" i="169"/>
  <c r="S984" i="169"/>
  <c r="V980" i="169"/>
  <c r="X980" i="169"/>
  <c r="AF980" i="169" s="1"/>
  <c r="S980" i="169"/>
  <c r="V981" i="169"/>
  <c r="X981" i="169"/>
  <c r="AF981" i="169" s="1"/>
  <c r="S981" i="169"/>
  <c r="S983" i="169"/>
  <c r="V982" i="169"/>
  <c r="X982" i="169"/>
  <c r="AF982" i="169" s="1"/>
  <c r="S982" i="169"/>
  <c r="V983" i="169"/>
  <c r="X983" i="169"/>
  <c r="AF983" i="169" s="1"/>
  <c r="V984" i="169"/>
  <c r="X984" i="169"/>
  <c r="AF984" i="169" s="1"/>
  <c r="V985" i="169"/>
  <c r="X985" i="169"/>
  <c r="AF985" i="169" s="1"/>
  <c r="S985" i="169"/>
  <c r="V986" i="169"/>
  <c r="X986" i="169"/>
  <c r="AF986" i="169" s="1"/>
  <c r="S986" i="169"/>
  <c r="V987" i="169"/>
  <c r="X987" i="169"/>
  <c r="AF987" i="169" s="1"/>
  <c r="S987" i="169"/>
  <c r="V1006" i="169"/>
  <c r="X1006" i="169"/>
  <c r="AF1006" i="169" s="1"/>
  <c r="S1006" i="169"/>
  <c r="V1007" i="169"/>
  <c r="X1007" i="169"/>
  <c r="AF1007" i="169" s="1"/>
  <c r="S1007" i="169"/>
  <c r="V1008" i="169"/>
  <c r="X1008" i="169"/>
  <c r="AF1008" i="169" s="1"/>
  <c r="S1008" i="169"/>
  <c r="V1009" i="169"/>
  <c r="X1009" i="169"/>
  <c r="AF1009" i="169" s="1"/>
  <c r="S1009" i="169"/>
  <c r="V1010" i="169"/>
  <c r="X1010" i="169"/>
  <c r="AF1010" i="169" s="1"/>
  <c r="S1010" i="169"/>
  <c r="S1032" i="169"/>
  <c r="V1032" i="169"/>
  <c r="X1032" i="169"/>
  <c r="AF1032" i="169" s="1"/>
  <c r="V1033" i="169"/>
  <c r="X1033" i="169"/>
  <c r="AF1033" i="169" s="1"/>
  <c r="S1033" i="169"/>
  <c r="S1034" i="169"/>
  <c r="V1034" i="169"/>
  <c r="X1034" i="169"/>
  <c r="AF1034" i="169" s="1"/>
  <c r="S948" i="169"/>
  <c r="V948" i="169"/>
  <c r="X948" i="169"/>
  <c r="AF948" i="169" s="1"/>
  <c r="S949" i="169"/>
  <c r="V949" i="169"/>
  <c r="X949" i="169"/>
  <c r="AF949" i="169" s="1"/>
  <c r="V950" i="169"/>
  <c r="X950" i="169"/>
  <c r="AF950" i="169" s="1"/>
  <c r="S950" i="169"/>
  <c r="V951" i="169"/>
  <c r="X951" i="169"/>
  <c r="AF951" i="169" s="1"/>
  <c r="S951" i="169"/>
  <c r="V952" i="169"/>
  <c r="X952" i="169"/>
  <c r="AF952" i="169" s="1"/>
  <c r="S952" i="169"/>
  <c r="V953" i="169"/>
  <c r="X953" i="169"/>
  <c r="AF953" i="169" s="1"/>
  <c r="S953" i="169"/>
  <c r="V954" i="169"/>
  <c r="X954" i="169"/>
  <c r="AF954" i="169" s="1"/>
  <c r="S954" i="169"/>
  <c r="V955" i="169"/>
  <c r="X955" i="169"/>
  <c r="AF955" i="169" s="1"/>
  <c r="S962" i="169"/>
  <c r="S961" i="169"/>
  <c r="S955" i="169"/>
  <c r="U956" i="169"/>
  <c r="V957" i="169"/>
  <c r="X957" i="169"/>
  <c r="AF957" i="169" s="1"/>
  <c r="S957" i="169"/>
  <c r="V958" i="169"/>
  <c r="X958" i="169"/>
  <c r="AF958" i="169" s="1"/>
  <c r="S958" i="169"/>
  <c r="V959" i="169"/>
  <c r="X959" i="169"/>
  <c r="AF959" i="169" s="1"/>
  <c r="S959" i="169"/>
  <c r="V960" i="169"/>
  <c r="X960" i="169"/>
  <c r="AF960" i="169" s="1"/>
  <c r="S960" i="169"/>
  <c r="V961" i="169"/>
  <c r="X961" i="169"/>
  <c r="AF961" i="169" s="1"/>
  <c r="V962" i="169"/>
  <c r="X962" i="169"/>
  <c r="AF962" i="169" s="1"/>
  <c r="V963" i="169"/>
  <c r="X963" i="169"/>
  <c r="AF963" i="169" s="1"/>
  <c r="S963" i="169"/>
  <c r="V964" i="169"/>
  <c r="X964" i="169"/>
  <c r="AF964" i="169" s="1"/>
  <c r="S964" i="169"/>
  <c r="V965" i="169"/>
  <c r="X965" i="169"/>
  <c r="AF965" i="169" s="1"/>
  <c r="S965" i="169"/>
  <c r="V966" i="169"/>
  <c r="X966" i="169"/>
  <c r="AF966" i="169" s="1"/>
  <c r="S966" i="169"/>
  <c r="V912" i="169"/>
  <c r="X912" i="169"/>
  <c r="AF912" i="169" s="1"/>
  <c r="S912" i="169"/>
  <c r="V913" i="169"/>
  <c r="X913" i="169"/>
  <c r="AF913" i="169" s="1"/>
  <c r="S913" i="169"/>
  <c r="U914" i="169"/>
  <c r="S917" i="169"/>
  <c r="U916" i="169"/>
  <c r="X916" i="169" s="1"/>
  <c r="AF916" i="169" s="1"/>
  <c r="U915" i="169"/>
  <c r="V917" i="169"/>
  <c r="X917" i="169"/>
  <c r="AF917" i="169" s="1"/>
  <c r="V918" i="169"/>
  <c r="X918" i="169"/>
  <c r="AF918" i="169" s="1"/>
  <c r="S918" i="169"/>
  <c r="V919" i="169"/>
  <c r="X919" i="169"/>
  <c r="AF919" i="169" s="1"/>
  <c r="S919" i="169"/>
  <c r="V920" i="169"/>
  <c r="X920" i="169"/>
  <c r="AF920" i="169" s="1"/>
  <c r="S920" i="169"/>
  <c r="V921" i="169"/>
  <c r="X921" i="169"/>
  <c r="AF921" i="169" s="1"/>
  <c r="S921" i="169"/>
  <c r="V922" i="169"/>
  <c r="X922" i="169"/>
  <c r="AF922" i="169" s="1"/>
  <c r="S922" i="169"/>
  <c r="X923" i="169"/>
  <c r="AF923" i="169" s="1"/>
  <c r="V923" i="169"/>
  <c r="S923" i="169"/>
  <c r="U929" i="169"/>
  <c r="V929" i="169" s="1"/>
  <c r="U924" i="169"/>
  <c r="U925" i="169"/>
  <c r="X926" i="169"/>
  <c r="AF926" i="169" s="1"/>
  <c r="V926" i="169"/>
  <c r="S926" i="169"/>
  <c r="U927" i="169"/>
  <c r="U928" i="169"/>
  <c r="U934" i="169"/>
  <c r="V934" i="169" s="1"/>
  <c r="U933" i="169"/>
  <c r="X933" i="169" s="1"/>
  <c r="AF933" i="169" s="1"/>
  <c r="U931" i="169"/>
  <c r="V931" i="169" s="1"/>
  <c r="S940" i="169"/>
  <c r="U930" i="169"/>
  <c r="S932" i="169"/>
  <c r="V932" i="169"/>
  <c r="X932" i="169"/>
  <c r="AF932" i="169" s="1"/>
  <c r="U935" i="169"/>
  <c r="V935" i="169" s="1"/>
  <c r="U939" i="169"/>
  <c r="V939" i="169" s="1"/>
  <c r="U936" i="169"/>
  <c r="V937" i="169"/>
  <c r="X937" i="169"/>
  <c r="AF937" i="169" s="1"/>
  <c r="S937" i="169"/>
  <c r="X940" i="169"/>
  <c r="AF940" i="169" s="1"/>
  <c r="U938" i="169"/>
  <c r="V940" i="169"/>
  <c r="U943" i="169"/>
  <c r="V943" i="169" s="1"/>
  <c r="V941" i="169"/>
  <c r="X941" i="169"/>
  <c r="AF941" i="169" s="1"/>
  <c r="S941" i="169"/>
  <c r="U942" i="169"/>
  <c r="AH944" i="169"/>
  <c r="AH945" i="169"/>
  <c r="AH946" i="169"/>
  <c r="AH947" i="169"/>
  <c r="AH967" i="169"/>
  <c r="AH968" i="169"/>
  <c r="AH1077" i="169"/>
  <c r="AH1078" i="169"/>
  <c r="AH1262" i="169"/>
  <c r="AH1263" i="169"/>
  <c r="AH1313" i="169"/>
  <c r="AH1314" i="169"/>
  <c r="AH1315" i="169"/>
  <c r="AN613" i="169"/>
  <c r="AN614" i="169"/>
  <c r="AN615" i="169"/>
  <c r="AN616" i="169"/>
  <c r="AN617" i="169"/>
  <c r="AN618" i="169"/>
  <c r="AN619" i="169"/>
  <c r="AN620" i="169"/>
  <c r="AN621" i="169"/>
  <c r="AN622" i="169"/>
  <c r="AN623" i="169"/>
  <c r="AN624" i="169"/>
  <c r="AN625" i="169"/>
  <c r="AN626" i="169"/>
  <c r="AN627" i="169"/>
  <c r="AN628" i="169"/>
  <c r="AN629" i="169"/>
  <c r="AN630" i="169"/>
  <c r="AN631" i="169"/>
  <c r="AN632" i="169"/>
  <c r="AN633" i="169"/>
  <c r="AN634" i="169"/>
  <c r="AN635" i="169"/>
  <c r="AN636" i="169"/>
  <c r="AN637" i="169"/>
  <c r="AN638" i="169"/>
  <c r="AN639" i="169"/>
  <c r="AN640" i="169"/>
  <c r="AN641" i="169"/>
  <c r="AN642" i="169"/>
  <c r="AN643" i="169"/>
  <c r="AN644" i="169"/>
  <c r="AN645" i="169"/>
  <c r="AN646" i="169"/>
  <c r="AN647" i="169"/>
  <c r="AN648" i="169"/>
  <c r="AN649" i="169"/>
  <c r="AN650" i="169"/>
  <c r="AN651" i="169"/>
  <c r="AN652" i="169"/>
  <c r="AN653" i="169"/>
  <c r="AN654" i="169"/>
  <c r="AN655" i="169"/>
  <c r="AN656" i="169"/>
  <c r="AN657" i="169"/>
  <c r="AN658" i="169"/>
  <c r="AN659" i="169"/>
  <c r="AN660" i="169"/>
  <c r="AN661" i="169"/>
  <c r="AN662" i="169"/>
  <c r="AN663" i="169"/>
  <c r="AN664" i="169"/>
  <c r="AN665" i="169"/>
  <c r="AN666" i="169"/>
  <c r="AN667" i="169"/>
  <c r="AN668" i="169"/>
  <c r="AN669" i="169"/>
  <c r="AN670" i="169"/>
  <c r="AN671" i="169"/>
  <c r="AN672" i="169"/>
  <c r="AN673" i="169"/>
  <c r="AN674" i="169"/>
  <c r="AN675" i="169"/>
  <c r="AN676" i="169"/>
  <c r="AN677" i="169"/>
  <c r="AN678" i="169"/>
  <c r="AN679" i="169"/>
  <c r="AN680" i="169"/>
  <c r="AN681" i="169"/>
  <c r="AN682" i="169"/>
  <c r="AN683" i="169"/>
  <c r="AN684" i="169"/>
  <c r="AN685" i="169"/>
  <c r="AN686" i="169"/>
  <c r="AN687" i="169"/>
  <c r="AN688" i="169"/>
  <c r="AN689" i="169"/>
  <c r="AN690" i="169"/>
  <c r="AN691" i="169"/>
  <c r="AN692" i="169"/>
  <c r="AN693" i="169"/>
  <c r="AN694" i="169"/>
  <c r="AN695" i="169"/>
  <c r="AN696" i="169"/>
  <c r="AN697" i="169"/>
  <c r="AN698" i="169"/>
  <c r="AN699" i="169"/>
  <c r="AN700" i="169"/>
  <c r="AN701" i="169"/>
  <c r="AN702" i="169"/>
  <c r="AN703" i="169"/>
  <c r="AN704" i="169"/>
  <c r="AN705" i="169"/>
  <c r="AN706" i="169"/>
  <c r="AN707" i="169"/>
  <c r="AN708" i="169"/>
  <c r="AN709" i="169"/>
  <c r="AN710" i="169"/>
  <c r="AN711" i="169"/>
  <c r="AN712" i="169"/>
  <c r="AN713" i="169"/>
  <c r="AN714" i="169"/>
  <c r="AN715" i="169"/>
  <c r="AN716" i="169"/>
  <c r="AN717" i="169"/>
  <c r="AN718" i="169"/>
  <c r="AN719" i="169"/>
  <c r="AN720" i="169"/>
  <c r="AN721" i="169"/>
  <c r="AN722" i="169"/>
  <c r="AN723" i="169"/>
  <c r="AN724" i="169"/>
  <c r="AN725" i="169"/>
  <c r="AN726" i="169"/>
  <c r="AN727" i="169"/>
  <c r="AN728" i="169"/>
  <c r="AN729" i="169"/>
  <c r="AN730" i="169"/>
  <c r="AN731" i="169"/>
  <c r="AN732" i="169"/>
  <c r="AN733" i="169"/>
  <c r="AN734" i="169"/>
  <c r="AN735" i="169"/>
  <c r="AN736" i="169"/>
  <c r="AN737" i="169"/>
  <c r="AN738" i="169"/>
  <c r="AN739" i="169"/>
  <c r="AN740" i="169"/>
  <c r="AN741" i="169"/>
  <c r="AN742" i="169"/>
  <c r="AN743" i="169"/>
  <c r="AN744" i="169"/>
  <c r="AN745" i="169"/>
  <c r="AN746" i="169"/>
  <c r="AN747" i="169"/>
  <c r="AN748" i="169"/>
  <c r="AN749" i="169"/>
  <c r="AN750" i="169"/>
  <c r="AN751" i="169"/>
  <c r="AN752" i="169"/>
  <c r="AN753" i="169"/>
  <c r="AN754" i="169"/>
  <c r="AN755" i="169"/>
  <c r="AN756" i="169"/>
  <c r="AN757" i="169"/>
  <c r="AN758" i="169"/>
  <c r="AN759" i="169"/>
  <c r="AN760" i="169"/>
  <c r="AN761" i="169"/>
  <c r="AN762" i="169"/>
  <c r="AN763" i="169"/>
  <c r="AN764" i="169"/>
  <c r="AN765" i="169"/>
  <c r="AN766" i="169"/>
  <c r="AN767" i="169"/>
  <c r="AN768" i="169"/>
  <c r="AN769" i="169"/>
  <c r="AN770" i="169"/>
  <c r="AN771" i="169"/>
  <c r="AN772" i="169"/>
  <c r="AN773" i="169"/>
  <c r="AN774" i="169"/>
  <c r="AN775" i="169"/>
  <c r="AN776" i="169"/>
  <c r="AN777" i="169"/>
  <c r="AN778" i="169"/>
  <c r="AN779" i="169"/>
  <c r="AN780" i="169"/>
  <c r="AN781" i="169"/>
  <c r="AN782" i="169"/>
  <c r="AN783" i="169"/>
  <c r="AN784" i="169"/>
  <c r="AN785" i="169"/>
  <c r="AN786" i="169"/>
  <c r="AN787" i="169"/>
  <c r="AN788" i="169"/>
  <c r="AN789" i="169"/>
  <c r="AN790" i="169"/>
  <c r="AN791" i="169"/>
  <c r="AN792" i="169"/>
  <c r="AN793" i="169"/>
  <c r="AN794" i="169"/>
  <c r="AN795" i="169"/>
  <c r="AN796" i="169"/>
  <c r="AN797" i="169"/>
  <c r="AN798" i="169"/>
  <c r="AN799" i="169"/>
  <c r="AN800" i="169"/>
  <c r="AN801" i="169"/>
  <c r="AN802" i="169"/>
  <c r="AN803" i="169"/>
  <c r="AN804" i="169"/>
  <c r="AN805" i="169"/>
  <c r="AN806" i="169"/>
  <c r="AN807" i="169"/>
  <c r="AN808" i="169"/>
  <c r="AN809" i="169"/>
  <c r="AN810" i="169"/>
  <c r="AN811" i="169"/>
  <c r="AN812" i="169"/>
  <c r="AN813" i="169"/>
  <c r="AN814" i="169"/>
  <c r="AN815" i="169"/>
  <c r="AN816" i="169"/>
  <c r="AN817" i="169"/>
  <c r="AN818" i="169"/>
  <c r="AN819" i="169"/>
  <c r="AN820" i="169"/>
  <c r="AN821" i="169"/>
  <c r="AN822" i="169"/>
  <c r="AN823" i="169"/>
  <c r="AN824" i="169"/>
  <c r="AN825" i="169"/>
  <c r="AN826" i="169"/>
  <c r="AN827" i="169"/>
  <c r="AN828" i="169"/>
  <c r="AN829" i="169"/>
  <c r="AN830" i="169"/>
  <c r="AN831" i="169"/>
  <c r="AN832" i="169"/>
  <c r="AN833" i="169"/>
  <c r="AN834" i="169"/>
  <c r="AN835" i="169"/>
  <c r="AN836" i="169"/>
  <c r="AN837" i="169"/>
  <c r="AN838" i="169"/>
  <c r="AN839" i="169"/>
  <c r="AN840" i="169"/>
  <c r="AN841" i="169"/>
  <c r="AN842" i="169"/>
  <c r="AN843" i="169"/>
  <c r="AN844" i="169"/>
  <c r="AN845" i="169"/>
  <c r="AN846" i="169"/>
  <c r="AN847" i="169"/>
  <c r="AN848" i="169"/>
  <c r="AN849" i="169"/>
  <c r="AN850" i="169"/>
  <c r="AN851" i="169"/>
  <c r="AN852" i="169"/>
  <c r="AN853" i="169"/>
  <c r="AN854" i="169"/>
  <c r="AN855" i="169"/>
  <c r="AN856" i="169"/>
  <c r="AN857" i="169"/>
  <c r="AN858" i="169"/>
  <c r="AN859" i="169"/>
  <c r="AN860" i="169"/>
  <c r="AN861" i="169"/>
  <c r="AN862" i="169"/>
  <c r="AN863" i="169"/>
  <c r="AN864" i="169"/>
  <c r="AN865" i="169"/>
  <c r="AN866" i="169"/>
  <c r="AN867" i="169"/>
  <c r="AN868" i="169"/>
  <c r="AN869" i="169"/>
  <c r="AN870" i="169"/>
  <c r="AN871" i="169"/>
  <c r="AN872" i="169"/>
  <c r="AN873" i="169"/>
  <c r="AN874" i="169"/>
  <c r="AN875" i="169"/>
  <c r="AN876" i="169"/>
  <c r="AN877" i="169"/>
  <c r="AN878" i="169"/>
  <c r="AN879" i="169"/>
  <c r="AN880" i="169"/>
  <c r="AN881" i="169"/>
  <c r="AN882" i="169"/>
  <c r="AN883" i="169"/>
  <c r="AN884" i="169"/>
  <c r="AN885" i="169"/>
  <c r="AN886" i="169"/>
  <c r="AN887" i="169"/>
  <c r="AN888" i="169"/>
  <c r="AN889" i="169"/>
  <c r="AN890" i="169"/>
  <c r="AN891" i="169"/>
  <c r="AN892" i="169"/>
  <c r="AN893" i="169"/>
  <c r="AN894" i="169"/>
  <c r="AN895" i="169"/>
  <c r="AN896" i="169"/>
  <c r="AN897" i="169"/>
  <c r="AN898" i="169"/>
  <c r="AN899" i="169"/>
  <c r="AN900" i="169"/>
  <c r="AN901" i="169"/>
  <c r="AN902" i="169"/>
  <c r="AN903" i="169"/>
  <c r="AN904" i="169"/>
  <c r="AN905" i="169"/>
  <c r="AN906" i="169"/>
  <c r="AN907" i="169"/>
  <c r="AN908" i="169"/>
  <c r="AN909" i="169"/>
  <c r="AN910" i="169"/>
  <c r="AN911" i="169"/>
  <c r="AN518" i="169"/>
  <c r="AN519" i="169"/>
  <c r="AN520" i="169"/>
  <c r="AN521" i="169"/>
  <c r="AN522" i="169"/>
  <c r="AN523" i="169"/>
  <c r="AN524" i="169"/>
  <c r="AN525" i="169"/>
  <c r="AN526" i="169"/>
  <c r="AN527" i="169"/>
  <c r="AN528" i="169"/>
  <c r="AN529" i="169"/>
  <c r="AN530" i="169"/>
  <c r="AN531" i="169"/>
  <c r="AN532" i="169"/>
  <c r="AN533" i="169"/>
  <c r="AN534" i="169"/>
  <c r="AN535" i="169"/>
  <c r="AN536" i="169"/>
  <c r="AN537" i="169"/>
  <c r="AN538" i="169"/>
  <c r="AN539" i="169"/>
  <c r="AN540" i="169"/>
  <c r="AN541" i="169"/>
  <c r="AN542" i="169"/>
  <c r="AN543" i="169"/>
  <c r="AN544" i="169"/>
  <c r="AN545" i="169"/>
  <c r="AN546" i="169"/>
  <c r="AN547" i="169"/>
  <c r="AN548" i="169"/>
  <c r="AN549" i="169"/>
  <c r="AN550" i="169"/>
  <c r="AN551" i="169"/>
  <c r="AN552" i="169"/>
  <c r="AN553" i="169"/>
  <c r="AN554" i="169"/>
  <c r="AN555" i="169"/>
  <c r="AN556" i="169"/>
  <c r="AN557" i="169"/>
  <c r="AN558" i="169"/>
  <c r="AN559" i="169"/>
  <c r="AN560" i="169"/>
  <c r="AN561" i="169"/>
  <c r="AN562" i="169"/>
  <c r="AN563" i="169"/>
  <c r="AN564" i="169"/>
  <c r="AN565" i="169"/>
  <c r="AN566" i="169"/>
  <c r="AN567" i="169"/>
  <c r="AN568" i="169"/>
  <c r="AN569" i="169"/>
  <c r="AN570" i="169"/>
  <c r="AN571" i="169"/>
  <c r="AN572" i="169"/>
  <c r="AN573" i="169"/>
  <c r="AN574" i="169"/>
  <c r="AN575" i="169"/>
  <c r="AN576" i="169"/>
  <c r="AN577" i="169"/>
  <c r="AN578" i="169"/>
  <c r="AN579" i="169"/>
  <c r="AN580" i="169"/>
  <c r="AN581" i="169"/>
  <c r="AN582" i="169"/>
  <c r="AN583" i="169"/>
  <c r="AN584" i="169"/>
  <c r="AN585" i="169"/>
  <c r="AN586" i="169"/>
  <c r="AN587" i="169"/>
  <c r="AN588" i="169"/>
  <c r="AN589" i="169"/>
  <c r="AN590" i="169"/>
  <c r="AN591" i="169"/>
  <c r="AN592" i="169"/>
  <c r="AN593" i="169"/>
  <c r="AN594" i="169"/>
  <c r="AN595" i="169"/>
  <c r="AN596" i="169"/>
  <c r="AN597" i="169"/>
  <c r="AN598" i="169"/>
  <c r="AN599" i="169"/>
  <c r="AN600" i="169"/>
  <c r="AN601" i="169"/>
  <c r="AN602" i="169"/>
  <c r="AN603" i="169"/>
  <c r="AN604" i="169"/>
  <c r="AN605" i="169"/>
  <c r="AN606" i="169"/>
  <c r="AN607" i="169"/>
  <c r="AN608" i="169"/>
  <c r="AN609" i="169"/>
  <c r="AN610" i="169"/>
  <c r="AH518" i="169"/>
  <c r="AI518" i="169" s="1"/>
  <c r="AH519" i="169"/>
  <c r="AJ519" i="169" s="1"/>
  <c r="AH520" i="169"/>
  <c r="AJ520" i="169" s="1"/>
  <c r="AH521" i="169"/>
  <c r="AH522" i="169"/>
  <c r="AJ522" i="169" s="1"/>
  <c r="AH523" i="169"/>
  <c r="AJ523" i="169" s="1"/>
  <c r="AH524" i="169"/>
  <c r="AI524" i="169" s="1"/>
  <c r="AH525" i="169"/>
  <c r="AI525" i="169" s="1"/>
  <c r="AH526" i="169"/>
  <c r="AI526" i="169" s="1"/>
  <c r="AH527" i="169"/>
  <c r="AI527" i="169" s="1"/>
  <c r="AH528" i="169"/>
  <c r="AJ528" i="169" s="1"/>
  <c r="AH529" i="169"/>
  <c r="AI529" i="169" s="1"/>
  <c r="AH530" i="169"/>
  <c r="AI530" i="169" s="1"/>
  <c r="AH531" i="169"/>
  <c r="AJ531" i="169" s="1"/>
  <c r="AH532" i="169"/>
  <c r="AI532" i="169" s="1"/>
  <c r="AH533" i="169"/>
  <c r="AH534" i="169"/>
  <c r="AJ534" i="169" s="1"/>
  <c r="AH535" i="169"/>
  <c r="AJ535" i="169" s="1"/>
  <c r="AH536" i="169"/>
  <c r="AI536" i="169" s="1"/>
  <c r="AH537" i="169"/>
  <c r="AI537" i="169" s="1"/>
  <c r="AH538" i="169"/>
  <c r="AI538" i="169" s="1"/>
  <c r="AH539" i="169"/>
  <c r="AJ539" i="169" s="1"/>
  <c r="AH540" i="169"/>
  <c r="AI540" i="169" s="1"/>
  <c r="AH541" i="169"/>
  <c r="AI541" i="169" s="1"/>
  <c r="AH542" i="169"/>
  <c r="AI542" i="169" s="1"/>
  <c r="AH543" i="169"/>
  <c r="AJ543" i="169" s="1"/>
  <c r="AH544" i="169"/>
  <c r="AJ544" i="169" s="1"/>
  <c r="AH545" i="169"/>
  <c r="AH546" i="169"/>
  <c r="AJ546" i="169" s="1"/>
  <c r="AH547" i="169"/>
  <c r="AJ547" i="169" s="1"/>
  <c r="AH548" i="169"/>
  <c r="AI548" i="169" s="1"/>
  <c r="AH549" i="169"/>
  <c r="AI549" i="169" s="1"/>
  <c r="AH550" i="169"/>
  <c r="AI550" i="169" s="1"/>
  <c r="AH551" i="169"/>
  <c r="AI551" i="169" s="1"/>
  <c r="AH552" i="169"/>
  <c r="AJ552" i="169" s="1"/>
  <c r="AH553" i="169"/>
  <c r="AI553" i="169" s="1"/>
  <c r="AH554" i="169"/>
  <c r="AI554" i="169" s="1"/>
  <c r="AH555" i="169"/>
  <c r="AJ555" i="169" s="1"/>
  <c r="AH556" i="169"/>
  <c r="AI556" i="169" s="1"/>
  <c r="AH557" i="169"/>
  <c r="AH558" i="169"/>
  <c r="AJ558" i="169" s="1"/>
  <c r="AH559" i="169"/>
  <c r="AJ559" i="169" s="1"/>
  <c r="AH560" i="169"/>
  <c r="AI560" i="169" s="1"/>
  <c r="AH561" i="169"/>
  <c r="AI561" i="169" s="1"/>
  <c r="AH562" i="169"/>
  <c r="AI562" i="169" s="1"/>
  <c r="AH563" i="169"/>
  <c r="AI563" i="169" s="1"/>
  <c r="AH564" i="169"/>
  <c r="AI564" i="169" s="1"/>
  <c r="AH565" i="169"/>
  <c r="AI565" i="169" s="1"/>
  <c r="AH566" i="169"/>
  <c r="AI566" i="169" s="1"/>
  <c r="AH567" i="169"/>
  <c r="AJ567" i="169" s="1"/>
  <c r="AH568" i="169"/>
  <c r="AJ568" i="169" s="1"/>
  <c r="AH569" i="169"/>
  <c r="AH570" i="169"/>
  <c r="AJ570" i="169" s="1"/>
  <c r="AH571" i="169"/>
  <c r="AJ571" i="169" s="1"/>
  <c r="AH572" i="169"/>
  <c r="AI572" i="169" s="1"/>
  <c r="AH573" i="169"/>
  <c r="AI573" i="169" s="1"/>
  <c r="AH574" i="169"/>
  <c r="AI574" i="169" s="1"/>
  <c r="AH575" i="169"/>
  <c r="AJ575" i="169" s="1"/>
  <c r="AH576" i="169"/>
  <c r="AJ576" i="169" s="1"/>
  <c r="AH577" i="169"/>
  <c r="AI577" i="169" s="1"/>
  <c r="AH578" i="169"/>
  <c r="AI578" i="169" s="1"/>
  <c r="AH579" i="169"/>
  <c r="AJ579" i="169" s="1"/>
  <c r="AH580" i="169"/>
  <c r="AI580" i="169" s="1"/>
  <c r="AH581" i="169"/>
  <c r="AH582" i="169"/>
  <c r="AJ582" i="169" s="1"/>
  <c r="AH583" i="169"/>
  <c r="AJ583" i="169" s="1"/>
  <c r="AH584" i="169"/>
  <c r="AI584" i="169" s="1"/>
  <c r="AH585" i="169"/>
  <c r="AI585" i="169" s="1"/>
  <c r="AH586" i="169"/>
  <c r="AI586" i="169" s="1"/>
  <c r="AH587" i="169"/>
  <c r="AJ587" i="169" s="1"/>
  <c r="AH588" i="169"/>
  <c r="AJ588" i="169" s="1"/>
  <c r="AH589" i="169"/>
  <c r="AI589" i="169" s="1"/>
  <c r="AH590" i="169"/>
  <c r="AI590" i="169" s="1"/>
  <c r="AH591" i="169"/>
  <c r="AJ591" i="169" s="1"/>
  <c r="AH592" i="169"/>
  <c r="AJ592" i="169" s="1"/>
  <c r="AH593" i="169"/>
  <c r="AH594" i="169"/>
  <c r="AJ594" i="169" s="1"/>
  <c r="AH595" i="169"/>
  <c r="AJ595" i="169" s="1"/>
  <c r="AH596" i="169"/>
  <c r="AI596" i="169" s="1"/>
  <c r="AH597" i="169"/>
  <c r="AI597" i="169" s="1"/>
  <c r="AH598" i="169"/>
  <c r="AI598" i="169" s="1"/>
  <c r="AH599" i="169"/>
  <c r="AJ599" i="169" s="1"/>
  <c r="AH600" i="169"/>
  <c r="AJ600" i="169" s="1"/>
  <c r="AH601" i="169"/>
  <c r="AI601" i="169" s="1"/>
  <c r="AH602" i="169"/>
  <c r="AI602" i="169" s="1"/>
  <c r="AH603" i="169"/>
  <c r="AJ603" i="169" s="1"/>
  <c r="AH604" i="169"/>
  <c r="AI604" i="169" s="1"/>
  <c r="AH605" i="169"/>
  <c r="AH606" i="169"/>
  <c r="AJ606" i="169" s="1"/>
  <c r="AH607" i="169"/>
  <c r="AJ607" i="169" s="1"/>
  <c r="AH608" i="169"/>
  <c r="AI608" i="169" s="1"/>
  <c r="AH609" i="169"/>
  <c r="AI609" i="169" s="1"/>
  <c r="AH610" i="169"/>
  <c r="AI610" i="169" s="1"/>
  <c r="AH611" i="169"/>
  <c r="AH612" i="169"/>
  <c r="AH613" i="169"/>
  <c r="AH614" i="169"/>
  <c r="AH615" i="169"/>
  <c r="AH616" i="169"/>
  <c r="AH617" i="169"/>
  <c r="AH618" i="169"/>
  <c r="AH619" i="169"/>
  <c r="AH620" i="169"/>
  <c r="AH621" i="169"/>
  <c r="AH622" i="169"/>
  <c r="AH623" i="169"/>
  <c r="AH624" i="169"/>
  <c r="AH625" i="169"/>
  <c r="AH626" i="169"/>
  <c r="AH627" i="169"/>
  <c r="AH628" i="169"/>
  <c r="AH629" i="169"/>
  <c r="AH630" i="169"/>
  <c r="AH631" i="169"/>
  <c r="AH632" i="169"/>
  <c r="AH633" i="169"/>
  <c r="AH634" i="169"/>
  <c r="AH635" i="169"/>
  <c r="AH636" i="169"/>
  <c r="AH637" i="169"/>
  <c r="AH638" i="169"/>
  <c r="AH639" i="169"/>
  <c r="AH640" i="169"/>
  <c r="AH641" i="169"/>
  <c r="AH642" i="169"/>
  <c r="AH643" i="169"/>
  <c r="AH644" i="169"/>
  <c r="AH645" i="169"/>
  <c r="AH646" i="169"/>
  <c r="AH647" i="169"/>
  <c r="AH648" i="169"/>
  <c r="AH649" i="169"/>
  <c r="AH650" i="169"/>
  <c r="AH651" i="169"/>
  <c r="AH652" i="169"/>
  <c r="AH653" i="169"/>
  <c r="AH654" i="169"/>
  <c r="AH655" i="169"/>
  <c r="AH656" i="169"/>
  <c r="AH657" i="169"/>
  <c r="AH658" i="169"/>
  <c r="AH659" i="169"/>
  <c r="AH660" i="169"/>
  <c r="AH661" i="169"/>
  <c r="AH662" i="169"/>
  <c r="AH663" i="169"/>
  <c r="AH664" i="169"/>
  <c r="AH665" i="169"/>
  <c r="AH666" i="169"/>
  <c r="AH667" i="169"/>
  <c r="AH668" i="169"/>
  <c r="AH669" i="169"/>
  <c r="AH670" i="169"/>
  <c r="AH671" i="169"/>
  <c r="AH672" i="169"/>
  <c r="AH673" i="169"/>
  <c r="AH674" i="169"/>
  <c r="AH675" i="169"/>
  <c r="AH676" i="169"/>
  <c r="AH677" i="169"/>
  <c r="AH678" i="169"/>
  <c r="AH679" i="169"/>
  <c r="AH680" i="169"/>
  <c r="AI680" i="169" s="1"/>
  <c r="AH681" i="169"/>
  <c r="AH682" i="169"/>
  <c r="AH683" i="169"/>
  <c r="AH684" i="169"/>
  <c r="AH685" i="169"/>
  <c r="AH686" i="169"/>
  <c r="AH687" i="169"/>
  <c r="AH688" i="169"/>
  <c r="AH689" i="169"/>
  <c r="AH690" i="169"/>
  <c r="AH691" i="169"/>
  <c r="AH692" i="169"/>
  <c r="AH693" i="169"/>
  <c r="AH694" i="169"/>
  <c r="AH695" i="169"/>
  <c r="AH696" i="169"/>
  <c r="AH697" i="169"/>
  <c r="AH698" i="169"/>
  <c r="AH699" i="169"/>
  <c r="AH700" i="169"/>
  <c r="AH701" i="169"/>
  <c r="AH702" i="169"/>
  <c r="AH703" i="169"/>
  <c r="AH704" i="169"/>
  <c r="AI704" i="169" s="1"/>
  <c r="AH705" i="169"/>
  <c r="AH706" i="169"/>
  <c r="AH707" i="169"/>
  <c r="AH708" i="169"/>
  <c r="AH709" i="169"/>
  <c r="AH710" i="169"/>
  <c r="AH711" i="169"/>
  <c r="AH712" i="169"/>
  <c r="AH713" i="169"/>
  <c r="AH714" i="169"/>
  <c r="AH715" i="169"/>
  <c r="AH716" i="169"/>
  <c r="AH717" i="169"/>
  <c r="AH718" i="169"/>
  <c r="AH719" i="169"/>
  <c r="AH720" i="169"/>
  <c r="AH721" i="169"/>
  <c r="AH722" i="169"/>
  <c r="AH723" i="169"/>
  <c r="AH724" i="169"/>
  <c r="AH725" i="169"/>
  <c r="AH726" i="169"/>
  <c r="AH727" i="169"/>
  <c r="AH728" i="169"/>
  <c r="AH729" i="169"/>
  <c r="AH730" i="169"/>
  <c r="AH731" i="169"/>
  <c r="AH732" i="169"/>
  <c r="AH733" i="169"/>
  <c r="AH734" i="169"/>
  <c r="AH735" i="169"/>
  <c r="AH736" i="169"/>
  <c r="AH737" i="169"/>
  <c r="AH738" i="169"/>
  <c r="AH739" i="169"/>
  <c r="AH740" i="169"/>
  <c r="AH741" i="169"/>
  <c r="AJ741" i="169" s="1"/>
  <c r="AH742" i="169"/>
  <c r="AH743" i="169"/>
  <c r="AH744" i="169"/>
  <c r="AH745" i="169"/>
  <c r="AH746" i="169"/>
  <c r="AH747" i="169"/>
  <c r="AH748" i="169"/>
  <c r="AH749" i="169"/>
  <c r="AH750" i="169"/>
  <c r="AH751" i="169"/>
  <c r="AH752" i="169"/>
  <c r="AH753" i="169"/>
  <c r="AH754" i="169"/>
  <c r="AH755" i="169"/>
  <c r="AH756" i="169"/>
  <c r="AH757" i="169"/>
  <c r="AH758" i="169"/>
  <c r="AH759" i="169"/>
  <c r="AH760" i="169"/>
  <c r="AH761" i="169"/>
  <c r="AH762" i="169"/>
  <c r="AH763" i="169"/>
  <c r="AH764" i="169"/>
  <c r="AJ764" i="169" s="1"/>
  <c r="AH765" i="169"/>
  <c r="AH766" i="169"/>
  <c r="AH767" i="169"/>
  <c r="AH768" i="169"/>
  <c r="AH769" i="169"/>
  <c r="AH770" i="169"/>
  <c r="AH771" i="169"/>
  <c r="AH772" i="169"/>
  <c r="AH773" i="169"/>
  <c r="AH774" i="169"/>
  <c r="AH775" i="169"/>
  <c r="AH776" i="169"/>
  <c r="AH777" i="169"/>
  <c r="AH778" i="169"/>
  <c r="AH779" i="169"/>
  <c r="AI779" i="169" s="1"/>
  <c r="AH780" i="169"/>
  <c r="AH781" i="169"/>
  <c r="AH782" i="169"/>
  <c r="AI782" i="169" s="1"/>
  <c r="AH783" i="169"/>
  <c r="AH784" i="169"/>
  <c r="AH785" i="169"/>
  <c r="AH786" i="169"/>
  <c r="AH787" i="169"/>
  <c r="AI787" i="169" s="1"/>
  <c r="AH788" i="169"/>
  <c r="AI788" i="169" s="1"/>
  <c r="AH789" i="169"/>
  <c r="AH790" i="169"/>
  <c r="AH791" i="169"/>
  <c r="AI791" i="169" s="1"/>
  <c r="AH792" i="169"/>
  <c r="AH793" i="169"/>
  <c r="AI793" i="169" s="1"/>
  <c r="AH794" i="169"/>
  <c r="AJ794" i="169" s="1"/>
  <c r="AH795" i="169"/>
  <c r="AI795" i="169" s="1"/>
  <c r="AH796" i="169"/>
  <c r="AH797" i="169"/>
  <c r="AH798" i="169"/>
  <c r="AH799" i="169"/>
  <c r="AH800" i="169"/>
  <c r="AI800" i="169" s="1"/>
  <c r="AH801" i="169"/>
  <c r="AH802" i="169"/>
  <c r="AH803" i="169"/>
  <c r="AJ803" i="169" s="1"/>
  <c r="AH804" i="169"/>
  <c r="AH805" i="169"/>
  <c r="AI805" i="169" s="1"/>
  <c r="AH806" i="169"/>
  <c r="AI806" i="169" s="1"/>
  <c r="AH807" i="169"/>
  <c r="AH808" i="169"/>
  <c r="AH809" i="169"/>
  <c r="AH810" i="169"/>
  <c r="AH811" i="169"/>
  <c r="AI811" i="169" s="1"/>
  <c r="AH812" i="169"/>
  <c r="AJ812" i="169" s="1"/>
  <c r="AH813" i="169"/>
  <c r="AI813" i="169" s="1"/>
  <c r="AH814" i="169"/>
  <c r="AH815" i="169"/>
  <c r="AI815" i="169" s="1"/>
  <c r="AH816" i="169"/>
  <c r="AH817" i="169"/>
  <c r="AH818" i="169"/>
  <c r="AI818" i="169" s="1"/>
  <c r="AH819" i="169"/>
  <c r="AH820" i="169"/>
  <c r="AH821" i="169"/>
  <c r="AH822" i="169"/>
  <c r="AH823" i="169"/>
  <c r="AH824" i="169"/>
  <c r="AI824" i="169" s="1"/>
  <c r="AH825" i="169"/>
  <c r="AH826" i="169"/>
  <c r="AH827" i="169"/>
  <c r="AI827" i="169" s="1"/>
  <c r="AH828" i="169"/>
  <c r="AH829" i="169"/>
  <c r="AH830" i="169"/>
  <c r="AJ830" i="169" s="1"/>
  <c r="AH831" i="169"/>
  <c r="AI831" i="169" s="1"/>
  <c r="AH832" i="169"/>
  <c r="AH833" i="169"/>
  <c r="AH834" i="169"/>
  <c r="AI834" i="169" s="1"/>
  <c r="AH835" i="169"/>
  <c r="AH836" i="169"/>
  <c r="AI836" i="169" s="1"/>
  <c r="AH837" i="169"/>
  <c r="AI837" i="169" s="1"/>
  <c r="AH838" i="169"/>
  <c r="AH839" i="169"/>
  <c r="AI839" i="169" s="1"/>
  <c r="AH840" i="169"/>
  <c r="AH841" i="169"/>
  <c r="AJ841" i="169" s="1"/>
  <c r="AH842" i="169"/>
  <c r="AH843" i="169"/>
  <c r="AI843" i="169" s="1"/>
  <c r="AH844" i="169"/>
  <c r="AJ844" i="169" s="1"/>
  <c r="AH845" i="169"/>
  <c r="AH846" i="169"/>
  <c r="AH847" i="169"/>
  <c r="AJ847" i="169" s="1"/>
  <c r="AH848" i="169"/>
  <c r="AH849" i="169"/>
  <c r="AI849" i="169" s="1"/>
  <c r="AH850" i="169"/>
  <c r="AH851" i="169"/>
  <c r="AI851" i="169" s="1"/>
  <c r="AH852" i="169"/>
  <c r="AH853" i="169"/>
  <c r="AJ853" i="169" s="1"/>
  <c r="AH854" i="169"/>
  <c r="AH855" i="169"/>
  <c r="AI855" i="169" s="1"/>
  <c r="AH856" i="169"/>
  <c r="AJ856" i="169" s="1"/>
  <c r="AH857" i="169"/>
  <c r="AI857" i="169" s="1"/>
  <c r="AH858" i="169"/>
  <c r="AH859" i="169"/>
  <c r="AJ859" i="169" s="1"/>
  <c r="AH860" i="169"/>
  <c r="AH861" i="169"/>
  <c r="AI861" i="169" s="1"/>
  <c r="AH862" i="169"/>
  <c r="AJ862" i="169" s="1"/>
  <c r="AH863" i="169"/>
  <c r="AI863" i="169" s="1"/>
  <c r="AH864" i="169"/>
  <c r="AH865" i="169"/>
  <c r="AJ865" i="169" s="1"/>
  <c r="AH866" i="169"/>
  <c r="AH867" i="169"/>
  <c r="AJ867" i="169" s="1"/>
  <c r="AH868" i="169"/>
  <c r="AJ868" i="169" s="1"/>
  <c r="AH869" i="169"/>
  <c r="AH870" i="169"/>
  <c r="AH871" i="169"/>
  <c r="AJ871" i="169" s="1"/>
  <c r="AH872" i="169"/>
  <c r="AH873" i="169"/>
  <c r="AJ873" i="169" s="1"/>
  <c r="AH874" i="169"/>
  <c r="AH875" i="169"/>
  <c r="AI875" i="169" s="1"/>
  <c r="AH876" i="169"/>
  <c r="AH877" i="169"/>
  <c r="AJ877" i="169" s="1"/>
  <c r="AH878" i="169"/>
  <c r="AH879" i="169"/>
  <c r="AI879" i="169" s="1"/>
  <c r="AH880" i="169"/>
  <c r="AJ880" i="169" s="1"/>
  <c r="AH881" i="169"/>
  <c r="AH882" i="169"/>
  <c r="AH883" i="169"/>
  <c r="AJ883" i="169" s="1"/>
  <c r="AH884" i="169"/>
  <c r="AH885" i="169"/>
  <c r="AI885" i="169" s="1"/>
  <c r="AH886" i="169"/>
  <c r="AH887" i="169"/>
  <c r="AI887" i="169" s="1"/>
  <c r="AH888" i="169"/>
  <c r="AH889" i="169"/>
  <c r="AJ889" i="169" s="1"/>
  <c r="AH890" i="169"/>
  <c r="AH891" i="169"/>
  <c r="AI891" i="169" s="1"/>
  <c r="AH892" i="169"/>
  <c r="AJ892" i="169" s="1"/>
  <c r="AH893" i="169"/>
  <c r="AH894" i="169"/>
  <c r="AH895" i="169"/>
  <c r="AI895" i="169" s="1"/>
  <c r="AH896" i="169"/>
  <c r="AJ896" i="169" s="1"/>
  <c r="AH897" i="169"/>
  <c r="AI897" i="169" s="1"/>
  <c r="AH898" i="169"/>
  <c r="AH899" i="169"/>
  <c r="AI899" i="169" s="1"/>
  <c r="AH900" i="169"/>
  <c r="AH901" i="169"/>
  <c r="AJ901" i="169" s="1"/>
  <c r="AH902" i="169"/>
  <c r="AI902" i="169" s="1"/>
  <c r="AH903" i="169"/>
  <c r="AI903" i="169" s="1"/>
  <c r="AH904" i="169"/>
  <c r="AI904" i="169" s="1"/>
  <c r="AH905" i="169"/>
  <c r="AH906" i="169"/>
  <c r="AI906" i="169" s="1"/>
  <c r="AH907" i="169"/>
  <c r="AJ907" i="169" s="1"/>
  <c r="AH908" i="169"/>
  <c r="AI908" i="169" s="1"/>
  <c r="AH909" i="169"/>
  <c r="AI909" i="169" s="1"/>
  <c r="AH910" i="169"/>
  <c r="AH911" i="169"/>
  <c r="AI911" i="169" s="1"/>
  <c r="A906" i="169"/>
  <c r="B906" i="169"/>
  <c r="D906" i="169"/>
  <c r="E906" i="169" s="1"/>
  <c r="F906" i="169"/>
  <c r="J906" i="169"/>
  <c r="AK906" i="169" s="1"/>
  <c r="K906" i="169"/>
  <c r="AL906" i="169" s="1"/>
  <c r="L906" i="169"/>
  <c r="AM906" i="169" s="1"/>
  <c r="O906" i="169"/>
  <c r="AO906" i="169" s="1"/>
  <c r="P906" i="169"/>
  <c r="Q906" i="169"/>
  <c r="U906" i="169" s="1"/>
  <c r="AQ906" i="169" s="1"/>
  <c r="W906" i="169"/>
  <c r="A907" i="169"/>
  <c r="B907" i="169"/>
  <c r="D907" i="169"/>
  <c r="E907" i="169" s="1"/>
  <c r="F907" i="169"/>
  <c r="J907" i="169"/>
  <c r="AK907" i="169" s="1"/>
  <c r="K907" i="169"/>
  <c r="AL907" i="169" s="1"/>
  <c r="L907" i="169"/>
  <c r="AM907" i="169" s="1"/>
  <c r="O907" i="169"/>
  <c r="AO907" i="169" s="1"/>
  <c r="P907" i="169"/>
  <c r="Q907" i="169"/>
  <c r="S907" i="169" s="1"/>
  <c r="AP907" i="169" s="1"/>
  <c r="W907" i="169"/>
  <c r="A908" i="169"/>
  <c r="B908" i="169"/>
  <c r="D908" i="169"/>
  <c r="E908" i="169" s="1"/>
  <c r="F908" i="169"/>
  <c r="J908" i="169"/>
  <c r="AK908" i="169" s="1"/>
  <c r="K908" i="169"/>
  <c r="AL908" i="169" s="1"/>
  <c r="L908" i="169"/>
  <c r="AM908" i="169" s="1"/>
  <c r="O908" i="169"/>
  <c r="AO908" i="169" s="1"/>
  <c r="P908" i="169"/>
  <c r="Q908" i="169"/>
  <c r="S908" i="169" s="1"/>
  <c r="AP908" i="169" s="1"/>
  <c r="W908" i="169"/>
  <c r="A909" i="169"/>
  <c r="B909" i="169"/>
  <c r="D909" i="169"/>
  <c r="E909" i="169" s="1"/>
  <c r="F909" i="169"/>
  <c r="J909" i="169"/>
  <c r="AK909" i="169" s="1"/>
  <c r="K909" i="169"/>
  <c r="AL909" i="169" s="1"/>
  <c r="L909" i="169"/>
  <c r="AM909" i="169" s="1"/>
  <c r="O909" i="169"/>
  <c r="AO909" i="169" s="1"/>
  <c r="P909" i="169"/>
  <c r="Q909" i="169"/>
  <c r="U909" i="169" s="1"/>
  <c r="AQ909" i="169" s="1"/>
  <c r="W909" i="169"/>
  <c r="A910" i="169"/>
  <c r="B910" i="169"/>
  <c r="D910" i="169"/>
  <c r="E910" i="169" s="1"/>
  <c r="F910" i="169"/>
  <c r="J910" i="169"/>
  <c r="AK910" i="169" s="1"/>
  <c r="K910" i="169"/>
  <c r="AL910" i="169" s="1"/>
  <c r="L910" i="169"/>
  <c r="AM910" i="169" s="1"/>
  <c r="O910" i="169"/>
  <c r="AO910" i="169" s="1"/>
  <c r="P910" i="169"/>
  <c r="Q910" i="169"/>
  <c r="U910" i="169" s="1"/>
  <c r="AQ910" i="169" s="1"/>
  <c r="W910" i="169"/>
  <c r="A911" i="169"/>
  <c r="B911" i="169"/>
  <c r="D911" i="169"/>
  <c r="E911" i="169" s="1"/>
  <c r="F911" i="169"/>
  <c r="J911" i="169"/>
  <c r="AK911" i="169" s="1"/>
  <c r="K911" i="169"/>
  <c r="AL911" i="169" s="1"/>
  <c r="L911" i="169"/>
  <c r="AM911" i="169" s="1"/>
  <c r="O911" i="169"/>
  <c r="AO911" i="169" s="1"/>
  <c r="P911" i="169"/>
  <c r="Q911" i="169"/>
  <c r="U911" i="169" s="1"/>
  <c r="AQ911" i="169" s="1"/>
  <c r="W911" i="169"/>
  <c r="A944" i="169"/>
  <c r="B944" i="169"/>
  <c r="D944" i="169"/>
  <c r="E944" i="169" s="1"/>
  <c r="F944" i="169"/>
  <c r="J944" i="169"/>
  <c r="K944" i="169"/>
  <c r="L944" i="169"/>
  <c r="O944" i="169"/>
  <c r="P944" i="169"/>
  <c r="Q944" i="169"/>
  <c r="S944" i="169" s="1"/>
  <c r="W944" i="169"/>
  <c r="A945" i="169"/>
  <c r="B945" i="169"/>
  <c r="D945" i="169"/>
  <c r="E945" i="169" s="1"/>
  <c r="F945" i="169"/>
  <c r="J945" i="169"/>
  <c r="K945" i="169"/>
  <c r="L945" i="169"/>
  <c r="O945" i="169"/>
  <c r="P945" i="169"/>
  <c r="Q945" i="169"/>
  <c r="U945" i="169" s="1"/>
  <c r="W945" i="169"/>
  <c r="A946" i="169"/>
  <c r="B946" i="169"/>
  <c r="D946" i="169"/>
  <c r="E946" i="169" s="1"/>
  <c r="F946" i="169"/>
  <c r="J946" i="169"/>
  <c r="K946" i="169"/>
  <c r="L946" i="169"/>
  <c r="O946" i="169"/>
  <c r="P946" i="169"/>
  <c r="Q946" i="169"/>
  <c r="S946" i="169" s="1"/>
  <c r="W946" i="169"/>
  <c r="A947" i="169"/>
  <c r="B947" i="169"/>
  <c r="D947" i="169"/>
  <c r="E947" i="169" s="1"/>
  <c r="F947" i="169"/>
  <c r="J947" i="169"/>
  <c r="K947" i="169"/>
  <c r="L947" i="169"/>
  <c r="O947" i="169"/>
  <c r="P947" i="169"/>
  <c r="Q947" i="169"/>
  <c r="U947" i="169" s="1"/>
  <c r="W947" i="169"/>
  <c r="A967" i="169"/>
  <c r="B967" i="169"/>
  <c r="D967" i="169"/>
  <c r="E967" i="169" s="1"/>
  <c r="F967" i="169"/>
  <c r="J967" i="169"/>
  <c r="K967" i="169"/>
  <c r="L967" i="169"/>
  <c r="O967" i="169"/>
  <c r="P967" i="169"/>
  <c r="Q967" i="169"/>
  <c r="S967" i="169" s="1"/>
  <c r="W967" i="169"/>
  <c r="B968" i="169"/>
  <c r="D968" i="169"/>
  <c r="E968" i="169" s="1"/>
  <c r="F968" i="169"/>
  <c r="J968" i="169"/>
  <c r="K968" i="169"/>
  <c r="L968" i="169"/>
  <c r="O968" i="169"/>
  <c r="P968" i="169"/>
  <c r="Q968" i="169"/>
  <c r="U968" i="169" s="1"/>
  <c r="W968" i="169"/>
  <c r="A1077" i="169"/>
  <c r="B1077" i="169"/>
  <c r="D1077" i="169"/>
  <c r="E1077" i="169" s="1"/>
  <c r="F1077" i="169"/>
  <c r="J1077" i="169"/>
  <c r="K1077" i="169"/>
  <c r="L1077" i="169"/>
  <c r="O1077" i="169"/>
  <c r="P1077" i="169"/>
  <c r="Q1077" i="169"/>
  <c r="U1077" i="169" s="1"/>
  <c r="W1077" i="169"/>
  <c r="A1078" i="169"/>
  <c r="B1078" i="169"/>
  <c r="D1078" i="169"/>
  <c r="E1078" i="169" s="1"/>
  <c r="F1078" i="169"/>
  <c r="J1078" i="169"/>
  <c r="K1078" i="169"/>
  <c r="L1078" i="169"/>
  <c r="O1078" i="169"/>
  <c r="P1078" i="169"/>
  <c r="Q1078" i="169"/>
  <c r="U1078" i="169" s="1"/>
  <c r="W1078" i="169"/>
  <c r="A1262" i="169"/>
  <c r="B1262" i="169"/>
  <c r="D1262" i="169"/>
  <c r="E1262" i="169" s="1"/>
  <c r="F1262" i="169"/>
  <c r="J1262" i="169"/>
  <c r="K1262" i="169"/>
  <c r="L1262" i="169"/>
  <c r="O1262" i="169"/>
  <c r="P1262" i="169"/>
  <c r="Q1262" i="169"/>
  <c r="U1262" i="169" s="1"/>
  <c r="W1262" i="169"/>
  <c r="A1263" i="169"/>
  <c r="B1263" i="169"/>
  <c r="D1263" i="169"/>
  <c r="E1263" i="169" s="1"/>
  <c r="F1263" i="169"/>
  <c r="J1263" i="169"/>
  <c r="K1263" i="169"/>
  <c r="L1263" i="169"/>
  <c r="O1263" i="169"/>
  <c r="P1263" i="169"/>
  <c r="Q1263" i="169"/>
  <c r="U1263" i="169" s="1"/>
  <c r="W1263" i="169"/>
  <c r="V1247" i="169" l="1"/>
  <c r="X1150" i="169"/>
  <c r="AF1150" i="169" s="1"/>
  <c r="V1150" i="169"/>
  <c r="X1153" i="169"/>
  <c r="AF1153" i="169" s="1"/>
  <c r="V1155" i="169"/>
  <c r="X1155" i="169"/>
  <c r="AF1155" i="169" s="1"/>
  <c r="X1158" i="169"/>
  <c r="AF1158" i="169" s="1"/>
  <c r="X1160" i="169"/>
  <c r="AF1160" i="169" s="1"/>
  <c r="V1175" i="169"/>
  <c r="V1171" i="169"/>
  <c r="X1171" i="169"/>
  <c r="AF1171" i="169" s="1"/>
  <c r="X1172" i="169"/>
  <c r="AF1172" i="169" s="1"/>
  <c r="X1173" i="169"/>
  <c r="AF1173" i="169" s="1"/>
  <c r="V1176" i="169"/>
  <c r="X1177" i="169"/>
  <c r="AF1177" i="169" s="1"/>
  <c r="X1127" i="169"/>
  <c r="AF1127" i="169" s="1"/>
  <c r="V1127" i="169"/>
  <c r="X1140" i="169"/>
  <c r="AF1140" i="169" s="1"/>
  <c r="V1142" i="169"/>
  <c r="X1142" i="169"/>
  <c r="AF1142" i="169" s="1"/>
  <c r="X1181" i="169"/>
  <c r="AF1181" i="169" s="1"/>
  <c r="V1180" i="169"/>
  <c r="V1146" i="169"/>
  <c r="X1146" i="169"/>
  <c r="AF1146" i="169" s="1"/>
  <c r="X1179" i="169"/>
  <c r="AF1179" i="169" s="1"/>
  <c r="V1179" i="169"/>
  <c r="V1073" i="169"/>
  <c r="X1012" i="169"/>
  <c r="AF1012" i="169" s="1"/>
  <c r="X1014" i="169"/>
  <c r="AF1014" i="169" s="1"/>
  <c r="V1023" i="169"/>
  <c r="X1021" i="169"/>
  <c r="AF1021" i="169" s="1"/>
  <c r="X1022" i="169"/>
  <c r="AF1022" i="169" s="1"/>
  <c r="X990" i="169"/>
  <c r="AF990" i="169" s="1"/>
  <c r="V993" i="169"/>
  <c r="V1001" i="169"/>
  <c r="V1003" i="169"/>
  <c r="X1003" i="169"/>
  <c r="AF1003" i="169" s="1"/>
  <c r="V956" i="169"/>
  <c r="X956" i="169"/>
  <c r="AF956" i="169" s="1"/>
  <c r="V916" i="169"/>
  <c r="V915" i="169"/>
  <c r="X915" i="169"/>
  <c r="AF915" i="169" s="1"/>
  <c r="V914" i="169"/>
  <c r="X914" i="169"/>
  <c r="AF914" i="169" s="1"/>
  <c r="X929" i="169"/>
  <c r="AF929" i="169" s="1"/>
  <c r="X924" i="169"/>
  <c r="AF924" i="169" s="1"/>
  <c r="V924" i="169"/>
  <c r="V925" i="169"/>
  <c r="X925" i="169"/>
  <c r="AF925" i="169" s="1"/>
  <c r="X931" i="169"/>
  <c r="AF931" i="169" s="1"/>
  <c r="V933" i="169"/>
  <c r="X927" i="169"/>
  <c r="AF927" i="169" s="1"/>
  <c r="V927" i="169"/>
  <c r="V928" i="169"/>
  <c r="X928" i="169"/>
  <c r="AF928" i="169" s="1"/>
  <c r="X934" i="169"/>
  <c r="AF934" i="169" s="1"/>
  <c r="V930" i="169"/>
  <c r="X930" i="169"/>
  <c r="AF930" i="169" s="1"/>
  <c r="X935" i="169"/>
  <c r="AF935" i="169" s="1"/>
  <c r="X939" i="169"/>
  <c r="AF939" i="169" s="1"/>
  <c r="V936" i="169"/>
  <c r="X936" i="169"/>
  <c r="AF936" i="169" s="1"/>
  <c r="X943" i="169"/>
  <c r="AF943" i="169" s="1"/>
  <c r="X938" i="169"/>
  <c r="AF938" i="169" s="1"/>
  <c r="V938" i="169"/>
  <c r="V942" i="169"/>
  <c r="X942" i="169"/>
  <c r="AF942" i="169" s="1"/>
  <c r="AJ563" i="169"/>
  <c r="AJ551" i="169"/>
  <c r="AJ540" i="169"/>
  <c r="AI592" i="169"/>
  <c r="AI587" i="169"/>
  <c r="AI588" i="169"/>
  <c r="AI544" i="169"/>
  <c r="AI539" i="169"/>
  <c r="AI599" i="169"/>
  <c r="AJ564" i="169"/>
  <c r="AJ863" i="169"/>
  <c r="AI579" i="169"/>
  <c r="AI531" i="169"/>
  <c r="AJ911" i="169"/>
  <c r="AI576" i="169"/>
  <c r="AI528" i="169"/>
  <c r="AJ527" i="169"/>
  <c r="AI868" i="169"/>
  <c r="AJ815" i="169"/>
  <c r="AI575" i="169"/>
  <c r="AI901" i="169"/>
  <c r="AI847" i="169"/>
  <c r="AJ837" i="169"/>
  <c r="AI568" i="169"/>
  <c r="AI520" i="169"/>
  <c r="AI867" i="169"/>
  <c r="AJ800" i="169"/>
  <c r="AI603" i="169"/>
  <c r="AI555" i="169"/>
  <c r="AJ680" i="169"/>
  <c r="AI600" i="169"/>
  <c r="AI552" i="169"/>
  <c r="AI907" i="169"/>
  <c r="AI873" i="169"/>
  <c r="AI853" i="169"/>
  <c r="AJ843" i="169"/>
  <c r="AI910" i="169"/>
  <c r="AJ910" i="169"/>
  <c r="AJ838" i="169"/>
  <c r="AI838" i="169"/>
  <c r="AI802" i="169"/>
  <c r="AJ802" i="169"/>
  <c r="AI778" i="169"/>
  <c r="AJ778" i="169"/>
  <c r="AI730" i="169"/>
  <c r="AJ730" i="169"/>
  <c r="AI706" i="169"/>
  <c r="AJ706" i="169"/>
  <c r="AI682" i="169"/>
  <c r="AJ682" i="169"/>
  <c r="AI658" i="169"/>
  <c r="AJ658" i="169"/>
  <c r="AI634" i="169"/>
  <c r="AJ634" i="169"/>
  <c r="AI622" i="169"/>
  <c r="AJ622" i="169"/>
  <c r="AI862" i="169"/>
  <c r="AJ874" i="169"/>
  <c r="AI874" i="169"/>
  <c r="AJ898" i="169"/>
  <c r="AI898" i="169"/>
  <c r="AI826" i="169"/>
  <c r="AJ826" i="169"/>
  <c r="AI742" i="169"/>
  <c r="AJ742" i="169"/>
  <c r="AJ850" i="169"/>
  <c r="AI850" i="169"/>
  <c r="AI814" i="169"/>
  <c r="AJ814" i="169"/>
  <c r="AI790" i="169"/>
  <c r="AJ790" i="169"/>
  <c r="AI754" i="169"/>
  <c r="AJ754" i="169"/>
  <c r="AI718" i="169"/>
  <c r="AJ718" i="169"/>
  <c r="AI694" i="169"/>
  <c r="AJ694" i="169"/>
  <c r="AI670" i="169"/>
  <c r="AJ670" i="169"/>
  <c r="AI646" i="169"/>
  <c r="AJ646" i="169"/>
  <c r="AJ886" i="169"/>
  <c r="AI886" i="169"/>
  <c r="AI766" i="169"/>
  <c r="AJ766" i="169"/>
  <c r="AJ905" i="169"/>
  <c r="AI905" i="169"/>
  <c r="AI893" i="169"/>
  <c r="AJ893" i="169"/>
  <c r="AI881" i="169"/>
  <c r="AJ881" i="169"/>
  <c r="AI869" i="169"/>
  <c r="AJ869" i="169"/>
  <c r="AI845" i="169"/>
  <c r="AJ845" i="169"/>
  <c r="AJ833" i="169"/>
  <c r="AI833" i="169"/>
  <c r="AI821" i="169"/>
  <c r="AJ821" i="169"/>
  <c r="AI809" i="169"/>
  <c r="AJ809" i="169"/>
  <c r="AI797" i="169"/>
  <c r="AJ797" i="169"/>
  <c r="AJ785" i="169"/>
  <c r="AI785" i="169"/>
  <c r="AI773" i="169"/>
  <c r="AJ773" i="169"/>
  <c r="AI761" i="169"/>
  <c r="AJ761" i="169"/>
  <c r="AI749" i="169"/>
  <c r="AJ749" i="169"/>
  <c r="AI737" i="169"/>
  <c r="AJ737" i="169"/>
  <c r="AI725" i="169"/>
  <c r="AJ725" i="169"/>
  <c r="AJ713" i="169"/>
  <c r="AI713" i="169"/>
  <c r="AJ701" i="169"/>
  <c r="AI701" i="169"/>
  <c r="AJ689" i="169"/>
  <c r="AI689" i="169"/>
  <c r="AJ677" i="169"/>
  <c r="AI677" i="169"/>
  <c r="AJ665" i="169"/>
  <c r="AI665" i="169"/>
  <c r="AJ653" i="169"/>
  <c r="AI653" i="169"/>
  <c r="AJ641" i="169"/>
  <c r="AI641" i="169"/>
  <c r="AJ629" i="169"/>
  <c r="AI629" i="169"/>
  <c r="AJ617" i="169"/>
  <c r="AI617" i="169"/>
  <c r="AJ605" i="169"/>
  <c r="AI605" i="169"/>
  <c r="AJ593" i="169"/>
  <c r="AI593" i="169"/>
  <c r="AJ581" i="169"/>
  <c r="AI581" i="169"/>
  <c r="AJ569" i="169"/>
  <c r="AI569" i="169"/>
  <c r="AJ557" i="169"/>
  <c r="AI557" i="169"/>
  <c r="AJ545" i="169"/>
  <c r="AI545" i="169"/>
  <c r="AJ533" i="169"/>
  <c r="AI533" i="169"/>
  <c r="AJ521" i="169"/>
  <c r="AI521" i="169"/>
  <c r="AJ857" i="169"/>
  <c r="AI832" i="169"/>
  <c r="AJ832" i="169"/>
  <c r="AJ820" i="169"/>
  <c r="AI820" i="169"/>
  <c r="AI808" i="169"/>
  <c r="AJ808" i="169"/>
  <c r="AI796" i="169"/>
  <c r="AJ796" i="169"/>
  <c r="AI784" i="169"/>
  <c r="AJ784" i="169"/>
  <c r="AI772" i="169"/>
  <c r="AJ772" i="169"/>
  <c r="AI760" i="169"/>
  <c r="AJ760" i="169"/>
  <c r="AI748" i="169"/>
  <c r="AJ748" i="169"/>
  <c r="AI736" i="169"/>
  <c r="AJ736" i="169"/>
  <c r="AI724" i="169"/>
  <c r="AJ724" i="169"/>
  <c r="AI712" i="169"/>
  <c r="AJ712" i="169"/>
  <c r="AI700" i="169"/>
  <c r="AJ700" i="169"/>
  <c r="AI688" i="169"/>
  <c r="AJ688" i="169"/>
  <c r="AI676" i="169"/>
  <c r="AJ676" i="169"/>
  <c r="AI664" i="169"/>
  <c r="AJ664" i="169"/>
  <c r="AI652" i="169"/>
  <c r="AJ652" i="169"/>
  <c r="AI640" i="169"/>
  <c r="AJ640" i="169"/>
  <c r="AI628" i="169"/>
  <c r="AJ628" i="169"/>
  <c r="AI616" i="169"/>
  <c r="AJ616" i="169"/>
  <c r="AI591" i="169"/>
  <c r="AI567" i="169"/>
  <c r="AI543" i="169"/>
  <c r="AI519" i="169"/>
  <c r="AJ908" i="169"/>
  <c r="AJ902" i="169"/>
  <c r="AI889" i="169"/>
  <c r="AJ879" i="169"/>
  <c r="AJ831" i="169"/>
  <c r="AI819" i="169"/>
  <c r="AJ819" i="169"/>
  <c r="AI807" i="169"/>
  <c r="AJ807" i="169"/>
  <c r="AI783" i="169"/>
  <c r="AJ783" i="169"/>
  <c r="AI771" i="169"/>
  <c r="AJ771" i="169"/>
  <c r="AJ759" i="169"/>
  <c r="AI759" i="169"/>
  <c r="AJ747" i="169"/>
  <c r="AI747" i="169"/>
  <c r="AJ735" i="169"/>
  <c r="AI735" i="169"/>
  <c r="AJ723" i="169"/>
  <c r="AI723" i="169"/>
  <c r="AI711" i="169"/>
  <c r="AJ711" i="169"/>
  <c r="AI699" i="169"/>
  <c r="AJ699" i="169"/>
  <c r="AJ687" i="169"/>
  <c r="AI687" i="169"/>
  <c r="AJ675" i="169"/>
  <c r="AI675" i="169"/>
  <c r="AI663" i="169"/>
  <c r="AJ663" i="169"/>
  <c r="AI651" i="169"/>
  <c r="AJ651" i="169"/>
  <c r="AI639" i="169"/>
  <c r="AJ639" i="169"/>
  <c r="AI627" i="169"/>
  <c r="AJ627" i="169"/>
  <c r="AJ615" i="169"/>
  <c r="AI615" i="169"/>
  <c r="AJ604" i="169"/>
  <c r="AJ580" i="169"/>
  <c r="AJ556" i="169"/>
  <c r="AJ532" i="169"/>
  <c r="AI859" i="169"/>
  <c r="AJ849" i="169"/>
  <c r="AJ834" i="169"/>
  <c r="AJ793" i="169"/>
  <c r="AI741" i="169"/>
  <c r="AI890" i="169"/>
  <c r="AJ890" i="169"/>
  <c r="AI878" i="169"/>
  <c r="AJ878" i="169"/>
  <c r="AI866" i="169"/>
  <c r="AJ866" i="169"/>
  <c r="AI854" i="169"/>
  <c r="AJ854" i="169"/>
  <c r="AI842" i="169"/>
  <c r="AJ842" i="169"/>
  <c r="AJ770" i="169"/>
  <c r="AI770" i="169"/>
  <c r="AJ758" i="169"/>
  <c r="AI758" i="169"/>
  <c r="AJ746" i="169"/>
  <c r="AI746" i="169"/>
  <c r="AJ734" i="169"/>
  <c r="AI734" i="169"/>
  <c r="AJ722" i="169"/>
  <c r="AI722" i="169"/>
  <c r="AJ710" i="169"/>
  <c r="AI710" i="169"/>
  <c r="AI698" i="169"/>
  <c r="AJ698" i="169"/>
  <c r="AJ686" i="169"/>
  <c r="AI686" i="169"/>
  <c r="AI674" i="169"/>
  <c r="AJ674" i="169"/>
  <c r="AI662" i="169"/>
  <c r="AJ662" i="169"/>
  <c r="AI650" i="169"/>
  <c r="AJ650" i="169"/>
  <c r="AJ638" i="169"/>
  <c r="AI638" i="169"/>
  <c r="AI626" i="169"/>
  <c r="AJ626" i="169"/>
  <c r="AI614" i="169"/>
  <c r="AJ614" i="169"/>
  <c r="AJ909" i="169"/>
  <c r="AJ903" i="169"/>
  <c r="AJ899" i="169"/>
  <c r="AJ891" i="169"/>
  <c r="AI844" i="169"/>
  <c r="AJ839" i="169"/>
  <c r="AJ806" i="169"/>
  <c r="AI829" i="169"/>
  <c r="AJ829" i="169"/>
  <c r="AI817" i="169"/>
  <c r="AJ817" i="169"/>
  <c r="AI781" i="169"/>
  <c r="AJ781" i="169"/>
  <c r="AI769" i="169"/>
  <c r="AJ769" i="169"/>
  <c r="AI757" i="169"/>
  <c r="AJ757" i="169"/>
  <c r="AI745" i="169"/>
  <c r="AJ745" i="169"/>
  <c r="AI733" i="169"/>
  <c r="AJ733" i="169"/>
  <c r="AI721" i="169"/>
  <c r="AJ721" i="169"/>
  <c r="AI709" i="169"/>
  <c r="AJ709" i="169"/>
  <c r="AI697" i="169"/>
  <c r="AJ697" i="169"/>
  <c r="AI685" i="169"/>
  <c r="AJ685" i="169"/>
  <c r="AI673" i="169"/>
  <c r="AJ673" i="169"/>
  <c r="AI661" i="169"/>
  <c r="AJ661" i="169"/>
  <c r="AI649" i="169"/>
  <c r="AJ649" i="169"/>
  <c r="AI637" i="169"/>
  <c r="AJ637" i="169"/>
  <c r="AI625" i="169"/>
  <c r="AJ625" i="169"/>
  <c r="AI613" i="169"/>
  <c r="AJ613" i="169"/>
  <c r="AI606" i="169"/>
  <c r="AI582" i="169"/>
  <c r="AI558" i="169"/>
  <c r="AI534" i="169"/>
  <c r="AJ602" i="169"/>
  <c r="AJ578" i="169"/>
  <c r="AJ554" i="169"/>
  <c r="AJ530" i="169"/>
  <c r="AJ897" i="169"/>
  <c r="AJ895" i="169"/>
  <c r="AI871" i="169"/>
  <c r="AJ861" i="169"/>
  <c r="AI830" i="169"/>
  <c r="AJ827" i="169"/>
  <c r="AJ818" i="169"/>
  <c r="AI900" i="169"/>
  <c r="AJ900" i="169"/>
  <c r="AI888" i="169"/>
  <c r="AJ888" i="169"/>
  <c r="AI876" i="169"/>
  <c r="AJ876" i="169"/>
  <c r="AI864" i="169"/>
  <c r="AJ864" i="169"/>
  <c r="AI852" i="169"/>
  <c r="AJ852" i="169"/>
  <c r="AI840" i="169"/>
  <c r="AJ840" i="169"/>
  <c r="AI828" i="169"/>
  <c r="AJ828" i="169"/>
  <c r="AI816" i="169"/>
  <c r="AJ816" i="169"/>
  <c r="AI804" i="169"/>
  <c r="AJ804" i="169"/>
  <c r="AI792" i="169"/>
  <c r="AJ792" i="169"/>
  <c r="AI780" i="169"/>
  <c r="AJ780" i="169"/>
  <c r="AI768" i="169"/>
  <c r="AJ768" i="169"/>
  <c r="AI756" i="169"/>
  <c r="AJ756" i="169"/>
  <c r="AI744" i="169"/>
  <c r="AJ744" i="169"/>
  <c r="AI732" i="169"/>
  <c r="AJ732" i="169"/>
  <c r="AI720" i="169"/>
  <c r="AJ720" i="169"/>
  <c r="AI708" i="169"/>
  <c r="AJ708" i="169"/>
  <c r="AI696" i="169"/>
  <c r="AJ696" i="169"/>
  <c r="AI684" i="169"/>
  <c r="AJ684" i="169"/>
  <c r="AI672" i="169"/>
  <c r="AJ672" i="169"/>
  <c r="AI660" i="169"/>
  <c r="AJ660" i="169"/>
  <c r="AI648" i="169"/>
  <c r="AJ648" i="169"/>
  <c r="AI636" i="169"/>
  <c r="AJ636" i="169"/>
  <c r="AI624" i="169"/>
  <c r="AJ624" i="169"/>
  <c r="AJ601" i="169"/>
  <c r="AJ577" i="169"/>
  <c r="AJ553" i="169"/>
  <c r="AJ529" i="169"/>
  <c r="AJ904" i="169"/>
  <c r="AI856" i="169"/>
  <c r="AJ851" i="169"/>
  <c r="AI841" i="169"/>
  <c r="AJ836" i="169"/>
  <c r="AJ824" i="169"/>
  <c r="AJ813" i="169"/>
  <c r="AJ805" i="169"/>
  <c r="AJ779" i="169"/>
  <c r="AI767" i="169"/>
  <c r="AJ767" i="169"/>
  <c r="AI755" i="169"/>
  <c r="AJ755" i="169"/>
  <c r="AI743" i="169"/>
  <c r="AJ743" i="169"/>
  <c r="AI731" i="169"/>
  <c r="AJ731" i="169"/>
  <c r="AI719" i="169"/>
  <c r="AJ719" i="169"/>
  <c r="AJ707" i="169"/>
  <c r="AI707" i="169"/>
  <c r="AJ695" i="169"/>
  <c r="AI695" i="169"/>
  <c r="AJ683" i="169"/>
  <c r="AI683" i="169"/>
  <c r="AJ671" i="169"/>
  <c r="AI671" i="169"/>
  <c r="AJ659" i="169"/>
  <c r="AI659" i="169"/>
  <c r="AJ647" i="169"/>
  <c r="AI647" i="169"/>
  <c r="AJ635" i="169"/>
  <c r="AI635" i="169"/>
  <c r="AJ623" i="169"/>
  <c r="AI623" i="169"/>
  <c r="AI883" i="169"/>
  <c r="AJ788" i="169"/>
  <c r="AI825" i="169"/>
  <c r="AJ825" i="169"/>
  <c r="AI801" i="169"/>
  <c r="AJ801" i="169"/>
  <c r="AI789" i="169"/>
  <c r="AJ789" i="169"/>
  <c r="AI777" i="169"/>
  <c r="AJ777" i="169"/>
  <c r="AJ765" i="169"/>
  <c r="AI765" i="169"/>
  <c r="AJ753" i="169"/>
  <c r="AI753" i="169"/>
  <c r="AJ729" i="169"/>
  <c r="AI729" i="169"/>
  <c r="AJ717" i="169"/>
  <c r="AI717" i="169"/>
  <c r="AI705" i="169"/>
  <c r="AJ705" i="169"/>
  <c r="AI693" i="169"/>
  <c r="AJ693" i="169"/>
  <c r="AJ681" i="169"/>
  <c r="AI681" i="169"/>
  <c r="AI669" i="169"/>
  <c r="AJ669" i="169"/>
  <c r="AJ657" i="169"/>
  <c r="AI657" i="169"/>
  <c r="AI645" i="169"/>
  <c r="AJ645" i="169"/>
  <c r="AI633" i="169"/>
  <c r="AJ633" i="169"/>
  <c r="AI621" i="169"/>
  <c r="AJ621" i="169"/>
  <c r="AJ885" i="169"/>
  <c r="AI812" i="169"/>
  <c r="AJ795" i="169"/>
  <c r="AJ791" i="169"/>
  <c r="AJ787" i="169"/>
  <c r="AI764" i="169"/>
  <c r="AI884" i="169"/>
  <c r="AJ884" i="169"/>
  <c r="AI872" i="169"/>
  <c r="AJ872" i="169"/>
  <c r="AI860" i="169"/>
  <c r="AJ860" i="169"/>
  <c r="AI848" i="169"/>
  <c r="AJ848" i="169"/>
  <c r="AJ776" i="169"/>
  <c r="AI776" i="169"/>
  <c r="AJ752" i="169"/>
  <c r="AI752" i="169"/>
  <c r="AJ740" i="169"/>
  <c r="AI740" i="169"/>
  <c r="AJ728" i="169"/>
  <c r="AI728" i="169"/>
  <c r="AI716" i="169"/>
  <c r="AJ716" i="169"/>
  <c r="AI692" i="169"/>
  <c r="AJ692" i="169"/>
  <c r="AI668" i="169"/>
  <c r="AJ668" i="169"/>
  <c r="AI656" i="169"/>
  <c r="AJ656" i="169"/>
  <c r="AJ644" i="169"/>
  <c r="AI644" i="169"/>
  <c r="AI632" i="169"/>
  <c r="AJ632" i="169"/>
  <c r="AI620" i="169"/>
  <c r="AJ620" i="169"/>
  <c r="AJ906" i="169"/>
  <c r="AI880" i="169"/>
  <c r="AJ875" i="169"/>
  <c r="AI865" i="169"/>
  <c r="AJ855" i="169"/>
  <c r="AJ782" i="169"/>
  <c r="AI835" i="169"/>
  <c r="AJ835" i="169"/>
  <c r="AI823" i="169"/>
  <c r="AJ823" i="169"/>
  <c r="AI799" i="169"/>
  <c r="AJ799" i="169"/>
  <c r="AI775" i="169"/>
  <c r="AJ775" i="169"/>
  <c r="AJ763" i="169"/>
  <c r="AI763" i="169"/>
  <c r="AI751" i="169"/>
  <c r="AJ751" i="169"/>
  <c r="AI739" i="169"/>
  <c r="AJ739" i="169"/>
  <c r="AI727" i="169"/>
  <c r="AJ727" i="169"/>
  <c r="AJ715" i="169"/>
  <c r="AI715" i="169"/>
  <c r="AI703" i="169"/>
  <c r="AJ703" i="169"/>
  <c r="AI691" i="169"/>
  <c r="AJ691" i="169"/>
  <c r="AI679" i="169"/>
  <c r="AJ679" i="169"/>
  <c r="AI667" i="169"/>
  <c r="AJ667" i="169"/>
  <c r="AI655" i="169"/>
  <c r="AJ655" i="169"/>
  <c r="AI643" i="169"/>
  <c r="AJ643" i="169"/>
  <c r="AI631" i="169"/>
  <c r="AJ631" i="169"/>
  <c r="AI619" i="169"/>
  <c r="AJ619" i="169"/>
  <c r="AI594" i="169"/>
  <c r="AI570" i="169"/>
  <c r="AI546" i="169"/>
  <c r="AI522" i="169"/>
  <c r="AJ590" i="169"/>
  <c r="AJ566" i="169"/>
  <c r="AJ542" i="169"/>
  <c r="AJ518" i="169"/>
  <c r="AJ704" i="169"/>
  <c r="AI894" i="169"/>
  <c r="AJ894" i="169"/>
  <c r="AI882" i="169"/>
  <c r="AJ882" i="169"/>
  <c r="AI870" i="169"/>
  <c r="AJ870" i="169"/>
  <c r="AI858" i="169"/>
  <c r="AJ858" i="169"/>
  <c r="AI846" i="169"/>
  <c r="AJ846" i="169"/>
  <c r="AI822" i="169"/>
  <c r="AJ822" i="169"/>
  <c r="AI810" i="169"/>
  <c r="AJ810" i="169"/>
  <c r="AI798" i="169"/>
  <c r="AJ798" i="169"/>
  <c r="AI786" i="169"/>
  <c r="AJ786" i="169"/>
  <c r="AI774" i="169"/>
  <c r="AJ774" i="169"/>
  <c r="AI762" i="169"/>
  <c r="AJ762" i="169"/>
  <c r="AI750" i="169"/>
  <c r="AJ750" i="169"/>
  <c r="AI738" i="169"/>
  <c r="AJ738" i="169"/>
  <c r="AI726" i="169"/>
  <c r="AJ726" i="169"/>
  <c r="AI714" i="169"/>
  <c r="AJ714" i="169"/>
  <c r="AI702" i="169"/>
  <c r="AJ702" i="169"/>
  <c r="AI690" i="169"/>
  <c r="AJ690" i="169"/>
  <c r="AI678" i="169"/>
  <c r="AJ678" i="169"/>
  <c r="AI666" i="169"/>
  <c r="AJ666" i="169"/>
  <c r="AI654" i="169"/>
  <c r="AJ654" i="169"/>
  <c r="AI642" i="169"/>
  <c r="AJ642" i="169"/>
  <c r="AI630" i="169"/>
  <c r="AJ630" i="169"/>
  <c r="AI618" i="169"/>
  <c r="AJ618" i="169"/>
  <c r="AJ589" i="169"/>
  <c r="AJ565" i="169"/>
  <c r="AJ541" i="169"/>
  <c r="AI896" i="169"/>
  <c r="AI892" i="169"/>
  <c r="AJ887" i="169"/>
  <c r="AI877" i="169"/>
  <c r="AJ811" i="169"/>
  <c r="AI803" i="169"/>
  <c r="AI794" i="169"/>
  <c r="AI607" i="169"/>
  <c r="AI595" i="169"/>
  <c r="AI583" i="169"/>
  <c r="AI571" i="169"/>
  <c r="AI559" i="169"/>
  <c r="AI547" i="169"/>
  <c r="AI535" i="169"/>
  <c r="AI523" i="169"/>
  <c r="AJ610" i="169"/>
  <c r="AJ598" i="169"/>
  <c r="AJ586" i="169"/>
  <c r="AJ574" i="169"/>
  <c r="AJ562" i="169"/>
  <c r="AJ550" i="169"/>
  <c r="AJ538" i="169"/>
  <c r="AJ526" i="169"/>
  <c r="AJ609" i="169"/>
  <c r="AJ597" i="169"/>
  <c r="AJ585" i="169"/>
  <c r="AJ573" i="169"/>
  <c r="AJ561" i="169"/>
  <c r="AJ549" i="169"/>
  <c r="AJ537" i="169"/>
  <c r="AJ525" i="169"/>
  <c r="AJ608" i="169"/>
  <c r="AJ596" i="169"/>
  <c r="AJ584" i="169"/>
  <c r="AJ572" i="169"/>
  <c r="AJ560" i="169"/>
  <c r="AJ548" i="169"/>
  <c r="AJ536" i="169"/>
  <c r="AJ524" i="169"/>
  <c r="U908" i="169"/>
  <c r="U907" i="169"/>
  <c r="V906" i="169"/>
  <c r="AR906" i="169" s="1"/>
  <c r="X906" i="169"/>
  <c r="AF906" i="169" s="1"/>
  <c r="S906" i="169"/>
  <c r="AP906" i="169" s="1"/>
  <c r="S909" i="169"/>
  <c r="AP909" i="169" s="1"/>
  <c r="V909" i="169"/>
  <c r="AR909" i="169" s="1"/>
  <c r="X909" i="169"/>
  <c r="AF909" i="169" s="1"/>
  <c r="V910" i="169"/>
  <c r="AR910" i="169" s="1"/>
  <c r="X910" i="169"/>
  <c r="AF910" i="169" s="1"/>
  <c r="S910" i="169"/>
  <c r="AP910" i="169" s="1"/>
  <c r="V911" i="169"/>
  <c r="AR911" i="169" s="1"/>
  <c r="X911" i="169"/>
  <c r="AF911" i="169" s="1"/>
  <c r="S911" i="169"/>
  <c r="AP911" i="169" s="1"/>
  <c r="U946" i="169"/>
  <c r="V946" i="169" s="1"/>
  <c r="U944" i="169"/>
  <c r="V944" i="169" s="1"/>
  <c r="X945" i="169"/>
  <c r="AF945" i="169" s="1"/>
  <c r="V945" i="169"/>
  <c r="S945" i="169"/>
  <c r="S968" i="169"/>
  <c r="V947" i="169"/>
  <c r="X947" i="169"/>
  <c r="AF947" i="169" s="1"/>
  <c r="S947" i="169"/>
  <c r="U967" i="169"/>
  <c r="V967" i="169" s="1"/>
  <c r="V1262" i="169"/>
  <c r="V968" i="169"/>
  <c r="X968" i="169"/>
  <c r="AF968" i="169" s="1"/>
  <c r="S1262" i="169"/>
  <c r="S1078" i="169"/>
  <c r="V1077" i="169"/>
  <c r="X1077" i="169"/>
  <c r="AF1077" i="169" s="1"/>
  <c r="S1077" i="169"/>
  <c r="V1078" i="169"/>
  <c r="X1078" i="169"/>
  <c r="AF1078" i="169" s="1"/>
  <c r="S1263" i="169"/>
  <c r="X1262" i="169"/>
  <c r="AF1262" i="169" s="1"/>
  <c r="V1263" i="169"/>
  <c r="X1263" i="169"/>
  <c r="AF1263" i="169" s="1"/>
  <c r="A863" i="169"/>
  <c r="B863" i="169"/>
  <c r="D863" i="169"/>
  <c r="E863" i="169" s="1"/>
  <c r="F863" i="169"/>
  <c r="J863" i="169"/>
  <c r="AK863" i="169" s="1"/>
  <c r="K863" i="169"/>
  <c r="AL863" i="169" s="1"/>
  <c r="L863" i="169"/>
  <c r="AM863" i="169" s="1"/>
  <c r="O863" i="169"/>
  <c r="AO863" i="169" s="1"/>
  <c r="P863" i="169"/>
  <c r="Q863" i="169"/>
  <c r="U863" i="169" s="1"/>
  <c r="AQ863" i="169" s="1"/>
  <c r="W863" i="169"/>
  <c r="A864" i="169"/>
  <c r="B864" i="169"/>
  <c r="D864" i="169"/>
  <c r="E864" i="169" s="1"/>
  <c r="F864" i="169"/>
  <c r="J864" i="169"/>
  <c r="AK864" i="169" s="1"/>
  <c r="K864" i="169"/>
  <c r="AL864" i="169" s="1"/>
  <c r="L864" i="169"/>
  <c r="AM864" i="169" s="1"/>
  <c r="O864" i="169"/>
  <c r="AO864" i="169" s="1"/>
  <c r="P864" i="169"/>
  <c r="Q864" i="169"/>
  <c r="U864" i="169" s="1"/>
  <c r="AQ864" i="169" s="1"/>
  <c r="W864" i="169"/>
  <c r="A865" i="169"/>
  <c r="B865" i="169"/>
  <c r="D865" i="169"/>
  <c r="E865" i="169" s="1"/>
  <c r="F865" i="169"/>
  <c r="J865" i="169"/>
  <c r="AK865" i="169" s="1"/>
  <c r="K865" i="169"/>
  <c r="AL865" i="169" s="1"/>
  <c r="L865" i="169"/>
  <c r="AM865" i="169" s="1"/>
  <c r="O865" i="169"/>
  <c r="AO865" i="169" s="1"/>
  <c r="P865" i="169"/>
  <c r="Q865" i="169"/>
  <c r="U865" i="169" s="1"/>
  <c r="AQ865" i="169" s="1"/>
  <c r="W865" i="169"/>
  <c r="A866" i="169"/>
  <c r="B866" i="169"/>
  <c r="D866" i="169"/>
  <c r="E866" i="169" s="1"/>
  <c r="F866" i="169"/>
  <c r="J866" i="169"/>
  <c r="AK866" i="169" s="1"/>
  <c r="K866" i="169"/>
  <c r="AL866" i="169" s="1"/>
  <c r="L866" i="169"/>
  <c r="AM866" i="169" s="1"/>
  <c r="O866" i="169"/>
  <c r="AO866" i="169" s="1"/>
  <c r="P866" i="169"/>
  <c r="Q866" i="169"/>
  <c r="U866" i="169" s="1"/>
  <c r="AQ866" i="169" s="1"/>
  <c r="W866" i="169"/>
  <c r="A867" i="169"/>
  <c r="B867" i="169"/>
  <c r="D867" i="169"/>
  <c r="E867" i="169" s="1"/>
  <c r="F867" i="169"/>
  <c r="J867" i="169"/>
  <c r="AK867" i="169" s="1"/>
  <c r="K867" i="169"/>
  <c r="AL867" i="169" s="1"/>
  <c r="L867" i="169"/>
  <c r="AM867" i="169" s="1"/>
  <c r="O867" i="169"/>
  <c r="AO867" i="169" s="1"/>
  <c r="P867" i="169"/>
  <c r="Q867" i="169"/>
  <c r="U867" i="169" s="1"/>
  <c r="AQ867" i="169" s="1"/>
  <c r="W867" i="169"/>
  <c r="A868" i="169"/>
  <c r="B868" i="169"/>
  <c r="D868" i="169"/>
  <c r="E868" i="169" s="1"/>
  <c r="F868" i="169"/>
  <c r="J868" i="169"/>
  <c r="AK868" i="169" s="1"/>
  <c r="K868" i="169"/>
  <c r="AL868" i="169" s="1"/>
  <c r="L868" i="169"/>
  <c r="AM868" i="169" s="1"/>
  <c r="O868" i="169"/>
  <c r="AO868" i="169" s="1"/>
  <c r="P868" i="169"/>
  <c r="Q868" i="169"/>
  <c r="U868" i="169" s="1"/>
  <c r="AQ868" i="169" s="1"/>
  <c r="W868" i="169"/>
  <c r="A869" i="169"/>
  <c r="B869" i="169"/>
  <c r="D869" i="169"/>
  <c r="E869" i="169" s="1"/>
  <c r="F869" i="169"/>
  <c r="J869" i="169"/>
  <c r="AK869" i="169" s="1"/>
  <c r="K869" i="169"/>
  <c r="AL869" i="169" s="1"/>
  <c r="L869" i="169"/>
  <c r="AM869" i="169" s="1"/>
  <c r="O869" i="169"/>
  <c r="AO869" i="169" s="1"/>
  <c r="P869" i="169"/>
  <c r="Q869" i="169"/>
  <c r="U869" i="169" s="1"/>
  <c r="AQ869" i="169" s="1"/>
  <c r="W869" i="169"/>
  <c r="A870" i="169"/>
  <c r="B870" i="169"/>
  <c r="D870" i="169"/>
  <c r="E870" i="169" s="1"/>
  <c r="F870" i="169"/>
  <c r="J870" i="169"/>
  <c r="AK870" i="169" s="1"/>
  <c r="K870" i="169"/>
  <c r="AL870" i="169" s="1"/>
  <c r="L870" i="169"/>
  <c r="AM870" i="169" s="1"/>
  <c r="O870" i="169"/>
  <c r="AO870" i="169" s="1"/>
  <c r="P870" i="169"/>
  <c r="Q870" i="169"/>
  <c r="U870" i="169" s="1"/>
  <c r="AQ870" i="169" s="1"/>
  <c r="W870" i="169"/>
  <c r="A871" i="169"/>
  <c r="B871" i="169"/>
  <c r="D871" i="169"/>
  <c r="E871" i="169" s="1"/>
  <c r="F871" i="169"/>
  <c r="J871" i="169"/>
  <c r="AK871" i="169" s="1"/>
  <c r="K871" i="169"/>
  <c r="AL871" i="169" s="1"/>
  <c r="L871" i="169"/>
  <c r="AM871" i="169" s="1"/>
  <c r="O871" i="169"/>
  <c r="AO871" i="169" s="1"/>
  <c r="P871" i="169"/>
  <c r="Q871" i="169"/>
  <c r="U871" i="169" s="1"/>
  <c r="AQ871" i="169" s="1"/>
  <c r="W871" i="169"/>
  <c r="A872" i="169"/>
  <c r="B872" i="169"/>
  <c r="D872" i="169"/>
  <c r="E872" i="169" s="1"/>
  <c r="F872" i="169"/>
  <c r="J872" i="169"/>
  <c r="AK872" i="169" s="1"/>
  <c r="K872" i="169"/>
  <c r="AL872" i="169" s="1"/>
  <c r="L872" i="169"/>
  <c r="AM872" i="169" s="1"/>
  <c r="O872" i="169"/>
  <c r="AO872" i="169" s="1"/>
  <c r="P872" i="169"/>
  <c r="Q872" i="169"/>
  <c r="U872" i="169" s="1"/>
  <c r="AQ872" i="169" s="1"/>
  <c r="W872" i="169"/>
  <c r="A873" i="169"/>
  <c r="B873" i="169"/>
  <c r="D873" i="169"/>
  <c r="E873" i="169" s="1"/>
  <c r="F873" i="169"/>
  <c r="J873" i="169"/>
  <c r="AK873" i="169" s="1"/>
  <c r="K873" i="169"/>
  <c r="AL873" i="169" s="1"/>
  <c r="L873" i="169"/>
  <c r="AM873" i="169" s="1"/>
  <c r="O873" i="169"/>
  <c r="AO873" i="169" s="1"/>
  <c r="P873" i="169"/>
  <c r="Q873" i="169"/>
  <c r="U873" i="169" s="1"/>
  <c r="AQ873" i="169" s="1"/>
  <c r="W873" i="169"/>
  <c r="A874" i="169"/>
  <c r="B874" i="169"/>
  <c r="D874" i="169"/>
  <c r="E874" i="169" s="1"/>
  <c r="F874" i="169"/>
  <c r="J874" i="169"/>
  <c r="AK874" i="169" s="1"/>
  <c r="K874" i="169"/>
  <c r="AL874" i="169" s="1"/>
  <c r="L874" i="169"/>
  <c r="AM874" i="169" s="1"/>
  <c r="O874" i="169"/>
  <c r="AO874" i="169" s="1"/>
  <c r="P874" i="169"/>
  <c r="Q874" i="169"/>
  <c r="U874" i="169" s="1"/>
  <c r="AQ874" i="169" s="1"/>
  <c r="W874" i="169"/>
  <c r="A875" i="169"/>
  <c r="B875" i="169"/>
  <c r="D875" i="169"/>
  <c r="E875" i="169" s="1"/>
  <c r="F875" i="169"/>
  <c r="J875" i="169"/>
  <c r="AK875" i="169" s="1"/>
  <c r="K875" i="169"/>
  <c r="AL875" i="169" s="1"/>
  <c r="L875" i="169"/>
  <c r="AM875" i="169" s="1"/>
  <c r="O875" i="169"/>
  <c r="AO875" i="169" s="1"/>
  <c r="P875" i="169"/>
  <c r="Q875" i="169"/>
  <c r="U875" i="169" s="1"/>
  <c r="AQ875" i="169" s="1"/>
  <c r="W875" i="169"/>
  <c r="A876" i="169"/>
  <c r="B876" i="169"/>
  <c r="D876" i="169"/>
  <c r="E876" i="169" s="1"/>
  <c r="F876" i="169"/>
  <c r="J876" i="169"/>
  <c r="AK876" i="169" s="1"/>
  <c r="K876" i="169"/>
  <c r="AL876" i="169" s="1"/>
  <c r="L876" i="169"/>
  <c r="AM876" i="169" s="1"/>
  <c r="O876" i="169"/>
  <c r="AO876" i="169" s="1"/>
  <c r="P876" i="169"/>
  <c r="Q876" i="169"/>
  <c r="U876" i="169" s="1"/>
  <c r="AQ876" i="169" s="1"/>
  <c r="W876" i="169"/>
  <c r="A877" i="169"/>
  <c r="B877" i="169"/>
  <c r="D877" i="169"/>
  <c r="E877" i="169" s="1"/>
  <c r="F877" i="169"/>
  <c r="J877" i="169"/>
  <c r="AK877" i="169" s="1"/>
  <c r="K877" i="169"/>
  <c r="AL877" i="169" s="1"/>
  <c r="L877" i="169"/>
  <c r="AM877" i="169" s="1"/>
  <c r="O877" i="169"/>
  <c r="AO877" i="169" s="1"/>
  <c r="P877" i="169"/>
  <c r="Q877" i="169"/>
  <c r="U877" i="169" s="1"/>
  <c r="AQ877" i="169" s="1"/>
  <c r="W877" i="169"/>
  <c r="A878" i="169"/>
  <c r="B878" i="169"/>
  <c r="D878" i="169"/>
  <c r="E878" i="169" s="1"/>
  <c r="F878" i="169"/>
  <c r="J878" i="169"/>
  <c r="AK878" i="169" s="1"/>
  <c r="K878" i="169"/>
  <c r="AL878" i="169" s="1"/>
  <c r="L878" i="169"/>
  <c r="AM878" i="169" s="1"/>
  <c r="O878" i="169"/>
  <c r="AO878" i="169" s="1"/>
  <c r="P878" i="169"/>
  <c r="Q878" i="169"/>
  <c r="U878" i="169" s="1"/>
  <c r="AQ878" i="169" s="1"/>
  <c r="W878" i="169"/>
  <c r="A879" i="169"/>
  <c r="B879" i="169"/>
  <c r="D879" i="169"/>
  <c r="E879" i="169" s="1"/>
  <c r="F879" i="169"/>
  <c r="J879" i="169"/>
  <c r="AK879" i="169" s="1"/>
  <c r="K879" i="169"/>
  <c r="AL879" i="169" s="1"/>
  <c r="L879" i="169"/>
  <c r="AM879" i="169" s="1"/>
  <c r="O879" i="169"/>
  <c r="AO879" i="169" s="1"/>
  <c r="P879" i="169"/>
  <c r="Q879" i="169"/>
  <c r="U879" i="169" s="1"/>
  <c r="AQ879" i="169" s="1"/>
  <c r="W879" i="169"/>
  <c r="A880" i="169"/>
  <c r="B880" i="169"/>
  <c r="D880" i="169"/>
  <c r="E880" i="169" s="1"/>
  <c r="F880" i="169"/>
  <c r="J880" i="169"/>
  <c r="AK880" i="169" s="1"/>
  <c r="K880" i="169"/>
  <c r="AL880" i="169" s="1"/>
  <c r="L880" i="169"/>
  <c r="AM880" i="169" s="1"/>
  <c r="O880" i="169"/>
  <c r="AO880" i="169" s="1"/>
  <c r="P880" i="169"/>
  <c r="Q880" i="169"/>
  <c r="U880" i="169" s="1"/>
  <c r="AQ880" i="169" s="1"/>
  <c r="W880" i="169"/>
  <c r="A881" i="169"/>
  <c r="B881" i="169"/>
  <c r="D881" i="169"/>
  <c r="E881" i="169" s="1"/>
  <c r="F881" i="169"/>
  <c r="J881" i="169"/>
  <c r="AK881" i="169" s="1"/>
  <c r="K881" i="169"/>
  <c r="AL881" i="169" s="1"/>
  <c r="L881" i="169"/>
  <c r="AM881" i="169" s="1"/>
  <c r="O881" i="169"/>
  <c r="AO881" i="169" s="1"/>
  <c r="P881" i="169"/>
  <c r="Q881" i="169"/>
  <c r="U881" i="169" s="1"/>
  <c r="AQ881" i="169" s="1"/>
  <c r="W881" i="169"/>
  <c r="A882" i="169"/>
  <c r="B882" i="169"/>
  <c r="D882" i="169"/>
  <c r="E882" i="169" s="1"/>
  <c r="F882" i="169"/>
  <c r="J882" i="169"/>
  <c r="AK882" i="169" s="1"/>
  <c r="K882" i="169"/>
  <c r="AL882" i="169" s="1"/>
  <c r="L882" i="169"/>
  <c r="AM882" i="169" s="1"/>
  <c r="O882" i="169"/>
  <c r="AO882" i="169" s="1"/>
  <c r="P882" i="169"/>
  <c r="Q882" i="169"/>
  <c r="U882" i="169" s="1"/>
  <c r="AQ882" i="169" s="1"/>
  <c r="W882" i="169"/>
  <c r="A883" i="169"/>
  <c r="B883" i="169"/>
  <c r="D883" i="169"/>
  <c r="E883" i="169" s="1"/>
  <c r="F883" i="169"/>
  <c r="J883" i="169"/>
  <c r="AK883" i="169" s="1"/>
  <c r="K883" i="169"/>
  <c r="AL883" i="169" s="1"/>
  <c r="L883" i="169"/>
  <c r="AM883" i="169" s="1"/>
  <c r="O883" i="169"/>
  <c r="AO883" i="169" s="1"/>
  <c r="P883" i="169"/>
  <c r="Q883" i="169"/>
  <c r="U883" i="169" s="1"/>
  <c r="AQ883" i="169" s="1"/>
  <c r="W883" i="169"/>
  <c r="A884" i="169"/>
  <c r="B884" i="169"/>
  <c r="D884" i="169"/>
  <c r="E884" i="169" s="1"/>
  <c r="F884" i="169"/>
  <c r="J884" i="169"/>
  <c r="AK884" i="169" s="1"/>
  <c r="K884" i="169"/>
  <c r="AL884" i="169" s="1"/>
  <c r="L884" i="169"/>
  <c r="AM884" i="169" s="1"/>
  <c r="O884" i="169"/>
  <c r="AO884" i="169" s="1"/>
  <c r="P884" i="169"/>
  <c r="Q884" i="169"/>
  <c r="U884" i="169" s="1"/>
  <c r="AQ884" i="169" s="1"/>
  <c r="W884" i="169"/>
  <c r="A885" i="169"/>
  <c r="B885" i="169"/>
  <c r="D885" i="169"/>
  <c r="E885" i="169" s="1"/>
  <c r="F885" i="169"/>
  <c r="J885" i="169"/>
  <c r="AK885" i="169" s="1"/>
  <c r="K885" i="169"/>
  <c r="AL885" i="169" s="1"/>
  <c r="L885" i="169"/>
  <c r="AM885" i="169" s="1"/>
  <c r="O885" i="169"/>
  <c r="AO885" i="169" s="1"/>
  <c r="P885" i="169"/>
  <c r="Q885" i="169"/>
  <c r="U885" i="169" s="1"/>
  <c r="AQ885" i="169" s="1"/>
  <c r="W885" i="169"/>
  <c r="A886" i="169"/>
  <c r="B886" i="169"/>
  <c r="D886" i="169"/>
  <c r="E886" i="169" s="1"/>
  <c r="F886" i="169"/>
  <c r="J886" i="169"/>
  <c r="AK886" i="169" s="1"/>
  <c r="K886" i="169"/>
  <c r="AL886" i="169" s="1"/>
  <c r="L886" i="169"/>
  <c r="AM886" i="169" s="1"/>
  <c r="O886" i="169"/>
  <c r="AO886" i="169" s="1"/>
  <c r="P886" i="169"/>
  <c r="Q886" i="169"/>
  <c r="U886" i="169" s="1"/>
  <c r="AQ886" i="169" s="1"/>
  <c r="W886" i="169"/>
  <c r="A887" i="169"/>
  <c r="B887" i="169"/>
  <c r="D887" i="169"/>
  <c r="E887" i="169" s="1"/>
  <c r="F887" i="169"/>
  <c r="J887" i="169"/>
  <c r="AK887" i="169" s="1"/>
  <c r="K887" i="169"/>
  <c r="AL887" i="169" s="1"/>
  <c r="L887" i="169"/>
  <c r="AM887" i="169" s="1"/>
  <c r="O887" i="169"/>
  <c r="AO887" i="169" s="1"/>
  <c r="P887" i="169"/>
  <c r="Q887" i="169"/>
  <c r="U887" i="169" s="1"/>
  <c r="AQ887" i="169" s="1"/>
  <c r="W887" i="169"/>
  <c r="A888" i="169"/>
  <c r="B888" i="169"/>
  <c r="D888" i="169"/>
  <c r="E888" i="169" s="1"/>
  <c r="F888" i="169"/>
  <c r="J888" i="169"/>
  <c r="AK888" i="169" s="1"/>
  <c r="K888" i="169"/>
  <c r="AL888" i="169" s="1"/>
  <c r="L888" i="169"/>
  <c r="AM888" i="169" s="1"/>
  <c r="O888" i="169"/>
  <c r="AO888" i="169" s="1"/>
  <c r="P888" i="169"/>
  <c r="Q888" i="169"/>
  <c r="U888" i="169" s="1"/>
  <c r="AQ888" i="169" s="1"/>
  <c r="W888" i="169"/>
  <c r="A889" i="169"/>
  <c r="B889" i="169"/>
  <c r="D889" i="169"/>
  <c r="E889" i="169" s="1"/>
  <c r="F889" i="169"/>
  <c r="J889" i="169"/>
  <c r="AK889" i="169" s="1"/>
  <c r="K889" i="169"/>
  <c r="AL889" i="169" s="1"/>
  <c r="L889" i="169"/>
  <c r="AM889" i="169" s="1"/>
  <c r="O889" i="169"/>
  <c r="AO889" i="169" s="1"/>
  <c r="P889" i="169"/>
  <c r="Q889" i="169"/>
  <c r="U889" i="169" s="1"/>
  <c r="AQ889" i="169" s="1"/>
  <c r="W889" i="169"/>
  <c r="A890" i="169"/>
  <c r="B890" i="169"/>
  <c r="D890" i="169"/>
  <c r="E890" i="169" s="1"/>
  <c r="F890" i="169"/>
  <c r="J890" i="169"/>
  <c r="AK890" i="169" s="1"/>
  <c r="K890" i="169"/>
  <c r="AL890" i="169" s="1"/>
  <c r="L890" i="169"/>
  <c r="AM890" i="169" s="1"/>
  <c r="O890" i="169"/>
  <c r="AO890" i="169" s="1"/>
  <c r="P890" i="169"/>
  <c r="Q890" i="169"/>
  <c r="U890" i="169" s="1"/>
  <c r="AQ890" i="169" s="1"/>
  <c r="W890" i="169"/>
  <c r="A891" i="169"/>
  <c r="B891" i="169"/>
  <c r="D891" i="169"/>
  <c r="E891" i="169" s="1"/>
  <c r="F891" i="169"/>
  <c r="J891" i="169"/>
  <c r="AK891" i="169" s="1"/>
  <c r="K891" i="169"/>
  <c r="AL891" i="169" s="1"/>
  <c r="L891" i="169"/>
  <c r="AM891" i="169" s="1"/>
  <c r="O891" i="169"/>
  <c r="AO891" i="169" s="1"/>
  <c r="P891" i="169"/>
  <c r="Q891" i="169"/>
  <c r="U891" i="169" s="1"/>
  <c r="AQ891" i="169" s="1"/>
  <c r="W891" i="169"/>
  <c r="A892" i="169"/>
  <c r="B892" i="169"/>
  <c r="D892" i="169"/>
  <c r="E892" i="169" s="1"/>
  <c r="F892" i="169"/>
  <c r="J892" i="169"/>
  <c r="AK892" i="169" s="1"/>
  <c r="K892" i="169"/>
  <c r="AL892" i="169" s="1"/>
  <c r="L892" i="169"/>
  <c r="AM892" i="169" s="1"/>
  <c r="O892" i="169"/>
  <c r="AO892" i="169" s="1"/>
  <c r="P892" i="169"/>
  <c r="Q892" i="169"/>
  <c r="U892" i="169" s="1"/>
  <c r="AQ892" i="169" s="1"/>
  <c r="W892" i="169"/>
  <c r="A893" i="169"/>
  <c r="B893" i="169"/>
  <c r="D893" i="169"/>
  <c r="E893" i="169" s="1"/>
  <c r="F893" i="169"/>
  <c r="J893" i="169"/>
  <c r="AK893" i="169" s="1"/>
  <c r="K893" i="169"/>
  <c r="AL893" i="169" s="1"/>
  <c r="L893" i="169"/>
  <c r="AM893" i="169" s="1"/>
  <c r="O893" i="169"/>
  <c r="AO893" i="169" s="1"/>
  <c r="P893" i="169"/>
  <c r="Q893" i="169"/>
  <c r="U893" i="169" s="1"/>
  <c r="AQ893" i="169" s="1"/>
  <c r="W893" i="169"/>
  <c r="A894" i="169"/>
  <c r="B894" i="169"/>
  <c r="D894" i="169"/>
  <c r="E894" i="169" s="1"/>
  <c r="F894" i="169"/>
  <c r="J894" i="169"/>
  <c r="AK894" i="169" s="1"/>
  <c r="K894" i="169"/>
  <c r="AL894" i="169" s="1"/>
  <c r="L894" i="169"/>
  <c r="AM894" i="169" s="1"/>
  <c r="O894" i="169"/>
  <c r="AO894" i="169" s="1"/>
  <c r="P894" i="169"/>
  <c r="Q894" i="169"/>
  <c r="U894" i="169" s="1"/>
  <c r="AQ894" i="169" s="1"/>
  <c r="W894" i="169"/>
  <c r="A895" i="169"/>
  <c r="B895" i="169"/>
  <c r="D895" i="169"/>
  <c r="E895" i="169" s="1"/>
  <c r="F895" i="169"/>
  <c r="J895" i="169"/>
  <c r="AK895" i="169" s="1"/>
  <c r="K895" i="169"/>
  <c r="AL895" i="169" s="1"/>
  <c r="L895" i="169"/>
  <c r="AM895" i="169" s="1"/>
  <c r="O895" i="169"/>
  <c r="AO895" i="169" s="1"/>
  <c r="P895" i="169"/>
  <c r="Q895" i="169"/>
  <c r="U895" i="169" s="1"/>
  <c r="AQ895" i="169" s="1"/>
  <c r="W895" i="169"/>
  <c r="A896" i="169"/>
  <c r="B896" i="169"/>
  <c r="D896" i="169"/>
  <c r="E896" i="169" s="1"/>
  <c r="F896" i="169"/>
  <c r="J896" i="169"/>
  <c r="AK896" i="169" s="1"/>
  <c r="K896" i="169"/>
  <c r="AL896" i="169" s="1"/>
  <c r="L896" i="169"/>
  <c r="AM896" i="169" s="1"/>
  <c r="O896" i="169"/>
  <c r="AO896" i="169" s="1"/>
  <c r="P896" i="169"/>
  <c r="Q896" i="169"/>
  <c r="U896" i="169" s="1"/>
  <c r="AQ896" i="169" s="1"/>
  <c r="W896" i="169"/>
  <c r="A897" i="169"/>
  <c r="B897" i="169"/>
  <c r="D897" i="169"/>
  <c r="E897" i="169" s="1"/>
  <c r="F897" i="169"/>
  <c r="J897" i="169"/>
  <c r="AK897" i="169" s="1"/>
  <c r="K897" i="169"/>
  <c r="AL897" i="169" s="1"/>
  <c r="L897" i="169"/>
  <c r="AM897" i="169" s="1"/>
  <c r="O897" i="169"/>
  <c r="AO897" i="169" s="1"/>
  <c r="P897" i="169"/>
  <c r="Q897" i="169"/>
  <c r="U897" i="169" s="1"/>
  <c r="AQ897" i="169" s="1"/>
  <c r="W897" i="169"/>
  <c r="A898" i="169"/>
  <c r="B898" i="169"/>
  <c r="D898" i="169"/>
  <c r="E898" i="169" s="1"/>
  <c r="F898" i="169"/>
  <c r="J898" i="169"/>
  <c r="AK898" i="169" s="1"/>
  <c r="K898" i="169"/>
  <c r="AL898" i="169" s="1"/>
  <c r="L898" i="169"/>
  <c r="AM898" i="169" s="1"/>
  <c r="O898" i="169"/>
  <c r="AO898" i="169" s="1"/>
  <c r="P898" i="169"/>
  <c r="Q898" i="169"/>
  <c r="U898" i="169" s="1"/>
  <c r="AQ898" i="169" s="1"/>
  <c r="W898" i="169"/>
  <c r="A899" i="169"/>
  <c r="B899" i="169"/>
  <c r="D899" i="169"/>
  <c r="E899" i="169" s="1"/>
  <c r="F899" i="169"/>
  <c r="J899" i="169"/>
  <c r="AK899" i="169" s="1"/>
  <c r="K899" i="169"/>
  <c r="AL899" i="169" s="1"/>
  <c r="L899" i="169"/>
  <c r="AM899" i="169" s="1"/>
  <c r="O899" i="169"/>
  <c r="AO899" i="169" s="1"/>
  <c r="P899" i="169"/>
  <c r="Q899" i="169"/>
  <c r="U899" i="169" s="1"/>
  <c r="AQ899" i="169" s="1"/>
  <c r="W899" i="169"/>
  <c r="A900" i="169"/>
  <c r="B900" i="169"/>
  <c r="D900" i="169"/>
  <c r="E900" i="169" s="1"/>
  <c r="F900" i="169"/>
  <c r="J900" i="169"/>
  <c r="AK900" i="169" s="1"/>
  <c r="K900" i="169"/>
  <c r="AL900" i="169" s="1"/>
  <c r="L900" i="169"/>
  <c r="AM900" i="169" s="1"/>
  <c r="O900" i="169"/>
  <c r="AO900" i="169" s="1"/>
  <c r="P900" i="169"/>
  <c r="Q900" i="169"/>
  <c r="U900" i="169" s="1"/>
  <c r="AQ900" i="169" s="1"/>
  <c r="W900" i="169"/>
  <c r="A901" i="169"/>
  <c r="B901" i="169"/>
  <c r="D901" i="169"/>
  <c r="E901" i="169" s="1"/>
  <c r="F901" i="169"/>
  <c r="J901" i="169"/>
  <c r="AK901" i="169" s="1"/>
  <c r="K901" i="169"/>
  <c r="AL901" i="169" s="1"/>
  <c r="L901" i="169"/>
  <c r="AM901" i="169" s="1"/>
  <c r="O901" i="169"/>
  <c r="AO901" i="169" s="1"/>
  <c r="P901" i="169"/>
  <c r="Q901" i="169"/>
  <c r="U901" i="169" s="1"/>
  <c r="AQ901" i="169" s="1"/>
  <c r="W901" i="169"/>
  <c r="A847" i="169"/>
  <c r="B847" i="169"/>
  <c r="D847" i="169"/>
  <c r="E847" i="169" s="1"/>
  <c r="F847" i="169"/>
  <c r="J847" i="169"/>
  <c r="AK847" i="169" s="1"/>
  <c r="K847" i="169"/>
  <c r="AL847" i="169" s="1"/>
  <c r="L847" i="169"/>
  <c r="AM847" i="169" s="1"/>
  <c r="O847" i="169"/>
  <c r="AO847" i="169" s="1"/>
  <c r="P847" i="169"/>
  <c r="Q847" i="169"/>
  <c r="U847" i="169" s="1"/>
  <c r="AQ847" i="169" s="1"/>
  <c r="W847" i="169"/>
  <c r="A816" i="169"/>
  <c r="B816" i="169"/>
  <c r="D816" i="169"/>
  <c r="E816" i="169" s="1"/>
  <c r="F816" i="169"/>
  <c r="J816" i="169"/>
  <c r="AK816" i="169" s="1"/>
  <c r="K816" i="169"/>
  <c r="AL816" i="169" s="1"/>
  <c r="L816" i="169"/>
  <c r="AM816" i="169" s="1"/>
  <c r="O816" i="169"/>
  <c r="AO816" i="169" s="1"/>
  <c r="P816" i="169"/>
  <c r="Q816" i="169"/>
  <c r="U816" i="169" s="1"/>
  <c r="AQ816" i="169" s="1"/>
  <c r="W816" i="169"/>
  <c r="A856" i="169"/>
  <c r="B856" i="169"/>
  <c r="D856" i="169"/>
  <c r="E856" i="169" s="1"/>
  <c r="F856" i="169"/>
  <c r="J856" i="169"/>
  <c r="AK856" i="169" s="1"/>
  <c r="K856" i="169"/>
  <c r="AL856" i="169" s="1"/>
  <c r="L856" i="169"/>
  <c r="AM856" i="169" s="1"/>
  <c r="O856" i="169"/>
  <c r="AO856" i="169" s="1"/>
  <c r="P856" i="169"/>
  <c r="Q856" i="169"/>
  <c r="U856" i="169" s="1"/>
  <c r="AQ856" i="169" s="1"/>
  <c r="W856" i="169"/>
  <c r="A857" i="169"/>
  <c r="B857" i="169"/>
  <c r="D857" i="169"/>
  <c r="E857" i="169" s="1"/>
  <c r="F857" i="169"/>
  <c r="J857" i="169"/>
  <c r="AK857" i="169" s="1"/>
  <c r="K857" i="169"/>
  <c r="AL857" i="169" s="1"/>
  <c r="L857" i="169"/>
  <c r="AM857" i="169" s="1"/>
  <c r="O857" i="169"/>
  <c r="AO857" i="169" s="1"/>
  <c r="P857" i="169"/>
  <c r="Q857" i="169"/>
  <c r="U857" i="169" s="1"/>
  <c r="AQ857" i="169" s="1"/>
  <c r="W857" i="169"/>
  <c r="A858" i="169"/>
  <c r="B858" i="169"/>
  <c r="D858" i="169"/>
  <c r="E858" i="169" s="1"/>
  <c r="F858" i="169"/>
  <c r="J858" i="169"/>
  <c r="AK858" i="169" s="1"/>
  <c r="K858" i="169"/>
  <c r="AL858" i="169" s="1"/>
  <c r="L858" i="169"/>
  <c r="AM858" i="169" s="1"/>
  <c r="O858" i="169"/>
  <c r="AO858" i="169" s="1"/>
  <c r="P858" i="169"/>
  <c r="Q858" i="169"/>
  <c r="U858" i="169" s="1"/>
  <c r="AQ858" i="169" s="1"/>
  <c r="W858" i="169"/>
  <c r="A859" i="169"/>
  <c r="B859" i="169"/>
  <c r="D859" i="169"/>
  <c r="E859" i="169" s="1"/>
  <c r="F859" i="169"/>
  <c r="J859" i="169"/>
  <c r="AK859" i="169" s="1"/>
  <c r="K859" i="169"/>
  <c r="AL859" i="169" s="1"/>
  <c r="L859" i="169"/>
  <c r="AM859" i="169" s="1"/>
  <c r="O859" i="169"/>
  <c r="AO859" i="169" s="1"/>
  <c r="P859" i="169"/>
  <c r="Q859" i="169"/>
  <c r="U859" i="169" s="1"/>
  <c r="AQ859" i="169" s="1"/>
  <c r="W859" i="169"/>
  <c r="A860" i="169"/>
  <c r="B860" i="169"/>
  <c r="D860" i="169"/>
  <c r="E860" i="169" s="1"/>
  <c r="F860" i="169"/>
  <c r="J860" i="169"/>
  <c r="AK860" i="169" s="1"/>
  <c r="K860" i="169"/>
  <c r="AL860" i="169" s="1"/>
  <c r="L860" i="169"/>
  <c r="AM860" i="169" s="1"/>
  <c r="O860" i="169"/>
  <c r="AO860" i="169" s="1"/>
  <c r="P860" i="169"/>
  <c r="Q860" i="169"/>
  <c r="U860" i="169" s="1"/>
  <c r="AQ860" i="169" s="1"/>
  <c r="W860" i="169"/>
  <c r="A841" i="169"/>
  <c r="B841" i="169"/>
  <c r="D841" i="169"/>
  <c r="E841" i="169" s="1"/>
  <c r="F841" i="169"/>
  <c r="J841" i="169"/>
  <c r="AK841" i="169" s="1"/>
  <c r="K841" i="169"/>
  <c r="AL841" i="169" s="1"/>
  <c r="L841" i="169"/>
  <c r="AM841" i="169" s="1"/>
  <c r="O841" i="169"/>
  <c r="AO841" i="169" s="1"/>
  <c r="P841" i="169"/>
  <c r="Q841" i="169"/>
  <c r="U841" i="169" s="1"/>
  <c r="AQ841" i="169" s="1"/>
  <c r="W841" i="169"/>
  <c r="A842" i="169"/>
  <c r="B842" i="169"/>
  <c r="D842" i="169"/>
  <c r="E842" i="169" s="1"/>
  <c r="F842" i="169"/>
  <c r="J842" i="169"/>
  <c r="AK842" i="169" s="1"/>
  <c r="K842" i="169"/>
  <c r="AL842" i="169" s="1"/>
  <c r="L842" i="169"/>
  <c r="AM842" i="169" s="1"/>
  <c r="O842" i="169"/>
  <c r="AO842" i="169" s="1"/>
  <c r="P842" i="169"/>
  <c r="Q842" i="169"/>
  <c r="U842" i="169" s="1"/>
  <c r="AQ842" i="169" s="1"/>
  <c r="W842" i="169"/>
  <c r="A843" i="169"/>
  <c r="B843" i="169"/>
  <c r="D843" i="169"/>
  <c r="E843" i="169" s="1"/>
  <c r="F843" i="169"/>
  <c r="J843" i="169"/>
  <c r="AK843" i="169" s="1"/>
  <c r="K843" i="169"/>
  <c r="AL843" i="169" s="1"/>
  <c r="L843" i="169"/>
  <c r="AM843" i="169" s="1"/>
  <c r="O843" i="169"/>
  <c r="AO843" i="169" s="1"/>
  <c r="P843" i="169"/>
  <c r="Q843" i="169"/>
  <c r="U843" i="169" s="1"/>
  <c r="AQ843" i="169" s="1"/>
  <c r="W843" i="169"/>
  <c r="A844" i="169"/>
  <c r="B844" i="169"/>
  <c r="D844" i="169"/>
  <c r="E844" i="169" s="1"/>
  <c r="F844" i="169"/>
  <c r="J844" i="169"/>
  <c r="AK844" i="169" s="1"/>
  <c r="K844" i="169"/>
  <c r="AL844" i="169" s="1"/>
  <c r="L844" i="169"/>
  <c r="AM844" i="169" s="1"/>
  <c r="O844" i="169"/>
  <c r="AO844" i="169" s="1"/>
  <c r="P844" i="169"/>
  <c r="Q844" i="169"/>
  <c r="U844" i="169" s="1"/>
  <c r="AQ844" i="169" s="1"/>
  <c r="W844" i="169"/>
  <c r="A845" i="169"/>
  <c r="B845" i="169"/>
  <c r="D845" i="169"/>
  <c r="E845" i="169" s="1"/>
  <c r="F845" i="169"/>
  <c r="J845" i="169"/>
  <c r="AK845" i="169" s="1"/>
  <c r="K845" i="169"/>
  <c r="AL845" i="169" s="1"/>
  <c r="L845" i="169"/>
  <c r="AM845" i="169" s="1"/>
  <c r="O845" i="169"/>
  <c r="AO845" i="169" s="1"/>
  <c r="P845" i="169"/>
  <c r="Q845" i="169"/>
  <c r="U845" i="169" s="1"/>
  <c r="AQ845" i="169" s="1"/>
  <c r="W845" i="169"/>
  <c r="A846" i="169"/>
  <c r="B846" i="169"/>
  <c r="D846" i="169"/>
  <c r="E846" i="169" s="1"/>
  <c r="F846" i="169"/>
  <c r="J846" i="169"/>
  <c r="AK846" i="169" s="1"/>
  <c r="K846" i="169"/>
  <c r="AL846" i="169" s="1"/>
  <c r="L846" i="169"/>
  <c r="AM846" i="169" s="1"/>
  <c r="O846" i="169"/>
  <c r="AO846" i="169" s="1"/>
  <c r="P846" i="169"/>
  <c r="Q846" i="169"/>
  <c r="U846" i="169" s="1"/>
  <c r="AQ846" i="169" s="1"/>
  <c r="W846" i="169"/>
  <c r="A848" i="169"/>
  <c r="B848" i="169"/>
  <c r="D848" i="169"/>
  <c r="E848" i="169" s="1"/>
  <c r="F848" i="169"/>
  <c r="J848" i="169"/>
  <c r="AK848" i="169" s="1"/>
  <c r="K848" i="169"/>
  <c r="AL848" i="169" s="1"/>
  <c r="L848" i="169"/>
  <c r="AM848" i="169" s="1"/>
  <c r="O848" i="169"/>
  <c r="AO848" i="169" s="1"/>
  <c r="P848" i="169"/>
  <c r="Q848" i="169"/>
  <c r="U848" i="169" s="1"/>
  <c r="AQ848" i="169" s="1"/>
  <c r="W848" i="169"/>
  <c r="A849" i="169"/>
  <c r="B849" i="169"/>
  <c r="D849" i="169"/>
  <c r="E849" i="169" s="1"/>
  <c r="F849" i="169"/>
  <c r="J849" i="169"/>
  <c r="AK849" i="169" s="1"/>
  <c r="K849" i="169"/>
  <c r="AL849" i="169" s="1"/>
  <c r="L849" i="169"/>
  <c r="AM849" i="169" s="1"/>
  <c r="O849" i="169"/>
  <c r="AO849" i="169" s="1"/>
  <c r="P849" i="169"/>
  <c r="Q849" i="169"/>
  <c r="U849" i="169" s="1"/>
  <c r="AQ849" i="169" s="1"/>
  <c r="W849" i="169"/>
  <c r="A850" i="169"/>
  <c r="B850" i="169"/>
  <c r="D850" i="169"/>
  <c r="E850" i="169" s="1"/>
  <c r="F850" i="169"/>
  <c r="J850" i="169"/>
  <c r="AK850" i="169" s="1"/>
  <c r="K850" i="169"/>
  <c r="AL850" i="169" s="1"/>
  <c r="L850" i="169"/>
  <c r="AM850" i="169" s="1"/>
  <c r="O850" i="169"/>
  <c r="AO850" i="169" s="1"/>
  <c r="P850" i="169"/>
  <c r="Q850" i="169"/>
  <c r="U850" i="169" s="1"/>
  <c r="AQ850" i="169" s="1"/>
  <c r="W850" i="169"/>
  <c r="A851" i="169"/>
  <c r="B851" i="169"/>
  <c r="D851" i="169"/>
  <c r="E851" i="169" s="1"/>
  <c r="F851" i="169"/>
  <c r="J851" i="169"/>
  <c r="AK851" i="169" s="1"/>
  <c r="K851" i="169"/>
  <c r="AL851" i="169" s="1"/>
  <c r="L851" i="169"/>
  <c r="AM851" i="169" s="1"/>
  <c r="O851" i="169"/>
  <c r="AO851" i="169" s="1"/>
  <c r="P851" i="169"/>
  <c r="Q851" i="169"/>
  <c r="U851" i="169" s="1"/>
  <c r="AQ851" i="169" s="1"/>
  <c r="W851" i="169"/>
  <c r="A852" i="169"/>
  <c r="B852" i="169"/>
  <c r="D852" i="169"/>
  <c r="E852" i="169" s="1"/>
  <c r="F852" i="169"/>
  <c r="J852" i="169"/>
  <c r="AK852" i="169" s="1"/>
  <c r="K852" i="169"/>
  <c r="AL852" i="169" s="1"/>
  <c r="L852" i="169"/>
  <c r="AM852" i="169" s="1"/>
  <c r="O852" i="169"/>
  <c r="AO852" i="169" s="1"/>
  <c r="P852" i="169"/>
  <c r="Q852" i="169"/>
  <c r="U852" i="169" s="1"/>
  <c r="AQ852" i="169" s="1"/>
  <c r="W852" i="169"/>
  <c r="A853" i="169"/>
  <c r="B853" i="169"/>
  <c r="D853" i="169"/>
  <c r="E853" i="169" s="1"/>
  <c r="F853" i="169"/>
  <c r="J853" i="169"/>
  <c r="AK853" i="169" s="1"/>
  <c r="K853" i="169"/>
  <c r="AL853" i="169" s="1"/>
  <c r="L853" i="169"/>
  <c r="AM853" i="169" s="1"/>
  <c r="O853" i="169"/>
  <c r="AO853" i="169" s="1"/>
  <c r="P853" i="169"/>
  <c r="Q853" i="169"/>
  <c r="U853" i="169" s="1"/>
  <c r="AQ853" i="169" s="1"/>
  <c r="W853" i="169"/>
  <c r="A815" i="169"/>
  <c r="B815" i="169"/>
  <c r="D815" i="169"/>
  <c r="E815" i="169" s="1"/>
  <c r="F815" i="169"/>
  <c r="J815" i="169"/>
  <c r="AK815" i="169" s="1"/>
  <c r="K815" i="169"/>
  <c r="AL815" i="169" s="1"/>
  <c r="L815" i="169"/>
  <c r="AM815" i="169" s="1"/>
  <c r="O815" i="169"/>
  <c r="AO815" i="169" s="1"/>
  <c r="P815" i="169"/>
  <c r="Q815" i="169"/>
  <c r="U815" i="169" s="1"/>
  <c r="AQ815" i="169" s="1"/>
  <c r="W815" i="169"/>
  <c r="A829" i="169"/>
  <c r="B829" i="169"/>
  <c r="D829" i="169"/>
  <c r="E829" i="169" s="1"/>
  <c r="F829" i="169"/>
  <c r="J829" i="169"/>
  <c r="AK829" i="169" s="1"/>
  <c r="K829" i="169"/>
  <c r="AL829" i="169" s="1"/>
  <c r="L829" i="169"/>
  <c r="AM829" i="169" s="1"/>
  <c r="O829" i="169"/>
  <c r="AO829" i="169" s="1"/>
  <c r="P829" i="169"/>
  <c r="Q829" i="169"/>
  <c r="U829" i="169" s="1"/>
  <c r="AQ829" i="169" s="1"/>
  <c r="W829" i="169"/>
  <c r="A830" i="169"/>
  <c r="B830" i="169"/>
  <c r="D830" i="169"/>
  <c r="E830" i="169" s="1"/>
  <c r="F830" i="169"/>
  <c r="J830" i="169"/>
  <c r="AK830" i="169" s="1"/>
  <c r="K830" i="169"/>
  <c r="AL830" i="169" s="1"/>
  <c r="L830" i="169"/>
  <c r="AM830" i="169" s="1"/>
  <c r="O830" i="169"/>
  <c r="AO830" i="169" s="1"/>
  <c r="P830" i="169"/>
  <c r="Q830" i="169"/>
  <c r="S830" i="169" s="1"/>
  <c r="AP830" i="169" s="1"/>
  <c r="W830" i="169"/>
  <c r="A831" i="169"/>
  <c r="B831" i="169"/>
  <c r="D831" i="169"/>
  <c r="E831" i="169" s="1"/>
  <c r="F831" i="169"/>
  <c r="J831" i="169"/>
  <c r="AK831" i="169" s="1"/>
  <c r="K831" i="169"/>
  <c r="AL831" i="169" s="1"/>
  <c r="L831" i="169"/>
  <c r="AM831" i="169" s="1"/>
  <c r="O831" i="169"/>
  <c r="AO831" i="169" s="1"/>
  <c r="P831" i="169"/>
  <c r="Q831" i="169"/>
  <c r="U831" i="169" s="1"/>
  <c r="AQ831" i="169" s="1"/>
  <c r="W831" i="169"/>
  <c r="A832" i="169"/>
  <c r="B832" i="169"/>
  <c r="D832" i="169"/>
  <c r="E832" i="169" s="1"/>
  <c r="F832" i="169"/>
  <c r="J832" i="169"/>
  <c r="AK832" i="169" s="1"/>
  <c r="K832" i="169"/>
  <c r="AL832" i="169" s="1"/>
  <c r="L832" i="169"/>
  <c r="AM832" i="169" s="1"/>
  <c r="O832" i="169"/>
  <c r="AO832" i="169" s="1"/>
  <c r="P832" i="169"/>
  <c r="Q832" i="169"/>
  <c r="U832" i="169" s="1"/>
  <c r="AQ832" i="169" s="1"/>
  <c r="W832" i="169"/>
  <c r="A833" i="169"/>
  <c r="B833" i="169"/>
  <c r="D833" i="169"/>
  <c r="E833" i="169" s="1"/>
  <c r="F833" i="169"/>
  <c r="J833" i="169"/>
  <c r="AK833" i="169" s="1"/>
  <c r="K833" i="169"/>
  <c r="AL833" i="169" s="1"/>
  <c r="L833" i="169"/>
  <c r="AM833" i="169" s="1"/>
  <c r="O833" i="169"/>
  <c r="AO833" i="169" s="1"/>
  <c r="P833" i="169"/>
  <c r="Q833" i="169"/>
  <c r="U833" i="169" s="1"/>
  <c r="AQ833" i="169" s="1"/>
  <c r="W833" i="169"/>
  <c r="A834" i="169"/>
  <c r="B834" i="169"/>
  <c r="D834" i="169"/>
  <c r="E834" i="169" s="1"/>
  <c r="F834" i="169"/>
  <c r="J834" i="169"/>
  <c r="AK834" i="169" s="1"/>
  <c r="K834" i="169"/>
  <c r="AL834" i="169" s="1"/>
  <c r="L834" i="169"/>
  <c r="AM834" i="169" s="1"/>
  <c r="O834" i="169"/>
  <c r="AO834" i="169" s="1"/>
  <c r="P834" i="169"/>
  <c r="Q834" i="169"/>
  <c r="U834" i="169" s="1"/>
  <c r="AQ834" i="169" s="1"/>
  <c r="W834" i="169"/>
  <c r="A835" i="169"/>
  <c r="B835" i="169"/>
  <c r="D835" i="169"/>
  <c r="E835" i="169" s="1"/>
  <c r="F835" i="169"/>
  <c r="J835" i="169"/>
  <c r="AK835" i="169" s="1"/>
  <c r="K835" i="169"/>
  <c r="AL835" i="169" s="1"/>
  <c r="L835" i="169"/>
  <c r="AM835" i="169" s="1"/>
  <c r="O835" i="169"/>
  <c r="AO835" i="169" s="1"/>
  <c r="P835" i="169"/>
  <c r="Q835" i="169"/>
  <c r="U835" i="169" s="1"/>
  <c r="AQ835" i="169" s="1"/>
  <c r="W835" i="169"/>
  <c r="A836" i="169"/>
  <c r="B836" i="169"/>
  <c r="D836" i="169"/>
  <c r="E836" i="169" s="1"/>
  <c r="F836" i="169"/>
  <c r="J836" i="169"/>
  <c r="AK836" i="169" s="1"/>
  <c r="K836" i="169"/>
  <c r="AL836" i="169" s="1"/>
  <c r="L836" i="169"/>
  <c r="AM836" i="169" s="1"/>
  <c r="O836" i="169"/>
  <c r="AO836" i="169" s="1"/>
  <c r="P836" i="169"/>
  <c r="Q836" i="169"/>
  <c r="U836" i="169" s="1"/>
  <c r="AQ836" i="169" s="1"/>
  <c r="W836" i="169"/>
  <c r="A837" i="169"/>
  <c r="B837" i="169"/>
  <c r="D837" i="169"/>
  <c r="E837" i="169" s="1"/>
  <c r="F837" i="169"/>
  <c r="J837" i="169"/>
  <c r="AK837" i="169" s="1"/>
  <c r="K837" i="169"/>
  <c r="AL837" i="169" s="1"/>
  <c r="L837" i="169"/>
  <c r="AM837" i="169" s="1"/>
  <c r="O837" i="169"/>
  <c r="AO837" i="169" s="1"/>
  <c r="P837" i="169"/>
  <c r="Q837" i="169"/>
  <c r="U837" i="169" s="1"/>
  <c r="AQ837" i="169" s="1"/>
  <c r="W837" i="169"/>
  <c r="A838" i="169"/>
  <c r="B838" i="169"/>
  <c r="D838" i="169"/>
  <c r="E838" i="169" s="1"/>
  <c r="F838" i="169"/>
  <c r="J838" i="169"/>
  <c r="AK838" i="169" s="1"/>
  <c r="K838" i="169"/>
  <c r="AL838" i="169" s="1"/>
  <c r="L838" i="169"/>
  <c r="AM838" i="169" s="1"/>
  <c r="O838" i="169"/>
  <c r="AO838" i="169" s="1"/>
  <c r="P838" i="169"/>
  <c r="Q838" i="169"/>
  <c r="S838" i="169" s="1"/>
  <c r="AP838" i="169" s="1"/>
  <c r="W838" i="169"/>
  <c r="A839" i="169"/>
  <c r="B839" i="169"/>
  <c r="D839" i="169"/>
  <c r="E839" i="169" s="1"/>
  <c r="F839" i="169"/>
  <c r="J839" i="169"/>
  <c r="AK839" i="169" s="1"/>
  <c r="K839" i="169"/>
  <c r="AL839" i="169" s="1"/>
  <c r="L839" i="169"/>
  <c r="AM839" i="169" s="1"/>
  <c r="O839" i="169"/>
  <c r="AO839" i="169" s="1"/>
  <c r="P839" i="169"/>
  <c r="Q839" i="169"/>
  <c r="U839" i="169" s="1"/>
  <c r="AQ839" i="169" s="1"/>
  <c r="W839" i="169"/>
  <c r="A840" i="169"/>
  <c r="B840" i="169"/>
  <c r="D840" i="169"/>
  <c r="E840" i="169" s="1"/>
  <c r="F840" i="169"/>
  <c r="J840" i="169"/>
  <c r="AK840" i="169" s="1"/>
  <c r="K840" i="169"/>
  <c r="AL840" i="169" s="1"/>
  <c r="L840" i="169"/>
  <c r="AM840" i="169" s="1"/>
  <c r="O840" i="169"/>
  <c r="AO840" i="169" s="1"/>
  <c r="P840" i="169"/>
  <c r="Q840" i="169"/>
  <c r="U840" i="169" s="1"/>
  <c r="AQ840" i="169" s="1"/>
  <c r="W840" i="169"/>
  <c r="A854" i="169"/>
  <c r="B854" i="169"/>
  <c r="D854" i="169"/>
  <c r="E854" i="169" s="1"/>
  <c r="F854" i="169"/>
  <c r="J854" i="169"/>
  <c r="AK854" i="169" s="1"/>
  <c r="K854" i="169"/>
  <c r="AL854" i="169" s="1"/>
  <c r="L854" i="169"/>
  <c r="AM854" i="169" s="1"/>
  <c r="O854" i="169"/>
  <c r="AO854" i="169" s="1"/>
  <c r="P854" i="169"/>
  <c r="Q854" i="169"/>
  <c r="U854" i="169" s="1"/>
  <c r="AQ854" i="169" s="1"/>
  <c r="W854" i="169"/>
  <c r="A855" i="169"/>
  <c r="B855" i="169"/>
  <c r="D855" i="169"/>
  <c r="E855" i="169" s="1"/>
  <c r="F855" i="169"/>
  <c r="J855" i="169"/>
  <c r="AK855" i="169" s="1"/>
  <c r="K855" i="169"/>
  <c r="AL855" i="169" s="1"/>
  <c r="L855" i="169"/>
  <c r="AM855" i="169" s="1"/>
  <c r="O855" i="169"/>
  <c r="AO855" i="169" s="1"/>
  <c r="P855" i="169"/>
  <c r="Q855" i="169"/>
  <c r="U855" i="169" s="1"/>
  <c r="AQ855" i="169" s="1"/>
  <c r="W855" i="169"/>
  <c r="A819" i="169"/>
  <c r="B819" i="169"/>
  <c r="D819" i="169"/>
  <c r="E819" i="169" s="1"/>
  <c r="F819" i="169"/>
  <c r="J819" i="169"/>
  <c r="AK819" i="169" s="1"/>
  <c r="K819" i="169"/>
  <c r="AL819" i="169" s="1"/>
  <c r="L819" i="169"/>
  <c r="AM819" i="169" s="1"/>
  <c r="O819" i="169"/>
  <c r="AO819" i="169" s="1"/>
  <c r="P819" i="169"/>
  <c r="Q819" i="169"/>
  <c r="U819" i="169" s="1"/>
  <c r="AQ819" i="169" s="1"/>
  <c r="W819" i="169"/>
  <c r="A820" i="169"/>
  <c r="B820" i="169"/>
  <c r="D820" i="169"/>
  <c r="E820" i="169" s="1"/>
  <c r="F820" i="169"/>
  <c r="J820" i="169"/>
  <c r="AK820" i="169" s="1"/>
  <c r="K820" i="169"/>
  <c r="AL820" i="169" s="1"/>
  <c r="L820" i="169"/>
  <c r="AM820" i="169" s="1"/>
  <c r="O820" i="169"/>
  <c r="AO820" i="169" s="1"/>
  <c r="P820" i="169"/>
  <c r="Q820" i="169"/>
  <c r="U820" i="169" s="1"/>
  <c r="AQ820" i="169" s="1"/>
  <c r="W820" i="169"/>
  <c r="A821" i="169"/>
  <c r="B821" i="169"/>
  <c r="D821" i="169"/>
  <c r="E821" i="169" s="1"/>
  <c r="F821" i="169"/>
  <c r="J821" i="169"/>
  <c r="AK821" i="169" s="1"/>
  <c r="K821" i="169"/>
  <c r="AL821" i="169" s="1"/>
  <c r="L821" i="169"/>
  <c r="AM821" i="169" s="1"/>
  <c r="O821" i="169"/>
  <c r="AO821" i="169" s="1"/>
  <c r="P821" i="169"/>
  <c r="Q821" i="169"/>
  <c r="U821" i="169" s="1"/>
  <c r="AQ821" i="169" s="1"/>
  <c r="W821" i="169"/>
  <c r="A822" i="169"/>
  <c r="B822" i="169"/>
  <c r="D822" i="169"/>
  <c r="E822" i="169" s="1"/>
  <c r="F822" i="169"/>
  <c r="J822" i="169"/>
  <c r="AK822" i="169" s="1"/>
  <c r="K822" i="169"/>
  <c r="AL822" i="169" s="1"/>
  <c r="L822" i="169"/>
  <c r="AM822" i="169" s="1"/>
  <c r="O822" i="169"/>
  <c r="AO822" i="169" s="1"/>
  <c r="P822" i="169"/>
  <c r="Q822" i="169"/>
  <c r="U822" i="169" s="1"/>
  <c r="AQ822" i="169" s="1"/>
  <c r="W822" i="169"/>
  <c r="A823" i="169"/>
  <c r="B823" i="169"/>
  <c r="D823" i="169"/>
  <c r="E823" i="169" s="1"/>
  <c r="F823" i="169"/>
  <c r="J823" i="169"/>
  <c r="AK823" i="169" s="1"/>
  <c r="K823" i="169"/>
  <c r="AL823" i="169" s="1"/>
  <c r="L823" i="169"/>
  <c r="AM823" i="169" s="1"/>
  <c r="O823" i="169"/>
  <c r="AO823" i="169" s="1"/>
  <c r="P823" i="169"/>
  <c r="Q823" i="169"/>
  <c r="U823" i="169" s="1"/>
  <c r="AQ823" i="169" s="1"/>
  <c r="W823" i="169"/>
  <c r="A824" i="169"/>
  <c r="B824" i="169"/>
  <c r="D824" i="169"/>
  <c r="E824" i="169" s="1"/>
  <c r="F824" i="169"/>
  <c r="J824" i="169"/>
  <c r="AK824" i="169" s="1"/>
  <c r="K824" i="169"/>
  <c r="AL824" i="169" s="1"/>
  <c r="L824" i="169"/>
  <c r="AM824" i="169" s="1"/>
  <c r="O824" i="169"/>
  <c r="AO824" i="169" s="1"/>
  <c r="P824" i="169"/>
  <c r="Q824" i="169"/>
  <c r="U824" i="169" s="1"/>
  <c r="AQ824" i="169" s="1"/>
  <c r="W824" i="169"/>
  <c r="A825" i="169"/>
  <c r="B825" i="169"/>
  <c r="D825" i="169"/>
  <c r="E825" i="169" s="1"/>
  <c r="F825" i="169"/>
  <c r="J825" i="169"/>
  <c r="AK825" i="169" s="1"/>
  <c r="K825" i="169"/>
  <c r="AL825" i="169" s="1"/>
  <c r="L825" i="169"/>
  <c r="AM825" i="169" s="1"/>
  <c r="O825" i="169"/>
  <c r="AO825" i="169" s="1"/>
  <c r="P825" i="169"/>
  <c r="Q825" i="169"/>
  <c r="U825" i="169" s="1"/>
  <c r="AQ825" i="169" s="1"/>
  <c r="W825" i="169"/>
  <c r="A826" i="169"/>
  <c r="B826" i="169"/>
  <c r="D826" i="169"/>
  <c r="E826" i="169" s="1"/>
  <c r="F826" i="169"/>
  <c r="J826" i="169"/>
  <c r="AK826" i="169" s="1"/>
  <c r="K826" i="169"/>
  <c r="AL826" i="169" s="1"/>
  <c r="L826" i="169"/>
  <c r="AM826" i="169" s="1"/>
  <c r="O826" i="169"/>
  <c r="AO826" i="169" s="1"/>
  <c r="P826" i="169"/>
  <c r="Q826" i="169"/>
  <c r="U826" i="169" s="1"/>
  <c r="AQ826" i="169" s="1"/>
  <c r="W826" i="169"/>
  <c r="A827" i="169"/>
  <c r="B827" i="169"/>
  <c r="D827" i="169"/>
  <c r="E827" i="169" s="1"/>
  <c r="F827" i="169"/>
  <c r="J827" i="169"/>
  <c r="AK827" i="169" s="1"/>
  <c r="K827" i="169"/>
  <c r="AL827" i="169" s="1"/>
  <c r="L827" i="169"/>
  <c r="AM827" i="169" s="1"/>
  <c r="O827" i="169"/>
  <c r="AO827" i="169" s="1"/>
  <c r="P827" i="169"/>
  <c r="Q827" i="169"/>
  <c r="U827" i="169" s="1"/>
  <c r="AQ827" i="169" s="1"/>
  <c r="W827" i="169"/>
  <c r="A828" i="169"/>
  <c r="B828" i="169"/>
  <c r="D828" i="169"/>
  <c r="E828" i="169" s="1"/>
  <c r="F828" i="169"/>
  <c r="J828" i="169"/>
  <c r="AK828" i="169" s="1"/>
  <c r="K828" i="169"/>
  <c r="AL828" i="169" s="1"/>
  <c r="L828" i="169"/>
  <c r="AM828" i="169" s="1"/>
  <c r="O828" i="169"/>
  <c r="AO828" i="169" s="1"/>
  <c r="P828" i="169"/>
  <c r="Q828" i="169"/>
  <c r="U828" i="169" s="1"/>
  <c r="AQ828" i="169" s="1"/>
  <c r="W828" i="169"/>
  <c r="A782" i="169"/>
  <c r="B782" i="169"/>
  <c r="D782" i="169"/>
  <c r="E782" i="169" s="1"/>
  <c r="F782" i="169"/>
  <c r="J782" i="169"/>
  <c r="AK782" i="169" s="1"/>
  <c r="K782" i="169"/>
  <c r="AL782" i="169" s="1"/>
  <c r="L782" i="169"/>
  <c r="AM782" i="169" s="1"/>
  <c r="O782" i="169"/>
  <c r="AO782" i="169" s="1"/>
  <c r="P782" i="169"/>
  <c r="Q782" i="169"/>
  <c r="U782" i="169" s="1"/>
  <c r="AQ782" i="169" s="1"/>
  <c r="W782" i="169"/>
  <c r="A780" i="169"/>
  <c r="B780" i="169"/>
  <c r="D780" i="169"/>
  <c r="E780" i="169" s="1"/>
  <c r="F780" i="169"/>
  <c r="J780" i="169"/>
  <c r="AK780" i="169" s="1"/>
  <c r="K780" i="169"/>
  <c r="AL780" i="169" s="1"/>
  <c r="L780" i="169"/>
  <c r="AM780" i="169" s="1"/>
  <c r="O780" i="169"/>
  <c r="AO780" i="169" s="1"/>
  <c r="P780" i="169"/>
  <c r="Q780" i="169"/>
  <c r="U780" i="169" s="1"/>
  <c r="AQ780" i="169" s="1"/>
  <c r="W780" i="169"/>
  <c r="A781" i="169"/>
  <c r="B781" i="169"/>
  <c r="D781" i="169"/>
  <c r="E781" i="169" s="1"/>
  <c r="F781" i="169"/>
  <c r="J781" i="169"/>
  <c r="AK781" i="169" s="1"/>
  <c r="K781" i="169"/>
  <c r="AL781" i="169" s="1"/>
  <c r="L781" i="169"/>
  <c r="AM781" i="169" s="1"/>
  <c r="O781" i="169"/>
  <c r="AO781" i="169" s="1"/>
  <c r="P781" i="169"/>
  <c r="Q781" i="169"/>
  <c r="U781" i="169" s="1"/>
  <c r="AQ781" i="169" s="1"/>
  <c r="W781" i="169"/>
  <c r="A771" i="169"/>
  <c r="B771" i="169"/>
  <c r="D771" i="169"/>
  <c r="E771" i="169" s="1"/>
  <c r="F771" i="169"/>
  <c r="J771" i="169"/>
  <c r="AK771" i="169" s="1"/>
  <c r="K771" i="169"/>
  <c r="AL771" i="169" s="1"/>
  <c r="L771" i="169"/>
  <c r="AM771" i="169" s="1"/>
  <c r="O771" i="169"/>
  <c r="AO771" i="169" s="1"/>
  <c r="P771" i="169"/>
  <c r="Q771" i="169"/>
  <c r="U771" i="169" s="1"/>
  <c r="AQ771" i="169" s="1"/>
  <c r="W771" i="169"/>
  <c r="A772" i="169"/>
  <c r="B772" i="169"/>
  <c r="D772" i="169"/>
  <c r="E772" i="169" s="1"/>
  <c r="F772" i="169"/>
  <c r="J772" i="169"/>
  <c r="AK772" i="169" s="1"/>
  <c r="K772" i="169"/>
  <c r="AL772" i="169" s="1"/>
  <c r="L772" i="169"/>
  <c r="AM772" i="169" s="1"/>
  <c r="O772" i="169"/>
  <c r="AO772" i="169" s="1"/>
  <c r="P772" i="169"/>
  <c r="Q772" i="169"/>
  <c r="U772" i="169" s="1"/>
  <c r="AQ772" i="169" s="1"/>
  <c r="W772" i="169"/>
  <c r="A773" i="169"/>
  <c r="B773" i="169"/>
  <c r="D773" i="169"/>
  <c r="E773" i="169" s="1"/>
  <c r="F773" i="169"/>
  <c r="J773" i="169"/>
  <c r="AK773" i="169" s="1"/>
  <c r="K773" i="169"/>
  <c r="AL773" i="169" s="1"/>
  <c r="L773" i="169"/>
  <c r="AM773" i="169" s="1"/>
  <c r="O773" i="169"/>
  <c r="AO773" i="169" s="1"/>
  <c r="P773" i="169"/>
  <c r="Q773" i="169"/>
  <c r="U773" i="169" s="1"/>
  <c r="AQ773" i="169" s="1"/>
  <c r="W773" i="169"/>
  <c r="A774" i="169"/>
  <c r="B774" i="169"/>
  <c r="D774" i="169"/>
  <c r="E774" i="169" s="1"/>
  <c r="F774" i="169"/>
  <c r="J774" i="169"/>
  <c r="AK774" i="169" s="1"/>
  <c r="K774" i="169"/>
  <c r="AL774" i="169" s="1"/>
  <c r="L774" i="169"/>
  <c r="AM774" i="169" s="1"/>
  <c r="O774" i="169"/>
  <c r="AO774" i="169" s="1"/>
  <c r="P774" i="169"/>
  <c r="Q774" i="169"/>
  <c r="U774" i="169" s="1"/>
  <c r="AQ774" i="169" s="1"/>
  <c r="W774" i="169"/>
  <c r="A775" i="169"/>
  <c r="B775" i="169"/>
  <c r="D775" i="169"/>
  <c r="E775" i="169" s="1"/>
  <c r="F775" i="169"/>
  <c r="J775" i="169"/>
  <c r="AK775" i="169" s="1"/>
  <c r="K775" i="169"/>
  <c r="AL775" i="169" s="1"/>
  <c r="L775" i="169"/>
  <c r="AM775" i="169" s="1"/>
  <c r="O775" i="169"/>
  <c r="AO775" i="169" s="1"/>
  <c r="P775" i="169"/>
  <c r="Q775" i="169"/>
  <c r="U775" i="169" s="1"/>
  <c r="AQ775" i="169" s="1"/>
  <c r="W775" i="169"/>
  <c r="A776" i="169"/>
  <c r="B776" i="169"/>
  <c r="D776" i="169"/>
  <c r="E776" i="169" s="1"/>
  <c r="F776" i="169"/>
  <c r="J776" i="169"/>
  <c r="AK776" i="169" s="1"/>
  <c r="K776" i="169"/>
  <c r="AL776" i="169" s="1"/>
  <c r="L776" i="169"/>
  <c r="AM776" i="169" s="1"/>
  <c r="O776" i="169"/>
  <c r="AO776" i="169" s="1"/>
  <c r="P776" i="169"/>
  <c r="Q776" i="169"/>
  <c r="U776" i="169" s="1"/>
  <c r="AQ776" i="169" s="1"/>
  <c r="W776" i="169"/>
  <c r="A777" i="169"/>
  <c r="B777" i="169"/>
  <c r="D777" i="169"/>
  <c r="E777" i="169" s="1"/>
  <c r="F777" i="169"/>
  <c r="J777" i="169"/>
  <c r="AK777" i="169" s="1"/>
  <c r="K777" i="169"/>
  <c r="AL777" i="169" s="1"/>
  <c r="L777" i="169"/>
  <c r="AM777" i="169" s="1"/>
  <c r="O777" i="169"/>
  <c r="AO777" i="169" s="1"/>
  <c r="P777" i="169"/>
  <c r="Q777" i="169"/>
  <c r="U777" i="169" s="1"/>
  <c r="AQ777" i="169" s="1"/>
  <c r="W777" i="169"/>
  <c r="A778" i="169"/>
  <c r="B778" i="169"/>
  <c r="D778" i="169"/>
  <c r="E778" i="169" s="1"/>
  <c r="F778" i="169"/>
  <c r="J778" i="169"/>
  <c r="AK778" i="169" s="1"/>
  <c r="K778" i="169"/>
  <c r="AL778" i="169" s="1"/>
  <c r="L778" i="169"/>
  <c r="AM778" i="169" s="1"/>
  <c r="O778" i="169"/>
  <c r="AO778" i="169" s="1"/>
  <c r="P778" i="169"/>
  <c r="Q778" i="169"/>
  <c r="U778" i="169" s="1"/>
  <c r="AQ778" i="169" s="1"/>
  <c r="W778" i="169"/>
  <c r="A779" i="169"/>
  <c r="B779" i="169"/>
  <c r="D779" i="169"/>
  <c r="E779" i="169" s="1"/>
  <c r="F779" i="169"/>
  <c r="J779" i="169"/>
  <c r="AK779" i="169" s="1"/>
  <c r="K779" i="169"/>
  <c r="AL779" i="169" s="1"/>
  <c r="L779" i="169"/>
  <c r="AM779" i="169" s="1"/>
  <c r="O779" i="169"/>
  <c r="AO779" i="169" s="1"/>
  <c r="P779" i="169"/>
  <c r="Q779" i="169"/>
  <c r="U779" i="169" s="1"/>
  <c r="AQ779" i="169" s="1"/>
  <c r="W779" i="169"/>
  <c r="A783" i="169"/>
  <c r="B783" i="169"/>
  <c r="D783" i="169"/>
  <c r="E783" i="169" s="1"/>
  <c r="F783" i="169"/>
  <c r="J783" i="169"/>
  <c r="AK783" i="169" s="1"/>
  <c r="K783" i="169"/>
  <c r="AL783" i="169" s="1"/>
  <c r="L783" i="169"/>
  <c r="AM783" i="169" s="1"/>
  <c r="O783" i="169"/>
  <c r="AO783" i="169" s="1"/>
  <c r="P783" i="169"/>
  <c r="Q783" i="169"/>
  <c r="U783" i="169" s="1"/>
  <c r="AQ783" i="169" s="1"/>
  <c r="W783" i="169"/>
  <c r="A784" i="169"/>
  <c r="B784" i="169"/>
  <c r="D784" i="169"/>
  <c r="E784" i="169" s="1"/>
  <c r="F784" i="169"/>
  <c r="J784" i="169"/>
  <c r="AK784" i="169" s="1"/>
  <c r="K784" i="169"/>
  <c r="AL784" i="169" s="1"/>
  <c r="L784" i="169"/>
  <c r="AM784" i="169" s="1"/>
  <c r="O784" i="169"/>
  <c r="AO784" i="169" s="1"/>
  <c r="P784" i="169"/>
  <c r="Q784" i="169"/>
  <c r="U784" i="169" s="1"/>
  <c r="AQ784" i="169" s="1"/>
  <c r="W784" i="169"/>
  <c r="A785" i="169"/>
  <c r="B785" i="169"/>
  <c r="D785" i="169"/>
  <c r="E785" i="169" s="1"/>
  <c r="F785" i="169"/>
  <c r="J785" i="169"/>
  <c r="AK785" i="169" s="1"/>
  <c r="K785" i="169"/>
  <c r="AL785" i="169" s="1"/>
  <c r="L785" i="169"/>
  <c r="AM785" i="169" s="1"/>
  <c r="O785" i="169"/>
  <c r="AO785" i="169" s="1"/>
  <c r="P785" i="169"/>
  <c r="Q785" i="169"/>
  <c r="U785" i="169" s="1"/>
  <c r="AQ785" i="169" s="1"/>
  <c r="W785" i="169"/>
  <c r="A786" i="169"/>
  <c r="B786" i="169"/>
  <c r="D786" i="169"/>
  <c r="E786" i="169" s="1"/>
  <c r="F786" i="169"/>
  <c r="J786" i="169"/>
  <c r="AK786" i="169" s="1"/>
  <c r="K786" i="169"/>
  <c r="AL786" i="169" s="1"/>
  <c r="L786" i="169"/>
  <c r="AM786" i="169" s="1"/>
  <c r="O786" i="169"/>
  <c r="AO786" i="169" s="1"/>
  <c r="P786" i="169"/>
  <c r="Q786" i="169"/>
  <c r="S786" i="169" s="1"/>
  <c r="AP786" i="169" s="1"/>
  <c r="W786" i="169"/>
  <c r="A787" i="169"/>
  <c r="B787" i="169"/>
  <c r="D787" i="169"/>
  <c r="E787" i="169" s="1"/>
  <c r="F787" i="169"/>
  <c r="J787" i="169"/>
  <c r="AK787" i="169" s="1"/>
  <c r="K787" i="169"/>
  <c r="AL787" i="169" s="1"/>
  <c r="L787" i="169"/>
  <c r="AM787" i="169" s="1"/>
  <c r="O787" i="169"/>
  <c r="AO787" i="169" s="1"/>
  <c r="P787" i="169"/>
  <c r="Q787" i="169"/>
  <c r="U787" i="169" s="1"/>
  <c r="AQ787" i="169" s="1"/>
  <c r="W787" i="169"/>
  <c r="A788" i="169"/>
  <c r="B788" i="169"/>
  <c r="D788" i="169"/>
  <c r="E788" i="169" s="1"/>
  <c r="F788" i="169"/>
  <c r="J788" i="169"/>
  <c r="AK788" i="169" s="1"/>
  <c r="K788" i="169"/>
  <c r="AL788" i="169" s="1"/>
  <c r="L788" i="169"/>
  <c r="AM788" i="169" s="1"/>
  <c r="O788" i="169"/>
  <c r="AO788" i="169" s="1"/>
  <c r="P788" i="169"/>
  <c r="Q788" i="169"/>
  <c r="U788" i="169" s="1"/>
  <c r="AQ788" i="169" s="1"/>
  <c r="W788" i="169"/>
  <c r="A789" i="169"/>
  <c r="B789" i="169"/>
  <c r="D789" i="169"/>
  <c r="E789" i="169" s="1"/>
  <c r="F789" i="169"/>
  <c r="J789" i="169"/>
  <c r="AK789" i="169" s="1"/>
  <c r="K789" i="169"/>
  <c r="AL789" i="169" s="1"/>
  <c r="L789" i="169"/>
  <c r="AM789" i="169" s="1"/>
  <c r="O789" i="169"/>
  <c r="AO789" i="169" s="1"/>
  <c r="P789" i="169"/>
  <c r="Q789" i="169"/>
  <c r="U789" i="169" s="1"/>
  <c r="AQ789" i="169" s="1"/>
  <c r="W789" i="169"/>
  <c r="A790" i="169"/>
  <c r="B790" i="169"/>
  <c r="D790" i="169"/>
  <c r="E790" i="169" s="1"/>
  <c r="F790" i="169"/>
  <c r="J790" i="169"/>
  <c r="AK790" i="169" s="1"/>
  <c r="K790" i="169"/>
  <c r="AL790" i="169" s="1"/>
  <c r="L790" i="169"/>
  <c r="AM790" i="169" s="1"/>
  <c r="O790" i="169"/>
  <c r="AO790" i="169" s="1"/>
  <c r="P790" i="169"/>
  <c r="Q790" i="169"/>
  <c r="U790" i="169" s="1"/>
  <c r="AQ790" i="169" s="1"/>
  <c r="W790" i="169"/>
  <c r="A791" i="169"/>
  <c r="B791" i="169"/>
  <c r="D791" i="169"/>
  <c r="E791" i="169" s="1"/>
  <c r="F791" i="169"/>
  <c r="J791" i="169"/>
  <c r="AK791" i="169" s="1"/>
  <c r="K791" i="169"/>
  <c r="AL791" i="169" s="1"/>
  <c r="L791" i="169"/>
  <c r="AM791" i="169" s="1"/>
  <c r="O791" i="169"/>
  <c r="AO791" i="169" s="1"/>
  <c r="P791" i="169"/>
  <c r="Q791" i="169"/>
  <c r="U791" i="169" s="1"/>
  <c r="AQ791" i="169" s="1"/>
  <c r="W791" i="169"/>
  <c r="A792" i="169"/>
  <c r="B792" i="169"/>
  <c r="D792" i="169"/>
  <c r="E792" i="169" s="1"/>
  <c r="F792" i="169"/>
  <c r="J792" i="169"/>
  <c r="AK792" i="169" s="1"/>
  <c r="K792" i="169"/>
  <c r="AL792" i="169" s="1"/>
  <c r="L792" i="169"/>
  <c r="AM792" i="169" s="1"/>
  <c r="O792" i="169"/>
  <c r="AO792" i="169" s="1"/>
  <c r="P792" i="169"/>
  <c r="Q792" i="169"/>
  <c r="U792" i="169" s="1"/>
  <c r="AQ792" i="169" s="1"/>
  <c r="W792" i="169"/>
  <c r="A793" i="169"/>
  <c r="B793" i="169"/>
  <c r="D793" i="169"/>
  <c r="E793" i="169" s="1"/>
  <c r="F793" i="169"/>
  <c r="J793" i="169"/>
  <c r="AK793" i="169" s="1"/>
  <c r="K793" i="169"/>
  <c r="AL793" i="169" s="1"/>
  <c r="L793" i="169"/>
  <c r="AM793" i="169" s="1"/>
  <c r="O793" i="169"/>
  <c r="AO793" i="169" s="1"/>
  <c r="P793" i="169"/>
  <c r="Q793" i="169"/>
  <c r="U793" i="169" s="1"/>
  <c r="AQ793" i="169" s="1"/>
  <c r="W793" i="169"/>
  <c r="A794" i="169"/>
  <c r="B794" i="169"/>
  <c r="D794" i="169"/>
  <c r="E794" i="169" s="1"/>
  <c r="F794" i="169"/>
  <c r="J794" i="169"/>
  <c r="AK794" i="169" s="1"/>
  <c r="K794" i="169"/>
  <c r="AL794" i="169" s="1"/>
  <c r="L794" i="169"/>
  <c r="AM794" i="169" s="1"/>
  <c r="O794" i="169"/>
  <c r="AO794" i="169" s="1"/>
  <c r="P794" i="169"/>
  <c r="Q794" i="169"/>
  <c r="U794" i="169" s="1"/>
  <c r="AQ794" i="169" s="1"/>
  <c r="W794" i="169"/>
  <c r="A795" i="169"/>
  <c r="B795" i="169"/>
  <c r="D795" i="169"/>
  <c r="E795" i="169" s="1"/>
  <c r="F795" i="169"/>
  <c r="J795" i="169"/>
  <c r="AK795" i="169" s="1"/>
  <c r="K795" i="169"/>
  <c r="AL795" i="169" s="1"/>
  <c r="L795" i="169"/>
  <c r="AM795" i="169" s="1"/>
  <c r="O795" i="169"/>
  <c r="AO795" i="169" s="1"/>
  <c r="P795" i="169"/>
  <c r="Q795" i="169"/>
  <c r="U795" i="169" s="1"/>
  <c r="AQ795" i="169" s="1"/>
  <c r="W795" i="169"/>
  <c r="A796" i="169"/>
  <c r="B796" i="169"/>
  <c r="D796" i="169"/>
  <c r="E796" i="169" s="1"/>
  <c r="F796" i="169"/>
  <c r="J796" i="169"/>
  <c r="AK796" i="169" s="1"/>
  <c r="K796" i="169"/>
  <c r="AL796" i="169" s="1"/>
  <c r="L796" i="169"/>
  <c r="AM796" i="169" s="1"/>
  <c r="O796" i="169"/>
  <c r="AO796" i="169" s="1"/>
  <c r="P796" i="169"/>
  <c r="Q796" i="169"/>
  <c r="U796" i="169" s="1"/>
  <c r="AQ796" i="169" s="1"/>
  <c r="W796" i="169"/>
  <c r="A797" i="169"/>
  <c r="B797" i="169"/>
  <c r="D797" i="169"/>
  <c r="E797" i="169" s="1"/>
  <c r="F797" i="169"/>
  <c r="J797" i="169"/>
  <c r="AK797" i="169" s="1"/>
  <c r="K797" i="169"/>
  <c r="AL797" i="169" s="1"/>
  <c r="L797" i="169"/>
  <c r="AM797" i="169" s="1"/>
  <c r="O797" i="169"/>
  <c r="AO797" i="169" s="1"/>
  <c r="P797" i="169"/>
  <c r="Q797" i="169"/>
  <c r="U797" i="169" s="1"/>
  <c r="AQ797" i="169" s="1"/>
  <c r="W797" i="169"/>
  <c r="A798" i="169"/>
  <c r="B798" i="169"/>
  <c r="D798" i="169"/>
  <c r="E798" i="169" s="1"/>
  <c r="F798" i="169"/>
  <c r="J798" i="169"/>
  <c r="AK798" i="169" s="1"/>
  <c r="K798" i="169"/>
  <c r="AL798" i="169" s="1"/>
  <c r="L798" i="169"/>
  <c r="AM798" i="169" s="1"/>
  <c r="O798" i="169"/>
  <c r="AO798" i="169" s="1"/>
  <c r="P798" i="169"/>
  <c r="Q798" i="169"/>
  <c r="U798" i="169" s="1"/>
  <c r="AQ798" i="169" s="1"/>
  <c r="W798" i="169"/>
  <c r="A799" i="169"/>
  <c r="B799" i="169"/>
  <c r="D799" i="169"/>
  <c r="E799" i="169" s="1"/>
  <c r="F799" i="169"/>
  <c r="J799" i="169"/>
  <c r="AK799" i="169" s="1"/>
  <c r="K799" i="169"/>
  <c r="AL799" i="169" s="1"/>
  <c r="L799" i="169"/>
  <c r="AM799" i="169" s="1"/>
  <c r="O799" i="169"/>
  <c r="AO799" i="169" s="1"/>
  <c r="P799" i="169"/>
  <c r="Q799" i="169"/>
  <c r="U799" i="169" s="1"/>
  <c r="AQ799" i="169" s="1"/>
  <c r="W799" i="169"/>
  <c r="A800" i="169"/>
  <c r="B800" i="169"/>
  <c r="D800" i="169"/>
  <c r="E800" i="169" s="1"/>
  <c r="F800" i="169"/>
  <c r="J800" i="169"/>
  <c r="AK800" i="169" s="1"/>
  <c r="K800" i="169"/>
  <c r="AL800" i="169" s="1"/>
  <c r="L800" i="169"/>
  <c r="AM800" i="169" s="1"/>
  <c r="O800" i="169"/>
  <c r="AO800" i="169" s="1"/>
  <c r="P800" i="169"/>
  <c r="Q800" i="169"/>
  <c r="U800" i="169" s="1"/>
  <c r="AQ800" i="169" s="1"/>
  <c r="W800" i="169"/>
  <c r="A801" i="169"/>
  <c r="B801" i="169"/>
  <c r="D801" i="169"/>
  <c r="E801" i="169" s="1"/>
  <c r="F801" i="169"/>
  <c r="J801" i="169"/>
  <c r="AK801" i="169" s="1"/>
  <c r="K801" i="169"/>
  <c r="AL801" i="169" s="1"/>
  <c r="L801" i="169"/>
  <c r="AM801" i="169" s="1"/>
  <c r="O801" i="169"/>
  <c r="AO801" i="169" s="1"/>
  <c r="P801" i="169"/>
  <c r="Q801" i="169"/>
  <c r="U801" i="169" s="1"/>
  <c r="AQ801" i="169" s="1"/>
  <c r="W801" i="169"/>
  <c r="A802" i="169"/>
  <c r="B802" i="169"/>
  <c r="D802" i="169"/>
  <c r="E802" i="169" s="1"/>
  <c r="F802" i="169"/>
  <c r="J802" i="169"/>
  <c r="AK802" i="169" s="1"/>
  <c r="K802" i="169"/>
  <c r="AL802" i="169" s="1"/>
  <c r="L802" i="169"/>
  <c r="AM802" i="169" s="1"/>
  <c r="O802" i="169"/>
  <c r="AO802" i="169" s="1"/>
  <c r="P802" i="169"/>
  <c r="Q802" i="169"/>
  <c r="U802" i="169" s="1"/>
  <c r="AQ802" i="169" s="1"/>
  <c r="W802" i="169"/>
  <c r="A803" i="169"/>
  <c r="B803" i="169"/>
  <c r="D803" i="169"/>
  <c r="E803" i="169" s="1"/>
  <c r="F803" i="169"/>
  <c r="J803" i="169"/>
  <c r="AK803" i="169" s="1"/>
  <c r="K803" i="169"/>
  <c r="AL803" i="169" s="1"/>
  <c r="L803" i="169"/>
  <c r="AM803" i="169" s="1"/>
  <c r="O803" i="169"/>
  <c r="AO803" i="169" s="1"/>
  <c r="P803" i="169"/>
  <c r="Q803" i="169"/>
  <c r="S803" i="169" s="1"/>
  <c r="AP803" i="169" s="1"/>
  <c r="W803" i="169"/>
  <c r="A804" i="169"/>
  <c r="B804" i="169"/>
  <c r="D804" i="169"/>
  <c r="E804" i="169" s="1"/>
  <c r="F804" i="169"/>
  <c r="J804" i="169"/>
  <c r="AK804" i="169" s="1"/>
  <c r="K804" i="169"/>
  <c r="AL804" i="169" s="1"/>
  <c r="L804" i="169"/>
  <c r="AM804" i="169" s="1"/>
  <c r="O804" i="169"/>
  <c r="AO804" i="169" s="1"/>
  <c r="P804" i="169"/>
  <c r="Q804" i="169"/>
  <c r="U804" i="169" s="1"/>
  <c r="AQ804" i="169" s="1"/>
  <c r="W804" i="169"/>
  <c r="A805" i="169"/>
  <c r="B805" i="169"/>
  <c r="D805" i="169"/>
  <c r="E805" i="169" s="1"/>
  <c r="F805" i="169"/>
  <c r="J805" i="169"/>
  <c r="AK805" i="169" s="1"/>
  <c r="K805" i="169"/>
  <c r="AL805" i="169" s="1"/>
  <c r="L805" i="169"/>
  <c r="AM805" i="169" s="1"/>
  <c r="O805" i="169"/>
  <c r="AO805" i="169" s="1"/>
  <c r="P805" i="169"/>
  <c r="Q805" i="169"/>
  <c r="U805" i="169" s="1"/>
  <c r="AQ805" i="169" s="1"/>
  <c r="W805" i="169"/>
  <c r="A755" i="169"/>
  <c r="B755" i="169"/>
  <c r="D755" i="169"/>
  <c r="E755" i="169" s="1"/>
  <c r="F755" i="169"/>
  <c r="J755" i="169"/>
  <c r="AK755" i="169" s="1"/>
  <c r="K755" i="169"/>
  <c r="AL755" i="169" s="1"/>
  <c r="L755" i="169"/>
  <c r="AM755" i="169" s="1"/>
  <c r="O755" i="169"/>
  <c r="AO755" i="169" s="1"/>
  <c r="P755" i="169"/>
  <c r="Q755" i="169"/>
  <c r="U755" i="169" s="1"/>
  <c r="AQ755" i="169" s="1"/>
  <c r="W755" i="169"/>
  <c r="A756" i="169"/>
  <c r="B756" i="169"/>
  <c r="D756" i="169"/>
  <c r="E756" i="169" s="1"/>
  <c r="F756" i="169"/>
  <c r="J756" i="169"/>
  <c r="AK756" i="169" s="1"/>
  <c r="K756" i="169"/>
  <c r="AL756" i="169" s="1"/>
  <c r="L756" i="169"/>
  <c r="AM756" i="169" s="1"/>
  <c r="O756" i="169"/>
  <c r="AO756" i="169" s="1"/>
  <c r="P756" i="169"/>
  <c r="Q756" i="169"/>
  <c r="U756" i="169" s="1"/>
  <c r="AQ756" i="169" s="1"/>
  <c r="W756" i="169"/>
  <c r="A757" i="169"/>
  <c r="B757" i="169"/>
  <c r="D757" i="169"/>
  <c r="E757" i="169" s="1"/>
  <c r="F757" i="169"/>
  <c r="J757" i="169"/>
  <c r="AK757" i="169" s="1"/>
  <c r="K757" i="169"/>
  <c r="AL757" i="169" s="1"/>
  <c r="L757" i="169"/>
  <c r="AM757" i="169" s="1"/>
  <c r="O757" i="169"/>
  <c r="AO757" i="169" s="1"/>
  <c r="P757" i="169"/>
  <c r="Q757" i="169"/>
  <c r="U757" i="169" s="1"/>
  <c r="AQ757" i="169" s="1"/>
  <c r="W757" i="169"/>
  <c r="A758" i="169"/>
  <c r="B758" i="169"/>
  <c r="D758" i="169"/>
  <c r="E758" i="169" s="1"/>
  <c r="F758" i="169"/>
  <c r="J758" i="169"/>
  <c r="AK758" i="169" s="1"/>
  <c r="K758" i="169"/>
  <c r="AL758" i="169" s="1"/>
  <c r="L758" i="169"/>
  <c r="AM758" i="169" s="1"/>
  <c r="O758" i="169"/>
  <c r="AO758" i="169" s="1"/>
  <c r="P758" i="169"/>
  <c r="Q758" i="169"/>
  <c r="U758" i="169" s="1"/>
  <c r="AQ758" i="169" s="1"/>
  <c r="W758" i="169"/>
  <c r="A759" i="169"/>
  <c r="B759" i="169"/>
  <c r="D759" i="169"/>
  <c r="E759" i="169" s="1"/>
  <c r="F759" i="169"/>
  <c r="J759" i="169"/>
  <c r="AK759" i="169" s="1"/>
  <c r="K759" i="169"/>
  <c r="AL759" i="169" s="1"/>
  <c r="L759" i="169"/>
  <c r="AM759" i="169" s="1"/>
  <c r="O759" i="169"/>
  <c r="AO759" i="169" s="1"/>
  <c r="P759" i="169"/>
  <c r="Q759" i="169"/>
  <c r="U759" i="169" s="1"/>
  <c r="AQ759" i="169" s="1"/>
  <c r="W759" i="169"/>
  <c r="A760" i="169"/>
  <c r="B760" i="169"/>
  <c r="D760" i="169"/>
  <c r="E760" i="169" s="1"/>
  <c r="F760" i="169"/>
  <c r="J760" i="169"/>
  <c r="AK760" i="169" s="1"/>
  <c r="K760" i="169"/>
  <c r="AL760" i="169" s="1"/>
  <c r="L760" i="169"/>
  <c r="AM760" i="169" s="1"/>
  <c r="O760" i="169"/>
  <c r="AO760" i="169" s="1"/>
  <c r="P760" i="169"/>
  <c r="Q760" i="169"/>
  <c r="U760" i="169" s="1"/>
  <c r="AQ760" i="169" s="1"/>
  <c r="W760" i="169"/>
  <c r="A761" i="169"/>
  <c r="B761" i="169"/>
  <c r="D761" i="169"/>
  <c r="E761" i="169" s="1"/>
  <c r="F761" i="169"/>
  <c r="J761" i="169"/>
  <c r="AK761" i="169" s="1"/>
  <c r="K761" i="169"/>
  <c r="AL761" i="169" s="1"/>
  <c r="L761" i="169"/>
  <c r="AM761" i="169" s="1"/>
  <c r="O761" i="169"/>
  <c r="AO761" i="169" s="1"/>
  <c r="P761" i="169"/>
  <c r="Q761" i="169"/>
  <c r="U761" i="169" s="1"/>
  <c r="AQ761" i="169" s="1"/>
  <c r="W761" i="169"/>
  <c r="A762" i="169"/>
  <c r="B762" i="169"/>
  <c r="D762" i="169"/>
  <c r="E762" i="169" s="1"/>
  <c r="F762" i="169"/>
  <c r="J762" i="169"/>
  <c r="AK762" i="169" s="1"/>
  <c r="K762" i="169"/>
  <c r="AL762" i="169" s="1"/>
  <c r="L762" i="169"/>
  <c r="AM762" i="169" s="1"/>
  <c r="O762" i="169"/>
  <c r="AO762" i="169" s="1"/>
  <c r="P762" i="169"/>
  <c r="Q762" i="169"/>
  <c r="U762" i="169" s="1"/>
  <c r="AQ762" i="169" s="1"/>
  <c r="W762" i="169"/>
  <c r="A763" i="169"/>
  <c r="B763" i="169"/>
  <c r="D763" i="169"/>
  <c r="E763" i="169" s="1"/>
  <c r="F763" i="169"/>
  <c r="J763" i="169"/>
  <c r="AK763" i="169" s="1"/>
  <c r="K763" i="169"/>
  <c r="AL763" i="169" s="1"/>
  <c r="L763" i="169"/>
  <c r="AM763" i="169" s="1"/>
  <c r="O763" i="169"/>
  <c r="AO763" i="169" s="1"/>
  <c r="P763" i="169"/>
  <c r="Q763" i="169"/>
  <c r="U763" i="169" s="1"/>
  <c r="AQ763" i="169" s="1"/>
  <c r="W763" i="169"/>
  <c r="A764" i="169"/>
  <c r="B764" i="169"/>
  <c r="D764" i="169"/>
  <c r="E764" i="169" s="1"/>
  <c r="F764" i="169"/>
  <c r="J764" i="169"/>
  <c r="AK764" i="169" s="1"/>
  <c r="K764" i="169"/>
  <c r="AL764" i="169" s="1"/>
  <c r="L764" i="169"/>
  <c r="AM764" i="169" s="1"/>
  <c r="O764" i="169"/>
  <c r="AO764" i="169" s="1"/>
  <c r="P764" i="169"/>
  <c r="Q764" i="169"/>
  <c r="U764" i="169" s="1"/>
  <c r="AQ764" i="169" s="1"/>
  <c r="W764" i="169"/>
  <c r="A765" i="169"/>
  <c r="B765" i="169"/>
  <c r="D765" i="169"/>
  <c r="E765" i="169" s="1"/>
  <c r="F765" i="169"/>
  <c r="J765" i="169"/>
  <c r="AK765" i="169" s="1"/>
  <c r="K765" i="169"/>
  <c r="AL765" i="169" s="1"/>
  <c r="L765" i="169"/>
  <c r="AM765" i="169" s="1"/>
  <c r="O765" i="169"/>
  <c r="AO765" i="169" s="1"/>
  <c r="P765" i="169"/>
  <c r="Q765" i="169"/>
  <c r="U765" i="169" s="1"/>
  <c r="AQ765" i="169" s="1"/>
  <c r="W765" i="169"/>
  <c r="A766" i="169"/>
  <c r="B766" i="169"/>
  <c r="D766" i="169"/>
  <c r="E766" i="169" s="1"/>
  <c r="F766" i="169"/>
  <c r="J766" i="169"/>
  <c r="AK766" i="169" s="1"/>
  <c r="K766" i="169"/>
  <c r="AL766" i="169" s="1"/>
  <c r="L766" i="169"/>
  <c r="AM766" i="169" s="1"/>
  <c r="O766" i="169"/>
  <c r="AO766" i="169" s="1"/>
  <c r="P766" i="169"/>
  <c r="Q766" i="169"/>
  <c r="U766" i="169" s="1"/>
  <c r="AQ766" i="169" s="1"/>
  <c r="W766" i="169"/>
  <c r="A767" i="169"/>
  <c r="B767" i="169"/>
  <c r="D767" i="169"/>
  <c r="E767" i="169" s="1"/>
  <c r="F767" i="169"/>
  <c r="J767" i="169"/>
  <c r="AK767" i="169" s="1"/>
  <c r="K767" i="169"/>
  <c r="AL767" i="169" s="1"/>
  <c r="L767" i="169"/>
  <c r="AM767" i="169" s="1"/>
  <c r="O767" i="169"/>
  <c r="AO767" i="169" s="1"/>
  <c r="P767" i="169"/>
  <c r="Q767" i="169"/>
  <c r="U767" i="169" s="1"/>
  <c r="AQ767" i="169" s="1"/>
  <c r="W767" i="169"/>
  <c r="A768" i="169"/>
  <c r="B768" i="169"/>
  <c r="D768" i="169"/>
  <c r="E768" i="169" s="1"/>
  <c r="F768" i="169"/>
  <c r="J768" i="169"/>
  <c r="AK768" i="169" s="1"/>
  <c r="K768" i="169"/>
  <c r="AL768" i="169" s="1"/>
  <c r="L768" i="169"/>
  <c r="AM768" i="169" s="1"/>
  <c r="O768" i="169"/>
  <c r="AO768" i="169" s="1"/>
  <c r="P768" i="169"/>
  <c r="Q768" i="169"/>
  <c r="U768" i="169" s="1"/>
  <c r="AQ768" i="169" s="1"/>
  <c r="W768" i="169"/>
  <c r="A769" i="169"/>
  <c r="B769" i="169"/>
  <c r="D769" i="169"/>
  <c r="E769" i="169" s="1"/>
  <c r="F769" i="169"/>
  <c r="J769" i="169"/>
  <c r="AK769" i="169" s="1"/>
  <c r="K769" i="169"/>
  <c r="AL769" i="169" s="1"/>
  <c r="L769" i="169"/>
  <c r="AM769" i="169" s="1"/>
  <c r="O769" i="169"/>
  <c r="AO769" i="169" s="1"/>
  <c r="P769" i="169"/>
  <c r="Q769" i="169"/>
  <c r="U769" i="169" s="1"/>
  <c r="AQ769" i="169" s="1"/>
  <c r="W769" i="169"/>
  <c r="A770" i="169"/>
  <c r="B770" i="169"/>
  <c r="D770" i="169"/>
  <c r="E770" i="169" s="1"/>
  <c r="F770" i="169"/>
  <c r="J770" i="169"/>
  <c r="AK770" i="169" s="1"/>
  <c r="K770" i="169"/>
  <c r="AL770" i="169" s="1"/>
  <c r="L770" i="169"/>
  <c r="AM770" i="169" s="1"/>
  <c r="O770" i="169"/>
  <c r="AO770" i="169" s="1"/>
  <c r="P770" i="169"/>
  <c r="Q770" i="169"/>
  <c r="U770" i="169" s="1"/>
  <c r="AQ770" i="169" s="1"/>
  <c r="W770" i="169"/>
  <c r="A806" i="169"/>
  <c r="B806" i="169"/>
  <c r="D806" i="169"/>
  <c r="E806" i="169" s="1"/>
  <c r="F806" i="169"/>
  <c r="J806" i="169"/>
  <c r="AK806" i="169" s="1"/>
  <c r="K806" i="169"/>
  <c r="AL806" i="169" s="1"/>
  <c r="L806" i="169"/>
  <c r="AM806" i="169" s="1"/>
  <c r="O806" i="169"/>
  <c r="AO806" i="169" s="1"/>
  <c r="P806" i="169"/>
  <c r="Q806" i="169"/>
  <c r="U806" i="169" s="1"/>
  <c r="AQ806" i="169" s="1"/>
  <c r="W806" i="169"/>
  <c r="A807" i="169"/>
  <c r="B807" i="169"/>
  <c r="D807" i="169"/>
  <c r="E807" i="169" s="1"/>
  <c r="F807" i="169"/>
  <c r="J807" i="169"/>
  <c r="AK807" i="169" s="1"/>
  <c r="K807" i="169"/>
  <c r="AL807" i="169" s="1"/>
  <c r="L807" i="169"/>
  <c r="AM807" i="169" s="1"/>
  <c r="O807" i="169"/>
  <c r="AO807" i="169" s="1"/>
  <c r="P807" i="169"/>
  <c r="Q807" i="169"/>
  <c r="U807" i="169" s="1"/>
  <c r="AQ807" i="169" s="1"/>
  <c r="W807" i="169"/>
  <c r="A808" i="169"/>
  <c r="B808" i="169"/>
  <c r="D808" i="169"/>
  <c r="E808" i="169" s="1"/>
  <c r="F808" i="169"/>
  <c r="J808" i="169"/>
  <c r="AK808" i="169" s="1"/>
  <c r="K808" i="169"/>
  <c r="AL808" i="169" s="1"/>
  <c r="L808" i="169"/>
  <c r="AM808" i="169" s="1"/>
  <c r="O808" i="169"/>
  <c r="AO808" i="169" s="1"/>
  <c r="P808" i="169"/>
  <c r="Q808" i="169"/>
  <c r="S808" i="169" s="1"/>
  <c r="AP808" i="169" s="1"/>
  <c r="W808" i="169"/>
  <c r="A809" i="169"/>
  <c r="B809" i="169"/>
  <c r="D809" i="169"/>
  <c r="E809" i="169" s="1"/>
  <c r="F809" i="169"/>
  <c r="J809" i="169"/>
  <c r="AK809" i="169" s="1"/>
  <c r="K809" i="169"/>
  <c r="AL809" i="169" s="1"/>
  <c r="L809" i="169"/>
  <c r="AM809" i="169" s="1"/>
  <c r="O809" i="169"/>
  <c r="AO809" i="169" s="1"/>
  <c r="P809" i="169"/>
  <c r="Q809" i="169"/>
  <c r="U809" i="169" s="1"/>
  <c r="AQ809" i="169" s="1"/>
  <c r="W809" i="169"/>
  <c r="A810" i="169"/>
  <c r="B810" i="169"/>
  <c r="D810" i="169"/>
  <c r="E810" i="169" s="1"/>
  <c r="F810" i="169"/>
  <c r="J810" i="169"/>
  <c r="AK810" i="169" s="1"/>
  <c r="K810" i="169"/>
  <c r="AL810" i="169" s="1"/>
  <c r="L810" i="169"/>
  <c r="AM810" i="169" s="1"/>
  <c r="O810" i="169"/>
  <c r="AO810" i="169" s="1"/>
  <c r="P810" i="169"/>
  <c r="Q810" i="169"/>
  <c r="U810" i="169" s="1"/>
  <c r="AQ810" i="169" s="1"/>
  <c r="W810" i="169"/>
  <c r="A811" i="169"/>
  <c r="B811" i="169"/>
  <c r="D811" i="169"/>
  <c r="E811" i="169" s="1"/>
  <c r="F811" i="169"/>
  <c r="J811" i="169"/>
  <c r="AK811" i="169" s="1"/>
  <c r="K811" i="169"/>
  <c r="AL811" i="169" s="1"/>
  <c r="L811" i="169"/>
  <c r="AM811" i="169" s="1"/>
  <c r="O811" i="169"/>
  <c r="AO811" i="169" s="1"/>
  <c r="P811" i="169"/>
  <c r="Q811" i="169"/>
  <c r="U811" i="169" s="1"/>
  <c r="AQ811" i="169" s="1"/>
  <c r="W811" i="169"/>
  <c r="A812" i="169"/>
  <c r="B812" i="169"/>
  <c r="D812" i="169"/>
  <c r="E812" i="169" s="1"/>
  <c r="F812" i="169"/>
  <c r="J812" i="169"/>
  <c r="AK812" i="169" s="1"/>
  <c r="K812" i="169"/>
  <c r="AL812" i="169" s="1"/>
  <c r="L812" i="169"/>
  <c r="AM812" i="169" s="1"/>
  <c r="O812" i="169"/>
  <c r="AO812" i="169" s="1"/>
  <c r="P812" i="169"/>
  <c r="Q812" i="169"/>
  <c r="U812" i="169" s="1"/>
  <c r="AQ812" i="169" s="1"/>
  <c r="W812" i="169"/>
  <c r="A813" i="169"/>
  <c r="B813" i="169"/>
  <c r="D813" i="169"/>
  <c r="E813" i="169" s="1"/>
  <c r="F813" i="169"/>
  <c r="J813" i="169"/>
  <c r="AK813" i="169" s="1"/>
  <c r="K813" i="169"/>
  <c r="AL813" i="169" s="1"/>
  <c r="L813" i="169"/>
  <c r="AM813" i="169" s="1"/>
  <c r="O813" i="169"/>
  <c r="AO813" i="169" s="1"/>
  <c r="P813" i="169"/>
  <c r="Q813" i="169"/>
  <c r="U813" i="169" s="1"/>
  <c r="AQ813" i="169" s="1"/>
  <c r="W813" i="169"/>
  <c r="A814" i="169"/>
  <c r="B814" i="169"/>
  <c r="D814" i="169"/>
  <c r="E814" i="169" s="1"/>
  <c r="F814" i="169"/>
  <c r="J814" i="169"/>
  <c r="AK814" i="169" s="1"/>
  <c r="K814" i="169"/>
  <c r="AL814" i="169" s="1"/>
  <c r="L814" i="169"/>
  <c r="AM814" i="169" s="1"/>
  <c r="O814" i="169"/>
  <c r="AO814" i="169" s="1"/>
  <c r="P814" i="169"/>
  <c r="Q814" i="169"/>
  <c r="U814" i="169" s="1"/>
  <c r="AQ814" i="169" s="1"/>
  <c r="W814" i="169"/>
  <c r="A817" i="169"/>
  <c r="B817" i="169"/>
  <c r="D817" i="169"/>
  <c r="E817" i="169" s="1"/>
  <c r="F817" i="169"/>
  <c r="J817" i="169"/>
  <c r="AK817" i="169" s="1"/>
  <c r="K817" i="169"/>
  <c r="AL817" i="169" s="1"/>
  <c r="L817" i="169"/>
  <c r="AM817" i="169" s="1"/>
  <c r="O817" i="169"/>
  <c r="AO817" i="169" s="1"/>
  <c r="P817" i="169"/>
  <c r="Q817" i="169"/>
  <c r="U817" i="169" s="1"/>
  <c r="AQ817" i="169" s="1"/>
  <c r="W817" i="169"/>
  <c r="A818" i="169"/>
  <c r="B818" i="169"/>
  <c r="D818" i="169"/>
  <c r="E818" i="169" s="1"/>
  <c r="F818" i="169"/>
  <c r="J818" i="169"/>
  <c r="AK818" i="169" s="1"/>
  <c r="K818" i="169"/>
  <c r="AL818" i="169" s="1"/>
  <c r="L818" i="169"/>
  <c r="AM818" i="169" s="1"/>
  <c r="O818" i="169"/>
  <c r="AO818" i="169" s="1"/>
  <c r="P818" i="169"/>
  <c r="Q818" i="169"/>
  <c r="U818" i="169" s="1"/>
  <c r="AQ818" i="169" s="1"/>
  <c r="W818" i="169"/>
  <c r="A861" i="169"/>
  <c r="B861" i="169"/>
  <c r="D861" i="169"/>
  <c r="E861" i="169" s="1"/>
  <c r="F861" i="169"/>
  <c r="J861" i="169"/>
  <c r="AK861" i="169" s="1"/>
  <c r="K861" i="169"/>
  <c r="AL861" i="169" s="1"/>
  <c r="L861" i="169"/>
  <c r="AM861" i="169" s="1"/>
  <c r="O861" i="169"/>
  <c r="AO861" i="169" s="1"/>
  <c r="P861" i="169"/>
  <c r="Q861" i="169"/>
  <c r="U861" i="169" s="1"/>
  <c r="AQ861" i="169" s="1"/>
  <c r="W861" i="169"/>
  <c r="A743" i="169"/>
  <c r="B743" i="169"/>
  <c r="D743" i="169"/>
  <c r="E743" i="169" s="1"/>
  <c r="F743" i="169"/>
  <c r="J743" i="169"/>
  <c r="AK743" i="169" s="1"/>
  <c r="K743" i="169"/>
  <c r="AL743" i="169" s="1"/>
  <c r="L743" i="169"/>
  <c r="AM743" i="169" s="1"/>
  <c r="O743" i="169"/>
  <c r="AO743" i="169" s="1"/>
  <c r="P743" i="169"/>
  <c r="Q743" i="169"/>
  <c r="U743" i="169" s="1"/>
  <c r="AQ743" i="169" s="1"/>
  <c r="W743" i="169"/>
  <c r="A740" i="169"/>
  <c r="B740" i="169"/>
  <c r="D740" i="169"/>
  <c r="E740" i="169" s="1"/>
  <c r="F740" i="169"/>
  <c r="J740" i="169"/>
  <c r="AK740" i="169" s="1"/>
  <c r="K740" i="169"/>
  <c r="AL740" i="169" s="1"/>
  <c r="L740" i="169"/>
  <c r="AM740" i="169" s="1"/>
  <c r="O740" i="169"/>
  <c r="AO740" i="169" s="1"/>
  <c r="P740" i="169"/>
  <c r="Q740" i="169"/>
  <c r="U740" i="169" s="1"/>
  <c r="AQ740" i="169" s="1"/>
  <c r="W740" i="169"/>
  <c r="A741" i="169"/>
  <c r="B741" i="169"/>
  <c r="D741" i="169"/>
  <c r="E741" i="169" s="1"/>
  <c r="F741" i="169"/>
  <c r="J741" i="169"/>
  <c r="AK741" i="169" s="1"/>
  <c r="K741" i="169"/>
  <c r="AL741" i="169" s="1"/>
  <c r="L741" i="169"/>
  <c r="AM741" i="169" s="1"/>
  <c r="O741" i="169"/>
  <c r="AO741" i="169" s="1"/>
  <c r="P741" i="169"/>
  <c r="Q741" i="169"/>
  <c r="U741" i="169" s="1"/>
  <c r="AQ741" i="169" s="1"/>
  <c r="W741" i="169"/>
  <c r="A742" i="169"/>
  <c r="B742" i="169"/>
  <c r="D742" i="169"/>
  <c r="E742" i="169" s="1"/>
  <c r="F742" i="169"/>
  <c r="J742" i="169"/>
  <c r="AK742" i="169" s="1"/>
  <c r="K742" i="169"/>
  <c r="AL742" i="169" s="1"/>
  <c r="L742" i="169"/>
  <c r="AM742" i="169" s="1"/>
  <c r="O742" i="169"/>
  <c r="AO742" i="169" s="1"/>
  <c r="P742" i="169"/>
  <c r="Q742" i="169"/>
  <c r="U742" i="169" s="1"/>
  <c r="AQ742" i="169" s="1"/>
  <c r="W742" i="169"/>
  <c r="A744" i="169"/>
  <c r="B744" i="169"/>
  <c r="D744" i="169"/>
  <c r="E744" i="169" s="1"/>
  <c r="F744" i="169"/>
  <c r="J744" i="169"/>
  <c r="AK744" i="169" s="1"/>
  <c r="K744" i="169"/>
  <c r="AL744" i="169" s="1"/>
  <c r="L744" i="169"/>
  <c r="AM744" i="169" s="1"/>
  <c r="O744" i="169"/>
  <c r="AO744" i="169" s="1"/>
  <c r="P744" i="169"/>
  <c r="Q744" i="169"/>
  <c r="U744" i="169" s="1"/>
  <c r="AQ744" i="169" s="1"/>
  <c r="W744" i="169"/>
  <c r="A745" i="169"/>
  <c r="B745" i="169"/>
  <c r="D745" i="169"/>
  <c r="E745" i="169" s="1"/>
  <c r="F745" i="169"/>
  <c r="J745" i="169"/>
  <c r="AK745" i="169" s="1"/>
  <c r="K745" i="169"/>
  <c r="AL745" i="169" s="1"/>
  <c r="L745" i="169"/>
  <c r="AM745" i="169" s="1"/>
  <c r="O745" i="169"/>
  <c r="AO745" i="169" s="1"/>
  <c r="P745" i="169"/>
  <c r="Q745" i="169"/>
  <c r="U745" i="169" s="1"/>
  <c r="AQ745" i="169" s="1"/>
  <c r="W745" i="169"/>
  <c r="A746" i="169"/>
  <c r="B746" i="169"/>
  <c r="D746" i="169"/>
  <c r="E746" i="169" s="1"/>
  <c r="F746" i="169"/>
  <c r="J746" i="169"/>
  <c r="AK746" i="169" s="1"/>
  <c r="K746" i="169"/>
  <c r="AL746" i="169" s="1"/>
  <c r="L746" i="169"/>
  <c r="AM746" i="169" s="1"/>
  <c r="O746" i="169"/>
  <c r="AO746" i="169" s="1"/>
  <c r="P746" i="169"/>
  <c r="Q746" i="169"/>
  <c r="U746" i="169" s="1"/>
  <c r="AQ746" i="169" s="1"/>
  <c r="W746" i="169"/>
  <c r="A747" i="169"/>
  <c r="B747" i="169"/>
  <c r="D747" i="169"/>
  <c r="E747" i="169" s="1"/>
  <c r="F747" i="169"/>
  <c r="J747" i="169"/>
  <c r="AK747" i="169" s="1"/>
  <c r="K747" i="169"/>
  <c r="AL747" i="169" s="1"/>
  <c r="L747" i="169"/>
  <c r="AM747" i="169" s="1"/>
  <c r="O747" i="169"/>
  <c r="AO747" i="169" s="1"/>
  <c r="P747" i="169"/>
  <c r="Q747" i="169"/>
  <c r="U747" i="169" s="1"/>
  <c r="AQ747" i="169" s="1"/>
  <c r="W747" i="169"/>
  <c r="A748" i="169"/>
  <c r="B748" i="169"/>
  <c r="D748" i="169"/>
  <c r="E748" i="169" s="1"/>
  <c r="F748" i="169"/>
  <c r="J748" i="169"/>
  <c r="AK748" i="169" s="1"/>
  <c r="K748" i="169"/>
  <c r="AL748" i="169" s="1"/>
  <c r="L748" i="169"/>
  <c r="AM748" i="169" s="1"/>
  <c r="O748" i="169"/>
  <c r="AO748" i="169" s="1"/>
  <c r="P748" i="169"/>
  <c r="Q748" i="169"/>
  <c r="U748" i="169" s="1"/>
  <c r="AQ748" i="169" s="1"/>
  <c r="W748" i="169"/>
  <c r="A749" i="169"/>
  <c r="B749" i="169"/>
  <c r="D749" i="169"/>
  <c r="E749" i="169" s="1"/>
  <c r="F749" i="169"/>
  <c r="J749" i="169"/>
  <c r="AK749" i="169" s="1"/>
  <c r="K749" i="169"/>
  <c r="AL749" i="169" s="1"/>
  <c r="L749" i="169"/>
  <c r="AM749" i="169" s="1"/>
  <c r="O749" i="169"/>
  <c r="AO749" i="169" s="1"/>
  <c r="P749" i="169"/>
  <c r="Q749" i="169"/>
  <c r="U749" i="169" s="1"/>
  <c r="AQ749" i="169" s="1"/>
  <c r="W749" i="169"/>
  <c r="A750" i="169"/>
  <c r="B750" i="169"/>
  <c r="D750" i="169"/>
  <c r="E750" i="169" s="1"/>
  <c r="F750" i="169"/>
  <c r="J750" i="169"/>
  <c r="AK750" i="169" s="1"/>
  <c r="K750" i="169"/>
  <c r="AL750" i="169" s="1"/>
  <c r="L750" i="169"/>
  <c r="AM750" i="169" s="1"/>
  <c r="O750" i="169"/>
  <c r="AO750" i="169" s="1"/>
  <c r="P750" i="169"/>
  <c r="Q750" i="169"/>
  <c r="U750" i="169" s="1"/>
  <c r="AQ750" i="169" s="1"/>
  <c r="W750" i="169"/>
  <c r="A751" i="169"/>
  <c r="B751" i="169"/>
  <c r="D751" i="169"/>
  <c r="E751" i="169" s="1"/>
  <c r="F751" i="169"/>
  <c r="J751" i="169"/>
  <c r="AK751" i="169" s="1"/>
  <c r="K751" i="169"/>
  <c r="AL751" i="169" s="1"/>
  <c r="L751" i="169"/>
  <c r="AM751" i="169" s="1"/>
  <c r="O751" i="169"/>
  <c r="AO751" i="169" s="1"/>
  <c r="P751" i="169"/>
  <c r="Q751" i="169"/>
  <c r="U751" i="169" s="1"/>
  <c r="AQ751" i="169" s="1"/>
  <c r="W751" i="169"/>
  <c r="A752" i="169"/>
  <c r="B752" i="169"/>
  <c r="D752" i="169"/>
  <c r="E752" i="169" s="1"/>
  <c r="F752" i="169"/>
  <c r="J752" i="169"/>
  <c r="AK752" i="169" s="1"/>
  <c r="K752" i="169"/>
  <c r="AL752" i="169" s="1"/>
  <c r="L752" i="169"/>
  <c r="AM752" i="169" s="1"/>
  <c r="O752" i="169"/>
  <c r="AO752" i="169" s="1"/>
  <c r="P752" i="169"/>
  <c r="Q752" i="169"/>
  <c r="U752" i="169" s="1"/>
  <c r="AQ752" i="169" s="1"/>
  <c r="W752" i="169"/>
  <c r="A753" i="169"/>
  <c r="B753" i="169"/>
  <c r="D753" i="169"/>
  <c r="E753" i="169" s="1"/>
  <c r="F753" i="169"/>
  <c r="J753" i="169"/>
  <c r="AK753" i="169" s="1"/>
  <c r="K753" i="169"/>
  <c r="AL753" i="169" s="1"/>
  <c r="L753" i="169"/>
  <c r="AM753" i="169" s="1"/>
  <c r="O753" i="169"/>
  <c r="AO753" i="169" s="1"/>
  <c r="P753" i="169"/>
  <c r="Q753" i="169"/>
  <c r="U753" i="169" s="1"/>
  <c r="AQ753" i="169" s="1"/>
  <c r="W753" i="169"/>
  <c r="A754" i="169"/>
  <c r="B754" i="169"/>
  <c r="D754" i="169"/>
  <c r="E754" i="169" s="1"/>
  <c r="F754" i="169"/>
  <c r="J754" i="169"/>
  <c r="AK754" i="169" s="1"/>
  <c r="K754" i="169"/>
  <c r="AL754" i="169" s="1"/>
  <c r="L754" i="169"/>
  <c r="AM754" i="169" s="1"/>
  <c r="O754" i="169"/>
  <c r="AO754" i="169" s="1"/>
  <c r="P754" i="169"/>
  <c r="Q754" i="169"/>
  <c r="U754" i="169" s="1"/>
  <c r="AQ754" i="169" s="1"/>
  <c r="W754" i="169"/>
  <c r="A716" i="169"/>
  <c r="B716" i="169"/>
  <c r="D716" i="169"/>
  <c r="E716" i="169" s="1"/>
  <c r="F716" i="169"/>
  <c r="J716" i="169"/>
  <c r="AK716" i="169" s="1"/>
  <c r="K716" i="169"/>
  <c r="AL716" i="169" s="1"/>
  <c r="L716" i="169"/>
  <c r="AM716" i="169" s="1"/>
  <c r="O716" i="169"/>
  <c r="AO716" i="169" s="1"/>
  <c r="P716" i="169"/>
  <c r="Q716" i="169"/>
  <c r="U716" i="169" s="1"/>
  <c r="AQ716" i="169" s="1"/>
  <c r="W716" i="169"/>
  <c r="A714" i="169"/>
  <c r="B714" i="169"/>
  <c r="D714" i="169"/>
  <c r="E714" i="169" s="1"/>
  <c r="F714" i="169"/>
  <c r="J714" i="169"/>
  <c r="AK714" i="169" s="1"/>
  <c r="K714" i="169"/>
  <c r="AL714" i="169" s="1"/>
  <c r="L714" i="169"/>
  <c r="AM714" i="169" s="1"/>
  <c r="O714" i="169"/>
  <c r="AO714" i="169" s="1"/>
  <c r="P714" i="169"/>
  <c r="Q714" i="169"/>
  <c r="U714" i="169" s="1"/>
  <c r="AQ714" i="169" s="1"/>
  <c r="W714" i="169"/>
  <c r="A715" i="169"/>
  <c r="B715" i="169"/>
  <c r="D715" i="169"/>
  <c r="E715" i="169" s="1"/>
  <c r="F715" i="169"/>
  <c r="J715" i="169"/>
  <c r="AK715" i="169" s="1"/>
  <c r="K715" i="169"/>
  <c r="AL715" i="169" s="1"/>
  <c r="L715" i="169"/>
  <c r="AM715" i="169" s="1"/>
  <c r="O715" i="169"/>
  <c r="AO715" i="169" s="1"/>
  <c r="P715" i="169"/>
  <c r="Q715" i="169"/>
  <c r="U715" i="169" s="1"/>
  <c r="AQ715" i="169" s="1"/>
  <c r="W715" i="169"/>
  <c r="A718" i="169"/>
  <c r="B718" i="169"/>
  <c r="D718" i="169"/>
  <c r="E718" i="169" s="1"/>
  <c r="F718" i="169"/>
  <c r="J718" i="169"/>
  <c r="AK718" i="169" s="1"/>
  <c r="K718" i="169"/>
  <c r="AL718" i="169" s="1"/>
  <c r="L718" i="169"/>
  <c r="AM718" i="169" s="1"/>
  <c r="O718" i="169"/>
  <c r="AO718" i="169" s="1"/>
  <c r="P718" i="169"/>
  <c r="Q718" i="169"/>
  <c r="U718" i="169" s="1"/>
  <c r="AQ718" i="169" s="1"/>
  <c r="W718" i="169"/>
  <c r="A719" i="169"/>
  <c r="B719" i="169"/>
  <c r="D719" i="169"/>
  <c r="E719" i="169" s="1"/>
  <c r="F719" i="169"/>
  <c r="J719" i="169"/>
  <c r="AK719" i="169" s="1"/>
  <c r="K719" i="169"/>
  <c r="AL719" i="169" s="1"/>
  <c r="L719" i="169"/>
  <c r="AM719" i="169" s="1"/>
  <c r="O719" i="169"/>
  <c r="AO719" i="169" s="1"/>
  <c r="P719" i="169"/>
  <c r="Q719" i="169"/>
  <c r="U719" i="169" s="1"/>
  <c r="AQ719" i="169" s="1"/>
  <c r="W719" i="169"/>
  <c r="A720" i="169"/>
  <c r="B720" i="169"/>
  <c r="D720" i="169"/>
  <c r="E720" i="169" s="1"/>
  <c r="F720" i="169"/>
  <c r="J720" i="169"/>
  <c r="AK720" i="169" s="1"/>
  <c r="K720" i="169"/>
  <c r="AL720" i="169" s="1"/>
  <c r="L720" i="169"/>
  <c r="AM720" i="169" s="1"/>
  <c r="O720" i="169"/>
  <c r="AO720" i="169" s="1"/>
  <c r="P720" i="169"/>
  <c r="Q720" i="169"/>
  <c r="U720" i="169" s="1"/>
  <c r="AQ720" i="169" s="1"/>
  <c r="W720" i="169"/>
  <c r="A721" i="169"/>
  <c r="B721" i="169"/>
  <c r="D721" i="169"/>
  <c r="E721" i="169" s="1"/>
  <c r="F721" i="169"/>
  <c r="J721" i="169"/>
  <c r="AK721" i="169" s="1"/>
  <c r="K721" i="169"/>
  <c r="AL721" i="169" s="1"/>
  <c r="L721" i="169"/>
  <c r="AM721" i="169" s="1"/>
  <c r="O721" i="169"/>
  <c r="AO721" i="169" s="1"/>
  <c r="P721" i="169"/>
  <c r="Q721" i="169"/>
  <c r="U721" i="169" s="1"/>
  <c r="AQ721" i="169" s="1"/>
  <c r="W721" i="169"/>
  <c r="A722" i="169"/>
  <c r="B722" i="169"/>
  <c r="D722" i="169"/>
  <c r="E722" i="169" s="1"/>
  <c r="F722" i="169"/>
  <c r="J722" i="169"/>
  <c r="AK722" i="169" s="1"/>
  <c r="K722" i="169"/>
  <c r="AL722" i="169" s="1"/>
  <c r="L722" i="169"/>
  <c r="AM722" i="169" s="1"/>
  <c r="O722" i="169"/>
  <c r="AO722" i="169" s="1"/>
  <c r="P722" i="169"/>
  <c r="Q722" i="169"/>
  <c r="U722" i="169" s="1"/>
  <c r="AQ722" i="169" s="1"/>
  <c r="W722" i="169"/>
  <c r="A723" i="169"/>
  <c r="B723" i="169"/>
  <c r="D723" i="169"/>
  <c r="E723" i="169" s="1"/>
  <c r="F723" i="169"/>
  <c r="J723" i="169"/>
  <c r="AK723" i="169" s="1"/>
  <c r="K723" i="169"/>
  <c r="AL723" i="169" s="1"/>
  <c r="L723" i="169"/>
  <c r="AM723" i="169" s="1"/>
  <c r="O723" i="169"/>
  <c r="AO723" i="169" s="1"/>
  <c r="P723" i="169"/>
  <c r="Q723" i="169"/>
  <c r="U723" i="169" s="1"/>
  <c r="AQ723" i="169" s="1"/>
  <c r="W723" i="169"/>
  <c r="A724" i="169"/>
  <c r="B724" i="169"/>
  <c r="D724" i="169"/>
  <c r="E724" i="169" s="1"/>
  <c r="F724" i="169"/>
  <c r="J724" i="169"/>
  <c r="AK724" i="169" s="1"/>
  <c r="K724" i="169"/>
  <c r="AL724" i="169" s="1"/>
  <c r="L724" i="169"/>
  <c r="AM724" i="169" s="1"/>
  <c r="O724" i="169"/>
  <c r="AO724" i="169" s="1"/>
  <c r="P724" i="169"/>
  <c r="Q724" i="169"/>
  <c r="U724" i="169" s="1"/>
  <c r="AQ724" i="169" s="1"/>
  <c r="W724" i="169"/>
  <c r="A704" i="169"/>
  <c r="B704" i="169"/>
  <c r="D704" i="169"/>
  <c r="E704" i="169" s="1"/>
  <c r="F704" i="169"/>
  <c r="J704" i="169"/>
  <c r="AK704" i="169" s="1"/>
  <c r="K704" i="169"/>
  <c r="AL704" i="169" s="1"/>
  <c r="L704" i="169"/>
  <c r="AM704" i="169" s="1"/>
  <c r="O704" i="169"/>
  <c r="AO704" i="169" s="1"/>
  <c r="P704" i="169"/>
  <c r="Q704" i="169"/>
  <c r="U704" i="169" s="1"/>
  <c r="AQ704" i="169" s="1"/>
  <c r="W704" i="169"/>
  <c r="A705" i="169"/>
  <c r="B705" i="169"/>
  <c r="D705" i="169"/>
  <c r="E705" i="169" s="1"/>
  <c r="F705" i="169"/>
  <c r="J705" i="169"/>
  <c r="AK705" i="169" s="1"/>
  <c r="K705" i="169"/>
  <c r="AL705" i="169" s="1"/>
  <c r="L705" i="169"/>
  <c r="AM705" i="169" s="1"/>
  <c r="O705" i="169"/>
  <c r="AO705" i="169" s="1"/>
  <c r="P705" i="169"/>
  <c r="Q705" i="169"/>
  <c r="U705" i="169" s="1"/>
  <c r="AQ705" i="169" s="1"/>
  <c r="W705" i="169"/>
  <c r="A706" i="169"/>
  <c r="B706" i="169"/>
  <c r="D706" i="169"/>
  <c r="E706" i="169" s="1"/>
  <c r="F706" i="169"/>
  <c r="J706" i="169"/>
  <c r="AK706" i="169" s="1"/>
  <c r="K706" i="169"/>
  <c r="AL706" i="169" s="1"/>
  <c r="L706" i="169"/>
  <c r="AM706" i="169" s="1"/>
  <c r="O706" i="169"/>
  <c r="AO706" i="169" s="1"/>
  <c r="P706" i="169"/>
  <c r="Q706" i="169"/>
  <c r="U706" i="169" s="1"/>
  <c r="AQ706" i="169" s="1"/>
  <c r="W706" i="169"/>
  <c r="A707" i="169"/>
  <c r="B707" i="169"/>
  <c r="D707" i="169"/>
  <c r="E707" i="169" s="1"/>
  <c r="F707" i="169"/>
  <c r="J707" i="169"/>
  <c r="AK707" i="169" s="1"/>
  <c r="K707" i="169"/>
  <c r="AL707" i="169" s="1"/>
  <c r="L707" i="169"/>
  <c r="AM707" i="169" s="1"/>
  <c r="O707" i="169"/>
  <c r="AO707" i="169" s="1"/>
  <c r="P707" i="169"/>
  <c r="Q707" i="169"/>
  <c r="U707" i="169" s="1"/>
  <c r="AQ707" i="169" s="1"/>
  <c r="W707" i="169"/>
  <c r="A708" i="169"/>
  <c r="B708" i="169"/>
  <c r="D708" i="169"/>
  <c r="E708" i="169" s="1"/>
  <c r="F708" i="169"/>
  <c r="J708" i="169"/>
  <c r="AK708" i="169" s="1"/>
  <c r="K708" i="169"/>
  <c r="AL708" i="169" s="1"/>
  <c r="L708" i="169"/>
  <c r="AM708" i="169" s="1"/>
  <c r="O708" i="169"/>
  <c r="AO708" i="169" s="1"/>
  <c r="P708" i="169"/>
  <c r="Q708" i="169"/>
  <c r="U708" i="169" s="1"/>
  <c r="AQ708" i="169" s="1"/>
  <c r="W708" i="169"/>
  <c r="A709" i="169"/>
  <c r="B709" i="169"/>
  <c r="D709" i="169"/>
  <c r="E709" i="169" s="1"/>
  <c r="F709" i="169"/>
  <c r="J709" i="169"/>
  <c r="AK709" i="169" s="1"/>
  <c r="K709" i="169"/>
  <c r="AL709" i="169" s="1"/>
  <c r="L709" i="169"/>
  <c r="AM709" i="169" s="1"/>
  <c r="O709" i="169"/>
  <c r="AO709" i="169" s="1"/>
  <c r="P709" i="169"/>
  <c r="Q709" i="169"/>
  <c r="U709" i="169" s="1"/>
  <c r="AQ709" i="169" s="1"/>
  <c r="W709" i="169"/>
  <c r="A710" i="169"/>
  <c r="B710" i="169"/>
  <c r="D710" i="169"/>
  <c r="E710" i="169" s="1"/>
  <c r="F710" i="169"/>
  <c r="J710" i="169"/>
  <c r="AK710" i="169" s="1"/>
  <c r="K710" i="169"/>
  <c r="AL710" i="169" s="1"/>
  <c r="L710" i="169"/>
  <c r="AM710" i="169" s="1"/>
  <c r="O710" i="169"/>
  <c r="AO710" i="169" s="1"/>
  <c r="P710" i="169"/>
  <c r="Q710" i="169"/>
  <c r="U710" i="169" s="1"/>
  <c r="AQ710" i="169" s="1"/>
  <c r="W710" i="169"/>
  <c r="A711" i="169"/>
  <c r="B711" i="169"/>
  <c r="D711" i="169"/>
  <c r="E711" i="169" s="1"/>
  <c r="F711" i="169"/>
  <c r="J711" i="169"/>
  <c r="AK711" i="169" s="1"/>
  <c r="K711" i="169"/>
  <c r="AL711" i="169" s="1"/>
  <c r="L711" i="169"/>
  <c r="AM711" i="169" s="1"/>
  <c r="O711" i="169"/>
  <c r="AO711" i="169" s="1"/>
  <c r="P711" i="169"/>
  <c r="Q711" i="169"/>
  <c r="U711" i="169" s="1"/>
  <c r="AQ711" i="169" s="1"/>
  <c r="W711" i="169"/>
  <c r="A712" i="169"/>
  <c r="B712" i="169"/>
  <c r="D712" i="169"/>
  <c r="E712" i="169" s="1"/>
  <c r="F712" i="169"/>
  <c r="J712" i="169"/>
  <c r="AK712" i="169" s="1"/>
  <c r="K712" i="169"/>
  <c r="AL712" i="169" s="1"/>
  <c r="L712" i="169"/>
  <c r="AM712" i="169" s="1"/>
  <c r="O712" i="169"/>
  <c r="AO712" i="169" s="1"/>
  <c r="P712" i="169"/>
  <c r="Q712" i="169"/>
  <c r="U712" i="169" s="1"/>
  <c r="AQ712" i="169" s="1"/>
  <c r="W712" i="169"/>
  <c r="A713" i="169"/>
  <c r="B713" i="169"/>
  <c r="D713" i="169"/>
  <c r="E713" i="169" s="1"/>
  <c r="F713" i="169"/>
  <c r="J713" i="169"/>
  <c r="AK713" i="169" s="1"/>
  <c r="K713" i="169"/>
  <c r="AL713" i="169" s="1"/>
  <c r="L713" i="169"/>
  <c r="AM713" i="169" s="1"/>
  <c r="O713" i="169"/>
  <c r="AO713" i="169" s="1"/>
  <c r="P713" i="169"/>
  <c r="Q713" i="169"/>
  <c r="U713" i="169" s="1"/>
  <c r="AQ713" i="169" s="1"/>
  <c r="W713" i="169"/>
  <c r="A717" i="169"/>
  <c r="B717" i="169"/>
  <c r="D717" i="169"/>
  <c r="E717" i="169" s="1"/>
  <c r="F717" i="169"/>
  <c r="J717" i="169"/>
  <c r="AK717" i="169" s="1"/>
  <c r="K717" i="169"/>
  <c r="AL717" i="169" s="1"/>
  <c r="L717" i="169"/>
  <c r="AM717" i="169" s="1"/>
  <c r="O717" i="169"/>
  <c r="AO717" i="169" s="1"/>
  <c r="P717" i="169"/>
  <c r="Q717" i="169"/>
  <c r="U717" i="169" s="1"/>
  <c r="AQ717" i="169" s="1"/>
  <c r="W717" i="169"/>
  <c r="A725" i="169"/>
  <c r="B725" i="169"/>
  <c r="D725" i="169"/>
  <c r="E725" i="169" s="1"/>
  <c r="F725" i="169"/>
  <c r="J725" i="169"/>
  <c r="AK725" i="169" s="1"/>
  <c r="K725" i="169"/>
  <c r="AL725" i="169" s="1"/>
  <c r="L725" i="169"/>
  <c r="AM725" i="169" s="1"/>
  <c r="O725" i="169"/>
  <c r="AO725" i="169" s="1"/>
  <c r="P725" i="169"/>
  <c r="Q725" i="169"/>
  <c r="U725" i="169" s="1"/>
  <c r="AQ725" i="169" s="1"/>
  <c r="W725" i="169"/>
  <c r="A726" i="169"/>
  <c r="B726" i="169"/>
  <c r="D726" i="169"/>
  <c r="E726" i="169" s="1"/>
  <c r="F726" i="169"/>
  <c r="J726" i="169"/>
  <c r="AK726" i="169" s="1"/>
  <c r="K726" i="169"/>
  <c r="AL726" i="169" s="1"/>
  <c r="L726" i="169"/>
  <c r="AM726" i="169" s="1"/>
  <c r="O726" i="169"/>
  <c r="AO726" i="169" s="1"/>
  <c r="P726" i="169"/>
  <c r="Q726" i="169"/>
  <c r="U726" i="169" s="1"/>
  <c r="AQ726" i="169" s="1"/>
  <c r="W726" i="169"/>
  <c r="A727" i="169"/>
  <c r="B727" i="169"/>
  <c r="D727" i="169"/>
  <c r="E727" i="169" s="1"/>
  <c r="F727" i="169"/>
  <c r="J727" i="169"/>
  <c r="AK727" i="169" s="1"/>
  <c r="K727" i="169"/>
  <c r="AL727" i="169" s="1"/>
  <c r="L727" i="169"/>
  <c r="AM727" i="169" s="1"/>
  <c r="O727" i="169"/>
  <c r="AO727" i="169" s="1"/>
  <c r="P727" i="169"/>
  <c r="Q727" i="169"/>
  <c r="U727" i="169" s="1"/>
  <c r="AQ727" i="169" s="1"/>
  <c r="W727" i="169"/>
  <c r="A728" i="169"/>
  <c r="B728" i="169"/>
  <c r="D728" i="169"/>
  <c r="E728" i="169" s="1"/>
  <c r="F728" i="169"/>
  <c r="J728" i="169"/>
  <c r="AK728" i="169" s="1"/>
  <c r="K728" i="169"/>
  <c r="AL728" i="169" s="1"/>
  <c r="L728" i="169"/>
  <c r="AM728" i="169" s="1"/>
  <c r="O728" i="169"/>
  <c r="AO728" i="169" s="1"/>
  <c r="P728" i="169"/>
  <c r="Q728" i="169"/>
  <c r="U728" i="169" s="1"/>
  <c r="AQ728" i="169" s="1"/>
  <c r="W728" i="169"/>
  <c r="A729" i="169"/>
  <c r="B729" i="169"/>
  <c r="D729" i="169"/>
  <c r="E729" i="169" s="1"/>
  <c r="F729" i="169"/>
  <c r="J729" i="169"/>
  <c r="AK729" i="169" s="1"/>
  <c r="K729" i="169"/>
  <c r="AL729" i="169" s="1"/>
  <c r="L729" i="169"/>
  <c r="AM729" i="169" s="1"/>
  <c r="O729" i="169"/>
  <c r="AO729" i="169" s="1"/>
  <c r="P729" i="169"/>
  <c r="Q729" i="169"/>
  <c r="U729" i="169" s="1"/>
  <c r="AQ729" i="169" s="1"/>
  <c r="W729" i="169"/>
  <c r="A730" i="169"/>
  <c r="B730" i="169"/>
  <c r="D730" i="169"/>
  <c r="E730" i="169" s="1"/>
  <c r="F730" i="169"/>
  <c r="J730" i="169"/>
  <c r="AK730" i="169" s="1"/>
  <c r="K730" i="169"/>
  <c r="AL730" i="169" s="1"/>
  <c r="L730" i="169"/>
  <c r="AM730" i="169" s="1"/>
  <c r="O730" i="169"/>
  <c r="AO730" i="169" s="1"/>
  <c r="P730" i="169"/>
  <c r="Q730" i="169"/>
  <c r="U730" i="169" s="1"/>
  <c r="AQ730" i="169" s="1"/>
  <c r="W730" i="169"/>
  <c r="A731" i="169"/>
  <c r="B731" i="169"/>
  <c r="D731" i="169"/>
  <c r="E731" i="169" s="1"/>
  <c r="F731" i="169"/>
  <c r="J731" i="169"/>
  <c r="AK731" i="169" s="1"/>
  <c r="K731" i="169"/>
  <c r="AL731" i="169" s="1"/>
  <c r="L731" i="169"/>
  <c r="AM731" i="169" s="1"/>
  <c r="O731" i="169"/>
  <c r="AO731" i="169" s="1"/>
  <c r="P731" i="169"/>
  <c r="Q731" i="169"/>
  <c r="U731" i="169" s="1"/>
  <c r="AQ731" i="169" s="1"/>
  <c r="W731" i="169"/>
  <c r="A732" i="169"/>
  <c r="B732" i="169"/>
  <c r="D732" i="169"/>
  <c r="E732" i="169" s="1"/>
  <c r="F732" i="169"/>
  <c r="J732" i="169"/>
  <c r="AK732" i="169" s="1"/>
  <c r="K732" i="169"/>
  <c r="AL732" i="169" s="1"/>
  <c r="L732" i="169"/>
  <c r="AM732" i="169" s="1"/>
  <c r="O732" i="169"/>
  <c r="AO732" i="169" s="1"/>
  <c r="P732" i="169"/>
  <c r="Q732" i="169"/>
  <c r="U732" i="169" s="1"/>
  <c r="AQ732" i="169" s="1"/>
  <c r="W732" i="169"/>
  <c r="A684" i="169"/>
  <c r="B684" i="169"/>
  <c r="D684" i="169"/>
  <c r="E684" i="169" s="1"/>
  <c r="F684" i="169"/>
  <c r="J684" i="169"/>
  <c r="AK684" i="169" s="1"/>
  <c r="K684" i="169"/>
  <c r="AL684" i="169" s="1"/>
  <c r="L684" i="169"/>
  <c r="AM684" i="169" s="1"/>
  <c r="O684" i="169"/>
  <c r="AO684" i="169" s="1"/>
  <c r="P684" i="169"/>
  <c r="Q684" i="169"/>
  <c r="U684" i="169" s="1"/>
  <c r="AQ684" i="169" s="1"/>
  <c r="W684" i="169"/>
  <c r="A685" i="169"/>
  <c r="B685" i="169"/>
  <c r="D685" i="169"/>
  <c r="E685" i="169" s="1"/>
  <c r="F685" i="169"/>
  <c r="J685" i="169"/>
  <c r="AK685" i="169" s="1"/>
  <c r="K685" i="169"/>
  <c r="AL685" i="169" s="1"/>
  <c r="L685" i="169"/>
  <c r="AM685" i="169" s="1"/>
  <c r="O685" i="169"/>
  <c r="AO685" i="169" s="1"/>
  <c r="P685" i="169"/>
  <c r="Q685" i="169"/>
  <c r="U685" i="169" s="1"/>
  <c r="AQ685" i="169" s="1"/>
  <c r="W685" i="169"/>
  <c r="A686" i="169"/>
  <c r="B686" i="169"/>
  <c r="D686" i="169"/>
  <c r="E686" i="169" s="1"/>
  <c r="F686" i="169"/>
  <c r="J686" i="169"/>
  <c r="AK686" i="169" s="1"/>
  <c r="K686" i="169"/>
  <c r="AL686" i="169" s="1"/>
  <c r="L686" i="169"/>
  <c r="AM686" i="169" s="1"/>
  <c r="O686" i="169"/>
  <c r="AO686" i="169" s="1"/>
  <c r="P686" i="169"/>
  <c r="Q686" i="169"/>
  <c r="U686" i="169" s="1"/>
  <c r="AQ686" i="169" s="1"/>
  <c r="W686" i="169"/>
  <c r="A687" i="169"/>
  <c r="B687" i="169"/>
  <c r="D687" i="169"/>
  <c r="E687" i="169" s="1"/>
  <c r="F687" i="169"/>
  <c r="J687" i="169"/>
  <c r="AK687" i="169" s="1"/>
  <c r="K687" i="169"/>
  <c r="AL687" i="169" s="1"/>
  <c r="L687" i="169"/>
  <c r="AM687" i="169" s="1"/>
  <c r="O687" i="169"/>
  <c r="AO687" i="169" s="1"/>
  <c r="P687" i="169"/>
  <c r="Q687" i="169"/>
  <c r="U687" i="169" s="1"/>
  <c r="AQ687" i="169" s="1"/>
  <c r="W687" i="169"/>
  <c r="A688" i="169"/>
  <c r="B688" i="169"/>
  <c r="D688" i="169"/>
  <c r="E688" i="169" s="1"/>
  <c r="F688" i="169"/>
  <c r="J688" i="169"/>
  <c r="AK688" i="169" s="1"/>
  <c r="K688" i="169"/>
  <c r="AL688" i="169" s="1"/>
  <c r="L688" i="169"/>
  <c r="AM688" i="169" s="1"/>
  <c r="O688" i="169"/>
  <c r="AO688" i="169" s="1"/>
  <c r="P688" i="169"/>
  <c r="Q688" i="169"/>
  <c r="S688" i="169" s="1"/>
  <c r="AP688" i="169" s="1"/>
  <c r="W688" i="169"/>
  <c r="A689" i="169"/>
  <c r="B689" i="169"/>
  <c r="D689" i="169"/>
  <c r="E689" i="169" s="1"/>
  <c r="F689" i="169"/>
  <c r="J689" i="169"/>
  <c r="AK689" i="169" s="1"/>
  <c r="K689" i="169"/>
  <c r="AL689" i="169" s="1"/>
  <c r="L689" i="169"/>
  <c r="AM689" i="169" s="1"/>
  <c r="O689" i="169"/>
  <c r="AO689" i="169" s="1"/>
  <c r="P689" i="169"/>
  <c r="Q689" i="169"/>
  <c r="U689" i="169" s="1"/>
  <c r="AQ689" i="169" s="1"/>
  <c r="W689" i="169"/>
  <c r="A690" i="169"/>
  <c r="B690" i="169"/>
  <c r="D690" i="169"/>
  <c r="E690" i="169" s="1"/>
  <c r="F690" i="169"/>
  <c r="J690" i="169"/>
  <c r="AK690" i="169" s="1"/>
  <c r="K690" i="169"/>
  <c r="AL690" i="169" s="1"/>
  <c r="L690" i="169"/>
  <c r="AM690" i="169" s="1"/>
  <c r="O690" i="169"/>
  <c r="AO690" i="169" s="1"/>
  <c r="P690" i="169"/>
  <c r="Q690" i="169"/>
  <c r="S690" i="169" s="1"/>
  <c r="AP690" i="169" s="1"/>
  <c r="W690" i="169"/>
  <c r="A691" i="169"/>
  <c r="B691" i="169"/>
  <c r="D691" i="169"/>
  <c r="E691" i="169" s="1"/>
  <c r="F691" i="169"/>
  <c r="J691" i="169"/>
  <c r="AK691" i="169" s="1"/>
  <c r="K691" i="169"/>
  <c r="AL691" i="169" s="1"/>
  <c r="L691" i="169"/>
  <c r="AM691" i="169" s="1"/>
  <c r="O691" i="169"/>
  <c r="AO691" i="169" s="1"/>
  <c r="P691" i="169"/>
  <c r="Q691" i="169"/>
  <c r="U691" i="169" s="1"/>
  <c r="AQ691" i="169" s="1"/>
  <c r="W691" i="169"/>
  <c r="A692" i="169"/>
  <c r="B692" i="169"/>
  <c r="D692" i="169"/>
  <c r="E692" i="169" s="1"/>
  <c r="F692" i="169"/>
  <c r="J692" i="169"/>
  <c r="AK692" i="169" s="1"/>
  <c r="K692" i="169"/>
  <c r="AL692" i="169" s="1"/>
  <c r="L692" i="169"/>
  <c r="AM692" i="169" s="1"/>
  <c r="O692" i="169"/>
  <c r="AO692" i="169" s="1"/>
  <c r="P692" i="169"/>
  <c r="Q692" i="169"/>
  <c r="S692" i="169" s="1"/>
  <c r="AP692" i="169" s="1"/>
  <c r="W692" i="169"/>
  <c r="A693" i="169"/>
  <c r="B693" i="169"/>
  <c r="D693" i="169"/>
  <c r="E693" i="169" s="1"/>
  <c r="F693" i="169"/>
  <c r="J693" i="169"/>
  <c r="AK693" i="169" s="1"/>
  <c r="K693" i="169"/>
  <c r="AL693" i="169" s="1"/>
  <c r="L693" i="169"/>
  <c r="AM693" i="169" s="1"/>
  <c r="O693" i="169"/>
  <c r="AO693" i="169" s="1"/>
  <c r="P693" i="169"/>
  <c r="Q693" i="169"/>
  <c r="U693" i="169" s="1"/>
  <c r="AQ693" i="169" s="1"/>
  <c r="W693" i="169"/>
  <c r="A694" i="169"/>
  <c r="B694" i="169"/>
  <c r="D694" i="169"/>
  <c r="E694" i="169" s="1"/>
  <c r="F694" i="169"/>
  <c r="J694" i="169"/>
  <c r="AK694" i="169" s="1"/>
  <c r="K694" i="169"/>
  <c r="AL694" i="169" s="1"/>
  <c r="L694" i="169"/>
  <c r="AM694" i="169" s="1"/>
  <c r="O694" i="169"/>
  <c r="AO694" i="169" s="1"/>
  <c r="P694" i="169"/>
  <c r="Q694" i="169"/>
  <c r="S694" i="169" s="1"/>
  <c r="AP694" i="169" s="1"/>
  <c r="W694" i="169"/>
  <c r="A695" i="169"/>
  <c r="B695" i="169"/>
  <c r="D695" i="169"/>
  <c r="E695" i="169" s="1"/>
  <c r="F695" i="169"/>
  <c r="J695" i="169"/>
  <c r="AK695" i="169" s="1"/>
  <c r="K695" i="169"/>
  <c r="AL695" i="169" s="1"/>
  <c r="L695" i="169"/>
  <c r="AM695" i="169" s="1"/>
  <c r="O695" i="169"/>
  <c r="AO695" i="169" s="1"/>
  <c r="P695" i="169"/>
  <c r="Q695" i="169"/>
  <c r="U695" i="169" s="1"/>
  <c r="AQ695" i="169" s="1"/>
  <c r="W695" i="169"/>
  <c r="A696" i="169"/>
  <c r="B696" i="169"/>
  <c r="D696" i="169"/>
  <c r="E696" i="169" s="1"/>
  <c r="F696" i="169"/>
  <c r="J696" i="169"/>
  <c r="AK696" i="169" s="1"/>
  <c r="K696" i="169"/>
  <c r="AL696" i="169" s="1"/>
  <c r="L696" i="169"/>
  <c r="AM696" i="169" s="1"/>
  <c r="O696" i="169"/>
  <c r="AO696" i="169" s="1"/>
  <c r="P696" i="169"/>
  <c r="Q696" i="169"/>
  <c r="S696" i="169" s="1"/>
  <c r="AP696" i="169" s="1"/>
  <c r="W696" i="169"/>
  <c r="A697" i="169"/>
  <c r="B697" i="169"/>
  <c r="D697" i="169"/>
  <c r="E697" i="169" s="1"/>
  <c r="F697" i="169"/>
  <c r="J697" i="169"/>
  <c r="AK697" i="169" s="1"/>
  <c r="K697" i="169"/>
  <c r="AL697" i="169" s="1"/>
  <c r="L697" i="169"/>
  <c r="AM697" i="169" s="1"/>
  <c r="O697" i="169"/>
  <c r="AO697" i="169" s="1"/>
  <c r="P697" i="169"/>
  <c r="Q697" i="169"/>
  <c r="U697" i="169" s="1"/>
  <c r="AQ697" i="169" s="1"/>
  <c r="W697" i="169"/>
  <c r="A698" i="169"/>
  <c r="B698" i="169"/>
  <c r="D698" i="169"/>
  <c r="E698" i="169" s="1"/>
  <c r="F698" i="169"/>
  <c r="J698" i="169"/>
  <c r="AK698" i="169" s="1"/>
  <c r="K698" i="169"/>
  <c r="AL698" i="169" s="1"/>
  <c r="L698" i="169"/>
  <c r="AM698" i="169" s="1"/>
  <c r="O698" i="169"/>
  <c r="AO698" i="169" s="1"/>
  <c r="P698" i="169"/>
  <c r="Q698" i="169"/>
  <c r="S698" i="169" s="1"/>
  <c r="AP698" i="169" s="1"/>
  <c r="W698" i="169"/>
  <c r="A699" i="169"/>
  <c r="B699" i="169"/>
  <c r="D699" i="169"/>
  <c r="E699" i="169" s="1"/>
  <c r="F699" i="169"/>
  <c r="J699" i="169"/>
  <c r="AK699" i="169" s="1"/>
  <c r="K699" i="169"/>
  <c r="AL699" i="169" s="1"/>
  <c r="L699" i="169"/>
  <c r="AM699" i="169" s="1"/>
  <c r="O699" i="169"/>
  <c r="AO699" i="169" s="1"/>
  <c r="P699" i="169"/>
  <c r="Q699" i="169"/>
  <c r="U699" i="169" s="1"/>
  <c r="AQ699" i="169" s="1"/>
  <c r="W699" i="169"/>
  <c r="A700" i="169"/>
  <c r="B700" i="169"/>
  <c r="D700" i="169"/>
  <c r="E700" i="169" s="1"/>
  <c r="F700" i="169"/>
  <c r="J700" i="169"/>
  <c r="AK700" i="169" s="1"/>
  <c r="K700" i="169"/>
  <c r="AL700" i="169" s="1"/>
  <c r="L700" i="169"/>
  <c r="AM700" i="169" s="1"/>
  <c r="O700" i="169"/>
  <c r="AO700" i="169" s="1"/>
  <c r="P700" i="169"/>
  <c r="Q700" i="169"/>
  <c r="U700" i="169" s="1"/>
  <c r="AQ700" i="169" s="1"/>
  <c r="W700" i="169"/>
  <c r="A701" i="169"/>
  <c r="B701" i="169"/>
  <c r="D701" i="169"/>
  <c r="E701" i="169" s="1"/>
  <c r="F701" i="169"/>
  <c r="J701" i="169"/>
  <c r="AK701" i="169" s="1"/>
  <c r="K701" i="169"/>
  <c r="AL701" i="169" s="1"/>
  <c r="L701" i="169"/>
  <c r="AM701" i="169" s="1"/>
  <c r="O701" i="169"/>
  <c r="AO701" i="169" s="1"/>
  <c r="P701" i="169"/>
  <c r="Q701" i="169"/>
  <c r="S701" i="169" s="1"/>
  <c r="AP701" i="169" s="1"/>
  <c r="W701" i="169"/>
  <c r="A702" i="169"/>
  <c r="B702" i="169"/>
  <c r="D702" i="169"/>
  <c r="E702" i="169" s="1"/>
  <c r="F702" i="169"/>
  <c r="J702" i="169"/>
  <c r="AK702" i="169" s="1"/>
  <c r="K702" i="169"/>
  <c r="AL702" i="169" s="1"/>
  <c r="L702" i="169"/>
  <c r="AM702" i="169" s="1"/>
  <c r="O702" i="169"/>
  <c r="AO702" i="169" s="1"/>
  <c r="P702" i="169"/>
  <c r="Q702" i="169"/>
  <c r="U702" i="169" s="1"/>
  <c r="AQ702" i="169" s="1"/>
  <c r="W702" i="169"/>
  <c r="A703" i="169"/>
  <c r="B703" i="169"/>
  <c r="D703" i="169"/>
  <c r="E703" i="169" s="1"/>
  <c r="F703" i="169"/>
  <c r="J703" i="169"/>
  <c r="AK703" i="169" s="1"/>
  <c r="K703" i="169"/>
  <c r="AL703" i="169" s="1"/>
  <c r="L703" i="169"/>
  <c r="AM703" i="169" s="1"/>
  <c r="O703" i="169"/>
  <c r="AO703" i="169" s="1"/>
  <c r="P703" i="169"/>
  <c r="Q703" i="169"/>
  <c r="S703" i="169" s="1"/>
  <c r="AP703" i="169" s="1"/>
  <c r="W703" i="169"/>
  <c r="A733" i="169"/>
  <c r="B733" i="169"/>
  <c r="D733" i="169"/>
  <c r="E733" i="169" s="1"/>
  <c r="F733" i="169"/>
  <c r="J733" i="169"/>
  <c r="AK733" i="169" s="1"/>
  <c r="K733" i="169"/>
  <c r="AL733" i="169" s="1"/>
  <c r="L733" i="169"/>
  <c r="AM733" i="169" s="1"/>
  <c r="O733" i="169"/>
  <c r="AO733" i="169" s="1"/>
  <c r="P733" i="169"/>
  <c r="Q733" i="169"/>
  <c r="U733" i="169" s="1"/>
  <c r="AQ733" i="169" s="1"/>
  <c r="W733" i="169"/>
  <c r="A734" i="169"/>
  <c r="B734" i="169"/>
  <c r="D734" i="169"/>
  <c r="E734" i="169" s="1"/>
  <c r="F734" i="169"/>
  <c r="J734" i="169"/>
  <c r="AK734" i="169" s="1"/>
  <c r="K734" i="169"/>
  <c r="AL734" i="169" s="1"/>
  <c r="L734" i="169"/>
  <c r="AM734" i="169" s="1"/>
  <c r="O734" i="169"/>
  <c r="AO734" i="169" s="1"/>
  <c r="P734" i="169"/>
  <c r="Q734" i="169"/>
  <c r="S734" i="169" s="1"/>
  <c r="AP734" i="169" s="1"/>
  <c r="W734" i="169"/>
  <c r="A735" i="169"/>
  <c r="B735" i="169"/>
  <c r="D735" i="169"/>
  <c r="E735" i="169" s="1"/>
  <c r="F735" i="169"/>
  <c r="J735" i="169"/>
  <c r="AK735" i="169" s="1"/>
  <c r="K735" i="169"/>
  <c r="AL735" i="169" s="1"/>
  <c r="L735" i="169"/>
  <c r="AM735" i="169" s="1"/>
  <c r="O735" i="169"/>
  <c r="AO735" i="169" s="1"/>
  <c r="P735" i="169"/>
  <c r="Q735" i="169"/>
  <c r="U735" i="169" s="1"/>
  <c r="AQ735" i="169" s="1"/>
  <c r="W735" i="169"/>
  <c r="A736" i="169"/>
  <c r="B736" i="169"/>
  <c r="D736" i="169"/>
  <c r="E736" i="169" s="1"/>
  <c r="F736" i="169"/>
  <c r="J736" i="169"/>
  <c r="AK736" i="169" s="1"/>
  <c r="K736" i="169"/>
  <c r="AL736" i="169" s="1"/>
  <c r="L736" i="169"/>
  <c r="AM736" i="169" s="1"/>
  <c r="O736" i="169"/>
  <c r="AO736" i="169" s="1"/>
  <c r="P736" i="169"/>
  <c r="Q736" i="169"/>
  <c r="U736" i="169" s="1"/>
  <c r="AQ736" i="169" s="1"/>
  <c r="W736" i="169"/>
  <c r="A737" i="169"/>
  <c r="B737" i="169"/>
  <c r="D737" i="169"/>
  <c r="E737" i="169" s="1"/>
  <c r="F737" i="169"/>
  <c r="J737" i="169"/>
  <c r="AK737" i="169" s="1"/>
  <c r="K737" i="169"/>
  <c r="AL737" i="169" s="1"/>
  <c r="L737" i="169"/>
  <c r="AM737" i="169" s="1"/>
  <c r="O737" i="169"/>
  <c r="AO737" i="169" s="1"/>
  <c r="P737" i="169"/>
  <c r="Q737" i="169"/>
  <c r="U737" i="169" s="1"/>
  <c r="AQ737" i="169" s="1"/>
  <c r="W737" i="169"/>
  <c r="A738" i="169"/>
  <c r="B738" i="169"/>
  <c r="D738" i="169"/>
  <c r="E738" i="169" s="1"/>
  <c r="F738" i="169"/>
  <c r="J738" i="169"/>
  <c r="AK738" i="169" s="1"/>
  <c r="K738" i="169"/>
  <c r="AL738" i="169" s="1"/>
  <c r="L738" i="169"/>
  <c r="AM738" i="169" s="1"/>
  <c r="O738" i="169"/>
  <c r="AO738" i="169" s="1"/>
  <c r="P738" i="169"/>
  <c r="Q738" i="169"/>
  <c r="S738" i="169" s="1"/>
  <c r="AP738" i="169" s="1"/>
  <c r="W738" i="169"/>
  <c r="A739" i="169"/>
  <c r="B739" i="169"/>
  <c r="D739" i="169"/>
  <c r="E739" i="169" s="1"/>
  <c r="F739" i="169"/>
  <c r="J739" i="169"/>
  <c r="AK739" i="169" s="1"/>
  <c r="K739" i="169"/>
  <c r="AL739" i="169" s="1"/>
  <c r="L739" i="169"/>
  <c r="AM739" i="169" s="1"/>
  <c r="O739" i="169"/>
  <c r="AO739" i="169" s="1"/>
  <c r="P739" i="169"/>
  <c r="Q739" i="169"/>
  <c r="U739" i="169" s="1"/>
  <c r="AQ739" i="169" s="1"/>
  <c r="W739" i="169"/>
  <c r="A862" i="169"/>
  <c r="B862" i="169"/>
  <c r="D862" i="169"/>
  <c r="E862" i="169" s="1"/>
  <c r="F862" i="169"/>
  <c r="J862" i="169"/>
  <c r="AK862" i="169" s="1"/>
  <c r="K862" i="169"/>
  <c r="AL862" i="169" s="1"/>
  <c r="L862" i="169"/>
  <c r="AM862" i="169" s="1"/>
  <c r="O862" i="169"/>
  <c r="AO862" i="169" s="1"/>
  <c r="P862" i="169"/>
  <c r="Q862" i="169"/>
  <c r="S862" i="169" s="1"/>
  <c r="AP862" i="169" s="1"/>
  <c r="W862" i="169"/>
  <c r="A902" i="169"/>
  <c r="B902" i="169"/>
  <c r="D902" i="169"/>
  <c r="E902" i="169" s="1"/>
  <c r="F902" i="169"/>
  <c r="J902" i="169"/>
  <c r="AK902" i="169" s="1"/>
  <c r="K902" i="169"/>
  <c r="AL902" i="169" s="1"/>
  <c r="L902" i="169"/>
  <c r="AM902" i="169" s="1"/>
  <c r="O902" i="169"/>
  <c r="AO902" i="169" s="1"/>
  <c r="P902" i="169"/>
  <c r="Q902" i="169"/>
  <c r="S902" i="169" s="1"/>
  <c r="AP902" i="169" s="1"/>
  <c r="W902" i="169"/>
  <c r="A903" i="169"/>
  <c r="B903" i="169"/>
  <c r="D903" i="169"/>
  <c r="E903" i="169" s="1"/>
  <c r="F903" i="169"/>
  <c r="J903" i="169"/>
  <c r="AK903" i="169" s="1"/>
  <c r="K903" i="169"/>
  <c r="AL903" i="169" s="1"/>
  <c r="L903" i="169"/>
  <c r="AM903" i="169" s="1"/>
  <c r="O903" i="169"/>
  <c r="AO903" i="169" s="1"/>
  <c r="P903" i="169"/>
  <c r="Q903" i="169"/>
  <c r="U903" i="169" s="1"/>
  <c r="AQ903" i="169" s="1"/>
  <c r="W903" i="169"/>
  <c r="A667" i="169"/>
  <c r="B667" i="169"/>
  <c r="D667" i="169"/>
  <c r="E667" i="169" s="1"/>
  <c r="F667" i="169"/>
  <c r="J667" i="169"/>
  <c r="AK667" i="169" s="1"/>
  <c r="K667" i="169"/>
  <c r="AL667" i="169" s="1"/>
  <c r="L667" i="169"/>
  <c r="AM667" i="169" s="1"/>
  <c r="O667" i="169"/>
  <c r="AO667" i="169" s="1"/>
  <c r="P667" i="169"/>
  <c r="Q667" i="169"/>
  <c r="U667" i="169" s="1"/>
  <c r="AQ667" i="169" s="1"/>
  <c r="W667" i="169"/>
  <c r="A668" i="169"/>
  <c r="B668" i="169"/>
  <c r="D668" i="169"/>
  <c r="E668" i="169" s="1"/>
  <c r="F668" i="169"/>
  <c r="J668" i="169"/>
  <c r="AK668" i="169" s="1"/>
  <c r="K668" i="169"/>
  <c r="AL668" i="169" s="1"/>
  <c r="L668" i="169"/>
  <c r="AM668" i="169" s="1"/>
  <c r="O668" i="169"/>
  <c r="AO668" i="169" s="1"/>
  <c r="P668" i="169"/>
  <c r="Q668" i="169"/>
  <c r="U668" i="169" s="1"/>
  <c r="AQ668" i="169" s="1"/>
  <c r="W668" i="169"/>
  <c r="A669" i="169"/>
  <c r="B669" i="169"/>
  <c r="D669" i="169"/>
  <c r="E669" i="169" s="1"/>
  <c r="F669" i="169"/>
  <c r="J669" i="169"/>
  <c r="AK669" i="169" s="1"/>
  <c r="K669" i="169"/>
  <c r="AL669" i="169" s="1"/>
  <c r="L669" i="169"/>
  <c r="AM669" i="169" s="1"/>
  <c r="O669" i="169"/>
  <c r="AO669" i="169" s="1"/>
  <c r="P669" i="169"/>
  <c r="Q669" i="169"/>
  <c r="S669" i="169" s="1"/>
  <c r="AP669" i="169" s="1"/>
  <c r="W669" i="169"/>
  <c r="A670" i="169"/>
  <c r="B670" i="169"/>
  <c r="D670" i="169"/>
  <c r="E670" i="169" s="1"/>
  <c r="F670" i="169"/>
  <c r="J670" i="169"/>
  <c r="AK670" i="169" s="1"/>
  <c r="K670" i="169"/>
  <c r="AL670" i="169" s="1"/>
  <c r="L670" i="169"/>
  <c r="AM670" i="169" s="1"/>
  <c r="O670" i="169"/>
  <c r="AO670" i="169" s="1"/>
  <c r="P670" i="169"/>
  <c r="Q670" i="169"/>
  <c r="U670" i="169" s="1"/>
  <c r="AQ670" i="169" s="1"/>
  <c r="W670" i="169"/>
  <c r="A671" i="169"/>
  <c r="B671" i="169"/>
  <c r="D671" i="169"/>
  <c r="E671" i="169" s="1"/>
  <c r="F671" i="169"/>
  <c r="J671" i="169"/>
  <c r="AK671" i="169" s="1"/>
  <c r="K671" i="169"/>
  <c r="AL671" i="169" s="1"/>
  <c r="L671" i="169"/>
  <c r="AM671" i="169" s="1"/>
  <c r="O671" i="169"/>
  <c r="AO671" i="169" s="1"/>
  <c r="P671" i="169"/>
  <c r="Q671" i="169"/>
  <c r="S671" i="169" s="1"/>
  <c r="AP671" i="169" s="1"/>
  <c r="W671" i="169"/>
  <c r="A672" i="169"/>
  <c r="B672" i="169"/>
  <c r="D672" i="169"/>
  <c r="E672" i="169" s="1"/>
  <c r="F672" i="169"/>
  <c r="J672" i="169"/>
  <c r="AK672" i="169" s="1"/>
  <c r="K672" i="169"/>
  <c r="AL672" i="169" s="1"/>
  <c r="L672" i="169"/>
  <c r="AM672" i="169" s="1"/>
  <c r="O672" i="169"/>
  <c r="AO672" i="169" s="1"/>
  <c r="P672" i="169"/>
  <c r="Q672" i="169"/>
  <c r="U672" i="169" s="1"/>
  <c r="AQ672" i="169" s="1"/>
  <c r="W672" i="169"/>
  <c r="A673" i="169"/>
  <c r="B673" i="169"/>
  <c r="D673" i="169"/>
  <c r="E673" i="169" s="1"/>
  <c r="F673" i="169"/>
  <c r="J673" i="169"/>
  <c r="AK673" i="169" s="1"/>
  <c r="K673" i="169"/>
  <c r="AL673" i="169" s="1"/>
  <c r="L673" i="169"/>
  <c r="AM673" i="169" s="1"/>
  <c r="O673" i="169"/>
  <c r="AO673" i="169" s="1"/>
  <c r="P673" i="169"/>
  <c r="Q673" i="169"/>
  <c r="S673" i="169" s="1"/>
  <c r="AP673" i="169" s="1"/>
  <c r="W673" i="169"/>
  <c r="A674" i="169"/>
  <c r="B674" i="169"/>
  <c r="D674" i="169"/>
  <c r="E674" i="169" s="1"/>
  <c r="F674" i="169"/>
  <c r="J674" i="169"/>
  <c r="AK674" i="169" s="1"/>
  <c r="K674" i="169"/>
  <c r="AL674" i="169" s="1"/>
  <c r="L674" i="169"/>
  <c r="AM674" i="169" s="1"/>
  <c r="O674" i="169"/>
  <c r="AO674" i="169" s="1"/>
  <c r="P674" i="169"/>
  <c r="Q674" i="169"/>
  <c r="U674" i="169" s="1"/>
  <c r="AQ674" i="169" s="1"/>
  <c r="W674" i="169"/>
  <c r="A675" i="169"/>
  <c r="B675" i="169"/>
  <c r="D675" i="169"/>
  <c r="E675" i="169" s="1"/>
  <c r="F675" i="169"/>
  <c r="J675" i="169"/>
  <c r="AK675" i="169" s="1"/>
  <c r="K675" i="169"/>
  <c r="AL675" i="169" s="1"/>
  <c r="L675" i="169"/>
  <c r="AM675" i="169" s="1"/>
  <c r="O675" i="169"/>
  <c r="AO675" i="169" s="1"/>
  <c r="P675" i="169"/>
  <c r="Q675" i="169"/>
  <c r="U675" i="169" s="1"/>
  <c r="AQ675" i="169" s="1"/>
  <c r="W675" i="169"/>
  <c r="A676" i="169"/>
  <c r="B676" i="169"/>
  <c r="D676" i="169"/>
  <c r="E676" i="169" s="1"/>
  <c r="F676" i="169"/>
  <c r="J676" i="169"/>
  <c r="AK676" i="169" s="1"/>
  <c r="K676" i="169"/>
  <c r="AL676" i="169" s="1"/>
  <c r="L676" i="169"/>
  <c r="AM676" i="169" s="1"/>
  <c r="O676" i="169"/>
  <c r="AO676" i="169" s="1"/>
  <c r="P676" i="169"/>
  <c r="Q676" i="169"/>
  <c r="U676" i="169" s="1"/>
  <c r="AQ676" i="169" s="1"/>
  <c r="W676" i="169"/>
  <c r="A677" i="169"/>
  <c r="B677" i="169"/>
  <c r="D677" i="169"/>
  <c r="E677" i="169" s="1"/>
  <c r="F677" i="169"/>
  <c r="J677" i="169"/>
  <c r="AK677" i="169" s="1"/>
  <c r="K677" i="169"/>
  <c r="AL677" i="169" s="1"/>
  <c r="L677" i="169"/>
  <c r="AM677" i="169" s="1"/>
  <c r="O677" i="169"/>
  <c r="AO677" i="169" s="1"/>
  <c r="P677" i="169"/>
  <c r="Q677" i="169"/>
  <c r="U677" i="169" s="1"/>
  <c r="AQ677" i="169" s="1"/>
  <c r="W677" i="169"/>
  <c r="A678" i="169"/>
  <c r="B678" i="169"/>
  <c r="D678" i="169"/>
  <c r="E678" i="169" s="1"/>
  <c r="F678" i="169"/>
  <c r="J678" i="169"/>
  <c r="AK678" i="169" s="1"/>
  <c r="K678" i="169"/>
  <c r="AL678" i="169" s="1"/>
  <c r="L678" i="169"/>
  <c r="AM678" i="169" s="1"/>
  <c r="O678" i="169"/>
  <c r="AO678" i="169" s="1"/>
  <c r="P678" i="169"/>
  <c r="Q678" i="169"/>
  <c r="S678" i="169" s="1"/>
  <c r="AP678" i="169" s="1"/>
  <c r="W678" i="169"/>
  <c r="A679" i="169"/>
  <c r="B679" i="169"/>
  <c r="D679" i="169"/>
  <c r="E679" i="169" s="1"/>
  <c r="F679" i="169"/>
  <c r="J679" i="169"/>
  <c r="AK679" i="169" s="1"/>
  <c r="K679" i="169"/>
  <c r="AL679" i="169" s="1"/>
  <c r="L679" i="169"/>
  <c r="AM679" i="169" s="1"/>
  <c r="O679" i="169"/>
  <c r="AO679" i="169" s="1"/>
  <c r="P679" i="169"/>
  <c r="Q679" i="169"/>
  <c r="U679" i="169" s="1"/>
  <c r="AQ679" i="169" s="1"/>
  <c r="W679" i="169"/>
  <c r="A680" i="169"/>
  <c r="B680" i="169"/>
  <c r="D680" i="169"/>
  <c r="E680" i="169" s="1"/>
  <c r="F680" i="169"/>
  <c r="J680" i="169"/>
  <c r="AK680" i="169" s="1"/>
  <c r="K680" i="169"/>
  <c r="AL680" i="169" s="1"/>
  <c r="L680" i="169"/>
  <c r="AM680" i="169" s="1"/>
  <c r="O680" i="169"/>
  <c r="AO680" i="169" s="1"/>
  <c r="P680" i="169"/>
  <c r="Q680" i="169"/>
  <c r="U680" i="169" s="1"/>
  <c r="AQ680" i="169" s="1"/>
  <c r="W680" i="169"/>
  <c r="A645" i="169"/>
  <c r="B645" i="169"/>
  <c r="D645" i="169"/>
  <c r="E645" i="169" s="1"/>
  <c r="F645" i="169"/>
  <c r="J645" i="169"/>
  <c r="AK645" i="169" s="1"/>
  <c r="K645" i="169"/>
  <c r="AL645" i="169" s="1"/>
  <c r="L645" i="169"/>
  <c r="AM645" i="169" s="1"/>
  <c r="O645" i="169"/>
  <c r="AO645" i="169" s="1"/>
  <c r="P645" i="169"/>
  <c r="Q645" i="169"/>
  <c r="U645" i="169" s="1"/>
  <c r="AQ645" i="169" s="1"/>
  <c r="W645" i="169"/>
  <c r="A646" i="169"/>
  <c r="B646" i="169"/>
  <c r="D646" i="169"/>
  <c r="E646" i="169" s="1"/>
  <c r="F646" i="169"/>
  <c r="J646" i="169"/>
  <c r="AK646" i="169" s="1"/>
  <c r="K646" i="169"/>
  <c r="AL646" i="169" s="1"/>
  <c r="L646" i="169"/>
  <c r="AM646" i="169" s="1"/>
  <c r="O646" i="169"/>
  <c r="AO646" i="169" s="1"/>
  <c r="P646" i="169"/>
  <c r="Q646" i="169"/>
  <c r="U646" i="169" s="1"/>
  <c r="AQ646" i="169" s="1"/>
  <c r="W646" i="169"/>
  <c r="A647" i="169"/>
  <c r="B647" i="169"/>
  <c r="D647" i="169"/>
  <c r="E647" i="169" s="1"/>
  <c r="F647" i="169"/>
  <c r="J647" i="169"/>
  <c r="AK647" i="169" s="1"/>
  <c r="K647" i="169"/>
  <c r="AL647" i="169" s="1"/>
  <c r="L647" i="169"/>
  <c r="AM647" i="169" s="1"/>
  <c r="O647" i="169"/>
  <c r="AO647" i="169" s="1"/>
  <c r="P647" i="169"/>
  <c r="Q647" i="169"/>
  <c r="U647" i="169" s="1"/>
  <c r="AQ647" i="169" s="1"/>
  <c r="W647" i="169"/>
  <c r="A648" i="169"/>
  <c r="B648" i="169"/>
  <c r="D648" i="169"/>
  <c r="E648" i="169" s="1"/>
  <c r="F648" i="169"/>
  <c r="J648" i="169"/>
  <c r="AK648" i="169" s="1"/>
  <c r="K648" i="169"/>
  <c r="AL648" i="169" s="1"/>
  <c r="L648" i="169"/>
  <c r="AM648" i="169" s="1"/>
  <c r="O648" i="169"/>
  <c r="AO648" i="169" s="1"/>
  <c r="P648" i="169"/>
  <c r="Q648" i="169"/>
  <c r="U648" i="169" s="1"/>
  <c r="AQ648" i="169" s="1"/>
  <c r="W648" i="169"/>
  <c r="A649" i="169"/>
  <c r="B649" i="169"/>
  <c r="D649" i="169"/>
  <c r="E649" i="169" s="1"/>
  <c r="F649" i="169"/>
  <c r="J649" i="169"/>
  <c r="AK649" i="169" s="1"/>
  <c r="K649" i="169"/>
  <c r="AL649" i="169" s="1"/>
  <c r="L649" i="169"/>
  <c r="AM649" i="169" s="1"/>
  <c r="O649" i="169"/>
  <c r="AO649" i="169" s="1"/>
  <c r="P649" i="169"/>
  <c r="Q649" i="169"/>
  <c r="U649" i="169" s="1"/>
  <c r="AQ649" i="169" s="1"/>
  <c r="W649" i="169"/>
  <c r="A650" i="169"/>
  <c r="B650" i="169"/>
  <c r="D650" i="169"/>
  <c r="E650" i="169" s="1"/>
  <c r="F650" i="169"/>
  <c r="J650" i="169"/>
  <c r="AK650" i="169" s="1"/>
  <c r="K650" i="169"/>
  <c r="AL650" i="169" s="1"/>
  <c r="L650" i="169"/>
  <c r="AM650" i="169" s="1"/>
  <c r="O650" i="169"/>
  <c r="AO650" i="169" s="1"/>
  <c r="P650" i="169"/>
  <c r="Q650" i="169"/>
  <c r="U650" i="169" s="1"/>
  <c r="AQ650" i="169" s="1"/>
  <c r="W650" i="169"/>
  <c r="A651" i="169"/>
  <c r="B651" i="169"/>
  <c r="D651" i="169"/>
  <c r="E651" i="169" s="1"/>
  <c r="F651" i="169"/>
  <c r="J651" i="169"/>
  <c r="AK651" i="169" s="1"/>
  <c r="K651" i="169"/>
  <c r="AL651" i="169" s="1"/>
  <c r="L651" i="169"/>
  <c r="AM651" i="169" s="1"/>
  <c r="O651" i="169"/>
  <c r="AO651" i="169" s="1"/>
  <c r="P651" i="169"/>
  <c r="Q651" i="169"/>
  <c r="U651" i="169" s="1"/>
  <c r="AQ651" i="169" s="1"/>
  <c r="W651" i="169"/>
  <c r="A652" i="169"/>
  <c r="B652" i="169"/>
  <c r="D652" i="169"/>
  <c r="E652" i="169" s="1"/>
  <c r="F652" i="169"/>
  <c r="J652" i="169"/>
  <c r="AK652" i="169" s="1"/>
  <c r="K652" i="169"/>
  <c r="AL652" i="169" s="1"/>
  <c r="L652" i="169"/>
  <c r="AM652" i="169" s="1"/>
  <c r="O652" i="169"/>
  <c r="AO652" i="169" s="1"/>
  <c r="P652" i="169"/>
  <c r="Q652" i="169"/>
  <c r="U652" i="169" s="1"/>
  <c r="AQ652" i="169" s="1"/>
  <c r="W652" i="169"/>
  <c r="A653" i="169"/>
  <c r="B653" i="169"/>
  <c r="D653" i="169"/>
  <c r="E653" i="169" s="1"/>
  <c r="F653" i="169"/>
  <c r="J653" i="169"/>
  <c r="AK653" i="169" s="1"/>
  <c r="K653" i="169"/>
  <c r="AL653" i="169" s="1"/>
  <c r="L653" i="169"/>
  <c r="AM653" i="169" s="1"/>
  <c r="O653" i="169"/>
  <c r="AO653" i="169" s="1"/>
  <c r="P653" i="169"/>
  <c r="Q653" i="169"/>
  <c r="U653" i="169" s="1"/>
  <c r="AQ653" i="169" s="1"/>
  <c r="W653" i="169"/>
  <c r="A654" i="169"/>
  <c r="B654" i="169"/>
  <c r="D654" i="169"/>
  <c r="E654" i="169" s="1"/>
  <c r="F654" i="169"/>
  <c r="J654" i="169"/>
  <c r="AK654" i="169" s="1"/>
  <c r="K654" i="169"/>
  <c r="AL654" i="169" s="1"/>
  <c r="L654" i="169"/>
  <c r="AM654" i="169" s="1"/>
  <c r="O654" i="169"/>
  <c r="AO654" i="169" s="1"/>
  <c r="P654" i="169"/>
  <c r="Q654" i="169"/>
  <c r="U654" i="169" s="1"/>
  <c r="AQ654" i="169" s="1"/>
  <c r="W654" i="169"/>
  <c r="A655" i="169"/>
  <c r="B655" i="169"/>
  <c r="D655" i="169"/>
  <c r="E655" i="169" s="1"/>
  <c r="F655" i="169"/>
  <c r="J655" i="169"/>
  <c r="AK655" i="169" s="1"/>
  <c r="K655" i="169"/>
  <c r="AL655" i="169" s="1"/>
  <c r="L655" i="169"/>
  <c r="AM655" i="169" s="1"/>
  <c r="O655" i="169"/>
  <c r="AO655" i="169" s="1"/>
  <c r="P655" i="169"/>
  <c r="Q655" i="169"/>
  <c r="U655" i="169" s="1"/>
  <c r="AQ655" i="169" s="1"/>
  <c r="W655" i="169"/>
  <c r="A656" i="169"/>
  <c r="B656" i="169"/>
  <c r="D656" i="169"/>
  <c r="E656" i="169" s="1"/>
  <c r="F656" i="169"/>
  <c r="J656" i="169"/>
  <c r="AK656" i="169" s="1"/>
  <c r="K656" i="169"/>
  <c r="AL656" i="169" s="1"/>
  <c r="L656" i="169"/>
  <c r="AM656" i="169" s="1"/>
  <c r="O656" i="169"/>
  <c r="AO656" i="169" s="1"/>
  <c r="P656" i="169"/>
  <c r="Q656" i="169"/>
  <c r="U656" i="169" s="1"/>
  <c r="AQ656" i="169" s="1"/>
  <c r="W656" i="169"/>
  <c r="A657" i="169"/>
  <c r="B657" i="169"/>
  <c r="D657" i="169"/>
  <c r="E657" i="169" s="1"/>
  <c r="F657" i="169"/>
  <c r="J657" i="169"/>
  <c r="AK657" i="169" s="1"/>
  <c r="K657" i="169"/>
  <c r="AL657" i="169" s="1"/>
  <c r="L657" i="169"/>
  <c r="AM657" i="169" s="1"/>
  <c r="O657" i="169"/>
  <c r="AO657" i="169" s="1"/>
  <c r="P657" i="169"/>
  <c r="Q657" i="169"/>
  <c r="U657" i="169" s="1"/>
  <c r="AQ657" i="169" s="1"/>
  <c r="W657" i="169"/>
  <c r="A658" i="169"/>
  <c r="B658" i="169"/>
  <c r="D658" i="169"/>
  <c r="E658" i="169" s="1"/>
  <c r="F658" i="169"/>
  <c r="J658" i="169"/>
  <c r="AK658" i="169" s="1"/>
  <c r="K658" i="169"/>
  <c r="AL658" i="169" s="1"/>
  <c r="L658" i="169"/>
  <c r="AM658" i="169" s="1"/>
  <c r="O658" i="169"/>
  <c r="AO658" i="169" s="1"/>
  <c r="P658" i="169"/>
  <c r="Q658" i="169"/>
  <c r="U658" i="169" s="1"/>
  <c r="AQ658" i="169" s="1"/>
  <c r="W658" i="169"/>
  <c r="A659" i="169"/>
  <c r="B659" i="169"/>
  <c r="D659" i="169"/>
  <c r="E659" i="169" s="1"/>
  <c r="F659" i="169"/>
  <c r="J659" i="169"/>
  <c r="AK659" i="169" s="1"/>
  <c r="K659" i="169"/>
  <c r="AL659" i="169" s="1"/>
  <c r="L659" i="169"/>
  <c r="AM659" i="169" s="1"/>
  <c r="O659" i="169"/>
  <c r="AO659" i="169" s="1"/>
  <c r="P659" i="169"/>
  <c r="Q659" i="169"/>
  <c r="U659" i="169" s="1"/>
  <c r="AQ659" i="169" s="1"/>
  <c r="W659" i="169"/>
  <c r="A660" i="169"/>
  <c r="B660" i="169"/>
  <c r="D660" i="169"/>
  <c r="E660" i="169" s="1"/>
  <c r="F660" i="169"/>
  <c r="J660" i="169"/>
  <c r="AK660" i="169" s="1"/>
  <c r="K660" i="169"/>
  <c r="AL660" i="169" s="1"/>
  <c r="L660" i="169"/>
  <c r="AM660" i="169" s="1"/>
  <c r="O660" i="169"/>
  <c r="AO660" i="169" s="1"/>
  <c r="P660" i="169"/>
  <c r="Q660" i="169"/>
  <c r="U660" i="169" s="1"/>
  <c r="AQ660" i="169" s="1"/>
  <c r="W660" i="169"/>
  <c r="A661" i="169"/>
  <c r="B661" i="169"/>
  <c r="D661" i="169"/>
  <c r="E661" i="169" s="1"/>
  <c r="F661" i="169"/>
  <c r="J661" i="169"/>
  <c r="AK661" i="169" s="1"/>
  <c r="K661" i="169"/>
  <c r="AL661" i="169" s="1"/>
  <c r="L661" i="169"/>
  <c r="AM661" i="169" s="1"/>
  <c r="O661" i="169"/>
  <c r="AO661" i="169" s="1"/>
  <c r="P661" i="169"/>
  <c r="Q661" i="169"/>
  <c r="U661" i="169" s="1"/>
  <c r="AQ661" i="169" s="1"/>
  <c r="W661" i="169"/>
  <c r="A662" i="169"/>
  <c r="B662" i="169"/>
  <c r="D662" i="169"/>
  <c r="E662" i="169" s="1"/>
  <c r="F662" i="169"/>
  <c r="J662" i="169"/>
  <c r="AK662" i="169" s="1"/>
  <c r="K662" i="169"/>
  <c r="AL662" i="169" s="1"/>
  <c r="L662" i="169"/>
  <c r="AM662" i="169" s="1"/>
  <c r="O662" i="169"/>
  <c r="AO662" i="169" s="1"/>
  <c r="P662" i="169"/>
  <c r="Q662" i="169"/>
  <c r="U662" i="169" s="1"/>
  <c r="AQ662" i="169" s="1"/>
  <c r="W662" i="169"/>
  <c r="A663" i="169"/>
  <c r="B663" i="169"/>
  <c r="D663" i="169"/>
  <c r="E663" i="169" s="1"/>
  <c r="F663" i="169"/>
  <c r="J663" i="169"/>
  <c r="AK663" i="169" s="1"/>
  <c r="K663" i="169"/>
  <c r="AL663" i="169" s="1"/>
  <c r="L663" i="169"/>
  <c r="AM663" i="169" s="1"/>
  <c r="O663" i="169"/>
  <c r="AO663" i="169" s="1"/>
  <c r="P663" i="169"/>
  <c r="Q663" i="169"/>
  <c r="U663" i="169" s="1"/>
  <c r="AQ663" i="169" s="1"/>
  <c r="W663" i="169"/>
  <c r="A664" i="169"/>
  <c r="B664" i="169"/>
  <c r="D664" i="169"/>
  <c r="E664" i="169" s="1"/>
  <c r="F664" i="169"/>
  <c r="J664" i="169"/>
  <c r="AK664" i="169" s="1"/>
  <c r="K664" i="169"/>
  <c r="AL664" i="169" s="1"/>
  <c r="L664" i="169"/>
  <c r="AM664" i="169" s="1"/>
  <c r="O664" i="169"/>
  <c r="AO664" i="169" s="1"/>
  <c r="P664" i="169"/>
  <c r="Q664" i="169"/>
  <c r="U664" i="169" s="1"/>
  <c r="AQ664" i="169" s="1"/>
  <c r="W664" i="169"/>
  <c r="A593" i="169"/>
  <c r="B593" i="169"/>
  <c r="D593" i="169"/>
  <c r="E593" i="169" s="1"/>
  <c r="F593" i="169"/>
  <c r="J593" i="169"/>
  <c r="AK593" i="169" s="1"/>
  <c r="K593" i="169"/>
  <c r="AL593" i="169" s="1"/>
  <c r="L593" i="169"/>
  <c r="AM593" i="169" s="1"/>
  <c r="O593" i="169"/>
  <c r="AO593" i="169" s="1"/>
  <c r="P593" i="169"/>
  <c r="Q593" i="169"/>
  <c r="U593" i="169" s="1"/>
  <c r="AQ593" i="169" s="1"/>
  <c r="W593" i="169"/>
  <c r="A639" i="169"/>
  <c r="B639" i="169"/>
  <c r="D639" i="169"/>
  <c r="E639" i="169" s="1"/>
  <c r="F639" i="169"/>
  <c r="J639" i="169"/>
  <c r="AK639" i="169" s="1"/>
  <c r="K639" i="169"/>
  <c r="AL639" i="169" s="1"/>
  <c r="L639" i="169"/>
  <c r="AM639" i="169" s="1"/>
  <c r="O639" i="169"/>
  <c r="AO639" i="169" s="1"/>
  <c r="P639" i="169"/>
  <c r="Q639" i="169"/>
  <c r="U639" i="169" s="1"/>
  <c r="AQ639" i="169" s="1"/>
  <c r="W639" i="169"/>
  <c r="A640" i="169"/>
  <c r="B640" i="169"/>
  <c r="D640" i="169"/>
  <c r="E640" i="169" s="1"/>
  <c r="F640" i="169"/>
  <c r="J640" i="169"/>
  <c r="AK640" i="169" s="1"/>
  <c r="K640" i="169"/>
  <c r="AL640" i="169" s="1"/>
  <c r="L640" i="169"/>
  <c r="AM640" i="169" s="1"/>
  <c r="O640" i="169"/>
  <c r="AO640" i="169" s="1"/>
  <c r="P640" i="169"/>
  <c r="Q640" i="169"/>
  <c r="U640" i="169" s="1"/>
  <c r="AQ640" i="169" s="1"/>
  <c r="W640" i="169"/>
  <c r="A641" i="169"/>
  <c r="B641" i="169"/>
  <c r="D641" i="169"/>
  <c r="E641" i="169" s="1"/>
  <c r="F641" i="169"/>
  <c r="J641" i="169"/>
  <c r="AK641" i="169" s="1"/>
  <c r="K641" i="169"/>
  <c r="AL641" i="169" s="1"/>
  <c r="L641" i="169"/>
  <c r="AM641" i="169" s="1"/>
  <c r="O641" i="169"/>
  <c r="AO641" i="169" s="1"/>
  <c r="P641" i="169"/>
  <c r="Q641" i="169"/>
  <c r="U641" i="169" s="1"/>
  <c r="AQ641" i="169" s="1"/>
  <c r="W641" i="169"/>
  <c r="A642" i="169"/>
  <c r="B642" i="169"/>
  <c r="D642" i="169"/>
  <c r="E642" i="169" s="1"/>
  <c r="F642" i="169"/>
  <c r="J642" i="169"/>
  <c r="AK642" i="169" s="1"/>
  <c r="K642" i="169"/>
  <c r="AL642" i="169" s="1"/>
  <c r="L642" i="169"/>
  <c r="AM642" i="169" s="1"/>
  <c r="O642" i="169"/>
  <c r="AO642" i="169" s="1"/>
  <c r="P642" i="169"/>
  <c r="Q642" i="169"/>
  <c r="U642" i="169" s="1"/>
  <c r="AQ642" i="169" s="1"/>
  <c r="W642" i="169"/>
  <c r="A643" i="169"/>
  <c r="B643" i="169"/>
  <c r="D643" i="169"/>
  <c r="E643" i="169" s="1"/>
  <c r="F643" i="169"/>
  <c r="J643" i="169"/>
  <c r="AK643" i="169" s="1"/>
  <c r="K643" i="169"/>
  <c r="AL643" i="169" s="1"/>
  <c r="L643" i="169"/>
  <c r="AM643" i="169" s="1"/>
  <c r="O643" i="169"/>
  <c r="AO643" i="169" s="1"/>
  <c r="P643" i="169"/>
  <c r="Q643" i="169"/>
  <c r="U643" i="169" s="1"/>
  <c r="AQ643" i="169" s="1"/>
  <c r="W643" i="169"/>
  <c r="A644" i="169"/>
  <c r="B644" i="169"/>
  <c r="D644" i="169"/>
  <c r="E644" i="169" s="1"/>
  <c r="F644" i="169"/>
  <c r="J644" i="169"/>
  <c r="AK644" i="169" s="1"/>
  <c r="K644" i="169"/>
  <c r="AL644" i="169" s="1"/>
  <c r="L644" i="169"/>
  <c r="AM644" i="169" s="1"/>
  <c r="O644" i="169"/>
  <c r="AO644" i="169" s="1"/>
  <c r="P644" i="169"/>
  <c r="Q644" i="169"/>
  <c r="U644" i="169" s="1"/>
  <c r="AQ644" i="169" s="1"/>
  <c r="W644" i="169"/>
  <c r="A665" i="169"/>
  <c r="B665" i="169"/>
  <c r="D665" i="169"/>
  <c r="E665" i="169" s="1"/>
  <c r="F665" i="169"/>
  <c r="J665" i="169"/>
  <c r="AK665" i="169" s="1"/>
  <c r="K665" i="169"/>
  <c r="AL665" i="169" s="1"/>
  <c r="L665" i="169"/>
  <c r="AM665" i="169" s="1"/>
  <c r="O665" i="169"/>
  <c r="AO665" i="169" s="1"/>
  <c r="P665" i="169"/>
  <c r="Q665" i="169"/>
  <c r="U665" i="169" s="1"/>
  <c r="AQ665" i="169" s="1"/>
  <c r="W665" i="169"/>
  <c r="A666" i="169"/>
  <c r="B666" i="169"/>
  <c r="D666" i="169"/>
  <c r="E666" i="169" s="1"/>
  <c r="F666" i="169"/>
  <c r="J666" i="169"/>
  <c r="AK666" i="169" s="1"/>
  <c r="K666" i="169"/>
  <c r="AL666" i="169" s="1"/>
  <c r="L666" i="169"/>
  <c r="AM666" i="169" s="1"/>
  <c r="O666" i="169"/>
  <c r="AO666" i="169" s="1"/>
  <c r="P666" i="169"/>
  <c r="Q666" i="169"/>
  <c r="U666" i="169" s="1"/>
  <c r="AQ666" i="169" s="1"/>
  <c r="W666" i="169"/>
  <c r="A681" i="169"/>
  <c r="B681" i="169"/>
  <c r="D681" i="169"/>
  <c r="E681" i="169" s="1"/>
  <c r="F681" i="169"/>
  <c r="J681" i="169"/>
  <c r="AK681" i="169" s="1"/>
  <c r="K681" i="169"/>
  <c r="AL681" i="169" s="1"/>
  <c r="L681" i="169"/>
  <c r="AM681" i="169" s="1"/>
  <c r="O681" i="169"/>
  <c r="AO681" i="169" s="1"/>
  <c r="P681" i="169"/>
  <c r="Q681" i="169"/>
  <c r="S681" i="169" s="1"/>
  <c r="AP681" i="169" s="1"/>
  <c r="W681" i="169"/>
  <c r="A682" i="169"/>
  <c r="B682" i="169"/>
  <c r="D682" i="169"/>
  <c r="E682" i="169" s="1"/>
  <c r="F682" i="169"/>
  <c r="J682" i="169"/>
  <c r="AK682" i="169" s="1"/>
  <c r="K682" i="169"/>
  <c r="AL682" i="169" s="1"/>
  <c r="L682" i="169"/>
  <c r="AM682" i="169" s="1"/>
  <c r="O682" i="169"/>
  <c r="AO682" i="169" s="1"/>
  <c r="P682" i="169"/>
  <c r="Q682" i="169"/>
  <c r="U682" i="169" s="1"/>
  <c r="AQ682" i="169" s="1"/>
  <c r="W682" i="169"/>
  <c r="A683" i="169"/>
  <c r="B683" i="169"/>
  <c r="D683" i="169"/>
  <c r="E683" i="169" s="1"/>
  <c r="F683" i="169"/>
  <c r="J683" i="169"/>
  <c r="AK683" i="169" s="1"/>
  <c r="K683" i="169"/>
  <c r="AL683" i="169" s="1"/>
  <c r="L683" i="169"/>
  <c r="AM683" i="169" s="1"/>
  <c r="O683" i="169"/>
  <c r="AO683" i="169" s="1"/>
  <c r="P683" i="169"/>
  <c r="Q683" i="169"/>
  <c r="U683" i="169" s="1"/>
  <c r="AQ683" i="169" s="1"/>
  <c r="W683" i="169"/>
  <c r="A613" i="169"/>
  <c r="B613" i="169"/>
  <c r="D613" i="169"/>
  <c r="E613" i="169" s="1"/>
  <c r="F613" i="169"/>
  <c r="J613" i="169"/>
  <c r="AK613" i="169" s="1"/>
  <c r="K613" i="169"/>
  <c r="AL613" i="169" s="1"/>
  <c r="L613" i="169"/>
  <c r="AM613" i="169" s="1"/>
  <c r="O613" i="169"/>
  <c r="AO613" i="169" s="1"/>
  <c r="P613" i="169"/>
  <c r="Q613" i="169"/>
  <c r="U613" i="169" s="1"/>
  <c r="AQ613" i="169" s="1"/>
  <c r="W613" i="169"/>
  <c r="A614" i="169"/>
  <c r="B614" i="169"/>
  <c r="D614" i="169"/>
  <c r="E614" i="169" s="1"/>
  <c r="F614" i="169"/>
  <c r="J614" i="169"/>
  <c r="AK614" i="169" s="1"/>
  <c r="K614" i="169"/>
  <c r="AL614" i="169" s="1"/>
  <c r="L614" i="169"/>
  <c r="AM614" i="169" s="1"/>
  <c r="O614" i="169"/>
  <c r="AO614" i="169" s="1"/>
  <c r="P614" i="169"/>
  <c r="Q614" i="169"/>
  <c r="U614" i="169" s="1"/>
  <c r="AQ614" i="169" s="1"/>
  <c r="W614" i="169"/>
  <c r="A615" i="169"/>
  <c r="B615" i="169"/>
  <c r="D615" i="169"/>
  <c r="E615" i="169" s="1"/>
  <c r="F615" i="169"/>
  <c r="J615" i="169"/>
  <c r="AK615" i="169" s="1"/>
  <c r="K615" i="169"/>
  <c r="AL615" i="169" s="1"/>
  <c r="L615" i="169"/>
  <c r="AM615" i="169" s="1"/>
  <c r="O615" i="169"/>
  <c r="AO615" i="169" s="1"/>
  <c r="P615" i="169"/>
  <c r="Q615" i="169"/>
  <c r="S615" i="169" s="1"/>
  <c r="AP615" i="169" s="1"/>
  <c r="W615" i="169"/>
  <c r="A616" i="169"/>
  <c r="B616" i="169"/>
  <c r="D616" i="169"/>
  <c r="E616" i="169" s="1"/>
  <c r="F616" i="169"/>
  <c r="J616" i="169"/>
  <c r="AK616" i="169" s="1"/>
  <c r="K616" i="169"/>
  <c r="AL616" i="169" s="1"/>
  <c r="L616" i="169"/>
  <c r="AM616" i="169" s="1"/>
  <c r="O616" i="169"/>
  <c r="AO616" i="169" s="1"/>
  <c r="P616" i="169"/>
  <c r="Q616" i="169"/>
  <c r="U616" i="169" s="1"/>
  <c r="AQ616" i="169" s="1"/>
  <c r="W616" i="169"/>
  <c r="A617" i="169"/>
  <c r="B617" i="169"/>
  <c r="D617" i="169"/>
  <c r="E617" i="169" s="1"/>
  <c r="F617" i="169"/>
  <c r="J617" i="169"/>
  <c r="AK617" i="169" s="1"/>
  <c r="K617" i="169"/>
  <c r="AL617" i="169" s="1"/>
  <c r="L617" i="169"/>
  <c r="AM617" i="169" s="1"/>
  <c r="O617" i="169"/>
  <c r="AO617" i="169" s="1"/>
  <c r="P617" i="169"/>
  <c r="Q617" i="169"/>
  <c r="U617" i="169" s="1"/>
  <c r="AQ617" i="169" s="1"/>
  <c r="W617" i="169"/>
  <c r="A618" i="169"/>
  <c r="B618" i="169"/>
  <c r="D618" i="169"/>
  <c r="E618" i="169" s="1"/>
  <c r="F618" i="169"/>
  <c r="J618" i="169"/>
  <c r="AK618" i="169" s="1"/>
  <c r="K618" i="169"/>
  <c r="AL618" i="169" s="1"/>
  <c r="L618" i="169"/>
  <c r="AM618" i="169" s="1"/>
  <c r="O618" i="169"/>
  <c r="AO618" i="169" s="1"/>
  <c r="P618" i="169"/>
  <c r="Q618" i="169"/>
  <c r="U618" i="169" s="1"/>
  <c r="AQ618" i="169" s="1"/>
  <c r="W618" i="169"/>
  <c r="A619" i="169"/>
  <c r="B619" i="169"/>
  <c r="D619" i="169"/>
  <c r="E619" i="169" s="1"/>
  <c r="F619" i="169"/>
  <c r="J619" i="169"/>
  <c r="AK619" i="169" s="1"/>
  <c r="K619" i="169"/>
  <c r="AL619" i="169" s="1"/>
  <c r="L619" i="169"/>
  <c r="AM619" i="169" s="1"/>
  <c r="O619" i="169"/>
  <c r="AO619" i="169" s="1"/>
  <c r="P619" i="169"/>
  <c r="Q619" i="169"/>
  <c r="U619" i="169" s="1"/>
  <c r="AQ619" i="169" s="1"/>
  <c r="W619" i="169"/>
  <c r="A620" i="169"/>
  <c r="B620" i="169"/>
  <c r="D620" i="169"/>
  <c r="E620" i="169" s="1"/>
  <c r="F620" i="169"/>
  <c r="J620" i="169"/>
  <c r="AK620" i="169" s="1"/>
  <c r="K620" i="169"/>
  <c r="AL620" i="169" s="1"/>
  <c r="L620" i="169"/>
  <c r="AM620" i="169" s="1"/>
  <c r="O620" i="169"/>
  <c r="AO620" i="169" s="1"/>
  <c r="P620" i="169"/>
  <c r="Q620" i="169"/>
  <c r="U620" i="169" s="1"/>
  <c r="AQ620" i="169" s="1"/>
  <c r="W620" i="169"/>
  <c r="A621" i="169"/>
  <c r="B621" i="169"/>
  <c r="D621" i="169"/>
  <c r="E621" i="169" s="1"/>
  <c r="F621" i="169"/>
  <c r="J621" i="169"/>
  <c r="AK621" i="169" s="1"/>
  <c r="K621" i="169"/>
  <c r="AL621" i="169" s="1"/>
  <c r="L621" i="169"/>
  <c r="AM621" i="169" s="1"/>
  <c r="O621" i="169"/>
  <c r="AO621" i="169" s="1"/>
  <c r="P621" i="169"/>
  <c r="Q621" i="169"/>
  <c r="S621" i="169" s="1"/>
  <c r="AP621" i="169" s="1"/>
  <c r="W621" i="169"/>
  <c r="A622" i="169"/>
  <c r="B622" i="169"/>
  <c r="D622" i="169"/>
  <c r="E622" i="169" s="1"/>
  <c r="F622" i="169"/>
  <c r="J622" i="169"/>
  <c r="AK622" i="169" s="1"/>
  <c r="K622" i="169"/>
  <c r="AL622" i="169" s="1"/>
  <c r="L622" i="169"/>
  <c r="AM622" i="169" s="1"/>
  <c r="O622" i="169"/>
  <c r="AO622" i="169" s="1"/>
  <c r="P622" i="169"/>
  <c r="Q622" i="169"/>
  <c r="U622" i="169" s="1"/>
  <c r="AQ622" i="169" s="1"/>
  <c r="W622" i="169"/>
  <c r="A623" i="169"/>
  <c r="B623" i="169"/>
  <c r="D623" i="169"/>
  <c r="E623" i="169" s="1"/>
  <c r="F623" i="169"/>
  <c r="J623" i="169"/>
  <c r="AK623" i="169" s="1"/>
  <c r="K623" i="169"/>
  <c r="AL623" i="169" s="1"/>
  <c r="L623" i="169"/>
  <c r="AM623" i="169" s="1"/>
  <c r="O623" i="169"/>
  <c r="AO623" i="169" s="1"/>
  <c r="P623" i="169"/>
  <c r="Q623" i="169"/>
  <c r="U623" i="169" s="1"/>
  <c r="AQ623" i="169" s="1"/>
  <c r="W623" i="169"/>
  <c r="A624" i="169"/>
  <c r="B624" i="169"/>
  <c r="D624" i="169"/>
  <c r="E624" i="169" s="1"/>
  <c r="F624" i="169"/>
  <c r="J624" i="169"/>
  <c r="AK624" i="169" s="1"/>
  <c r="K624" i="169"/>
  <c r="AL624" i="169" s="1"/>
  <c r="L624" i="169"/>
  <c r="AM624" i="169" s="1"/>
  <c r="O624" i="169"/>
  <c r="AO624" i="169" s="1"/>
  <c r="P624" i="169"/>
  <c r="Q624" i="169"/>
  <c r="U624" i="169" s="1"/>
  <c r="AQ624" i="169" s="1"/>
  <c r="W624" i="169"/>
  <c r="A625" i="169"/>
  <c r="B625" i="169"/>
  <c r="D625" i="169"/>
  <c r="E625" i="169" s="1"/>
  <c r="F625" i="169"/>
  <c r="J625" i="169"/>
  <c r="AK625" i="169" s="1"/>
  <c r="K625" i="169"/>
  <c r="AL625" i="169" s="1"/>
  <c r="L625" i="169"/>
  <c r="AM625" i="169" s="1"/>
  <c r="O625" i="169"/>
  <c r="AO625" i="169" s="1"/>
  <c r="P625" i="169"/>
  <c r="Q625" i="169"/>
  <c r="S625" i="169" s="1"/>
  <c r="AP625" i="169" s="1"/>
  <c r="W625" i="169"/>
  <c r="A626" i="169"/>
  <c r="B626" i="169"/>
  <c r="D626" i="169"/>
  <c r="E626" i="169" s="1"/>
  <c r="F626" i="169"/>
  <c r="J626" i="169"/>
  <c r="AK626" i="169" s="1"/>
  <c r="K626" i="169"/>
  <c r="AL626" i="169" s="1"/>
  <c r="L626" i="169"/>
  <c r="AM626" i="169" s="1"/>
  <c r="O626" i="169"/>
  <c r="AO626" i="169" s="1"/>
  <c r="P626" i="169"/>
  <c r="Q626" i="169"/>
  <c r="U626" i="169" s="1"/>
  <c r="AQ626" i="169" s="1"/>
  <c r="W626" i="169"/>
  <c r="A627" i="169"/>
  <c r="B627" i="169"/>
  <c r="D627" i="169"/>
  <c r="E627" i="169" s="1"/>
  <c r="F627" i="169"/>
  <c r="J627" i="169"/>
  <c r="AK627" i="169" s="1"/>
  <c r="K627" i="169"/>
  <c r="AL627" i="169" s="1"/>
  <c r="L627" i="169"/>
  <c r="AM627" i="169" s="1"/>
  <c r="O627" i="169"/>
  <c r="AO627" i="169" s="1"/>
  <c r="P627" i="169"/>
  <c r="Q627" i="169"/>
  <c r="U627" i="169" s="1"/>
  <c r="AQ627" i="169" s="1"/>
  <c r="W627" i="169"/>
  <c r="A628" i="169"/>
  <c r="B628" i="169"/>
  <c r="D628" i="169"/>
  <c r="E628" i="169" s="1"/>
  <c r="F628" i="169"/>
  <c r="J628" i="169"/>
  <c r="AK628" i="169" s="1"/>
  <c r="K628" i="169"/>
  <c r="AL628" i="169" s="1"/>
  <c r="L628" i="169"/>
  <c r="AM628" i="169" s="1"/>
  <c r="O628" i="169"/>
  <c r="AO628" i="169" s="1"/>
  <c r="P628" i="169"/>
  <c r="Q628" i="169"/>
  <c r="U628" i="169" s="1"/>
  <c r="AQ628" i="169" s="1"/>
  <c r="W628" i="169"/>
  <c r="A629" i="169"/>
  <c r="B629" i="169"/>
  <c r="D629" i="169"/>
  <c r="E629" i="169" s="1"/>
  <c r="F629" i="169"/>
  <c r="J629" i="169"/>
  <c r="AK629" i="169" s="1"/>
  <c r="K629" i="169"/>
  <c r="AL629" i="169" s="1"/>
  <c r="L629" i="169"/>
  <c r="AM629" i="169" s="1"/>
  <c r="O629" i="169"/>
  <c r="AO629" i="169" s="1"/>
  <c r="P629" i="169"/>
  <c r="Q629" i="169"/>
  <c r="S629" i="169" s="1"/>
  <c r="AP629" i="169" s="1"/>
  <c r="W629" i="169"/>
  <c r="A630" i="169"/>
  <c r="B630" i="169"/>
  <c r="D630" i="169"/>
  <c r="E630" i="169" s="1"/>
  <c r="F630" i="169"/>
  <c r="J630" i="169"/>
  <c r="AK630" i="169" s="1"/>
  <c r="K630" i="169"/>
  <c r="AL630" i="169" s="1"/>
  <c r="L630" i="169"/>
  <c r="AM630" i="169" s="1"/>
  <c r="O630" i="169"/>
  <c r="AO630" i="169" s="1"/>
  <c r="P630" i="169"/>
  <c r="Q630" i="169"/>
  <c r="U630" i="169" s="1"/>
  <c r="AQ630" i="169" s="1"/>
  <c r="W630" i="169"/>
  <c r="A631" i="169"/>
  <c r="B631" i="169"/>
  <c r="D631" i="169"/>
  <c r="E631" i="169" s="1"/>
  <c r="F631" i="169"/>
  <c r="J631" i="169"/>
  <c r="AK631" i="169" s="1"/>
  <c r="K631" i="169"/>
  <c r="AL631" i="169" s="1"/>
  <c r="L631" i="169"/>
  <c r="AM631" i="169" s="1"/>
  <c r="O631" i="169"/>
  <c r="AO631" i="169" s="1"/>
  <c r="P631" i="169"/>
  <c r="Q631" i="169"/>
  <c r="U631" i="169" s="1"/>
  <c r="AQ631" i="169" s="1"/>
  <c r="W631" i="169"/>
  <c r="A632" i="169"/>
  <c r="B632" i="169"/>
  <c r="D632" i="169"/>
  <c r="E632" i="169" s="1"/>
  <c r="F632" i="169"/>
  <c r="J632" i="169"/>
  <c r="AK632" i="169" s="1"/>
  <c r="K632" i="169"/>
  <c r="AL632" i="169" s="1"/>
  <c r="L632" i="169"/>
  <c r="AM632" i="169" s="1"/>
  <c r="O632" i="169"/>
  <c r="AO632" i="169" s="1"/>
  <c r="P632" i="169"/>
  <c r="Q632" i="169"/>
  <c r="U632" i="169" s="1"/>
  <c r="AQ632" i="169" s="1"/>
  <c r="W632" i="169"/>
  <c r="A633" i="169"/>
  <c r="B633" i="169"/>
  <c r="D633" i="169"/>
  <c r="E633" i="169" s="1"/>
  <c r="F633" i="169"/>
  <c r="J633" i="169"/>
  <c r="AK633" i="169" s="1"/>
  <c r="K633" i="169"/>
  <c r="AL633" i="169" s="1"/>
  <c r="L633" i="169"/>
  <c r="AM633" i="169" s="1"/>
  <c r="O633" i="169"/>
  <c r="AO633" i="169" s="1"/>
  <c r="P633" i="169"/>
  <c r="Q633" i="169"/>
  <c r="U633" i="169" s="1"/>
  <c r="AQ633" i="169" s="1"/>
  <c r="W633" i="169"/>
  <c r="A634" i="169"/>
  <c r="B634" i="169"/>
  <c r="D634" i="169"/>
  <c r="E634" i="169" s="1"/>
  <c r="F634" i="169"/>
  <c r="J634" i="169"/>
  <c r="AK634" i="169" s="1"/>
  <c r="K634" i="169"/>
  <c r="AL634" i="169" s="1"/>
  <c r="L634" i="169"/>
  <c r="AM634" i="169" s="1"/>
  <c r="O634" i="169"/>
  <c r="AO634" i="169" s="1"/>
  <c r="P634" i="169"/>
  <c r="Q634" i="169"/>
  <c r="U634" i="169" s="1"/>
  <c r="AQ634" i="169" s="1"/>
  <c r="W634" i="169"/>
  <c r="A635" i="169"/>
  <c r="B635" i="169"/>
  <c r="D635" i="169"/>
  <c r="E635" i="169" s="1"/>
  <c r="F635" i="169"/>
  <c r="J635" i="169"/>
  <c r="AK635" i="169" s="1"/>
  <c r="K635" i="169"/>
  <c r="AL635" i="169" s="1"/>
  <c r="L635" i="169"/>
  <c r="AM635" i="169" s="1"/>
  <c r="O635" i="169"/>
  <c r="AO635" i="169" s="1"/>
  <c r="P635" i="169"/>
  <c r="Q635" i="169"/>
  <c r="U635" i="169" s="1"/>
  <c r="AQ635" i="169" s="1"/>
  <c r="W635" i="169"/>
  <c r="A636" i="169"/>
  <c r="B636" i="169"/>
  <c r="D636" i="169"/>
  <c r="E636" i="169" s="1"/>
  <c r="F636" i="169"/>
  <c r="J636" i="169"/>
  <c r="AK636" i="169" s="1"/>
  <c r="K636" i="169"/>
  <c r="AL636" i="169" s="1"/>
  <c r="L636" i="169"/>
  <c r="AM636" i="169" s="1"/>
  <c r="O636" i="169"/>
  <c r="AO636" i="169" s="1"/>
  <c r="P636" i="169"/>
  <c r="Q636" i="169"/>
  <c r="U636" i="169" s="1"/>
  <c r="AQ636" i="169" s="1"/>
  <c r="W636" i="169"/>
  <c r="A637" i="169"/>
  <c r="B637" i="169"/>
  <c r="D637" i="169"/>
  <c r="E637" i="169" s="1"/>
  <c r="F637" i="169"/>
  <c r="J637" i="169"/>
  <c r="AK637" i="169" s="1"/>
  <c r="K637" i="169"/>
  <c r="AL637" i="169" s="1"/>
  <c r="L637" i="169"/>
  <c r="AM637" i="169" s="1"/>
  <c r="O637" i="169"/>
  <c r="AO637" i="169" s="1"/>
  <c r="P637" i="169"/>
  <c r="Q637" i="169"/>
  <c r="U637" i="169" s="1"/>
  <c r="AQ637" i="169" s="1"/>
  <c r="W637" i="169"/>
  <c r="A638" i="169"/>
  <c r="B638" i="169"/>
  <c r="D638" i="169"/>
  <c r="E638" i="169" s="1"/>
  <c r="F638" i="169"/>
  <c r="J638" i="169"/>
  <c r="AK638" i="169" s="1"/>
  <c r="K638" i="169"/>
  <c r="AL638" i="169" s="1"/>
  <c r="L638" i="169"/>
  <c r="AM638" i="169" s="1"/>
  <c r="O638" i="169"/>
  <c r="AO638" i="169" s="1"/>
  <c r="P638" i="169"/>
  <c r="Q638" i="169"/>
  <c r="U638" i="169" s="1"/>
  <c r="AQ638" i="169" s="1"/>
  <c r="W638" i="169"/>
  <c r="A904" i="169"/>
  <c r="B904" i="169"/>
  <c r="D904" i="169"/>
  <c r="E904" i="169" s="1"/>
  <c r="F904" i="169"/>
  <c r="J904" i="169"/>
  <c r="AK904" i="169" s="1"/>
  <c r="K904" i="169"/>
  <c r="AL904" i="169" s="1"/>
  <c r="L904" i="169"/>
  <c r="AM904" i="169" s="1"/>
  <c r="O904" i="169"/>
  <c r="AO904" i="169" s="1"/>
  <c r="P904" i="169"/>
  <c r="Q904" i="169"/>
  <c r="U904" i="169" s="1"/>
  <c r="AQ904" i="169" s="1"/>
  <c r="W904" i="169"/>
  <c r="A577" i="169"/>
  <c r="B577" i="169"/>
  <c r="D577" i="169"/>
  <c r="E577" i="169" s="1"/>
  <c r="F577" i="169"/>
  <c r="J577" i="169"/>
  <c r="AK577" i="169" s="1"/>
  <c r="K577" i="169"/>
  <c r="AL577" i="169" s="1"/>
  <c r="L577" i="169"/>
  <c r="AM577" i="169" s="1"/>
  <c r="O577" i="169"/>
  <c r="AO577" i="169" s="1"/>
  <c r="P577" i="169"/>
  <c r="Q577" i="169"/>
  <c r="U577" i="169" s="1"/>
  <c r="AQ577" i="169" s="1"/>
  <c r="W577" i="169"/>
  <c r="A578" i="169"/>
  <c r="B578" i="169"/>
  <c r="D578" i="169"/>
  <c r="E578" i="169" s="1"/>
  <c r="F578" i="169"/>
  <c r="J578" i="169"/>
  <c r="AK578" i="169" s="1"/>
  <c r="K578" i="169"/>
  <c r="AL578" i="169" s="1"/>
  <c r="L578" i="169"/>
  <c r="AM578" i="169" s="1"/>
  <c r="O578" i="169"/>
  <c r="AO578" i="169" s="1"/>
  <c r="P578" i="169"/>
  <c r="Q578" i="169"/>
  <c r="U578" i="169" s="1"/>
  <c r="AQ578" i="169" s="1"/>
  <c r="W578" i="169"/>
  <c r="A579" i="169"/>
  <c r="B579" i="169"/>
  <c r="D579" i="169"/>
  <c r="E579" i="169" s="1"/>
  <c r="F579" i="169"/>
  <c r="J579" i="169"/>
  <c r="AK579" i="169" s="1"/>
  <c r="K579" i="169"/>
  <c r="AL579" i="169" s="1"/>
  <c r="L579" i="169"/>
  <c r="AM579" i="169" s="1"/>
  <c r="O579" i="169"/>
  <c r="AO579" i="169" s="1"/>
  <c r="P579" i="169"/>
  <c r="Q579" i="169"/>
  <c r="U579" i="169" s="1"/>
  <c r="AQ579" i="169" s="1"/>
  <c r="W579" i="169"/>
  <c r="A580" i="169"/>
  <c r="B580" i="169"/>
  <c r="D580" i="169"/>
  <c r="E580" i="169" s="1"/>
  <c r="F580" i="169"/>
  <c r="J580" i="169"/>
  <c r="AK580" i="169" s="1"/>
  <c r="K580" i="169"/>
  <c r="AL580" i="169" s="1"/>
  <c r="L580" i="169"/>
  <c r="AM580" i="169" s="1"/>
  <c r="O580" i="169"/>
  <c r="AO580" i="169" s="1"/>
  <c r="P580" i="169"/>
  <c r="Q580" i="169"/>
  <c r="U580" i="169" s="1"/>
  <c r="AQ580" i="169" s="1"/>
  <c r="W580" i="169"/>
  <c r="A581" i="169"/>
  <c r="B581" i="169"/>
  <c r="D581" i="169"/>
  <c r="E581" i="169" s="1"/>
  <c r="F581" i="169"/>
  <c r="J581" i="169"/>
  <c r="AK581" i="169" s="1"/>
  <c r="K581" i="169"/>
  <c r="AL581" i="169" s="1"/>
  <c r="L581" i="169"/>
  <c r="AM581" i="169" s="1"/>
  <c r="O581" i="169"/>
  <c r="AO581" i="169" s="1"/>
  <c r="P581" i="169"/>
  <c r="Q581" i="169"/>
  <c r="U581" i="169" s="1"/>
  <c r="AQ581" i="169" s="1"/>
  <c r="W581" i="169"/>
  <c r="A582" i="169"/>
  <c r="B582" i="169"/>
  <c r="D582" i="169"/>
  <c r="E582" i="169" s="1"/>
  <c r="F582" i="169"/>
  <c r="J582" i="169"/>
  <c r="AK582" i="169" s="1"/>
  <c r="K582" i="169"/>
  <c r="AL582" i="169" s="1"/>
  <c r="L582" i="169"/>
  <c r="AM582" i="169" s="1"/>
  <c r="O582" i="169"/>
  <c r="AO582" i="169" s="1"/>
  <c r="P582" i="169"/>
  <c r="Q582" i="169"/>
  <c r="U582" i="169" s="1"/>
  <c r="AQ582" i="169" s="1"/>
  <c r="W582" i="169"/>
  <c r="A583" i="169"/>
  <c r="B583" i="169"/>
  <c r="D583" i="169"/>
  <c r="E583" i="169" s="1"/>
  <c r="F583" i="169"/>
  <c r="J583" i="169"/>
  <c r="AK583" i="169" s="1"/>
  <c r="K583" i="169"/>
  <c r="AL583" i="169" s="1"/>
  <c r="L583" i="169"/>
  <c r="AM583" i="169" s="1"/>
  <c r="O583" i="169"/>
  <c r="AO583" i="169" s="1"/>
  <c r="P583" i="169"/>
  <c r="Q583" i="169"/>
  <c r="U583" i="169" s="1"/>
  <c r="AQ583" i="169" s="1"/>
  <c r="W583" i="169"/>
  <c r="A584" i="169"/>
  <c r="B584" i="169"/>
  <c r="D584" i="169"/>
  <c r="E584" i="169" s="1"/>
  <c r="F584" i="169"/>
  <c r="J584" i="169"/>
  <c r="AK584" i="169" s="1"/>
  <c r="K584" i="169"/>
  <c r="AL584" i="169" s="1"/>
  <c r="L584" i="169"/>
  <c r="AM584" i="169" s="1"/>
  <c r="O584" i="169"/>
  <c r="AO584" i="169" s="1"/>
  <c r="P584" i="169"/>
  <c r="Q584" i="169"/>
  <c r="U584" i="169" s="1"/>
  <c r="AQ584" i="169" s="1"/>
  <c r="W584" i="169"/>
  <c r="A585" i="169"/>
  <c r="B585" i="169"/>
  <c r="D585" i="169"/>
  <c r="E585" i="169" s="1"/>
  <c r="F585" i="169"/>
  <c r="J585" i="169"/>
  <c r="AK585" i="169" s="1"/>
  <c r="K585" i="169"/>
  <c r="AL585" i="169" s="1"/>
  <c r="L585" i="169"/>
  <c r="AM585" i="169" s="1"/>
  <c r="O585" i="169"/>
  <c r="AO585" i="169" s="1"/>
  <c r="P585" i="169"/>
  <c r="Q585" i="169"/>
  <c r="U585" i="169" s="1"/>
  <c r="AQ585" i="169" s="1"/>
  <c r="W585" i="169"/>
  <c r="A586" i="169"/>
  <c r="B586" i="169"/>
  <c r="D586" i="169"/>
  <c r="E586" i="169" s="1"/>
  <c r="F586" i="169"/>
  <c r="J586" i="169"/>
  <c r="AK586" i="169" s="1"/>
  <c r="K586" i="169"/>
  <c r="AL586" i="169" s="1"/>
  <c r="L586" i="169"/>
  <c r="AM586" i="169" s="1"/>
  <c r="O586" i="169"/>
  <c r="AO586" i="169" s="1"/>
  <c r="P586" i="169"/>
  <c r="Q586" i="169"/>
  <c r="U586" i="169" s="1"/>
  <c r="AQ586" i="169" s="1"/>
  <c r="W586" i="169"/>
  <c r="A587" i="169"/>
  <c r="B587" i="169"/>
  <c r="D587" i="169"/>
  <c r="E587" i="169" s="1"/>
  <c r="F587" i="169"/>
  <c r="J587" i="169"/>
  <c r="AK587" i="169" s="1"/>
  <c r="K587" i="169"/>
  <c r="AL587" i="169" s="1"/>
  <c r="L587" i="169"/>
  <c r="AM587" i="169" s="1"/>
  <c r="O587" i="169"/>
  <c r="AO587" i="169" s="1"/>
  <c r="P587" i="169"/>
  <c r="Q587" i="169"/>
  <c r="U587" i="169" s="1"/>
  <c r="AQ587" i="169" s="1"/>
  <c r="W587" i="169"/>
  <c r="A588" i="169"/>
  <c r="B588" i="169"/>
  <c r="D588" i="169"/>
  <c r="E588" i="169" s="1"/>
  <c r="F588" i="169"/>
  <c r="J588" i="169"/>
  <c r="AK588" i="169" s="1"/>
  <c r="K588" i="169"/>
  <c r="AL588" i="169" s="1"/>
  <c r="L588" i="169"/>
  <c r="AM588" i="169" s="1"/>
  <c r="O588" i="169"/>
  <c r="AO588" i="169" s="1"/>
  <c r="P588" i="169"/>
  <c r="Q588" i="169"/>
  <c r="U588" i="169" s="1"/>
  <c r="AQ588" i="169" s="1"/>
  <c r="W588" i="169"/>
  <c r="A589" i="169"/>
  <c r="B589" i="169"/>
  <c r="D589" i="169"/>
  <c r="E589" i="169" s="1"/>
  <c r="F589" i="169"/>
  <c r="J589" i="169"/>
  <c r="AK589" i="169" s="1"/>
  <c r="K589" i="169"/>
  <c r="AL589" i="169" s="1"/>
  <c r="L589" i="169"/>
  <c r="AM589" i="169" s="1"/>
  <c r="O589" i="169"/>
  <c r="AO589" i="169" s="1"/>
  <c r="P589" i="169"/>
  <c r="Q589" i="169"/>
  <c r="U589" i="169" s="1"/>
  <c r="AQ589" i="169" s="1"/>
  <c r="W589" i="169"/>
  <c r="A590" i="169"/>
  <c r="B590" i="169"/>
  <c r="D590" i="169"/>
  <c r="E590" i="169" s="1"/>
  <c r="F590" i="169"/>
  <c r="J590" i="169"/>
  <c r="AK590" i="169" s="1"/>
  <c r="K590" i="169"/>
  <c r="AL590" i="169" s="1"/>
  <c r="L590" i="169"/>
  <c r="AM590" i="169" s="1"/>
  <c r="O590" i="169"/>
  <c r="AO590" i="169" s="1"/>
  <c r="P590" i="169"/>
  <c r="Q590" i="169"/>
  <c r="U590" i="169" s="1"/>
  <c r="AQ590" i="169" s="1"/>
  <c r="W590" i="169"/>
  <c r="A591" i="169"/>
  <c r="B591" i="169"/>
  <c r="D591" i="169"/>
  <c r="E591" i="169" s="1"/>
  <c r="F591" i="169"/>
  <c r="J591" i="169"/>
  <c r="AK591" i="169" s="1"/>
  <c r="K591" i="169"/>
  <c r="AL591" i="169" s="1"/>
  <c r="L591" i="169"/>
  <c r="AM591" i="169" s="1"/>
  <c r="O591" i="169"/>
  <c r="AO591" i="169" s="1"/>
  <c r="P591" i="169"/>
  <c r="Q591" i="169"/>
  <c r="U591" i="169" s="1"/>
  <c r="AQ591" i="169" s="1"/>
  <c r="W591" i="169"/>
  <c r="A592" i="169"/>
  <c r="B592" i="169"/>
  <c r="D592" i="169"/>
  <c r="E592" i="169" s="1"/>
  <c r="F592" i="169"/>
  <c r="J592" i="169"/>
  <c r="AK592" i="169" s="1"/>
  <c r="K592" i="169"/>
  <c r="AL592" i="169" s="1"/>
  <c r="L592" i="169"/>
  <c r="AM592" i="169" s="1"/>
  <c r="O592" i="169"/>
  <c r="AO592" i="169" s="1"/>
  <c r="P592" i="169"/>
  <c r="Q592" i="169"/>
  <c r="U592" i="169" s="1"/>
  <c r="AQ592" i="169" s="1"/>
  <c r="W592" i="169"/>
  <c r="A594" i="169"/>
  <c r="B594" i="169"/>
  <c r="D594" i="169"/>
  <c r="E594" i="169" s="1"/>
  <c r="F594" i="169"/>
  <c r="J594" i="169"/>
  <c r="AK594" i="169" s="1"/>
  <c r="K594" i="169"/>
  <c r="AL594" i="169" s="1"/>
  <c r="L594" i="169"/>
  <c r="AM594" i="169" s="1"/>
  <c r="O594" i="169"/>
  <c r="AO594" i="169" s="1"/>
  <c r="P594" i="169"/>
  <c r="Q594" i="169"/>
  <c r="U594" i="169" s="1"/>
  <c r="AQ594" i="169" s="1"/>
  <c r="W594" i="169"/>
  <c r="A595" i="169"/>
  <c r="B595" i="169"/>
  <c r="D595" i="169"/>
  <c r="E595" i="169" s="1"/>
  <c r="F595" i="169"/>
  <c r="J595" i="169"/>
  <c r="AK595" i="169" s="1"/>
  <c r="K595" i="169"/>
  <c r="AL595" i="169" s="1"/>
  <c r="L595" i="169"/>
  <c r="AM595" i="169" s="1"/>
  <c r="O595" i="169"/>
  <c r="AO595" i="169" s="1"/>
  <c r="P595" i="169"/>
  <c r="Q595" i="169"/>
  <c r="U595" i="169" s="1"/>
  <c r="AQ595" i="169" s="1"/>
  <c r="W595" i="169"/>
  <c r="A596" i="169"/>
  <c r="B596" i="169"/>
  <c r="D596" i="169"/>
  <c r="E596" i="169" s="1"/>
  <c r="F596" i="169"/>
  <c r="J596" i="169"/>
  <c r="AK596" i="169" s="1"/>
  <c r="K596" i="169"/>
  <c r="AL596" i="169" s="1"/>
  <c r="L596" i="169"/>
  <c r="AM596" i="169" s="1"/>
  <c r="O596" i="169"/>
  <c r="AO596" i="169" s="1"/>
  <c r="P596" i="169"/>
  <c r="Q596" i="169"/>
  <c r="U596" i="169" s="1"/>
  <c r="AQ596" i="169" s="1"/>
  <c r="W596" i="169"/>
  <c r="A597" i="169"/>
  <c r="B597" i="169"/>
  <c r="D597" i="169"/>
  <c r="E597" i="169" s="1"/>
  <c r="F597" i="169"/>
  <c r="J597" i="169"/>
  <c r="AK597" i="169" s="1"/>
  <c r="K597" i="169"/>
  <c r="AL597" i="169" s="1"/>
  <c r="L597" i="169"/>
  <c r="AM597" i="169" s="1"/>
  <c r="O597" i="169"/>
  <c r="AO597" i="169" s="1"/>
  <c r="P597" i="169"/>
  <c r="Q597" i="169"/>
  <c r="U597" i="169" s="1"/>
  <c r="AQ597" i="169" s="1"/>
  <c r="W597" i="169"/>
  <c r="A598" i="169"/>
  <c r="B598" i="169"/>
  <c r="D598" i="169"/>
  <c r="E598" i="169" s="1"/>
  <c r="F598" i="169"/>
  <c r="J598" i="169"/>
  <c r="AK598" i="169" s="1"/>
  <c r="K598" i="169"/>
  <c r="AL598" i="169" s="1"/>
  <c r="L598" i="169"/>
  <c r="AM598" i="169" s="1"/>
  <c r="O598" i="169"/>
  <c r="AO598" i="169" s="1"/>
  <c r="P598" i="169"/>
  <c r="Q598" i="169"/>
  <c r="U598" i="169" s="1"/>
  <c r="AQ598" i="169" s="1"/>
  <c r="W598" i="169"/>
  <c r="A599" i="169"/>
  <c r="B599" i="169"/>
  <c r="D599" i="169"/>
  <c r="E599" i="169" s="1"/>
  <c r="F599" i="169"/>
  <c r="J599" i="169"/>
  <c r="AK599" i="169" s="1"/>
  <c r="K599" i="169"/>
  <c r="AL599" i="169" s="1"/>
  <c r="L599" i="169"/>
  <c r="AM599" i="169" s="1"/>
  <c r="O599" i="169"/>
  <c r="AO599" i="169" s="1"/>
  <c r="P599" i="169"/>
  <c r="Q599" i="169"/>
  <c r="U599" i="169" s="1"/>
  <c r="AQ599" i="169" s="1"/>
  <c r="W599" i="169"/>
  <c r="A600" i="169"/>
  <c r="B600" i="169"/>
  <c r="D600" i="169"/>
  <c r="E600" i="169" s="1"/>
  <c r="F600" i="169"/>
  <c r="J600" i="169"/>
  <c r="AK600" i="169" s="1"/>
  <c r="K600" i="169"/>
  <c r="AL600" i="169" s="1"/>
  <c r="L600" i="169"/>
  <c r="AM600" i="169" s="1"/>
  <c r="O600" i="169"/>
  <c r="AO600" i="169" s="1"/>
  <c r="P600" i="169"/>
  <c r="Q600" i="169"/>
  <c r="U600" i="169" s="1"/>
  <c r="AQ600" i="169" s="1"/>
  <c r="W600" i="169"/>
  <c r="A601" i="169"/>
  <c r="B601" i="169"/>
  <c r="D601" i="169"/>
  <c r="E601" i="169" s="1"/>
  <c r="F601" i="169"/>
  <c r="J601" i="169"/>
  <c r="AK601" i="169" s="1"/>
  <c r="K601" i="169"/>
  <c r="AL601" i="169" s="1"/>
  <c r="L601" i="169"/>
  <c r="AM601" i="169" s="1"/>
  <c r="O601" i="169"/>
  <c r="AO601" i="169" s="1"/>
  <c r="P601" i="169"/>
  <c r="Q601" i="169"/>
  <c r="U601" i="169" s="1"/>
  <c r="AQ601" i="169" s="1"/>
  <c r="W601" i="169"/>
  <c r="A602" i="169"/>
  <c r="B602" i="169"/>
  <c r="D602" i="169"/>
  <c r="E602" i="169" s="1"/>
  <c r="F602" i="169"/>
  <c r="J602" i="169"/>
  <c r="AK602" i="169" s="1"/>
  <c r="K602" i="169"/>
  <c r="AL602" i="169" s="1"/>
  <c r="L602" i="169"/>
  <c r="AM602" i="169" s="1"/>
  <c r="O602" i="169"/>
  <c r="AO602" i="169" s="1"/>
  <c r="P602" i="169"/>
  <c r="Q602" i="169"/>
  <c r="U602" i="169" s="1"/>
  <c r="AQ602" i="169" s="1"/>
  <c r="W602" i="169"/>
  <c r="A603" i="169"/>
  <c r="B603" i="169"/>
  <c r="D603" i="169"/>
  <c r="E603" i="169" s="1"/>
  <c r="F603" i="169"/>
  <c r="J603" i="169"/>
  <c r="AK603" i="169" s="1"/>
  <c r="K603" i="169"/>
  <c r="AL603" i="169" s="1"/>
  <c r="L603" i="169"/>
  <c r="AM603" i="169" s="1"/>
  <c r="O603" i="169"/>
  <c r="AO603" i="169" s="1"/>
  <c r="P603" i="169"/>
  <c r="Q603" i="169"/>
  <c r="U603" i="169" s="1"/>
  <c r="AQ603" i="169" s="1"/>
  <c r="W603" i="169"/>
  <c r="A561" i="169"/>
  <c r="B561" i="169"/>
  <c r="D561" i="169"/>
  <c r="E561" i="169" s="1"/>
  <c r="F561" i="169"/>
  <c r="J561" i="169"/>
  <c r="AK561" i="169" s="1"/>
  <c r="K561" i="169"/>
  <c r="AL561" i="169" s="1"/>
  <c r="L561" i="169"/>
  <c r="AM561" i="169" s="1"/>
  <c r="O561" i="169"/>
  <c r="AO561" i="169" s="1"/>
  <c r="P561" i="169"/>
  <c r="Q561" i="169"/>
  <c r="U561" i="169" s="1"/>
  <c r="AQ561" i="169" s="1"/>
  <c r="W561" i="169"/>
  <c r="A560" i="169"/>
  <c r="B560" i="169"/>
  <c r="D560" i="169"/>
  <c r="E560" i="169" s="1"/>
  <c r="F560" i="169"/>
  <c r="J560" i="169"/>
  <c r="AK560" i="169" s="1"/>
  <c r="K560" i="169"/>
  <c r="AL560" i="169" s="1"/>
  <c r="L560" i="169"/>
  <c r="AM560" i="169" s="1"/>
  <c r="O560" i="169"/>
  <c r="AO560" i="169" s="1"/>
  <c r="P560" i="169"/>
  <c r="Q560" i="169"/>
  <c r="U560" i="169" s="1"/>
  <c r="AQ560" i="169" s="1"/>
  <c r="W560" i="169"/>
  <c r="A537" i="169"/>
  <c r="B537" i="169"/>
  <c r="D537" i="169"/>
  <c r="E537" i="169" s="1"/>
  <c r="F537" i="169"/>
  <c r="J537" i="169"/>
  <c r="AK537" i="169" s="1"/>
  <c r="K537" i="169"/>
  <c r="AL537" i="169" s="1"/>
  <c r="L537" i="169"/>
  <c r="AM537" i="169" s="1"/>
  <c r="O537" i="169"/>
  <c r="AO537" i="169" s="1"/>
  <c r="P537" i="169"/>
  <c r="Q537" i="169"/>
  <c r="U537" i="169" s="1"/>
  <c r="AQ537" i="169" s="1"/>
  <c r="W537" i="169"/>
  <c r="A544" i="169"/>
  <c r="B544" i="169"/>
  <c r="D544" i="169"/>
  <c r="E544" i="169" s="1"/>
  <c r="F544" i="169"/>
  <c r="J544" i="169"/>
  <c r="AK544" i="169" s="1"/>
  <c r="K544" i="169"/>
  <c r="AL544" i="169" s="1"/>
  <c r="L544" i="169"/>
  <c r="AM544" i="169" s="1"/>
  <c r="O544" i="169"/>
  <c r="AO544" i="169" s="1"/>
  <c r="P544" i="169"/>
  <c r="Q544" i="169"/>
  <c r="U544" i="169" s="1"/>
  <c r="AQ544" i="169" s="1"/>
  <c r="W544" i="169"/>
  <c r="A545" i="169"/>
  <c r="B545" i="169"/>
  <c r="D545" i="169"/>
  <c r="E545" i="169" s="1"/>
  <c r="F545" i="169"/>
  <c r="J545" i="169"/>
  <c r="AK545" i="169" s="1"/>
  <c r="K545" i="169"/>
  <c r="AL545" i="169" s="1"/>
  <c r="L545" i="169"/>
  <c r="AM545" i="169" s="1"/>
  <c r="O545" i="169"/>
  <c r="AO545" i="169" s="1"/>
  <c r="P545" i="169"/>
  <c r="Q545" i="169"/>
  <c r="U545" i="169" s="1"/>
  <c r="AQ545" i="169" s="1"/>
  <c r="W545" i="169"/>
  <c r="A546" i="169"/>
  <c r="B546" i="169"/>
  <c r="D546" i="169"/>
  <c r="E546" i="169" s="1"/>
  <c r="F546" i="169"/>
  <c r="J546" i="169"/>
  <c r="AK546" i="169" s="1"/>
  <c r="K546" i="169"/>
  <c r="AL546" i="169" s="1"/>
  <c r="L546" i="169"/>
  <c r="AM546" i="169" s="1"/>
  <c r="O546" i="169"/>
  <c r="AO546" i="169" s="1"/>
  <c r="P546" i="169"/>
  <c r="Q546" i="169"/>
  <c r="U546" i="169" s="1"/>
  <c r="AQ546" i="169" s="1"/>
  <c r="W546" i="169"/>
  <c r="A547" i="169"/>
  <c r="B547" i="169"/>
  <c r="D547" i="169"/>
  <c r="E547" i="169" s="1"/>
  <c r="F547" i="169"/>
  <c r="J547" i="169"/>
  <c r="AK547" i="169" s="1"/>
  <c r="K547" i="169"/>
  <c r="AL547" i="169" s="1"/>
  <c r="L547" i="169"/>
  <c r="AM547" i="169" s="1"/>
  <c r="O547" i="169"/>
  <c r="AO547" i="169" s="1"/>
  <c r="P547" i="169"/>
  <c r="Q547" i="169"/>
  <c r="U547" i="169" s="1"/>
  <c r="AQ547" i="169" s="1"/>
  <c r="W547" i="169"/>
  <c r="A548" i="169"/>
  <c r="B548" i="169"/>
  <c r="D548" i="169"/>
  <c r="E548" i="169" s="1"/>
  <c r="F548" i="169"/>
  <c r="J548" i="169"/>
  <c r="AK548" i="169" s="1"/>
  <c r="K548" i="169"/>
  <c r="AL548" i="169" s="1"/>
  <c r="L548" i="169"/>
  <c r="AM548" i="169" s="1"/>
  <c r="O548" i="169"/>
  <c r="AO548" i="169" s="1"/>
  <c r="P548" i="169"/>
  <c r="Q548" i="169"/>
  <c r="U548" i="169" s="1"/>
  <c r="AQ548" i="169" s="1"/>
  <c r="W548" i="169"/>
  <c r="A549" i="169"/>
  <c r="B549" i="169"/>
  <c r="D549" i="169"/>
  <c r="E549" i="169" s="1"/>
  <c r="F549" i="169"/>
  <c r="J549" i="169"/>
  <c r="AK549" i="169" s="1"/>
  <c r="K549" i="169"/>
  <c r="AL549" i="169" s="1"/>
  <c r="L549" i="169"/>
  <c r="AM549" i="169" s="1"/>
  <c r="O549" i="169"/>
  <c r="AO549" i="169" s="1"/>
  <c r="P549" i="169"/>
  <c r="Q549" i="169"/>
  <c r="U549" i="169" s="1"/>
  <c r="AQ549" i="169" s="1"/>
  <c r="W549" i="169"/>
  <c r="A550" i="169"/>
  <c r="B550" i="169"/>
  <c r="D550" i="169"/>
  <c r="E550" i="169" s="1"/>
  <c r="F550" i="169"/>
  <c r="J550" i="169"/>
  <c r="AK550" i="169" s="1"/>
  <c r="K550" i="169"/>
  <c r="AL550" i="169" s="1"/>
  <c r="L550" i="169"/>
  <c r="AM550" i="169" s="1"/>
  <c r="O550" i="169"/>
  <c r="AO550" i="169" s="1"/>
  <c r="P550" i="169"/>
  <c r="Q550" i="169"/>
  <c r="S550" i="169" s="1"/>
  <c r="AP550" i="169" s="1"/>
  <c r="W550" i="169"/>
  <c r="A551" i="169"/>
  <c r="B551" i="169"/>
  <c r="D551" i="169"/>
  <c r="E551" i="169" s="1"/>
  <c r="F551" i="169"/>
  <c r="J551" i="169"/>
  <c r="AK551" i="169" s="1"/>
  <c r="K551" i="169"/>
  <c r="AL551" i="169" s="1"/>
  <c r="L551" i="169"/>
  <c r="AM551" i="169" s="1"/>
  <c r="O551" i="169"/>
  <c r="AO551" i="169" s="1"/>
  <c r="P551" i="169"/>
  <c r="Q551" i="169"/>
  <c r="U551" i="169" s="1"/>
  <c r="AQ551" i="169" s="1"/>
  <c r="W551" i="169"/>
  <c r="A552" i="169"/>
  <c r="B552" i="169"/>
  <c r="D552" i="169"/>
  <c r="E552" i="169" s="1"/>
  <c r="F552" i="169"/>
  <c r="J552" i="169"/>
  <c r="AK552" i="169" s="1"/>
  <c r="K552" i="169"/>
  <c r="AL552" i="169" s="1"/>
  <c r="L552" i="169"/>
  <c r="AM552" i="169" s="1"/>
  <c r="O552" i="169"/>
  <c r="AO552" i="169" s="1"/>
  <c r="P552" i="169"/>
  <c r="Q552" i="169"/>
  <c r="U552" i="169" s="1"/>
  <c r="AQ552" i="169" s="1"/>
  <c r="W552" i="169"/>
  <c r="A553" i="169"/>
  <c r="B553" i="169"/>
  <c r="D553" i="169"/>
  <c r="E553" i="169" s="1"/>
  <c r="F553" i="169"/>
  <c r="J553" i="169"/>
  <c r="AK553" i="169" s="1"/>
  <c r="K553" i="169"/>
  <c r="AL553" i="169" s="1"/>
  <c r="L553" i="169"/>
  <c r="AM553" i="169" s="1"/>
  <c r="O553" i="169"/>
  <c r="AO553" i="169" s="1"/>
  <c r="P553" i="169"/>
  <c r="Q553" i="169"/>
  <c r="U553" i="169" s="1"/>
  <c r="AQ553" i="169" s="1"/>
  <c r="W553" i="169"/>
  <c r="A554" i="169"/>
  <c r="B554" i="169"/>
  <c r="D554" i="169"/>
  <c r="E554" i="169" s="1"/>
  <c r="F554" i="169"/>
  <c r="J554" i="169"/>
  <c r="AK554" i="169" s="1"/>
  <c r="K554" i="169"/>
  <c r="AL554" i="169" s="1"/>
  <c r="L554" i="169"/>
  <c r="AM554" i="169" s="1"/>
  <c r="O554" i="169"/>
  <c r="AO554" i="169" s="1"/>
  <c r="P554" i="169"/>
  <c r="Q554" i="169"/>
  <c r="U554" i="169" s="1"/>
  <c r="AQ554" i="169" s="1"/>
  <c r="W554" i="169"/>
  <c r="A555" i="169"/>
  <c r="B555" i="169"/>
  <c r="D555" i="169"/>
  <c r="E555" i="169" s="1"/>
  <c r="F555" i="169"/>
  <c r="J555" i="169"/>
  <c r="AK555" i="169" s="1"/>
  <c r="K555" i="169"/>
  <c r="AL555" i="169" s="1"/>
  <c r="L555" i="169"/>
  <c r="AM555" i="169" s="1"/>
  <c r="O555" i="169"/>
  <c r="AO555" i="169" s="1"/>
  <c r="P555" i="169"/>
  <c r="Q555" i="169"/>
  <c r="U555" i="169" s="1"/>
  <c r="AQ555" i="169" s="1"/>
  <c r="W555" i="169"/>
  <c r="A556" i="169"/>
  <c r="B556" i="169"/>
  <c r="D556" i="169"/>
  <c r="E556" i="169" s="1"/>
  <c r="F556" i="169"/>
  <c r="J556" i="169"/>
  <c r="AK556" i="169" s="1"/>
  <c r="K556" i="169"/>
  <c r="AL556" i="169" s="1"/>
  <c r="L556" i="169"/>
  <c r="AM556" i="169" s="1"/>
  <c r="O556" i="169"/>
  <c r="AO556" i="169" s="1"/>
  <c r="P556" i="169"/>
  <c r="Q556" i="169"/>
  <c r="U556" i="169" s="1"/>
  <c r="AQ556" i="169" s="1"/>
  <c r="W556" i="169"/>
  <c r="A557" i="169"/>
  <c r="B557" i="169"/>
  <c r="D557" i="169"/>
  <c r="E557" i="169" s="1"/>
  <c r="F557" i="169"/>
  <c r="J557" i="169"/>
  <c r="AK557" i="169" s="1"/>
  <c r="K557" i="169"/>
  <c r="AL557" i="169" s="1"/>
  <c r="L557" i="169"/>
  <c r="AM557" i="169" s="1"/>
  <c r="O557" i="169"/>
  <c r="AO557" i="169" s="1"/>
  <c r="P557" i="169"/>
  <c r="Q557" i="169"/>
  <c r="U557" i="169" s="1"/>
  <c r="AQ557" i="169" s="1"/>
  <c r="W557" i="169"/>
  <c r="A558" i="169"/>
  <c r="B558" i="169"/>
  <c r="D558" i="169"/>
  <c r="E558" i="169" s="1"/>
  <c r="F558" i="169"/>
  <c r="J558" i="169"/>
  <c r="AK558" i="169" s="1"/>
  <c r="K558" i="169"/>
  <c r="AL558" i="169" s="1"/>
  <c r="L558" i="169"/>
  <c r="AM558" i="169" s="1"/>
  <c r="O558" i="169"/>
  <c r="AO558" i="169" s="1"/>
  <c r="P558" i="169"/>
  <c r="Q558" i="169"/>
  <c r="U558" i="169" s="1"/>
  <c r="AQ558" i="169" s="1"/>
  <c r="W558" i="169"/>
  <c r="A559" i="169"/>
  <c r="B559" i="169"/>
  <c r="D559" i="169"/>
  <c r="E559" i="169" s="1"/>
  <c r="F559" i="169"/>
  <c r="J559" i="169"/>
  <c r="AK559" i="169" s="1"/>
  <c r="K559" i="169"/>
  <c r="AL559" i="169" s="1"/>
  <c r="L559" i="169"/>
  <c r="AM559" i="169" s="1"/>
  <c r="O559" i="169"/>
  <c r="AO559" i="169" s="1"/>
  <c r="P559" i="169"/>
  <c r="Q559" i="169"/>
  <c r="U559" i="169" s="1"/>
  <c r="AQ559" i="169" s="1"/>
  <c r="W559" i="169"/>
  <c r="A562" i="169"/>
  <c r="B562" i="169"/>
  <c r="D562" i="169"/>
  <c r="E562" i="169" s="1"/>
  <c r="F562" i="169"/>
  <c r="J562" i="169"/>
  <c r="AK562" i="169" s="1"/>
  <c r="K562" i="169"/>
  <c r="AL562" i="169" s="1"/>
  <c r="L562" i="169"/>
  <c r="AM562" i="169" s="1"/>
  <c r="O562" i="169"/>
  <c r="AO562" i="169" s="1"/>
  <c r="P562" i="169"/>
  <c r="Q562" i="169"/>
  <c r="U562" i="169" s="1"/>
  <c r="AQ562" i="169" s="1"/>
  <c r="W562" i="169"/>
  <c r="A563" i="169"/>
  <c r="B563" i="169"/>
  <c r="D563" i="169"/>
  <c r="E563" i="169" s="1"/>
  <c r="F563" i="169"/>
  <c r="J563" i="169"/>
  <c r="AK563" i="169" s="1"/>
  <c r="K563" i="169"/>
  <c r="AL563" i="169" s="1"/>
  <c r="L563" i="169"/>
  <c r="AM563" i="169" s="1"/>
  <c r="O563" i="169"/>
  <c r="AO563" i="169" s="1"/>
  <c r="P563" i="169"/>
  <c r="Q563" i="169"/>
  <c r="U563" i="169" s="1"/>
  <c r="AQ563" i="169" s="1"/>
  <c r="W563" i="169"/>
  <c r="A564" i="169"/>
  <c r="B564" i="169"/>
  <c r="D564" i="169"/>
  <c r="E564" i="169" s="1"/>
  <c r="F564" i="169"/>
  <c r="J564" i="169"/>
  <c r="AK564" i="169" s="1"/>
  <c r="K564" i="169"/>
  <c r="AL564" i="169" s="1"/>
  <c r="L564" i="169"/>
  <c r="AM564" i="169" s="1"/>
  <c r="O564" i="169"/>
  <c r="AO564" i="169" s="1"/>
  <c r="P564" i="169"/>
  <c r="Q564" i="169"/>
  <c r="U564" i="169" s="1"/>
  <c r="AQ564" i="169" s="1"/>
  <c r="W564" i="169"/>
  <c r="A565" i="169"/>
  <c r="B565" i="169"/>
  <c r="D565" i="169"/>
  <c r="E565" i="169" s="1"/>
  <c r="F565" i="169"/>
  <c r="J565" i="169"/>
  <c r="AK565" i="169" s="1"/>
  <c r="K565" i="169"/>
  <c r="AL565" i="169" s="1"/>
  <c r="L565" i="169"/>
  <c r="AM565" i="169" s="1"/>
  <c r="O565" i="169"/>
  <c r="AO565" i="169" s="1"/>
  <c r="P565" i="169"/>
  <c r="Q565" i="169"/>
  <c r="U565" i="169" s="1"/>
  <c r="AQ565" i="169" s="1"/>
  <c r="W565" i="169"/>
  <c r="A566" i="169"/>
  <c r="B566" i="169"/>
  <c r="D566" i="169"/>
  <c r="E566" i="169" s="1"/>
  <c r="F566" i="169"/>
  <c r="J566" i="169"/>
  <c r="AK566" i="169" s="1"/>
  <c r="K566" i="169"/>
  <c r="AL566" i="169" s="1"/>
  <c r="L566" i="169"/>
  <c r="AM566" i="169" s="1"/>
  <c r="O566" i="169"/>
  <c r="AO566" i="169" s="1"/>
  <c r="P566" i="169"/>
  <c r="Q566" i="169"/>
  <c r="U566" i="169" s="1"/>
  <c r="AQ566" i="169" s="1"/>
  <c r="W566" i="169"/>
  <c r="A567" i="169"/>
  <c r="B567" i="169"/>
  <c r="D567" i="169"/>
  <c r="E567" i="169" s="1"/>
  <c r="F567" i="169"/>
  <c r="J567" i="169"/>
  <c r="AK567" i="169" s="1"/>
  <c r="K567" i="169"/>
  <c r="AL567" i="169" s="1"/>
  <c r="L567" i="169"/>
  <c r="AM567" i="169" s="1"/>
  <c r="O567" i="169"/>
  <c r="AO567" i="169" s="1"/>
  <c r="P567" i="169"/>
  <c r="Q567" i="169"/>
  <c r="U567" i="169" s="1"/>
  <c r="AQ567" i="169" s="1"/>
  <c r="W567" i="169"/>
  <c r="A568" i="169"/>
  <c r="B568" i="169"/>
  <c r="D568" i="169"/>
  <c r="E568" i="169" s="1"/>
  <c r="F568" i="169"/>
  <c r="J568" i="169"/>
  <c r="AK568" i="169" s="1"/>
  <c r="K568" i="169"/>
  <c r="AL568" i="169" s="1"/>
  <c r="L568" i="169"/>
  <c r="AM568" i="169" s="1"/>
  <c r="O568" i="169"/>
  <c r="AO568" i="169" s="1"/>
  <c r="P568" i="169"/>
  <c r="Q568" i="169"/>
  <c r="U568" i="169" s="1"/>
  <c r="AQ568" i="169" s="1"/>
  <c r="W568" i="169"/>
  <c r="A569" i="169"/>
  <c r="B569" i="169"/>
  <c r="D569" i="169"/>
  <c r="E569" i="169" s="1"/>
  <c r="F569" i="169"/>
  <c r="J569" i="169"/>
  <c r="AK569" i="169" s="1"/>
  <c r="K569" i="169"/>
  <c r="AL569" i="169" s="1"/>
  <c r="L569" i="169"/>
  <c r="AM569" i="169" s="1"/>
  <c r="O569" i="169"/>
  <c r="AO569" i="169" s="1"/>
  <c r="P569" i="169"/>
  <c r="Q569" i="169"/>
  <c r="U569" i="169" s="1"/>
  <c r="AQ569" i="169" s="1"/>
  <c r="W569" i="169"/>
  <c r="A570" i="169"/>
  <c r="B570" i="169"/>
  <c r="D570" i="169"/>
  <c r="E570" i="169" s="1"/>
  <c r="F570" i="169"/>
  <c r="J570" i="169"/>
  <c r="AK570" i="169" s="1"/>
  <c r="K570" i="169"/>
  <c r="AL570" i="169" s="1"/>
  <c r="L570" i="169"/>
  <c r="AM570" i="169" s="1"/>
  <c r="O570" i="169"/>
  <c r="AO570" i="169" s="1"/>
  <c r="P570" i="169"/>
  <c r="Q570" i="169"/>
  <c r="U570" i="169" s="1"/>
  <c r="AQ570" i="169" s="1"/>
  <c r="W570" i="169"/>
  <c r="A571" i="169"/>
  <c r="B571" i="169"/>
  <c r="D571" i="169"/>
  <c r="E571" i="169" s="1"/>
  <c r="F571" i="169"/>
  <c r="J571" i="169"/>
  <c r="AK571" i="169" s="1"/>
  <c r="K571" i="169"/>
  <c r="AL571" i="169" s="1"/>
  <c r="L571" i="169"/>
  <c r="AM571" i="169" s="1"/>
  <c r="O571" i="169"/>
  <c r="AO571" i="169" s="1"/>
  <c r="P571" i="169"/>
  <c r="Q571" i="169"/>
  <c r="U571" i="169" s="1"/>
  <c r="AQ571" i="169" s="1"/>
  <c r="W571" i="169"/>
  <c r="A572" i="169"/>
  <c r="B572" i="169"/>
  <c r="D572" i="169"/>
  <c r="E572" i="169" s="1"/>
  <c r="F572" i="169"/>
  <c r="J572" i="169"/>
  <c r="AK572" i="169" s="1"/>
  <c r="K572" i="169"/>
  <c r="AL572" i="169" s="1"/>
  <c r="L572" i="169"/>
  <c r="AM572" i="169" s="1"/>
  <c r="O572" i="169"/>
  <c r="AO572" i="169" s="1"/>
  <c r="P572" i="169"/>
  <c r="Q572" i="169"/>
  <c r="U572" i="169" s="1"/>
  <c r="AQ572" i="169" s="1"/>
  <c r="W572" i="169"/>
  <c r="A573" i="169"/>
  <c r="B573" i="169"/>
  <c r="D573" i="169"/>
  <c r="E573" i="169" s="1"/>
  <c r="F573" i="169"/>
  <c r="J573" i="169"/>
  <c r="AK573" i="169" s="1"/>
  <c r="K573" i="169"/>
  <c r="AL573" i="169" s="1"/>
  <c r="L573" i="169"/>
  <c r="AM573" i="169" s="1"/>
  <c r="O573" i="169"/>
  <c r="AO573" i="169" s="1"/>
  <c r="P573" i="169"/>
  <c r="Q573" i="169"/>
  <c r="U573" i="169" s="1"/>
  <c r="AQ573" i="169" s="1"/>
  <c r="W573" i="169"/>
  <c r="A574" i="169"/>
  <c r="B574" i="169"/>
  <c r="D574" i="169"/>
  <c r="E574" i="169" s="1"/>
  <c r="F574" i="169"/>
  <c r="J574" i="169"/>
  <c r="AK574" i="169" s="1"/>
  <c r="K574" i="169"/>
  <c r="AL574" i="169" s="1"/>
  <c r="L574" i="169"/>
  <c r="AM574" i="169" s="1"/>
  <c r="O574" i="169"/>
  <c r="AO574" i="169" s="1"/>
  <c r="P574" i="169"/>
  <c r="Q574" i="169"/>
  <c r="U574" i="169" s="1"/>
  <c r="AQ574" i="169" s="1"/>
  <c r="W574" i="169"/>
  <c r="A575" i="169"/>
  <c r="B575" i="169"/>
  <c r="D575" i="169"/>
  <c r="E575" i="169" s="1"/>
  <c r="F575" i="169"/>
  <c r="J575" i="169"/>
  <c r="AK575" i="169" s="1"/>
  <c r="K575" i="169"/>
  <c r="AL575" i="169" s="1"/>
  <c r="L575" i="169"/>
  <c r="AM575" i="169" s="1"/>
  <c r="O575" i="169"/>
  <c r="AO575" i="169" s="1"/>
  <c r="P575" i="169"/>
  <c r="Q575" i="169"/>
  <c r="U575" i="169" s="1"/>
  <c r="AQ575" i="169" s="1"/>
  <c r="W575" i="169"/>
  <c r="A576" i="169"/>
  <c r="B576" i="169"/>
  <c r="D576" i="169"/>
  <c r="E576" i="169" s="1"/>
  <c r="F576" i="169"/>
  <c r="J576" i="169"/>
  <c r="AK576" i="169" s="1"/>
  <c r="K576" i="169"/>
  <c r="AL576" i="169" s="1"/>
  <c r="L576" i="169"/>
  <c r="AM576" i="169" s="1"/>
  <c r="O576" i="169"/>
  <c r="AO576" i="169" s="1"/>
  <c r="P576" i="169"/>
  <c r="Q576" i="169"/>
  <c r="U576" i="169" s="1"/>
  <c r="AQ576" i="169" s="1"/>
  <c r="W576" i="169"/>
  <c r="A604" i="169"/>
  <c r="B604" i="169"/>
  <c r="D604" i="169"/>
  <c r="E604" i="169" s="1"/>
  <c r="F604" i="169"/>
  <c r="J604" i="169"/>
  <c r="AK604" i="169" s="1"/>
  <c r="K604" i="169"/>
  <c r="AL604" i="169" s="1"/>
  <c r="L604" i="169"/>
  <c r="AM604" i="169" s="1"/>
  <c r="O604" i="169"/>
  <c r="AO604" i="169" s="1"/>
  <c r="P604" i="169"/>
  <c r="Q604" i="169"/>
  <c r="U604" i="169" s="1"/>
  <c r="AQ604" i="169" s="1"/>
  <c r="W604" i="169"/>
  <c r="A605" i="169"/>
  <c r="B605" i="169"/>
  <c r="D605" i="169"/>
  <c r="E605" i="169" s="1"/>
  <c r="F605" i="169"/>
  <c r="J605" i="169"/>
  <c r="AK605" i="169" s="1"/>
  <c r="K605" i="169"/>
  <c r="AL605" i="169" s="1"/>
  <c r="L605" i="169"/>
  <c r="AM605" i="169" s="1"/>
  <c r="O605" i="169"/>
  <c r="AO605" i="169" s="1"/>
  <c r="P605" i="169"/>
  <c r="Q605" i="169"/>
  <c r="U605" i="169" s="1"/>
  <c r="AQ605" i="169" s="1"/>
  <c r="W605" i="169"/>
  <c r="A606" i="169"/>
  <c r="B606" i="169"/>
  <c r="D606" i="169"/>
  <c r="E606" i="169" s="1"/>
  <c r="F606" i="169"/>
  <c r="J606" i="169"/>
  <c r="AK606" i="169" s="1"/>
  <c r="K606" i="169"/>
  <c r="AL606" i="169" s="1"/>
  <c r="L606" i="169"/>
  <c r="AM606" i="169" s="1"/>
  <c r="O606" i="169"/>
  <c r="AO606" i="169" s="1"/>
  <c r="P606" i="169"/>
  <c r="Q606" i="169"/>
  <c r="U606" i="169" s="1"/>
  <c r="AQ606" i="169" s="1"/>
  <c r="W606" i="169"/>
  <c r="A607" i="169"/>
  <c r="B607" i="169"/>
  <c r="D607" i="169"/>
  <c r="E607" i="169" s="1"/>
  <c r="F607" i="169"/>
  <c r="J607" i="169"/>
  <c r="AK607" i="169" s="1"/>
  <c r="K607" i="169"/>
  <c r="AL607" i="169" s="1"/>
  <c r="L607" i="169"/>
  <c r="AM607" i="169" s="1"/>
  <c r="O607" i="169"/>
  <c r="AO607" i="169" s="1"/>
  <c r="P607" i="169"/>
  <c r="Q607" i="169"/>
  <c r="U607" i="169" s="1"/>
  <c r="AQ607" i="169" s="1"/>
  <c r="W607" i="169"/>
  <c r="A608" i="169"/>
  <c r="B608" i="169"/>
  <c r="D608" i="169"/>
  <c r="E608" i="169" s="1"/>
  <c r="F608" i="169"/>
  <c r="J608" i="169"/>
  <c r="AK608" i="169" s="1"/>
  <c r="K608" i="169"/>
  <c r="AL608" i="169" s="1"/>
  <c r="L608" i="169"/>
  <c r="AM608" i="169" s="1"/>
  <c r="O608" i="169"/>
  <c r="AO608" i="169" s="1"/>
  <c r="P608" i="169"/>
  <c r="Q608" i="169"/>
  <c r="U608" i="169" s="1"/>
  <c r="AQ608" i="169" s="1"/>
  <c r="W608" i="169"/>
  <c r="A531" i="169"/>
  <c r="B531" i="169"/>
  <c r="D531" i="169"/>
  <c r="E531" i="169" s="1"/>
  <c r="F531" i="169"/>
  <c r="J531" i="169"/>
  <c r="AK531" i="169" s="1"/>
  <c r="K531" i="169"/>
  <c r="AL531" i="169" s="1"/>
  <c r="L531" i="169"/>
  <c r="AM531" i="169" s="1"/>
  <c r="O531" i="169"/>
  <c r="AO531" i="169" s="1"/>
  <c r="P531" i="169"/>
  <c r="Q531" i="169"/>
  <c r="U531" i="169" s="1"/>
  <c r="AQ531" i="169" s="1"/>
  <c r="W531" i="169"/>
  <c r="A518" i="169"/>
  <c r="B518" i="169"/>
  <c r="D518" i="169"/>
  <c r="E518" i="169" s="1"/>
  <c r="F518" i="169"/>
  <c r="J518" i="169"/>
  <c r="AK518" i="169" s="1"/>
  <c r="K518" i="169"/>
  <c r="AL518" i="169" s="1"/>
  <c r="L518" i="169"/>
  <c r="AM518" i="169" s="1"/>
  <c r="O518" i="169"/>
  <c r="AO518" i="169" s="1"/>
  <c r="P518" i="169"/>
  <c r="Q518" i="169"/>
  <c r="U518" i="169" s="1"/>
  <c r="AQ518" i="169" s="1"/>
  <c r="W518" i="169"/>
  <c r="A519" i="169"/>
  <c r="B519" i="169"/>
  <c r="D519" i="169"/>
  <c r="E519" i="169" s="1"/>
  <c r="F519" i="169"/>
  <c r="J519" i="169"/>
  <c r="AK519" i="169" s="1"/>
  <c r="K519" i="169"/>
  <c r="AL519" i="169" s="1"/>
  <c r="L519" i="169"/>
  <c r="AM519" i="169" s="1"/>
  <c r="O519" i="169"/>
  <c r="AO519" i="169" s="1"/>
  <c r="P519" i="169"/>
  <c r="Q519" i="169"/>
  <c r="U519" i="169" s="1"/>
  <c r="AQ519" i="169" s="1"/>
  <c r="W519" i="169"/>
  <c r="A520" i="169"/>
  <c r="B520" i="169"/>
  <c r="D520" i="169"/>
  <c r="E520" i="169" s="1"/>
  <c r="F520" i="169"/>
  <c r="J520" i="169"/>
  <c r="AK520" i="169" s="1"/>
  <c r="K520" i="169"/>
  <c r="AL520" i="169" s="1"/>
  <c r="L520" i="169"/>
  <c r="AM520" i="169" s="1"/>
  <c r="O520" i="169"/>
  <c r="AO520" i="169" s="1"/>
  <c r="P520" i="169"/>
  <c r="Q520" i="169"/>
  <c r="U520" i="169" s="1"/>
  <c r="AQ520" i="169" s="1"/>
  <c r="W520" i="169"/>
  <c r="A521" i="169"/>
  <c r="B521" i="169"/>
  <c r="D521" i="169"/>
  <c r="E521" i="169" s="1"/>
  <c r="F521" i="169"/>
  <c r="J521" i="169"/>
  <c r="AK521" i="169" s="1"/>
  <c r="K521" i="169"/>
  <c r="AL521" i="169" s="1"/>
  <c r="L521" i="169"/>
  <c r="AM521" i="169" s="1"/>
  <c r="O521" i="169"/>
  <c r="AO521" i="169" s="1"/>
  <c r="P521" i="169"/>
  <c r="Q521" i="169"/>
  <c r="U521" i="169" s="1"/>
  <c r="AQ521" i="169" s="1"/>
  <c r="W521" i="169"/>
  <c r="A522" i="169"/>
  <c r="B522" i="169"/>
  <c r="D522" i="169"/>
  <c r="E522" i="169" s="1"/>
  <c r="F522" i="169"/>
  <c r="J522" i="169"/>
  <c r="AK522" i="169" s="1"/>
  <c r="K522" i="169"/>
  <c r="AL522" i="169" s="1"/>
  <c r="L522" i="169"/>
  <c r="AM522" i="169" s="1"/>
  <c r="O522" i="169"/>
  <c r="AO522" i="169" s="1"/>
  <c r="P522" i="169"/>
  <c r="Q522" i="169"/>
  <c r="U522" i="169" s="1"/>
  <c r="AQ522" i="169" s="1"/>
  <c r="W522" i="169"/>
  <c r="A523" i="169"/>
  <c r="B523" i="169"/>
  <c r="D523" i="169"/>
  <c r="E523" i="169" s="1"/>
  <c r="F523" i="169"/>
  <c r="J523" i="169"/>
  <c r="AK523" i="169" s="1"/>
  <c r="K523" i="169"/>
  <c r="AL523" i="169" s="1"/>
  <c r="L523" i="169"/>
  <c r="AM523" i="169" s="1"/>
  <c r="O523" i="169"/>
  <c r="AO523" i="169" s="1"/>
  <c r="P523" i="169"/>
  <c r="Q523" i="169"/>
  <c r="U523" i="169" s="1"/>
  <c r="AQ523" i="169" s="1"/>
  <c r="W523" i="169"/>
  <c r="A524" i="169"/>
  <c r="B524" i="169"/>
  <c r="D524" i="169"/>
  <c r="E524" i="169" s="1"/>
  <c r="F524" i="169"/>
  <c r="J524" i="169"/>
  <c r="AK524" i="169" s="1"/>
  <c r="K524" i="169"/>
  <c r="AL524" i="169" s="1"/>
  <c r="L524" i="169"/>
  <c r="AM524" i="169" s="1"/>
  <c r="O524" i="169"/>
  <c r="AO524" i="169" s="1"/>
  <c r="P524" i="169"/>
  <c r="Q524" i="169"/>
  <c r="U524" i="169" s="1"/>
  <c r="AQ524" i="169" s="1"/>
  <c r="W524" i="169"/>
  <c r="A525" i="169"/>
  <c r="B525" i="169"/>
  <c r="D525" i="169"/>
  <c r="E525" i="169" s="1"/>
  <c r="F525" i="169"/>
  <c r="J525" i="169"/>
  <c r="AK525" i="169" s="1"/>
  <c r="K525" i="169"/>
  <c r="AL525" i="169" s="1"/>
  <c r="L525" i="169"/>
  <c r="AM525" i="169" s="1"/>
  <c r="O525" i="169"/>
  <c r="AO525" i="169" s="1"/>
  <c r="P525" i="169"/>
  <c r="Q525" i="169"/>
  <c r="U525" i="169" s="1"/>
  <c r="AQ525" i="169" s="1"/>
  <c r="W525" i="169"/>
  <c r="A526" i="169"/>
  <c r="B526" i="169"/>
  <c r="D526" i="169"/>
  <c r="E526" i="169" s="1"/>
  <c r="F526" i="169"/>
  <c r="J526" i="169"/>
  <c r="AK526" i="169" s="1"/>
  <c r="K526" i="169"/>
  <c r="AL526" i="169" s="1"/>
  <c r="L526" i="169"/>
  <c r="AM526" i="169" s="1"/>
  <c r="O526" i="169"/>
  <c r="AO526" i="169" s="1"/>
  <c r="P526" i="169"/>
  <c r="Q526" i="169"/>
  <c r="U526" i="169" s="1"/>
  <c r="AQ526" i="169" s="1"/>
  <c r="W526" i="169"/>
  <c r="A527" i="169"/>
  <c r="B527" i="169"/>
  <c r="D527" i="169"/>
  <c r="E527" i="169" s="1"/>
  <c r="F527" i="169"/>
  <c r="J527" i="169"/>
  <c r="AK527" i="169" s="1"/>
  <c r="K527" i="169"/>
  <c r="AL527" i="169" s="1"/>
  <c r="L527" i="169"/>
  <c r="AM527" i="169" s="1"/>
  <c r="O527" i="169"/>
  <c r="AO527" i="169" s="1"/>
  <c r="P527" i="169"/>
  <c r="Q527" i="169"/>
  <c r="U527" i="169" s="1"/>
  <c r="AQ527" i="169" s="1"/>
  <c r="W527" i="169"/>
  <c r="A528" i="169"/>
  <c r="B528" i="169"/>
  <c r="D528" i="169"/>
  <c r="E528" i="169" s="1"/>
  <c r="F528" i="169"/>
  <c r="J528" i="169"/>
  <c r="AK528" i="169" s="1"/>
  <c r="K528" i="169"/>
  <c r="AL528" i="169" s="1"/>
  <c r="L528" i="169"/>
  <c r="AM528" i="169" s="1"/>
  <c r="O528" i="169"/>
  <c r="AO528" i="169" s="1"/>
  <c r="P528" i="169"/>
  <c r="Q528" i="169"/>
  <c r="U528" i="169" s="1"/>
  <c r="AQ528" i="169" s="1"/>
  <c r="W528" i="169"/>
  <c r="A529" i="169"/>
  <c r="B529" i="169"/>
  <c r="D529" i="169"/>
  <c r="E529" i="169" s="1"/>
  <c r="F529" i="169"/>
  <c r="J529" i="169"/>
  <c r="AK529" i="169" s="1"/>
  <c r="K529" i="169"/>
  <c r="AL529" i="169" s="1"/>
  <c r="L529" i="169"/>
  <c r="AM529" i="169" s="1"/>
  <c r="O529" i="169"/>
  <c r="AO529" i="169" s="1"/>
  <c r="P529" i="169"/>
  <c r="Q529" i="169"/>
  <c r="U529" i="169" s="1"/>
  <c r="AQ529" i="169" s="1"/>
  <c r="W529" i="169"/>
  <c r="A530" i="169"/>
  <c r="B530" i="169"/>
  <c r="D530" i="169"/>
  <c r="E530" i="169" s="1"/>
  <c r="F530" i="169"/>
  <c r="J530" i="169"/>
  <c r="AK530" i="169" s="1"/>
  <c r="K530" i="169"/>
  <c r="AL530" i="169" s="1"/>
  <c r="L530" i="169"/>
  <c r="AM530" i="169" s="1"/>
  <c r="O530" i="169"/>
  <c r="AO530" i="169" s="1"/>
  <c r="P530" i="169"/>
  <c r="Q530" i="169"/>
  <c r="U530" i="169" s="1"/>
  <c r="AQ530" i="169" s="1"/>
  <c r="W530" i="169"/>
  <c r="A532" i="169"/>
  <c r="B532" i="169"/>
  <c r="D532" i="169"/>
  <c r="E532" i="169" s="1"/>
  <c r="F532" i="169"/>
  <c r="J532" i="169"/>
  <c r="AK532" i="169" s="1"/>
  <c r="K532" i="169"/>
  <c r="AL532" i="169" s="1"/>
  <c r="L532" i="169"/>
  <c r="AM532" i="169" s="1"/>
  <c r="O532" i="169"/>
  <c r="AO532" i="169" s="1"/>
  <c r="P532" i="169"/>
  <c r="Q532" i="169"/>
  <c r="S532" i="169" s="1"/>
  <c r="AP532" i="169" s="1"/>
  <c r="W532" i="169"/>
  <c r="A533" i="169"/>
  <c r="B533" i="169"/>
  <c r="D533" i="169"/>
  <c r="E533" i="169" s="1"/>
  <c r="F533" i="169"/>
  <c r="J533" i="169"/>
  <c r="AK533" i="169" s="1"/>
  <c r="K533" i="169"/>
  <c r="AL533" i="169" s="1"/>
  <c r="L533" i="169"/>
  <c r="AM533" i="169" s="1"/>
  <c r="O533" i="169"/>
  <c r="AO533" i="169" s="1"/>
  <c r="P533" i="169"/>
  <c r="Q533" i="169"/>
  <c r="U533" i="169" s="1"/>
  <c r="AQ533" i="169" s="1"/>
  <c r="W533" i="169"/>
  <c r="A534" i="169"/>
  <c r="B534" i="169"/>
  <c r="D534" i="169"/>
  <c r="E534" i="169" s="1"/>
  <c r="F534" i="169"/>
  <c r="J534" i="169"/>
  <c r="AK534" i="169" s="1"/>
  <c r="K534" i="169"/>
  <c r="AL534" i="169" s="1"/>
  <c r="L534" i="169"/>
  <c r="AM534" i="169" s="1"/>
  <c r="O534" i="169"/>
  <c r="AO534" i="169" s="1"/>
  <c r="P534" i="169"/>
  <c r="Q534" i="169"/>
  <c r="U534" i="169" s="1"/>
  <c r="AQ534" i="169" s="1"/>
  <c r="W534" i="169"/>
  <c r="A535" i="169"/>
  <c r="B535" i="169"/>
  <c r="D535" i="169"/>
  <c r="E535" i="169" s="1"/>
  <c r="F535" i="169"/>
  <c r="J535" i="169"/>
  <c r="AK535" i="169" s="1"/>
  <c r="K535" i="169"/>
  <c r="AL535" i="169" s="1"/>
  <c r="L535" i="169"/>
  <c r="AM535" i="169" s="1"/>
  <c r="O535" i="169"/>
  <c r="AO535" i="169" s="1"/>
  <c r="P535" i="169"/>
  <c r="Q535" i="169"/>
  <c r="U535" i="169" s="1"/>
  <c r="AQ535" i="169" s="1"/>
  <c r="W535" i="169"/>
  <c r="A536" i="169"/>
  <c r="B536" i="169"/>
  <c r="D536" i="169"/>
  <c r="E536" i="169" s="1"/>
  <c r="F536" i="169"/>
  <c r="J536" i="169"/>
  <c r="AK536" i="169" s="1"/>
  <c r="K536" i="169"/>
  <c r="AL536" i="169" s="1"/>
  <c r="L536" i="169"/>
  <c r="AM536" i="169" s="1"/>
  <c r="O536" i="169"/>
  <c r="AO536" i="169" s="1"/>
  <c r="P536" i="169"/>
  <c r="Q536" i="169"/>
  <c r="U536" i="169" s="1"/>
  <c r="AQ536" i="169" s="1"/>
  <c r="W536" i="169"/>
  <c r="A538" i="169"/>
  <c r="B538" i="169"/>
  <c r="D538" i="169"/>
  <c r="E538" i="169" s="1"/>
  <c r="F538" i="169"/>
  <c r="J538" i="169"/>
  <c r="AK538" i="169" s="1"/>
  <c r="K538" i="169"/>
  <c r="AL538" i="169" s="1"/>
  <c r="L538" i="169"/>
  <c r="AM538" i="169" s="1"/>
  <c r="O538" i="169"/>
  <c r="AO538" i="169" s="1"/>
  <c r="P538" i="169"/>
  <c r="Q538" i="169"/>
  <c r="U538" i="169" s="1"/>
  <c r="AQ538" i="169" s="1"/>
  <c r="W538" i="169"/>
  <c r="A539" i="169"/>
  <c r="B539" i="169"/>
  <c r="D539" i="169"/>
  <c r="E539" i="169" s="1"/>
  <c r="F539" i="169"/>
  <c r="J539" i="169"/>
  <c r="AK539" i="169" s="1"/>
  <c r="K539" i="169"/>
  <c r="AL539" i="169" s="1"/>
  <c r="L539" i="169"/>
  <c r="AM539" i="169" s="1"/>
  <c r="O539" i="169"/>
  <c r="AO539" i="169" s="1"/>
  <c r="P539" i="169"/>
  <c r="Q539" i="169"/>
  <c r="U539" i="169" s="1"/>
  <c r="AQ539" i="169" s="1"/>
  <c r="W539" i="169"/>
  <c r="A540" i="169"/>
  <c r="B540" i="169"/>
  <c r="D540" i="169"/>
  <c r="E540" i="169" s="1"/>
  <c r="F540" i="169"/>
  <c r="J540" i="169"/>
  <c r="AK540" i="169" s="1"/>
  <c r="K540" i="169"/>
  <c r="AL540" i="169" s="1"/>
  <c r="L540" i="169"/>
  <c r="AM540" i="169" s="1"/>
  <c r="O540" i="169"/>
  <c r="AO540" i="169" s="1"/>
  <c r="P540" i="169"/>
  <c r="Q540" i="169"/>
  <c r="U540" i="169" s="1"/>
  <c r="AQ540" i="169" s="1"/>
  <c r="W540" i="169"/>
  <c r="A541" i="169"/>
  <c r="B541" i="169"/>
  <c r="D541" i="169"/>
  <c r="E541" i="169" s="1"/>
  <c r="F541" i="169"/>
  <c r="J541" i="169"/>
  <c r="AK541" i="169" s="1"/>
  <c r="K541" i="169"/>
  <c r="AL541" i="169" s="1"/>
  <c r="L541" i="169"/>
  <c r="AM541" i="169" s="1"/>
  <c r="O541" i="169"/>
  <c r="AO541" i="169" s="1"/>
  <c r="P541" i="169"/>
  <c r="Q541" i="169"/>
  <c r="U541" i="169" s="1"/>
  <c r="AQ541" i="169" s="1"/>
  <c r="W541" i="169"/>
  <c r="A542" i="169"/>
  <c r="B542" i="169"/>
  <c r="D542" i="169"/>
  <c r="E542" i="169" s="1"/>
  <c r="F542" i="169"/>
  <c r="J542" i="169"/>
  <c r="AK542" i="169" s="1"/>
  <c r="K542" i="169"/>
  <c r="AL542" i="169" s="1"/>
  <c r="L542" i="169"/>
  <c r="AM542" i="169" s="1"/>
  <c r="O542" i="169"/>
  <c r="AO542" i="169" s="1"/>
  <c r="P542" i="169"/>
  <c r="Q542" i="169"/>
  <c r="U542" i="169" s="1"/>
  <c r="AQ542" i="169" s="1"/>
  <c r="W542" i="169"/>
  <c r="A543" i="169"/>
  <c r="B543" i="169"/>
  <c r="D543" i="169"/>
  <c r="E543" i="169" s="1"/>
  <c r="F543" i="169"/>
  <c r="J543" i="169"/>
  <c r="AK543" i="169" s="1"/>
  <c r="K543" i="169"/>
  <c r="AL543" i="169" s="1"/>
  <c r="L543" i="169"/>
  <c r="AM543" i="169" s="1"/>
  <c r="O543" i="169"/>
  <c r="AO543" i="169" s="1"/>
  <c r="P543" i="169"/>
  <c r="Q543" i="169"/>
  <c r="S543" i="169" s="1"/>
  <c r="AP543" i="169" s="1"/>
  <c r="W543" i="169"/>
  <c r="A609" i="169"/>
  <c r="B609" i="169"/>
  <c r="D609" i="169"/>
  <c r="E609" i="169" s="1"/>
  <c r="F609" i="169"/>
  <c r="J609" i="169"/>
  <c r="AK609" i="169" s="1"/>
  <c r="K609" i="169"/>
  <c r="AL609" i="169" s="1"/>
  <c r="L609" i="169"/>
  <c r="AM609" i="169" s="1"/>
  <c r="O609" i="169"/>
  <c r="AO609" i="169" s="1"/>
  <c r="P609" i="169"/>
  <c r="Q609" i="169"/>
  <c r="U609" i="169" s="1"/>
  <c r="AQ609" i="169" s="1"/>
  <c r="W609" i="169"/>
  <c r="A610" i="169"/>
  <c r="B610" i="169"/>
  <c r="D610" i="169"/>
  <c r="E610" i="169" s="1"/>
  <c r="F610" i="169"/>
  <c r="J610" i="169"/>
  <c r="AK610" i="169" s="1"/>
  <c r="K610" i="169"/>
  <c r="AL610" i="169" s="1"/>
  <c r="L610" i="169"/>
  <c r="AM610" i="169" s="1"/>
  <c r="O610" i="169"/>
  <c r="AO610" i="169" s="1"/>
  <c r="P610" i="169"/>
  <c r="Q610" i="169"/>
  <c r="S610" i="169" s="1"/>
  <c r="AP610" i="169" s="1"/>
  <c r="W610" i="169"/>
  <c r="F41" i="177"/>
  <c r="U7" i="177"/>
  <c r="U8" i="177"/>
  <c r="U19" i="177"/>
  <c r="U20" i="177"/>
  <c r="U31" i="177"/>
  <c r="U32" i="177"/>
  <c r="H41" i="177"/>
  <c r="I41" i="177"/>
  <c r="J41" i="177"/>
  <c r="K41" i="177"/>
  <c r="L41" i="177"/>
  <c r="M41" i="177"/>
  <c r="N41" i="177"/>
  <c r="O41" i="177"/>
  <c r="P41" i="177"/>
  <c r="Q41" i="177"/>
  <c r="R41" i="177"/>
  <c r="G4" i="177"/>
  <c r="T4" i="177" s="1"/>
  <c r="G5" i="177"/>
  <c r="U5" i="177" s="1"/>
  <c r="G6" i="177"/>
  <c r="U6" i="177" s="1"/>
  <c r="G7" i="177"/>
  <c r="G8" i="177"/>
  <c r="G9" i="177"/>
  <c r="U9" i="177" s="1"/>
  <c r="G10" i="177"/>
  <c r="U10" i="177" s="1"/>
  <c r="G11" i="177"/>
  <c r="U11" i="177" s="1"/>
  <c r="G12" i="177"/>
  <c r="U12" i="177" s="1"/>
  <c r="G13" i="177"/>
  <c r="U13" i="177" s="1"/>
  <c r="G14" i="177"/>
  <c r="U14" i="177" s="1"/>
  <c r="G15" i="177"/>
  <c r="U15" i="177" s="1"/>
  <c r="G16" i="177"/>
  <c r="T16" i="177" s="1"/>
  <c r="G17" i="177"/>
  <c r="U17" i="177" s="1"/>
  <c r="G18" i="177"/>
  <c r="T18" i="177" s="1"/>
  <c r="G19" i="177"/>
  <c r="G20" i="177"/>
  <c r="S20" i="177" s="1"/>
  <c r="G21" i="177"/>
  <c r="U21" i="177" s="1"/>
  <c r="G22" i="177"/>
  <c r="U22" i="177" s="1"/>
  <c r="G23" i="177"/>
  <c r="U23" i="177" s="1"/>
  <c r="G24" i="177"/>
  <c r="U24" i="177" s="1"/>
  <c r="G25" i="177"/>
  <c r="U25" i="177" s="1"/>
  <c r="G26" i="177"/>
  <c r="U26" i="177" s="1"/>
  <c r="G27" i="177"/>
  <c r="S27" i="177" s="1"/>
  <c r="G28" i="177"/>
  <c r="T28" i="177" s="1"/>
  <c r="G29" i="177"/>
  <c r="S29" i="177" s="1"/>
  <c r="G30" i="177"/>
  <c r="T30" i="177" s="1"/>
  <c r="G31" i="177"/>
  <c r="S31" i="177" s="1"/>
  <c r="G32" i="177"/>
  <c r="S32" i="177" s="1"/>
  <c r="G33" i="177"/>
  <c r="U33" i="177" s="1"/>
  <c r="G34" i="177"/>
  <c r="S34" i="177" s="1"/>
  <c r="G35" i="177"/>
  <c r="U35" i="177" s="1"/>
  <c r="G36" i="177"/>
  <c r="S36" i="177" s="1"/>
  <c r="G37" i="177"/>
  <c r="U37" i="177" s="1"/>
  <c r="G38" i="177"/>
  <c r="S38" i="177" s="1"/>
  <c r="G39" i="177"/>
  <c r="T39" i="177" s="1"/>
  <c r="G40" i="177"/>
  <c r="T40" i="177" s="1"/>
  <c r="G3" i="177"/>
  <c r="S3" i="177" s="1"/>
  <c r="S5" i="177"/>
  <c r="T5" i="177"/>
  <c r="S6" i="177"/>
  <c r="T6" i="177"/>
  <c r="S7" i="177"/>
  <c r="T7" i="177"/>
  <c r="S8" i="177"/>
  <c r="T8" i="177"/>
  <c r="S9" i="177"/>
  <c r="T9" i="177"/>
  <c r="S10" i="177"/>
  <c r="T10" i="177"/>
  <c r="S11" i="177"/>
  <c r="T11" i="177"/>
  <c r="S12" i="177"/>
  <c r="T12" i="177"/>
  <c r="S13" i="177"/>
  <c r="T13" i="177"/>
  <c r="S14" i="177"/>
  <c r="T14" i="177"/>
  <c r="S15" i="177"/>
  <c r="S17" i="177"/>
  <c r="T17" i="177"/>
  <c r="S18" i="177"/>
  <c r="S19" i="177"/>
  <c r="T19" i="177"/>
  <c r="T20" i="177"/>
  <c r="S21" i="177"/>
  <c r="S22" i="177"/>
  <c r="S23" i="177"/>
  <c r="T23" i="177"/>
  <c r="S24" i="177"/>
  <c r="T24" i="177"/>
  <c r="T25" i="177"/>
  <c r="T26" i="177"/>
  <c r="T29" i="177"/>
  <c r="S33" i="177"/>
  <c r="T33" i="177"/>
  <c r="S35" i="177"/>
  <c r="T35" i="177"/>
  <c r="S37" i="177"/>
  <c r="T37" i="177"/>
  <c r="F4" i="177"/>
  <c r="F5" i="177"/>
  <c r="F7" i="177"/>
  <c r="F9" i="177"/>
  <c r="F6" i="177"/>
  <c r="F12" i="177"/>
  <c r="F8" i="177"/>
  <c r="F10" i="177"/>
  <c r="F13" i="177"/>
  <c r="F14" i="177"/>
  <c r="F11" i="177"/>
  <c r="F15" i="177"/>
  <c r="F16" i="177"/>
  <c r="F19" i="177"/>
  <c r="F21" i="177"/>
  <c r="F18" i="177"/>
  <c r="F24" i="177"/>
  <c r="F17" i="177"/>
  <c r="F23" i="177"/>
  <c r="F25" i="177"/>
  <c r="F20" i="177"/>
  <c r="F33" i="177"/>
  <c r="F22" i="177"/>
  <c r="F27" i="177"/>
  <c r="F29" i="177"/>
  <c r="F34" i="177"/>
  <c r="F26" i="177"/>
  <c r="F28" i="177"/>
  <c r="F30" i="177"/>
  <c r="F31" i="177"/>
  <c r="F32" i="177"/>
  <c r="F36" i="177"/>
  <c r="F35" i="177"/>
  <c r="F37" i="177"/>
  <c r="F38" i="177"/>
  <c r="F40" i="177"/>
  <c r="F39" i="177"/>
  <c r="F3" i="177"/>
  <c r="S39" i="177" l="1"/>
  <c r="S28" i="177"/>
  <c r="S16" i="177"/>
  <c r="S4" i="177"/>
  <c r="S41" i="177" s="1"/>
  <c r="T27" i="177"/>
  <c r="T21" i="177"/>
  <c r="T15" i="177"/>
  <c r="U30" i="177"/>
  <c r="U18" i="177"/>
  <c r="T32" i="177"/>
  <c r="S26" i="177"/>
  <c r="U3" i="177"/>
  <c r="U29" i="177"/>
  <c r="U40" i="177"/>
  <c r="U28" i="177"/>
  <c r="U16" i="177"/>
  <c r="U4" i="177"/>
  <c r="T31" i="177"/>
  <c r="S25" i="177"/>
  <c r="S40" i="177"/>
  <c r="U39" i="177"/>
  <c r="U27" i="177"/>
  <c r="U41" i="177"/>
  <c r="S30" i="177"/>
  <c r="U38" i="177"/>
  <c r="G41" i="177"/>
  <c r="U36" i="177"/>
  <c r="T22" i="177"/>
  <c r="U34" i="177"/>
  <c r="V907" i="169"/>
  <c r="AR907" i="169" s="1"/>
  <c r="AQ907" i="169"/>
  <c r="V908" i="169"/>
  <c r="AR908" i="169" s="1"/>
  <c r="AQ908" i="169"/>
  <c r="X907" i="169"/>
  <c r="AF907" i="169" s="1"/>
  <c r="X908" i="169"/>
  <c r="AF908" i="169" s="1"/>
  <c r="X944" i="169"/>
  <c r="AF944" i="169" s="1"/>
  <c r="X946" i="169"/>
  <c r="AF946" i="169" s="1"/>
  <c r="X967" i="169"/>
  <c r="AF967" i="169" s="1"/>
  <c r="V863" i="169"/>
  <c r="AR863" i="169" s="1"/>
  <c r="X863" i="169"/>
  <c r="AF863" i="169" s="1"/>
  <c r="S863" i="169"/>
  <c r="AP863" i="169" s="1"/>
  <c r="V864" i="169"/>
  <c r="AR864" i="169" s="1"/>
  <c r="X864" i="169"/>
  <c r="AF864" i="169" s="1"/>
  <c r="S864" i="169"/>
  <c r="AP864" i="169" s="1"/>
  <c r="V865" i="169"/>
  <c r="AR865" i="169" s="1"/>
  <c r="X865" i="169"/>
  <c r="AF865" i="169" s="1"/>
  <c r="S865" i="169"/>
  <c r="AP865" i="169" s="1"/>
  <c r="S867" i="169"/>
  <c r="AP867" i="169" s="1"/>
  <c r="S866" i="169"/>
  <c r="AP866" i="169" s="1"/>
  <c r="V866" i="169"/>
  <c r="AR866" i="169" s="1"/>
  <c r="X866" i="169"/>
  <c r="AF866" i="169" s="1"/>
  <c r="V867" i="169"/>
  <c r="AR867" i="169" s="1"/>
  <c r="X867" i="169"/>
  <c r="AF867" i="169" s="1"/>
  <c r="V868" i="169"/>
  <c r="AR868" i="169" s="1"/>
  <c r="X868" i="169"/>
  <c r="AF868" i="169" s="1"/>
  <c r="S868" i="169"/>
  <c r="AP868" i="169" s="1"/>
  <c r="V869" i="169"/>
  <c r="AR869" i="169" s="1"/>
  <c r="X869" i="169"/>
  <c r="AF869" i="169" s="1"/>
  <c r="S869" i="169"/>
  <c r="AP869" i="169" s="1"/>
  <c r="S870" i="169"/>
  <c r="AP870" i="169" s="1"/>
  <c r="V870" i="169"/>
  <c r="AR870" i="169" s="1"/>
  <c r="X870" i="169"/>
  <c r="AF870" i="169" s="1"/>
  <c r="V871" i="169"/>
  <c r="AR871" i="169" s="1"/>
  <c r="X871" i="169"/>
  <c r="AF871" i="169" s="1"/>
  <c r="S871" i="169"/>
  <c r="AP871" i="169" s="1"/>
  <c r="V872" i="169"/>
  <c r="AR872" i="169" s="1"/>
  <c r="X872" i="169"/>
  <c r="AF872" i="169" s="1"/>
  <c r="S872" i="169"/>
  <c r="AP872" i="169" s="1"/>
  <c r="V873" i="169"/>
  <c r="AR873" i="169" s="1"/>
  <c r="X873" i="169"/>
  <c r="AF873" i="169" s="1"/>
  <c r="S873" i="169"/>
  <c r="AP873" i="169" s="1"/>
  <c r="V874" i="169"/>
  <c r="AR874" i="169" s="1"/>
  <c r="X874" i="169"/>
  <c r="AF874" i="169" s="1"/>
  <c r="S874" i="169"/>
  <c r="AP874" i="169" s="1"/>
  <c r="V875" i="169"/>
  <c r="AR875" i="169" s="1"/>
  <c r="X875" i="169"/>
  <c r="AF875" i="169" s="1"/>
  <c r="S875" i="169"/>
  <c r="AP875" i="169" s="1"/>
  <c r="V876" i="169"/>
  <c r="AR876" i="169" s="1"/>
  <c r="X876" i="169"/>
  <c r="AF876" i="169" s="1"/>
  <c r="S876" i="169"/>
  <c r="AP876" i="169" s="1"/>
  <c r="V877" i="169"/>
  <c r="AR877" i="169" s="1"/>
  <c r="X877" i="169"/>
  <c r="AF877" i="169" s="1"/>
  <c r="S877" i="169"/>
  <c r="AP877" i="169" s="1"/>
  <c r="V878" i="169"/>
  <c r="AR878" i="169" s="1"/>
  <c r="X878" i="169"/>
  <c r="AF878" i="169" s="1"/>
  <c r="S878" i="169"/>
  <c r="AP878" i="169" s="1"/>
  <c r="S880" i="169"/>
  <c r="AP880" i="169" s="1"/>
  <c r="V879" i="169"/>
  <c r="AR879" i="169" s="1"/>
  <c r="X879" i="169"/>
  <c r="AF879" i="169" s="1"/>
  <c r="S879" i="169"/>
  <c r="AP879" i="169" s="1"/>
  <c r="V880" i="169"/>
  <c r="AR880" i="169" s="1"/>
  <c r="X880" i="169"/>
  <c r="AF880" i="169" s="1"/>
  <c r="V881" i="169"/>
  <c r="AR881" i="169" s="1"/>
  <c r="X881" i="169"/>
  <c r="AF881" i="169" s="1"/>
  <c r="S881" i="169"/>
  <c r="AP881" i="169" s="1"/>
  <c r="V882" i="169"/>
  <c r="AR882" i="169" s="1"/>
  <c r="X882" i="169"/>
  <c r="AF882" i="169" s="1"/>
  <c r="S882" i="169"/>
  <c r="AP882" i="169" s="1"/>
  <c r="V883" i="169"/>
  <c r="AR883" i="169" s="1"/>
  <c r="X883" i="169"/>
  <c r="AF883" i="169" s="1"/>
  <c r="S883" i="169"/>
  <c r="AP883" i="169" s="1"/>
  <c r="V884" i="169"/>
  <c r="AR884" i="169" s="1"/>
  <c r="X884" i="169"/>
  <c r="AF884" i="169" s="1"/>
  <c r="S884" i="169"/>
  <c r="AP884" i="169" s="1"/>
  <c r="V885" i="169"/>
  <c r="AR885" i="169" s="1"/>
  <c r="X885" i="169"/>
  <c r="AF885" i="169" s="1"/>
  <c r="S885" i="169"/>
  <c r="AP885" i="169" s="1"/>
  <c r="V886" i="169"/>
  <c r="AR886" i="169" s="1"/>
  <c r="X886" i="169"/>
  <c r="AF886" i="169" s="1"/>
  <c r="S886" i="169"/>
  <c r="AP886" i="169" s="1"/>
  <c r="S888" i="169"/>
  <c r="AP888" i="169" s="1"/>
  <c r="V887" i="169"/>
  <c r="AR887" i="169" s="1"/>
  <c r="X887" i="169"/>
  <c r="AF887" i="169" s="1"/>
  <c r="S887" i="169"/>
  <c r="AP887" i="169" s="1"/>
  <c r="V888" i="169"/>
  <c r="AR888" i="169" s="1"/>
  <c r="X888" i="169"/>
  <c r="AF888" i="169" s="1"/>
  <c r="V889" i="169"/>
  <c r="AR889" i="169" s="1"/>
  <c r="X889" i="169"/>
  <c r="AF889" i="169" s="1"/>
  <c r="S889" i="169"/>
  <c r="AP889" i="169" s="1"/>
  <c r="V890" i="169"/>
  <c r="AR890" i="169" s="1"/>
  <c r="X890" i="169"/>
  <c r="AF890" i="169" s="1"/>
  <c r="S890" i="169"/>
  <c r="AP890" i="169" s="1"/>
  <c r="S891" i="169"/>
  <c r="AP891" i="169" s="1"/>
  <c r="V891" i="169"/>
  <c r="AR891" i="169" s="1"/>
  <c r="X891" i="169"/>
  <c r="AF891" i="169" s="1"/>
  <c r="V892" i="169"/>
  <c r="AR892" i="169" s="1"/>
  <c r="X892" i="169"/>
  <c r="AF892" i="169" s="1"/>
  <c r="S892" i="169"/>
  <c r="AP892" i="169" s="1"/>
  <c r="V893" i="169"/>
  <c r="AR893" i="169" s="1"/>
  <c r="X893" i="169"/>
  <c r="AF893" i="169" s="1"/>
  <c r="S893" i="169"/>
  <c r="AP893" i="169" s="1"/>
  <c r="V894" i="169"/>
  <c r="AR894" i="169" s="1"/>
  <c r="X894" i="169"/>
  <c r="AF894" i="169" s="1"/>
  <c r="S894" i="169"/>
  <c r="AP894" i="169" s="1"/>
  <c r="S897" i="169"/>
  <c r="AP897" i="169" s="1"/>
  <c r="V895" i="169"/>
  <c r="AR895" i="169" s="1"/>
  <c r="X895" i="169"/>
  <c r="AF895" i="169" s="1"/>
  <c r="S895" i="169"/>
  <c r="AP895" i="169" s="1"/>
  <c r="V896" i="169"/>
  <c r="AR896" i="169" s="1"/>
  <c r="X896" i="169"/>
  <c r="AF896" i="169" s="1"/>
  <c r="S896" i="169"/>
  <c r="AP896" i="169" s="1"/>
  <c r="V897" i="169"/>
  <c r="AR897" i="169" s="1"/>
  <c r="X897" i="169"/>
  <c r="AF897" i="169" s="1"/>
  <c r="S901" i="169"/>
  <c r="AP901" i="169" s="1"/>
  <c r="V898" i="169"/>
  <c r="AR898" i="169" s="1"/>
  <c r="X898" i="169"/>
  <c r="AF898" i="169" s="1"/>
  <c r="S898" i="169"/>
  <c r="AP898" i="169" s="1"/>
  <c r="V899" i="169"/>
  <c r="AR899" i="169" s="1"/>
  <c r="X899" i="169"/>
  <c r="AF899" i="169" s="1"/>
  <c r="S899" i="169"/>
  <c r="AP899" i="169" s="1"/>
  <c r="V900" i="169"/>
  <c r="AR900" i="169" s="1"/>
  <c r="X900" i="169"/>
  <c r="AF900" i="169" s="1"/>
  <c r="S900" i="169"/>
  <c r="AP900" i="169" s="1"/>
  <c r="V901" i="169"/>
  <c r="AR901" i="169" s="1"/>
  <c r="X901" i="169"/>
  <c r="AF901" i="169" s="1"/>
  <c r="V847" i="169"/>
  <c r="AR847" i="169" s="1"/>
  <c r="X847" i="169"/>
  <c r="AF847" i="169" s="1"/>
  <c r="S847" i="169"/>
  <c r="AP847" i="169" s="1"/>
  <c r="S816" i="169"/>
  <c r="AP816" i="169" s="1"/>
  <c r="V816" i="169"/>
  <c r="AR816" i="169" s="1"/>
  <c r="X816" i="169"/>
  <c r="AF816" i="169" s="1"/>
  <c r="V856" i="169"/>
  <c r="AR856" i="169" s="1"/>
  <c r="X856" i="169"/>
  <c r="AF856" i="169" s="1"/>
  <c r="S856" i="169"/>
  <c r="AP856" i="169" s="1"/>
  <c r="V857" i="169"/>
  <c r="AR857" i="169" s="1"/>
  <c r="X857" i="169"/>
  <c r="AF857" i="169" s="1"/>
  <c r="S857" i="169"/>
  <c r="AP857" i="169" s="1"/>
  <c r="V858" i="169"/>
  <c r="AR858" i="169" s="1"/>
  <c r="X858" i="169"/>
  <c r="AF858" i="169" s="1"/>
  <c r="S858" i="169"/>
  <c r="AP858" i="169" s="1"/>
  <c r="V859" i="169"/>
  <c r="AR859" i="169" s="1"/>
  <c r="X859" i="169"/>
  <c r="AF859" i="169" s="1"/>
  <c r="S859" i="169"/>
  <c r="AP859" i="169" s="1"/>
  <c r="V860" i="169"/>
  <c r="AR860" i="169" s="1"/>
  <c r="X860" i="169"/>
  <c r="AF860" i="169" s="1"/>
  <c r="S860" i="169"/>
  <c r="AP860" i="169" s="1"/>
  <c r="V841" i="169"/>
  <c r="AR841" i="169" s="1"/>
  <c r="X841" i="169"/>
  <c r="AF841" i="169" s="1"/>
  <c r="S841" i="169"/>
  <c r="AP841" i="169" s="1"/>
  <c r="V842" i="169"/>
  <c r="AR842" i="169" s="1"/>
  <c r="X842" i="169"/>
  <c r="AF842" i="169" s="1"/>
  <c r="S842" i="169"/>
  <c r="AP842" i="169" s="1"/>
  <c r="V843" i="169"/>
  <c r="AR843" i="169" s="1"/>
  <c r="X843" i="169"/>
  <c r="AF843" i="169" s="1"/>
  <c r="S843" i="169"/>
  <c r="AP843" i="169" s="1"/>
  <c r="V844" i="169"/>
  <c r="AR844" i="169" s="1"/>
  <c r="X844" i="169"/>
  <c r="AF844" i="169" s="1"/>
  <c r="S844" i="169"/>
  <c r="AP844" i="169" s="1"/>
  <c r="V845" i="169"/>
  <c r="AR845" i="169" s="1"/>
  <c r="X845" i="169"/>
  <c r="AF845" i="169" s="1"/>
  <c r="S845" i="169"/>
  <c r="AP845" i="169" s="1"/>
  <c r="V846" i="169"/>
  <c r="AR846" i="169" s="1"/>
  <c r="X846" i="169"/>
  <c r="AF846" i="169" s="1"/>
  <c r="S846" i="169"/>
  <c r="AP846" i="169" s="1"/>
  <c r="V848" i="169"/>
  <c r="AR848" i="169" s="1"/>
  <c r="X848" i="169"/>
  <c r="AF848" i="169" s="1"/>
  <c r="S848" i="169"/>
  <c r="AP848" i="169" s="1"/>
  <c r="V849" i="169"/>
  <c r="AR849" i="169" s="1"/>
  <c r="X849" i="169"/>
  <c r="AF849" i="169" s="1"/>
  <c r="S849" i="169"/>
  <c r="AP849" i="169" s="1"/>
  <c r="V850" i="169"/>
  <c r="AR850" i="169" s="1"/>
  <c r="X850" i="169"/>
  <c r="AF850" i="169" s="1"/>
  <c r="S850" i="169"/>
  <c r="AP850" i="169" s="1"/>
  <c r="V851" i="169"/>
  <c r="AR851" i="169" s="1"/>
  <c r="X851" i="169"/>
  <c r="AF851" i="169" s="1"/>
  <c r="S851" i="169"/>
  <c r="AP851" i="169" s="1"/>
  <c r="V852" i="169"/>
  <c r="AR852" i="169" s="1"/>
  <c r="X852" i="169"/>
  <c r="AF852" i="169" s="1"/>
  <c r="S852" i="169"/>
  <c r="AP852" i="169" s="1"/>
  <c r="V853" i="169"/>
  <c r="AR853" i="169" s="1"/>
  <c r="X853" i="169"/>
  <c r="AF853" i="169" s="1"/>
  <c r="S853" i="169"/>
  <c r="AP853" i="169" s="1"/>
  <c r="V815" i="169"/>
  <c r="AR815" i="169" s="1"/>
  <c r="X815" i="169"/>
  <c r="AF815" i="169" s="1"/>
  <c r="S815" i="169"/>
  <c r="AP815" i="169" s="1"/>
  <c r="S831" i="169"/>
  <c r="AP831" i="169" s="1"/>
  <c r="V829" i="169"/>
  <c r="AR829" i="169" s="1"/>
  <c r="X829" i="169"/>
  <c r="AF829" i="169" s="1"/>
  <c r="S829" i="169"/>
  <c r="AP829" i="169" s="1"/>
  <c r="U830" i="169"/>
  <c r="V831" i="169"/>
  <c r="AR831" i="169" s="1"/>
  <c r="X831" i="169"/>
  <c r="AF831" i="169" s="1"/>
  <c r="S832" i="169"/>
  <c r="AP832" i="169" s="1"/>
  <c r="V832" i="169"/>
  <c r="AR832" i="169" s="1"/>
  <c r="X832" i="169"/>
  <c r="AF832" i="169" s="1"/>
  <c r="V833" i="169"/>
  <c r="AR833" i="169" s="1"/>
  <c r="X833" i="169"/>
  <c r="AF833" i="169" s="1"/>
  <c r="S833" i="169"/>
  <c r="AP833" i="169" s="1"/>
  <c r="V834" i="169"/>
  <c r="AR834" i="169" s="1"/>
  <c r="X834" i="169"/>
  <c r="AF834" i="169" s="1"/>
  <c r="S834" i="169"/>
  <c r="AP834" i="169" s="1"/>
  <c r="V835" i="169"/>
  <c r="AR835" i="169" s="1"/>
  <c r="X835" i="169"/>
  <c r="AF835" i="169" s="1"/>
  <c r="S835" i="169"/>
  <c r="AP835" i="169" s="1"/>
  <c r="U838" i="169"/>
  <c r="V836" i="169"/>
  <c r="AR836" i="169" s="1"/>
  <c r="X836" i="169"/>
  <c r="AF836" i="169" s="1"/>
  <c r="S836" i="169"/>
  <c r="AP836" i="169" s="1"/>
  <c r="V837" i="169"/>
  <c r="AR837" i="169" s="1"/>
  <c r="X837" i="169"/>
  <c r="AF837" i="169" s="1"/>
  <c r="S837" i="169"/>
  <c r="AP837" i="169" s="1"/>
  <c r="S839" i="169"/>
  <c r="AP839" i="169" s="1"/>
  <c r="V839" i="169"/>
  <c r="AR839" i="169" s="1"/>
  <c r="X839" i="169"/>
  <c r="AF839" i="169" s="1"/>
  <c r="V840" i="169"/>
  <c r="AR840" i="169" s="1"/>
  <c r="X840" i="169"/>
  <c r="AF840" i="169" s="1"/>
  <c r="S840" i="169"/>
  <c r="AP840" i="169" s="1"/>
  <c r="V854" i="169"/>
  <c r="AR854" i="169" s="1"/>
  <c r="X854" i="169"/>
  <c r="AF854" i="169" s="1"/>
  <c r="S854" i="169"/>
  <c r="AP854" i="169" s="1"/>
  <c r="V855" i="169"/>
  <c r="AR855" i="169" s="1"/>
  <c r="X855" i="169"/>
  <c r="AF855" i="169" s="1"/>
  <c r="S855" i="169"/>
  <c r="AP855" i="169" s="1"/>
  <c r="V819" i="169"/>
  <c r="AR819" i="169" s="1"/>
  <c r="X819" i="169"/>
  <c r="AF819" i="169" s="1"/>
  <c r="S819" i="169"/>
  <c r="AP819" i="169" s="1"/>
  <c r="S820" i="169"/>
  <c r="AP820" i="169" s="1"/>
  <c r="V820" i="169"/>
  <c r="AR820" i="169" s="1"/>
  <c r="X820" i="169"/>
  <c r="AF820" i="169" s="1"/>
  <c r="V821" i="169"/>
  <c r="AR821" i="169" s="1"/>
  <c r="X821" i="169"/>
  <c r="AF821" i="169" s="1"/>
  <c r="S821" i="169"/>
  <c r="AP821" i="169" s="1"/>
  <c r="S823" i="169"/>
  <c r="AP823" i="169" s="1"/>
  <c r="V822" i="169"/>
  <c r="AR822" i="169" s="1"/>
  <c r="X822" i="169"/>
  <c r="AF822" i="169" s="1"/>
  <c r="S822" i="169"/>
  <c r="AP822" i="169" s="1"/>
  <c r="V823" i="169"/>
  <c r="AR823" i="169" s="1"/>
  <c r="X823" i="169"/>
  <c r="AF823" i="169" s="1"/>
  <c r="V824" i="169"/>
  <c r="AR824" i="169" s="1"/>
  <c r="X824" i="169"/>
  <c r="AF824" i="169" s="1"/>
  <c r="S824" i="169"/>
  <c r="AP824" i="169" s="1"/>
  <c r="V825" i="169"/>
  <c r="AR825" i="169" s="1"/>
  <c r="X825" i="169"/>
  <c r="AF825" i="169" s="1"/>
  <c r="S825" i="169"/>
  <c r="AP825" i="169" s="1"/>
  <c r="V826" i="169"/>
  <c r="AR826" i="169" s="1"/>
  <c r="X826" i="169"/>
  <c r="AF826" i="169" s="1"/>
  <c r="S826" i="169"/>
  <c r="AP826" i="169" s="1"/>
  <c r="V827" i="169"/>
  <c r="AR827" i="169" s="1"/>
  <c r="X827" i="169"/>
  <c r="AF827" i="169" s="1"/>
  <c r="S827" i="169"/>
  <c r="AP827" i="169" s="1"/>
  <c r="S771" i="169"/>
  <c r="AP771" i="169" s="1"/>
  <c r="S781" i="169"/>
  <c r="AP781" i="169" s="1"/>
  <c r="V828" i="169"/>
  <c r="AR828" i="169" s="1"/>
  <c r="X828" i="169"/>
  <c r="AF828" i="169" s="1"/>
  <c r="S828" i="169"/>
  <c r="AP828" i="169" s="1"/>
  <c r="S782" i="169"/>
  <c r="AP782" i="169" s="1"/>
  <c r="V782" i="169"/>
  <c r="AR782" i="169" s="1"/>
  <c r="X782" i="169"/>
  <c r="AF782" i="169" s="1"/>
  <c r="V780" i="169"/>
  <c r="AR780" i="169" s="1"/>
  <c r="X780" i="169"/>
  <c r="AF780" i="169" s="1"/>
  <c r="S780" i="169"/>
  <c r="AP780" i="169" s="1"/>
  <c r="V781" i="169"/>
  <c r="AR781" i="169" s="1"/>
  <c r="X781" i="169"/>
  <c r="AF781" i="169" s="1"/>
  <c r="V771" i="169"/>
  <c r="AR771" i="169" s="1"/>
  <c r="X771" i="169"/>
  <c r="AF771" i="169" s="1"/>
  <c r="V772" i="169"/>
  <c r="AR772" i="169" s="1"/>
  <c r="X772" i="169"/>
  <c r="AF772" i="169" s="1"/>
  <c r="S772" i="169"/>
  <c r="AP772" i="169" s="1"/>
  <c r="V773" i="169"/>
  <c r="AR773" i="169" s="1"/>
  <c r="X773" i="169"/>
  <c r="AF773" i="169" s="1"/>
  <c r="S773" i="169"/>
  <c r="AP773" i="169" s="1"/>
  <c r="V774" i="169"/>
  <c r="AR774" i="169" s="1"/>
  <c r="X774" i="169"/>
  <c r="AF774" i="169" s="1"/>
  <c r="S774" i="169"/>
  <c r="AP774" i="169" s="1"/>
  <c r="V775" i="169"/>
  <c r="AR775" i="169" s="1"/>
  <c r="X775" i="169"/>
  <c r="AF775" i="169" s="1"/>
  <c r="S775" i="169"/>
  <c r="AP775" i="169" s="1"/>
  <c r="V776" i="169"/>
  <c r="AR776" i="169" s="1"/>
  <c r="X776" i="169"/>
  <c r="AF776" i="169" s="1"/>
  <c r="S776" i="169"/>
  <c r="AP776" i="169" s="1"/>
  <c r="S784" i="169"/>
  <c r="AP784" i="169" s="1"/>
  <c r="S783" i="169"/>
  <c r="AP783" i="169" s="1"/>
  <c r="S777" i="169"/>
  <c r="AP777" i="169" s="1"/>
  <c r="V777" i="169"/>
  <c r="AR777" i="169" s="1"/>
  <c r="X777" i="169"/>
  <c r="AF777" i="169" s="1"/>
  <c r="V778" i="169"/>
  <c r="AR778" i="169" s="1"/>
  <c r="X778" i="169"/>
  <c r="AF778" i="169" s="1"/>
  <c r="S778" i="169"/>
  <c r="AP778" i="169" s="1"/>
  <c r="V779" i="169"/>
  <c r="AR779" i="169" s="1"/>
  <c r="X779" i="169"/>
  <c r="AF779" i="169" s="1"/>
  <c r="S779" i="169"/>
  <c r="AP779" i="169" s="1"/>
  <c r="V783" i="169"/>
  <c r="AR783" i="169" s="1"/>
  <c r="X783" i="169"/>
  <c r="AF783" i="169" s="1"/>
  <c r="V784" i="169"/>
  <c r="AR784" i="169" s="1"/>
  <c r="X784" i="169"/>
  <c r="AF784" i="169" s="1"/>
  <c r="U786" i="169"/>
  <c r="V785" i="169"/>
  <c r="AR785" i="169" s="1"/>
  <c r="X785" i="169"/>
  <c r="AF785" i="169" s="1"/>
  <c r="S785" i="169"/>
  <c r="AP785" i="169" s="1"/>
  <c r="S788" i="169"/>
  <c r="AP788" i="169" s="1"/>
  <c r="S787" i="169"/>
  <c r="AP787" i="169" s="1"/>
  <c r="V787" i="169"/>
  <c r="AR787" i="169" s="1"/>
  <c r="X787" i="169"/>
  <c r="AF787" i="169" s="1"/>
  <c r="V788" i="169"/>
  <c r="AR788" i="169" s="1"/>
  <c r="X788" i="169"/>
  <c r="AF788" i="169" s="1"/>
  <c r="S789" i="169"/>
  <c r="AP789" i="169" s="1"/>
  <c r="V789" i="169"/>
  <c r="AR789" i="169" s="1"/>
  <c r="X789" i="169"/>
  <c r="AF789" i="169" s="1"/>
  <c r="V790" i="169"/>
  <c r="AR790" i="169" s="1"/>
  <c r="X790" i="169"/>
  <c r="AF790" i="169" s="1"/>
  <c r="S790" i="169"/>
  <c r="AP790" i="169" s="1"/>
  <c r="V791" i="169"/>
  <c r="AR791" i="169" s="1"/>
  <c r="X791" i="169"/>
  <c r="AF791" i="169" s="1"/>
  <c r="S791" i="169"/>
  <c r="AP791" i="169" s="1"/>
  <c r="V792" i="169"/>
  <c r="AR792" i="169" s="1"/>
  <c r="X792" i="169"/>
  <c r="AF792" i="169" s="1"/>
  <c r="S792" i="169"/>
  <c r="AP792" i="169" s="1"/>
  <c r="S793" i="169"/>
  <c r="AP793" i="169" s="1"/>
  <c r="S801" i="169"/>
  <c r="AP801" i="169" s="1"/>
  <c r="V793" i="169"/>
  <c r="AR793" i="169" s="1"/>
  <c r="X793" i="169"/>
  <c r="AF793" i="169" s="1"/>
  <c r="V794" i="169"/>
  <c r="AR794" i="169" s="1"/>
  <c r="X794" i="169"/>
  <c r="AF794" i="169" s="1"/>
  <c r="S794" i="169"/>
  <c r="AP794" i="169" s="1"/>
  <c r="V795" i="169"/>
  <c r="AR795" i="169" s="1"/>
  <c r="X795" i="169"/>
  <c r="AF795" i="169" s="1"/>
  <c r="S795" i="169"/>
  <c r="AP795" i="169" s="1"/>
  <c r="V796" i="169"/>
  <c r="AR796" i="169" s="1"/>
  <c r="X796" i="169"/>
  <c r="AF796" i="169" s="1"/>
  <c r="S796" i="169"/>
  <c r="AP796" i="169" s="1"/>
  <c r="S797" i="169"/>
  <c r="AP797" i="169" s="1"/>
  <c r="V797" i="169"/>
  <c r="AR797" i="169" s="1"/>
  <c r="X797" i="169"/>
  <c r="AF797" i="169" s="1"/>
  <c r="S798" i="169"/>
  <c r="AP798" i="169" s="1"/>
  <c r="V798" i="169"/>
  <c r="AR798" i="169" s="1"/>
  <c r="X798" i="169"/>
  <c r="AF798" i="169" s="1"/>
  <c r="S800" i="169"/>
  <c r="AP800" i="169" s="1"/>
  <c r="S799" i="169"/>
  <c r="AP799" i="169" s="1"/>
  <c r="V799" i="169"/>
  <c r="AR799" i="169" s="1"/>
  <c r="X799" i="169"/>
  <c r="AF799" i="169" s="1"/>
  <c r="S805" i="169"/>
  <c r="AP805" i="169" s="1"/>
  <c r="V800" i="169"/>
  <c r="AR800" i="169" s="1"/>
  <c r="X800" i="169"/>
  <c r="AF800" i="169" s="1"/>
  <c r="U803" i="169"/>
  <c r="AQ803" i="169" s="1"/>
  <c r="V801" i="169"/>
  <c r="AR801" i="169" s="1"/>
  <c r="X801" i="169"/>
  <c r="AF801" i="169" s="1"/>
  <c r="V802" i="169"/>
  <c r="AR802" i="169" s="1"/>
  <c r="X802" i="169"/>
  <c r="AF802" i="169" s="1"/>
  <c r="S802" i="169"/>
  <c r="AP802" i="169" s="1"/>
  <c r="V804" i="169"/>
  <c r="AR804" i="169" s="1"/>
  <c r="X804" i="169"/>
  <c r="AF804" i="169" s="1"/>
  <c r="S804" i="169"/>
  <c r="AP804" i="169" s="1"/>
  <c r="V805" i="169"/>
  <c r="AR805" i="169" s="1"/>
  <c r="X805" i="169"/>
  <c r="AF805" i="169" s="1"/>
  <c r="S756" i="169"/>
  <c r="AP756" i="169" s="1"/>
  <c r="S755" i="169"/>
  <c r="AP755" i="169" s="1"/>
  <c r="S758" i="169"/>
  <c r="AP758" i="169" s="1"/>
  <c r="V755" i="169"/>
  <c r="AR755" i="169" s="1"/>
  <c r="X755" i="169"/>
  <c r="AF755" i="169" s="1"/>
  <c r="V756" i="169"/>
  <c r="AR756" i="169" s="1"/>
  <c r="X756" i="169"/>
  <c r="AF756" i="169" s="1"/>
  <c r="S759" i="169"/>
  <c r="AP759" i="169" s="1"/>
  <c r="S757" i="169"/>
  <c r="AP757" i="169" s="1"/>
  <c r="V757" i="169"/>
  <c r="AR757" i="169" s="1"/>
  <c r="X757" i="169"/>
  <c r="AF757" i="169" s="1"/>
  <c r="V758" i="169"/>
  <c r="AR758" i="169" s="1"/>
  <c r="X758" i="169"/>
  <c r="AF758" i="169" s="1"/>
  <c r="S760" i="169"/>
  <c r="AP760" i="169" s="1"/>
  <c r="V759" i="169"/>
  <c r="AR759" i="169" s="1"/>
  <c r="X759" i="169"/>
  <c r="AF759" i="169" s="1"/>
  <c r="V760" i="169"/>
  <c r="AR760" i="169" s="1"/>
  <c r="X760" i="169"/>
  <c r="AF760" i="169" s="1"/>
  <c r="S762" i="169"/>
  <c r="AP762" i="169" s="1"/>
  <c r="S761" i="169"/>
  <c r="AP761" i="169" s="1"/>
  <c r="V761" i="169"/>
  <c r="AR761" i="169" s="1"/>
  <c r="X761" i="169"/>
  <c r="AF761" i="169" s="1"/>
  <c r="V762" i="169"/>
  <c r="AR762" i="169" s="1"/>
  <c r="X762" i="169"/>
  <c r="AF762" i="169" s="1"/>
  <c r="S763" i="169"/>
  <c r="AP763" i="169" s="1"/>
  <c r="V763" i="169"/>
  <c r="AR763" i="169" s="1"/>
  <c r="X763" i="169"/>
  <c r="AF763" i="169" s="1"/>
  <c r="S764" i="169"/>
  <c r="AP764" i="169" s="1"/>
  <c r="V764" i="169"/>
  <c r="AR764" i="169" s="1"/>
  <c r="X764" i="169"/>
  <c r="AF764" i="169" s="1"/>
  <c r="S765" i="169"/>
  <c r="AP765" i="169" s="1"/>
  <c r="V765" i="169"/>
  <c r="AR765" i="169" s="1"/>
  <c r="X765" i="169"/>
  <c r="AF765" i="169" s="1"/>
  <c r="S766" i="169"/>
  <c r="AP766" i="169" s="1"/>
  <c r="V766" i="169"/>
  <c r="AR766" i="169" s="1"/>
  <c r="X766" i="169"/>
  <c r="AF766" i="169" s="1"/>
  <c r="S767" i="169"/>
  <c r="AP767" i="169" s="1"/>
  <c r="V767" i="169"/>
  <c r="AR767" i="169" s="1"/>
  <c r="X767" i="169"/>
  <c r="AF767" i="169" s="1"/>
  <c r="U808" i="169"/>
  <c r="S806" i="169"/>
  <c r="AP806" i="169" s="1"/>
  <c r="S770" i="169"/>
  <c r="AP770" i="169" s="1"/>
  <c r="V768" i="169"/>
  <c r="AR768" i="169" s="1"/>
  <c r="X768" i="169"/>
  <c r="AF768" i="169" s="1"/>
  <c r="S768" i="169"/>
  <c r="AP768" i="169" s="1"/>
  <c r="S769" i="169"/>
  <c r="AP769" i="169" s="1"/>
  <c r="V769" i="169"/>
  <c r="AR769" i="169" s="1"/>
  <c r="X769" i="169"/>
  <c r="AF769" i="169" s="1"/>
  <c r="V770" i="169"/>
  <c r="AR770" i="169" s="1"/>
  <c r="X770" i="169"/>
  <c r="AF770" i="169" s="1"/>
  <c r="V806" i="169"/>
  <c r="AR806" i="169" s="1"/>
  <c r="X806" i="169"/>
  <c r="AF806" i="169" s="1"/>
  <c r="S811" i="169"/>
  <c r="AP811" i="169" s="1"/>
  <c r="S807" i="169"/>
  <c r="AP807" i="169" s="1"/>
  <c r="V807" i="169"/>
  <c r="AR807" i="169" s="1"/>
  <c r="X807" i="169"/>
  <c r="AF807" i="169" s="1"/>
  <c r="S810" i="169"/>
  <c r="AP810" i="169" s="1"/>
  <c r="S809" i="169"/>
  <c r="AP809" i="169" s="1"/>
  <c r="V809" i="169"/>
  <c r="AR809" i="169" s="1"/>
  <c r="X809" i="169"/>
  <c r="AF809" i="169" s="1"/>
  <c r="V810" i="169"/>
  <c r="AR810" i="169" s="1"/>
  <c r="X810" i="169"/>
  <c r="AF810" i="169" s="1"/>
  <c r="V811" i="169"/>
  <c r="AR811" i="169" s="1"/>
  <c r="X811" i="169"/>
  <c r="AF811" i="169" s="1"/>
  <c r="V812" i="169"/>
  <c r="AR812" i="169" s="1"/>
  <c r="X812" i="169"/>
  <c r="AF812" i="169" s="1"/>
  <c r="S812" i="169"/>
  <c r="AP812" i="169" s="1"/>
  <c r="S813" i="169"/>
  <c r="AP813" i="169" s="1"/>
  <c r="V813" i="169"/>
  <c r="AR813" i="169" s="1"/>
  <c r="X813" i="169"/>
  <c r="AF813" i="169" s="1"/>
  <c r="V814" i="169"/>
  <c r="AR814" i="169" s="1"/>
  <c r="X814" i="169"/>
  <c r="AF814" i="169" s="1"/>
  <c r="S814" i="169"/>
  <c r="AP814" i="169" s="1"/>
  <c r="V817" i="169"/>
  <c r="AR817" i="169" s="1"/>
  <c r="X817" i="169"/>
  <c r="AF817" i="169" s="1"/>
  <c r="S817" i="169"/>
  <c r="AP817" i="169" s="1"/>
  <c r="V818" i="169"/>
  <c r="AR818" i="169" s="1"/>
  <c r="X818" i="169"/>
  <c r="AF818" i="169" s="1"/>
  <c r="S818" i="169"/>
  <c r="AP818" i="169" s="1"/>
  <c r="V861" i="169"/>
  <c r="AR861" i="169" s="1"/>
  <c r="X861" i="169"/>
  <c r="AF861" i="169" s="1"/>
  <c r="S861" i="169"/>
  <c r="AP861" i="169" s="1"/>
  <c r="V743" i="169"/>
  <c r="AR743" i="169" s="1"/>
  <c r="X743" i="169"/>
  <c r="AF743" i="169" s="1"/>
  <c r="S743" i="169"/>
  <c r="AP743" i="169" s="1"/>
  <c r="V740" i="169"/>
  <c r="AR740" i="169" s="1"/>
  <c r="X740" i="169"/>
  <c r="AF740" i="169" s="1"/>
  <c r="S740" i="169"/>
  <c r="AP740" i="169" s="1"/>
  <c r="S741" i="169"/>
  <c r="AP741" i="169" s="1"/>
  <c r="V741" i="169"/>
  <c r="AR741" i="169" s="1"/>
  <c r="X741" i="169"/>
  <c r="AF741" i="169" s="1"/>
  <c r="S748" i="169"/>
  <c r="AP748" i="169" s="1"/>
  <c r="V742" i="169"/>
  <c r="AR742" i="169" s="1"/>
  <c r="X742" i="169"/>
  <c r="AF742" i="169" s="1"/>
  <c r="S742" i="169"/>
  <c r="AP742" i="169" s="1"/>
  <c r="V744" i="169"/>
  <c r="AR744" i="169" s="1"/>
  <c r="X744" i="169"/>
  <c r="AF744" i="169" s="1"/>
  <c r="S744" i="169"/>
  <c r="AP744" i="169" s="1"/>
  <c r="V745" i="169"/>
  <c r="AR745" i="169" s="1"/>
  <c r="X745" i="169"/>
  <c r="AF745" i="169" s="1"/>
  <c r="S745" i="169"/>
  <c r="AP745" i="169" s="1"/>
  <c r="V746" i="169"/>
  <c r="AR746" i="169" s="1"/>
  <c r="X746" i="169"/>
  <c r="AF746" i="169" s="1"/>
  <c r="S746" i="169"/>
  <c r="AP746" i="169" s="1"/>
  <c r="V747" i="169"/>
  <c r="AR747" i="169" s="1"/>
  <c r="X747" i="169"/>
  <c r="AF747" i="169" s="1"/>
  <c r="S747" i="169"/>
  <c r="AP747" i="169" s="1"/>
  <c r="V748" i="169"/>
  <c r="AR748" i="169" s="1"/>
  <c r="X748" i="169"/>
  <c r="AF748" i="169" s="1"/>
  <c r="S750" i="169"/>
  <c r="AP750" i="169" s="1"/>
  <c r="S749" i="169"/>
  <c r="AP749" i="169" s="1"/>
  <c r="V749" i="169"/>
  <c r="AR749" i="169" s="1"/>
  <c r="X749" i="169"/>
  <c r="AF749" i="169" s="1"/>
  <c r="V750" i="169"/>
  <c r="AR750" i="169" s="1"/>
  <c r="X750" i="169"/>
  <c r="AF750" i="169" s="1"/>
  <c r="V751" i="169"/>
  <c r="AR751" i="169" s="1"/>
  <c r="X751" i="169"/>
  <c r="AF751" i="169" s="1"/>
  <c r="S751" i="169"/>
  <c r="AP751" i="169" s="1"/>
  <c r="V752" i="169"/>
  <c r="AR752" i="169" s="1"/>
  <c r="X752" i="169"/>
  <c r="AF752" i="169" s="1"/>
  <c r="S752" i="169"/>
  <c r="AP752" i="169" s="1"/>
  <c r="V753" i="169"/>
  <c r="AR753" i="169" s="1"/>
  <c r="X753" i="169"/>
  <c r="AF753" i="169" s="1"/>
  <c r="S753" i="169"/>
  <c r="AP753" i="169" s="1"/>
  <c r="S754" i="169"/>
  <c r="AP754" i="169" s="1"/>
  <c r="V754" i="169"/>
  <c r="AR754" i="169" s="1"/>
  <c r="X754" i="169"/>
  <c r="AF754" i="169" s="1"/>
  <c r="S715" i="169"/>
  <c r="AP715" i="169" s="1"/>
  <c r="V716" i="169"/>
  <c r="AR716" i="169" s="1"/>
  <c r="X716" i="169"/>
  <c r="AF716" i="169" s="1"/>
  <c r="S716" i="169"/>
  <c r="AP716" i="169" s="1"/>
  <c r="V714" i="169"/>
  <c r="AR714" i="169" s="1"/>
  <c r="X714" i="169"/>
  <c r="AF714" i="169" s="1"/>
  <c r="S714" i="169"/>
  <c r="AP714" i="169" s="1"/>
  <c r="V715" i="169"/>
  <c r="AR715" i="169" s="1"/>
  <c r="X715" i="169"/>
  <c r="AF715" i="169" s="1"/>
  <c r="V718" i="169"/>
  <c r="AR718" i="169" s="1"/>
  <c r="X718" i="169"/>
  <c r="AF718" i="169" s="1"/>
  <c r="S718" i="169"/>
  <c r="AP718" i="169" s="1"/>
  <c r="X719" i="169"/>
  <c r="AF719" i="169" s="1"/>
  <c r="V719" i="169"/>
  <c r="AR719" i="169" s="1"/>
  <c r="S719" i="169"/>
  <c r="AP719" i="169" s="1"/>
  <c r="V720" i="169"/>
  <c r="AR720" i="169" s="1"/>
  <c r="X720" i="169"/>
  <c r="AF720" i="169" s="1"/>
  <c r="S720" i="169"/>
  <c r="AP720" i="169" s="1"/>
  <c r="S721" i="169"/>
  <c r="AP721" i="169" s="1"/>
  <c r="V721" i="169"/>
  <c r="AR721" i="169" s="1"/>
  <c r="X721" i="169"/>
  <c r="AF721" i="169" s="1"/>
  <c r="V722" i="169"/>
  <c r="AR722" i="169" s="1"/>
  <c r="X722" i="169"/>
  <c r="AF722" i="169" s="1"/>
  <c r="S722" i="169"/>
  <c r="AP722" i="169" s="1"/>
  <c r="V723" i="169"/>
  <c r="AR723" i="169" s="1"/>
  <c r="X723" i="169"/>
  <c r="AF723" i="169" s="1"/>
  <c r="S723" i="169"/>
  <c r="AP723" i="169" s="1"/>
  <c r="V724" i="169"/>
  <c r="AR724" i="169" s="1"/>
  <c r="X724" i="169"/>
  <c r="AF724" i="169" s="1"/>
  <c r="S724" i="169"/>
  <c r="AP724" i="169" s="1"/>
  <c r="V704" i="169"/>
  <c r="AR704" i="169" s="1"/>
  <c r="X704" i="169"/>
  <c r="AF704" i="169" s="1"/>
  <c r="S704" i="169"/>
  <c r="AP704" i="169" s="1"/>
  <c r="V705" i="169"/>
  <c r="AR705" i="169" s="1"/>
  <c r="X705" i="169"/>
  <c r="AF705" i="169" s="1"/>
  <c r="S705" i="169"/>
  <c r="AP705" i="169" s="1"/>
  <c r="V706" i="169"/>
  <c r="AR706" i="169" s="1"/>
  <c r="X706" i="169"/>
  <c r="AF706" i="169" s="1"/>
  <c r="S706" i="169"/>
  <c r="AP706" i="169" s="1"/>
  <c r="V707" i="169"/>
  <c r="AR707" i="169" s="1"/>
  <c r="X707" i="169"/>
  <c r="AF707" i="169" s="1"/>
  <c r="S707" i="169"/>
  <c r="AP707" i="169" s="1"/>
  <c r="V708" i="169"/>
  <c r="AR708" i="169" s="1"/>
  <c r="X708" i="169"/>
  <c r="AF708" i="169" s="1"/>
  <c r="S708" i="169"/>
  <c r="AP708" i="169" s="1"/>
  <c r="V709" i="169"/>
  <c r="AR709" i="169" s="1"/>
  <c r="X709" i="169"/>
  <c r="AF709" i="169" s="1"/>
  <c r="S709" i="169"/>
  <c r="AP709" i="169" s="1"/>
  <c r="S711" i="169"/>
  <c r="AP711" i="169" s="1"/>
  <c r="V710" i="169"/>
  <c r="AR710" i="169" s="1"/>
  <c r="X710" i="169"/>
  <c r="AF710" i="169" s="1"/>
  <c r="S710" i="169"/>
  <c r="AP710" i="169" s="1"/>
  <c r="V711" i="169"/>
  <c r="AR711" i="169" s="1"/>
  <c r="X711" i="169"/>
  <c r="AF711" i="169" s="1"/>
  <c r="V712" i="169"/>
  <c r="AR712" i="169" s="1"/>
  <c r="X712" i="169"/>
  <c r="AF712" i="169" s="1"/>
  <c r="S712" i="169"/>
  <c r="AP712" i="169" s="1"/>
  <c r="V713" i="169"/>
  <c r="AR713" i="169" s="1"/>
  <c r="X713" i="169"/>
  <c r="AF713" i="169" s="1"/>
  <c r="S713" i="169"/>
  <c r="AP713" i="169" s="1"/>
  <c r="V717" i="169"/>
  <c r="AR717" i="169" s="1"/>
  <c r="X717" i="169"/>
  <c r="AF717" i="169" s="1"/>
  <c r="S717" i="169"/>
  <c r="AP717" i="169" s="1"/>
  <c r="V725" i="169"/>
  <c r="AR725" i="169" s="1"/>
  <c r="X725" i="169"/>
  <c r="AF725" i="169" s="1"/>
  <c r="S725" i="169"/>
  <c r="AP725" i="169" s="1"/>
  <c r="V726" i="169"/>
  <c r="AR726" i="169" s="1"/>
  <c r="X726" i="169"/>
  <c r="AF726" i="169" s="1"/>
  <c r="S726" i="169"/>
  <c r="AP726" i="169" s="1"/>
  <c r="V727" i="169"/>
  <c r="AR727" i="169" s="1"/>
  <c r="X727" i="169"/>
  <c r="AF727" i="169" s="1"/>
  <c r="S727" i="169"/>
  <c r="AP727" i="169" s="1"/>
  <c r="V728" i="169"/>
  <c r="AR728" i="169" s="1"/>
  <c r="X728" i="169"/>
  <c r="AF728" i="169" s="1"/>
  <c r="S728" i="169"/>
  <c r="AP728" i="169" s="1"/>
  <c r="V729" i="169"/>
  <c r="AR729" i="169" s="1"/>
  <c r="X729" i="169"/>
  <c r="AF729" i="169" s="1"/>
  <c r="S729" i="169"/>
  <c r="AP729" i="169" s="1"/>
  <c r="V730" i="169"/>
  <c r="AR730" i="169" s="1"/>
  <c r="X730" i="169"/>
  <c r="AF730" i="169" s="1"/>
  <c r="S730" i="169"/>
  <c r="AP730" i="169" s="1"/>
  <c r="U696" i="169"/>
  <c r="S732" i="169"/>
  <c r="AP732" i="169" s="1"/>
  <c r="V731" i="169"/>
  <c r="AR731" i="169" s="1"/>
  <c r="X731" i="169"/>
  <c r="AF731" i="169" s="1"/>
  <c r="S731" i="169"/>
  <c r="AP731" i="169" s="1"/>
  <c r="V732" i="169"/>
  <c r="AR732" i="169" s="1"/>
  <c r="X732" i="169"/>
  <c r="AF732" i="169" s="1"/>
  <c r="S676" i="169"/>
  <c r="AP676" i="169" s="1"/>
  <c r="S686" i="169"/>
  <c r="AP686" i="169" s="1"/>
  <c r="V686" i="169"/>
  <c r="AR686" i="169" s="1"/>
  <c r="V684" i="169"/>
  <c r="AR684" i="169" s="1"/>
  <c r="X684" i="169"/>
  <c r="AF684" i="169" s="1"/>
  <c r="U692" i="169"/>
  <c r="S684" i="169"/>
  <c r="AP684" i="169" s="1"/>
  <c r="X686" i="169"/>
  <c r="AF686" i="169" s="1"/>
  <c r="V685" i="169"/>
  <c r="AR685" i="169" s="1"/>
  <c r="X685" i="169"/>
  <c r="AF685" i="169" s="1"/>
  <c r="S685" i="169"/>
  <c r="AP685" i="169" s="1"/>
  <c r="U688" i="169"/>
  <c r="AQ688" i="169" s="1"/>
  <c r="V687" i="169"/>
  <c r="AR687" i="169" s="1"/>
  <c r="X687" i="169"/>
  <c r="AF687" i="169" s="1"/>
  <c r="S687" i="169"/>
  <c r="AP687" i="169" s="1"/>
  <c r="V689" i="169"/>
  <c r="AR689" i="169" s="1"/>
  <c r="X689" i="169"/>
  <c r="AF689" i="169" s="1"/>
  <c r="S689" i="169"/>
  <c r="AP689" i="169" s="1"/>
  <c r="U690" i="169"/>
  <c r="AQ690" i="169" s="1"/>
  <c r="V691" i="169"/>
  <c r="AR691" i="169" s="1"/>
  <c r="X691" i="169"/>
  <c r="AF691" i="169" s="1"/>
  <c r="S691" i="169"/>
  <c r="AP691" i="169" s="1"/>
  <c r="V693" i="169"/>
  <c r="AR693" i="169" s="1"/>
  <c r="X693" i="169"/>
  <c r="AF693" i="169" s="1"/>
  <c r="S693" i="169"/>
  <c r="AP693" i="169" s="1"/>
  <c r="U694" i="169"/>
  <c r="AQ694" i="169" s="1"/>
  <c r="U698" i="169"/>
  <c r="AQ698" i="169" s="1"/>
  <c r="V695" i="169"/>
  <c r="AR695" i="169" s="1"/>
  <c r="X695" i="169"/>
  <c r="AF695" i="169" s="1"/>
  <c r="S695" i="169"/>
  <c r="AP695" i="169" s="1"/>
  <c r="V697" i="169"/>
  <c r="AR697" i="169" s="1"/>
  <c r="X697" i="169"/>
  <c r="AF697" i="169" s="1"/>
  <c r="S697" i="169"/>
  <c r="AP697" i="169" s="1"/>
  <c r="U703" i="169"/>
  <c r="V699" i="169"/>
  <c r="AR699" i="169" s="1"/>
  <c r="X699" i="169"/>
  <c r="AF699" i="169" s="1"/>
  <c r="S699" i="169"/>
  <c r="AP699" i="169" s="1"/>
  <c r="U701" i="169"/>
  <c r="AQ701" i="169" s="1"/>
  <c r="V700" i="169"/>
  <c r="AR700" i="169" s="1"/>
  <c r="X700" i="169"/>
  <c r="AF700" i="169" s="1"/>
  <c r="S736" i="169"/>
  <c r="AP736" i="169" s="1"/>
  <c r="U734" i="169"/>
  <c r="AQ734" i="169" s="1"/>
  <c r="S700" i="169"/>
  <c r="AP700" i="169" s="1"/>
  <c r="V702" i="169"/>
  <c r="AR702" i="169" s="1"/>
  <c r="X702" i="169"/>
  <c r="AF702" i="169" s="1"/>
  <c r="S702" i="169"/>
  <c r="AP702" i="169" s="1"/>
  <c r="V733" i="169"/>
  <c r="AR733" i="169" s="1"/>
  <c r="X733" i="169"/>
  <c r="AF733" i="169" s="1"/>
  <c r="S733" i="169"/>
  <c r="AP733" i="169" s="1"/>
  <c r="U862" i="169"/>
  <c r="S739" i="169"/>
  <c r="AP739" i="169" s="1"/>
  <c r="V736" i="169"/>
  <c r="AR736" i="169" s="1"/>
  <c r="X736" i="169"/>
  <c r="AF736" i="169" s="1"/>
  <c r="V735" i="169"/>
  <c r="AR735" i="169" s="1"/>
  <c r="X735" i="169"/>
  <c r="AF735" i="169" s="1"/>
  <c r="S735" i="169"/>
  <c r="AP735" i="169" s="1"/>
  <c r="V737" i="169"/>
  <c r="AR737" i="169" s="1"/>
  <c r="X737" i="169"/>
  <c r="AF737" i="169" s="1"/>
  <c r="U669" i="169"/>
  <c r="S737" i="169"/>
  <c r="AP737" i="169" s="1"/>
  <c r="U738" i="169"/>
  <c r="AQ738" i="169" s="1"/>
  <c r="U902" i="169"/>
  <c r="AQ902" i="169" s="1"/>
  <c r="V739" i="169"/>
  <c r="AR739" i="169" s="1"/>
  <c r="X739" i="169"/>
  <c r="AF739" i="169" s="1"/>
  <c r="V903" i="169"/>
  <c r="AR903" i="169" s="1"/>
  <c r="X903" i="169"/>
  <c r="AF903" i="169" s="1"/>
  <c r="S903" i="169"/>
  <c r="AP903" i="169" s="1"/>
  <c r="U673" i="169"/>
  <c r="V667" i="169"/>
  <c r="AR667" i="169" s="1"/>
  <c r="X667" i="169"/>
  <c r="AF667" i="169" s="1"/>
  <c r="S667" i="169"/>
  <c r="AP667" i="169" s="1"/>
  <c r="V668" i="169"/>
  <c r="AR668" i="169" s="1"/>
  <c r="X668" i="169"/>
  <c r="AF668" i="169" s="1"/>
  <c r="S668" i="169"/>
  <c r="AP668" i="169" s="1"/>
  <c r="V670" i="169"/>
  <c r="AR670" i="169" s="1"/>
  <c r="X670" i="169"/>
  <c r="AF670" i="169" s="1"/>
  <c r="S670" i="169"/>
  <c r="AP670" i="169" s="1"/>
  <c r="U671" i="169"/>
  <c r="AQ671" i="169" s="1"/>
  <c r="V672" i="169"/>
  <c r="AR672" i="169" s="1"/>
  <c r="X672" i="169"/>
  <c r="AF672" i="169" s="1"/>
  <c r="S672" i="169"/>
  <c r="AP672" i="169" s="1"/>
  <c r="V676" i="169"/>
  <c r="AR676" i="169" s="1"/>
  <c r="V674" i="169"/>
  <c r="AR674" i="169" s="1"/>
  <c r="X674" i="169"/>
  <c r="AF674" i="169" s="1"/>
  <c r="S674" i="169"/>
  <c r="AP674" i="169" s="1"/>
  <c r="V675" i="169"/>
  <c r="AR675" i="169" s="1"/>
  <c r="X675" i="169"/>
  <c r="AF675" i="169" s="1"/>
  <c r="S675" i="169"/>
  <c r="AP675" i="169" s="1"/>
  <c r="S680" i="169"/>
  <c r="AP680" i="169" s="1"/>
  <c r="U678" i="169"/>
  <c r="X676" i="169"/>
  <c r="AF676" i="169" s="1"/>
  <c r="V677" i="169"/>
  <c r="AR677" i="169" s="1"/>
  <c r="X677" i="169"/>
  <c r="AF677" i="169" s="1"/>
  <c r="S677" i="169"/>
  <c r="AP677" i="169" s="1"/>
  <c r="S679" i="169"/>
  <c r="AP679" i="169" s="1"/>
  <c r="V679" i="169"/>
  <c r="AR679" i="169" s="1"/>
  <c r="X679" i="169"/>
  <c r="AF679" i="169" s="1"/>
  <c r="V680" i="169"/>
  <c r="AR680" i="169" s="1"/>
  <c r="X680" i="169"/>
  <c r="AF680" i="169" s="1"/>
  <c r="S647" i="169"/>
  <c r="AP647" i="169" s="1"/>
  <c r="V645" i="169"/>
  <c r="AR645" i="169" s="1"/>
  <c r="X645" i="169"/>
  <c r="AF645" i="169" s="1"/>
  <c r="S654" i="169"/>
  <c r="AP654" i="169" s="1"/>
  <c r="S645" i="169"/>
  <c r="AP645" i="169" s="1"/>
  <c r="V646" i="169"/>
  <c r="AR646" i="169" s="1"/>
  <c r="X646" i="169"/>
  <c r="AF646" i="169" s="1"/>
  <c r="S646" i="169"/>
  <c r="AP646" i="169" s="1"/>
  <c r="V647" i="169"/>
  <c r="AR647" i="169" s="1"/>
  <c r="X647" i="169"/>
  <c r="AF647" i="169" s="1"/>
  <c r="S648" i="169"/>
  <c r="AP648" i="169" s="1"/>
  <c r="V648" i="169"/>
  <c r="AR648" i="169" s="1"/>
  <c r="X648" i="169"/>
  <c r="AF648" i="169" s="1"/>
  <c r="V649" i="169"/>
  <c r="AR649" i="169" s="1"/>
  <c r="X649" i="169"/>
  <c r="AF649" i="169" s="1"/>
  <c r="S649" i="169"/>
  <c r="AP649" i="169" s="1"/>
  <c r="S652" i="169"/>
  <c r="AP652" i="169" s="1"/>
  <c r="S651" i="169"/>
  <c r="AP651" i="169" s="1"/>
  <c r="S650" i="169"/>
  <c r="AP650" i="169" s="1"/>
  <c r="V650" i="169"/>
  <c r="AR650" i="169" s="1"/>
  <c r="X650" i="169"/>
  <c r="AF650" i="169" s="1"/>
  <c r="V651" i="169"/>
  <c r="AR651" i="169" s="1"/>
  <c r="X651" i="169"/>
  <c r="AF651" i="169" s="1"/>
  <c r="V652" i="169"/>
  <c r="AR652" i="169" s="1"/>
  <c r="X652" i="169"/>
  <c r="AF652" i="169" s="1"/>
  <c r="S653" i="169"/>
  <c r="AP653" i="169" s="1"/>
  <c r="V653" i="169"/>
  <c r="AR653" i="169" s="1"/>
  <c r="X653" i="169"/>
  <c r="AF653" i="169" s="1"/>
  <c r="V654" i="169"/>
  <c r="AR654" i="169" s="1"/>
  <c r="X654" i="169"/>
  <c r="AF654" i="169" s="1"/>
  <c r="V655" i="169"/>
  <c r="AR655" i="169" s="1"/>
  <c r="X655" i="169"/>
  <c r="AF655" i="169" s="1"/>
  <c r="S655" i="169"/>
  <c r="AP655" i="169" s="1"/>
  <c r="S656" i="169"/>
  <c r="AP656" i="169" s="1"/>
  <c r="V656" i="169"/>
  <c r="AR656" i="169" s="1"/>
  <c r="X656" i="169"/>
  <c r="AF656" i="169" s="1"/>
  <c r="S657" i="169"/>
  <c r="AP657" i="169" s="1"/>
  <c r="V657" i="169"/>
  <c r="AR657" i="169" s="1"/>
  <c r="X657" i="169"/>
  <c r="AF657" i="169" s="1"/>
  <c r="S660" i="169"/>
  <c r="AP660" i="169" s="1"/>
  <c r="S658" i="169"/>
  <c r="AP658" i="169" s="1"/>
  <c r="V658" i="169"/>
  <c r="AR658" i="169" s="1"/>
  <c r="X658" i="169"/>
  <c r="AF658" i="169" s="1"/>
  <c r="V659" i="169"/>
  <c r="AR659" i="169" s="1"/>
  <c r="X659" i="169"/>
  <c r="AF659" i="169" s="1"/>
  <c r="S659" i="169"/>
  <c r="AP659" i="169" s="1"/>
  <c r="V660" i="169"/>
  <c r="AR660" i="169" s="1"/>
  <c r="X660" i="169"/>
  <c r="AF660" i="169" s="1"/>
  <c r="S661" i="169"/>
  <c r="AP661" i="169" s="1"/>
  <c r="V661" i="169"/>
  <c r="AR661" i="169" s="1"/>
  <c r="X661" i="169"/>
  <c r="AF661" i="169" s="1"/>
  <c r="V662" i="169"/>
  <c r="AR662" i="169" s="1"/>
  <c r="X662" i="169"/>
  <c r="AF662" i="169" s="1"/>
  <c r="S662" i="169"/>
  <c r="AP662" i="169" s="1"/>
  <c r="S663" i="169"/>
  <c r="AP663" i="169" s="1"/>
  <c r="V663" i="169"/>
  <c r="AR663" i="169" s="1"/>
  <c r="X663" i="169"/>
  <c r="AF663" i="169" s="1"/>
  <c r="V664" i="169"/>
  <c r="AR664" i="169" s="1"/>
  <c r="X664" i="169"/>
  <c r="AF664" i="169" s="1"/>
  <c r="S664" i="169"/>
  <c r="AP664" i="169" s="1"/>
  <c r="V593" i="169"/>
  <c r="AR593" i="169" s="1"/>
  <c r="X593" i="169"/>
  <c r="AF593" i="169" s="1"/>
  <c r="S593" i="169"/>
  <c r="AP593" i="169" s="1"/>
  <c r="S640" i="169"/>
  <c r="AP640" i="169" s="1"/>
  <c r="V639" i="169"/>
  <c r="AR639" i="169" s="1"/>
  <c r="X639" i="169"/>
  <c r="AF639" i="169" s="1"/>
  <c r="S639" i="169"/>
  <c r="AP639" i="169" s="1"/>
  <c r="V640" i="169"/>
  <c r="AR640" i="169" s="1"/>
  <c r="X640" i="169"/>
  <c r="AF640" i="169" s="1"/>
  <c r="V641" i="169"/>
  <c r="AR641" i="169" s="1"/>
  <c r="X641" i="169"/>
  <c r="AF641" i="169" s="1"/>
  <c r="S641" i="169"/>
  <c r="AP641" i="169" s="1"/>
  <c r="V642" i="169"/>
  <c r="AR642" i="169" s="1"/>
  <c r="X642" i="169"/>
  <c r="AF642" i="169" s="1"/>
  <c r="S642" i="169"/>
  <c r="AP642" i="169" s="1"/>
  <c r="V643" i="169"/>
  <c r="AR643" i="169" s="1"/>
  <c r="X643" i="169"/>
  <c r="AF643" i="169" s="1"/>
  <c r="S643" i="169"/>
  <c r="AP643" i="169" s="1"/>
  <c r="V644" i="169"/>
  <c r="AR644" i="169" s="1"/>
  <c r="X644" i="169"/>
  <c r="AF644" i="169" s="1"/>
  <c r="S644" i="169"/>
  <c r="AP644" i="169" s="1"/>
  <c r="V665" i="169"/>
  <c r="AR665" i="169" s="1"/>
  <c r="X665" i="169"/>
  <c r="AF665" i="169" s="1"/>
  <c r="S665" i="169"/>
  <c r="AP665" i="169" s="1"/>
  <c r="V666" i="169"/>
  <c r="AR666" i="169" s="1"/>
  <c r="X666" i="169"/>
  <c r="AF666" i="169" s="1"/>
  <c r="S666" i="169"/>
  <c r="AP666" i="169" s="1"/>
  <c r="S683" i="169"/>
  <c r="AP683" i="169" s="1"/>
  <c r="U681" i="169"/>
  <c r="AQ681" i="169" s="1"/>
  <c r="V682" i="169"/>
  <c r="AR682" i="169" s="1"/>
  <c r="X682" i="169"/>
  <c r="AF682" i="169" s="1"/>
  <c r="S682" i="169"/>
  <c r="AP682" i="169" s="1"/>
  <c r="U615" i="169"/>
  <c r="V683" i="169"/>
  <c r="AR683" i="169" s="1"/>
  <c r="X683" i="169"/>
  <c r="AF683" i="169" s="1"/>
  <c r="V613" i="169"/>
  <c r="AR613" i="169" s="1"/>
  <c r="X613" i="169"/>
  <c r="AF613" i="169" s="1"/>
  <c r="S613" i="169"/>
  <c r="AP613" i="169" s="1"/>
  <c r="S614" i="169"/>
  <c r="AP614" i="169" s="1"/>
  <c r="V614" i="169"/>
  <c r="AR614" i="169" s="1"/>
  <c r="X614" i="169"/>
  <c r="AF614" i="169" s="1"/>
  <c r="V616" i="169"/>
  <c r="AR616" i="169" s="1"/>
  <c r="X616" i="169"/>
  <c r="AF616" i="169" s="1"/>
  <c r="S616" i="169"/>
  <c r="AP616" i="169" s="1"/>
  <c r="V617" i="169"/>
  <c r="AR617" i="169" s="1"/>
  <c r="X617" i="169"/>
  <c r="AF617" i="169" s="1"/>
  <c r="S617" i="169"/>
  <c r="AP617" i="169" s="1"/>
  <c r="V618" i="169"/>
  <c r="AR618" i="169" s="1"/>
  <c r="X618" i="169"/>
  <c r="AF618" i="169" s="1"/>
  <c r="S618" i="169"/>
  <c r="AP618" i="169" s="1"/>
  <c r="V619" i="169"/>
  <c r="AR619" i="169" s="1"/>
  <c r="X619" i="169"/>
  <c r="AF619" i="169" s="1"/>
  <c r="S619" i="169"/>
  <c r="AP619" i="169" s="1"/>
  <c r="V620" i="169"/>
  <c r="AR620" i="169" s="1"/>
  <c r="X620" i="169"/>
  <c r="AF620" i="169" s="1"/>
  <c r="S620" i="169"/>
  <c r="AP620" i="169" s="1"/>
  <c r="U621" i="169"/>
  <c r="AQ621" i="169" s="1"/>
  <c r="V622" i="169"/>
  <c r="AR622" i="169" s="1"/>
  <c r="X622" i="169"/>
  <c r="AF622" i="169" s="1"/>
  <c r="S622" i="169"/>
  <c r="AP622" i="169" s="1"/>
  <c r="S623" i="169"/>
  <c r="AP623" i="169" s="1"/>
  <c r="V623" i="169"/>
  <c r="AR623" i="169" s="1"/>
  <c r="X623" i="169"/>
  <c r="AF623" i="169" s="1"/>
  <c r="U625" i="169"/>
  <c r="V624" i="169"/>
  <c r="AR624" i="169" s="1"/>
  <c r="X624" i="169"/>
  <c r="AF624" i="169" s="1"/>
  <c r="S624" i="169"/>
  <c r="AP624" i="169" s="1"/>
  <c r="U629" i="169"/>
  <c r="V626" i="169"/>
  <c r="AR626" i="169" s="1"/>
  <c r="X626" i="169"/>
  <c r="AF626" i="169" s="1"/>
  <c r="S626" i="169"/>
  <c r="AP626" i="169" s="1"/>
  <c r="V627" i="169"/>
  <c r="AR627" i="169" s="1"/>
  <c r="X627" i="169"/>
  <c r="AF627" i="169" s="1"/>
  <c r="S627" i="169"/>
  <c r="AP627" i="169" s="1"/>
  <c r="V628" i="169"/>
  <c r="AR628" i="169" s="1"/>
  <c r="X628" i="169"/>
  <c r="AF628" i="169" s="1"/>
  <c r="S628" i="169"/>
  <c r="AP628" i="169" s="1"/>
  <c r="V630" i="169"/>
  <c r="AR630" i="169" s="1"/>
  <c r="X630" i="169"/>
  <c r="AF630" i="169" s="1"/>
  <c r="S630" i="169"/>
  <c r="AP630" i="169" s="1"/>
  <c r="V631" i="169"/>
  <c r="AR631" i="169" s="1"/>
  <c r="X631" i="169"/>
  <c r="AF631" i="169" s="1"/>
  <c r="S631" i="169"/>
  <c r="AP631" i="169" s="1"/>
  <c r="V632" i="169"/>
  <c r="AR632" i="169" s="1"/>
  <c r="X632" i="169"/>
  <c r="AF632" i="169" s="1"/>
  <c r="S632" i="169"/>
  <c r="AP632" i="169" s="1"/>
  <c r="V633" i="169"/>
  <c r="AR633" i="169" s="1"/>
  <c r="X633" i="169"/>
  <c r="AF633" i="169" s="1"/>
  <c r="S633" i="169"/>
  <c r="AP633" i="169" s="1"/>
  <c r="V634" i="169"/>
  <c r="AR634" i="169" s="1"/>
  <c r="X634" i="169"/>
  <c r="AF634" i="169" s="1"/>
  <c r="S634" i="169"/>
  <c r="AP634" i="169" s="1"/>
  <c r="V635" i="169"/>
  <c r="AR635" i="169" s="1"/>
  <c r="X635" i="169"/>
  <c r="AF635" i="169" s="1"/>
  <c r="S635" i="169"/>
  <c r="AP635" i="169" s="1"/>
  <c r="V636" i="169"/>
  <c r="AR636" i="169" s="1"/>
  <c r="X636" i="169"/>
  <c r="AF636" i="169" s="1"/>
  <c r="S636" i="169"/>
  <c r="AP636" i="169" s="1"/>
  <c r="V637" i="169"/>
  <c r="AR637" i="169" s="1"/>
  <c r="X637" i="169"/>
  <c r="AF637" i="169" s="1"/>
  <c r="S637" i="169"/>
  <c r="AP637" i="169" s="1"/>
  <c r="V638" i="169"/>
  <c r="AR638" i="169" s="1"/>
  <c r="X638" i="169"/>
  <c r="AF638" i="169" s="1"/>
  <c r="S638" i="169"/>
  <c r="AP638" i="169" s="1"/>
  <c r="S904" i="169"/>
  <c r="AP904" i="169" s="1"/>
  <c r="V904" i="169"/>
  <c r="AR904" i="169" s="1"/>
  <c r="X904" i="169"/>
  <c r="AF904" i="169" s="1"/>
  <c r="S579" i="169"/>
  <c r="AP579" i="169" s="1"/>
  <c r="V577" i="169"/>
  <c r="AR577" i="169" s="1"/>
  <c r="X577" i="169"/>
  <c r="AF577" i="169" s="1"/>
  <c r="S577" i="169"/>
  <c r="AP577" i="169" s="1"/>
  <c r="V578" i="169"/>
  <c r="AR578" i="169" s="1"/>
  <c r="X578" i="169"/>
  <c r="AF578" i="169" s="1"/>
  <c r="S578" i="169"/>
  <c r="AP578" i="169" s="1"/>
  <c r="V579" i="169"/>
  <c r="AR579" i="169" s="1"/>
  <c r="X579" i="169"/>
  <c r="AF579" i="169" s="1"/>
  <c r="V580" i="169"/>
  <c r="AR580" i="169" s="1"/>
  <c r="X580" i="169"/>
  <c r="AF580" i="169" s="1"/>
  <c r="S580" i="169"/>
  <c r="AP580" i="169" s="1"/>
  <c r="V581" i="169"/>
  <c r="AR581" i="169" s="1"/>
  <c r="X581" i="169"/>
  <c r="AF581" i="169" s="1"/>
  <c r="S581" i="169"/>
  <c r="AP581" i="169" s="1"/>
  <c r="V582" i="169"/>
  <c r="AR582" i="169" s="1"/>
  <c r="X582" i="169"/>
  <c r="AF582" i="169" s="1"/>
  <c r="S582" i="169"/>
  <c r="AP582" i="169" s="1"/>
  <c r="V583" i="169"/>
  <c r="AR583" i="169" s="1"/>
  <c r="X583" i="169"/>
  <c r="AF583" i="169" s="1"/>
  <c r="S583" i="169"/>
  <c r="AP583" i="169" s="1"/>
  <c r="V584" i="169"/>
  <c r="AR584" i="169" s="1"/>
  <c r="X584" i="169"/>
  <c r="AF584" i="169" s="1"/>
  <c r="S584" i="169"/>
  <c r="AP584" i="169" s="1"/>
  <c r="V585" i="169"/>
  <c r="AR585" i="169" s="1"/>
  <c r="X585" i="169"/>
  <c r="AF585" i="169" s="1"/>
  <c r="S585" i="169"/>
  <c r="AP585" i="169" s="1"/>
  <c r="V586" i="169"/>
  <c r="AR586" i="169" s="1"/>
  <c r="X586" i="169"/>
  <c r="AF586" i="169" s="1"/>
  <c r="S586" i="169"/>
  <c r="AP586" i="169" s="1"/>
  <c r="V587" i="169"/>
  <c r="AR587" i="169" s="1"/>
  <c r="X587" i="169"/>
  <c r="AF587" i="169" s="1"/>
  <c r="S587" i="169"/>
  <c r="AP587" i="169" s="1"/>
  <c r="V588" i="169"/>
  <c r="AR588" i="169" s="1"/>
  <c r="X588" i="169"/>
  <c r="AF588" i="169" s="1"/>
  <c r="S588" i="169"/>
  <c r="AP588" i="169" s="1"/>
  <c r="S589" i="169"/>
  <c r="AP589" i="169" s="1"/>
  <c r="V589" i="169"/>
  <c r="AR589" i="169" s="1"/>
  <c r="X589" i="169"/>
  <c r="AF589" i="169" s="1"/>
  <c r="V590" i="169"/>
  <c r="AR590" i="169" s="1"/>
  <c r="X590" i="169"/>
  <c r="AF590" i="169" s="1"/>
  <c r="S590" i="169"/>
  <c r="AP590" i="169" s="1"/>
  <c r="V591" i="169"/>
  <c r="AR591" i="169" s="1"/>
  <c r="X591" i="169"/>
  <c r="AF591" i="169" s="1"/>
  <c r="S591" i="169"/>
  <c r="AP591" i="169" s="1"/>
  <c r="V592" i="169"/>
  <c r="AR592" i="169" s="1"/>
  <c r="X592" i="169"/>
  <c r="AF592" i="169" s="1"/>
  <c r="S592" i="169"/>
  <c r="AP592" i="169" s="1"/>
  <c r="V594" i="169"/>
  <c r="AR594" i="169" s="1"/>
  <c r="X594" i="169"/>
  <c r="AF594" i="169" s="1"/>
  <c r="S594" i="169"/>
  <c r="AP594" i="169" s="1"/>
  <c r="V595" i="169"/>
  <c r="AR595" i="169" s="1"/>
  <c r="X595" i="169"/>
  <c r="AF595" i="169" s="1"/>
  <c r="S595" i="169"/>
  <c r="AP595" i="169" s="1"/>
  <c r="V596" i="169"/>
  <c r="AR596" i="169" s="1"/>
  <c r="X596" i="169"/>
  <c r="AF596" i="169" s="1"/>
  <c r="S601" i="169"/>
  <c r="AP601" i="169" s="1"/>
  <c r="S596" i="169"/>
  <c r="AP596" i="169" s="1"/>
  <c r="V597" i="169"/>
  <c r="AR597" i="169" s="1"/>
  <c r="X597" i="169"/>
  <c r="AF597" i="169" s="1"/>
  <c r="S597" i="169"/>
  <c r="AP597" i="169" s="1"/>
  <c r="S603" i="169"/>
  <c r="AP603" i="169" s="1"/>
  <c r="V598" i="169"/>
  <c r="AR598" i="169" s="1"/>
  <c r="X598" i="169"/>
  <c r="AF598" i="169" s="1"/>
  <c r="S598" i="169"/>
  <c r="AP598" i="169" s="1"/>
  <c r="V599" i="169"/>
  <c r="AR599" i="169" s="1"/>
  <c r="X599" i="169"/>
  <c r="AF599" i="169" s="1"/>
  <c r="S599" i="169"/>
  <c r="AP599" i="169" s="1"/>
  <c r="V600" i="169"/>
  <c r="AR600" i="169" s="1"/>
  <c r="X600" i="169"/>
  <c r="AF600" i="169" s="1"/>
  <c r="S600" i="169"/>
  <c r="AP600" i="169" s="1"/>
  <c r="V601" i="169"/>
  <c r="AR601" i="169" s="1"/>
  <c r="X601" i="169"/>
  <c r="AF601" i="169" s="1"/>
  <c r="V602" i="169"/>
  <c r="AR602" i="169" s="1"/>
  <c r="X602" i="169"/>
  <c r="AF602" i="169" s="1"/>
  <c r="S602" i="169"/>
  <c r="AP602" i="169" s="1"/>
  <c r="V603" i="169"/>
  <c r="AR603" i="169" s="1"/>
  <c r="X603" i="169"/>
  <c r="AF603" i="169" s="1"/>
  <c r="S560" i="169"/>
  <c r="AP560" i="169" s="1"/>
  <c r="V561" i="169"/>
  <c r="AR561" i="169" s="1"/>
  <c r="X561" i="169"/>
  <c r="AF561" i="169" s="1"/>
  <c r="S561" i="169"/>
  <c r="AP561" i="169" s="1"/>
  <c r="V560" i="169"/>
  <c r="AR560" i="169" s="1"/>
  <c r="X560" i="169"/>
  <c r="AF560" i="169" s="1"/>
  <c r="S537" i="169"/>
  <c r="AP537" i="169" s="1"/>
  <c r="V537" i="169"/>
  <c r="AR537" i="169" s="1"/>
  <c r="X537" i="169"/>
  <c r="AF537" i="169" s="1"/>
  <c r="S544" i="169"/>
  <c r="AP544" i="169" s="1"/>
  <c r="V544" i="169"/>
  <c r="AR544" i="169" s="1"/>
  <c r="X544" i="169"/>
  <c r="AF544" i="169" s="1"/>
  <c r="S545" i="169"/>
  <c r="AP545" i="169" s="1"/>
  <c r="V545" i="169"/>
  <c r="AR545" i="169" s="1"/>
  <c r="X545" i="169"/>
  <c r="AF545" i="169" s="1"/>
  <c r="U550" i="169"/>
  <c r="V546" i="169"/>
  <c r="AR546" i="169" s="1"/>
  <c r="X546" i="169"/>
  <c r="AF546" i="169" s="1"/>
  <c r="S546" i="169"/>
  <c r="AP546" i="169" s="1"/>
  <c r="S548" i="169"/>
  <c r="AP548" i="169" s="1"/>
  <c r="S547" i="169"/>
  <c r="AP547" i="169" s="1"/>
  <c r="V547" i="169"/>
  <c r="AR547" i="169" s="1"/>
  <c r="X547" i="169"/>
  <c r="AF547" i="169" s="1"/>
  <c r="V548" i="169"/>
  <c r="AR548" i="169" s="1"/>
  <c r="X548" i="169"/>
  <c r="AF548" i="169" s="1"/>
  <c r="S549" i="169"/>
  <c r="AP549" i="169" s="1"/>
  <c r="V549" i="169"/>
  <c r="AR549" i="169" s="1"/>
  <c r="X549" i="169"/>
  <c r="AF549" i="169" s="1"/>
  <c r="V551" i="169"/>
  <c r="AR551" i="169" s="1"/>
  <c r="X551" i="169"/>
  <c r="AF551" i="169" s="1"/>
  <c r="S551" i="169"/>
  <c r="AP551" i="169" s="1"/>
  <c r="S554" i="169"/>
  <c r="AP554" i="169" s="1"/>
  <c r="S553" i="169"/>
  <c r="AP553" i="169" s="1"/>
  <c r="V552" i="169"/>
  <c r="AR552" i="169" s="1"/>
  <c r="X552" i="169"/>
  <c r="AF552" i="169" s="1"/>
  <c r="S552" i="169"/>
  <c r="AP552" i="169" s="1"/>
  <c r="V553" i="169"/>
  <c r="AR553" i="169" s="1"/>
  <c r="X553" i="169"/>
  <c r="AF553" i="169" s="1"/>
  <c r="V554" i="169"/>
  <c r="AR554" i="169" s="1"/>
  <c r="X554" i="169"/>
  <c r="AF554" i="169" s="1"/>
  <c r="S557" i="169"/>
  <c r="AP557" i="169" s="1"/>
  <c r="S556" i="169"/>
  <c r="AP556" i="169" s="1"/>
  <c r="V555" i="169"/>
  <c r="AR555" i="169" s="1"/>
  <c r="X555" i="169"/>
  <c r="AF555" i="169" s="1"/>
  <c r="S555" i="169"/>
  <c r="AP555" i="169" s="1"/>
  <c r="V556" i="169"/>
  <c r="AR556" i="169" s="1"/>
  <c r="X556" i="169"/>
  <c r="AF556" i="169" s="1"/>
  <c r="V557" i="169"/>
  <c r="AR557" i="169" s="1"/>
  <c r="X557" i="169"/>
  <c r="AF557" i="169" s="1"/>
  <c r="V558" i="169"/>
  <c r="AR558" i="169" s="1"/>
  <c r="X558" i="169"/>
  <c r="AF558" i="169" s="1"/>
  <c r="S558" i="169"/>
  <c r="AP558" i="169" s="1"/>
  <c r="V559" i="169"/>
  <c r="AR559" i="169" s="1"/>
  <c r="X559" i="169"/>
  <c r="AF559" i="169" s="1"/>
  <c r="S559" i="169"/>
  <c r="AP559" i="169" s="1"/>
  <c r="S562" i="169"/>
  <c r="AP562" i="169" s="1"/>
  <c r="V562" i="169"/>
  <c r="AR562" i="169" s="1"/>
  <c r="X562" i="169"/>
  <c r="AF562" i="169" s="1"/>
  <c r="V563" i="169"/>
  <c r="AR563" i="169" s="1"/>
  <c r="X563" i="169"/>
  <c r="AF563" i="169" s="1"/>
  <c r="S563" i="169"/>
  <c r="AP563" i="169" s="1"/>
  <c r="V564" i="169"/>
  <c r="AR564" i="169" s="1"/>
  <c r="X564" i="169"/>
  <c r="AF564" i="169" s="1"/>
  <c r="S564" i="169"/>
  <c r="AP564" i="169" s="1"/>
  <c r="S565" i="169"/>
  <c r="AP565" i="169" s="1"/>
  <c r="V565" i="169"/>
  <c r="AR565" i="169" s="1"/>
  <c r="X565" i="169"/>
  <c r="AF565" i="169" s="1"/>
  <c r="V566" i="169"/>
  <c r="AR566" i="169" s="1"/>
  <c r="X566" i="169"/>
  <c r="AF566" i="169" s="1"/>
  <c r="S571" i="169"/>
  <c r="AP571" i="169" s="1"/>
  <c r="S566" i="169"/>
  <c r="AP566" i="169" s="1"/>
  <c r="V567" i="169"/>
  <c r="AR567" i="169" s="1"/>
  <c r="X567" i="169"/>
  <c r="AF567" i="169" s="1"/>
  <c r="S567" i="169"/>
  <c r="AP567" i="169" s="1"/>
  <c r="V568" i="169"/>
  <c r="AR568" i="169" s="1"/>
  <c r="X568" i="169"/>
  <c r="AF568" i="169" s="1"/>
  <c r="S568" i="169"/>
  <c r="AP568" i="169" s="1"/>
  <c r="V569" i="169"/>
  <c r="AR569" i="169" s="1"/>
  <c r="X569" i="169"/>
  <c r="AF569" i="169" s="1"/>
  <c r="S569" i="169"/>
  <c r="AP569" i="169" s="1"/>
  <c r="V570" i="169"/>
  <c r="AR570" i="169" s="1"/>
  <c r="X570" i="169"/>
  <c r="AF570" i="169" s="1"/>
  <c r="S570" i="169"/>
  <c r="AP570" i="169" s="1"/>
  <c r="V571" i="169"/>
  <c r="AR571" i="169" s="1"/>
  <c r="X571" i="169"/>
  <c r="AF571" i="169" s="1"/>
  <c r="V572" i="169"/>
  <c r="AR572" i="169" s="1"/>
  <c r="X572" i="169"/>
  <c r="AF572" i="169" s="1"/>
  <c r="S572" i="169"/>
  <c r="AP572" i="169" s="1"/>
  <c r="V573" i="169"/>
  <c r="AR573" i="169" s="1"/>
  <c r="X573" i="169"/>
  <c r="AF573" i="169" s="1"/>
  <c r="S573" i="169"/>
  <c r="AP573" i="169" s="1"/>
  <c r="V574" i="169"/>
  <c r="AR574" i="169" s="1"/>
  <c r="X574" i="169"/>
  <c r="AF574" i="169" s="1"/>
  <c r="S574" i="169"/>
  <c r="AP574" i="169" s="1"/>
  <c r="S575" i="169"/>
  <c r="AP575" i="169" s="1"/>
  <c r="V575" i="169"/>
  <c r="AR575" i="169" s="1"/>
  <c r="X575" i="169"/>
  <c r="AF575" i="169" s="1"/>
  <c r="V576" i="169"/>
  <c r="AR576" i="169" s="1"/>
  <c r="X576" i="169"/>
  <c r="AF576" i="169" s="1"/>
  <c r="S576" i="169"/>
  <c r="AP576" i="169" s="1"/>
  <c r="V604" i="169"/>
  <c r="AR604" i="169" s="1"/>
  <c r="X604" i="169"/>
  <c r="AF604" i="169" s="1"/>
  <c r="S604" i="169"/>
  <c r="AP604" i="169" s="1"/>
  <c r="V605" i="169"/>
  <c r="AR605" i="169" s="1"/>
  <c r="X605" i="169"/>
  <c r="AF605" i="169" s="1"/>
  <c r="S605" i="169"/>
  <c r="AP605" i="169" s="1"/>
  <c r="V606" i="169"/>
  <c r="AR606" i="169" s="1"/>
  <c r="X606" i="169"/>
  <c r="AF606" i="169" s="1"/>
  <c r="S606" i="169"/>
  <c r="AP606" i="169" s="1"/>
  <c r="V607" i="169"/>
  <c r="AR607" i="169" s="1"/>
  <c r="X607" i="169"/>
  <c r="AF607" i="169" s="1"/>
  <c r="S607" i="169"/>
  <c r="AP607" i="169" s="1"/>
  <c r="V608" i="169"/>
  <c r="AR608" i="169" s="1"/>
  <c r="X608" i="169"/>
  <c r="AF608" i="169" s="1"/>
  <c r="S608" i="169"/>
  <c r="AP608" i="169" s="1"/>
  <c r="S518" i="169"/>
  <c r="AP518" i="169" s="1"/>
  <c r="S531" i="169"/>
  <c r="AP531" i="169" s="1"/>
  <c r="X531" i="169"/>
  <c r="AF531" i="169" s="1"/>
  <c r="V531" i="169"/>
  <c r="AR531" i="169" s="1"/>
  <c r="S521" i="169"/>
  <c r="AP521" i="169" s="1"/>
  <c r="V518" i="169"/>
  <c r="AR518" i="169" s="1"/>
  <c r="X518" i="169"/>
  <c r="AF518" i="169" s="1"/>
  <c r="S519" i="169"/>
  <c r="AP519" i="169" s="1"/>
  <c r="V519" i="169"/>
  <c r="AR519" i="169" s="1"/>
  <c r="X519" i="169"/>
  <c r="AF519" i="169" s="1"/>
  <c r="V520" i="169"/>
  <c r="AR520" i="169" s="1"/>
  <c r="X520" i="169"/>
  <c r="AF520" i="169" s="1"/>
  <c r="S520" i="169"/>
  <c r="AP520" i="169" s="1"/>
  <c r="S525" i="169"/>
  <c r="AP525" i="169" s="1"/>
  <c r="S524" i="169"/>
  <c r="AP524" i="169" s="1"/>
  <c r="S523" i="169"/>
  <c r="AP523" i="169" s="1"/>
  <c r="S522" i="169"/>
  <c r="AP522" i="169" s="1"/>
  <c r="V521" i="169"/>
  <c r="AR521" i="169" s="1"/>
  <c r="X521" i="169"/>
  <c r="AF521" i="169" s="1"/>
  <c r="V522" i="169"/>
  <c r="AR522" i="169" s="1"/>
  <c r="X522" i="169"/>
  <c r="AF522" i="169" s="1"/>
  <c r="V523" i="169"/>
  <c r="AR523" i="169" s="1"/>
  <c r="X523" i="169"/>
  <c r="AF523" i="169" s="1"/>
  <c r="V524" i="169"/>
  <c r="AR524" i="169" s="1"/>
  <c r="X524" i="169"/>
  <c r="AF524" i="169" s="1"/>
  <c r="U532" i="169"/>
  <c r="V525" i="169"/>
  <c r="AR525" i="169" s="1"/>
  <c r="X525" i="169"/>
  <c r="AF525" i="169" s="1"/>
  <c r="S527" i="169"/>
  <c r="AP527" i="169" s="1"/>
  <c r="S526" i="169"/>
  <c r="AP526" i="169" s="1"/>
  <c r="V526" i="169"/>
  <c r="AR526" i="169" s="1"/>
  <c r="X526" i="169"/>
  <c r="AF526" i="169" s="1"/>
  <c r="V527" i="169"/>
  <c r="AR527" i="169" s="1"/>
  <c r="X527" i="169"/>
  <c r="AF527" i="169" s="1"/>
  <c r="S534" i="169"/>
  <c r="AP534" i="169" s="1"/>
  <c r="V528" i="169"/>
  <c r="AR528" i="169" s="1"/>
  <c r="X528" i="169"/>
  <c r="AF528" i="169" s="1"/>
  <c r="S528" i="169"/>
  <c r="AP528" i="169" s="1"/>
  <c r="S530" i="169"/>
  <c r="AP530" i="169" s="1"/>
  <c r="V529" i="169"/>
  <c r="AR529" i="169" s="1"/>
  <c r="X529" i="169"/>
  <c r="AF529" i="169" s="1"/>
  <c r="S529" i="169"/>
  <c r="AP529" i="169" s="1"/>
  <c r="S539" i="169"/>
  <c r="AP539" i="169" s="1"/>
  <c r="S538" i="169"/>
  <c r="AP538" i="169" s="1"/>
  <c r="V530" i="169"/>
  <c r="AR530" i="169" s="1"/>
  <c r="X530" i="169"/>
  <c r="AF530" i="169" s="1"/>
  <c r="S533" i="169"/>
  <c r="AP533" i="169" s="1"/>
  <c r="V533" i="169"/>
  <c r="AR533" i="169" s="1"/>
  <c r="X533" i="169"/>
  <c r="AF533" i="169" s="1"/>
  <c r="V534" i="169"/>
  <c r="AR534" i="169" s="1"/>
  <c r="X534" i="169"/>
  <c r="AF534" i="169" s="1"/>
  <c r="V535" i="169"/>
  <c r="AR535" i="169" s="1"/>
  <c r="X535" i="169"/>
  <c r="AF535" i="169" s="1"/>
  <c r="S535" i="169"/>
  <c r="AP535" i="169" s="1"/>
  <c r="S540" i="169"/>
  <c r="AP540" i="169" s="1"/>
  <c r="V536" i="169"/>
  <c r="AR536" i="169" s="1"/>
  <c r="X536" i="169"/>
  <c r="AF536" i="169" s="1"/>
  <c r="S536" i="169"/>
  <c r="AP536" i="169" s="1"/>
  <c r="X538" i="169"/>
  <c r="AF538" i="169" s="1"/>
  <c r="V538" i="169"/>
  <c r="AR538" i="169" s="1"/>
  <c r="V539" i="169"/>
  <c r="AR539" i="169" s="1"/>
  <c r="X539" i="169"/>
  <c r="AF539" i="169" s="1"/>
  <c r="V540" i="169"/>
  <c r="AR540" i="169" s="1"/>
  <c r="X540" i="169"/>
  <c r="AF540" i="169" s="1"/>
  <c r="X541" i="169"/>
  <c r="AF541" i="169" s="1"/>
  <c r="V541" i="169"/>
  <c r="AR541" i="169" s="1"/>
  <c r="S541" i="169"/>
  <c r="AP541" i="169" s="1"/>
  <c r="V542" i="169"/>
  <c r="AR542" i="169" s="1"/>
  <c r="X542" i="169"/>
  <c r="AF542" i="169" s="1"/>
  <c r="S542" i="169"/>
  <c r="AP542" i="169" s="1"/>
  <c r="U543" i="169"/>
  <c r="AQ543" i="169" s="1"/>
  <c r="V609" i="169"/>
  <c r="AR609" i="169" s="1"/>
  <c r="X609" i="169"/>
  <c r="AF609" i="169" s="1"/>
  <c r="S609" i="169"/>
  <c r="AP609" i="169" s="1"/>
  <c r="U610" i="169"/>
  <c r="T38" i="177"/>
  <c r="T36" i="177"/>
  <c r="T34" i="177"/>
  <c r="T3" i="177"/>
  <c r="R90" i="172"/>
  <c r="R83" i="172"/>
  <c r="V70" i="172"/>
  <c r="W70" i="172"/>
  <c r="X70" i="172"/>
  <c r="Y70" i="172"/>
  <c r="Z70" i="172"/>
  <c r="AA70" i="172"/>
  <c r="V71" i="172"/>
  <c r="W71" i="172"/>
  <c r="X71" i="172"/>
  <c r="Y71" i="172"/>
  <c r="Z71" i="172"/>
  <c r="AA71" i="172"/>
  <c r="V72" i="172"/>
  <c r="W72" i="172"/>
  <c r="X72" i="172"/>
  <c r="Y72" i="172"/>
  <c r="Z72" i="172"/>
  <c r="AA72" i="172"/>
  <c r="V73" i="172"/>
  <c r="W73" i="172"/>
  <c r="X73" i="172"/>
  <c r="Y73" i="172"/>
  <c r="Z73" i="172"/>
  <c r="AA73" i="172"/>
  <c r="V74" i="172"/>
  <c r="W74" i="172"/>
  <c r="X74" i="172"/>
  <c r="Y74" i="172"/>
  <c r="Z74" i="172"/>
  <c r="AA74" i="172"/>
  <c r="V75" i="172"/>
  <c r="W75" i="172"/>
  <c r="X75" i="172"/>
  <c r="Y75" i="172"/>
  <c r="Z75" i="172"/>
  <c r="AA75" i="172"/>
  <c r="V76" i="172"/>
  <c r="W76" i="172"/>
  <c r="X76" i="172"/>
  <c r="Y76" i="172"/>
  <c r="Z76" i="172"/>
  <c r="AA76" i="172"/>
  <c r="V77" i="172"/>
  <c r="W77" i="172"/>
  <c r="X77" i="172"/>
  <c r="Y77" i="172"/>
  <c r="Z77" i="172"/>
  <c r="AA77" i="172"/>
  <c r="V78" i="172"/>
  <c r="W78" i="172"/>
  <c r="X78" i="172"/>
  <c r="Y78" i="172"/>
  <c r="Z78" i="172"/>
  <c r="AA78" i="172"/>
  <c r="V79" i="172"/>
  <c r="W79" i="172"/>
  <c r="X79" i="172"/>
  <c r="Y79" i="172"/>
  <c r="Z79" i="172"/>
  <c r="AA79" i="172"/>
  <c r="V80" i="172"/>
  <c r="W80" i="172"/>
  <c r="X80" i="172"/>
  <c r="Y80" i="172"/>
  <c r="Z80" i="172"/>
  <c r="AA80" i="172"/>
  <c r="V81" i="172"/>
  <c r="W81" i="172"/>
  <c r="X81" i="172"/>
  <c r="Y81" i="172"/>
  <c r="Z81" i="172"/>
  <c r="AA81" i="172"/>
  <c r="V82" i="172"/>
  <c r="W82" i="172"/>
  <c r="X82" i="172"/>
  <c r="Y82" i="172"/>
  <c r="Z82" i="172"/>
  <c r="AA82" i="172"/>
  <c r="AA69" i="172"/>
  <c r="Z69" i="172"/>
  <c r="Y69" i="172"/>
  <c r="X69" i="172"/>
  <c r="W69" i="172"/>
  <c r="V69" i="172"/>
  <c r="V39" i="172"/>
  <c r="W39" i="172"/>
  <c r="X39" i="172"/>
  <c r="Y39" i="172"/>
  <c r="Z39" i="172"/>
  <c r="AA39" i="172"/>
  <c r="V40" i="172"/>
  <c r="W40" i="172"/>
  <c r="X40" i="172"/>
  <c r="Y40" i="172"/>
  <c r="Z40" i="172"/>
  <c r="AA40" i="172"/>
  <c r="V41" i="172"/>
  <c r="W41" i="172"/>
  <c r="X41" i="172"/>
  <c r="Y41" i="172"/>
  <c r="Z41" i="172"/>
  <c r="AA41" i="172"/>
  <c r="V42" i="172"/>
  <c r="W42" i="172"/>
  <c r="X42" i="172"/>
  <c r="Y42" i="172"/>
  <c r="Z42" i="172"/>
  <c r="AA42" i="172"/>
  <c r="V43" i="172"/>
  <c r="W43" i="172"/>
  <c r="X43" i="172"/>
  <c r="Y43" i="172"/>
  <c r="Z43" i="172"/>
  <c r="AA43" i="172"/>
  <c r="V44" i="172"/>
  <c r="W44" i="172"/>
  <c r="X44" i="172"/>
  <c r="Y44" i="172"/>
  <c r="Z44" i="172"/>
  <c r="AA44" i="172"/>
  <c r="V45" i="172"/>
  <c r="W45" i="172"/>
  <c r="X45" i="172"/>
  <c r="Y45" i="172"/>
  <c r="Z45" i="172"/>
  <c r="AA45" i="172"/>
  <c r="V46" i="172"/>
  <c r="W46" i="172"/>
  <c r="X46" i="172"/>
  <c r="Y46" i="172"/>
  <c r="Z46" i="172"/>
  <c r="AM46" i="172" s="1"/>
  <c r="AA46" i="172"/>
  <c r="V47" i="172"/>
  <c r="W47" i="172"/>
  <c r="X47" i="172"/>
  <c r="Y47" i="172"/>
  <c r="Z47" i="172"/>
  <c r="AA47" i="172"/>
  <c r="V48" i="172"/>
  <c r="W48" i="172"/>
  <c r="X48" i="172"/>
  <c r="Y48" i="172"/>
  <c r="Z48" i="172"/>
  <c r="AA48" i="172"/>
  <c r="V49" i="172"/>
  <c r="W49" i="172"/>
  <c r="X49" i="172"/>
  <c r="Y49" i="172"/>
  <c r="Z49" i="172"/>
  <c r="AA49" i="172"/>
  <c r="V50" i="172"/>
  <c r="W50" i="172"/>
  <c r="X50" i="172"/>
  <c r="Y50" i="172"/>
  <c r="Z50" i="172"/>
  <c r="AA50" i="172"/>
  <c r="V51" i="172"/>
  <c r="W51" i="172"/>
  <c r="X51" i="172"/>
  <c r="Y51" i="172"/>
  <c r="Z51" i="172"/>
  <c r="AA51" i="172"/>
  <c r="V52" i="172"/>
  <c r="W52" i="172"/>
  <c r="X52" i="172"/>
  <c r="Y52" i="172"/>
  <c r="Z52" i="172"/>
  <c r="AA52" i="172"/>
  <c r="V53" i="172"/>
  <c r="W53" i="172"/>
  <c r="X53" i="172"/>
  <c r="Y53" i="172"/>
  <c r="Z53" i="172"/>
  <c r="AA53" i="172"/>
  <c r="V54" i="172"/>
  <c r="W54" i="172"/>
  <c r="X54" i="172"/>
  <c r="Y54" i="172"/>
  <c r="Z54" i="172"/>
  <c r="AA54" i="172"/>
  <c r="V55" i="172"/>
  <c r="W55" i="172"/>
  <c r="X55" i="172"/>
  <c r="Y55" i="172"/>
  <c r="Z55" i="172"/>
  <c r="AA55" i="172"/>
  <c r="V56" i="172"/>
  <c r="W56" i="172"/>
  <c r="X56" i="172"/>
  <c r="Y56" i="172"/>
  <c r="Z56" i="172"/>
  <c r="AA56" i="172"/>
  <c r="V57" i="172"/>
  <c r="W57" i="172"/>
  <c r="X57" i="172"/>
  <c r="Y57" i="172"/>
  <c r="Z57" i="172"/>
  <c r="AA57" i="172"/>
  <c r="V58" i="172"/>
  <c r="W58" i="172"/>
  <c r="X58" i="172"/>
  <c r="Y58" i="172"/>
  <c r="Z58" i="172"/>
  <c r="AA58" i="172"/>
  <c r="V59" i="172"/>
  <c r="W59" i="172"/>
  <c r="X59" i="172"/>
  <c r="Y59" i="172"/>
  <c r="Z59" i="172"/>
  <c r="AA59" i="172"/>
  <c r="V60" i="172"/>
  <c r="W60" i="172"/>
  <c r="X60" i="172"/>
  <c r="Y60" i="172"/>
  <c r="Z60" i="172"/>
  <c r="AA60" i="172"/>
  <c r="V61" i="172"/>
  <c r="W61" i="172"/>
  <c r="X61" i="172"/>
  <c r="Y61" i="172"/>
  <c r="Z61" i="172"/>
  <c r="AA61" i="172"/>
  <c r="AA38" i="172"/>
  <c r="Z38" i="172"/>
  <c r="Y38" i="172"/>
  <c r="X38" i="172"/>
  <c r="W38" i="172"/>
  <c r="V38" i="172"/>
  <c r="V19" i="172"/>
  <c r="W19" i="172"/>
  <c r="X19" i="172"/>
  <c r="Y19" i="172"/>
  <c r="Z19" i="172"/>
  <c r="AA19" i="172"/>
  <c r="V20" i="172"/>
  <c r="W20" i="172"/>
  <c r="X20" i="172"/>
  <c r="Y20" i="172"/>
  <c r="Z20" i="172"/>
  <c r="AA20" i="172"/>
  <c r="V21" i="172"/>
  <c r="W21" i="172"/>
  <c r="X21" i="172"/>
  <c r="Y21" i="172"/>
  <c r="Z21" i="172"/>
  <c r="AA21" i="172"/>
  <c r="V22" i="172"/>
  <c r="W22" i="172"/>
  <c r="X22" i="172"/>
  <c r="Y22" i="172"/>
  <c r="Z22" i="172"/>
  <c r="AM22" i="172" s="1"/>
  <c r="AA22" i="172"/>
  <c r="V23" i="172"/>
  <c r="W23" i="172"/>
  <c r="X23" i="172"/>
  <c r="Y23" i="172"/>
  <c r="Z23" i="172"/>
  <c r="AA23" i="172"/>
  <c r="V24" i="172"/>
  <c r="W24" i="172"/>
  <c r="X24" i="172"/>
  <c r="Y24" i="172"/>
  <c r="Z24" i="172"/>
  <c r="AA24" i="172"/>
  <c r="V25" i="172"/>
  <c r="W25" i="172"/>
  <c r="X25" i="172"/>
  <c r="Y25" i="172"/>
  <c r="Z25" i="172"/>
  <c r="AM25" i="172" s="1"/>
  <c r="AA25" i="172"/>
  <c r="V26" i="172"/>
  <c r="W26" i="172"/>
  <c r="X26" i="172"/>
  <c r="Y26" i="172"/>
  <c r="Z26" i="172"/>
  <c r="AM26" i="172" s="1"/>
  <c r="AA26" i="172"/>
  <c r="V27" i="172"/>
  <c r="W27" i="172"/>
  <c r="X27" i="172"/>
  <c r="Y27" i="172"/>
  <c r="Z27" i="172"/>
  <c r="AM27" i="172" s="1"/>
  <c r="AA27" i="172"/>
  <c r="V28" i="172"/>
  <c r="W28" i="172"/>
  <c r="X28" i="172"/>
  <c r="Y28" i="172"/>
  <c r="Z28" i="172"/>
  <c r="AA28" i="172"/>
  <c r="V29" i="172"/>
  <c r="W29" i="172"/>
  <c r="X29" i="172"/>
  <c r="Y29" i="172"/>
  <c r="Z29" i="172"/>
  <c r="AA29" i="172"/>
  <c r="V30" i="172"/>
  <c r="W30" i="172"/>
  <c r="X30" i="172"/>
  <c r="Y30" i="172"/>
  <c r="Z30" i="172"/>
  <c r="AA30" i="172"/>
  <c r="V31" i="172"/>
  <c r="W31" i="172"/>
  <c r="X31" i="172"/>
  <c r="Y31" i="172"/>
  <c r="Z31" i="172"/>
  <c r="AA31" i="172"/>
  <c r="AA18" i="172"/>
  <c r="Z18" i="172"/>
  <c r="AM18" i="172" s="1"/>
  <c r="Y18" i="172"/>
  <c r="X18" i="172"/>
  <c r="W18" i="172"/>
  <c r="V18" i="172"/>
  <c r="W6" i="172"/>
  <c r="U87" i="172"/>
  <c r="U89" i="172" s="1"/>
  <c r="T87" i="172"/>
  <c r="T89" i="172" s="1"/>
  <c r="U67" i="172"/>
  <c r="U70" i="172" s="1"/>
  <c r="T67" i="172"/>
  <c r="T70" i="172" s="1"/>
  <c r="S70" i="172" s="1"/>
  <c r="U36" i="172"/>
  <c r="T36" i="172"/>
  <c r="U16" i="172"/>
  <c r="U18" i="172" s="1"/>
  <c r="T16" i="172"/>
  <c r="T20" i="172" s="1"/>
  <c r="S20" i="172" s="1"/>
  <c r="J16" i="172"/>
  <c r="N93" i="172"/>
  <c r="M6" i="172"/>
  <c r="AN3" i="169"/>
  <c r="AN4" i="169"/>
  <c r="AN5" i="169"/>
  <c r="AN6" i="169"/>
  <c r="AN7" i="169"/>
  <c r="AN8" i="169"/>
  <c r="AN9" i="169"/>
  <c r="AN10" i="169"/>
  <c r="AN11" i="169"/>
  <c r="AN12" i="169"/>
  <c r="AN13" i="169"/>
  <c r="AN14" i="169"/>
  <c r="AN15" i="169"/>
  <c r="AN16" i="169"/>
  <c r="AN17" i="169"/>
  <c r="AN18" i="169"/>
  <c r="AN19" i="169"/>
  <c r="AN20" i="169"/>
  <c r="AN21" i="169"/>
  <c r="AN22" i="169"/>
  <c r="AN23" i="169"/>
  <c r="AN24" i="169"/>
  <c r="AN25" i="169"/>
  <c r="AN26" i="169"/>
  <c r="AN27" i="169"/>
  <c r="AN28" i="169"/>
  <c r="AN29" i="169"/>
  <c r="AN30" i="169"/>
  <c r="AN31" i="169"/>
  <c r="AN32" i="169"/>
  <c r="AN33" i="169"/>
  <c r="AN34" i="169"/>
  <c r="AN35" i="169"/>
  <c r="AN36" i="169"/>
  <c r="AN37" i="169"/>
  <c r="AN38" i="169"/>
  <c r="AN39" i="169"/>
  <c r="AN40" i="169"/>
  <c r="AN41" i="169"/>
  <c r="AN42" i="169"/>
  <c r="AN43" i="169"/>
  <c r="AN44" i="169"/>
  <c r="AN45" i="169"/>
  <c r="AN46" i="169"/>
  <c r="AN47" i="169"/>
  <c r="AN48" i="169"/>
  <c r="AN49" i="169"/>
  <c r="AN50" i="169"/>
  <c r="AN51" i="169"/>
  <c r="AN52" i="169"/>
  <c r="AN53" i="169"/>
  <c r="AN54" i="169"/>
  <c r="AN55" i="169"/>
  <c r="AN56" i="169"/>
  <c r="AN57" i="169"/>
  <c r="AN58" i="169"/>
  <c r="AN59" i="169"/>
  <c r="AN60" i="169"/>
  <c r="AN61" i="169"/>
  <c r="AN62" i="169"/>
  <c r="AN63" i="169"/>
  <c r="AN64" i="169"/>
  <c r="AN65" i="169"/>
  <c r="AN66" i="169"/>
  <c r="AN67" i="169"/>
  <c r="AN68" i="169"/>
  <c r="AN69" i="169"/>
  <c r="AN70" i="169"/>
  <c r="AN71" i="169"/>
  <c r="AN72" i="169"/>
  <c r="AN73" i="169"/>
  <c r="AN74" i="169"/>
  <c r="AN75" i="169"/>
  <c r="AN76" i="169"/>
  <c r="AN77" i="169"/>
  <c r="AN78" i="169"/>
  <c r="AN79" i="169"/>
  <c r="AN80" i="169"/>
  <c r="AN81" i="169"/>
  <c r="AN82" i="169"/>
  <c r="AN83" i="169"/>
  <c r="AN84" i="169"/>
  <c r="AN85" i="169"/>
  <c r="AN86" i="169"/>
  <c r="AN87" i="169"/>
  <c r="AN88" i="169"/>
  <c r="AN89" i="169"/>
  <c r="AN90" i="169"/>
  <c r="AN91" i="169"/>
  <c r="AN92" i="169"/>
  <c r="AN93" i="169"/>
  <c r="AN94" i="169"/>
  <c r="AN95" i="169"/>
  <c r="AN96" i="169"/>
  <c r="AN97" i="169"/>
  <c r="AN98" i="169"/>
  <c r="AN99" i="169"/>
  <c r="AN100" i="169"/>
  <c r="AN101" i="169"/>
  <c r="AN102" i="169"/>
  <c r="AN103" i="169"/>
  <c r="AN104" i="169"/>
  <c r="AN105" i="169"/>
  <c r="AN106" i="169"/>
  <c r="AN107" i="169"/>
  <c r="AN108" i="169"/>
  <c r="AN109" i="169"/>
  <c r="AN110" i="169"/>
  <c r="AN111" i="169"/>
  <c r="AN112" i="169"/>
  <c r="AN113" i="169"/>
  <c r="AN114" i="169"/>
  <c r="AN115" i="169"/>
  <c r="AN116" i="169"/>
  <c r="AN117" i="169"/>
  <c r="AN118" i="169"/>
  <c r="AN119" i="169"/>
  <c r="AN120" i="169"/>
  <c r="AN121" i="169"/>
  <c r="AN122" i="169"/>
  <c r="AN123" i="169"/>
  <c r="AN124" i="169"/>
  <c r="AN125" i="169"/>
  <c r="AN126" i="169"/>
  <c r="AN127" i="169"/>
  <c r="AN128" i="169"/>
  <c r="AN129" i="169"/>
  <c r="AN130" i="169"/>
  <c r="AN131" i="169"/>
  <c r="AN132" i="169"/>
  <c r="AN133" i="169"/>
  <c r="AN134" i="169"/>
  <c r="AN135" i="169"/>
  <c r="AN136" i="169"/>
  <c r="AN137" i="169"/>
  <c r="AN138" i="169"/>
  <c r="AN139" i="169"/>
  <c r="AN140" i="169"/>
  <c r="AN141" i="169"/>
  <c r="AN142" i="169"/>
  <c r="AN143" i="169"/>
  <c r="AN144" i="169"/>
  <c r="AN145" i="169"/>
  <c r="AN146" i="169"/>
  <c r="AN147" i="169"/>
  <c r="AN148" i="169"/>
  <c r="AN149" i="169"/>
  <c r="AN150" i="169"/>
  <c r="AN151" i="169"/>
  <c r="AN152" i="169"/>
  <c r="AN153" i="169"/>
  <c r="AN154" i="169"/>
  <c r="AN155" i="169"/>
  <c r="AN156" i="169"/>
  <c r="AN157" i="169"/>
  <c r="AN158" i="169"/>
  <c r="AN159" i="169"/>
  <c r="AN160" i="169"/>
  <c r="AN161" i="169"/>
  <c r="AN162" i="169"/>
  <c r="AN163" i="169"/>
  <c r="AN164" i="169"/>
  <c r="AN165" i="169"/>
  <c r="AN166" i="169"/>
  <c r="AN167" i="169"/>
  <c r="AN168" i="169"/>
  <c r="AN169" i="169"/>
  <c r="AN170" i="169"/>
  <c r="AN171" i="169"/>
  <c r="AN172" i="169"/>
  <c r="AN173" i="169"/>
  <c r="AN174" i="169"/>
  <c r="AN175" i="169"/>
  <c r="AN176" i="169"/>
  <c r="AN177" i="169"/>
  <c r="AN178" i="169"/>
  <c r="AN179" i="169"/>
  <c r="AN180" i="169"/>
  <c r="AN181" i="169"/>
  <c r="AN182" i="169"/>
  <c r="AN183" i="169"/>
  <c r="AN184" i="169"/>
  <c r="AN185" i="169"/>
  <c r="AN186" i="169"/>
  <c r="AN187" i="169"/>
  <c r="AN188" i="169"/>
  <c r="AN189" i="169"/>
  <c r="AN190" i="169"/>
  <c r="AN191" i="169"/>
  <c r="AN192" i="169"/>
  <c r="AN193" i="169"/>
  <c r="AN194" i="169"/>
  <c r="AN195" i="169"/>
  <c r="AN196" i="169"/>
  <c r="AN197" i="169"/>
  <c r="AN198" i="169"/>
  <c r="AN199" i="169"/>
  <c r="AN200" i="169"/>
  <c r="AN201" i="169"/>
  <c r="AN202" i="169"/>
  <c r="AN203" i="169"/>
  <c r="AN204" i="169"/>
  <c r="AN205" i="169"/>
  <c r="AN206" i="169"/>
  <c r="AN207" i="169"/>
  <c r="AN208" i="169"/>
  <c r="AN209" i="169"/>
  <c r="AN210" i="169"/>
  <c r="AN211" i="169"/>
  <c r="AN212" i="169"/>
  <c r="AN213" i="169"/>
  <c r="AN214" i="169"/>
  <c r="AN215" i="169"/>
  <c r="AN216" i="169"/>
  <c r="AN217" i="169"/>
  <c r="AN218" i="169"/>
  <c r="AN219" i="169"/>
  <c r="AN220" i="169"/>
  <c r="AN221" i="169"/>
  <c r="AN222" i="169"/>
  <c r="AN223" i="169"/>
  <c r="AN224" i="169"/>
  <c r="AN225" i="169"/>
  <c r="AN226" i="169"/>
  <c r="AN227" i="169"/>
  <c r="AN228" i="169"/>
  <c r="AN229" i="169"/>
  <c r="AN230" i="169"/>
  <c r="AN231" i="169"/>
  <c r="AN232" i="169"/>
  <c r="AN233" i="169"/>
  <c r="AN234" i="169"/>
  <c r="AN235" i="169"/>
  <c r="AN236" i="169"/>
  <c r="AN237" i="169"/>
  <c r="AN238" i="169"/>
  <c r="AN239" i="169"/>
  <c r="AN240" i="169"/>
  <c r="AN241" i="169"/>
  <c r="AN242" i="169"/>
  <c r="AN243" i="169"/>
  <c r="AN244" i="169"/>
  <c r="AN245" i="169"/>
  <c r="AN246" i="169"/>
  <c r="AN247" i="169"/>
  <c r="AN248" i="169"/>
  <c r="AN249" i="169"/>
  <c r="AN250" i="169"/>
  <c r="AN251" i="169"/>
  <c r="AN252" i="169"/>
  <c r="AN253" i="169"/>
  <c r="AN254" i="169"/>
  <c r="AN255" i="169"/>
  <c r="AN256" i="169"/>
  <c r="AN257" i="169"/>
  <c r="AN258" i="169"/>
  <c r="AN259" i="169"/>
  <c r="AN260" i="169"/>
  <c r="AN261" i="169"/>
  <c r="AN262" i="169"/>
  <c r="AN263" i="169"/>
  <c r="AN264" i="169"/>
  <c r="AN265" i="169"/>
  <c r="AN266" i="169"/>
  <c r="AN267" i="169"/>
  <c r="AN268" i="169"/>
  <c r="AN269" i="169"/>
  <c r="AN270" i="169"/>
  <c r="AN271" i="169"/>
  <c r="AN272" i="169"/>
  <c r="AN273" i="169"/>
  <c r="AN274" i="169"/>
  <c r="AN275" i="169"/>
  <c r="AN276" i="169"/>
  <c r="AN277" i="169"/>
  <c r="AN278" i="169"/>
  <c r="AN279" i="169"/>
  <c r="AN280" i="169"/>
  <c r="AN281" i="169"/>
  <c r="AN282" i="169"/>
  <c r="AN283" i="169"/>
  <c r="AN284" i="169"/>
  <c r="AN285" i="169"/>
  <c r="AN286" i="169"/>
  <c r="AN287" i="169"/>
  <c r="AN288" i="169"/>
  <c r="AN289" i="169"/>
  <c r="AN290" i="169"/>
  <c r="AN291" i="169"/>
  <c r="AN292" i="169"/>
  <c r="AN293" i="169"/>
  <c r="AN294" i="169"/>
  <c r="AN295" i="169"/>
  <c r="AN296" i="169"/>
  <c r="AN297" i="169"/>
  <c r="AN298" i="169"/>
  <c r="AN299" i="169"/>
  <c r="AN300" i="169"/>
  <c r="AN301" i="169"/>
  <c r="AN302" i="169"/>
  <c r="AN303" i="169"/>
  <c r="AN304" i="169"/>
  <c r="AN305" i="169"/>
  <c r="AN306" i="169"/>
  <c r="AN307" i="169"/>
  <c r="AN308" i="169"/>
  <c r="AN309" i="169"/>
  <c r="AN310" i="169"/>
  <c r="AN311" i="169"/>
  <c r="AN312" i="169"/>
  <c r="AN313" i="169"/>
  <c r="AN314" i="169"/>
  <c r="AN315" i="169"/>
  <c r="AN316" i="169"/>
  <c r="AN317" i="169"/>
  <c r="AN318" i="169"/>
  <c r="AN319" i="169"/>
  <c r="AN320" i="169"/>
  <c r="AN321" i="169"/>
  <c r="AN322" i="169"/>
  <c r="AN323" i="169"/>
  <c r="AN324" i="169"/>
  <c r="AN325" i="169"/>
  <c r="AN326" i="169"/>
  <c r="AN327" i="169"/>
  <c r="AN328" i="169"/>
  <c r="AN329" i="169"/>
  <c r="AN330" i="169"/>
  <c r="AN331" i="169"/>
  <c r="AN332" i="169"/>
  <c r="AN333" i="169"/>
  <c r="AN334" i="169"/>
  <c r="AN335" i="169"/>
  <c r="AN336" i="169"/>
  <c r="AN337" i="169"/>
  <c r="AN338" i="169"/>
  <c r="AN339" i="169"/>
  <c r="AN340" i="169"/>
  <c r="AN341" i="169"/>
  <c r="AN342" i="169"/>
  <c r="AN343" i="169"/>
  <c r="AN344" i="169"/>
  <c r="AN345" i="169"/>
  <c r="AN346" i="169"/>
  <c r="AN347" i="169"/>
  <c r="AN348" i="169"/>
  <c r="AN349" i="169"/>
  <c r="AN350" i="169"/>
  <c r="AN351" i="169"/>
  <c r="AN352" i="169"/>
  <c r="AN353" i="169"/>
  <c r="AN354" i="169"/>
  <c r="AN355" i="169"/>
  <c r="AN356" i="169"/>
  <c r="AN357" i="169"/>
  <c r="AN358" i="169"/>
  <c r="AN359" i="169"/>
  <c r="AN360" i="169"/>
  <c r="AN361" i="169"/>
  <c r="AN362" i="169"/>
  <c r="AN363" i="169"/>
  <c r="AN364" i="169"/>
  <c r="AN365" i="169"/>
  <c r="AN366" i="169"/>
  <c r="AN367" i="169"/>
  <c r="AN368" i="169"/>
  <c r="AN369" i="169"/>
  <c r="AN370" i="169"/>
  <c r="AN371" i="169"/>
  <c r="AN372" i="169"/>
  <c r="AN373" i="169"/>
  <c r="AN374" i="169"/>
  <c r="AN375" i="169"/>
  <c r="AN376" i="169"/>
  <c r="AN377" i="169"/>
  <c r="AN378" i="169"/>
  <c r="AN379" i="169"/>
  <c r="AN380" i="169"/>
  <c r="AN381" i="169"/>
  <c r="AN382" i="169"/>
  <c r="AN383" i="169"/>
  <c r="AN384" i="169"/>
  <c r="AN385" i="169"/>
  <c r="AN386" i="169"/>
  <c r="AN387" i="169"/>
  <c r="AN388" i="169"/>
  <c r="AN389" i="169"/>
  <c r="AN390" i="169"/>
  <c r="AN391" i="169"/>
  <c r="AN392" i="169"/>
  <c r="AN393" i="169"/>
  <c r="AN394" i="169"/>
  <c r="AN395" i="169"/>
  <c r="AN396" i="169"/>
  <c r="AN397" i="169"/>
  <c r="AN398" i="169"/>
  <c r="AN399" i="169"/>
  <c r="AN400" i="169"/>
  <c r="AN401" i="169"/>
  <c r="AN402" i="169"/>
  <c r="AN403" i="169"/>
  <c r="AN404" i="169"/>
  <c r="AN405" i="169"/>
  <c r="AN406" i="169"/>
  <c r="AN407" i="169"/>
  <c r="AN408" i="169"/>
  <c r="AN409" i="169"/>
  <c r="AN410" i="169"/>
  <c r="AN411" i="169"/>
  <c r="AN412" i="169"/>
  <c r="AN413" i="169"/>
  <c r="AN414" i="169"/>
  <c r="AN415" i="169"/>
  <c r="AN416" i="169"/>
  <c r="AN417" i="169"/>
  <c r="AN418" i="169"/>
  <c r="AN419" i="169"/>
  <c r="AN420" i="169"/>
  <c r="AN421" i="169"/>
  <c r="AN422" i="169"/>
  <c r="AN423" i="169"/>
  <c r="AN424" i="169"/>
  <c r="AN425" i="169"/>
  <c r="AN426" i="169"/>
  <c r="AN427" i="169"/>
  <c r="AN428" i="169"/>
  <c r="AN429" i="169"/>
  <c r="AN430" i="169"/>
  <c r="AN431" i="169"/>
  <c r="AN432" i="169"/>
  <c r="AN433" i="169"/>
  <c r="AN434" i="169"/>
  <c r="AN435" i="169"/>
  <c r="AN436" i="169"/>
  <c r="AN437" i="169"/>
  <c r="AN438" i="169"/>
  <c r="AN439" i="169"/>
  <c r="AN440" i="169"/>
  <c r="AN441" i="169"/>
  <c r="AN442" i="169"/>
  <c r="AN443" i="169"/>
  <c r="AN444" i="169"/>
  <c r="AN445" i="169"/>
  <c r="AN446" i="169"/>
  <c r="AN447" i="169"/>
  <c r="AN448" i="169"/>
  <c r="AN449" i="169"/>
  <c r="AN450" i="169"/>
  <c r="AN451" i="169"/>
  <c r="AN452" i="169"/>
  <c r="AN453" i="169"/>
  <c r="AN454" i="169"/>
  <c r="AN455" i="169"/>
  <c r="AN456" i="169"/>
  <c r="AN457" i="169"/>
  <c r="AN458" i="169"/>
  <c r="AN459" i="169"/>
  <c r="AN460" i="169"/>
  <c r="AN461" i="169"/>
  <c r="AN462" i="169"/>
  <c r="AN463" i="169"/>
  <c r="AN464" i="169"/>
  <c r="AN465" i="169"/>
  <c r="AN466" i="169"/>
  <c r="AN467" i="169"/>
  <c r="AN468" i="169"/>
  <c r="AN469" i="169"/>
  <c r="AN470" i="169"/>
  <c r="AN471" i="169"/>
  <c r="AN472" i="169"/>
  <c r="AN473" i="169"/>
  <c r="AN474" i="169"/>
  <c r="AN475" i="169"/>
  <c r="AN476" i="169"/>
  <c r="AN477" i="169"/>
  <c r="AN478" i="169"/>
  <c r="AN479" i="169"/>
  <c r="AN480" i="169"/>
  <c r="AN481" i="169"/>
  <c r="AN482" i="169"/>
  <c r="AN483" i="169"/>
  <c r="AN484" i="169"/>
  <c r="AN485" i="169"/>
  <c r="AN486" i="169"/>
  <c r="AN487" i="169"/>
  <c r="AN488" i="169"/>
  <c r="AN489" i="169"/>
  <c r="AN490" i="169"/>
  <c r="AN491" i="169"/>
  <c r="AN492" i="169"/>
  <c r="AN493" i="169"/>
  <c r="AN494" i="169"/>
  <c r="AN495" i="169"/>
  <c r="AN496" i="169"/>
  <c r="AN497" i="169"/>
  <c r="AN498" i="169"/>
  <c r="AN499" i="169"/>
  <c r="AN500" i="169"/>
  <c r="AN501" i="169"/>
  <c r="AI502" i="169"/>
  <c r="AI503" i="169"/>
  <c r="AI504" i="169"/>
  <c r="AI505" i="169"/>
  <c r="AI506" i="169"/>
  <c r="AI507" i="169"/>
  <c r="AI508" i="169"/>
  <c r="AI509" i="169"/>
  <c r="AI510" i="169"/>
  <c r="AI511" i="169"/>
  <c r="AI512" i="169"/>
  <c r="AI513" i="169"/>
  <c r="AI514" i="169"/>
  <c r="AI515" i="169"/>
  <c r="AI516" i="169"/>
  <c r="AH3" i="169"/>
  <c r="AH4" i="169"/>
  <c r="AH5" i="169"/>
  <c r="AH6" i="169"/>
  <c r="AH7" i="169"/>
  <c r="AH8" i="169"/>
  <c r="AH9" i="169"/>
  <c r="AH10" i="169"/>
  <c r="AH11" i="169"/>
  <c r="AH12" i="169"/>
  <c r="AH13" i="169"/>
  <c r="AH14" i="169"/>
  <c r="AH15" i="169"/>
  <c r="AH16" i="169"/>
  <c r="AH17" i="169"/>
  <c r="AH18" i="169"/>
  <c r="AH19" i="169"/>
  <c r="AH20" i="169"/>
  <c r="AH21" i="169"/>
  <c r="AH22" i="169"/>
  <c r="AH23" i="169"/>
  <c r="AH24" i="169"/>
  <c r="AH25" i="169"/>
  <c r="AH26" i="169"/>
  <c r="AH27" i="169"/>
  <c r="AH28" i="169"/>
  <c r="AH29" i="169"/>
  <c r="AH30" i="169"/>
  <c r="AH31" i="169"/>
  <c r="AH32" i="169"/>
  <c r="AH33" i="169"/>
  <c r="AH34" i="169"/>
  <c r="AH35" i="169"/>
  <c r="AH36" i="169"/>
  <c r="AH37" i="169"/>
  <c r="AH38" i="169"/>
  <c r="AH39" i="169"/>
  <c r="AH40" i="169"/>
  <c r="AH41" i="169"/>
  <c r="AH42" i="169"/>
  <c r="AH43" i="169"/>
  <c r="AH44" i="169"/>
  <c r="AH45" i="169"/>
  <c r="AH46" i="169"/>
  <c r="AH47" i="169"/>
  <c r="AH48" i="169"/>
  <c r="AH49" i="169"/>
  <c r="AH50" i="169"/>
  <c r="AH51" i="169"/>
  <c r="AH52" i="169"/>
  <c r="AH53" i="169"/>
  <c r="AH54" i="169"/>
  <c r="AH55" i="169"/>
  <c r="AH56" i="169"/>
  <c r="AH57" i="169"/>
  <c r="AH58" i="169"/>
  <c r="AH59" i="169"/>
  <c r="AH60" i="169"/>
  <c r="AH61" i="169"/>
  <c r="AH62" i="169"/>
  <c r="AH63" i="169"/>
  <c r="AH64" i="169"/>
  <c r="AH65" i="169"/>
  <c r="AH66" i="169"/>
  <c r="AH67" i="169"/>
  <c r="AH68" i="169"/>
  <c r="AH69" i="169"/>
  <c r="AH70" i="169"/>
  <c r="AH71" i="169"/>
  <c r="AH72" i="169"/>
  <c r="AH73" i="169"/>
  <c r="AH74" i="169"/>
  <c r="AH75" i="169"/>
  <c r="AH76" i="169"/>
  <c r="AH77" i="169"/>
  <c r="AH78" i="169"/>
  <c r="AH79" i="169"/>
  <c r="AH80" i="169"/>
  <c r="AH81" i="169"/>
  <c r="AH82" i="169"/>
  <c r="AH83" i="169"/>
  <c r="AH84" i="169"/>
  <c r="AH85" i="169"/>
  <c r="AH86" i="169"/>
  <c r="AH87" i="169"/>
  <c r="AH88" i="169"/>
  <c r="AH89" i="169"/>
  <c r="AH90" i="169"/>
  <c r="AH91" i="169"/>
  <c r="AH92" i="169"/>
  <c r="AH93" i="169"/>
  <c r="AH94" i="169"/>
  <c r="AH95" i="169"/>
  <c r="AH96" i="169"/>
  <c r="AH97" i="169"/>
  <c r="AH98" i="169"/>
  <c r="AH99" i="169"/>
  <c r="AH100" i="169"/>
  <c r="AH101" i="169"/>
  <c r="AH102" i="169"/>
  <c r="AH103" i="169"/>
  <c r="AH104" i="169"/>
  <c r="AH105" i="169"/>
  <c r="AH106" i="169"/>
  <c r="AH107" i="169"/>
  <c r="AH108" i="169"/>
  <c r="AH109" i="169"/>
  <c r="AH110" i="169"/>
  <c r="AH111" i="169"/>
  <c r="AH112" i="169"/>
  <c r="AH113" i="169"/>
  <c r="AH114" i="169"/>
  <c r="AH115" i="169"/>
  <c r="AH116" i="169"/>
  <c r="AH117" i="169"/>
  <c r="AH118" i="169"/>
  <c r="AH119" i="169"/>
  <c r="AH120" i="169"/>
  <c r="AH121" i="169"/>
  <c r="AH122" i="169"/>
  <c r="AH123" i="169"/>
  <c r="AH124" i="169"/>
  <c r="AH125" i="169"/>
  <c r="AH126" i="169"/>
  <c r="AH127" i="169"/>
  <c r="AH128" i="169"/>
  <c r="AH129" i="169"/>
  <c r="AH130" i="169"/>
  <c r="AH131" i="169"/>
  <c r="AH132" i="169"/>
  <c r="AH133" i="169"/>
  <c r="AH134" i="169"/>
  <c r="AH135" i="169"/>
  <c r="AH136" i="169"/>
  <c r="AH137" i="169"/>
  <c r="AH138" i="169"/>
  <c r="AH139" i="169"/>
  <c r="AH140" i="169"/>
  <c r="AH141" i="169"/>
  <c r="AH142" i="169"/>
  <c r="AH143" i="169"/>
  <c r="AH144" i="169"/>
  <c r="AH145" i="169"/>
  <c r="AH146" i="169"/>
  <c r="AH147" i="169"/>
  <c r="AH148" i="169"/>
  <c r="AH149" i="169"/>
  <c r="AH150" i="169"/>
  <c r="AH151" i="169"/>
  <c r="AH152" i="169"/>
  <c r="AH153" i="169"/>
  <c r="AH154" i="169"/>
  <c r="AH155" i="169"/>
  <c r="AH156" i="169"/>
  <c r="AH157" i="169"/>
  <c r="AH158" i="169"/>
  <c r="AH159" i="169"/>
  <c r="AH160" i="169"/>
  <c r="AH161" i="169"/>
  <c r="AH162" i="169"/>
  <c r="AH163" i="169"/>
  <c r="AH164" i="169"/>
  <c r="AH165" i="169"/>
  <c r="AH166" i="169"/>
  <c r="AH167" i="169"/>
  <c r="AH168" i="169"/>
  <c r="AH169" i="169"/>
  <c r="AH170" i="169"/>
  <c r="AH171" i="169"/>
  <c r="AH172" i="169"/>
  <c r="AH173" i="169"/>
  <c r="AH174" i="169"/>
  <c r="AH175" i="169"/>
  <c r="AH176" i="169"/>
  <c r="AH177" i="169"/>
  <c r="AH178" i="169"/>
  <c r="AH179" i="169"/>
  <c r="AH180" i="169"/>
  <c r="AH181" i="169"/>
  <c r="AH182" i="169"/>
  <c r="AH183" i="169"/>
  <c r="AH184" i="169"/>
  <c r="AH185" i="169"/>
  <c r="AH186" i="169"/>
  <c r="AH187" i="169"/>
  <c r="AH188" i="169"/>
  <c r="AH189" i="169"/>
  <c r="AH190" i="169"/>
  <c r="AH191" i="169"/>
  <c r="AH192" i="169"/>
  <c r="AH193" i="169"/>
  <c r="AH194" i="169"/>
  <c r="AH195" i="169"/>
  <c r="AH196" i="169"/>
  <c r="AH197" i="169"/>
  <c r="AH198" i="169"/>
  <c r="AH199" i="169"/>
  <c r="AH200" i="169"/>
  <c r="AH201" i="169"/>
  <c r="AH202" i="169"/>
  <c r="AH203" i="169"/>
  <c r="AH204" i="169"/>
  <c r="AH205" i="169"/>
  <c r="AH206" i="169"/>
  <c r="AH207" i="169"/>
  <c r="AH208" i="169"/>
  <c r="AH209" i="169"/>
  <c r="AH210" i="169"/>
  <c r="AH211" i="169"/>
  <c r="AJ211" i="169" s="1"/>
  <c r="AH212" i="169"/>
  <c r="AH213" i="169"/>
  <c r="AH214" i="169"/>
  <c r="AH215" i="169"/>
  <c r="AJ215" i="169" s="1"/>
  <c r="AH216" i="169"/>
  <c r="AH217" i="169"/>
  <c r="AH218" i="169"/>
  <c r="AH219" i="169"/>
  <c r="AJ219" i="169" s="1"/>
  <c r="AH220" i="169"/>
  <c r="AH221" i="169"/>
  <c r="AH222" i="169"/>
  <c r="AH223" i="169"/>
  <c r="AJ223" i="169" s="1"/>
  <c r="AH224" i="169"/>
  <c r="AH225" i="169"/>
  <c r="AH226" i="169"/>
  <c r="AH227" i="169"/>
  <c r="AJ227" i="169" s="1"/>
  <c r="AH228" i="169"/>
  <c r="AH229" i="169"/>
  <c r="AH230" i="169"/>
  <c r="AH231" i="169"/>
  <c r="AJ231" i="169" s="1"/>
  <c r="AH232" i="169"/>
  <c r="AH233" i="169"/>
  <c r="AH234" i="169"/>
  <c r="AH235" i="169"/>
  <c r="AJ235" i="169" s="1"/>
  <c r="AH236" i="169"/>
  <c r="AH237" i="169"/>
  <c r="AH238" i="169"/>
  <c r="AH239" i="169"/>
  <c r="AJ239" i="169" s="1"/>
  <c r="AH240" i="169"/>
  <c r="AH241" i="169"/>
  <c r="AH242" i="169"/>
  <c r="AH243" i="169"/>
  <c r="AJ243" i="169" s="1"/>
  <c r="AH244" i="169"/>
  <c r="AH245" i="169"/>
  <c r="AH246" i="169"/>
  <c r="AH247" i="169"/>
  <c r="AJ247" i="169" s="1"/>
  <c r="AH248" i="169"/>
  <c r="AH249" i="169"/>
  <c r="AJ249" i="169" s="1"/>
  <c r="AH250" i="169"/>
  <c r="AH251" i="169"/>
  <c r="AJ251" i="169" s="1"/>
  <c r="AH252" i="169"/>
  <c r="AH253" i="169"/>
  <c r="AJ253" i="169" s="1"/>
  <c r="AH254" i="169"/>
  <c r="AH255" i="169"/>
  <c r="AJ255" i="169" s="1"/>
  <c r="AH256" i="169"/>
  <c r="AH257" i="169"/>
  <c r="AJ257" i="169" s="1"/>
  <c r="AH258" i="169"/>
  <c r="AH259" i="169"/>
  <c r="AJ259" i="169" s="1"/>
  <c r="AH260" i="169"/>
  <c r="AJ260" i="169" s="1"/>
  <c r="AH261" i="169"/>
  <c r="AJ261" i="169" s="1"/>
  <c r="AH262" i="169"/>
  <c r="AJ262" i="169" s="1"/>
  <c r="AH263" i="169"/>
  <c r="AJ263" i="169" s="1"/>
  <c r="AH264" i="169"/>
  <c r="AJ264" i="169" s="1"/>
  <c r="AH265" i="169"/>
  <c r="AJ265" i="169" s="1"/>
  <c r="AH266" i="169"/>
  <c r="AJ266" i="169" s="1"/>
  <c r="AH267" i="169"/>
  <c r="AJ267" i="169" s="1"/>
  <c r="AH268" i="169"/>
  <c r="AJ268" i="169" s="1"/>
  <c r="AH269" i="169"/>
  <c r="AJ269" i="169" s="1"/>
  <c r="AH270" i="169"/>
  <c r="AJ270" i="169" s="1"/>
  <c r="AH271" i="169"/>
  <c r="AJ271" i="169" s="1"/>
  <c r="AH272" i="169"/>
  <c r="AJ272" i="169" s="1"/>
  <c r="AH273" i="169"/>
  <c r="AJ273" i="169" s="1"/>
  <c r="AH274" i="169"/>
  <c r="AJ274" i="169" s="1"/>
  <c r="AH275" i="169"/>
  <c r="AJ275" i="169" s="1"/>
  <c r="AH276" i="169"/>
  <c r="AJ276" i="169" s="1"/>
  <c r="AH277" i="169"/>
  <c r="AJ277" i="169" s="1"/>
  <c r="AH278" i="169"/>
  <c r="AJ278" i="169" s="1"/>
  <c r="AH279" i="169"/>
  <c r="AJ279" i="169" s="1"/>
  <c r="AH280" i="169"/>
  <c r="AJ280" i="169" s="1"/>
  <c r="AH281" i="169"/>
  <c r="AJ281" i="169" s="1"/>
  <c r="AH282" i="169"/>
  <c r="AJ282" i="169" s="1"/>
  <c r="AH283" i="169"/>
  <c r="AJ283" i="169" s="1"/>
  <c r="AH284" i="169"/>
  <c r="AJ284" i="169" s="1"/>
  <c r="AH285" i="169"/>
  <c r="AJ285" i="169" s="1"/>
  <c r="AH286" i="169"/>
  <c r="AJ286" i="169" s="1"/>
  <c r="AH287" i="169"/>
  <c r="AJ287" i="169" s="1"/>
  <c r="AH288" i="169"/>
  <c r="AJ288" i="169" s="1"/>
  <c r="AH289" i="169"/>
  <c r="AJ289" i="169" s="1"/>
  <c r="AH290" i="169"/>
  <c r="AJ290" i="169" s="1"/>
  <c r="AH291" i="169"/>
  <c r="AJ291" i="169" s="1"/>
  <c r="AH292" i="169"/>
  <c r="AJ292" i="169" s="1"/>
  <c r="AH293" i="169"/>
  <c r="AJ293" i="169" s="1"/>
  <c r="AH294" i="169"/>
  <c r="AJ294" i="169" s="1"/>
  <c r="AH295" i="169"/>
  <c r="AJ295" i="169" s="1"/>
  <c r="AH296" i="169"/>
  <c r="AJ296" i="169" s="1"/>
  <c r="AH297" i="169"/>
  <c r="AJ297" i="169" s="1"/>
  <c r="AH298" i="169"/>
  <c r="AJ298" i="169" s="1"/>
  <c r="AH299" i="169"/>
  <c r="AJ299" i="169" s="1"/>
  <c r="AH300" i="169"/>
  <c r="AJ300" i="169" s="1"/>
  <c r="AH301" i="169"/>
  <c r="AJ301" i="169" s="1"/>
  <c r="AH302" i="169"/>
  <c r="AJ302" i="169" s="1"/>
  <c r="AH303" i="169"/>
  <c r="AJ303" i="169" s="1"/>
  <c r="AH304" i="169"/>
  <c r="AJ304" i="169" s="1"/>
  <c r="AH305" i="169"/>
  <c r="AJ305" i="169" s="1"/>
  <c r="AH306" i="169"/>
  <c r="AJ306" i="169" s="1"/>
  <c r="AH307" i="169"/>
  <c r="AJ307" i="169" s="1"/>
  <c r="AH308" i="169"/>
  <c r="AJ308" i="169" s="1"/>
  <c r="AH309" i="169"/>
  <c r="AJ309" i="169" s="1"/>
  <c r="AH310" i="169"/>
  <c r="AJ310" i="169" s="1"/>
  <c r="AH311" i="169"/>
  <c r="AJ311" i="169" s="1"/>
  <c r="AH312" i="169"/>
  <c r="AJ312" i="169" s="1"/>
  <c r="AH313" i="169"/>
  <c r="AJ313" i="169" s="1"/>
  <c r="AH314" i="169"/>
  <c r="AJ314" i="169" s="1"/>
  <c r="AH315" i="169"/>
  <c r="AJ315" i="169" s="1"/>
  <c r="AH316" i="169"/>
  <c r="AJ316" i="169" s="1"/>
  <c r="AH317" i="169"/>
  <c r="AJ317" i="169" s="1"/>
  <c r="AH318" i="169"/>
  <c r="AJ318" i="169" s="1"/>
  <c r="AH319" i="169"/>
  <c r="AJ319" i="169" s="1"/>
  <c r="AH320" i="169"/>
  <c r="AJ320" i="169" s="1"/>
  <c r="AH321" i="169"/>
  <c r="AJ321" i="169" s="1"/>
  <c r="AH322" i="169"/>
  <c r="AJ322" i="169" s="1"/>
  <c r="AH323" i="169"/>
  <c r="AJ323" i="169" s="1"/>
  <c r="AH324" i="169"/>
  <c r="AJ324" i="169" s="1"/>
  <c r="AH325" i="169"/>
  <c r="AJ325" i="169" s="1"/>
  <c r="AH326" i="169"/>
  <c r="AJ326" i="169" s="1"/>
  <c r="AH327" i="169"/>
  <c r="AJ327" i="169" s="1"/>
  <c r="AH328" i="169"/>
  <c r="AJ328" i="169" s="1"/>
  <c r="AH329" i="169"/>
  <c r="AJ329" i="169" s="1"/>
  <c r="AH330" i="169"/>
  <c r="AJ330" i="169" s="1"/>
  <c r="AH331" i="169"/>
  <c r="AJ331" i="169" s="1"/>
  <c r="AH332" i="169"/>
  <c r="AJ332" i="169" s="1"/>
  <c r="AH333" i="169"/>
  <c r="AJ333" i="169" s="1"/>
  <c r="AH334" i="169"/>
  <c r="AJ334" i="169" s="1"/>
  <c r="AH335" i="169"/>
  <c r="AJ335" i="169" s="1"/>
  <c r="AH336" i="169"/>
  <c r="AJ336" i="169" s="1"/>
  <c r="AH337" i="169"/>
  <c r="AJ337" i="169" s="1"/>
  <c r="AH338" i="169"/>
  <c r="AJ338" i="169" s="1"/>
  <c r="AH339" i="169"/>
  <c r="AJ339" i="169" s="1"/>
  <c r="AH340" i="169"/>
  <c r="AJ340" i="169" s="1"/>
  <c r="AH341" i="169"/>
  <c r="AJ341" i="169" s="1"/>
  <c r="AH342" i="169"/>
  <c r="AJ342" i="169" s="1"/>
  <c r="AH343" i="169"/>
  <c r="AJ343" i="169" s="1"/>
  <c r="AH344" i="169"/>
  <c r="AJ344" i="169" s="1"/>
  <c r="AH345" i="169"/>
  <c r="AJ345" i="169" s="1"/>
  <c r="AH346" i="169"/>
  <c r="AJ346" i="169" s="1"/>
  <c r="AH347" i="169"/>
  <c r="AJ347" i="169" s="1"/>
  <c r="AH348" i="169"/>
  <c r="AJ348" i="169" s="1"/>
  <c r="AH349" i="169"/>
  <c r="AJ349" i="169" s="1"/>
  <c r="AH350" i="169"/>
  <c r="AJ350" i="169" s="1"/>
  <c r="AH351" i="169"/>
  <c r="AJ351" i="169" s="1"/>
  <c r="AH352" i="169"/>
  <c r="AJ352" i="169" s="1"/>
  <c r="AH353" i="169"/>
  <c r="AJ353" i="169" s="1"/>
  <c r="AH354" i="169"/>
  <c r="AJ354" i="169" s="1"/>
  <c r="AH355" i="169"/>
  <c r="AJ355" i="169" s="1"/>
  <c r="AH356" i="169"/>
  <c r="AJ356" i="169" s="1"/>
  <c r="AH357" i="169"/>
  <c r="AJ357" i="169" s="1"/>
  <c r="AH358" i="169"/>
  <c r="AJ358" i="169" s="1"/>
  <c r="AH359" i="169"/>
  <c r="AJ359" i="169" s="1"/>
  <c r="AH360" i="169"/>
  <c r="AJ360" i="169" s="1"/>
  <c r="AH361" i="169"/>
  <c r="AJ361" i="169" s="1"/>
  <c r="AH362" i="169"/>
  <c r="AJ362" i="169" s="1"/>
  <c r="AH363" i="169"/>
  <c r="AJ363" i="169" s="1"/>
  <c r="AH364" i="169"/>
  <c r="AJ364" i="169" s="1"/>
  <c r="AH365" i="169"/>
  <c r="AJ365" i="169" s="1"/>
  <c r="AH366" i="169"/>
  <c r="AJ366" i="169" s="1"/>
  <c r="AH367" i="169"/>
  <c r="AJ367" i="169" s="1"/>
  <c r="AH368" i="169"/>
  <c r="AJ368" i="169" s="1"/>
  <c r="AH369" i="169"/>
  <c r="AJ369" i="169" s="1"/>
  <c r="AH370" i="169"/>
  <c r="AJ370" i="169" s="1"/>
  <c r="AH371" i="169"/>
  <c r="AJ371" i="169" s="1"/>
  <c r="AH372" i="169"/>
  <c r="AJ372" i="169" s="1"/>
  <c r="AH373" i="169"/>
  <c r="AJ373" i="169" s="1"/>
  <c r="AH374" i="169"/>
  <c r="AJ374" i="169" s="1"/>
  <c r="AH375" i="169"/>
  <c r="AJ375" i="169" s="1"/>
  <c r="AH376" i="169"/>
  <c r="AJ376" i="169" s="1"/>
  <c r="AH377" i="169"/>
  <c r="AJ377" i="169" s="1"/>
  <c r="AH378" i="169"/>
  <c r="AJ378" i="169" s="1"/>
  <c r="AH379" i="169"/>
  <c r="AJ379" i="169" s="1"/>
  <c r="AH380" i="169"/>
  <c r="AJ380" i="169" s="1"/>
  <c r="AH381" i="169"/>
  <c r="AJ381" i="169" s="1"/>
  <c r="AH382" i="169"/>
  <c r="AJ382" i="169" s="1"/>
  <c r="AH383" i="169"/>
  <c r="AJ383" i="169" s="1"/>
  <c r="AH384" i="169"/>
  <c r="AJ384" i="169" s="1"/>
  <c r="AH385" i="169"/>
  <c r="AJ385" i="169" s="1"/>
  <c r="AH386" i="169"/>
  <c r="AJ386" i="169" s="1"/>
  <c r="AH387" i="169"/>
  <c r="AJ387" i="169" s="1"/>
  <c r="AH388" i="169"/>
  <c r="AJ388" i="169" s="1"/>
  <c r="AH389" i="169"/>
  <c r="AJ389" i="169" s="1"/>
  <c r="AH390" i="169"/>
  <c r="AJ390" i="169" s="1"/>
  <c r="AH391" i="169"/>
  <c r="AJ391" i="169" s="1"/>
  <c r="AH392" i="169"/>
  <c r="AJ392" i="169" s="1"/>
  <c r="AH393" i="169"/>
  <c r="AJ393" i="169" s="1"/>
  <c r="AH394" i="169"/>
  <c r="AJ394" i="169" s="1"/>
  <c r="AH395" i="169"/>
  <c r="AJ395" i="169" s="1"/>
  <c r="AH396" i="169"/>
  <c r="AJ396" i="169" s="1"/>
  <c r="AH397" i="169"/>
  <c r="AJ397" i="169" s="1"/>
  <c r="AH398" i="169"/>
  <c r="AJ398" i="169" s="1"/>
  <c r="AH399" i="169"/>
  <c r="AJ399" i="169" s="1"/>
  <c r="AH400" i="169"/>
  <c r="AJ400" i="169" s="1"/>
  <c r="AH401" i="169"/>
  <c r="AJ401" i="169" s="1"/>
  <c r="AH402" i="169"/>
  <c r="AJ402" i="169" s="1"/>
  <c r="AH403" i="169"/>
  <c r="AJ403" i="169" s="1"/>
  <c r="AH404" i="169"/>
  <c r="AJ404" i="169" s="1"/>
  <c r="AH405" i="169"/>
  <c r="AJ405" i="169" s="1"/>
  <c r="AH406" i="169"/>
  <c r="AJ406" i="169" s="1"/>
  <c r="AH407" i="169"/>
  <c r="AJ407" i="169" s="1"/>
  <c r="AH408" i="169"/>
  <c r="AJ408" i="169" s="1"/>
  <c r="AH409" i="169"/>
  <c r="AJ409" i="169" s="1"/>
  <c r="AH410" i="169"/>
  <c r="AJ410" i="169" s="1"/>
  <c r="AH411" i="169"/>
  <c r="AJ411" i="169" s="1"/>
  <c r="AH412" i="169"/>
  <c r="AJ412" i="169" s="1"/>
  <c r="AH413" i="169"/>
  <c r="AJ413" i="169" s="1"/>
  <c r="AH414" i="169"/>
  <c r="AJ414" i="169" s="1"/>
  <c r="AH415" i="169"/>
  <c r="AJ415" i="169" s="1"/>
  <c r="AH416" i="169"/>
  <c r="AJ416" i="169" s="1"/>
  <c r="AH417" i="169"/>
  <c r="AJ417" i="169" s="1"/>
  <c r="AH418" i="169"/>
  <c r="AJ418" i="169" s="1"/>
  <c r="AH419" i="169"/>
  <c r="AJ419" i="169" s="1"/>
  <c r="AH420" i="169"/>
  <c r="AJ420" i="169" s="1"/>
  <c r="AH421" i="169"/>
  <c r="AJ421" i="169" s="1"/>
  <c r="AH422" i="169"/>
  <c r="AJ422" i="169" s="1"/>
  <c r="AH423" i="169"/>
  <c r="AJ423" i="169" s="1"/>
  <c r="AH424" i="169"/>
  <c r="AJ424" i="169" s="1"/>
  <c r="AH425" i="169"/>
  <c r="AJ425" i="169" s="1"/>
  <c r="AH426" i="169"/>
  <c r="AJ426" i="169" s="1"/>
  <c r="AH427" i="169"/>
  <c r="AJ427" i="169" s="1"/>
  <c r="AH428" i="169"/>
  <c r="AJ428" i="169" s="1"/>
  <c r="AH429" i="169"/>
  <c r="AJ429" i="169" s="1"/>
  <c r="AH430" i="169"/>
  <c r="AJ430" i="169" s="1"/>
  <c r="AH431" i="169"/>
  <c r="AJ431" i="169" s="1"/>
  <c r="AH432" i="169"/>
  <c r="AJ432" i="169" s="1"/>
  <c r="AH433" i="169"/>
  <c r="AJ433" i="169" s="1"/>
  <c r="AH434" i="169"/>
  <c r="AJ434" i="169" s="1"/>
  <c r="AH435" i="169"/>
  <c r="AJ435" i="169" s="1"/>
  <c r="AH436" i="169"/>
  <c r="AJ436" i="169" s="1"/>
  <c r="AH437" i="169"/>
  <c r="AJ437" i="169" s="1"/>
  <c r="AH438" i="169"/>
  <c r="AJ438" i="169" s="1"/>
  <c r="AH439" i="169"/>
  <c r="AJ439" i="169" s="1"/>
  <c r="AH440" i="169"/>
  <c r="AJ440" i="169" s="1"/>
  <c r="AH441" i="169"/>
  <c r="AJ441" i="169" s="1"/>
  <c r="AH442" i="169"/>
  <c r="AJ442" i="169" s="1"/>
  <c r="AH443" i="169"/>
  <c r="AJ443" i="169" s="1"/>
  <c r="AH444" i="169"/>
  <c r="AJ444" i="169" s="1"/>
  <c r="AH445" i="169"/>
  <c r="AJ445" i="169" s="1"/>
  <c r="AH446" i="169"/>
  <c r="AJ446" i="169" s="1"/>
  <c r="AH447" i="169"/>
  <c r="AJ447" i="169" s="1"/>
  <c r="AH448" i="169"/>
  <c r="AJ448" i="169" s="1"/>
  <c r="AH449" i="169"/>
  <c r="AJ449" i="169" s="1"/>
  <c r="AH450" i="169"/>
  <c r="AJ450" i="169" s="1"/>
  <c r="AH451" i="169"/>
  <c r="AJ451" i="169" s="1"/>
  <c r="AH452" i="169"/>
  <c r="AJ452" i="169" s="1"/>
  <c r="AH453" i="169"/>
  <c r="AJ453" i="169" s="1"/>
  <c r="AH454" i="169"/>
  <c r="AJ454" i="169" s="1"/>
  <c r="AH455" i="169"/>
  <c r="AJ455" i="169" s="1"/>
  <c r="AH456" i="169"/>
  <c r="AJ456" i="169" s="1"/>
  <c r="AH457" i="169"/>
  <c r="AJ457" i="169" s="1"/>
  <c r="AH458" i="169"/>
  <c r="AJ458" i="169" s="1"/>
  <c r="AH459" i="169"/>
  <c r="AJ459" i="169" s="1"/>
  <c r="AH460" i="169"/>
  <c r="AJ460" i="169" s="1"/>
  <c r="AH461" i="169"/>
  <c r="AJ461" i="169" s="1"/>
  <c r="AH462" i="169"/>
  <c r="AJ462" i="169" s="1"/>
  <c r="AH463" i="169"/>
  <c r="AJ463" i="169" s="1"/>
  <c r="AH464" i="169"/>
  <c r="AJ464" i="169" s="1"/>
  <c r="AH465" i="169"/>
  <c r="AJ465" i="169" s="1"/>
  <c r="AH466" i="169"/>
  <c r="AJ466" i="169" s="1"/>
  <c r="AH467" i="169"/>
  <c r="AJ467" i="169" s="1"/>
  <c r="AH468" i="169"/>
  <c r="AJ468" i="169" s="1"/>
  <c r="AH469" i="169"/>
  <c r="AJ469" i="169" s="1"/>
  <c r="AH470" i="169"/>
  <c r="AJ470" i="169" s="1"/>
  <c r="AH471" i="169"/>
  <c r="AJ471" i="169" s="1"/>
  <c r="AH472" i="169"/>
  <c r="AJ472" i="169" s="1"/>
  <c r="AH473" i="169"/>
  <c r="AJ473" i="169" s="1"/>
  <c r="AH474" i="169"/>
  <c r="AJ474" i="169" s="1"/>
  <c r="AH475" i="169"/>
  <c r="AJ475" i="169" s="1"/>
  <c r="AH476" i="169"/>
  <c r="AJ476" i="169" s="1"/>
  <c r="AH477" i="169"/>
  <c r="AJ477" i="169" s="1"/>
  <c r="AH478" i="169"/>
  <c r="AJ478" i="169" s="1"/>
  <c r="AH479" i="169"/>
  <c r="AJ479" i="169" s="1"/>
  <c r="AH480" i="169"/>
  <c r="AJ480" i="169" s="1"/>
  <c r="AH481" i="169"/>
  <c r="AJ481" i="169" s="1"/>
  <c r="AH482" i="169"/>
  <c r="AJ482" i="169" s="1"/>
  <c r="AH483" i="169"/>
  <c r="AJ483" i="169" s="1"/>
  <c r="AH484" i="169"/>
  <c r="AJ484" i="169" s="1"/>
  <c r="AH485" i="169"/>
  <c r="AJ485" i="169" s="1"/>
  <c r="AH486" i="169"/>
  <c r="AJ486" i="169" s="1"/>
  <c r="AH487" i="169"/>
  <c r="AJ487" i="169" s="1"/>
  <c r="AH488" i="169"/>
  <c r="AJ488" i="169" s="1"/>
  <c r="AH489" i="169"/>
  <c r="AJ489" i="169" s="1"/>
  <c r="AH490" i="169"/>
  <c r="AJ490" i="169" s="1"/>
  <c r="AH491" i="169"/>
  <c r="AJ491" i="169" s="1"/>
  <c r="AH492" i="169"/>
  <c r="AJ492" i="169" s="1"/>
  <c r="AH493" i="169"/>
  <c r="AJ493" i="169" s="1"/>
  <c r="AH494" i="169"/>
  <c r="AJ494" i="169" s="1"/>
  <c r="AH495" i="169"/>
  <c r="AJ495" i="169" s="1"/>
  <c r="AH496" i="169"/>
  <c r="AJ496" i="169" s="1"/>
  <c r="AH497" i="169"/>
  <c r="AJ497" i="169" s="1"/>
  <c r="AH498" i="169"/>
  <c r="AJ498" i="169" s="1"/>
  <c r="AH499" i="169"/>
  <c r="AJ499" i="169" s="1"/>
  <c r="AH500" i="169"/>
  <c r="AJ500" i="169" s="1"/>
  <c r="AH501" i="169"/>
  <c r="AJ501" i="169" s="1"/>
  <c r="A261" i="169"/>
  <c r="B261" i="169"/>
  <c r="D261" i="169"/>
  <c r="E261" i="169" s="1"/>
  <c r="F261" i="169"/>
  <c r="J261" i="169"/>
  <c r="AK261" i="169" s="1"/>
  <c r="K261" i="169"/>
  <c r="AL261" i="169" s="1"/>
  <c r="L261" i="169"/>
  <c r="AM261" i="169" s="1"/>
  <c r="O261" i="169"/>
  <c r="AO261" i="169" s="1"/>
  <c r="P261" i="169"/>
  <c r="Q261" i="169"/>
  <c r="S261" i="169" s="1"/>
  <c r="AP261" i="169" s="1"/>
  <c r="W261" i="169"/>
  <c r="A479" i="169"/>
  <c r="B479" i="169"/>
  <c r="D479" i="169"/>
  <c r="E479" i="169" s="1"/>
  <c r="F479" i="169"/>
  <c r="J479" i="169"/>
  <c r="AK479" i="169" s="1"/>
  <c r="K479" i="169"/>
  <c r="AL479" i="169" s="1"/>
  <c r="L479" i="169"/>
  <c r="AM479" i="169" s="1"/>
  <c r="O479" i="169"/>
  <c r="AO479" i="169" s="1"/>
  <c r="P479" i="169"/>
  <c r="Q479" i="169"/>
  <c r="S479" i="169" s="1"/>
  <c r="AP479" i="169" s="1"/>
  <c r="W479" i="169"/>
  <c r="A407" i="169"/>
  <c r="B407" i="169"/>
  <c r="D407" i="169"/>
  <c r="E407" i="169" s="1"/>
  <c r="F407" i="169"/>
  <c r="J407" i="169"/>
  <c r="AK407" i="169" s="1"/>
  <c r="K407" i="169"/>
  <c r="AL407" i="169" s="1"/>
  <c r="L407" i="169"/>
  <c r="AM407" i="169" s="1"/>
  <c r="O407" i="169"/>
  <c r="AO407" i="169" s="1"/>
  <c r="P407" i="169"/>
  <c r="Q407" i="169"/>
  <c r="U407" i="169" s="1"/>
  <c r="AQ407" i="169" s="1"/>
  <c r="W407" i="169"/>
  <c r="A317" i="169"/>
  <c r="B317" i="169"/>
  <c r="D317" i="169"/>
  <c r="E317" i="169" s="1"/>
  <c r="F317" i="169"/>
  <c r="J317" i="169"/>
  <c r="AK317" i="169" s="1"/>
  <c r="K317" i="169"/>
  <c r="AL317" i="169" s="1"/>
  <c r="L317" i="169"/>
  <c r="AM317" i="169" s="1"/>
  <c r="O317" i="169"/>
  <c r="AO317" i="169" s="1"/>
  <c r="P317" i="169"/>
  <c r="Q317" i="169"/>
  <c r="U317" i="169" s="1"/>
  <c r="AQ317" i="169" s="1"/>
  <c r="W317" i="169"/>
  <c r="A225" i="169"/>
  <c r="B225" i="169"/>
  <c r="D225" i="169"/>
  <c r="E225" i="169" s="1"/>
  <c r="F225" i="169"/>
  <c r="J225" i="169"/>
  <c r="AK225" i="169" s="1"/>
  <c r="K225" i="169"/>
  <c r="AL225" i="169" s="1"/>
  <c r="L225" i="169"/>
  <c r="AM225" i="169" s="1"/>
  <c r="O225" i="169"/>
  <c r="AO225" i="169" s="1"/>
  <c r="P225" i="169"/>
  <c r="Q225" i="169"/>
  <c r="U225" i="169" s="1"/>
  <c r="AQ225" i="169" s="1"/>
  <c r="W225" i="169"/>
  <c r="A226" i="169"/>
  <c r="B226" i="169"/>
  <c r="D226" i="169"/>
  <c r="E226" i="169" s="1"/>
  <c r="F226" i="169"/>
  <c r="J226" i="169"/>
  <c r="AK226" i="169" s="1"/>
  <c r="K226" i="169"/>
  <c r="AL226" i="169" s="1"/>
  <c r="L226" i="169"/>
  <c r="AM226" i="169" s="1"/>
  <c r="O226" i="169"/>
  <c r="AO226" i="169" s="1"/>
  <c r="P226" i="169"/>
  <c r="Q226" i="169"/>
  <c r="S226" i="169" s="1"/>
  <c r="AP226" i="169" s="1"/>
  <c r="W226" i="169"/>
  <c r="A227" i="169"/>
  <c r="B227" i="169"/>
  <c r="D227" i="169"/>
  <c r="E227" i="169" s="1"/>
  <c r="F227" i="169"/>
  <c r="J227" i="169"/>
  <c r="AK227" i="169" s="1"/>
  <c r="K227" i="169"/>
  <c r="AL227" i="169" s="1"/>
  <c r="L227" i="169"/>
  <c r="AM227" i="169" s="1"/>
  <c r="O227" i="169"/>
  <c r="AO227" i="169" s="1"/>
  <c r="P227" i="169"/>
  <c r="Q227" i="169"/>
  <c r="S227" i="169" s="1"/>
  <c r="AP227" i="169" s="1"/>
  <c r="W227" i="169"/>
  <c r="A163" i="169"/>
  <c r="B163" i="169"/>
  <c r="D163" i="169"/>
  <c r="E163" i="169" s="1"/>
  <c r="F163" i="169"/>
  <c r="J163" i="169"/>
  <c r="AK163" i="169" s="1"/>
  <c r="K163" i="169"/>
  <c r="AL163" i="169" s="1"/>
  <c r="L163" i="169"/>
  <c r="AM163" i="169" s="1"/>
  <c r="O163" i="169"/>
  <c r="AO163" i="169" s="1"/>
  <c r="P163" i="169"/>
  <c r="Q163" i="169"/>
  <c r="U163" i="169" s="1"/>
  <c r="AQ163" i="169" s="1"/>
  <c r="W163" i="169"/>
  <c r="A164" i="169"/>
  <c r="B164" i="169"/>
  <c r="D164" i="169"/>
  <c r="E164" i="169" s="1"/>
  <c r="F164" i="169"/>
  <c r="J164" i="169"/>
  <c r="AK164" i="169" s="1"/>
  <c r="K164" i="169"/>
  <c r="AL164" i="169" s="1"/>
  <c r="L164" i="169"/>
  <c r="AM164" i="169" s="1"/>
  <c r="O164" i="169"/>
  <c r="AO164" i="169" s="1"/>
  <c r="P164" i="169"/>
  <c r="Q164" i="169"/>
  <c r="U164" i="169" s="1"/>
  <c r="AQ164" i="169" s="1"/>
  <c r="W164" i="169"/>
  <c r="A147" i="169"/>
  <c r="B147" i="169"/>
  <c r="D147" i="169"/>
  <c r="E147" i="169" s="1"/>
  <c r="F147" i="169"/>
  <c r="J147" i="169"/>
  <c r="AK147" i="169" s="1"/>
  <c r="K147" i="169"/>
  <c r="AL147" i="169" s="1"/>
  <c r="L147" i="169"/>
  <c r="AM147" i="169" s="1"/>
  <c r="O147" i="169"/>
  <c r="AO147" i="169" s="1"/>
  <c r="P147" i="169"/>
  <c r="Q147" i="169"/>
  <c r="U147" i="169" s="1"/>
  <c r="AQ147" i="169" s="1"/>
  <c r="W147" i="169"/>
  <c r="Y89" i="172"/>
  <c r="X89" i="172"/>
  <c r="W89" i="172"/>
  <c r="V89" i="172"/>
  <c r="AA89" i="172"/>
  <c r="Z89" i="172"/>
  <c r="T41" i="177" l="1"/>
  <c r="X808" i="169"/>
  <c r="AF808" i="169" s="1"/>
  <c r="AQ808" i="169"/>
  <c r="X692" i="169"/>
  <c r="AF692" i="169" s="1"/>
  <c r="AQ692" i="169"/>
  <c r="X830" i="169"/>
  <c r="AF830" i="169" s="1"/>
  <c r="AQ830" i="169"/>
  <c r="X786" i="169"/>
  <c r="AF786" i="169" s="1"/>
  <c r="AQ786" i="169"/>
  <c r="V862" i="169"/>
  <c r="AR862" i="169" s="1"/>
  <c r="AQ862" i="169"/>
  <c r="V550" i="169"/>
  <c r="AR550" i="169" s="1"/>
  <c r="AQ550" i="169"/>
  <c r="V615" i="169"/>
  <c r="AR615" i="169" s="1"/>
  <c r="AQ615" i="169"/>
  <c r="X629" i="169"/>
  <c r="AF629" i="169" s="1"/>
  <c r="AQ629" i="169"/>
  <c r="V669" i="169"/>
  <c r="AR669" i="169" s="1"/>
  <c r="AQ669" i="169"/>
  <c r="V610" i="169"/>
  <c r="AR610" i="169" s="1"/>
  <c r="AQ610" i="169"/>
  <c r="V678" i="169"/>
  <c r="AR678" i="169" s="1"/>
  <c r="AQ678" i="169"/>
  <c r="V703" i="169"/>
  <c r="AR703" i="169" s="1"/>
  <c r="AQ703" i="169"/>
  <c r="V532" i="169"/>
  <c r="AR532" i="169" s="1"/>
  <c r="AQ532" i="169"/>
  <c r="V673" i="169"/>
  <c r="AR673" i="169" s="1"/>
  <c r="AQ673" i="169"/>
  <c r="X838" i="169"/>
  <c r="AF838" i="169" s="1"/>
  <c r="AQ838" i="169"/>
  <c r="V696" i="169"/>
  <c r="AR696" i="169" s="1"/>
  <c r="AQ696" i="169"/>
  <c r="V625" i="169"/>
  <c r="AR625" i="169" s="1"/>
  <c r="AQ625" i="169"/>
  <c r="V830" i="169"/>
  <c r="AR830" i="169" s="1"/>
  <c r="V838" i="169"/>
  <c r="AR838" i="169" s="1"/>
  <c r="V786" i="169"/>
  <c r="AR786" i="169" s="1"/>
  <c r="V803" i="169"/>
  <c r="AR803" i="169" s="1"/>
  <c r="X803" i="169"/>
  <c r="AF803" i="169" s="1"/>
  <c r="V808" i="169"/>
  <c r="AR808" i="169" s="1"/>
  <c r="X696" i="169"/>
  <c r="AF696" i="169" s="1"/>
  <c r="V692" i="169"/>
  <c r="AR692" i="169" s="1"/>
  <c r="V688" i="169"/>
  <c r="AR688" i="169" s="1"/>
  <c r="X688" i="169"/>
  <c r="AF688" i="169" s="1"/>
  <c r="V690" i="169"/>
  <c r="AR690" i="169" s="1"/>
  <c r="X690" i="169"/>
  <c r="AF690" i="169" s="1"/>
  <c r="V698" i="169"/>
  <c r="AR698" i="169" s="1"/>
  <c r="X698" i="169"/>
  <c r="AF698" i="169" s="1"/>
  <c r="V694" i="169"/>
  <c r="AR694" i="169" s="1"/>
  <c r="X694" i="169"/>
  <c r="AF694" i="169" s="1"/>
  <c r="X703" i="169"/>
  <c r="AF703" i="169" s="1"/>
  <c r="V701" i="169"/>
  <c r="AR701" i="169" s="1"/>
  <c r="X701" i="169"/>
  <c r="AF701" i="169" s="1"/>
  <c r="V734" i="169"/>
  <c r="AR734" i="169" s="1"/>
  <c r="X734" i="169"/>
  <c r="AF734" i="169" s="1"/>
  <c r="X862" i="169"/>
  <c r="AF862" i="169" s="1"/>
  <c r="X902" i="169"/>
  <c r="AF902" i="169" s="1"/>
  <c r="V902" i="169"/>
  <c r="AR902" i="169" s="1"/>
  <c r="V738" i="169"/>
  <c r="AR738" i="169" s="1"/>
  <c r="X738" i="169"/>
  <c r="AF738" i="169" s="1"/>
  <c r="X669" i="169"/>
  <c r="AF669" i="169" s="1"/>
  <c r="X673" i="169"/>
  <c r="AF673" i="169" s="1"/>
  <c r="X671" i="169"/>
  <c r="AF671" i="169" s="1"/>
  <c r="V671" i="169"/>
  <c r="AR671" i="169" s="1"/>
  <c r="X678" i="169"/>
  <c r="AF678" i="169" s="1"/>
  <c r="X615" i="169"/>
  <c r="AF615" i="169" s="1"/>
  <c r="V681" i="169"/>
  <c r="AR681" i="169" s="1"/>
  <c r="X681" i="169"/>
  <c r="AF681" i="169" s="1"/>
  <c r="V621" i="169"/>
  <c r="AR621" i="169" s="1"/>
  <c r="X621" i="169"/>
  <c r="AF621" i="169" s="1"/>
  <c r="X625" i="169"/>
  <c r="AF625" i="169" s="1"/>
  <c r="V629" i="169"/>
  <c r="AR629" i="169" s="1"/>
  <c r="X550" i="169"/>
  <c r="AF550" i="169" s="1"/>
  <c r="X532" i="169"/>
  <c r="AF532" i="169" s="1"/>
  <c r="X610" i="169"/>
  <c r="AF610" i="169" s="1"/>
  <c r="V543" i="169"/>
  <c r="AR543" i="169" s="1"/>
  <c r="X543" i="169"/>
  <c r="AF543" i="169" s="1"/>
  <c r="AA32" i="172"/>
  <c r="AB18" i="172"/>
  <c r="S89" i="172"/>
  <c r="T90" i="172"/>
  <c r="T91" i="172" s="1"/>
  <c r="U31" i="172"/>
  <c r="U29" i="172"/>
  <c r="U27" i="172"/>
  <c r="U25" i="172"/>
  <c r="U23" i="172"/>
  <c r="U21" i="172"/>
  <c r="U19" i="172"/>
  <c r="U69" i="172"/>
  <c r="U81" i="172"/>
  <c r="U79" i="172"/>
  <c r="U77" i="172"/>
  <c r="U75" i="172"/>
  <c r="U73" i="172"/>
  <c r="AB73" i="172" s="1"/>
  <c r="U71" i="172"/>
  <c r="T92" i="172"/>
  <c r="T31" i="172"/>
  <c r="S31" i="172" s="1"/>
  <c r="T29" i="172"/>
  <c r="S29" i="172" s="1"/>
  <c r="T27" i="172"/>
  <c r="S27" i="172" s="1"/>
  <c r="T25" i="172"/>
  <c r="S25" i="172" s="1"/>
  <c r="T23" i="172"/>
  <c r="S23" i="172" s="1"/>
  <c r="T21" i="172"/>
  <c r="S21" i="172" s="1"/>
  <c r="T19" i="172"/>
  <c r="S19" i="172" s="1"/>
  <c r="T69" i="172"/>
  <c r="T81" i="172"/>
  <c r="S81" i="172" s="1"/>
  <c r="T79" i="172"/>
  <c r="S79" i="172" s="1"/>
  <c r="T77" i="172"/>
  <c r="S77" i="172" s="1"/>
  <c r="T75" i="172"/>
  <c r="S75" i="172" s="1"/>
  <c r="T73" i="172"/>
  <c r="S73" i="172" s="1"/>
  <c r="T71" i="172"/>
  <c r="S71" i="172" s="1"/>
  <c r="U92" i="172"/>
  <c r="T18" i="172"/>
  <c r="U30" i="172"/>
  <c r="U28" i="172"/>
  <c r="U26" i="172"/>
  <c r="U24" i="172"/>
  <c r="U22" i="172"/>
  <c r="U20" i="172"/>
  <c r="U82" i="172"/>
  <c r="U80" i="172"/>
  <c r="U78" i="172"/>
  <c r="U76" i="172"/>
  <c r="U74" i="172"/>
  <c r="AB74" i="172" s="1"/>
  <c r="U72" i="172"/>
  <c r="T30" i="172"/>
  <c r="S30" i="172" s="1"/>
  <c r="T28" i="172"/>
  <c r="S28" i="172" s="1"/>
  <c r="T26" i="172"/>
  <c r="S26" i="172" s="1"/>
  <c r="T24" i="172"/>
  <c r="S24" i="172" s="1"/>
  <c r="T22" i="172"/>
  <c r="S22" i="172" s="1"/>
  <c r="T82" i="172"/>
  <c r="S82" i="172" s="1"/>
  <c r="T80" i="172"/>
  <c r="S80" i="172" s="1"/>
  <c r="T78" i="172"/>
  <c r="S78" i="172" s="1"/>
  <c r="T76" i="172"/>
  <c r="S76" i="172" s="1"/>
  <c r="T74" i="172"/>
  <c r="S74" i="172" s="1"/>
  <c r="T72" i="172"/>
  <c r="S72" i="172" s="1"/>
  <c r="AI207" i="169"/>
  <c r="AJ207" i="169"/>
  <c r="AI203" i="169"/>
  <c r="AJ203" i="169"/>
  <c r="AI199" i="169"/>
  <c r="AJ199" i="169"/>
  <c r="AI195" i="169"/>
  <c r="AJ195" i="169"/>
  <c r="AI191" i="169"/>
  <c r="AJ191" i="169"/>
  <c r="AI187" i="169"/>
  <c r="AJ187" i="169"/>
  <c r="AI183" i="169"/>
  <c r="AJ183" i="169"/>
  <c r="AI179" i="169"/>
  <c r="AJ179" i="169"/>
  <c r="AI175" i="169"/>
  <c r="AJ175" i="169"/>
  <c r="AI171" i="169"/>
  <c r="AJ171" i="169"/>
  <c r="AI167" i="169"/>
  <c r="AJ167" i="169"/>
  <c r="AI163" i="169"/>
  <c r="AJ163" i="169"/>
  <c r="AI159" i="169"/>
  <c r="AJ159" i="169"/>
  <c r="AI155" i="169"/>
  <c r="AJ155" i="169"/>
  <c r="AI151" i="169"/>
  <c r="AJ151" i="169"/>
  <c r="AI147" i="169"/>
  <c r="AJ147" i="169"/>
  <c r="AI143" i="169"/>
  <c r="AJ143" i="169"/>
  <c r="AI139" i="169"/>
  <c r="AJ139" i="169"/>
  <c r="AI135" i="169"/>
  <c r="AJ135" i="169"/>
  <c r="AI131" i="169"/>
  <c r="AJ131" i="169"/>
  <c r="AI127" i="169"/>
  <c r="AJ127" i="169"/>
  <c r="AI123" i="169"/>
  <c r="AJ123" i="169"/>
  <c r="AI119" i="169"/>
  <c r="AJ119" i="169"/>
  <c r="AI115" i="169"/>
  <c r="AJ115" i="169"/>
  <c r="AI111" i="169"/>
  <c r="AJ111" i="169"/>
  <c r="AI107" i="169"/>
  <c r="AJ107" i="169"/>
  <c r="AI103" i="169"/>
  <c r="AJ103" i="169"/>
  <c r="AI99" i="169"/>
  <c r="AJ99" i="169"/>
  <c r="AI95" i="169"/>
  <c r="AJ95" i="169"/>
  <c r="AI91" i="169"/>
  <c r="AJ91" i="169"/>
  <c r="AI87" i="169"/>
  <c r="AJ87" i="169"/>
  <c r="AI83" i="169"/>
  <c r="AJ83" i="169"/>
  <c r="AI79" i="169"/>
  <c r="AJ79" i="169"/>
  <c r="AI75" i="169"/>
  <c r="AJ75" i="169"/>
  <c r="AI71" i="169"/>
  <c r="AJ71" i="169"/>
  <c r="AI67" i="169"/>
  <c r="AJ67" i="169"/>
  <c r="AI63" i="169"/>
  <c r="AJ63" i="169"/>
  <c r="AI59" i="169"/>
  <c r="AJ59" i="169"/>
  <c r="AI55" i="169"/>
  <c r="AJ55" i="169"/>
  <c r="AI51" i="169"/>
  <c r="AJ51" i="169"/>
  <c r="AI47" i="169"/>
  <c r="AJ47" i="169"/>
  <c r="AI43" i="169"/>
  <c r="AJ43" i="169"/>
  <c r="AI39" i="169"/>
  <c r="AJ39" i="169"/>
  <c r="AI35" i="169"/>
  <c r="AJ35" i="169"/>
  <c r="AI31" i="169"/>
  <c r="AJ31" i="169"/>
  <c r="AI27" i="169"/>
  <c r="AJ27" i="169"/>
  <c r="AI23" i="169"/>
  <c r="AJ23" i="169"/>
  <c r="AI19" i="169"/>
  <c r="AJ19" i="169"/>
  <c r="AI15" i="169"/>
  <c r="AJ15" i="169"/>
  <c r="AI11" i="169"/>
  <c r="AJ11" i="169"/>
  <c r="AI7" i="169"/>
  <c r="AJ7" i="169"/>
  <c r="AI3" i="169"/>
  <c r="AJ3" i="169"/>
  <c r="AI500" i="169"/>
  <c r="AI496" i="169"/>
  <c r="AI492" i="169"/>
  <c r="AI488" i="169"/>
  <c r="AI484" i="169"/>
  <c r="AI480" i="169"/>
  <c r="AI476" i="169"/>
  <c r="AI472" i="169"/>
  <c r="AI468" i="169"/>
  <c r="AI464" i="169"/>
  <c r="AI460" i="169"/>
  <c r="AI456" i="169"/>
  <c r="AI452" i="169"/>
  <c r="AI448" i="169"/>
  <c r="AI444" i="169"/>
  <c r="AI440" i="169"/>
  <c r="AI436" i="169"/>
  <c r="AI432" i="169"/>
  <c r="AI428" i="169"/>
  <c r="AI424" i="169"/>
  <c r="AI420" i="169"/>
  <c r="AI416" i="169"/>
  <c r="AI412" i="169"/>
  <c r="AI408" i="169"/>
  <c r="AI404" i="169"/>
  <c r="AI400" i="169"/>
  <c r="AI396" i="169"/>
  <c r="AI392" i="169"/>
  <c r="AI388" i="169"/>
  <c r="AI384" i="169"/>
  <c r="AI380" i="169"/>
  <c r="AI376" i="169"/>
  <c r="AI372" i="169"/>
  <c r="AI368" i="169"/>
  <c r="AI364" i="169"/>
  <c r="AI360" i="169"/>
  <c r="AI356" i="169"/>
  <c r="AI352" i="169"/>
  <c r="AI348" i="169"/>
  <c r="AI344" i="169"/>
  <c r="AI340" i="169"/>
  <c r="AI336" i="169"/>
  <c r="AI332" i="169"/>
  <c r="AI328" i="169"/>
  <c r="AI324" i="169"/>
  <c r="AI320" i="169"/>
  <c r="AI316" i="169"/>
  <c r="AI312" i="169"/>
  <c r="AI308" i="169"/>
  <c r="AI304" i="169"/>
  <c r="AI300" i="169"/>
  <c r="AI296" i="169"/>
  <c r="AI292" i="169"/>
  <c r="AI288" i="169"/>
  <c r="AI284" i="169"/>
  <c r="AI280" i="169"/>
  <c r="AI276" i="169"/>
  <c r="AI272" i="169"/>
  <c r="AI268" i="169"/>
  <c r="AI264" i="169"/>
  <c r="AI260" i="169"/>
  <c r="AI253" i="169"/>
  <c r="AI243" i="169"/>
  <c r="AI227" i="169"/>
  <c r="AI211" i="169"/>
  <c r="AI258" i="169"/>
  <c r="AJ258" i="169"/>
  <c r="AI254" i="169"/>
  <c r="AJ254" i="169"/>
  <c r="AI250" i="169"/>
  <c r="AJ250" i="169"/>
  <c r="AI246" i="169"/>
  <c r="AJ246" i="169"/>
  <c r="AI242" i="169"/>
  <c r="AJ242" i="169"/>
  <c r="AI238" i="169"/>
  <c r="AJ238" i="169"/>
  <c r="AI234" i="169"/>
  <c r="AJ234" i="169"/>
  <c r="AI230" i="169"/>
  <c r="AJ230" i="169"/>
  <c r="AI226" i="169"/>
  <c r="AJ226" i="169"/>
  <c r="AI222" i="169"/>
  <c r="AJ222" i="169"/>
  <c r="AI218" i="169"/>
  <c r="AJ218" i="169"/>
  <c r="AI214" i="169"/>
  <c r="AJ214" i="169"/>
  <c r="AI210" i="169"/>
  <c r="AJ210" i="169"/>
  <c r="AI206" i="169"/>
  <c r="AJ206" i="169"/>
  <c r="AI202" i="169"/>
  <c r="AJ202" i="169"/>
  <c r="AI198" i="169"/>
  <c r="AJ198" i="169"/>
  <c r="AI194" i="169"/>
  <c r="AJ194" i="169"/>
  <c r="AI190" i="169"/>
  <c r="AJ190" i="169"/>
  <c r="AI186" i="169"/>
  <c r="AJ186" i="169"/>
  <c r="AI182" i="169"/>
  <c r="AJ182" i="169"/>
  <c r="AI178" i="169"/>
  <c r="AJ178" i="169"/>
  <c r="AI174" i="169"/>
  <c r="AJ174" i="169"/>
  <c r="AI170" i="169"/>
  <c r="AJ170" i="169"/>
  <c r="AI166" i="169"/>
  <c r="AJ166" i="169"/>
  <c r="AI162" i="169"/>
  <c r="AJ162" i="169"/>
  <c r="AI158" i="169"/>
  <c r="AJ158" i="169"/>
  <c r="AI154" i="169"/>
  <c r="AJ154" i="169"/>
  <c r="AI150" i="169"/>
  <c r="AJ150" i="169"/>
  <c r="AI146" i="169"/>
  <c r="AJ146" i="169"/>
  <c r="AI142" i="169"/>
  <c r="AJ142" i="169"/>
  <c r="AI138" i="169"/>
  <c r="AJ138" i="169"/>
  <c r="AI134" i="169"/>
  <c r="AJ134" i="169"/>
  <c r="AI130" i="169"/>
  <c r="AJ130" i="169"/>
  <c r="AI126" i="169"/>
  <c r="AJ126" i="169"/>
  <c r="AI122" i="169"/>
  <c r="AJ122" i="169"/>
  <c r="AI118" i="169"/>
  <c r="AJ118" i="169"/>
  <c r="AI114" i="169"/>
  <c r="AJ114" i="169"/>
  <c r="AI110" i="169"/>
  <c r="AJ110" i="169"/>
  <c r="AI106" i="169"/>
  <c r="AJ106" i="169"/>
  <c r="AI102" i="169"/>
  <c r="AJ102" i="169"/>
  <c r="AI98" i="169"/>
  <c r="AJ98" i="169"/>
  <c r="AI94" i="169"/>
  <c r="AJ94" i="169"/>
  <c r="AI90" i="169"/>
  <c r="AJ90" i="169"/>
  <c r="AI86" i="169"/>
  <c r="AJ86" i="169"/>
  <c r="AI82" i="169"/>
  <c r="AJ82" i="169"/>
  <c r="AI78" i="169"/>
  <c r="AJ78" i="169"/>
  <c r="AI74" i="169"/>
  <c r="AJ74" i="169"/>
  <c r="AI70" i="169"/>
  <c r="AJ70" i="169"/>
  <c r="AI66" i="169"/>
  <c r="AJ66" i="169"/>
  <c r="AI62" i="169"/>
  <c r="AJ62" i="169"/>
  <c r="AI58" i="169"/>
  <c r="AJ58" i="169"/>
  <c r="AI54" i="169"/>
  <c r="AJ54" i="169"/>
  <c r="AI50" i="169"/>
  <c r="AJ50" i="169"/>
  <c r="AI46" i="169"/>
  <c r="AJ46" i="169"/>
  <c r="AI42" i="169"/>
  <c r="AJ42" i="169"/>
  <c r="AI38" i="169"/>
  <c r="AJ38" i="169"/>
  <c r="AI34" i="169"/>
  <c r="AJ34" i="169"/>
  <c r="AI30" i="169"/>
  <c r="AJ30" i="169"/>
  <c r="AI26" i="169"/>
  <c r="AJ26" i="169"/>
  <c r="AI22" i="169"/>
  <c r="AJ22" i="169"/>
  <c r="AI18" i="169"/>
  <c r="AJ18" i="169"/>
  <c r="AI14" i="169"/>
  <c r="AJ14" i="169"/>
  <c r="AI10" i="169"/>
  <c r="AJ10" i="169"/>
  <c r="AI6" i="169"/>
  <c r="AJ6" i="169"/>
  <c r="AI499" i="169"/>
  <c r="AI495" i="169"/>
  <c r="AI491" i="169"/>
  <c r="AI487" i="169"/>
  <c r="AI483" i="169"/>
  <c r="AI479" i="169"/>
  <c r="AI475" i="169"/>
  <c r="AI471" i="169"/>
  <c r="AI467" i="169"/>
  <c r="AI463" i="169"/>
  <c r="AI459" i="169"/>
  <c r="AI455" i="169"/>
  <c r="AI451" i="169"/>
  <c r="AI447" i="169"/>
  <c r="AI443" i="169"/>
  <c r="AI439" i="169"/>
  <c r="AI435" i="169"/>
  <c r="AI431" i="169"/>
  <c r="AI427" i="169"/>
  <c r="AI423" i="169"/>
  <c r="AI419" i="169"/>
  <c r="AI415" i="169"/>
  <c r="AI411" i="169"/>
  <c r="AI407" i="169"/>
  <c r="AI403" i="169"/>
  <c r="AI399" i="169"/>
  <c r="AI395" i="169"/>
  <c r="AI391" i="169"/>
  <c r="AI387" i="169"/>
  <c r="AI383" i="169"/>
  <c r="AI379" i="169"/>
  <c r="AI375" i="169"/>
  <c r="AI371" i="169"/>
  <c r="AI367" i="169"/>
  <c r="AI363" i="169"/>
  <c r="AI359" i="169"/>
  <c r="AI355" i="169"/>
  <c r="AI351" i="169"/>
  <c r="AI347" i="169"/>
  <c r="AI343" i="169"/>
  <c r="AI339" i="169"/>
  <c r="AI335" i="169"/>
  <c r="AI331" i="169"/>
  <c r="AI327" i="169"/>
  <c r="AI323" i="169"/>
  <c r="AI319" i="169"/>
  <c r="AI315" i="169"/>
  <c r="AI311" i="169"/>
  <c r="AI307" i="169"/>
  <c r="AI303" i="169"/>
  <c r="AI299" i="169"/>
  <c r="AI295" i="169"/>
  <c r="AI291" i="169"/>
  <c r="AI287" i="169"/>
  <c r="AI283" i="169"/>
  <c r="AI279" i="169"/>
  <c r="AI275" i="169"/>
  <c r="AI271" i="169"/>
  <c r="AI267" i="169"/>
  <c r="AI263" i="169"/>
  <c r="AI259" i="169"/>
  <c r="AI251" i="169"/>
  <c r="AI239" i="169"/>
  <c r="AI223" i="169"/>
  <c r="AI245" i="169"/>
  <c r="AJ245" i="169"/>
  <c r="AI241" i="169"/>
  <c r="AJ241" i="169"/>
  <c r="AI237" i="169"/>
  <c r="AJ237" i="169"/>
  <c r="AI233" i="169"/>
  <c r="AJ233" i="169"/>
  <c r="AI229" i="169"/>
  <c r="AJ229" i="169"/>
  <c r="AI225" i="169"/>
  <c r="AJ225" i="169"/>
  <c r="AI221" i="169"/>
  <c r="AJ221" i="169"/>
  <c r="AI217" i="169"/>
  <c r="AJ217" i="169"/>
  <c r="AI213" i="169"/>
  <c r="AJ213" i="169"/>
  <c r="AI209" i="169"/>
  <c r="AJ209" i="169"/>
  <c r="AI205" i="169"/>
  <c r="AJ205" i="169"/>
  <c r="AI201" i="169"/>
  <c r="AJ201" i="169"/>
  <c r="AI197" i="169"/>
  <c r="AJ197" i="169"/>
  <c r="AI193" i="169"/>
  <c r="AJ193" i="169"/>
  <c r="AI189" i="169"/>
  <c r="AJ189" i="169"/>
  <c r="AI185" i="169"/>
  <c r="AJ185" i="169"/>
  <c r="AI181" i="169"/>
  <c r="AJ181" i="169"/>
  <c r="AI177" i="169"/>
  <c r="AJ177" i="169"/>
  <c r="AI173" i="169"/>
  <c r="AJ173" i="169"/>
  <c r="AI169" i="169"/>
  <c r="AJ169" i="169"/>
  <c r="AI165" i="169"/>
  <c r="AJ165" i="169"/>
  <c r="AI161" i="169"/>
  <c r="AJ161" i="169"/>
  <c r="AI157" i="169"/>
  <c r="AJ157" i="169"/>
  <c r="AI153" i="169"/>
  <c r="AJ153" i="169"/>
  <c r="AI149" i="169"/>
  <c r="AJ149" i="169"/>
  <c r="AI145" i="169"/>
  <c r="AJ145" i="169"/>
  <c r="AI141" i="169"/>
  <c r="AJ141" i="169"/>
  <c r="AI137" i="169"/>
  <c r="AJ137" i="169"/>
  <c r="AI133" i="169"/>
  <c r="AJ133" i="169"/>
  <c r="AI129" i="169"/>
  <c r="AJ129" i="169"/>
  <c r="AI125" i="169"/>
  <c r="AJ125" i="169"/>
  <c r="AI121" i="169"/>
  <c r="AJ121" i="169"/>
  <c r="AI117" i="169"/>
  <c r="AJ117" i="169"/>
  <c r="AI113" i="169"/>
  <c r="AJ113" i="169"/>
  <c r="AI109" i="169"/>
  <c r="AJ109" i="169"/>
  <c r="AI105" i="169"/>
  <c r="AJ105" i="169"/>
  <c r="AI101" i="169"/>
  <c r="AJ101" i="169"/>
  <c r="AI97" i="169"/>
  <c r="AJ97" i="169"/>
  <c r="AI93" i="169"/>
  <c r="AJ93" i="169"/>
  <c r="AI89" i="169"/>
  <c r="AJ89" i="169"/>
  <c r="AI85" i="169"/>
  <c r="AJ85" i="169"/>
  <c r="AI81" i="169"/>
  <c r="AJ81" i="169"/>
  <c r="AI77" i="169"/>
  <c r="AJ77" i="169"/>
  <c r="AI73" i="169"/>
  <c r="AJ73" i="169"/>
  <c r="AI69" i="169"/>
  <c r="AJ69" i="169"/>
  <c r="AI65" i="169"/>
  <c r="AJ65" i="169"/>
  <c r="AI61" i="169"/>
  <c r="AJ61" i="169"/>
  <c r="AI57" i="169"/>
  <c r="AJ57" i="169"/>
  <c r="AI53" i="169"/>
  <c r="AJ53" i="169"/>
  <c r="AI49" i="169"/>
  <c r="AJ49" i="169"/>
  <c r="AI45" i="169"/>
  <c r="AJ45" i="169"/>
  <c r="AI41" i="169"/>
  <c r="AJ41" i="169"/>
  <c r="AI37" i="169"/>
  <c r="AJ37" i="169"/>
  <c r="AI33" i="169"/>
  <c r="AJ33" i="169"/>
  <c r="AI29" i="169"/>
  <c r="AJ29" i="169"/>
  <c r="AI25" i="169"/>
  <c r="AJ25" i="169"/>
  <c r="AI21" i="169"/>
  <c r="AJ21" i="169"/>
  <c r="AI17" i="169"/>
  <c r="AJ17" i="169"/>
  <c r="AI13" i="169"/>
  <c r="AJ13" i="169"/>
  <c r="AI9" i="169"/>
  <c r="AJ9" i="169"/>
  <c r="AI5" i="169"/>
  <c r="AJ5" i="169"/>
  <c r="AI498" i="169"/>
  <c r="AI494" i="169"/>
  <c r="AI490" i="169"/>
  <c r="AI486" i="169"/>
  <c r="AI482" i="169"/>
  <c r="AI478" i="169"/>
  <c r="AI474" i="169"/>
  <c r="AI470" i="169"/>
  <c r="AI466" i="169"/>
  <c r="AI462" i="169"/>
  <c r="AI458" i="169"/>
  <c r="AI454" i="169"/>
  <c r="AI450" i="169"/>
  <c r="AI446" i="169"/>
  <c r="AI442" i="169"/>
  <c r="AI438" i="169"/>
  <c r="AI434" i="169"/>
  <c r="AI430" i="169"/>
  <c r="AI426" i="169"/>
  <c r="AI422" i="169"/>
  <c r="AI418" i="169"/>
  <c r="AI414" i="169"/>
  <c r="AI410" i="169"/>
  <c r="AI406" i="169"/>
  <c r="AI402" i="169"/>
  <c r="AI398" i="169"/>
  <c r="AI394" i="169"/>
  <c r="AI390" i="169"/>
  <c r="AI386" i="169"/>
  <c r="AI382" i="169"/>
  <c r="AI378" i="169"/>
  <c r="AI374" i="169"/>
  <c r="AI370" i="169"/>
  <c r="AI366" i="169"/>
  <c r="AI362" i="169"/>
  <c r="AI358" i="169"/>
  <c r="AI354" i="169"/>
  <c r="AI350" i="169"/>
  <c r="AI346" i="169"/>
  <c r="AI342" i="169"/>
  <c r="AI338" i="169"/>
  <c r="AI334" i="169"/>
  <c r="AI330" i="169"/>
  <c r="AI326" i="169"/>
  <c r="AI322" i="169"/>
  <c r="AI318" i="169"/>
  <c r="AI314" i="169"/>
  <c r="AI310" i="169"/>
  <c r="AI306" i="169"/>
  <c r="AI302" i="169"/>
  <c r="AI298" i="169"/>
  <c r="AI294" i="169"/>
  <c r="AI290" i="169"/>
  <c r="AI286" i="169"/>
  <c r="AI282" i="169"/>
  <c r="AI278" i="169"/>
  <c r="AI274" i="169"/>
  <c r="AI270" i="169"/>
  <c r="AI266" i="169"/>
  <c r="AI262" i="169"/>
  <c r="AI257" i="169"/>
  <c r="AI249" i="169"/>
  <c r="AI235" i="169"/>
  <c r="AI219" i="169"/>
  <c r="AJ256" i="169"/>
  <c r="AI256" i="169"/>
  <c r="AJ252" i="169"/>
  <c r="AI252" i="169"/>
  <c r="AJ248" i="169"/>
  <c r="AI248" i="169"/>
  <c r="AJ244" i="169"/>
  <c r="AI244" i="169"/>
  <c r="AJ240" i="169"/>
  <c r="AI240" i="169"/>
  <c r="AJ236" i="169"/>
  <c r="AI236" i="169"/>
  <c r="AJ232" i="169"/>
  <c r="AI232" i="169"/>
  <c r="AJ228" i="169"/>
  <c r="AI228" i="169"/>
  <c r="AJ224" i="169"/>
  <c r="AI224" i="169"/>
  <c r="AJ220" i="169"/>
  <c r="AI220" i="169"/>
  <c r="AJ216" i="169"/>
  <c r="AI216" i="169"/>
  <c r="AJ212" i="169"/>
  <c r="AI212" i="169"/>
  <c r="AJ208" i="169"/>
  <c r="AI208" i="169"/>
  <c r="AJ204" i="169"/>
  <c r="AI204" i="169"/>
  <c r="AJ200" i="169"/>
  <c r="AI200" i="169"/>
  <c r="AJ196" i="169"/>
  <c r="AI196" i="169"/>
  <c r="AJ192" i="169"/>
  <c r="AI192" i="169"/>
  <c r="AJ188" i="169"/>
  <c r="AI188" i="169"/>
  <c r="AJ184" i="169"/>
  <c r="AI184" i="169"/>
  <c r="AJ180" i="169"/>
  <c r="AI180" i="169"/>
  <c r="AJ176" i="169"/>
  <c r="AI176" i="169"/>
  <c r="AJ172" i="169"/>
  <c r="AI172" i="169"/>
  <c r="AJ168" i="169"/>
  <c r="AI168" i="169"/>
  <c r="AJ164" i="169"/>
  <c r="AI164" i="169"/>
  <c r="AJ160" i="169"/>
  <c r="AI160" i="169"/>
  <c r="AJ156" i="169"/>
  <c r="AI156" i="169"/>
  <c r="AJ152" i="169"/>
  <c r="AI152" i="169"/>
  <c r="AJ148" i="169"/>
  <c r="AI148" i="169"/>
  <c r="AJ144" i="169"/>
  <c r="AI144" i="169"/>
  <c r="AJ140" i="169"/>
  <c r="AI140" i="169"/>
  <c r="AJ136" i="169"/>
  <c r="AI136" i="169"/>
  <c r="AJ132" i="169"/>
  <c r="AI132" i="169"/>
  <c r="AJ128" i="169"/>
  <c r="AI128" i="169"/>
  <c r="AJ124" i="169"/>
  <c r="AI124" i="169"/>
  <c r="AJ120" i="169"/>
  <c r="AI120" i="169"/>
  <c r="AJ116" i="169"/>
  <c r="AI116" i="169"/>
  <c r="AJ112" i="169"/>
  <c r="AI112" i="169"/>
  <c r="AJ108" i="169"/>
  <c r="AI108" i="169"/>
  <c r="AJ104" i="169"/>
  <c r="AI104" i="169"/>
  <c r="AJ100" i="169"/>
  <c r="AI100" i="169"/>
  <c r="AJ96" i="169"/>
  <c r="AI96" i="169"/>
  <c r="AJ92" i="169"/>
  <c r="AI92" i="169"/>
  <c r="AJ88" i="169"/>
  <c r="AI88" i="169"/>
  <c r="AJ84" i="169"/>
  <c r="AI84" i="169"/>
  <c r="AJ80" i="169"/>
  <c r="AI80" i="169"/>
  <c r="AJ76" i="169"/>
  <c r="AI76" i="169"/>
  <c r="AJ72" i="169"/>
  <c r="AI72" i="169"/>
  <c r="AJ68" i="169"/>
  <c r="AI68" i="169"/>
  <c r="AJ64" i="169"/>
  <c r="AI64" i="169"/>
  <c r="AJ60" i="169"/>
  <c r="AI60" i="169"/>
  <c r="AJ56" i="169"/>
  <c r="AI56" i="169"/>
  <c r="AJ52" i="169"/>
  <c r="AI52" i="169"/>
  <c r="AJ48" i="169"/>
  <c r="AI48" i="169"/>
  <c r="AJ44" i="169"/>
  <c r="AI44" i="169"/>
  <c r="AJ40" i="169"/>
  <c r="AI40" i="169"/>
  <c r="AJ36" i="169"/>
  <c r="AI36" i="169"/>
  <c r="AJ32" i="169"/>
  <c r="AI32" i="169"/>
  <c r="AJ28" i="169"/>
  <c r="AI28" i="169"/>
  <c r="AJ24" i="169"/>
  <c r="AI24" i="169"/>
  <c r="AJ20" i="169"/>
  <c r="AI20" i="169"/>
  <c r="AJ16" i="169"/>
  <c r="AI16" i="169"/>
  <c r="AJ12" i="169"/>
  <c r="AI12" i="169"/>
  <c r="AJ8" i="169"/>
  <c r="AI8" i="169"/>
  <c r="AJ4" i="169"/>
  <c r="AI4" i="169"/>
  <c r="AI501" i="169"/>
  <c r="AI497" i="169"/>
  <c r="AI493" i="169"/>
  <c r="AI489" i="169"/>
  <c r="AI485" i="169"/>
  <c r="AI481" i="169"/>
  <c r="AI477" i="169"/>
  <c r="AI473" i="169"/>
  <c r="AI469" i="169"/>
  <c r="AI465" i="169"/>
  <c r="AI461" i="169"/>
  <c r="AI457" i="169"/>
  <c r="AI453" i="169"/>
  <c r="AI449" i="169"/>
  <c r="AI445" i="169"/>
  <c r="AI441" i="169"/>
  <c r="AI437" i="169"/>
  <c r="AI433" i="169"/>
  <c r="AI429" i="169"/>
  <c r="AI425" i="169"/>
  <c r="AI421" i="169"/>
  <c r="AI417" i="169"/>
  <c r="AI413" i="169"/>
  <c r="AI409" i="169"/>
  <c r="AI405" i="169"/>
  <c r="AI401" i="169"/>
  <c r="AI397" i="169"/>
  <c r="AI393" i="169"/>
  <c r="AI389" i="169"/>
  <c r="AI385" i="169"/>
  <c r="AI381" i="169"/>
  <c r="AI377" i="169"/>
  <c r="AI373" i="169"/>
  <c r="AI369" i="169"/>
  <c r="AI365" i="169"/>
  <c r="AI361" i="169"/>
  <c r="AI357" i="169"/>
  <c r="AI353" i="169"/>
  <c r="AI349" i="169"/>
  <c r="AI345" i="169"/>
  <c r="AI341" i="169"/>
  <c r="AI337" i="169"/>
  <c r="AI333" i="169"/>
  <c r="AI329" i="169"/>
  <c r="AI325" i="169"/>
  <c r="AI321" i="169"/>
  <c r="AI317" i="169"/>
  <c r="AI313" i="169"/>
  <c r="AI309" i="169"/>
  <c r="AI305" i="169"/>
  <c r="AI301" i="169"/>
  <c r="AI297" i="169"/>
  <c r="AI293" i="169"/>
  <c r="AI289" i="169"/>
  <c r="AI285" i="169"/>
  <c r="AI281" i="169"/>
  <c r="AI277" i="169"/>
  <c r="AI273" i="169"/>
  <c r="AI269" i="169"/>
  <c r="AI265" i="169"/>
  <c r="AI261" i="169"/>
  <c r="AI255" i="169"/>
  <c r="AI247" i="169"/>
  <c r="AI231" i="169"/>
  <c r="AI215" i="169"/>
  <c r="U261" i="169"/>
  <c r="U479" i="169"/>
  <c r="AQ479" i="169" s="1"/>
  <c r="S407" i="169"/>
  <c r="AP407" i="169" s="1"/>
  <c r="V407" i="169"/>
  <c r="AR407" i="169" s="1"/>
  <c r="X407" i="169"/>
  <c r="AF407" i="169" s="1"/>
  <c r="V317" i="169"/>
  <c r="AR317" i="169" s="1"/>
  <c r="X317" i="169"/>
  <c r="AF317" i="169" s="1"/>
  <c r="S317" i="169"/>
  <c r="AP317" i="169" s="1"/>
  <c r="V225" i="169"/>
  <c r="AR225" i="169" s="1"/>
  <c r="X225" i="169"/>
  <c r="AF225" i="169" s="1"/>
  <c r="S225" i="169"/>
  <c r="AP225" i="169" s="1"/>
  <c r="U226" i="169"/>
  <c r="AQ226" i="169" s="1"/>
  <c r="U227" i="169"/>
  <c r="AQ227" i="169" s="1"/>
  <c r="V163" i="169"/>
  <c r="AR163" i="169" s="1"/>
  <c r="X163" i="169"/>
  <c r="AF163" i="169" s="1"/>
  <c r="S163" i="169"/>
  <c r="AP163" i="169" s="1"/>
  <c r="V164" i="169"/>
  <c r="AR164" i="169" s="1"/>
  <c r="X164" i="169"/>
  <c r="AF164" i="169" s="1"/>
  <c r="S164" i="169"/>
  <c r="AP164" i="169" s="1"/>
  <c r="V147" i="169"/>
  <c r="AR147" i="169" s="1"/>
  <c r="X147" i="169"/>
  <c r="AF147" i="169" s="1"/>
  <c r="S147" i="169"/>
  <c r="AP147" i="169" s="1"/>
  <c r="A131" i="169"/>
  <c r="B131" i="169"/>
  <c r="D131" i="169"/>
  <c r="E131" i="169" s="1"/>
  <c r="F131" i="169"/>
  <c r="J131" i="169"/>
  <c r="AK131" i="169" s="1"/>
  <c r="K131" i="169"/>
  <c r="AL131" i="169" s="1"/>
  <c r="L131" i="169"/>
  <c r="AM131" i="169" s="1"/>
  <c r="O131" i="169"/>
  <c r="AO131" i="169" s="1"/>
  <c r="P131" i="169"/>
  <c r="Q131" i="169"/>
  <c r="U131" i="169" s="1"/>
  <c r="AQ131" i="169" s="1"/>
  <c r="W131" i="169"/>
  <c r="A132" i="169"/>
  <c r="B132" i="169"/>
  <c r="D132" i="169"/>
  <c r="E132" i="169" s="1"/>
  <c r="F132" i="169"/>
  <c r="J132" i="169"/>
  <c r="AK132" i="169" s="1"/>
  <c r="K132" i="169"/>
  <c r="AL132" i="169" s="1"/>
  <c r="L132" i="169"/>
  <c r="AM132" i="169" s="1"/>
  <c r="O132" i="169"/>
  <c r="AO132" i="169" s="1"/>
  <c r="P132" i="169"/>
  <c r="Q132" i="169"/>
  <c r="U132" i="169" s="1"/>
  <c r="AQ132" i="169" s="1"/>
  <c r="W132" i="169"/>
  <c r="A129" i="169"/>
  <c r="B129" i="169"/>
  <c r="D129" i="169"/>
  <c r="E129" i="169" s="1"/>
  <c r="F129" i="169"/>
  <c r="J129" i="169"/>
  <c r="AK129" i="169" s="1"/>
  <c r="K129" i="169"/>
  <c r="AL129" i="169" s="1"/>
  <c r="L129" i="169"/>
  <c r="AM129" i="169" s="1"/>
  <c r="O129" i="169"/>
  <c r="AO129" i="169" s="1"/>
  <c r="P129" i="169"/>
  <c r="Q129" i="169"/>
  <c r="U129" i="169" s="1"/>
  <c r="AQ129" i="169" s="1"/>
  <c r="W129" i="169"/>
  <c r="A125" i="169"/>
  <c r="B125" i="169"/>
  <c r="D125" i="169"/>
  <c r="E125" i="169" s="1"/>
  <c r="F125" i="169"/>
  <c r="J125" i="169"/>
  <c r="AK125" i="169" s="1"/>
  <c r="K125" i="169"/>
  <c r="AL125" i="169" s="1"/>
  <c r="L125" i="169"/>
  <c r="AM125" i="169" s="1"/>
  <c r="O125" i="169"/>
  <c r="AO125" i="169" s="1"/>
  <c r="P125" i="169"/>
  <c r="Q125" i="169"/>
  <c r="U125" i="169" s="1"/>
  <c r="AQ125" i="169" s="1"/>
  <c r="W125" i="169"/>
  <c r="AB25" i="172" l="1"/>
  <c r="AB27" i="172"/>
  <c r="AB26" i="172"/>
  <c r="S18" i="172"/>
  <c r="T32" i="172"/>
  <c r="T33" i="172" s="1"/>
  <c r="T83" i="172"/>
  <c r="T84" i="172" s="1"/>
  <c r="S69" i="172"/>
  <c r="X261" i="169"/>
  <c r="AF261" i="169" s="1"/>
  <c r="AQ261" i="169"/>
  <c r="V261" i="169"/>
  <c r="AR261" i="169" s="1"/>
  <c r="V479" i="169"/>
  <c r="AR479" i="169" s="1"/>
  <c r="X479" i="169"/>
  <c r="AF479" i="169" s="1"/>
  <c r="V226" i="169"/>
  <c r="AR226" i="169" s="1"/>
  <c r="X226" i="169"/>
  <c r="AF226" i="169" s="1"/>
  <c r="V227" i="169"/>
  <c r="AR227" i="169" s="1"/>
  <c r="X227" i="169"/>
  <c r="AF227" i="169" s="1"/>
  <c r="V131" i="169"/>
  <c r="AR131" i="169" s="1"/>
  <c r="X131" i="169"/>
  <c r="AF131" i="169" s="1"/>
  <c r="S131" i="169"/>
  <c r="AP131" i="169" s="1"/>
  <c r="V132" i="169"/>
  <c r="AR132" i="169" s="1"/>
  <c r="X132" i="169"/>
  <c r="AF132" i="169" s="1"/>
  <c r="S132" i="169"/>
  <c r="AP132" i="169" s="1"/>
  <c r="X129" i="169"/>
  <c r="AF129" i="169" s="1"/>
  <c r="V129" i="169"/>
  <c r="AR129" i="169" s="1"/>
  <c r="S129" i="169"/>
  <c r="AP129" i="169" s="1"/>
  <c r="S125" i="169"/>
  <c r="AP125" i="169" s="1"/>
  <c r="V125" i="169"/>
  <c r="AR125" i="169" s="1"/>
  <c r="X125" i="169"/>
  <c r="AF125" i="169" s="1"/>
  <c r="A500" i="169"/>
  <c r="B500" i="169"/>
  <c r="D500" i="169"/>
  <c r="E500" i="169" s="1"/>
  <c r="F500" i="169"/>
  <c r="J500" i="169"/>
  <c r="AK500" i="169" s="1"/>
  <c r="K500" i="169"/>
  <c r="AL500" i="169" s="1"/>
  <c r="L500" i="169"/>
  <c r="AM500" i="169" s="1"/>
  <c r="O500" i="169"/>
  <c r="AO500" i="169" s="1"/>
  <c r="P500" i="169"/>
  <c r="Q500" i="169"/>
  <c r="U500" i="169" s="1"/>
  <c r="AQ500" i="169" s="1"/>
  <c r="W500" i="169"/>
  <c r="A486" i="169"/>
  <c r="B486" i="169"/>
  <c r="D486" i="169"/>
  <c r="E486" i="169" s="1"/>
  <c r="F486" i="169"/>
  <c r="J486" i="169"/>
  <c r="AK486" i="169" s="1"/>
  <c r="K486" i="169"/>
  <c r="AL486" i="169" s="1"/>
  <c r="L486" i="169"/>
  <c r="AM486" i="169" s="1"/>
  <c r="O486" i="169"/>
  <c r="AO486" i="169" s="1"/>
  <c r="P486" i="169"/>
  <c r="Q486" i="169"/>
  <c r="U486" i="169" s="1"/>
  <c r="AQ486" i="169" s="1"/>
  <c r="W486" i="169"/>
  <c r="A482" i="169"/>
  <c r="B482" i="169"/>
  <c r="D482" i="169"/>
  <c r="E482" i="169" s="1"/>
  <c r="F482" i="169"/>
  <c r="J482" i="169"/>
  <c r="AK482" i="169" s="1"/>
  <c r="K482" i="169"/>
  <c r="AL482" i="169" s="1"/>
  <c r="L482" i="169"/>
  <c r="AM482" i="169" s="1"/>
  <c r="O482" i="169"/>
  <c r="AO482" i="169" s="1"/>
  <c r="P482" i="169"/>
  <c r="Q482" i="169"/>
  <c r="U482" i="169" s="1"/>
  <c r="AQ482" i="169" s="1"/>
  <c r="W482" i="169"/>
  <c r="A483" i="169"/>
  <c r="B483" i="169"/>
  <c r="D483" i="169"/>
  <c r="E483" i="169" s="1"/>
  <c r="F483" i="169"/>
  <c r="J483" i="169"/>
  <c r="AK483" i="169" s="1"/>
  <c r="K483" i="169"/>
  <c r="AL483" i="169" s="1"/>
  <c r="L483" i="169"/>
  <c r="AM483" i="169" s="1"/>
  <c r="O483" i="169"/>
  <c r="AO483" i="169" s="1"/>
  <c r="P483" i="169"/>
  <c r="Q483" i="169"/>
  <c r="U483" i="169" s="1"/>
  <c r="AQ483" i="169" s="1"/>
  <c r="W483" i="169"/>
  <c r="A484" i="169"/>
  <c r="B484" i="169"/>
  <c r="D484" i="169"/>
  <c r="E484" i="169" s="1"/>
  <c r="F484" i="169"/>
  <c r="J484" i="169"/>
  <c r="AK484" i="169" s="1"/>
  <c r="K484" i="169"/>
  <c r="AL484" i="169" s="1"/>
  <c r="L484" i="169"/>
  <c r="AM484" i="169" s="1"/>
  <c r="O484" i="169"/>
  <c r="AO484" i="169" s="1"/>
  <c r="P484" i="169"/>
  <c r="Q484" i="169"/>
  <c r="U484" i="169" s="1"/>
  <c r="AQ484" i="169" s="1"/>
  <c r="W484" i="169"/>
  <c r="A485" i="169"/>
  <c r="B485" i="169"/>
  <c r="D485" i="169"/>
  <c r="E485" i="169" s="1"/>
  <c r="F485" i="169"/>
  <c r="J485" i="169"/>
  <c r="AK485" i="169" s="1"/>
  <c r="K485" i="169"/>
  <c r="AL485" i="169" s="1"/>
  <c r="L485" i="169"/>
  <c r="AM485" i="169" s="1"/>
  <c r="O485" i="169"/>
  <c r="AO485" i="169" s="1"/>
  <c r="P485" i="169"/>
  <c r="Q485" i="169"/>
  <c r="S485" i="169" s="1"/>
  <c r="AP485" i="169" s="1"/>
  <c r="W485" i="169"/>
  <c r="A487" i="169"/>
  <c r="B487" i="169"/>
  <c r="D487" i="169"/>
  <c r="E487" i="169" s="1"/>
  <c r="F487" i="169"/>
  <c r="J487" i="169"/>
  <c r="AK487" i="169" s="1"/>
  <c r="K487" i="169"/>
  <c r="AL487" i="169" s="1"/>
  <c r="L487" i="169"/>
  <c r="AM487" i="169" s="1"/>
  <c r="O487" i="169"/>
  <c r="AO487" i="169" s="1"/>
  <c r="P487" i="169"/>
  <c r="Q487" i="169"/>
  <c r="U487" i="169" s="1"/>
  <c r="AQ487" i="169" s="1"/>
  <c r="W487" i="169"/>
  <c r="A488" i="169"/>
  <c r="B488" i="169"/>
  <c r="D488" i="169"/>
  <c r="E488" i="169" s="1"/>
  <c r="F488" i="169"/>
  <c r="J488" i="169"/>
  <c r="AK488" i="169" s="1"/>
  <c r="K488" i="169"/>
  <c r="AL488" i="169" s="1"/>
  <c r="L488" i="169"/>
  <c r="AM488" i="169" s="1"/>
  <c r="O488" i="169"/>
  <c r="AO488" i="169" s="1"/>
  <c r="P488" i="169"/>
  <c r="Q488" i="169"/>
  <c r="S488" i="169" s="1"/>
  <c r="AP488" i="169" s="1"/>
  <c r="W488" i="169"/>
  <c r="A489" i="169"/>
  <c r="B489" i="169"/>
  <c r="D489" i="169"/>
  <c r="E489" i="169" s="1"/>
  <c r="F489" i="169"/>
  <c r="J489" i="169"/>
  <c r="AK489" i="169" s="1"/>
  <c r="K489" i="169"/>
  <c r="AL489" i="169" s="1"/>
  <c r="L489" i="169"/>
  <c r="AM489" i="169" s="1"/>
  <c r="O489" i="169"/>
  <c r="AO489" i="169" s="1"/>
  <c r="P489" i="169"/>
  <c r="Q489" i="169"/>
  <c r="U489" i="169" s="1"/>
  <c r="AQ489" i="169" s="1"/>
  <c r="W489" i="169"/>
  <c r="A490" i="169"/>
  <c r="B490" i="169"/>
  <c r="D490" i="169"/>
  <c r="E490" i="169" s="1"/>
  <c r="F490" i="169"/>
  <c r="J490" i="169"/>
  <c r="AK490" i="169" s="1"/>
  <c r="K490" i="169"/>
  <c r="AL490" i="169" s="1"/>
  <c r="L490" i="169"/>
  <c r="AM490" i="169" s="1"/>
  <c r="O490" i="169"/>
  <c r="AO490" i="169" s="1"/>
  <c r="P490" i="169"/>
  <c r="Q490" i="169"/>
  <c r="S490" i="169" s="1"/>
  <c r="AP490" i="169" s="1"/>
  <c r="W490" i="169"/>
  <c r="A491" i="169"/>
  <c r="B491" i="169"/>
  <c r="D491" i="169"/>
  <c r="E491" i="169" s="1"/>
  <c r="F491" i="169"/>
  <c r="J491" i="169"/>
  <c r="AK491" i="169" s="1"/>
  <c r="K491" i="169"/>
  <c r="AL491" i="169" s="1"/>
  <c r="L491" i="169"/>
  <c r="AM491" i="169" s="1"/>
  <c r="O491" i="169"/>
  <c r="AO491" i="169" s="1"/>
  <c r="P491" i="169"/>
  <c r="Q491" i="169"/>
  <c r="U491" i="169" s="1"/>
  <c r="AQ491" i="169" s="1"/>
  <c r="W491" i="169"/>
  <c r="A492" i="169"/>
  <c r="B492" i="169"/>
  <c r="D492" i="169"/>
  <c r="E492" i="169" s="1"/>
  <c r="F492" i="169"/>
  <c r="J492" i="169"/>
  <c r="AK492" i="169" s="1"/>
  <c r="K492" i="169"/>
  <c r="AL492" i="169" s="1"/>
  <c r="L492" i="169"/>
  <c r="AM492" i="169" s="1"/>
  <c r="O492" i="169"/>
  <c r="AO492" i="169" s="1"/>
  <c r="P492" i="169"/>
  <c r="Q492" i="169"/>
  <c r="S492" i="169" s="1"/>
  <c r="AP492" i="169" s="1"/>
  <c r="W492" i="169"/>
  <c r="A493" i="169"/>
  <c r="B493" i="169"/>
  <c r="D493" i="169"/>
  <c r="E493" i="169" s="1"/>
  <c r="F493" i="169"/>
  <c r="J493" i="169"/>
  <c r="AK493" i="169" s="1"/>
  <c r="K493" i="169"/>
  <c r="AL493" i="169" s="1"/>
  <c r="L493" i="169"/>
  <c r="AM493" i="169" s="1"/>
  <c r="O493" i="169"/>
  <c r="AO493" i="169" s="1"/>
  <c r="P493" i="169"/>
  <c r="Q493" i="169"/>
  <c r="U493" i="169" s="1"/>
  <c r="AQ493" i="169" s="1"/>
  <c r="W493" i="169"/>
  <c r="A494" i="169"/>
  <c r="B494" i="169"/>
  <c r="D494" i="169"/>
  <c r="E494" i="169" s="1"/>
  <c r="F494" i="169"/>
  <c r="J494" i="169"/>
  <c r="AK494" i="169" s="1"/>
  <c r="K494" i="169"/>
  <c r="AL494" i="169" s="1"/>
  <c r="L494" i="169"/>
  <c r="AM494" i="169" s="1"/>
  <c r="O494" i="169"/>
  <c r="AO494" i="169" s="1"/>
  <c r="P494" i="169"/>
  <c r="Q494" i="169"/>
  <c r="S494" i="169" s="1"/>
  <c r="AP494" i="169" s="1"/>
  <c r="W494" i="169"/>
  <c r="A495" i="169"/>
  <c r="B495" i="169"/>
  <c r="D495" i="169"/>
  <c r="E495" i="169" s="1"/>
  <c r="F495" i="169"/>
  <c r="J495" i="169"/>
  <c r="AK495" i="169" s="1"/>
  <c r="K495" i="169"/>
  <c r="AL495" i="169" s="1"/>
  <c r="L495" i="169"/>
  <c r="AM495" i="169" s="1"/>
  <c r="O495" i="169"/>
  <c r="AO495" i="169" s="1"/>
  <c r="P495" i="169"/>
  <c r="Q495" i="169"/>
  <c r="U495" i="169" s="1"/>
  <c r="AQ495" i="169" s="1"/>
  <c r="W495" i="169"/>
  <c r="A496" i="169"/>
  <c r="B496" i="169"/>
  <c r="D496" i="169"/>
  <c r="E496" i="169" s="1"/>
  <c r="F496" i="169"/>
  <c r="J496" i="169"/>
  <c r="AK496" i="169" s="1"/>
  <c r="K496" i="169"/>
  <c r="AL496" i="169" s="1"/>
  <c r="L496" i="169"/>
  <c r="AM496" i="169" s="1"/>
  <c r="O496" i="169"/>
  <c r="AO496" i="169" s="1"/>
  <c r="P496" i="169"/>
  <c r="Q496" i="169"/>
  <c r="U496" i="169" s="1"/>
  <c r="AQ496" i="169" s="1"/>
  <c r="W496" i="169"/>
  <c r="A497" i="169"/>
  <c r="B497" i="169"/>
  <c r="D497" i="169"/>
  <c r="E497" i="169" s="1"/>
  <c r="F497" i="169"/>
  <c r="J497" i="169"/>
  <c r="AK497" i="169" s="1"/>
  <c r="K497" i="169"/>
  <c r="AL497" i="169" s="1"/>
  <c r="L497" i="169"/>
  <c r="AM497" i="169" s="1"/>
  <c r="O497" i="169"/>
  <c r="AO497" i="169" s="1"/>
  <c r="P497" i="169"/>
  <c r="Q497" i="169"/>
  <c r="U497" i="169" s="1"/>
  <c r="AQ497" i="169" s="1"/>
  <c r="W497" i="169"/>
  <c r="A498" i="169"/>
  <c r="B498" i="169"/>
  <c r="D498" i="169"/>
  <c r="E498" i="169" s="1"/>
  <c r="F498" i="169"/>
  <c r="J498" i="169"/>
  <c r="AK498" i="169" s="1"/>
  <c r="K498" i="169"/>
  <c r="AL498" i="169" s="1"/>
  <c r="L498" i="169"/>
  <c r="AM498" i="169" s="1"/>
  <c r="O498" i="169"/>
  <c r="AO498" i="169" s="1"/>
  <c r="P498" i="169"/>
  <c r="Q498" i="169"/>
  <c r="S498" i="169" s="1"/>
  <c r="AP498" i="169" s="1"/>
  <c r="W498" i="169"/>
  <c r="A499" i="169"/>
  <c r="B499" i="169"/>
  <c r="D499" i="169"/>
  <c r="E499" i="169" s="1"/>
  <c r="F499" i="169"/>
  <c r="J499" i="169"/>
  <c r="AK499" i="169" s="1"/>
  <c r="K499" i="169"/>
  <c r="AL499" i="169" s="1"/>
  <c r="L499" i="169"/>
  <c r="AM499" i="169" s="1"/>
  <c r="O499" i="169"/>
  <c r="AO499" i="169" s="1"/>
  <c r="P499" i="169"/>
  <c r="Q499" i="169"/>
  <c r="U499" i="169" s="1"/>
  <c r="AQ499" i="169" s="1"/>
  <c r="W499" i="169"/>
  <c r="A501" i="169"/>
  <c r="B501" i="169"/>
  <c r="D501" i="169"/>
  <c r="E501" i="169" s="1"/>
  <c r="F501" i="169"/>
  <c r="J501" i="169"/>
  <c r="AK501" i="169" s="1"/>
  <c r="K501" i="169"/>
  <c r="AL501" i="169" s="1"/>
  <c r="L501" i="169"/>
  <c r="AM501" i="169" s="1"/>
  <c r="O501" i="169"/>
  <c r="AO501" i="169" s="1"/>
  <c r="P501" i="169"/>
  <c r="Q501" i="169"/>
  <c r="U501" i="169" s="1"/>
  <c r="AQ501" i="169" s="1"/>
  <c r="W501" i="169"/>
  <c r="A502" i="169"/>
  <c r="B502" i="169"/>
  <c r="D502" i="169"/>
  <c r="E502" i="169" s="1"/>
  <c r="F502" i="169"/>
  <c r="J502" i="169"/>
  <c r="AK502" i="169" s="1"/>
  <c r="K502" i="169"/>
  <c r="AL502" i="169" s="1"/>
  <c r="L502" i="169"/>
  <c r="AM502" i="169" s="1"/>
  <c r="O502" i="169"/>
  <c r="AO502" i="169" s="1"/>
  <c r="P502" i="169"/>
  <c r="Q502" i="169"/>
  <c r="U502" i="169" s="1"/>
  <c r="AQ502" i="169" s="1"/>
  <c r="W502" i="169"/>
  <c r="A503" i="169"/>
  <c r="B503" i="169"/>
  <c r="D503" i="169"/>
  <c r="E503" i="169" s="1"/>
  <c r="F503" i="169"/>
  <c r="J503" i="169"/>
  <c r="AK503" i="169" s="1"/>
  <c r="K503" i="169"/>
  <c r="AL503" i="169" s="1"/>
  <c r="L503" i="169"/>
  <c r="AM503" i="169" s="1"/>
  <c r="O503" i="169"/>
  <c r="AO503" i="169" s="1"/>
  <c r="P503" i="169"/>
  <c r="Q503" i="169"/>
  <c r="U503" i="169" s="1"/>
  <c r="AQ503" i="169" s="1"/>
  <c r="W503" i="169"/>
  <c r="A504" i="169"/>
  <c r="B504" i="169"/>
  <c r="D504" i="169"/>
  <c r="E504" i="169" s="1"/>
  <c r="F504" i="169"/>
  <c r="J504" i="169"/>
  <c r="AK504" i="169" s="1"/>
  <c r="K504" i="169"/>
  <c r="AL504" i="169" s="1"/>
  <c r="L504" i="169"/>
  <c r="AM504" i="169" s="1"/>
  <c r="O504" i="169"/>
  <c r="AO504" i="169" s="1"/>
  <c r="P504" i="169"/>
  <c r="Q504" i="169"/>
  <c r="U504" i="169" s="1"/>
  <c r="AQ504" i="169" s="1"/>
  <c r="W504" i="169"/>
  <c r="A505" i="169"/>
  <c r="B505" i="169"/>
  <c r="D505" i="169"/>
  <c r="E505" i="169" s="1"/>
  <c r="F505" i="169"/>
  <c r="J505" i="169"/>
  <c r="AK505" i="169" s="1"/>
  <c r="K505" i="169"/>
  <c r="AL505" i="169" s="1"/>
  <c r="L505" i="169"/>
  <c r="AM505" i="169" s="1"/>
  <c r="O505" i="169"/>
  <c r="AO505" i="169" s="1"/>
  <c r="P505" i="169"/>
  <c r="Q505" i="169"/>
  <c r="S505" i="169" s="1"/>
  <c r="W505" i="169"/>
  <c r="A506" i="169"/>
  <c r="B506" i="169"/>
  <c r="D506" i="169"/>
  <c r="E506" i="169" s="1"/>
  <c r="F506" i="169"/>
  <c r="J506" i="169"/>
  <c r="AK506" i="169" s="1"/>
  <c r="K506" i="169"/>
  <c r="AL506" i="169" s="1"/>
  <c r="L506" i="169"/>
  <c r="AM506" i="169" s="1"/>
  <c r="O506" i="169"/>
  <c r="AO506" i="169" s="1"/>
  <c r="P506" i="169"/>
  <c r="Q506" i="169"/>
  <c r="U506" i="169" s="1"/>
  <c r="AQ506" i="169" s="1"/>
  <c r="W506" i="169"/>
  <c r="A507" i="169"/>
  <c r="B507" i="169"/>
  <c r="D507" i="169"/>
  <c r="E507" i="169" s="1"/>
  <c r="F507" i="169"/>
  <c r="J507" i="169"/>
  <c r="AK507" i="169" s="1"/>
  <c r="K507" i="169"/>
  <c r="AL507" i="169" s="1"/>
  <c r="L507" i="169"/>
  <c r="AM507" i="169" s="1"/>
  <c r="O507" i="169"/>
  <c r="AO507" i="169" s="1"/>
  <c r="P507" i="169"/>
  <c r="Q507" i="169"/>
  <c r="S507" i="169" s="1"/>
  <c r="W507" i="169"/>
  <c r="A508" i="169"/>
  <c r="B508" i="169"/>
  <c r="D508" i="169"/>
  <c r="E508" i="169" s="1"/>
  <c r="F508" i="169"/>
  <c r="J508" i="169"/>
  <c r="AK508" i="169" s="1"/>
  <c r="K508" i="169"/>
  <c r="AL508" i="169" s="1"/>
  <c r="L508" i="169"/>
  <c r="AM508" i="169" s="1"/>
  <c r="O508" i="169"/>
  <c r="AO508" i="169" s="1"/>
  <c r="P508" i="169"/>
  <c r="Q508" i="169"/>
  <c r="U508" i="169" s="1"/>
  <c r="AQ508" i="169" s="1"/>
  <c r="W508" i="169"/>
  <c r="A509" i="169"/>
  <c r="B509" i="169"/>
  <c r="D509" i="169"/>
  <c r="E509" i="169" s="1"/>
  <c r="F509" i="169"/>
  <c r="J509" i="169"/>
  <c r="AK509" i="169" s="1"/>
  <c r="K509" i="169"/>
  <c r="AL509" i="169" s="1"/>
  <c r="L509" i="169"/>
  <c r="AM509" i="169" s="1"/>
  <c r="O509" i="169"/>
  <c r="AO509" i="169" s="1"/>
  <c r="P509" i="169"/>
  <c r="Q509" i="169"/>
  <c r="S509" i="169" s="1"/>
  <c r="W509" i="169"/>
  <c r="A510" i="169"/>
  <c r="B510" i="169"/>
  <c r="D510" i="169"/>
  <c r="E510" i="169" s="1"/>
  <c r="F510" i="169"/>
  <c r="J510" i="169"/>
  <c r="AK510" i="169" s="1"/>
  <c r="K510" i="169"/>
  <c r="AL510" i="169" s="1"/>
  <c r="L510" i="169"/>
  <c r="AM510" i="169" s="1"/>
  <c r="O510" i="169"/>
  <c r="AO510" i="169" s="1"/>
  <c r="P510" i="169"/>
  <c r="Q510" i="169"/>
  <c r="S510" i="169" s="1"/>
  <c r="W510" i="169"/>
  <c r="A511" i="169"/>
  <c r="B511" i="169"/>
  <c r="D511" i="169"/>
  <c r="E511" i="169" s="1"/>
  <c r="F511" i="169"/>
  <c r="J511" i="169"/>
  <c r="AK511" i="169" s="1"/>
  <c r="K511" i="169"/>
  <c r="AL511" i="169" s="1"/>
  <c r="L511" i="169"/>
  <c r="AM511" i="169" s="1"/>
  <c r="O511" i="169"/>
  <c r="AO511" i="169" s="1"/>
  <c r="P511" i="169"/>
  <c r="Q511" i="169"/>
  <c r="S511" i="169" s="1"/>
  <c r="W511" i="169"/>
  <c r="A512" i="169"/>
  <c r="B512" i="169"/>
  <c r="D512" i="169"/>
  <c r="E512" i="169" s="1"/>
  <c r="F512" i="169"/>
  <c r="J512" i="169"/>
  <c r="AK512" i="169" s="1"/>
  <c r="K512" i="169"/>
  <c r="AL512" i="169" s="1"/>
  <c r="L512" i="169"/>
  <c r="AM512" i="169" s="1"/>
  <c r="O512" i="169"/>
  <c r="AO512" i="169" s="1"/>
  <c r="P512" i="169"/>
  <c r="Q512" i="169"/>
  <c r="U512" i="169" s="1"/>
  <c r="AQ512" i="169" s="1"/>
  <c r="W512" i="169"/>
  <c r="A513" i="169"/>
  <c r="B513" i="169"/>
  <c r="D513" i="169"/>
  <c r="E513" i="169" s="1"/>
  <c r="F513" i="169"/>
  <c r="J513" i="169"/>
  <c r="AK513" i="169" s="1"/>
  <c r="K513" i="169"/>
  <c r="AL513" i="169" s="1"/>
  <c r="L513" i="169"/>
  <c r="AM513" i="169" s="1"/>
  <c r="O513" i="169"/>
  <c r="AO513" i="169" s="1"/>
  <c r="P513" i="169"/>
  <c r="Q513" i="169"/>
  <c r="U513" i="169" s="1"/>
  <c r="AQ513" i="169" s="1"/>
  <c r="W513" i="169"/>
  <c r="A471" i="169"/>
  <c r="B471" i="169"/>
  <c r="D471" i="169"/>
  <c r="E471" i="169" s="1"/>
  <c r="F471" i="169"/>
  <c r="J471" i="169"/>
  <c r="AK471" i="169" s="1"/>
  <c r="K471" i="169"/>
  <c r="AL471" i="169" s="1"/>
  <c r="L471" i="169"/>
  <c r="AM471" i="169" s="1"/>
  <c r="O471" i="169"/>
  <c r="AO471" i="169" s="1"/>
  <c r="P471" i="169"/>
  <c r="Q471" i="169"/>
  <c r="U471" i="169" s="1"/>
  <c r="AQ471" i="169" s="1"/>
  <c r="W471" i="169"/>
  <c r="A472" i="169"/>
  <c r="B472" i="169"/>
  <c r="D472" i="169"/>
  <c r="E472" i="169" s="1"/>
  <c r="F472" i="169"/>
  <c r="J472" i="169"/>
  <c r="AK472" i="169" s="1"/>
  <c r="K472" i="169"/>
  <c r="AL472" i="169" s="1"/>
  <c r="L472" i="169"/>
  <c r="AM472" i="169" s="1"/>
  <c r="O472" i="169"/>
  <c r="AO472" i="169" s="1"/>
  <c r="P472" i="169"/>
  <c r="Q472" i="169"/>
  <c r="U472" i="169" s="1"/>
  <c r="AQ472" i="169" s="1"/>
  <c r="W472" i="169"/>
  <c r="A473" i="169"/>
  <c r="B473" i="169"/>
  <c r="D473" i="169"/>
  <c r="E473" i="169" s="1"/>
  <c r="F473" i="169"/>
  <c r="J473" i="169"/>
  <c r="AK473" i="169" s="1"/>
  <c r="K473" i="169"/>
  <c r="AL473" i="169" s="1"/>
  <c r="L473" i="169"/>
  <c r="AM473" i="169" s="1"/>
  <c r="O473" i="169"/>
  <c r="AO473" i="169" s="1"/>
  <c r="P473" i="169"/>
  <c r="Q473" i="169"/>
  <c r="U473" i="169" s="1"/>
  <c r="AQ473" i="169" s="1"/>
  <c r="W473" i="169"/>
  <c r="A474" i="169"/>
  <c r="B474" i="169"/>
  <c r="D474" i="169"/>
  <c r="E474" i="169" s="1"/>
  <c r="F474" i="169"/>
  <c r="J474" i="169"/>
  <c r="AK474" i="169" s="1"/>
  <c r="K474" i="169"/>
  <c r="AL474" i="169" s="1"/>
  <c r="L474" i="169"/>
  <c r="AM474" i="169" s="1"/>
  <c r="O474" i="169"/>
  <c r="AO474" i="169" s="1"/>
  <c r="P474" i="169"/>
  <c r="Q474" i="169"/>
  <c r="U474" i="169" s="1"/>
  <c r="AQ474" i="169" s="1"/>
  <c r="W474" i="169"/>
  <c r="A475" i="169"/>
  <c r="B475" i="169"/>
  <c r="D475" i="169"/>
  <c r="E475" i="169" s="1"/>
  <c r="F475" i="169"/>
  <c r="J475" i="169"/>
  <c r="AK475" i="169" s="1"/>
  <c r="K475" i="169"/>
  <c r="AL475" i="169" s="1"/>
  <c r="L475" i="169"/>
  <c r="AM475" i="169" s="1"/>
  <c r="O475" i="169"/>
  <c r="AO475" i="169" s="1"/>
  <c r="P475" i="169"/>
  <c r="Q475" i="169"/>
  <c r="U475" i="169" s="1"/>
  <c r="AQ475" i="169" s="1"/>
  <c r="W475" i="169"/>
  <c r="A476" i="169"/>
  <c r="B476" i="169"/>
  <c r="D476" i="169"/>
  <c r="E476" i="169" s="1"/>
  <c r="F476" i="169"/>
  <c r="J476" i="169"/>
  <c r="AK476" i="169" s="1"/>
  <c r="K476" i="169"/>
  <c r="AL476" i="169" s="1"/>
  <c r="L476" i="169"/>
  <c r="AM476" i="169" s="1"/>
  <c r="O476" i="169"/>
  <c r="AO476" i="169" s="1"/>
  <c r="P476" i="169"/>
  <c r="Q476" i="169"/>
  <c r="S476" i="169" s="1"/>
  <c r="AP476" i="169" s="1"/>
  <c r="W476" i="169"/>
  <c r="A477" i="169"/>
  <c r="B477" i="169"/>
  <c r="D477" i="169"/>
  <c r="E477" i="169" s="1"/>
  <c r="F477" i="169"/>
  <c r="J477" i="169"/>
  <c r="AK477" i="169" s="1"/>
  <c r="K477" i="169"/>
  <c r="AL477" i="169" s="1"/>
  <c r="L477" i="169"/>
  <c r="AM477" i="169" s="1"/>
  <c r="O477" i="169"/>
  <c r="AO477" i="169" s="1"/>
  <c r="P477" i="169"/>
  <c r="Q477" i="169"/>
  <c r="U477" i="169" s="1"/>
  <c r="AQ477" i="169" s="1"/>
  <c r="W477" i="169"/>
  <c r="A478" i="169"/>
  <c r="B478" i="169"/>
  <c r="D478" i="169"/>
  <c r="E478" i="169" s="1"/>
  <c r="F478" i="169"/>
  <c r="J478" i="169"/>
  <c r="AK478" i="169" s="1"/>
  <c r="K478" i="169"/>
  <c r="AL478" i="169" s="1"/>
  <c r="L478" i="169"/>
  <c r="AM478" i="169" s="1"/>
  <c r="O478" i="169"/>
  <c r="AO478" i="169" s="1"/>
  <c r="P478" i="169"/>
  <c r="Q478" i="169"/>
  <c r="U478" i="169" s="1"/>
  <c r="AQ478" i="169" s="1"/>
  <c r="W478" i="169"/>
  <c r="A480" i="169"/>
  <c r="B480" i="169"/>
  <c r="D480" i="169"/>
  <c r="E480" i="169" s="1"/>
  <c r="F480" i="169"/>
  <c r="J480" i="169"/>
  <c r="AK480" i="169" s="1"/>
  <c r="K480" i="169"/>
  <c r="AL480" i="169" s="1"/>
  <c r="L480" i="169"/>
  <c r="AM480" i="169" s="1"/>
  <c r="O480" i="169"/>
  <c r="AO480" i="169" s="1"/>
  <c r="P480" i="169"/>
  <c r="Q480" i="169"/>
  <c r="S480" i="169" s="1"/>
  <c r="AP480" i="169" s="1"/>
  <c r="W480" i="169"/>
  <c r="A481" i="169"/>
  <c r="B481" i="169"/>
  <c r="D481" i="169"/>
  <c r="E481" i="169" s="1"/>
  <c r="F481" i="169"/>
  <c r="J481" i="169"/>
  <c r="AK481" i="169" s="1"/>
  <c r="K481" i="169"/>
  <c r="AL481" i="169" s="1"/>
  <c r="L481" i="169"/>
  <c r="AM481" i="169" s="1"/>
  <c r="O481" i="169"/>
  <c r="AO481" i="169" s="1"/>
  <c r="P481" i="169"/>
  <c r="Q481" i="169"/>
  <c r="U481" i="169" s="1"/>
  <c r="AQ481" i="169" s="1"/>
  <c r="W481" i="169"/>
  <c r="A514" i="169"/>
  <c r="B514" i="169"/>
  <c r="D514" i="169"/>
  <c r="E514" i="169" s="1"/>
  <c r="F514" i="169"/>
  <c r="J514" i="169"/>
  <c r="AK514" i="169" s="1"/>
  <c r="K514" i="169"/>
  <c r="AL514" i="169" s="1"/>
  <c r="L514" i="169"/>
  <c r="AM514" i="169" s="1"/>
  <c r="O514" i="169"/>
  <c r="AO514" i="169" s="1"/>
  <c r="P514" i="169"/>
  <c r="Q514" i="169"/>
  <c r="U514" i="169" s="1"/>
  <c r="AQ514" i="169" s="1"/>
  <c r="W514" i="169"/>
  <c r="A459" i="169"/>
  <c r="B459" i="169"/>
  <c r="D459" i="169"/>
  <c r="E459" i="169" s="1"/>
  <c r="F459" i="169"/>
  <c r="J459" i="169"/>
  <c r="AK459" i="169" s="1"/>
  <c r="K459" i="169"/>
  <c r="AL459" i="169" s="1"/>
  <c r="L459" i="169"/>
  <c r="AM459" i="169" s="1"/>
  <c r="O459" i="169"/>
  <c r="AO459" i="169" s="1"/>
  <c r="P459" i="169"/>
  <c r="Q459" i="169"/>
  <c r="U459" i="169" s="1"/>
  <c r="AQ459" i="169" s="1"/>
  <c r="W459" i="169"/>
  <c r="A460" i="169"/>
  <c r="B460" i="169"/>
  <c r="D460" i="169"/>
  <c r="E460" i="169" s="1"/>
  <c r="F460" i="169"/>
  <c r="J460" i="169"/>
  <c r="AK460" i="169" s="1"/>
  <c r="K460" i="169"/>
  <c r="AL460" i="169" s="1"/>
  <c r="L460" i="169"/>
  <c r="AM460" i="169" s="1"/>
  <c r="O460" i="169"/>
  <c r="AO460" i="169" s="1"/>
  <c r="P460" i="169"/>
  <c r="Q460" i="169"/>
  <c r="U460" i="169" s="1"/>
  <c r="AQ460" i="169" s="1"/>
  <c r="W460" i="169"/>
  <c r="A461" i="169"/>
  <c r="B461" i="169"/>
  <c r="D461" i="169"/>
  <c r="E461" i="169" s="1"/>
  <c r="F461" i="169"/>
  <c r="J461" i="169"/>
  <c r="AK461" i="169" s="1"/>
  <c r="K461" i="169"/>
  <c r="AL461" i="169" s="1"/>
  <c r="L461" i="169"/>
  <c r="AM461" i="169" s="1"/>
  <c r="O461" i="169"/>
  <c r="AO461" i="169" s="1"/>
  <c r="P461" i="169"/>
  <c r="Q461" i="169"/>
  <c r="U461" i="169" s="1"/>
  <c r="AQ461" i="169" s="1"/>
  <c r="W461" i="169"/>
  <c r="A462" i="169"/>
  <c r="B462" i="169"/>
  <c r="D462" i="169"/>
  <c r="E462" i="169" s="1"/>
  <c r="F462" i="169"/>
  <c r="J462" i="169"/>
  <c r="AK462" i="169" s="1"/>
  <c r="K462" i="169"/>
  <c r="AL462" i="169" s="1"/>
  <c r="L462" i="169"/>
  <c r="AM462" i="169" s="1"/>
  <c r="O462" i="169"/>
  <c r="AO462" i="169" s="1"/>
  <c r="P462" i="169"/>
  <c r="Q462" i="169"/>
  <c r="U462" i="169" s="1"/>
  <c r="AQ462" i="169" s="1"/>
  <c r="W462" i="169"/>
  <c r="A463" i="169"/>
  <c r="B463" i="169"/>
  <c r="D463" i="169"/>
  <c r="E463" i="169" s="1"/>
  <c r="F463" i="169"/>
  <c r="J463" i="169"/>
  <c r="AK463" i="169" s="1"/>
  <c r="K463" i="169"/>
  <c r="AL463" i="169" s="1"/>
  <c r="L463" i="169"/>
  <c r="AM463" i="169" s="1"/>
  <c r="O463" i="169"/>
  <c r="AO463" i="169" s="1"/>
  <c r="P463" i="169"/>
  <c r="Q463" i="169"/>
  <c r="U463" i="169" s="1"/>
  <c r="AQ463" i="169" s="1"/>
  <c r="W463" i="169"/>
  <c r="A464" i="169"/>
  <c r="B464" i="169"/>
  <c r="D464" i="169"/>
  <c r="E464" i="169" s="1"/>
  <c r="F464" i="169"/>
  <c r="J464" i="169"/>
  <c r="AK464" i="169" s="1"/>
  <c r="K464" i="169"/>
  <c r="AL464" i="169" s="1"/>
  <c r="L464" i="169"/>
  <c r="AM464" i="169" s="1"/>
  <c r="O464" i="169"/>
  <c r="AO464" i="169" s="1"/>
  <c r="P464" i="169"/>
  <c r="Q464" i="169"/>
  <c r="U464" i="169" s="1"/>
  <c r="AQ464" i="169" s="1"/>
  <c r="W464" i="169"/>
  <c r="A465" i="169"/>
  <c r="B465" i="169"/>
  <c r="D465" i="169"/>
  <c r="E465" i="169" s="1"/>
  <c r="F465" i="169"/>
  <c r="J465" i="169"/>
  <c r="AK465" i="169" s="1"/>
  <c r="K465" i="169"/>
  <c r="AL465" i="169" s="1"/>
  <c r="L465" i="169"/>
  <c r="AM465" i="169" s="1"/>
  <c r="O465" i="169"/>
  <c r="AO465" i="169" s="1"/>
  <c r="P465" i="169"/>
  <c r="Q465" i="169"/>
  <c r="U465" i="169" s="1"/>
  <c r="AQ465" i="169" s="1"/>
  <c r="W465" i="169"/>
  <c r="A466" i="169"/>
  <c r="B466" i="169"/>
  <c r="D466" i="169"/>
  <c r="E466" i="169" s="1"/>
  <c r="F466" i="169"/>
  <c r="J466" i="169"/>
  <c r="AK466" i="169" s="1"/>
  <c r="K466" i="169"/>
  <c r="AL466" i="169" s="1"/>
  <c r="L466" i="169"/>
  <c r="AM466" i="169" s="1"/>
  <c r="O466" i="169"/>
  <c r="AO466" i="169" s="1"/>
  <c r="P466" i="169"/>
  <c r="Q466" i="169"/>
  <c r="U466" i="169" s="1"/>
  <c r="AQ466" i="169" s="1"/>
  <c r="W466" i="169"/>
  <c r="A467" i="169"/>
  <c r="B467" i="169"/>
  <c r="D467" i="169"/>
  <c r="E467" i="169" s="1"/>
  <c r="F467" i="169"/>
  <c r="J467" i="169"/>
  <c r="AK467" i="169" s="1"/>
  <c r="K467" i="169"/>
  <c r="AL467" i="169" s="1"/>
  <c r="L467" i="169"/>
  <c r="AM467" i="169" s="1"/>
  <c r="O467" i="169"/>
  <c r="AO467" i="169" s="1"/>
  <c r="P467" i="169"/>
  <c r="Q467" i="169"/>
  <c r="U467" i="169" s="1"/>
  <c r="AQ467" i="169" s="1"/>
  <c r="W467" i="169"/>
  <c r="A468" i="169"/>
  <c r="B468" i="169"/>
  <c r="D468" i="169"/>
  <c r="E468" i="169" s="1"/>
  <c r="F468" i="169"/>
  <c r="J468" i="169"/>
  <c r="AK468" i="169" s="1"/>
  <c r="K468" i="169"/>
  <c r="AL468" i="169" s="1"/>
  <c r="L468" i="169"/>
  <c r="AM468" i="169" s="1"/>
  <c r="O468" i="169"/>
  <c r="AO468" i="169" s="1"/>
  <c r="P468" i="169"/>
  <c r="Q468" i="169"/>
  <c r="U468" i="169" s="1"/>
  <c r="AQ468" i="169" s="1"/>
  <c r="W468" i="169"/>
  <c r="A469" i="169"/>
  <c r="B469" i="169"/>
  <c r="D469" i="169"/>
  <c r="E469" i="169" s="1"/>
  <c r="F469" i="169"/>
  <c r="J469" i="169"/>
  <c r="AK469" i="169" s="1"/>
  <c r="K469" i="169"/>
  <c r="AL469" i="169" s="1"/>
  <c r="L469" i="169"/>
  <c r="AM469" i="169" s="1"/>
  <c r="O469" i="169"/>
  <c r="AO469" i="169" s="1"/>
  <c r="P469" i="169"/>
  <c r="Q469" i="169"/>
  <c r="U469" i="169" s="1"/>
  <c r="AQ469" i="169" s="1"/>
  <c r="W469" i="169"/>
  <c r="A470" i="169"/>
  <c r="B470" i="169"/>
  <c r="D470" i="169"/>
  <c r="E470" i="169" s="1"/>
  <c r="F470" i="169"/>
  <c r="J470" i="169"/>
  <c r="AK470" i="169" s="1"/>
  <c r="K470" i="169"/>
  <c r="AL470" i="169" s="1"/>
  <c r="L470" i="169"/>
  <c r="AM470" i="169" s="1"/>
  <c r="O470" i="169"/>
  <c r="AO470" i="169" s="1"/>
  <c r="P470" i="169"/>
  <c r="Q470" i="169"/>
  <c r="U470" i="169" s="1"/>
  <c r="AQ470" i="169" s="1"/>
  <c r="W470" i="169"/>
  <c r="A515" i="169"/>
  <c r="B515" i="169"/>
  <c r="D515" i="169"/>
  <c r="E515" i="169" s="1"/>
  <c r="F515" i="169"/>
  <c r="J515" i="169"/>
  <c r="AK515" i="169" s="1"/>
  <c r="K515" i="169"/>
  <c r="AL515" i="169" s="1"/>
  <c r="L515" i="169"/>
  <c r="AM515" i="169" s="1"/>
  <c r="O515" i="169"/>
  <c r="AO515" i="169" s="1"/>
  <c r="P515" i="169"/>
  <c r="Q515" i="169"/>
  <c r="U515" i="169" s="1"/>
  <c r="AQ515" i="169" s="1"/>
  <c r="W515" i="169"/>
  <c r="A516" i="169"/>
  <c r="B516" i="169"/>
  <c r="D516" i="169"/>
  <c r="E516" i="169" s="1"/>
  <c r="F516" i="169"/>
  <c r="J516" i="169"/>
  <c r="AK516" i="169" s="1"/>
  <c r="K516" i="169"/>
  <c r="AL516" i="169" s="1"/>
  <c r="L516" i="169"/>
  <c r="AM516" i="169" s="1"/>
  <c r="O516" i="169"/>
  <c r="AO516" i="169" s="1"/>
  <c r="P516" i="169"/>
  <c r="Q516" i="169"/>
  <c r="U516" i="169" s="1"/>
  <c r="AQ516" i="169" s="1"/>
  <c r="W516" i="169"/>
  <c r="A454" i="169"/>
  <c r="B454" i="169"/>
  <c r="D454" i="169"/>
  <c r="E454" i="169" s="1"/>
  <c r="F454" i="169"/>
  <c r="J454" i="169"/>
  <c r="AK454" i="169" s="1"/>
  <c r="K454" i="169"/>
  <c r="AL454" i="169" s="1"/>
  <c r="L454" i="169"/>
  <c r="AM454" i="169" s="1"/>
  <c r="O454" i="169"/>
  <c r="AO454" i="169" s="1"/>
  <c r="P454" i="169"/>
  <c r="Q454" i="169"/>
  <c r="U454" i="169" s="1"/>
  <c r="AQ454" i="169" s="1"/>
  <c r="W454" i="169"/>
  <c r="A440" i="169"/>
  <c r="B440" i="169"/>
  <c r="D440" i="169"/>
  <c r="E440" i="169" s="1"/>
  <c r="F440" i="169"/>
  <c r="J440" i="169"/>
  <c r="AK440" i="169" s="1"/>
  <c r="K440" i="169"/>
  <c r="AL440" i="169" s="1"/>
  <c r="L440" i="169"/>
  <c r="AM440" i="169" s="1"/>
  <c r="O440" i="169"/>
  <c r="AO440" i="169" s="1"/>
  <c r="P440" i="169"/>
  <c r="Q440" i="169"/>
  <c r="U440" i="169" s="1"/>
  <c r="AQ440" i="169" s="1"/>
  <c r="W440" i="169"/>
  <c r="A441" i="169"/>
  <c r="B441" i="169"/>
  <c r="D441" i="169"/>
  <c r="E441" i="169" s="1"/>
  <c r="F441" i="169"/>
  <c r="J441" i="169"/>
  <c r="AK441" i="169" s="1"/>
  <c r="K441" i="169"/>
  <c r="AL441" i="169" s="1"/>
  <c r="L441" i="169"/>
  <c r="AM441" i="169" s="1"/>
  <c r="O441" i="169"/>
  <c r="AO441" i="169" s="1"/>
  <c r="P441" i="169"/>
  <c r="Q441" i="169"/>
  <c r="U441" i="169" s="1"/>
  <c r="AQ441" i="169" s="1"/>
  <c r="W441" i="169"/>
  <c r="A442" i="169"/>
  <c r="B442" i="169"/>
  <c r="D442" i="169"/>
  <c r="E442" i="169" s="1"/>
  <c r="F442" i="169"/>
  <c r="J442" i="169"/>
  <c r="AK442" i="169" s="1"/>
  <c r="K442" i="169"/>
  <c r="AL442" i="169" s="1"/>
  <c r="L442" i="169"/>
  <c r="AM442" i="169" s="1"/>
  <c r="O442" i="169"/>
  <c r="AO442" i="169" s="1"/>
  <c r="P442" i="169"/>
  <c r="Q442" i="169"/>
  <c r="U442" i="169" s="1"/>
  <c r="AQ442" i="169" s="1"/>
  <c r="W442" i="169"/>
  <c r="A443" i="169"/>
  <c r="B443" i="169"/>
  <c r="D443" i="169"/>
  <c r="E443" i="169" s="1"/>
  <c r="F443" i="169"/>
  <c r="J443" i="169"/>
  <c r="AK443" i="169" s="1"/>
  <c r="K443" i="169"/>
  <c r="AL443" i="169" s="1"/>
  <c r="L443" i="169"/>
  <c r="AM443" i="169" s="1"/>
  <c r="O443" i="169"/>
  <c r="AO443" i="169" s="1"/>
  <c r="P443" i="169"/>
  <c r="Q443" i="169"/>
  <c r="U443" i="169" s="1"/>
  <c r="AQ443" i="169" s="1"/>
  <c r="W443" i="169"/>
  <c r="A444" i="169"/>
  <c r="B444" i="169"/>
  <c r="D444" i="169"/>
  <c r="E444" i="169" s="1"/>
  <c r="F444" i="169"/>
  <c r="J444" i="169"/>
  <c r="AK444" i="169" s="1"/>
  <c r="K444" i="169"/>
  <c r="AL444" i="169" s="1"/>
  <c r="L444" i="169"/>
  <c r="AM444" i="169" s="1"/>
  <c r="O444" i="169"/>
  <c r="AO444" i="169" s="1"/>
  <c r="P444" i="169"/>
  <c r="Q444" i="169"/>
  <c r="U444" i="169" s="1"/>
  <c r="AQ444" i="169" s="1"/>
  <c r="W444" i="169"/>
  <c r="A445" i="169"/>
  <c r="B445" i="169"/>
  <c r="D445" i="169"/>
  <c r="E445" i="169" s="1"/>
  <c r="F445" i="169"/>
  <c r="J445" i="169"/>
  <c r="AK445" i="169" s="1"/>
  <c r="K445" i="169"/>
  <c r="AL445" i="169" s="1"/>
  <c r="L445" i="169"/>
  <c r="AM445" i="169" s="1"/>
  <c r="O445" i="169"/>
  <c r="AO445" i="169" s="1"/>
  <c r="P445" i="169"/>
  <c r="Q445" i="169"/>
  <c r="U445" i="169" s="1"/>
  <c r="AQ445" i="169" s="1"/>
  <c r="W445" i="169"/>
  <c r="A446" i="169"/>
  <c r="B446" i="169"/>
  <c r="D446" i="169"/>
  <c r="E446" i="169" s="1"/>
  <c r="F446" i="169"/>
  <c r="J446" i="169"/>
  <c r="AK446" i="169" s="1"/>
  <c r="K446" i="169"/>
  <c r="AL446" i="169" s="1"/>
  <c r="L446" i="169"/>
  <c r="AM446" i="169" s="1"/>
  <c r="O446" i="169"/>
  <c r="AO446" i="169" s="1"/>
  <c r="P446" i="169"/>
  <c r="Q446" i="169"/>
  <c r="U446" i="169" s="1"/>
  <c r="AQ446" i="169" s="1"/>
  <c r="W446" i="169"/>
  <c r="A447" i="169"/>
  <c r="B447" i="169"/>
  <c r="D447" i="169"/>
  <c r="E447" i="169" s="1"/>
  <c r="F447" i="169"/>
  <c r="J447" i="169"/>
  <c r="AK447" i="169" s="1"/>
  <c r="K447" i="169"/>
  <c r="AL447" i="169" s="1"/>
  <c r="L447" i="169"/>
  <c r="AM447" i="169" s="1"/>
  <c r="O447" i="169"/>
  <c r="AO447" i="169" s="1"/>
  <c r="P447" i="169"/>
  <c r="Q447" i="169"/>
  <c r="U447" i="169" s="1"/>
  <c r="AQ447" i="169" s="1"/>
  <c r="W447" i="169"/>
  <c r="A448" i="169"/>
  <c r="B448" i="169"/>
  <c r="D448" i="169"/>
  <c r="E448" i="169" s="1"/>
  <c r="F448" i="169"/>
  <c r="J448" i="169"/>
  <c r="AK448" i="169" s="1"/>
  <c r="K448" i="169"/>
  <c r="AL448" i="169" s="1"/>
  <c r="L448" i="169"/>
  <c r="AM448" i="169" s="1"/>
  <c r="O448" i="169"/>
  <c r="AO448" i="169" s="1"/>
  <c r="P448" i="169"/>
  <c r="Q448" i="169"/>
  <c r="U448" i="169" s="1"/>
  <c r="AQ448" i="169" s="1"/>
  <c r="W448" i="169"/>
  <c r="A449" i="169"/>
  <c r="B449" i="169"/>
  <c r="D449" i="169"/>
  <c r="E449" i="169" s="1"/>
  <c r="F449" i="169"/>
  <c r="J449" i="169"/>
  <c r="AK449" i="169" s="1"/>
  <c r="K449" i="169"/>
  <c r="AL449" i="169" s="1"/>
  <c r="L449" i="169"/>
  <c r="AM449" i="169" s="1"/>
  <c r="O449" i="169"/>
  <c r="AO449" i="169" s="1"/>
  <c r="P449" i="169"/>
  <c r="Q449" i="169"/>
  <c r="S449" i="169" s="1"/>
  <c r="AP449" i="169" s="1"/>
  <c r="W449" i="169"/>
  <c r="A450" i="169"/>
  <c r="B450" i="169"/>
  <c r="D450" i="169"/>
  <c r="E450" i="169" s="1"/>
  <c r="F450" i="169"/>
  <c r="J450" i="169"/>
  <c r="AK450" i="169" s="1"/>
  <c r="K450" i="169"/>
  <c r="AL450" i="169" s="1"/>
  <c r="L450" i="169"/>
  <c r="AM450" i="169" s="1"/>
  <c r="O450" i="169"/>
  <c r="AO450" i="169" s="1"/>
  <c r="P450" i="169"/>
  <c r="Q450" i="169"/>
  <c r="U450" i="169" s="1"/>
  <c r="AQ450" i="169" s="1"/>
  <c r="W450" i="169"/>
  <c r="A451" i="169"/>
  <c r="B451" i="169"/>
  <c r="D451" i="169"/>
  <c r="E451" i="169" s="1"/>
  <c r="F451" i="169"/>
  <c r="J451" i="169"/>
  <c r="AK451" i="169" s="1"/>
  <c r="K451" i="169"/>
  <c r="AL451" i="169" s="1"/>
  <c r="L451" i="169"/>
  <c r="AM451" i="169" s="1"/>
  <c r="O451" i="169"/>
  <c r="AO451" i="169" s="1"/>
  <c r="P451" i="169"/>
  <c r="Q451" i="169"/>
  <c r="U451" i="169" s="1"/>
  <c r="AQ451" i="169" s="1"/>
  <c r="W451" i="169"/>
  <c r="A452" i="169"/>
  <c r="B452" i="169"/>
  <c r="D452" i="169"/>
  <c r="E452" i="169" s="1"/>
  <c r="F452" i="169"/>
  <c r="J452" i="169"/>
  <c r="AK452" i="169" s="1"/>
  <c r="K452" i="169"/>
  <c r="AL452" i="169" s="1"/>
  <c r="L452" i="169"/>
  <c r="AM452" i="169" s="1"/>
  <c r="O452" i="169"/>
  <c r="AO452" i="169" s="1"/>
  <c r="P452" i="169"/>
  <c r="Q452" i="169"/>
  <c r="U452" i="169" s="1"/>
  <c r="AQ452" i="169" s="1"/>
  <c r="W452" i="169"/>
  <c r="A453" i="169"/>
  <c r="B453" i="169"/>
  <c r="D453" i="169"/>
  <c r="E453" i="169" s="1"/>
  <c r="F453" i="169"/>
  <c r="J453" i="169"/>
  <c r="AK453" i="169" s="1"/>
  <c r="K453" i="169"/>
  <c r="AL453" i="169" s="1"/>
  <c r="L453" i="169"/>
  <c r="AM453" i="169" s="1"/>
  <c r="O453" i="169"/>
  <c r="AO453" i="169" s="1"/>
  <c r="P453" i="169"/>
  <c r="Q453" i="169"/>
  <c r="U453" i="169" s="1"/>
  <c r="AQ453" i="169" s="1"/>
  <c r="W453" i="169"/>
  <c r="A455" i="169"/>
  <c r="B455" i="169"/>
  <c r="D455" i="169"/>
  <c r="E455" i="169" s="1"/>
  <c r="F455" i="169"/>
  <c r="J455" i="169"/>
  <c r="AK455" i="169" s="1"/>
  <c r="K455" i="169"/>
  <c r="AL455" i="169" s="1"/>
  <c r="L455" i="169"/>
  <c r="AM455" i="169" s="1"/>
  <c r="O455" i="169"/>
  <c r="AO455" i="169" s="1"/>
  <c r="P455" i="169"/>
  <c r="Q455" i="169"/>
  <c r="U455" i="169" s="1"/>
  <c r="AQ455" i="169" s="1"/>
  <c r="W455" i="169"/>
  <c r="A456" i="169"/>
  <c r="B456" i="169"/>
  <c r="D456" i="169"/>
  <c r="E456" i="169" s="1"/>
  <c r="F456" i="169"/>
  <c r="J456" i="169"/>
  <c r="AK456" i="169" s="1"/>
  <c r="K456" i="169"/>
  <c r="AL456" i="169" s="1"/>
  <c r="L456" i="169"/>
  <c r="AM456" i="169" s="1"/>
  <c r="O456" i="169"/>
  <c r="AO456" i="169" s="1"/>
  <c r="P456" i="169"/>
  <c r="Q456" i="169"/>
  <c r="U456" i="169" s="1"/>
  <c r="AQ456" i="169" s="1"/>
  <c r="W456" i="169"/>
  <c r="AN517" i="169"/>
  <c r="AN611" i="169"/>
  <c r="AN612" i="169"/>
  <c r="AH517" i="169"/>
  <c r="AI517" i="169" s="1"/>
  <c r="AI611" i="169"/>
  <c r="AI612" i="169"/>
  <c r="A430" i="169"/>
  <c r="B430" i="169"/>
  <c r="D430" i="169"/>
  <c r="E430" i="169" s="1"/>
  <c r="F430" i="169"/>
  <c r="J430" i="169"/>
  <c r="AK430" i="169" s="1"/>
  <c r="K430" i="169"/>
  <c r="AL430" i="169" s="1"/>
  <c r="L430" i="169"/>
  <c r="AM430" i="169" s="1"/>
  <c r="O430" i="169"/>
  <c r="AO430" i="169" s="1"/>
  <c r="P430" i="169"/>
  <c r="Q430" i="169"/>
  <c r="U430" i="169" s="1"/>
  <c r="AQ430" i="169" s="1"/>
  <c r="W430" i="169"/>
  <c r="A431" i="169"/>
  <c r="B431" i="169"/>
  <c r="D431" i="169"/>
  <c r="E431" i="169" s="1"/>
  <c r="F431" i="169"/>
  <c r="J431" i="169"/>
  <c r="AK431" i="169" s="1"/>
  <c r="K431" i="169"/>
  <c r="AL431" i="169" s="1"/>
  <c r="L431" i="169"/>
  <c r="AM431" i="169" s="1"/>
  <c r="O431" i="169"/>
  <c r="AO431" i="169" s="1"/>
  <c r="P431" i="169"/>
  <c r="Q431" i="169"/>
  <c r="U431" i="169" s="1"/>
  <c r="AQ431" i="169" s="1"/>
  <c r="W431" i="169"/>
  <c r="A432" i="169"/>
  <c r="B432" i="169"/>
  <c r="D432" i="169"/>
  <c r="E432" i="169" s="1"/>
  <c r="F432" i="169"/>
  <c r="J432" i="169"/>
  <c r="AK432" i="169" s="1"/>
  <c r="K432" i="169"/>
  <c r="AL432" i="169" s="1"/>
  <c r="L432" i="169"/>
  <c r="AM432" i="169" s="1"/>
  <c r="O432" i="169"/>
  <c r="AO432" i="169" s="1"/>
  <c r="P432" i="169"/>
  <c r="Q432" i="169"/>
  <c r="U432" i="169" s="1"/>
  <c r="AQ432" i="169" s="1"/>
  <c r="W432" i="169"/>
  <c r="A433" i="169"/>
  <c r="B433" i="169"/>
  <c r="D433" i="169"/>
  <c r="E433" i="169" s="1"/>
  <c r="F433" i="169"/>
  <c r="J433" i="169"/>
  <c r="AK433" i="169" s="1"/>
  <c r="K433" i="169"/>
  <c r="AL433" i="169" s="1"/>
  <c r="L433" i="169"/>
  <c r="AM433" i="169" s="1"/>
  <c r="O433" i="169"/>
  <c r="AO433" i="169" s="1"/>
  <c r="P433" i="169"/>
  <c r="Q433" i="169"/>
  <c r="U433" i="169" s="1"/>
  <c r="AQ433" i="169" s="1"/>
  <c r="W433" i="169"/>
  <c r="A434" i="169"/>
  <c r="B434" i="169"/>
  <c r="D434" i="169"/>
  <c r="E434" i="169" s="1"/>
  <c r="F434" i="169"/>
  <c r="J434" i="169"/>
  <c r="AK434" i="169" s="1"/>
  <c r="K434" i="169"/>
  <c r="AL434" i="169" s="1"/>
  <c r="L434" i="169"/>
  <c r="AM434" i="169" s="1"/>
  <c r="O434" i="169"/>
  <c r="AO434" i="169" s="1"/>
  <c r="P434" i="169"/>
  <c r="Q434" i="169"/>
  <c r="U434" i="169" s="1"/>
  <c r="AQ434" i="169" s="1"/>
  <c r="W434" i="169"/>
  <c r="A435" i="169"/>
  <c r="B435" i="169"/>
  <c r="D435" i="169"/>
  <c r="E435" i="169" s="1"/>
  <c r="F435" i="169"/>
  <c r="J435" i="169"/>
  <c r="AK435" i="169" s="1"/>
  <c r="K435" i="169"/>
  <c r="AL435" i="169" s="1"/>
  <c r="L435" i="169"/>
  <c r="AM435" i="169" s="1"/>
  <c r="O435" i="169"/>
  <c r="AO435" i="169" s="1"/>
  <c r="P435" i="169"/>
  <c r="Q435" i="169"/>
  <c r="U435" i="169" s="1"/>
  <c r="AQ435" i="169" s="1"/>
  <c r="W435" i="169"/>
  <c r="A436" i="169"/>
  <c r="B436" i="169"/>
  <c r="D436" i="169"/>
  <c r="E436" i="169" s="1"/>
  <c r="F436" i="169"/>
  <c r="J436" i="169"/>
  <c r="AK436" i="169" s="1"/>
  <c r="K436" i="169"/>
  <c r="AL436" i="169" s="1"/>
  <c r="L436" i="169"/>
  <c r="AM436" i="169" s="1"/>
  <c r="O436" i="169"/>
  <c r="AO436" i="169" s="1"/>
  <c r="P436" i="169"/>
  <c r="Q436" i="169"/>
  <c r="U436" i="169" s="1"/>
  <c r="AQ436" i="169" s="1"/>
  <c r="W436" i="169"/>
  <c r="A437" i="169"/>
  <c r="B437" i="169"/>
  <c r="D437" i="169"/>
  <c r="E437" i="169" s="1"/>
  <c r="F437" i="169"/>
  <c r="J437" i="169"/>
  <c r="AK437" i="169" s="1"/>
  <c r="K437" i="169"/>
  <c r="AL437" i="169" s="1"/>
  <c r="L437" i="169"/>
  <c r="AM437" i="169" s="1"/>
  <c r="O437" i="169"/>
  <c r="AO437" i="169" s="1"/>
  <c r="P437" i="169"/>
  <c r="Q437" i="169"/>
  <c r="U437" i="169" s="1"/>
  <c r="AQ437" i="169" s="1"/>
  <c r="W437" i="169"/>
  <c r="A438" i="169"/>
  <c r="B438" i="169"/>
  <c r="D438" i="169"/>
  <c r="E438" i="169" s="1"/>
  <c r="F438" i="169"/>
  <c r="J438" i="169"/>
  <c r="AK438" i="169" s="1"/>
  <c r="K438" i="169"/>
  <c r="AL438" i="169" s="1"/>
  <c r="L438" i="169"/>
  <c r="AM438" i="169" s="1"/>
  <c r="O438" i="169"/>
  <c r="AO438" i="169" s="1"/>
  <c r="P438" i="169"/>
  <c r="Q438" i="169"/>
  <c r="U438" i="169" s="1"/>
  <c r="AQ438" i="169" s="1"/>
  <c r="W438" i="169"/>
  <c r="A439" i="169"/>
  <c r="B439" i="169"/>
  <c r="D439" i="169"/>
  <c r="E439" i="169" s="1"/>
  <c r="F439" i="169"/>
  <c r="J439" i="169"/>
  <c r="AK439" i="169" s="1"/>
  <c r="K439" i="169"/>
  <c r="AL439" i="169" s="1"/>
  <c r="L439" i="169"/>
  <c r="AM439" i="169" s="1"/>
  <c r="O439" i="169"/>
  <c r="AO439" i="169" s="1"/>
  <c r="P439" i="169"/>
  <c r="Q439" i="169"/>
  <c r="U439" i="169" s="1"/>
  <c r="AQ439" i="169" s="1"/>
  <c r="W439" i="169"/>
  <c r="A401" i="169"/>
  <c r="B401" i="169"/>
  <c r="D401" i="169"/>
  <c r="E401" i="169" s="1"/>
  <c r="F401" i="169"/>
  <c r="J401" i="169"/>
  <c r="AK401" i="169" s="1"/>
  <c r="K401" i="169"/>
  <c r="AL401" i="169" s="1"/>
  <c r="L401" i="169"/>
  <c r="AM401" i="169" s="1"/>
  <c r="O401" i="169"/>
  <c r="AO401" i="169" s="1"/>
  <c r="P401" i="169"/>
  <c r="Q401" i="169"/>
  <c r="U401" i="169" s="1"/>
  <c r="AQ401" i="169" s="1"/>
  <c r="W401" i="169"/>
  <c r="A402" i="169"/>
  <c r="B402" i="169"/>
  <c r="D402" i="169"/>
  <c r="E402" i="169" s="1"/>
  <c r="F402" i="169"/>
  <c r="J402" i="169"/>
  <c r="AK402" i="169" s="1"/>
  <c r="K402" i="169"/>
  <c r="AL402" i="169" s="1"/>
  <c r="L402" i="169"/>
  <c r="AM402" i="169" s="1"/>
  <c r="O402" i="169"/>
  <c r="AO402" i="169" s="1"/>
  <c r="P402" i="169"/>
  <c r="Q402" i="169"/>
  <c r="U402" i="169" s="1"/>
  <c r="AQ402" i="169" s="1"/>
  <c r="W402" i="169"/>
  <c r="A392" i="169"/>
  <c r="B392" i="169"/>
  <c r="D392" i="169"/>
  <c r="E392" i="169" s="1"/>
  <c r="F392" i="169"/>
  <c r="J392" i="169"/>
  <c r="AK392" i="169" s="1"/>
  <c r="K392" i="169"/>
  <c r="AL392" i="169" s="1"/>
  <c r="L392" i="169"/>
  <c r="AM392" i="169" s="1"/>
  <c r="O392" i="169"/>
  <c r="AO392" i="169" s="1"/>
  <c r="P392" i="169"/>
  <c r="Q392" i="169"/>
  <c r="S392" i="169" s="1"/>
  <c r="AP392" i="169" s="1"/>
  <c r="W392" i="169"/>
  <c r="A393" i="169"/>
  <c r="B393" i="169"/>
  <c r="D393" i="169"/>
  <c r="E393" i="169" s="1"/>
  <c r="F393" i="169"/>
  <c r="J393" i="169"/>
  <c r="AK393" i="169" s="1"/>
  <c r="K393" i="169"/>
  <c r="AL393" i="169" s="1"/>
  <c r="L393" i="169"/>
  <c r="AM393" i="169" s="1"/>
  <c r="O393" i="169"/>
  <c r="AO393" i="169" s="1"/>
  <c r="P393" i="169"/>
  <c r="Q393" i="169"/>
  <c r="U393" i="169" s="1"/>
  <c r="AQ393" i="169" s="1"/>
  <c r="W393" i="169"/>
  <c r="A394" i="169"/>
  <c r="B394" i="169"/>
  <c r="D394" i="169"/>
  <c r="E394" i="169" s="1"/>
  <c r="F394" i="169"/>
  <c r="J394" i="169"/>
  <c r="AK394" i="169" s="1"/>
  <c r="K394" i="169"/>
  <c r="AL394" i="169" s="1"/>
  <c r="L394" i="169"/>
  <c r="AM394" i="169" s="1"/>
  <c r="O394" i="169"/>
  <c r="AO394" i="169" s="1"/>
  <c r="P394" i="169"/>
  <c r="Q394" i="169"/>
  <c r="U394" i="169" s="1"/>
  <c r="AQ394" i="169" s="1"/>
  <c r="W394" i="169"/>
  <c r="A395" i="169"/>
  <c r="B395" i="169"/>
  <c r="D395" i="169"/>
  <c r="E395" i="169" s="1"/>
  <c r="F395" i="169"/>
  <c r="J395" i="169"/>
  <c r="AK395" i="169" s="1"/>
  <c r="K395" i="169"/>
  <c r="AL395" i="169" s="1"/>
  <c r="L395" i="169"/>
  <c r="AM395" i="169" s="1"/>
  <c r="O395" i="169"/>
  <c r="AO395" i="169" s="1"/>
  <c r="P395" i="169"/>
  <c r="Q395" i="169"/>
  <c r="U395" i="169" s="1"/>
  <c r="AQ395" i="169" s="1"/>
  <c r="W395" i="169"/>
  <c r="A396" i="169"/>
  <c r="B396" i="169"/>
  <c r="D396" i="169"/>
  <c r="E396" i="169" s="1"/>
  <c r="F396" i="169"/>
  <c r="J396" i="169"/>
  <c r="AK396" i="169" s="1"/>
  <c r="K396" i="169"/>
  <c r="AL396" i="169" s="1"/>
  <c r="L396" i="169"/>
  <c r="AM396" i="169" s="1"/>
  <c r="O396" i="169"/>
  <c r="AO396" i="169" s="1"/>
  <c r="P396" i="169"/>
  <c r="Q396" i="169"/>
  <c r="U396" i="169" s="1"/>
  <c r="AQ396" i="169" s="1"/>
  <c r="W396" i="169"/>
  <c r="A397" i="169"/>
  <c r="B397" i="169"/>
  <c r="D397" i="169"/>
  <c r="E397" i="169" s="1"/>
  <c r="F397" i="169"/>
  <c r="J397" i="169"/>
  <c r="AK397" i="169" s="1"/>
  <c r="K397" i="169"/>
  <c r="AL397" i="169" s="1"/>
  <c r="L397" i="169"/>
  <c r="AM397" i="169" s="1"/>
  <c r="O397" i="169"/>
  <c r="AO397" i="169" s="1"/>
  <c r="P397" i="169"/>
  <c r="Q397" i="169"/>
  <c r="U397" i="169" s="1"/>
  <c r="AQ397" i="169" s="1"/>
  <c r="W397" i="169"/>
  <c r="A398" i="169"/>
  <c r="B398" i="169"/>
  <c r="D398" i="169"/>
  <c r="E398" i="169" s="1"/>
  <c r="F398" i="169"/>
  <c r="J398" i="169"/>
  <c r="AK398" i="169" s="1"/>
  <c r="K398" i="169"/>
  <c r="AL398" i="169" s="1"/>
  <c r="L398" i="169"/>
  <c r="AM398" i="169" s="1"/>
  <c r="O398" i="169"/>
  <c r="AO398" i="169" s="1"/>
  <c r="P398" i="169"/>
  <c r="Q398" i="169"/>
  <c r="U398" i="169" s="1"/>
  <c r="AQ398" i="169" s="1"/>
  <c r="W398" i="169"/>
  <c r="A399" i="169"/>
  <c r="B399" i="169"/>
  <c r="D399" i="169"/>
  <c r="E399" i="169" s="1"/>
  <c r="F399" i="169"/>
  <c r="J399" i="169"/>
  <c r="AK399" i="169" s="1"/>
  <c r="K399" i="169"/>
  <c r="AL399" i="169" s="1"/>
  <c r="L399" i="169"/>
  <c r="AM399" i="169" s="1"/>
  <c r="O399" i="169"/>
  <c r="AO399" i="169" s="1"/>
  <c r="P399" i="169"/>
  <c r="Q399" i="169"/>
  <c r="U399" i="169" s="1"/>
  <c r="AQ399" i="169" s="1"/>
  <c r="W399" i="169"/>
  <c r="A400" i="169"/>
  <c r="B400" i="169"/>
  <c r="D400" i="169"/>
  <c r="E400" i="169" s="1"/>
  <c r="F400" i="169"/>
  <c r="J400" i="169"/>
  <c r="AK400" i="169" s="1"/>
  <c r="K400" i="169"/>
  <c r="AL400" i="169" s="1"/>
  <c r="L400" i="169"/>
  <c r="AM400" i="169" s="1"/>
  <c r="O400" i="169"/>
  <c r="AO400" i="169" s="1"/>
  <c r="P400" i="169"/>
  <c r="Q400" i="169"/>
  <c r="U400" i="169" s="1"/>
  <c r="AQ400" i="169" s="1"/>
  <c r="W400" i="169"/>
  <c r="A403" i="169"/>
  <c r="B403" i="169"/>
  <c r="D403" i="169"/>
  <c r="E403" i="169" s="1"/>
  <c r="F403" i="169"/>
  <c r="J403" i="169"/>
  <c r="AK403" i="169" s="1"/>
  <c r="K403" i="169"/>
  <c r="AL403" i="169" s="1"/>
  <c r="L403" i="169"/>
  <c r="AM403" i="169" s="1"/>
  <c r="O403" i="169"/>
  <c r="AO403" i="169" s="1"/>
  <c r="P403" i="169"/>
  <c r="Q403" i="169"/>
  <c r="U403" i="169" s="1"/>
  <c r="AQ403" i="169" s="1"/>
  <c r="W403" i="169"/>
  <c r="A404" i="169"/>
  <c r="B404" i="169"/>
  <c r="D404" i="169"/>
  <c r="E404" i="169" s="1"/>
  <c r="F404" i="169"/>
  <c r="J404" i="169"/>
  <c r="AK404" i="169" s="1"/>
  <c r="K404" i="169"/>
  <c r="AL404" i="169" s="1"/>
  <c r="L404" i="169"/>
  <c r="AM404" i="169" s="1"/>
  <c r="O404" i="169"/>
  <c r="AO404" i="169" s="1"/>
  <c r="P404" i="169"/>
  <c r="Q404" i="169"/>
  <c r="U404" i="169" s="1"/>
  <c r="AQ404" i="169" s="1"/>
  <c r="W404" i="169"/>
  <c r="A405" i="169"/>
  <c r="B405" i="169"/>
  <c r="D405" i="169"/>
  <c r="E405" i="169" s="1"/>
  <c r="F405" i="169"/>
  <c r="J405" i="169"/>
  <c r="AK405" i="169" s="1"/>
  <c r="K405" i="169"/>
  <c r="AL405" i="169" s="1"/>
  <c r="L405" i="169"/>
  <c r="AM405" i="169" s="1"/>
  <c r="O405" i="169"/>
  <c r="AO405" i="169" s="1"/>
  <c r="P405" i="169"/>
  <c r="Q405" i="169"/>
  <c r="U405" i="169" s="1"/>
  <c r="AQ405" i="169" s="1"/>
  <c r="W405" i="169"/>
  <c r="A406" i="169"/>
  <c r="B406" i="169"/>
  <c r="D406" i="169"/>
  <c r="E406" i="169" s="1"/>
  <c r="F406" i="169"/>
  <c r="J406" i="169"/>
  <c r="AK406" i="169" s="1"/>
  <c r="K406" i="169"/>
  <c r="AL406" i="169" s="1"/>
  <c r="L406" i="169"/>
  <c r="AM406" i="169" s="1"/>
  <c r="O406" i="169"/>
  <c r="AO406" i="169" s="1"/>
  <c r="P406" i="169"/>
  <c r="Q406" i="169"/>
  <c r="U406" i="169" s="1"/>
  <c r="AQ406" i="169" s="1"/>
  <c r="W406" i="169"/>
  <c r="A408" i="169"/>
  <c r="B408" i="169"/>
  <c r="D408" i="169"/>
  <c r="E408" i="169" s="1"/>
  <c r="F408" i="169"/>
  <c r="J408" i="169"/>
  <c r="AK408" i="169" s="1"/>
  <c r="K408" i="169"/>
  <c r="AL408" i="169" s="1"/>
  <c r="L408" i="169"/>
  <c r="AM408" i="169" s="1"/>
  <c r="O408" i="169"/>
  <c r="AO408" i="169" s="1"/>
  <c r="P408" i="169"/>
  <c r="Q408" i="169"/>
  <c r="U408" i="169" s="1"/>
  <c r="AQ408" i="169" s="1"/>
  <c r="W408" i="169"/>
  <c r="A409" i="169"/>
  <c r="B409" i="169"/>
  <c r="D409" i="169"/>
  <c r="E409" i="169" s="1"/>
  <c r="F409" i="169"/>
  <c r="J409" i="169"/>
  <c r="AK409" i="169" s="1"/>
  <c r="K409" i="169"/>
  <c r="AL409" i="169" s="1"/>
  <c r="L409" i="169"/>
  <c r="AM409" i="169" s="1"/>
  <c r="O409" i="169"/>
  <c r="AO409" i="169" s="1"/>
  <c r="P409" i="169"/>
  <c r="Q409" i="169"/>
  <c r="U409" i="169" s="1"/>
  <c r="AQ409" i="169" s="1"/>
  <c r="W409" i="169"/>
  <c r="A410" i="169"/>
  <c r="B410" i="169"/>
  <c r="D410" i="169"/>
  <c r="E410" i="169" s="1"/>
  <c r="F410" i="169"/>
  <c r="J410" i="169"/>
  <c r="AK410" i="169" s="1"/>
  <c r="K410" i="169"/>
  <c r="AL410" i="169" s="1"/>
  <c r="L410" i="169"/>
  <c r="AM410" i="169" s="1"/>
  <c r="O410" i="169"/>
  <c r="AO410" i="169" s="1"/>
  <c r="P410" i="169"/>
  <c r="Q410" i="169"/>
  <c r="U410" i="169" s="1"/>
  <c r="AQ410" i="169" s="1"/>
  <c r="W410" i="169"/>
  <c r="A411" i="169"/>
  <c r="B411" i="169"/>
  <c r="D411" i="169"/>
  <c r="E411" i="169" s="1"/>
  <c r="F411" i="169"/>
  <c r="J411" i="169"/>
  <c r="AK411" i="169" s="1"/>
  <c r="K411" i="169"/>
  <c r="AL411" i="169" s="1"/>
  <c r="L411" i="169"/>
  <c r="AM411" i="169" s="1"/>
  <c r="O411" i="169"/>
  <c r="AO411" i="169" s="1"/>
  <c r="P411" i="169"/>
  <c r="Q411" i="169"/>
  <c r="U411" i="169" s="1"/>
  <c r="AQ411" i="169" s="1"/>
  <c r="W411" i="169"/>
  <c r="A412" i="169"/>
  <c r="B412" i="169"/>
  <c r="D412" i="169"/>
  <c r="E412" i="169" s="1"/>
  <c r="F412" i="169"/>
  <c r="J412" i="169"/>
  <c r="AK412" i="169" s="1"/>
  <c r="K412" i="169"/>
  <c r="AL412" i="169" s="1"/>
  <c r="L412" i="169"/>
  <c r="AM412" i="169" s="1"/>
  <c r="O412" i="169"/>
  <c r="AO412" i="169" s="1"/>
  <c r="P412" i="169"/>
  <c r="Q412" i="169"/>
  <c r="U412" i="169" s="1"/>
  <c r="AQ412" i="169" s="1"/>
  <c r="W412" i="169"/>
  <c r="A413" i="169"/>
  <c r="B413" i="169"/>
  <c r="D413" i="169"/>
  <c r="E413" i="169" s="1"/>
  <c r="F413" i="169"/>
  <c r="J413" i="169"/>
  <c r="AK413" i="169" s="1"/>
  <c r="K413" i="169"/>
  <c r="AL413" i="169" s="1"/>
  <c r="L413" i="169"/>
  <c r="AM413" i="169" s="1"/>
  <c r="O413" i="169"/>
  <c r="AO413" i="169" s="1"/>
  <c r="P413" i="169"/>
  <c r="Q413" i="169"/>
  <c r="U413" i="169" s="1"/>
  <c r="AQ413" i="169" s="1"/>
  <c r="W413" i="169"/>
  <c r="A414" i="169"/>
  <c r="B414" i="169"/>
  <c r="D414" i="169"/>
  <c r="E414" i="169" s="1"/>
  <c r="F414" i="169"/>
  <c r="J414" i="169"/>
  <c r="AK414" i="169" s="1"/>
  <c r="K414" i="169"/>
  <c r="AL414" i="169" s="1"/>
  <c r="L414" i="169"/>
  <c r="AM414" i="169" s="1"/>
  <c r="O414" i="169"/>
  <c r="AO414" i="169" s="1"/>
  <c r="P414" i="169"/>
  <c r="Q414" i="169"/>
  <c r="U414" i="169" s="1"/>
  <c r="AQ414" i="169" s="1"/>
  <c r="W414" i="169"/>
  <c r="A415" i="169"/>
  <c r="B415" i="169"/>
  <c r="D415" i="169"/>
  <c r="E415" i="169" s="1"/>
  <c r="F415" i="169"/>
  <c r="J415" i="169"/>
  <c r="AK415" i="169" s="1"/>
  <c r="K415" i="169"/>
  <c r="AL415" i="169" s="1"/>
  <c r="L415" i="169"/>
  <c r="AM415" i="169" s="1"/>
  <c r="O415" i="169"/>
  <c r="AO415" i="169" s="1"/>
  <c r="P415" i="169"/>
  <c r="Q415" i="169"/>
  <c r="U415" i="169" s="1"/>
  <c r="AQ415" i="169" s="1"/>
  <c r="W415" i="169"/>
  <c r="A416" i="169"/>
  <c r="B416" i="169"/>
  <c r="D416" i="169"/>
  <c r="E416" i="169" s="1"/>
  <c r="F416" i="169"/>
  <c r="J416" i="169"/>
  <c r="AK416" i="169" s="1"/>
  <c r="K416" i="169"/>
  <c r="AL416" i="169" s="1"/>
  <c r="L416" i="169"/>
  <c r="AM416" i="169" s="1"/>
  <c r="O416" i="169"/>
  <c r="AO416" i="169" s="1"/>
  <c r="P416" i="169"/>
  <c r="Q416" i="169"/>
  <c r="U416" i="169" s="1"/>
  <c r="AQ416" i="169" s="1"/>
  <c r="W416" i="169"/>
  <c r="A417" i="169"/>
  <c r="B417" i="169"/>
  <c r="D417" i="169"/>
  <c r="E417" i="169" s="1"/>
  <c r="F417" i="169"/>
  <c r="J417" i="169"/>
  <c r="AK417" i="169" s="1"/>
  <c r="K417" i="169"/>
  <c r="AL417" i="169" s="1"/>
  <c r="L417" i="169"/>
  <c r="AM417" i="169" s="1"/>
  <c r="O417" i="169"/>
  <c r="AO417" i="169" s="1"/>
  <c r="P417" i="169"/>
  <c r="Q417" i="169"/>
  <c r="U417" i="169" s="1"/>
  <c r="AQ417" i="169" s="1"/>
  <c r="W417" i="169"/>
  <c r="A418" i="169"/>
  <c r="B418" i="169"/>
  <c r="D418" i="169"/>
  <c r="E418" i="169" s="1"/>
  <c r="F418" i="169"/>
  <c r="J418" i="169"/>
  <c r="AK418" i="169" s="1"/>
  <c r="K418" i="169"/>
  <c r="AL418" i="169" s="1"/>
  <c r="L418" i="169"/>
  <c r="AM418" i="169" s="1"/>
  <c r="O418" i="169"/>
  <c r="AO418" i="169" s="1"/>
  <c r="P418" i="169"/>
  <c r="Q418" i="169"/>
  <c r="U418" i="169" s="1"/>
  <c r="AQ418" i="169" s="1"/>
  <c r="W418" i="169"/>
  <c r="A419" i="169"/>
  <c r="B419" i="169"/>
  <c r="D419" i="169"/>
  <c r="E419" i="169" s="1"/>
  <c r="F419" i="169"/>
  <c r="J419" i="169"/>
  <c r="AK419" i="169" s="1"/>
  <c r="K419" i="169"/>
  <c r="AL419" i="169" s="1"/>
  <c r="L419" i="169"/>
  <c r="AM419" i="169" s="1"/>
  <c r="O419" i="169"/>
  <c r="AO419" i="169" s="1"/>
  <c r="P419" i="169"/>
  <c r="Q419" i="169"/>
  <c r="U419" i="169" s="1"/>
  <c r="AQ419" i="169" s="1"/>
  <c r="W419" i="169"/>
  <c r="A420" i="169"/>
  <c r="B420" i="169"/>
  <c r="D420" i="169"/>
  <c r="E420" i="169" s="1"/>
  <c r="F420" i="169"/>
  <c r="J420" i="169"/>
  <c r="AK420" i="169" s="1"/>
  <c r="K420" i="169"/>
  <c r="AL420" i="169" s="1"/>
  <c r="L420" i="169"/>
  <c r="AM420" i="169" s="1"/>
  <c r="O420" i="169"/>
  <c r="AO420" i="169" s="1"/>
  <c r="P420" i="169"/>
  <c r="Q420" i="169"/>
  <c r="U420" i="169" s="1"/>
  <c r="AQ420" i="169" s="1"/>
  <c r="W420" i="169"/>
  <c r="A421" i="169"/>
  <c r="B421" i="169"/>
  <c r="D421" i="169"/>
  <c r="E421" i="169" s="1"/>
  <c r="F421" i="169"/>
  <c r="J421" i="169"/>
  <c r="AK421" i="169" s="1"/>
  <c r="K421" i="169"/>
  <c r="AL421" i="169" s="1"/>
  <c r="L421" i="169"/>
  <c r="AM421" i="169" s="1"/>
  <c r="O421" i="169"/>
  <c r="AO421" i="169" s="1"/>
  <c r="P421" i="169"/>
  <c r="Q421" i="169"/>
  <c r="U421" i="169" s="1"/>
  <c r="AQ421" i="169" s="1"/>
  <c r="W421" i="169"/>
  <c r="A422" i="169"/>
  <c r="B422" i="169"/>
  <c r="D422" i="169"/>
  <c r="E422" i="169" s="1"/>
  <c r="F422" i="169"/>
  <c r="J422" i="169"/>
  <c r="AK422" i="169" s="1"/>
  <c r="K422" i="169"/>
  <c r="AL422" i="169" s="1"/>
  <c r="L422" i="169"/>
  <c r="AM422" i="169" s="1"/>
  <c r="O422" i="169"/>
  <c r="AO422" i="169" s="1"/>
  <c r="P422" i="169"/>
  <c r="Q422" i="169"/>
  <c r="U422" i="169" s="1"/>
  <c r="AQ422" i="169" s="1"/>
  <c r="W422" i="169"/>
  <c r="A423" i="169"/>
  <c r="B423" i="169"/>
  <c r="D423" i="169"/>
  <c r="E423" i="169" s="1"/>
  <c r="F423" i="169"/>
  <c r="J423" i="169"/>
  <c r="AK423" i="169" s="1"/>
  <c r="K423" i="169"/>
  <c r="AL423" i="169" s="1"/>
  <c r="L423" i="169"/>
  <c r="AM423" i="169" s="1"/>
  <c r="O423" i="169"/>
  <c r="AO423" i="169" s="1"/>
  <c r="P423" i="169"/>
  <c r="Q423" i="169"/>
  <c r="U423" i="169" s="1"/>
  <c r="AQ423" i="169" s="1"/>
  <c r="W423" i="169"/>
  <c r="A424" i="169"/>
  <c r="B424" i="169"/>
  <c r="D424" i="169"/>
  <c r="E424" i="169" s="1"/>
  <c r="F424" i="169"/>
  <c r="J424" i="169"/>
  <c r="AK424" i="169" s="1"/>
  <c r="K424" i="169"/>
  <c r="AL424" i="169" s="1"/>
  <c r="L424" i="169"/>
  <c r="AM424" i="169" s="1"/>
  <c r="O424" i="169"/>
  <c r="AO424" i="169" s="1"/>
  <c r="P424" i="169"/>
  <c r="Q424" i="169"/>
  <c r="U424" i="169" s="1"/>
  <c r="AQ424" i="169" s="1"/>
  <c r="W424" i="169"/>
  <c r="A425" i="169"/>
  <c r="B425" i="169"/>
  <c r="D425" i="169"/>
  <c r="E425" i="169" s="1"/>
  <c r="F425" i="169"/>
  <c r="J425" i="169"/>
  <c r="AK425" i="169" s="1"/>
  <c r="K425" i="169"/>
  <c r="AL425" i="169" s="1"/>
  <c r="L425" i="169"/>
  <c r="AM425" i="169" s="1"/>
  <c r="O425" i="169"/>
  <c r="AO425" i="169" s="1"/>
  <c r="P425" i="169"/>
  <c r="Q425" i="169"/>
  <c r="U425" i="169" s="1"/>
  <c r="AQ425" i="169" s="1"/>
  <c r="W425" i="169"/>
  <c r="A426" i="169"/>
  <c r="B426" i="169"/>
  <c r="D426" i="169"/>
  <c r="E426" i="169" s="1"/>
  <c r="F426" i="169"/>
  <c r="J426" i="169"/>
  <c r="AK426" i="169" s="1"/>
  <c r="K426" i="169"/>
  <c r="AL426" i="169" s="1"/>
  <c r="L426" i="169"/>
  <c r="AM426" i="169" s="1"/>
  <c r="O426" i="169"/>
  <c r="AO426" i="169" s="1"/>
  <c r="P426" i="169"/>
  <c r="Q426" i="169"/>
  <c r="U426" i="169" s="1"/>
  <c r="AQ426" i="169" s="1"/>
  <c r="W426" i="169"/>
  <c r="A427" i="169"/>
  <c r="B427" i="169"/>
  <c r="D427" i="169"/>
  <c r="E427" i="169" s="1"/>
  <c r="F427" i="169"/>
  <c r="J427" i="169"/>
  <c r="AK427" i="169" s="1"/>
  <c r="K427" i="169"/>
  <c r="AL427" i="169" s="1"/>
  <c r="L427" i="169"/>
  <c r="AM427" i="169" s="1"/>
  <c r="O427" i="169"/>
  <c r="AO427" i="169" s="1"/>
  <c r="P427" i="169"/>
  <c r="Q427" i="169"/>
  <c r="U427" i="169" s="1"/>
  <c r="AQ427" i="169" s="1"/>
  <c r="W427" i="169"/>
  <c r="A428" i="169"/>
  <c r="B428" i="169"/>
  <c r="D428" i="169"/>
  <c r="E428" i="169" s="1"/>
  <c r="F428" i="169"/>
  <c r="J428" i="169"/>
  <c r="AK428" i="169" s="1"/>
  <c r="K428" i="169"/>
  <c r="AL428" i="169" s="1"/>
  <c r="L428" i="169"/>
  <c r="AM428" i="169" s="1"/>
  <c r="O428" i="169"/>
  <c r="AO428" i="169" s="1"/>
  <c r="P428" i="169"/>
  <c r="Q428" i="169"/>
  <c r="U428" i="169" s="1"/>
  <c r="AQ428" i="169" s="1"/>
  <c r="W428" i="169"/>
  <c r="A429" i="169"/>
  <c r="B429" i="169"/>
  <c r="D429" i="169"/>
  <c r="E429" i="169" s="1"/>
  <c r="F429" i="169"/>
  <c r="J429" i="169"/>
  <c r="AK429" i="169" s="1"/>
  <c r="K429" i="169"/>
  <c r="AL429" i="169" s="1"/>
  <c r="L429" i="169"/>
  <c r="AM429" i="169" s="1"/>
  <c r="O429" i="169"/>
  <c r="AO429" i="169" s="1"/>
  <c r="P429" i="169"/>
  <c r="Q429" i="169"/>
  <c r="U429" i="169" s="1"/>
  <c r="AQ429" i="169" s="1"/>
  <c r="W429" i="169"/>
  <c r="A375" i="169"/>
  <c r="B375" i="169"/>
  <c r="D375" i="169"/>
  <c r="E375" i="169" s="1"/>
  <c r="F375" i="169"/>
  <c r="J375" i="169"/>
  <c r="AK375" i="169" s="1"/>
  <c r="K375" i="169"/>
  <c r="AL375" i="169" s="1"/>
  <c r="L375" i="169"/>
  <c r="AM375" i="169" s="1"/>
  <c r="O375" i="169"/>
  <c r="AO375" i="169" s="1"/>
  <c r="P375" i="169"/>
  <c r="Q375" i="169"/>
  <c r="U375" i="169" s="1"/>
  <c r="AQ375" i="169" s="1"/>
  <c r="W375" i="169"/>
  <c r="A376" i="169"/>
  <c r="B376" i="169"/>
  <c r="D376" i="169"/>
  <c r="E376" i="169" s="1"/>
  <c r="F376" i="169"/>
  <c r="J376" i="169"/>
  <c r="AK376" i="169" s="1"/>
  <c r="K376" i="169"/>
  <c r="AL376" i="169" s="1"/>
  <c r="L376" i="169"/>
  <c r="AM376" i="169" s="1"/>
  <c r="O376" i="169"/>
  <c r="AO376" i="169" s="1"/>
  <c r="P376" i="169"/>
  <c r="Q376" i="169"/>
  <c r="U376" i="169" s="1"/>
  <c r="AQ376" i="169" s="1"/>
  <c r="W376" i="169"/>
  <c r="A373" i="169"/>
  <c r="B373" i="169"/>
  <c r="D373" i="169"/>
  <c r="E373" i="169" s="1"/>
  <c r="F373" i="169"/>
  <c r="J373" i="169"/>
  <c r="AK373" i="169" s="1"/>
  <c r="K373" i="169"/>
  <c r="AL373" i="169" s="1"/>
  <c r="L373" i="169"/>
  <c r="AM373" i="169" s="1"/>
  <c r="O373" i="169"/>
  <c r="AO373" i="169" s="1"/>
  <c r="P373" i="169"/>
  <c r="Q373" i="169"/>
  <c r="U373" i="169" s="1"/>
  <c r="AQ373" i="169" s="1"/>
  <c r="W373" i="169"/>
  <c r="A374" i="169"/>
  <c r="B374" i="169"/>
  <c r="D374" i="169"/>
  <c r="E374" i="169" s="1"/>
  <c r="F374" i="169"/>
  <c r="J374" i="169"/>
  <c r="AK374" i="169" s="1"/>
  <c r="K374" i="169"/>
  <c r="AL374" i="169" s="1"/>
  <c r="L374" i="169"/>
  <c r="AM374" i="169" s="1"/>
  <c r="O374" i="169"/>
  <c r="AO374" i="169" s="1"/>
  <c r="P374" i="169"/>
  <c r="Q374" i="169"/>
  <c r="U374" i="169" s="1"/>
  <c r="AQ374" i="169" s="1"/>
  <c r="W374" i="169"/>
  <c r="A377" i="169"/>
  <c r="B377" i="169"/>
  <c r="D377" i="169"/>
  <c r="E377" i="169" s="1"/>
  <c r="F377" i="169"/>
  <c r="J377" i="169"/>
  <c r="AK377" i="169" s="1"/>
  <c r="K377" i="169"/>
  <c r="AL377" i="169" s="1"/>
  <c r="L377" i="169"/>
  <c r="AM377" i="169" s="1"/>
  <c r="O377" i="169"/>
  <c r="AO377" i="169" s="1"/>
  <c r="P377" i="169"/>
  <c r="Q377" i="169"/>
  <c r="U377" i="169" s="1"/>
  <c r="AQ377" i="169" s="1"/>
  <c r="W377" i="169"/>
  <c r="A378" i="169"/>
  <c r="B378" i="169"/>
  <c r="D378" i="169"/>
  <c r="E378" i="169" s="1"/>
  <c r="F378" i="169"/>
  <c r="J378" i="169"/>
  <c r="AK378" i="169" s="1"/>
  <c r="K378" i="169"/>
  <c r="AL378" i="169" s="1"/>
  <c r="L378" i="169"/>
  <c r="AM378" i="169" s="1"/>
  <c r="O378" i="169"/>
  <c r="AO378" i="169" s="1"/>
  <c r="P378" i="169"/>
  <c r="Q378" i="169"/>
  <c r="U378" i="169" s="1"/>
  <c r="AQ378" i="169" s="1"/>
  <c r="W378" i="169"/>
  <c r="A379" i="169"/>
  <c r="B379" i="169"/>
  <c r="D379" i="169"/>
  <c r="E379" i="169" s="1"/>
  <c r="F379" i="169"/>
  <c r="J379" i="169"/>
  <c r="AK379" i="169" s="1"/>
  <c r="K379" i="169"/>
  <c r="AL379" i="169" s="1"/>
  <c r="L379" i="169"/>
  <c r="AM379" i="169" s="1"/>
  <c r="O379" i="169"/>
  <c r="AO379" i="169" s="1"/>
  <c r="P379" i="169"/>
  <c r="Q379" i="169"/>
  <c r="U379" i="169" s="1"/>
  <c r="AQ379" i="169" s="1"/>
  <c r="W379" i="169"/>
  <c r="A380" i="169"/>
  <c r="B380" i="169"/>
  <c r="D380" i="169"/>
  <c r="E380" i="169" s="1"/>
  <c r="F380" i="169"/>
  <c r="J380" i="169"/>
  <c r="AK380" i="169" s="1"/>
  <c r="K380" i="169"/>
  <c r="AL380" i="169" s="1"/>
  <c r="L380" i="169"/>
  <c r="AM380" i="169" s="1"/>
  <c r="O380" i="169"/>
  <c r="AO380" i="169" s="1"/>
  <c r="P380" i="169"/>
  <c r="Q380" i="169"/>
  <c r="U380" i="169" s="1"/>
  <c r="AQ380" i="169" s="1"/>
  <c r="W380" i="169"/>
  <c r="A381" i="169"/>
  <c r="B381" i="169"/>
  <c r="D381" i="169"/>
  <c r="E381" i="169" s="1"/>
  <c r="F381" i="169"/>
  <c r="J381" i="169"/>
  <c r="AK381" i="169" s="1"/>
  <c r="K381" i="169"/>
  <c r="AL381" i="169" s="1"/>
  <c r="L381" i="169"/>
  <c r="AM381" i="169" s="1"/>
  <c r="O381" i="169"/>
  <c r="AO381" i="169" s="1"/>
  <c r="P381" i="169"/>
  <c r="Q381" i="169"/>
  <c r="U381" i="169" s="1"/>
  <c r="AQ381" i="169" s="1"/>
  <c r="W381" i="169"/>
  <c r="A382" i="169"/>
  <c r="B382" i="169"/>
  <c r="D382" i="169"/>
  <c r="E382" i="169" s="1"/>
  <c r="F382" i="169"/>
  <c r="J382" i="169"/>
  <c r="AK382" i="169" s="1"/>
  <c r="K382" i="169"/>
  <c r="AL382" i="169" s="1"/>
  <c r="L382" i="169"/>
  <c r="AM382" i="169" s="1"/>
  <c r="O382" i="169"/>
  <c r="AO382" i="169" s="1"/>
  <c r="P382" i="169"/>
  <c r="Q382" i="169"/>
  <c r="U382" i="169" s="1"/>
  <c r="AQ382" i="169" s="1"/>
  <c r="W382" i="169"/>
  <c r="A383" i="169"/>
  <c r="B383" i="169"/>
  <c r="D383" i="169"/>
  <c r="E383" i="169" s="1"/>
  <c r="F383" i="169"/>
  <c r="J383" i="169"/>
  <c r="AK383" i="169" s="1"/>
  <c r="K383" i="169"/>
  <c r="AL383" i="169" s="1"/>
  <c r="L383" i="169"/>
  <c r="AM383" i="169" s="1"/>
  <c r="O383" i="169"/>
  <c r="AO383" i="169" s="1"/>
  <c r="P383" i="169"/>
  <c r="Q383" i="169"/>
  <c r="U383" i="169" s="1"/>
  <c r="AQ383" i="169" s="1"/>
  <c r="W383" i="169"/>
  <c r="A384" i="169"/>
  <c r="B384" i="169"/>
  <c r="D384" i="169"/>
  <c r="E384" i="169" s="1"/>
  <c r="F384" i="169"/>
  <c r="J384" i="169"/>
  <c r="AK384" i="169" s="1"/>
  <c r="K384" i="169"/>
  <c r="AL384" i="169" s="1"/>
  <c r="L384" i="169"/>
  <c r="AM384" i="169" s="1"/>
  <c r="O384" i="169"/>
  <c r="AO384" i="169" s="1"/>
  <c r="P384" i="169"/>
  <c r="Q384" i="169"/>
  <c r="U384" i="169" s="1"/>
  <c r="AQ384" i="169" s="1"/>
  <c r="W384" i="169"/>
  <c r="A385" i="169"/>
  <c r="B385" i="169"/>
  <c r="D385" i="169"/>
  <c r="E385" i="169" s="1"/>
  <c r="F385" i="169"/>
  <c r="J385" i="169"/>
  <c r="AK385" i="169" s="1"/>
  <c r="K385" i="169"/>
  <c r="AL385" i="169" s="1"/>
  <c r="L385" i="169"/>
  <c r="AM385" i="169" s="1"/>
  <c r="O385" i="169"/>
  <c r="AO385" i="169" s="1"/>
  <c r="P385" i="169"/>
  <c r="Q385" i="169"/>
  <c r="U385" i="169" s="1"/>
  <c r="AQ385" i="169" s="1"/>
  <c r="W385" i="169"/>
  <c r="A386" i="169"/>
  <c r="B386" i="169"/>
  <c r="D386" i="169"/>
  <c r="E386" i="169" s="1"/>
  <c r="F386" i="169"/>
  <c r="J386" i="169"/>
  <c r="AK386" i="169" s="1"/>
  <c r="K386" i="169"/>
  <c r="AL386" i="169" s="1"/>
  <c r="L386" i="169"/>
  <c r="AM386" i="169" s="1"/>
  <c r="O386" i="169"/>
  <c r="AO386" i="169" s="1"/>
  <c r="P386" i="169"/>
  <c r="Q386" i="169"/>
  <c r="U386" i="169" s="1"/>
  <c r="AQ386" i="169" s="1"/>
  <c r="W386" i="169"/>
  <c r="A387" i="169"/>
  <c r="B387" i="169"/>
  <c r="D387" i="169"/>
  <c r="E387" i="169" s="1"/>
  <c r="F387" i="169"/>
  <c r="J387" i="169"/>
  <c r="AK387" i="169" s="1"/>
  <c r="K387" i="169"/>
  <c r="AL387" i="169" s="1"/>
  <c r="L387" i="169"/>
  <c r="AM387" i="169" s="1"/>
  <c r="O387" i="169"/>
  <c r="AO387" i="169" s="1"/>
  <c r="P387" i="169"/>
  <c r="Q387" i="169"/>
  <c r="U387" i="169" s="1"/>
  <c r="AQ387" i="169" s="1"/>
  <c r="W387" i="169"/>
  <c r="A388" i="169"/>
  <c r="B388" i="169"/>
  <c r="D388" i="169"/>
  <c r="E388" i="169" s="1"/>
  <c r="F388" i="169"/>
  <c r="J388" i="169"/>
  <c r="AK388" i="169" s="1"/>
  <c r="K388" i="169"/>
  <c r="AL388" i="169" s="1"/>
  <c r="L388" i="169"/>
  <c r="AM388" i="169" s="1"/>
  <c r="O388" i="169"/>
  <c r="AO388" i="169" s="1"/>
  <c r="P388" i="169"/>
  <c r="Q388" i="169"/>
  <c r="U388" i="169" s="1"/>
  <c r="AQ388" i="169" s="1"/>
  <c r="W388" i="169"/>
  <c r="A389" i="169"/>
  <c r="B389" i="169"/>
  <c r="D389" i="169"/>
  <c r="E389" i="169" s="1"/>
  <c r="F389" i="169"/>
  <c r="J389" i="169"/>
  <c r="AK389" i="169" s="1"/>
  <c r="K389" i="169"/>
  <c r="AL389" i="169" s="1"/>
  <c r="L389" i="169"/>
  <c r="AM389" i="169" s="1"/>
  <c r="O389" i="169"/>
  <c r="AO389" i="169" s="1"/>
  <c r="P389" i="169"/>
  <c r="Q389" i="169"/>
  <c r="U389" i="169" s="1"/>
  <c r="AQ389" i="169" s="1"/>
  <c r="W389" i="169"/>
  <c r="A390" i="169"/>
  <c r="B390" i="169"/>
  <c r="D390" i="169"/>
  <c r="E390" i="169" s="1"/>
  <c r="F390" i="169"/>
  <c r="J390" i="169"/>
  <c r="AK390" i="169" s="1"/>
  <c r="K390" i="169"/>
  <c r="AL390" i="169" s="1"/>
  <c r="L390" i="169"/>
  <c r="AM390" i="169" s="1"/>
  <c r="O390" i="169"/>
  <c r="AO390" i="169" s="1"/>
  <c r="P390" i="169"/>
  <c r="Q390" i="169"/>
  <c r="U390" i="169" s="1"/>
  <c r="AQ390" i="169" s="1"/>
  <c r="W390" i="169"/>
  <c r="A391" i="169"/>
  <c r="B391" i="169"/>
  <c r="D391" i="169"/>
  <c r="E391" i="169" s="1"/>
  <c r="F391" i="169"/>
  <c r="J391" i="169"/>
  <c r="AK391" i="169" s="1"/>
  <c r="K391" i="169"/>
  <c r="AL391" i="169" s="1"/>
  <c r="L391" i="169"/>
  <c r="AM391" i="169" s="1"/>
  <c r="O391" i="169"/>
  <c r="AO391" i="169" s="1"/>
  <c r="P391" i="169"/>
  <c r="Q391" i="169"/>
  <c r="U391" i="169" s="1"/>
  <c r="AQ391" i="169" s="1"/>
  <c r="W391" i="169"/>
  <c r="A367" i="169"/>
  <c r="B367" i="169"/>
  <c r="D367" i="169"/>
  <c r="E367" i="169" s="1"/>
  <c r="F367" i="169"/>
  <c r="J367" i="169"/>
  <c r="AK367" i="169" s="1"/>
  <c r="K367" i="169"/>
  <c r="AL367" i="169" s="1"/>
  <c r="L367" i="169"/>
  <c r="AM367" i="169" s="1"/>
  <c r="O367" i="169"/>
  <c r="AO367" i="169" s="1"/>
  <c r="P367" i="169"/>
  <c r="Q367" i="169"/>
  <c r="U367" i="169" s="1"/>
  <c r="AQ367" i="169" s="1"/>
  <c r="W367" i="169"/>
  <c r="A368" i="169"/>
  <c r="B368" i="169"/>
  <c r="D368" i="169"/>
  <c r="E368" i="169" s="1"/>
  <c r="F368" i="169"/>
  <c r="J368" i="169"/>
  <c r="AK368" i="169" s="1"/>
  <c r="K368" i="169"/>
  <c r="AL368" i="169" s="1"/>
  <c r="L368" i="169"/>
  <c r="AM368" i="169" s="1"/>
  <c r="O368" i="169"/>
  <c r="AO368" i="169" s="1"/>
  <c r="P368" i="169"/>
  <c r="Q368" i="169"/>
  <c r="U368" i="169" s="1"/>
  <c r="AQ368" i="169" s="1"/>
  <c r="W368" i="169"/>
  <c r="A349" i="169"/>
  <c r="B349" i="169"/>
  <c r="D349" i="169"/>
  <c r="E349" i="169" s="1"/>
  <c r="F349" i="169"/>
  <c r="J349" i="169"/>
  <c r="AK349" i="169" s="1"/>
  <c r="K349" i="169"/>
  <c r="AL349" i="169" s="1"/>
  <c r="L349" i="169"/>
  <c r="AM349" i="169" s="1"/>
  <c r="O349" i="169"/>
  <c r="AO349" i="169" s="1"/>
  <c r="P349" i="169"/>
  <c r="Q349" i="169"/>
  <c r="S349" i="169" s="1"/>
  <c r="AP349" i="169" s="1"/>
  <c r="W349" i="169"/>
  <c r="A350" i="169"/>
  <c r="B350" i="169"/>
  <c r="D350" i="169"/>
  <c r="E350" i="169" s="1"/>
  <c r="F350" i="169"/>
  <c r="J350" i="169"/>
  <c r="AK350" i="169" s="1"/>
  <c r="K350" i="169"/>
  <c r="AL350" i="169" s="1"/>
  <c r="L350" i="169"/>
  <c r="AM350" i="169" s="1"/>
  <c r="O350" i="169"/>
  <c r="AO350" i="169" s="1"/>
  <c r="P350" i="169"/>
  <c r="Q350" i="169"/>
  <c r="U350" i="169" s="1"/>
  <c r="AQ350" i="169" s="1"/>
  <c r="W350" i="169"/>
  <c r="A351" i="169"/>
  <c r="B351" i="169"/>
  <c r="D351" i="169"/>
  <c r="E351" i="169" s="1"/>
  <c r="F351" i="169"/>
  <c r="J351" i="169"/>
  <c r="AK351" i="169" s="1"/>
  <c r="K351" i="169"/>
  <c r="AL351" i="169" s="1"/>
  <c r="L351" i="169"/>
  <c r="AM351" i="169" s="1"/>
  <c r="O351" i="169"/>
  <c r="AO351" i="169" s="1"/>
  <c r="P351" i="169"/>
  <c r="Q351" i="169"/>
  <c r="U351" i="169" s="1"/>
  <c r="AQ351" i="169" s="1"/>
  <c r="W351" i="169"/>
  <c r="A352" i="169"/>
  <c r="B352" i="169"/>
  <c r="D352" i="169"/>
  <c r="E352" i="169" s="1"/>
  <c r="F352" i="169"/>
  <c r="J352" i="169"/>
  <c r="AK352" i="169" s="1"/>
  <c r="K352" i="169"/>
  <c r="AL352" i="169" s="1"/>
  <c r="L352" i="169"/>
  <c r="AM352" i="169" s="1"/>
  <c r="O352" i="169"/>
  <c r="AO352" i="169" s="1"/>
  <c r="P352" i="169"/>
  <c r="Q352" i="169"/>
  <c r="U352" i="169" s="1"/>
  <c r="AQ352" i="169" s="1"/>
  <c r="W352" i="169"/>
  <c r="A353" i="169"/>
  <c r="B353" i="169"/>
  <c r="D353" i="169"/>
  <c r="E353" i="169" s="1"/>
  <c r="F353" i="169"/>
  <c r="J353" i="169"/>
  <c r="AK353" i="169" s="1"/>
  <c r="K353" i="169"/>
  <c r="AL353" i="169" s="1"/>
  <c r="L353" i="169"/>
  <c r="AM353" i="169" s="1"/>
  <c r="O353" i="169"/>
  <c r="AO353" i="169" s="1"/>
  <c r="P353" i="169"/>
  <c r="Q353" i="169"/>
  <c r="U353" i="169" s="1"/>
  <c r="AQ353" i="169" s="1"/>
  <c r="W353" i="169"/>
  <c r="A354" i="169"/>
  <c r="B354" i="169"/>
  <c r="D354" i="169"/>
  <c r="E354" i="169" s="1"/>
  <c r="F354" i="169"/>
  <c r="J354" i="169"/>
  <c r="AK354" i="169" s="1"/>
  <c r="K354" i="169"/>
  <c r="AL354" i="169" s="1"/>
  <c r="L354" i="169"/>
  <c r="AM354" i="169" s="1"/>
  <c r="O354" i="169"/>
  <c r="AO354" i="169" s="1"/>
  <c r="P354" i="169"/>
  <c r="Q354" i="169"/>
  <c r="U354" i="169" s="1"/>
  <c r="AQ354" i="169" s="1"/>
  <c r="W354" i="169"/>
  <c r="A355" i="169"/>
  <c r="B355" i="169"/>
  <c r="D355" i="169"/>
  <c r="E355" i="169" s="1"/>
  <c r="F355" i="169"/>
  <c r="J355" i="169"/>
  <c r="AK355" i="169" s="1"/>
  <c r="K355" i="169"/>
  <c r="AL355" i="169" s="1"/>
  <c r="L355" i="169"/>
  <c r="AM355" i="169" s="1"/>
  <c r="O355" i="169"/>
  <c r="AO355" i="169" s="1"/>
  <c r="P355" i="169"/>
  <c r="Q355" i="169"/>
  <c r="S355" i="169" s="1"/>
  <c r="AP355" i="169" s="1"/>
  <c r="W355" i="169"/>
  <c r="A356" i="169"/>
  <c r="B356" i="169"/>
  <c r="D356" i="169"/>
  <c r="E356" i="169" s="1"/>
  <c r="F356" i="169"/>
  <c r="J356" i="169"/>
  <c r="AK356" i="169" s="1"/>
  <c r="K356" i="169"/>
  <c r="AL356" i="169" s="1"/>
  <c r="L356" i="169"/>
  <c r="AM356" i="169" s="1"/>
  <c r="O356" i="169"/>
  <c r="AO356" i="169" s="1"/>
  <c r="P356" i="169"/>
  <c r="Q356" i="169"/>
  <c r="U356" i="169" s="1"/>
  <c r="AQ356" i="169" s="1"/>
  <c r="W356" i="169"/>
  <c r="A357" i="169"/>
  <c r="B357" i="169"/>
  <c r="D357" i="169"/>
  <c r="E357" i="169" s="1"/>
  <c r="F357" i="169"/>
  <c r="J357" i="169"/>
  <c r="AK357" i="169" s="1"/>
  <c r="K357" i="169"/>
  <c r="AL357" i="169" s="1"/>
  <c r="L357" i="169"/>
  <c r="AM357" i="169" s="1"/>
  <c r="O357" i="169"/>
  <c r="AO357" i="169" s="1"/>
  <c r="P357" i="169"/>
  <c r="Q357" i="169"/>
  <c r="U357" i="169" s="1"/>
  <c r="AQ357" i="169" s="1"/>
  <c r="W357" i="169"/>
  <c r="A358" i="169"/>
  <c r="B358" i="169"/>
  <c r="D358" i="169"/>
  <c r="E358" i="169" s="1"/>
  <c r="F358" i="169"/>
  <c r="J358" i="169"/>
  <c r="AK358" i="169" s="1"/>
  <c r="K358" i="169"/>
  <c r="AL358" i="169" s="1"/>
  <c r="L358" i="169"/>
  <c r="AM358" i="169" s="1"/>
  <c r="O358" i="169"/>
  <c r="AO358" i="169" s="1"/>
  <c r="P358" i="169"/>
  <c r="Q358" i="169"/>
  <c r="U358" i="169" s="1"/>
  <c r="AQ358" i="169" s="1"/>
  <c r="W358" i="169"/>
  <c r="A359" i="169"/>
  <c r="B359" i="169"/>
  <c r="D359" i="169"/>
  <c r="E359" i="169" s="1"/>
  <c r="F359" i="169"/>
  <c r="J359" i="169"/>
  <c r="AK359" i="169" s="1"/>
  <c r="K359" i="169"/>
  <c r="AL359" i="169" s="1"/>
  <c r="L359" i="169"/>
  <c r="AM359" i="169" s="1"/>
  <c r="O359" i="169"/>
  <c r="AO359" i="169" s="1"/>
  <c r="P359" i="169"/>
  <c r="Q359" i="169"/>
  <c r="U359" i="169" s="1"/>
  <c r="AQ359" i="169" s="1"/>
  <c r="W359" i="169"/>
  <c r="A360" i="169"/>
  <c r="B360" i="169"/>
  <c r="D360" i="169"/>
  <c r="E360" i="169" s="1"/>
  <c r="F360" i="169"/>
  <c r="J360" i="169"/>
  <c r="AK360" i="169" s="1"/>
  <c r="K360" i="169"/>
  <c r="AL360" i="169" s="1"/>
  <c r="L360" i="169"/>
  <c r="AM360" i="169" s="1"/>
  <c r="O360" i="169"/>
  <c r="AO360" i="169" s="1"/>
  <c r="P360" i="169"/>
  <c r="Q360" i="169"/>
  <c r="S360" i="169" s="1"/>
  <c r="AP360" i="169" s="1"/>
  <c r="W360" i="169"/>
  <c r="A361" i="169"/>
  <c r="B361" i="169"/>
  <c r="D361" i="169"/>
  <c r="E361" i="169" s="1"/>
  <c r="F361" i="169"/>
  <c r="J361" i="169"/>
  <c r="AK361" i="169" s="1"/>
  <c r="K361" i="169"/>
  <c r="AL361" i="169" s="1"/>
  <c r="L361" i="169"/>
  <c r="AM361" i="169" s="1"/>
  <c r="O361" i="169"/>
  <c r="AO361" i="169" s="1"/>
  <c r="P361" i="169"/>
  <c r="Q361" i="169"/>
  <c r="U361" i="169" s="1"/>
  <c r="AQ361" i="169" s="1"/>
  <c r="W361" i="169"/>
  <c r="A362" i="169"/>
  <c r="B362" i="169"/>
  <c r="D362" i="169"/>
  <c r="E362" i="169" s="1"/>
  <c r="F362" i="169"/>
  <c r="J362" i="169"/>
  <c r="AK362" i="169" s="1"/>
  <c r="K362" i="169"/>
  <c r="AL362" i="169" s="1"/>
  <c r="L362" i="169"/>
  <c r="AM362" i="169" s="1"/>
  <c r="O362" i="169"/>
  <c r="AO362" i="169" s="1"/>
  <c r="P362" i="169"/>
  <c r="Q362" i="169"/>
  <c r="U362" i="169" s="1"/>
  <c r="AQ362" i="169" s="1"/>
  <c r="W362" i="169"/>
  <c r="A363" i="169"/>
  <c r="B363" i="169"/>
  <c r="D363" i="169"/>
  <c r="E363" i="169" s="1"/>
  <c r="F363" i="169"/>
  <c r="J363" i="169"/>
  <c r="AK363" i="169" s="1"/>
  <c r="K363" i="169"/>
  <c r="AL363" i="169" s="1"/>
  <c r="L363" i="169"/>
  <c r="AM363" i="169" s="1"/>
  <c r="O363" i="169"/>
  <c r="AO363" i="169" s="1"/>
  <c r="P363" i="169"/>
  <c r="Q363" i="169"/>
  <c r="U363" i="169" s="1"/>
  <c r="AQ363" i="169" s="1"/>
  <c r="W363" i="169"/>
  <c r="A364" i="169"/>
  <c r="B364" i="169"/>
  <c r="D364" i="169"/>
  <c r="E364" i="169" s="1"/>
  <c r="F364" i="169"/>
  <c r="J364" i="169"/>
  <c r="AK364" i="169" s="1"/>
  <c r="K364" i="169"/>
  <c r="AL364" i="169" s="1"/>
  <c r="L364" i="169"/>
  <c r="AM364" i="169" s="1"/>
  <c r="O364" i="169"/>
  <c r="AO364" i="169" s="1"/>
  <c r="P364" i="169"/>
  <c r="Q364" i="169"/>
  <c r="U364" i="169" s="1"/>
  <c r="AQ364" i="169" s="1"/>
  <c r="W364" i="169"/>
  <c r="A365" i="169"/>
  <c r="B365" i="169"/>
  <c r="D365" i="169"/>
  <c r="E365" i="169" s="1"/>
  <c r="F365" i="169"/>
  <c r="J365" i="169"/>
  <c r="AK365" i="169" s="1"/>
  <c r="K365" i="169"/>
  <c r="AL365" i="169" s="1"/>
  <c r="L365" i="169"/>
  <c r="AM365" i="169" s="1"/>
  <c r="O365" i="169"/>
  <c r="AO365" i="169" s="1"/>
  <c r="P365" i="169"/>
  <c r="Q365" i="169"/>
  <c r="U365" i="169" s="1"/>
  <c r="AQ365" i="169" s="1"/>
  <c r="W365" i="169"/>
  <c r="A366" i="169"/>
  <c r="B366" i="169"/>
  <c r="D366" i="169"/>
  <c r="E366" i="169" s="1"/>
  <c r="F366" i="169"/>
  <c r="J366" i="169"/>
  <c r="AK366" i="169" s="1"/>
  <c r="K366" i="169"/>
  <c r="AL366" i="169" s="1"/>
  <c r="L366" i="169"/>
  <c r="AM366" i="169" s="1"/>
  <c r="O366" i="169"/>
  <c r="AO366" i="169" s="1"/>
  <c r="P366" i="169"/>
  <c r="Q366" i="169"/>
  <c r="U366" i="169" s="1"/>
  <c r="AQ366" i="169" s="1"/>
  <c r="W366" i="169"/>
  <c r="A369" i="169"/>
  <c r="B369" i="169"/>
  <c r="D369" i="169"/>
  <c r="E369" i="169" s="1"/>
  <c r="F369" i="169"/>
  <c r="J369" i="169"/>
  <c r="AK369" i="169" s="1"/>
  <c r="K369" i="169"/>
  <c r="AL369" i="169" s="1"/>
  <c r="L369" i="169"/>
  <c r="AM369" i="169" s="1"/>
  <c r="O369" i="169"/>
  <c r="AO369" i="169" s="1"/>
  <c r="P369" i="169"/>
  <c r="Q369" i="169"/>
  <c r="U369" i="169" s="1"/>
  <c r="AQ369" i="169" s="1"/>
  <c r="W369" i="169"/>
  <c r="A370" i="169"/>
  <c r="B370" i="169"/>
  <c r="D370" i="169"/>
  <c r="E370" i="169" s="1"/>
  <c r="F370" i="169"/>
  <c r="J370" i="169"/>
  <c r="AK370" i="169" s="1"/>
  <c r="K370" i="169"/>
  <c r="AL370" i="169" s="1"/>
  <c r="L370" i="169"/>
  <c r="AM370" i="169" s="1"/>
  <c r="O370" i="169"/>
  <c r="AO370" i="169" s="1"/>
  <c r="P370" i="169"/>
  <c r="Q370" i="169"/>
  <c r="U370" i="169" s="1"/>
  <c r="AQ370" i="169" s="1"/>
  <c r="W370" i="169"/>
  <c r="A371" i="169"/>
  <c r="B371" i="169"/>
  <c r="D371" i="169"/>
  <c r="E371" i="169" s="1"/>
  <c r="F371" i="169"/>
  <c r="J371" i="169"/>
  <c r="AK371" i="169" s="1"/>
  <c r="K371" i="169"/>
  <c r="AL371" i="169" s="1"/>
  <c r="L371" i="169"/>
  <c r="AM371" i="169" s="1"/>
  <c r="O371" i="169"/>
  <c r="AO371" i="169" s="1"/>
  <c r="P371" i="169"/>
  <c r="Q371" i="169"/>
  <c r="U371" i="169" s="1"/>
  <c r="AQ371" i="169" s="1"/>
  <c r="W371" i="169"/>
  <c r="A372" i="169"/>
  <c r="B372" i="169"/>
  <c r="D372" i="169"/>
  <c r="E372" i="169" s="1"/>
  <c r="F372" i="169"/>
  <c r="J372" i="169"/>
  <c r="AK372" i="169" s="1"/>
  <c r="K372" i="169"/>
  <c r="AL372" i="169" s="1"/>
  <c r="L372" i="169"/>
  <c r="AM372" i="169" s="1"/>
  <c r="O372" i="169"/>
  <c r="AO372" i="169" s="1"/>
  <c r="P372" i="169"/>
  <c r="Q372" i="169"/>
  <c r="U372" i="169" s="1"/>
  <c r="AQ372" i="169" s="1"/>
  <c r="W372" i="169"/>
  <c r="A457" i="169"/>
  <c r="B457" i="169"/>
  <c r="D457" i="169"/>
  <c r="E457" i="169" s="1"/>
  <c r="F457" i="169"/>
  <c r="J457" i="169"/>
  <c r="AK457" i="169" s="1"/>
  <c r="K457" i="169"/>
  <c r="AL457" i="169" s="1"/>
  <c r="L457" i="169"/>
  <c r="AM457" i="169" s="1"/>
  <c r="O457" i="169"/>
  <c r="AO457" i="169" s="1"/>
  <c r="P457" i="169"/>
  <c r="Q457" i="169"/>
  <c r="U457" i="169" s="1"/>
  <c r="AQ457" i="169" s="1"/>
  <c r="W457" i="169"/>
  <c r="A458" i="169"/>
  <c r="B458" i="169"/>
  <c r="D458" i="169"/>
  <c r="E458" i="169" s="1"/>
  <c r="F458" i="169"/>
  <c r="J458" i="169"/>
  <c r="AK458" i="169" s="1"/>
  <c r="K458" i="169"/>
  <c r="AL458" i="169" s="1"/>
  <c r="L458" i="169"/>
  <c r="AM458" i="169" s="1"/>
  <c r="O458" i="169"/>
  <c r="AO458" i="169" s="1"/>
  <c r="P458" i="169"/>
  <c r="Q458" i="169"/>
  <c r="U458" i="169" s="1"/>
  <c r="AQ458" i="169" s="1"/>
  <c r="W458" i="169"/>
  <c r="AE4" i="169"/>
  <c r="AE3" i="169"/>
  <c r="S500" i="169" l="1"/>
  <c r="AP500" i="169" s="1"/>
  <c r="V500" i="169"/>
  <c r="AR500" i="169" s="1"/>
  <c r="X500" i="169"/>
  <c r="AF500" i="169" s="1"/>
  <c r="S483" i="169"/>
  <c r="AP483" i="169" s="1"/>
  <c r="V483" i="169"/>
  <c r="AR483" i="169" s="1"/>
  <c r="S486" i="169"/>
  <c r="AP486" i="169" s="1"/>
  <c r="V486" i="169"/>
  <c r="AR486" i="169" s="1"/>
  <c r="X486" i="169"/>
  <c r="AF486" i="169" s="1"/>
  <c r="X483" i="169"/>
  <c r="AF483" i="169" s="1"/>
  <c r="V482" i="169"/>
  <c r="AR482" i="169" s="1"/>
  <c r="X482" i="169"/>
  <c r="AF482" i="169" s="1"/>
  <c r="S482" i="169"/>
  <c r="AP482" i="169" s="1"/>
  <c r="U485" i="169"/>
  <c r="AQ485" i="169" s="1"/>
  <c r="U488" i="169"/>
  <c r="AQ488" i="169" s="1"/>
  <c r="S484" i="169"/>
  <c r="AP484" i="169" s="1"/>
  <c r="V484" i="169"/>
  <c r="AR484" i="169" s="1"/>
  <c r="X484" i="169"/>
  <c r="AF484" i="169" s="1"/>
  <c r="V487" i="169"/>
  <c r="AR487" i="169" s="1"/>
  <c r="X487" i="169"/>
  <c r="AF487" i="169" s="1"/>
  <c r="S487" i="169"/>
  <c r="AP487" i="169" s="1"/>
  <c r="U492" i="169"/>
  <c r="AQ492" i="169" s="1"/>
  <c r="V496" i="169"/>
  <c r="AR496" i="169" s="1"/>
  <c r="V489" i="169"/>
  <c r="AR489" i="169" s="1"/>
  <c r="X489" i="169"/>
  <c r="AF489" i="169" s="1"/>
  <c r="S496" i="169"/>
  <c r="AP496" i="169" s="1"/>
  <c r="S489" i="169"/>
  <c r="AP489" i="169" s="1"/>
  <c r="U490" i="169"/>
  <c r="AQ490" i="169" s="1"/>
  <c r="V491" i="169"/>
  <c r="AR491" i="169" s="1"/>
  <c r="X491" i="169"/>
  <c r="AF491" i="169" s="1"/>
  <c r="S491" i="169"/>
  <c r="AP491" i="169" s="1"/>
  <c r="V493" i="169"/>
  <c r="AR493" i="169" s="1"/>
  <c r="X493" i="169"/>
  <c r="AF493" i="169" s="1"/>
  <c r="X496" i="169"/>
  <c r="AF496" i="169" s="1"/>
  <c r="S493" i="169"/>
  <c r="AP493" i="169" s="1"/>
  <c r="V503" i="169"/>
  <c r="AR503" i="169" s="1"/>
  <c r="U494" i="169"/>
  <c r="AQ494" i="169" s="1"/>
  <c r="V495" i="169"/>
  <c r="AR495" i="169" s="1"/>
  <c r="X495" i="169"/>
  <c r="AF495" i="169" s="1"/>
  <c r="S495" i="169"/>
  <c r="AP495" i="169" s="1"/>
  <c r="S501" i="169"/>
  <c r="AP501" i="169" s="1"/>
  <c r="X501" i="169"/>
  <c r="AF501" i="169" s="1"/>
  <c r="V501" i="169"/>
  <c r="AR501" i="169" s="1"/>
  <c r="V497" i="169"/>
  <c r="AR497" i="169" s="1"/>
  <c r="X497" i="169"/>
  <c r="AF497" i="169" s="1"/>
  <c r="S497" i="169"/>
  <c r="AP497" i="169" s="1"/>
  <c r="S503" i="169"/>
  <c r="U498" i="169"/>
  <c r="AQ498" i="169" s="1"/>
  <c r="U510" i="169"/>
  <c r="V499" i="169"/>
  <c r="AR499" i="169" s="1"/>
  <c r="X499" i="169"/>
  <c r="AF499" i="169" s="1"/>
  <c r="S499" i="169"/>
  <c r="AP499" i="169" s="1"/>
  <c r="X503" i="169"/>
  <c r="AF503" i="169" s="1"/>
  <c r="S512" i="169"/>
  <c r="U511" i="169"/>
  <c r="V512" i="169"/>
  <c r="AR512" i="169" s="1"/>
  <c r="V502" i="169"/>
  <c r="AR502" i="169" s="1"/>
  <c r="X502" i="169"/>
  <c r="AF502" i="169" s="1"/>
  <c r="S502" i="169"/>
  <c r="U505" i="169"/>
  <c r="S504" i="169"/>
  <c r="V504" i="169"/>
  <c r="AR504" i="169" s="1"/>
  <c r="X504" i="169"/>
  <c r="AF504" i="169" s="1"/>
  <c r="U507" i="169"/>
  <c r="AQ507" i="169" s="1"/>
  <c r="V506" i="169"/>
  <c r="AR506" i="169" s="1"/>
  <c r="X506" i="169"/>
  <c r="AF506" i="169" s="1"/>
  <c r="S506" i="169"/>
  <c r="V508" i="169"/>
  <c r="AR508" i="169" s="1"/>
  <c r="X508" i="169"/>
  <c r="AF508" i="169" s="1"/>
  <c r="X512" i="169"/>
  <c r="AF512" i="169" s="1"/>
  <c r="S508" i="169"/>
  <c r="U509" i="169"/>
  <c r="AQ509" i="169" s="1"/>
  <c r="V513" i="169"/>
  <c r="AR513" i="169" s="1"/>
  <c r="X513" i="169"/>
  <c r="AF513" i="169" s="1"/>
  <c r="S513" i="169"/>
  <c r="V471" i="169"/>
  <c r="AR471" i="169" s="1"/>
  <c r="X471" i="169"/>
  <c r="AF471" i="169" s="1"/>
  <c r="S471" i="169"/>
  <c r="AP471" i="169" s="1"/>
  <c r="V472" i="169"/>
  <c r="AR472" i="169" s="1"/>
  <c r="X472" i="169"/>
  <c r="AF472" i="169" s="1"/>
  <c r="S472" i="169"/>
  <c r="AP472" i="169" s="1"/>
  <c r="S475" i="169"/>
  <c r="AP475" i="169" s="1"/>
  <c r="V473" i="169"/>
  <c r="AR473" i="169" s="1"/>
  <c r="X473" i="169"/>
  <c r="AF473" i="169" s="1"/>
  <c r="S473" i="169"/>
  <c r="AP473" i="169" s="1"/>
  <c r="V474" i="169"/>
  <c r="AR474" i="169" s="1"/>
  <c r="X474" i="169"/>
  <c r="AF474" i="169" s="1"/>
  <c r="S474" i="169"/>
  <c r="AP474" i="169" s="1"/>
  <c r="V475" i="169"/>
  <c r="AR475" i="169" s="1"/>
  <c r="X475" i="169"/>
  <c r="AF475" i="169" s="1"/>
  <c r="U476" i="169"/>
  <c r="AQ476" i="169" s="1"/>
  <c r="V477" i="169"/>
  <c r="AR477" i="169" s="1"/>
  <c r="X477" i="169"/>
  <c r="AF477" i="169" s="1"/>
  <c r="S477" i="169"/>
  <c r="AP477" i="169" s="1"/>
  <c r="U480" i="169"/>
  <c r="AQ480" i="169" s="1"/>
  <c r="V478" i="169"/>
  <c r="AR478" i="169" s="1"/>
  <c r="X478" i="169"/>
  <c r="AF478" i="169" s="1"/>
  <c r="S478" i="169"/>
  <c r="AP478" i="169" s="1"/>
  <c r="V481" i="169"/>
  <c r="AR481" i="169" s="1"/>
  <c r="X481" i="169"/>
  <c r="AF481" i="169" s="1"/>
  <c r="S481" i="169"/>
  <c r="AP481" i="169" s="1"/>
  <c r="V514" i="169"/>
  <c r="AR514" i="169" s="1"/>
  <c r="X514" i="169"/>
  <c r="AF514" i="169" s="1"/>
  <c r="S514" i="169"/>
  <c r="V459" i="169"/>
  <c r="AR459" i="169" s="1"/>
  <c r="X459" i="169"/>
  <c r="AF459" i="169" s="1"/>
  <c r="S459" i="169"/>
  <c r="AP459" i="169" s="1"/>
  <c r="V460" i="169"/>
  <c r="AR460" i="169" s="1"/>
  <c r="X460" i="169"/>
  <c r="AF460" i="169" s="1"/>
  <c r="S460" i="169"/>
  <c r="AP460" i="169" s="1"/>
  <c r="V461" i="169"/>
  <c r="AR461" i="169" s="1"/>
  <c r="X461" i="169"/>
  <c r="AF461" i="169" s="1"/>
  <c r="S461" i="169"/>
  <c r="AP461" i="169" s="1"/>
  <c r="V462" i="169"/>
  <c r="AR462" i="169" s="1"/>
  <c r="X462" i="169"/>
  <c r="AF462" i="169" s="1"/>
  <c r="S462" i="169"/>
  <c r="AP462" i="169" s="1"/>
  <c r="V463" i="169"/>
  <c r="AR463" i="169" s="1"/>
  <c r="X463" i="169"/>
  <c r="AF463" i="169" s="1"/>
  <c r="S463" i="169"/>
  <c r="AP463" i="169" s="1"/>
  <c r="S464" i="169"/>
  <c r="AP464" i="169" s="1"/>
  <c r="V464" i="169"/>
  <c r="AR464" i="169" s="1"/>
  <c r="X464" i="169"/>
  <c r="AF464" i="169" s="1"/>
  <c r="V465" i="169"/>
  <c r="AR465" i="169" s="1"/>
  <c r="X465" i="169"/>
  <c r="AF465" i="169" s="1"/>
  <c r="S465" i="169"/>
  <c r="AP465" i="169" s="1"/>
  <c r="V466" i="169"/>
  <c r="AR466" i="169" s="1"/>
  <c r="X466" i="169"/>
  <c r="AF466" i="169" s="1"/>
  <c r="S466" i="169"/>
  <c r="AP466" i="169" s="1"/>
  <c r="S467" i="169"/>
  <c r="AP467" i="169" s="1"/>
  <c r="V467" i="169"/>
  <c r="AR467" i="169" s="1"/>
  <c r="X467" i="169"/>
  <c r="AF467" i="169" s="1"/>
  <c r="V468" i="169"/>
  <c r="AR468" i="169" s="1"/>
  <c r="X468" i="169"/>
  <c r="AF468" i="169" s="1"/>
  <c r="S468" i="169"/>
  <c r="AP468" i="169" s="1"/>
  <c r="V469" i="169"/>
  <c r="AR469" i="169" s="1"/>
  <c r="X469" i="169"/>
  <c r="AF469" i="169" s="1"/>
  <c r="S469" i="169"/>
  <c r="AP469" i="169" s="1"/>
  <c r="S515" i="169"/>
  <c r="S470" i="169"/>
  <c r="AP470" i="169" s="1"/>
  <c r="V470" i="169"/>
  <c r="AR470" i="169" s="1"/>
  <c r="X470" i="169"/>
  <c r="AF470" i="169" s="1"/>
  <c r="V515" i="169"/>
  <c r="AR515" i="169" s="1"/>
  <c r="X515" i="169"/>
  <c r="AF515" i="169" s="1"/>
  <c r="V516" i="169"/>
  <c r="AR516" i="169" s="1"/>
  <c r="X516" i="169"/>
  <c r="AF516" i="169" s="1"/>
  <c r="S516" i="169"/>
  <c r="V454" i="169"/>
  <c r="AR454" i="169" s="1"/>
  <c r="X454" i="169"/>
  <c r="AF454" i="169" s="1"/>
  <c r="S454" i="169"/>
  <c r="AP454" i="169" s="1"/>
  <c r="V440" i="169"/>
  <c r="AR440" i="169" s="1"/>
  <c r="X440" i="169"/>
  <c r="AF440" i="169" s="1"/>
  <c r="S440" i="169"/>
  <c r="AP440" i="169" s="1"/>
  <c r="V441" i="169"/>
  <c r="AR441" i="169" s="1"/>
  <c r="X441" i="169"/>
  <c r="AF441" i="169" s="1"/>
  <c r="S441" i="169"/>
  <c r="AP441" i="169" s="1"/>
  <c r="S442" i="169"/>
  <c r="AP442" i="169" s="1"/>
  <c r="V442" i="169"/>
  <c r="AR442" i="169" s="1"/>
  <c r="X442" i="169"/>
  <c r="AF442" i="169" s="1"/>
  <c r="S443" i="169"/>
  <c r="AP443" i="169" s="1"/>
  <c r="V443" i="169"/>
  <c r="AR443" i="169" s="1"/>
  <c r="X443" i="169"/>
  <c r="AF443" i="169" s="1"/>
  <c r="V444" i="169"/>
  <c r="AR444" i="169" s="1"/>
  <c r="X444" i="169"/>
  <c r="AF444" i="169" s="1"/>
  <c r="S444" i="169"/>
  <c r="AP444" i="169" s="1"/>
  <c r="S447" i="169"/>
  <c r="AP447" i="169" s="1"/>
  <c r="S445" i="169"/>
  <c r="AP445" i="169" s="1"/>
  <c r="V445" i="169"/>
  <c r="AR445" i="169" s="1"/>
  <c r="X445" i="169"/>
  <c r="AF445" i="169" s="1"/>
  <c r="S446" i="169"/>
  <c r="AP446" i="169" s="1"/>
  <c r="V446" i="169"/>
  <c r="AR446" i="169" s="1"/>
  <c r="X446" i="169"/>
  <c r="AF446" i="169" s="1"/>
  <c r="V447" i="169"/>
  <c r="AR447" i="169" s="1"/>
  <c r="X447" i="169"/>
  <c r="AF447" i="169" s="1"/>
  <c r="S451" i="169"/>
  <c r="AP451" i="169" s="1"/>
  <c r="S450" i="169"/>
  <c r="AP450" i="169" s="1"/>
  <c r="U449" i="169"/>
  <c r="AQ449" i="169" s="1"/>
  <c r="S448" i="169"/>
  <c r="AP448" i="169" s="1"/>
  <c r="V448" i="169"/>
  <c r="AR448" i="169" s="1"/>
  <c r="X448" i="169"/>
  <c r="AF448" i="169" s="1"/>
  <c r="S452" i="169"/>
  <c r="AP452" i="169" s="1"/>
  <c r="V450" i="169"/>
  <c r="AR450" i="169" s="1"/>
  <c r="X450" i="169"/>
  <c r="AF450" i="169" s="1"/>
  <c r="V451" i="169"/>
  <c r="AR451" i="169" s="1"/>
  <c r="X451" i="169"/>
  <c r="AF451" i="169" s="1"/>
  <c r="S455" i="169"/>
  <c r="AP455" i="169" s="1"/>
  <c r="V452" i="169"/>
  <c r="AR452" i="169" s="1"/>
  <c r="X452" i="169"/>
  <c r="AF452" i="169" s="1"/>
  <c r="V453" i="169"/>
  <c r="AR453" i="169" s="1"/>
  <c r="X453" i="169"/>
  <c r="AF453" i="169" s="1"/>
  <c r="S453" i="169"/>
  <c r="AP453" i="169" s="1"/>
  <c r="V455" i="169"/>
  <c r="AR455" i="169" s="1"/>
  <c r="X455" i="169"/>
  <c r="AF455" i="169" s="1"/>
  <c r="V456" i="169"/>
  <c r="AR456" i="169" s="1"/>
  <c r="X456" i="169"/>
  <c r="AF456" i="169" s="1"/>
  <c r="S456" i="169"/>
  <c r="AP456" i="169" s="1"/>
  <c r="AJ612" i="169"/>
  <c r="AJ611" i="169"/>
  <c r="AJ517" i="169"/>
  <c r="S431" i="169"/>
  <c r="AP431" i="169" s="1"/>
  <c r="S433" i="169"/>
  <c r="AP433" i="169" s="1"/>
  <c r="V430" i="169"/>
  <c r="AR430" i="169" s="1"/>
  <c r="X430" i="169"/>
  <c r="AF430" i="169" s="1"/>
  <c r="S430" i="169"/>
  <c r="AP430" i="169" s="1"/>
  <c r="V431" i="169"/>
  <c r="AR431" i="169" s="1"/>
  <c r="X431" i="169"/>
  <c r="AF431" i="169" s="1"/>
  <c r="V432" i="169"/>
  <c r="AR432" i="169" s="1"/>
  <c r="X432" i="169"/>
  <c r="AF432" i="169" s="1"/>
  <c r="S432" i="169"/>
  <c r="AP432" i="169" s="1"/>
  <c r="V433" i="169"/>
  <c r="AR433" i="169" s="1"/>
  <c r="X433" i="169"/>
  <c r="AF433" i="169" s="1"/>
  <c r="V434" i="169"/>
  <c r="AR434" i="169" s="1"/>
  <c r="X434" i="169"/>
  <c r="AF434" i="169" s="1"/>
  <c r="S434" i="169"/>
  <c r="AP434" i="169" s="1"/>
  <c r="V435" i="169"/>
  <c r="AR435" i="169" s="1"/>
  <c r="X435" i="169"/>
  <c r="AF435" i="169" s="1"/>
  <c r="S435" i="169"/>
  <c r="AP435" i="169" s="1"/>
  <c r="V436" i="169"/>
  <c r="AR436" i="169" s="1"/>
  <c r="X436" i="169"/>
  <c r="AF436" i="169" s="1"/>
  <c r="S436" i="169"/>
  <c r="AP436" i="169" s="1"/>
  <c r="S438" i="169"/>
  <c r="AP438" i="169" s="1"/>
  <c r="V437" i="169"/>
  <c r="AR437" i="169" s="1"/>
  <c r="X437" i="169"/>
  <c r="AF437" i="169" s="1"/>
  <c r="S437" i="169"/>
  <c r="AP437" i="169" s="1"/>
  <c r="V438" i="169"/>
  <c r="AR438" i="169" s="1"/>
  <c r="X438" i="169"/>
  <c r="AF438" i="169" s="1"/>
  <c r="V439" i="169"/>
  <c r="AR439" i="169" s="1"/>
  <c r="X439" i="169"/>
  <c r="AF439" i="169" s="1"/>
  <c r="S439" i="169"/>
  <c r="AP439" i="169" s="1"/>
  <c r="S402" i="169"/>
  <c r="AP402" i="169" s="1"/>
  <c r="V401" i="169"/>
  <c r="AR401" i="169" s="1"/>
  <c r="X401" i="169"/>
  <c r="AF401" i="169" s="1"/>
  <c r="S401" i="169"/>
  <c r="AP401" i="169" s="1"/>
  <c r="V402" i="169"/>
  <c r="AR402" i="169" s="1"/>
  <c r="X402" i="169"/>
  <c r="AF402" i="169" s="1"/>
  <c r="U392" i="169"/>
  <c r="AQ392" i="169" s="1"/>
  <c r="S393" i="169"/>
  <c r="AP393" i="169" s="1"/>
  <c r="V393" i="169"/>
  <c r="AR393" i="169" s="1"/>
  <c r="X393" i="169"/>
  <c r="AF393" i="169" s="1"/>
  <c r="V394" i="169"/>
  <c r="AR394" i="169" s="1"/>
  <c r="X394" i="169"/>
  <c r="AF394" i="169" s="1"/>
  <c r="S394" i="169"/>
  <c r="AP394" i="169" s="1"/>
  <c r="S398" i="169"/>
  <c r="AP398" i="169" s="1"/>
  <c r="V395" i="169"/>
  <c r="AR395" i="169" s="1"/>
  <c r="X395" i="169"/>
  <c r="AF395" i="169" s="1"/>
  <c r="S395" i="169"/>
  <c r="AP395" i="169" s="1"/>
  <c r="V396" i="169"/>
  <c r="AR396" i="169" s="1"/>
  <c r="X396" i="169"/>
  <c r="AF396" i="169" s="1"/>
  <c r="S396" i="169"/>
  <c r="AP396" i="169" s="1"/>
  <c r="V397" i="169"/>
  <c r="AR397" i="169" s="1"/>
  <c r="X397" i="169"/>
  <c r="AF397" i="169" s="1"/>
  <c r="S397" i="169"/>
  <c r="AP397" i="169" s="1"/>
  <c r="V398" i="169"/>
  <c r="AR398" i="169" s="1"/>
  <c r="X398" i="169"/>
  <c r="AF398" i="169" s="1"/>
  <c r="S400" i="169"/>
  <c r="AP400" i="169" s="1"/>
  <c r="S399" i="169"/>
  <c r="AP399" i="169" s="1"/>
  <c r="V399" i="169"/>
  <c r="AR399" i="169" s="1"/>
  <c r="X399" i="169"/>
  <c r="AF399" i="169" s="1"/>
  <c r="S408" i="169"/>
  <c r="AP408" i="169" s="1"/>
  <c r="V400" i="169"/>
  <c r="AR400" i="169" s="1"/>
  <c r="X400" i="169"/>
  <c r="AF400" i="169" s="1"/>
  <c r="S405" i="169"/>
  <c r="AP405" i="169" s="1"/>
  <c r="S404" i="169"/>
  <c r="AP404" i="169" s="1"/>
  <c r="V403" i="169"/>
  <c r="AR403" i="169" s="1"/>
  <c r="X403" i="169"/>
  <c r="AF403" i="169" s="1"/>
  <c r="S403" i="169"/>
  <c r="AP403" i="169" s="1"/>
  <c r="V404" i="169"/>
  <c r="AR404" i="169" s="1"/>
  <c r="X404" i="169"/>
  <c r="AF404" i="169" s="1"/>
  <c r="V405" i="169"/>
  <c r="AR405" i="169" s="1"/>
  <c r="X405" i="169"/>
  <c r="AF405" i="169" s="1"/>
  <c r="S410" i="169"/>
  <c r="AP410" i="169" s="1"/>
  <c r="S409" i="169"/>
  <c r="AP409" i="169" s="1"/>
  <c r="V406" i="169"/>
  <c r="AR406" i="169" s="1"/>
  <c r="X406" i="169"/>
  <c r="AF406" i="169" s="1"/>
  <c r="S406" i="169"/>
  <c r="AP406" i="169" s="1"/>
  <c r="V408" i="169"/>
  <c r="AR408" i="169" s="1"/>
  <c r="X408" i="169"/>
  <c r="AF408" i="169" s="1"/>
  <c r="V409" i="169"/>
  <c r="AR409" i="169" s="1"/>
  <c r="X409" i="169"/>
  <c r="AF409" i="169" s="1"/>
  <c r="S411" i="169"/>
  <c r="AP411" i="169" s="1"/>
  <c r="V410" i="169"/>
  <c r="AR410" i="169" s="1"/>
  <c r="X410" i="169"/>
  <c r="AF410" i="169" s="1"/>
  <c r="V411" i="169"/>
  <c r="AR411" i="169" s="1"/>
  <c r="X411" i="169"/>
  <c r="AF411" i="169" s="1"/>
  <c r="V412" i="169"/>
  <c r="AR412" i="169" s="1"/>
  <c r="X412" i="169"/>
  <c r="AF412" i="169" s="1"/>
  <c r="S412" i="169"/>
  <c r="AP412" i="169" s="1"/>
  <c r="S413" i="169"/>
  <c r="AP413" i="169" s="1"/>
  <c r="V413" i="169"/>
  <c r="AR413" i="169" s="1"/>
  <c r="X413" i="169"/>
  <c r="AF413" i="169" s="1"/>
  <c r="S418" i="169"/>
  <c r="AP418" i="169" s="1"/>
  <c r="S417" i="169"/>
  <c r="AP417" i="169" s="1"/>
  <c r="S416" i="169"/>
  <c r="AP416" i="169" s="1"/>
  <c r="V414" i="169"/>
  <c r="AR414" i="169" s="1"/>
  <c r="X414" i="169"/>
  <c r="AF414" i="169" s="1"/>
  <c r="S414" i="169"/>
  <c r="AP414" i="169" s="1"/>
  <c r="S424" i="169"/>
  <c r="AP424" i="169" s="1"/>
  <c r="V415" i="169"/>
  <c r="AR415" i="169" s="1"/>
  <c r="X415" i="169"/>
  <c r="AF415" i="169" s="1"/>
  <c r="S415" i="169"/>
  <c r="AP415" i="169" s="1"/>
  <c r="V416" i="169"/>
  <c r="AR416" i="169" s="1"/>
  <c r="X416" i="169"/>
  <c r="AF416" i="169" s="1"/>
  <c r="V417" i="169"/>
  <c r="AR417" i="169" s="1"/>
  <c r="X417" i="169"/>
  <c r="AF417" i="169" s="1"/>
  <c r="V418" i="169"/>
  <c r="AR418" i="169" s="1"/>
  <c r="X418" i="169"/>
  <c r="AF418" i="169" s="1"/>
  <c r="S421" i="169"/>
  <c r="AP421" i="169" s="1"/>
  <c r="S420" i="169"/>
  <c r="AP420" i="169" s="1"/>
  <c r="S419" i="169"/>
  <c r="AP419" i="169" s="1"/>
  <c r="V419" i="169"/>
  <c r="AR419" i="169" s="1"/>
  <c r="X419" i="169"/>
  <c r="AF419" i="169" s="1"/>
  <c r="V420" i="169"/>
  <c r="AR420" i="169" s="1"/>
  <c r="X420" i="169"/>
  <c r="AF420" i="169" s="1"/>
  <c r="S427" i="169"/>
  <c r="AP427" i="169" s="1"/>
  <c r="S426" i="169"/>
  <c r="AP426" i="169" s="1"/>
  <c r="V421" i="169"/>
  <c r="AR421" i="169" s="1"/>
  <c r="X421" i="169"/>
  <c r="AF421" i="169" s="1"/>
  <c r="V422" i="169"/>
  <c r="AR422" i="169" s="1"/>
  <c r="X422" i="169"/>
  <c r="AF422" i="169" s="1"/>
  <c r="S422" i="169"/>
  <c r="AP422" i="169" s="1"/>
  <c r="S423" i="169"/>
  <c r="AP423" i="169" s="1"/>
  <c r="V423" i="169"/>
  <c r="AR423" i="169" s="1"/>
  <c r="X423" i="169"/>
  <c r="AF423" i="169" s="1"/>
  <c r="V424" i="169"/>
  <c r="AR424" i="169" s="1"/>
  <c r="X424" i="169"/>
  <c r="AF424" i="169" s="1"/>
  <c r="V425" i="169"/>
  <c r="AR425" i="169" s="1"/>
  <c r="X425" i="169"/>
  <c r="AF425" i="169" s="1"/>
  <c r="S425" i="169"/>
  <c r="AP425" i="169" s="1"/>
  <c r="V426" i="169"/>
  <c r="AR426" i="169" s="1"/>
  <c r="X426" i="169"/>
  <c r="AF426" i="169" s="1"/>
  <c r="V427" i="169"/>
  <c r="AR427" i="169" s="1"/>
  <c r="X427" i="169"/>
  <c r="AF427" i="169" s="1"/>
  <c r="V428" i="169"/>
  <c r="AR428" i="169" s="1"/>
  <c r="X428" i="169"/>
  <c r="AF428" i="169" s="1"/>
  <c r="S428" i="169"/>
  <c r="AP428" i="169" s="1"/>
  <c r="S429" i="169"/>
  <c r="AP429" i="169" s="1"/>
  <c r="V429" i="169"/>
  <c r="AR429" i="169" s="1"/>
  <c r="X429" i="169"/>
  <c r="AF429" i="169" s="1"/>
  <c r="V375" i="169"/>
  <c r="AR375" i="169" s="1"/>
  <c r="X375" i="169"/>
  <c r="AF375" i="169" s="1"/>
  <c r="S375" i="169"/>
  <c r="AP375" i="169" s="1"/>
  <c r="V376" i="169"/>
  <c r="AR376" i="169" s="1"/>
  <c r="X376" i="169"/>
  <c r="AF376" i="169" s="1"/>
  <c r="S376" i="169"/>
  <c r="AP376" i="169" s="1"/>
  <c r="V373" i="169"/>
  <c r="AR373" i="169" s="1"/>
  <c r="X373" i="169"/>
  <c r="AF373" i="169" s="1"/>
  <c r="S373" i="169"/>
  <c r="AP373" i="169" s="1"/>
  <c r="V374" i="169"/>
  <c r="AR374" i="169" s="1"/>
  <c r="X374" i="169"/>
  <c r="AF374" i="169" s="1"/>
  <c r="S374" i="169"/>
  <c r="AP374" i="169" s="1"/>
  <c r="V377" i="169"/>
  <c r="AR377" i="169" s="1"/>
  <c r="X377" i="169"/>
  <c r="AF377" i="169" s="1"/>
  <c r="S377" i="169"/>
  <c r="AP377" i="169" s="1"/>
  <c r="V378" i="169"/>
  <c r="AR378" i="169" s="1"/>
  <c r="X378" i="169"/>
  <c r="AF378" i="169" s="1"/>
  <c r="S378" i="169"/>
  <c r="AP378" i="169" s="1"/>
  <c r="V379" i="169"/>
  <c r="AR379" i="169" s="1"/>
  <c r="X379" i="169"/>
  <c r="AF379" i="169" s="1"/>
  <c r="S379" i="169"/>
  <c r="AP379" i="169" s="1"/>
  <c r="V380" i="169"/>
  <c r="AR380" i="169" s="1"/>
  <c r="X380" i="169"/>
  <c r="AF380" i="169" s="1"/>
  <c r="S380" i="169"/>
  <c r="AP380" i="169" s="1"/>
  <c r="V381" i="169"/>
  <c r="AR381" i="169" s="1"/>
  <c r="X381" i="169"/>
  <c r="AF381" i="169" s="1"/>
  <c r="S381" i="169"/>
  <c r="AP381" i="169" s="1"/>
  <c r="V382" i="169"/>
  <c r="AR382" i="169" s="1"/>
  <c r="X382" i="169"/>
  <c r="AF382" i="169" s="1"/>
  <c r="S382" i="169"/>
  <c r="AP382" i="169" s="1"/>
  <c r="V383" i="169"/>
  <c r="AR383" i="169" s="1"/>
  <c r="X383" i="169"/>
  <c r="AF383" i="169" s="1"/>
  <c r="S383" i="169"/>
  <c r="AP383" i="169" s="1"/>
  <c r="V384" i="169"/>
  <c r="AR384" i="169" s="1"/>
  <c r="X384" i="169"/>
  <c r="AF384" i="169" s="1"/>
  <c r="S384" i="169"/>
  <c r="AP384" i="169" s="1"/>
  <c r="X385" i="169"/>
  <c r="AF385" i="169" s="1"/>
  <c r="V385" i="169"/>
  <c r="AR385" i="169" s="1"/>
  <c r="S385" i="169"/>
  <c r="AP385" i="169" s="1"/>
  <c r="S386" i="169"/>
  <c r="AP386" i="169" s="1"/>
  <c r="V386" i="169"/>
  <c r="AR386" i="169" s="1"/>
  <c r="X386" i="169"/>
  <c r="AF386" i="169" s="1"/>
  <c r="X387" i="169"/>
  <c r="AF387" i="169" s="1"/>
  <c r="V387" i="169"/>
  <c r="AR387" i="169" s="1"/>
  <c r="S387" i="169"/>
  <c r="AP387" i="169" s="1"/>
  <c r="V388" i="169"/>
  <c r="AR388" i="169" s="1"/>
  <c r="X388" i="169"/>
  <c r="AF388" i="169" s="1"/>
  <c r="S388" i="169"/>
  <c r="AP388" i="169" s="1"/>
  <c r="S390" i="169"/>
  <c r="AP390" i="169" s="1"/>
  <c r="V389" i="169"/>
  <c r="AR389" i="169" s="1"/>
  <c r="X389" i="169"/>
  <c r="AF389" i="169" s="1"/>
  <c r="S389" i="169"/>
  <c r="AP389" i="169" s="1"/>
  <c r="V390" i="169"/>
  <c r="AR390" i="169" s="1"/>
  <c r="X390" i="169"/>
  <c r="AF390" i="169" s="1"/>
  <c r="V391" i="169"/>
  <c r="AR391" i="169" s="1"/>
  <c r="X391" i="169"/>
  <c r="AF391" i="169" s="1"/>
  <c r="S391" i="169"/>
  <c r="AP391" i="169" s="1"/>
  <c r="V367" i="169"/>
  <c r="AR367" i="169" s="1"/>
  <c r="X367" i="169"/>
  <c r="AF367" i="169" s="1"/>
  <c r="S367" i="169"/>
  <c r="AP367" i="169" s="1"/>
  <c r="V368" i="169"/>
  <c r="AR368" i="169" s="1"/>
  <c r="X368" i="169"/>
  <c r="AF368" i="169" s="1"/>
  <c r="S368" i="169"/>
  <c r="AP368" i="169" s="1"/>
  <c r="S352" i="169"/>
  <c r="AP352" i="169" s="1"/>
  <c r="S351" i="169"/>
  <c r="AP351" i="169" s="1"/>
  <c r="U349" i="169"/>
  <c r="AQ349" i="169" s="1"/>
  <c r="S350" i="169"/>
  <c r="AP350" i="169" s="1"/>
  <c r="V350" i="169"/>
  <c r="AR350" i="169" s="1"/>
  <c r="X350" i="169"/>
  <c r="AF350" i="169" s="1"/>
  <c r="V351" i="169"/>
  <c r="AR351" i="169" s="1"/>
  <c r="X351" i="169"/>
  <c r="AF351" i="169" s="1"/>
  <c r="S354" i="169"/>
  <c r="AP354" i="169" s="1"/>
  <c r="S353" i="169"/>
  <c r="AP353" i="169" s="1"/>
  <c r="S358" i="169"/>
  <c r="AP358" i="169" s="1"/>
  <c r="V352" i="169"/>
  <c r="AR352" i="169" s="1"/>
  <c r="X352" i="169"/>
  <c r="AF352" i="169" s="1"/>
  <c r="V353" i="169"/>
  <c r="AR353" i="169" s="1"/>
  <c r="X353" i="169"/>
  <c r="AF353" i="169" s="1"/>
  <c r="V354" i="169"/>
  <c r="AR354" i="169" s="1"/>
  <c r="X354" i="169"/>
  <c r="AF354" i="169" s="1"/>
  <c r="U355" i="169"/>
  <c r="AQ355" i="169" s="1"/>
  <c r="S356" i="169"/>
  <c r="AP356" i="169" s="1"/>
  <c r="V356" i="169"/>
  <c r="AR356" i="169" s="1"/>
  <c r="X356" i="169"/>
  <c r="AF356" i="169" s="1"/>
  <c r="U360" i="169"/>
  <c r="AQ360" i="169" s="1"/>
  <c r="S362" i="169"/>
  <c r="AP362" i="169" s="1"/>
  <c r="S359" i="169"/>
  <c r="AP359" i="169" s="1"/>
  <c r="V357" i="169"/>
  <c r="AR357" i="169" s="1"/>
  <c r="X357" i="169"/>
  <c r="AF357" i="169" s="1"/>
  <c r="S357" i="169"/>
  <c r="AP357" i="169" s="1"/>
  <c r="S364" i="169"/>
  <c r="AP364" i="169" s="1"/>
  <c r="S363" i="169"/>
  <c r="AP363" i="169" s="1"/>
  <c r="V358" i="169"/>
  <c r="AR358" i="169" s="1"/>
  <c r="X358" i="169"/>
  <c r="AF358" i="169" s="1"/>
  <c r="V359" i="169"/>
  <c r="AR359" i="169" s="1"/>
  <c r="X359" i="169"/>
  <c r="AF359" i="169" s="1"/>
  <c r="S361" i="169"/>
  <c r="AP361" i="169" s="1"/>
  <c r="V361" i="169"/>
  <c r="AR361" i="169" s="1"/>
  <c r="X361" i="169"/>
  <c r="AF361" i="169" s="1"/>
  <c r="S371" i="169"/>
  <c r="AP371" i="169" s="1"/>
  <c r="S370" i="169"/>
  <c r="AP370" i="169" s="1"/>
  <c r="V362" i="169"/>
  <c r="AR362" i="169" s="1"/>
  <c r="X362" i="169"/>
  <c r="AF362" i="169" s="1"/>
  <c r="V363" i="169"/>
  <c r="AR363" i="169" s="1"/>
  <c r="X363" i="169"/>
  <c r="AF363" i="169" s="1"/>
  <c r="V364" i="169"/>
  <c r="AR364" i="169" s="1"/>
  <c r="X364" i="169"/>
  <c r="AF364" i="169" s="1"/>
  <c r="S365" i="169"/>
  <c r="AP365" i="169" s="1"/>
  <c r="V365" i="169"/>
  <c r="AR365" i="169" s="1"/>
  <c r="X365" i="169"/>
  <c r="AF365" i="169" s="1"/>
  <c r="V366" i="169"/>
  <c r="AR366" i="169" s="1"/>
  <c r="X366" i="169"/>
  <c r="AF366" i="169" s="1"/>
  <c r="S366" i="169"/>
  <c r="AP366" i="169" s="1"/>
  <c r="S369" i="169"/>
  <c r="AP369" i="169" s="1"/>
  <c r="V369" i="169"/>
  <c r="AR369" i="169" s="1"/>
  <c r="X369" i="169"/>
  <c r="AF369" i="169" s="1"/>
  <c r="V370" i="169"/>
  <c r="AR370" i="169" s="1"/>
  <c r="X370" i="169"/>
  <c r="AF370" i="169" s="1"/>
  <c r="V371" i="169"/>
  <c r="AR371" i="169" s="1"/>
  <c r="X371" i="169"/>
  <c r="AF371" i="169" s="1"/>
  <c r="V372" i="169"/>
  <c r="AR372" i="169" s="1"/>
  <c r="X372" i="169"/>
  <c r="AF372" i="169" s="1"/>
  <c r="S372" i="169"/>
  <c r="AP372" i="169" s="1"/>
  <c r="S457" i="169"/>
  <c r="AP457" i="169" s="1"/>
  <c r="V457" i="169"/>
  <c r="AR457" i="169" s="1"/>
  <c r="X457" i="169"/>
  <c r="AF457" i="169" s="1"/>
  <c r="V458" i="169"/>
  <c r="AR458" i="169" s="1"/>
  <c r="X458" i="169"/>
  <c r="AF458" i="169" s="1"/>
  <c r="S458" i="169"/>
  <c r="AP458" i="169" s="1"/>
  <c r="A322" i="169"/>
  <c r="B322" i="169"/>
  <c r="D322" i="169"/>
  <c r="E322" i="169" s="1"/>
  <c r="F322" i="169"/>
  <c r="J322" i="169"/>
  <c r="AK322" i="169" s="1"/>
  <c r="K322" i="169"/>
  <c r="AL322" i="169" s="1"/>
  <c r="L322" i="169"/>
  <c r="AM322" i="169" s="1"/>
  <c r="O322" i="169"/>
  <c r="AO322" i="169" s="1"/>
  <c r="P322" i="169"/>
  <c r="Q322" i="169"/>
  <c r="S322" i="169" s="1"/>
  <c r="AP322" i="169" s="1"/>
  <c r="W322" i="169"/>
  <c r="A323" i="169"/>
  <c r="B323" i="169"/>
  <c r="D323" i="169"/>
  <c r="E323" i="169" s="1"/>
  <c r="F323" i="169"/>
  <c r="J323" i="169"/>
  <c r="AK323" i="169" s="1"/>
  <c r="K323" i="169"/>
  <c r="AL323" i="169" s="1"/>
  <c r="L323" i="169"/>
  <c r="AM323" i="169" s="1"/>
  <c r="O323" i="169"/>
  <c r="AO323" i="169" s="1"/>
  <c r="P323" i="169"/>
  <c r="Q323" i="169"/>
  <c r="U323" i="169" s="1"/>
  <c r="AQ323" i="169" s="1"/>
  <c r="W323" i="169"/>
  <c r="A324" i="169"/>
  <c r="B324" i="169"/>
  <c r="D324" i="169"/>
  <c r="E324" i="169" s="1"/>
  <c r="F324" i="169"/>
  <c r="J324" i="169"/>
  <c r="AK324" i="169" s="1"/>
  <c r="K324" i="169"/>
  <c r="AL324" i="169" s="1"/>
  <c r="L324" i="169"/>
  <c r="AM324" i="169" s="1"/>
  <c r="O324" i="169"/>
  <c r="AO324" i="169" s="1"/>
  <c r="P324" i="169"/>
  <c r="Q324" i="169"/>
  <c r="U324" i="169" s="1"/>
  <c r="AQ324" i="169" s="1"/>
  <c r="W324" i="169"/>
  <c r="A325" i="169"/>
  <c r="B325" i="169"/>
  <c r="D325" i="169"/>
  <c r="E325" i="169" s="1"/>
  <c r="F325" i="169"/>
  <c r="J325" i="169"/>
  <c r="AK325" i="169" s="1"/>
  <c r="K325" i="169"/>
  <c r="AL325" i="169" s="1"/>
  <c r="L325" i="169"/>
  <c r="AM325" i="169" s="1"/>
  <c r="O325" i="169"/>
  <c r="AO325" i="169" s="1"/>
  <c r="P325" i="169"/>
  <c r="Q325" i="169"/>
  <c r="U325" i="169" s="1"/>
  <c r="AQ325" i="169" s="1"/>
  <c r="W325" i="169"/>
  <c r="A326" i="169"/>
  <c r="B326" i="169"/>
  <c r="D326" i="169"/>
  <c r="E326" i="169" s="1"/>
  <c r="F326" i="169"/>
  <c r="J326" i="169"/>
  <c r="AK326" i="169" s="1"/>
  <c r="K326" i="169"/>
  <c r="AL326" i="169" s="1"/>
  <c r="L326" i="169"/>
  <c r="AM326" i="169" s="1"/>
  <c r="O326" i="169"/>
  <c r="AO326" i="169" s="1"/>
  <c r="P326" i="169"/>
  <c r="Q326" i="169"/>
  <c r="S326" i="169" s="1"/>
  <c r="AP326" i="169" s="1"/>
  <c r="W326" i="169"/>
  <c r="A327" i="169"/>
  <c r="B327" i="169"/>
  <c r="D327" i="169"/>
  <c r="E327" i="169" s="1"/>
  <c r="F327" i="169"/>
  <c r="J327" i="169"/>
  <c r="AK327" i="169" s="1"/>
  <c r="K327" i="169"/>
  <c r="AL327" i="169" s="1"/>
  <c r="L327" i="169"/>
  <c r="AM327" i="169" s="1"/>
  <c r="O327" i="169"/>
  <c r="AO327" i="169" s="1"/>
  <c r="P327" i="169"/>
  <c r="Q327" i="169"/>
  <c r="U327" i="169" s="1"/>
  <c r="AQ327" i="169" s="1"/>
  <c r="W327" i="169"/>
  <c r="A328" i="169"/>
  <c r="B328" i="169"/>
  <c r="D328" i="169"/>
  <c r="E328" i="169" s="1"/>
  <c r="F328" i="169"/>
  <c r="J328" i="169"/>
  <c r="AK328" i="169" s="1"/>
  <c r="K328" i="169"/>
  <c r="AL328" i="169" s="1"/>
  <c r="L328" i="169"/>
  <c r="AM328" i="169" s="1"/>
  <c r="O328" i="169"/>
  <c r="AO328" i="169" s="1"/>
  <c r="P328" i="169"/>
  <c r="Q328" i="169"/>
  <c r="U328" i="169" s="1"/>
  <c r="AQ328" i="169" s="1"/>
  <c r="W328" i="169"/>
  <c r="A329" i="169"/>
  <c r="B329" i="169"/>
  <c r="D329" i="169"/>
  <c r="E329" i="169" s="1"/>
  <c r="F329" i="169"/>
  <c r="J329" i="169"/>
  <c r="AK329" i="169" s="1"/>
  <c r="K329" i="169"/>
  <c r="AL329" i="169" s="1"/>
  <c r="L329" i="169"/>
  <c r="AM329" i="169" s="1"/>
  <c r="O329" i="169"/>
  <c r="AO329" i="169" s="1"/>
  <c r="P329" i="169"/>
  <c r="Q329" i="169"/>
  <c r="U329" i="169" s="1"/>
  <c r="AQ329" i="169" s="1"/>
  <c r="W329" i="169"/>
  <c r="A330" i="169"/>
  <c r="B330" i="169"/>
  <c r="D330" i="169"/>
  <c r="E330" i="169" s="1"/>
  <c r="F330" i="169"/>
  <c r="J330" i="169"/>
  <c r="AK330" i="169" s="1"/>
  <c r="K330" i="169"/>
  <c r="AL330" i="169" s="1"/>
  <c r="L330" i="169"/>
  <c r="AM330" i="169" s="1"/>
  <c r="O330" i="169"/>
  <c r="AO330" i="169" s="1"/>
  <c r="P330" i="169"/>
  <c r="Q330" i="169"/>
  <c r="U330" i="169" s="1"/>
  <c r="AQ330" i="169" s="1"/>
  <c r="W330" i="169"/>
  <c r="A331" i="169"/>
  <c r="B331" i="169"/>
  <c r="D331" i="169"/>
  <c r="E331" i="169" s="1"/>
  <c r="F331" i="169"/>
  <c r="J331" i="169"/>
  <c r="AK331" i="169" s="1"/>
  <c r="K331" i="169"/>
  <c r="AL331" i="169" s="1"/>
  <c r="L331" i="169"/>
  <c r="AM331" i="169" s="1"/>
  <c r="O331" i="169"/>
  <c r="AO331" i="169" s="1"/>
  <c r="P331" i="169"/>
  <c r="Q331" i="169"/>
  <c r="U331" i="169" s="1"/>
  <c r="AQ331" i="169" s="1"/>
  <c r="W331" i="169"/>
  <c r="A332" i="169"/>
  <c r="B332" i="169"/>
  <c r="D332" i="169"/>
  <c r="E332" i="169" s="1"/>
  <c r="F332" i="169"/>
  <c r="J332" i="169"/>
  <c r="AK332" i="169" s="1"/>
  <c r="K332" i="169"/>
  <c r="AL332" i="169" s="1"/>
  <c r="L332" i="169"/>
  <c r="AM332" i="169" s="1"/>
  <c r="O332" i="169"/>
  <c r="AO332" i="169" s="1"/>
  <c r="P332" i="169"/>
  <c r="Q332" i="169"/>
  <c r="U332" i="169" s="1"/>
  <c r="AQ332" i="169" s="1"/>
  <c r="W332" i="169"/>
  <c r="A333" i="169"/>
  <c r="B333" i="169"/>
  <c r="D333" i="169"/>
  <c r="E333" i="169" s="1"/>
  <c r="F333" i="169"/>
  <c r="J333" i="169"/>
  <c r="AK333" i="169" s="1"/>
  <c r="K333" i="169"/>
  <c r="AL333" i="169" s="1"/>
  <c r="L333" i="169"/>
  <c r="AM333" i="169" s="1"/>
  <c r="O333" i="169"/>
  <c r="AO333" i="169" s="1"/>
  <c r="P333" i="169"/>
  <c r="Q333" i="169"/>
  <c r="U333" i="169" s="1"/>
  <c r="AQ333" i="169" s="1"/>
  <c r="W333" i="169"/>
  <c r="A334" i="169"/>
  <c r="B334" i="169"/>
  <c r="D334" i="169"/>
  <c r="E334" i="169" s="1"/>
  <c r="F334" i="169"/>
  <c r="J334" i="169"/>
  <c r="AK334" i="169" s="1"/>
  <c r="K334" i="169"/>
  <c r="AL334" i="169" s="1"/>
  <c r="L334" i="169"/>
  <c r="AM334" i="169" s="1"/>
  <c r="O334" i="169"/>
  <c r="AO334" i="169" s="1"/>
  <c r="P334" i="169"/>
  <c r="Q334" i="169"/>
  <c r="U334" i="169" s="1"/>
  <c r="AQ334" i="169" s="1"/>
  <c r="W334" i="169"/>
  <c r="A335" i="169"/>
  <c r="B335" i="169"/>
  <c r="D335" i="169"/>
  <c r="E335" i="169" s="1"/>
  <c r="F335" i="169"/>
  <c r="J335" i="169"/>
  <c r="AK335" i="169" s="1"/>
  <c r="K335" i="169"/>
  <c r="AL335" i="169" s="1"/>
  <c r="L335" i="169"/>
  <c r="AM335" i="169" s="1"/>
  <c r="O335" i="169"/>
  <c r="AO335" i="169" s="1"/>
  <c r="P335" i="169"/>
  <c r="Q335" i="169"/>
  <c r="U335" i="169" s="1"/>
  <c r="AQ335" i="169" s="1"/>
  <c r="W335" i="169"/>
  <c r="A336" i="169"/>
  <c r="B336" i="169"/>
  <c r="D336" i="169"/>
  <c r="E336" i="169" s="1"/>
  <c r="F336" i="169"/>
  <c r="J336" i="169"/>
  <c r="AK336" i="169" s="1"/>
  <c r="K336" i="169"/>
  <c r="AL336" i="169" s="1"/>
  <c r="L336" i="169"/>
  <c r="AM336" i="169" s="1"/>
  <c r="O336" i="169"/>
  <c r="AO336" i="169" s="1"/>
  <c r="P336" i="169"/>
  <c r="Q336" i="169"/>
  <c r="U336" i="169" s="1"/>
  <c r="AQ336" i="169" s="1"/>
  <c r="W336" i="169"/>
  <c r="A337" i="169"/>
  <c r="B337" i="169"/>
  <c r="D337" i="169"/>
  <c r="E337" i="169" s="1"/>
  <c r="F337" i="169"/>
  <c r="J337" i="169"/>
  <c r="AK337" i="169" s="1"/>
  <c r="K337" i="169"/>
  <c r="AL337" i="169" s="1"/>
  <c r="L337" i="169"/>
  <c r="AM337" i="169" s="1"/>
  <c r="O337" i="169"/>
  <c r="AO337" i="169" s="1"/>
  <c r="P337" i="169"/>
  <c r="Q337" i="169"/>
  <c r="U337" i="169" s="1"/>
  <c r="AQ337" i="169" s="1"/>
  <c r="W337" i="169"/>
  <c r="A338" i="169"/>
  <c r="B338" i="169"/>
  <c r="D338" i="169"/>
  <c r="E338" i="169" s="1"/>
  <c r="F338" i="169"/>
  <c r="J338" i="169"/>
  <c r="AK338" i="169" s="1"/>
  <c r="K338" i="169"/>
  <c r="AL338" i="169" s="1"/>
  <c r="L338" i="169"/>
  <c r="AM338" i="169" s="1"/>
  <c r="O338" i="169"/>
  <c r="AO338" i="169" s="1"/>
  <c r="P338" i="169"/>
  <c r="Q338" i="169"/>
  <c r="U338" i="169" s="1"/>
  <c r="AQ338" i="169" s="1"/>
  <c r="W338" i="169"/>
  <c r="A339" i="169"/>
  <c r="B339" i="169"/>
  <c r="D339" i="169"/>
  <c r="E339" i="169" s="1"/>
  <c r="F339" i="169"/>
  <c r="J339" i="169"/>
  <c r="AK339" i="169" s="1"/>
  <c r="K339" i="169"/>
  <c r="AL339" i="169" s="1"/>
  <c r="L339" i="169"/>
  <c r="AM339" i="169" s="1"/>
  <c r="O339" i="169"/>
  <c r="AO339" i="169" s="1"/>
  <c r="P339" i="169"/>
  <c r="Q339" i="169"/>
  <c r="U339" i="169" s="1"/>
  <c r="AQ339" i="169" s="1"/>
  <c r="W339" i="169"/>
  <c r="A340" i="169"/>
  <c r="B340" i="169"/>
  <c r="D340" i="169"/>
  <c r="E340" i="169" s="1"/>
  <c r="F340" i="169"/>
  <c r="J340" i="169"/>
  <c r="AK340" i="169" s="1"/>
  <c r="K340" i="169"/>
  <c r="AL340" i="169" s="1"/>
  <c r="L340" i="169"/>
  <c r="AM340" i="169" s="1"/>
  <c r="O340" i="169"/>
  <c r="AO340" i="169" s="1"/>
  <c r="P340" i="169"/>
  <c r="Q340" i="169"/>
  <c r="U340" i="169" s="1"/>
  <c r="AQ340" i="169" s="1"/>
  <c r="W340" i="169"/>
  <c r="A341" i="169"/>
  <c r="B341" i="169"/>
  <c r="D341" i="169"/>
  <c r="E341" i="169" s="1"/>
  <c r="F341" i="169"/>
  <c r="J341" i="169"/>
  <c r="AK341" i="169" s="1"/>
  <c r="K341" i="169"/>
  <c r="AL341" i="169" s="1"/>
  <c r="L341" i="169"/>
  <c r="AM341" i="169" s="1"/>
  <c r="O341" i="169"/>
  <c r="AO341" i="169" s="1"/>
  <c r="P341" i="169"/>
  <c r="Q341" i="169"/>
  <c r="U341" i="169" s="1"/>
  <c r="AQ341" i="169" s="1"/>
  <c r="W341" i="169"/>
  <c r="A342" i="169"/>
  <c r="B342" i="169"/>
  <c r="D342" i="169"/>
  <c r="E342" i="169" s="1"/>
  <c r="F342" i="169"/>
  <c r="J342" i="169"/>
  <c r="AK342" i="169" s="1"/>
  <c r="K342" i="169"/>
  <c r="AL342" i="169" s="1"/>
  <c r="L342" i="169"/>
  <c r="AM342" i="169" s="1"/>
  <c r="O342" i="169"/>
  <c r="AO342" i="169" s="1"/>
  <c r="P342" i="169"/>
  <c r="Q342" i="169"/>
  <c r="U342" i="169" s="1"/>
  <c r="AQ342" i="169" s="1"/>
  <c r="W342" i="169"/>
  <c r="A343" i="169"/>
  <c r="B343" i="169"/>
  <c r="D343" i="169"/>
  <c r="E343" i="169" s="1"/>
  <c r="F343" i="169"/>
  <c r="J343" i="169"/>
  <c r="AK343" i="169" s="1"/>
  <c r="K343" i="169"/>
  <c r="AL343" i="169" s="1"/>
  <c r="L343" i="169"/>
  <c r="AM343" i="169" s="1"/>
  <c r="O343" i="169"/>
  <c r="AO343" i="169" s="1"/>
  <c r="P343" i="169"/>
  <c r="Q343" i="169"/>
  <c r="U343" i="169" s="1"/>
  <c r="AQ343" i="169" s="1"/>
  <c r="W343" i="169"/>
  <c r="A344" i="169"/>
  <c r="B344" i="169"/>
  <c r="D344" i="169"/>
  <c r="E344" i="169" s="1"/>
  <c r="F344" i="169"/>
  <c r="J344" i="169"/>
  <c r="AK344" i="169" s="1"/>
  <c r="K344" i="169"/>
  <c r="AL344" i="169" s="1"/>
  <c r="L344" i="169"/>
  <c r="AM344" i="169" s="1"/>
  <c r="O344" i="169"/>
  <c r="AO344" i="169" s="1"/>
  <c r="P344" i="169"/>
  <c r="Q344" i="169"/>
  <c r="U344" i="169" s="1"/>
  <c r="AQ344" i="169" s="1"/>
  <c r="W344" i="169"/>
  <c r="A345" i="169"/>
  <c r="B345" i="169"/>
  <c r="D345" i="169"/>
  <c r="E345" i="169" s="1"/>
  <c r="F345" i="169"/>
  <c r="J345" i="169"/>
  <c r="AK345" i="169" s="1"/>
  <c r="K345" i="169"/>
  <c r="AL345" i="169" s="1"/>
  <c r="L345" i="169"/>
  <c r="AM345" i="169" s="1"/>
  <c r="O345" i="169"/>
  <c r="AO345" i="169" s="1"/>
  <c r="P345" i="169"/>
  <c r="Q345" i="169"/>
  <c r="U345" i="169" s="1"/>
  <c r="AQ345" i="169" s="1"/>
  <c r="W345" i="169"/>
  <c r="J18" i="172"/>
  <c r="V511" i="169" l="1"/>
  <c r="AR511" i="169" s="1"/>
  <c r="AQ511" i="169"/>
  <c r="X510" i="169"/>
  <c r="AF510" i="169" s="1"/>
  <c r="AQ510" i="169"/>
  <c r="V505" i="169"/>
  <c r="AR505" i="169" s="1"/>
  <c r="AQ505" i="169"/>
  <c r="X449" i="169"/>
  <c r="AF449" i="169" s="1"/>
  <c r="X476" i="169"/>
  <c r="AF476" i="169" s="1"/>
  <c r="V480" i="169"/>
  <c r="AR480" i="169" s="1"/>
  <c r="X488" i="169"/>
  <c r="AF488" i="169" s="1"/>
  <c r="V485" i="169"/>
  <c r="AR485" i="169" s="1"/>
  <c r="V488" i="169"/>
  <c r="AR488" i="169" s="1"/>
  <c r="X485" i="169"/>
  <c r="AF485" i="169" s="1"/>
  <c r="X492" i="169"/>
  <c r="AF492" i="169" s="1"/>
  <c r="V492" i="169"/>
  <c r="AR492" i="169" s="1"/>
  <c r="X490" i="169"/>
  <c r="AF490" i="169" s="1"/>
  <c r="V490" i="169"/>
  <c r="AR490" i="169" s="1"/>
  <c r="V510" i="169"/>
  <c r="AR510" i="169" s="1"/>
  <c r="X494" i="169"/>
  <c r="AF494" i="169" s="1"/>
  <c r="V494" i="169"/>
  <c r="AR494" i="169" s="1"/>
  <c r="V498" i="169"/>
  <c r="AR498" i="169" s="1"/>
  <c r="X498" i="169"/>
  <c r="AF498" i="169" s="1"/>
  <c r="X511" i="169"/>
  <c r="AF511" i="169" s="1"/>
  <c r="X505" i="169"/>
  <c r="AF505" i="169" s="1"/>
  <c r="X507" i="169"/>
  <c r="AF507" i="169" s="1"/>
  <c r="V507" i="169"/>
  <c r="AR507" i="169" s="1"/>
  <c r="V509" i="169"/>
  <c r="AR509" i="169" s="1"/>
  <c r="X509" i="169"/>
  <c r="AF509" i="169" s="1"/>
  <c r="V476" i="169"/>
  <c r="AR476" i="169" s="1"/>
  <c r="X480" i="169"/>
  <c r="AF480" i="169" s="1"/>
  <c r="V449" i="169"/>
  <c r="AR449" i="169" s="1"/>
  <c r="V360" i="169"/>
  <c r="AR360" i="169" s="1"/>
  <c r="V392" i="169"/>
  <c r="AR392" i="169" s="1"/>
  <c r="X392" i="169"/>
  <c r="AF392" i="169" s="1"/>
  <c r="X349" i="169"/>
  <c r="AF349" i="169" s="1"/>
  <c r="V349" i="169"/>
  <c r="AR349" i="169" s="1"/>
  <c r="X355" i="169"/>
  <c r="AF355" i="169" s="1"/>
  <c r="V355" i="169"/>
  <c r="AR355" i="169" s="1"/>
  <c r="X360" i="169"/>
  <c r="AF360" i="169" s="1"/>
  <c r="U322" i="169"/>
  <c r="AQ322" i="169" s="1"/>
  <c r="V323" i="169"/>
  <c r="AR323" i="169" s="1"/>
  <c r="X323" i="169"/>
  <c r="AF323" i="169" s="1"/>
  <c r="S323" i="169"/>
  <c r="AP323" i="169" s="1"/>
  <c r="S324" i="169"/>
  <c r="AP324" i="169" s="1"/>
  <c r="V324" i="169"/>
  <c r="AR324" i="169" s="1"/>
  <c r="X324" i="169"/>
  <c r="AF324" i="169" s="1"/>
  <c r="X325" i="169"/>
  <c r="AF325" i="169" s="1"/>
  <c r="V325" i="169"/>
  <c r="AR325" i="169" s="1"/>
  <c r="S325" i="169"/>
  <c r="AP325" i="169" s="1"/>
  <c r="U326" i="169"/>
  <c r="AQ326" i="169" s="1"/>
  <c r="S327" i="169"/>
  <c r="AP327" i="169" s="1"/>
  <c r="V327" i="169"/>
  <c r="AR327" i="169" s="1"/>
  <c r="X327" i="169"/>
  <c r="AF327" i="169" s="1"/>
  <c r="S328" i="169"/>
  <c r="AP328" i="169" s="1"/>
  <c r="V328" i="169"/>
  <c r="AR328" i="169" s="1"/>
  <c r="X328" i="169"/>
  <c r="AF328" i="169" s="1"/>
  <c r="S332" i="169"/>
  <c r="AP332" i="169" s="1"/>
  <c r="V329" i="169"/>
  <c r="AR329" i="169" s="1"/>
  <c r="X329" i="169"/>
  <c r="AF329" i="169" s="1"/>
  <c r="S336" i="169"/>
  <c r="AP336" i="169" s="1"/>
  <c r="S329" i="169"/>
  <c r="AP329" i="169" s="1"/>
  <c r="V330" i="169"/>
  <c r="AR330" i="169" s="1"/>
  <c r="X330" i="169"/>
  <c r="AF330" i="169" s="1"/>
  <c r="S330" i="169"/>
  <c r="AP330" i="169" s="1"/>
  <c r="S335" i="169"/>
  <c r="AP335" i="169" s="1"/>
  <c r="V331" i="169"/>
  <c r="AR331" i="169" s="1"/>
  <c r="X331" i="169"/>
  <c r="AF331" i="169" s="1"/>
  <c r="S331" i="169"/>
  <c r="AP331" i="169" s="1"/>
  <c r="V332" i="169"/>
  <c r="AR332" i="169" s="1"/>
  <c r="X332" i="169"/>
  <c r="AF332" i="169" s="1"/>
  <c r="V333" i="169"/>
  <c r="AR333" i="169" s="1"/>
  <c r="X333" i="169"/>
  <c r="AF333" i="169" s="1"/>
  <c r="S333" i="169"/>
  <c r="AP333" i="169" s="1"/>
  <c r="V334" i="169"/>
  <c r="AR334" i="169" s="1"/>
  <c r="X334" i="169"/>
  <c r="AF334" i="169" s="1"/>
  <c r="S334" i="169"/>
  <c r="AP334" i="169" s="1"/>
  <c r="V335" i="169"/>
  <c r="AR335" i="169" s="1"/>
  <c r="X335" i="169"/>
  <c r="AF335" i="169" s="1"/>
  <c r="V336" i="169"/>
  <c r="AR336" i="169" s="1"/>
  <c r="X336" i="169"/>
  <c r="AF336" i="169" s="1"/>
  <c r="V337" i="169"/>
  <c r="AR337" i="169" s="1"/>
  <c r="X337" i="169"/>
  <c r="AF337" i="169" s="1"/>
  <c r="S337" i="169"/>
  <c r="AP337" i="169" s="1"/>
  <c r="S340" i="169"/>
  <c r="AP340" i="169" s="1"/>
  <c r="V338" i="169"/>
  <c r="AR338" i="169" s="1"/>
  <c r="X338" i="169"/>
  <c r="AF338" i="169" s="1"/>
  <c r="S338" i="169"/>
  <c r="AP338" i="169" s="1"/>
  <c r="V339" i="169"/>
  <c r="AR339" i="169" s="1"/>
  <c r="X339" i="169"/>
  <c r="AF339" i="169" s="1"/>
  <c r="S339" i="169"/>
  <c r="AP339" i="169" s="1"/>
  <c r="V340" i="169"/>
  <c r="AR340" i="169" s="1"/>
  <c r="X340" i="169"/>
  <c r="AF340" i="169" s="1"/>
  <c r="V341" i="169"/>
  <c r="AR341" i="169" s="1"/>
  <c r="X341" i="169"/>
  <c r="AF341" i="169" s="1"/>
  <c r="S341" i="169"/>
  <c r="AP341" i="169" s="1"/>
  <c r="V342" i="169"/>
  <c r="AR342" i="169" s="1"/>
  <c r="X342" i="169"/>
  <c r="AF342" i="169" s="1"/>
  <c r="S342" i="169"/>
  <c r="AP342" i="169" s="1"/>
  <c r="S344" i="169"/>
  <c r="AP344" i="169" s="1"/>
  <c r="V343" i="169"/>
  <c r="AR343" i="169" s="1"/>
  <c r="X343" i="169"/>
  <c r="AF343" i="169" s="1"/>
  <c r="S343" i="169"/>
  <c r="AP343" i="169" s="1"/>
  <c r="V344" i="169"/>
  <c r="AR344" i="169" s="1"/>
  <c r="X344" i="169"/>
  <c r="AF344" i="169" s="1"/>
  <c r="V345" i="169"/>
  <c r="AR345" i="169" s="1"/>
  <c r="X345" i="169"/>
  <c r="AF345" i="169" s="1"/>
  <c r="S345" i="169"/>
  <c r="AP345" i="169" s="1"/>
  <c r="A308" i="169"/>
  <c r="B308" i="169"/>
  <c r="D308" i="169"/>
  <c r="E308" i="169" s="1"/>
  <c r="F308" i="169"/>
  <c r="J308" i="169"/>
  <c r="AK308" i="169" s="1"/>
  <c r="K308" i="169"/>
  <c r="AL308" i="169" s="1"/>
  <c r="L308" i="169"/>
  <c r="AM308" i="169" s="1"/>
  <c r="O308" i="169"/>
  <c r="AO308" i="169" s="1"/>
  <c r="P308" i="169"/>
  <c r="Q308" i="169"/>
  <c r="U308" i="169" s="1"/>
  <c r="AQ308" i="169" s="1"/>
  <c r="W308" i="169"/>
  <c r="A309" i="169"/>
  <c r="B309" i="169"/>
  <c r="D309" i="169"/>
  <c r="E309" i="169" s="1"/>
  <c r="F309" i="169"/>
  <c r="J309" i="169"/>
  <c r="AK309" i="169" s="1"/>
  <c r="K309" i="169"/>
  <c r="AL309" i="169" s="1"/>
  <c r="L309" i="169"/>
  <c r="AM309" i="169" s="1"/>
  <c r="O309" i="169"/>
  <c r="AO309" i="169" s="1"/>
  <c r="P309" i="169"/>
  <c r="Q309" i="169"/>
  <c r="U309" i="169" s="1"/>
  <c r="AQ309" i="169" s="1"/>
  <c r="W309" i="169"/>
  <c r="A310" i="169"/>
  <c r="B310" i="169"/>
  <c r="D310" i="169"/>
  <c r="E310" i="169" s="1"/>
  <c r="F310" i="169"/>
  <c r="J310" i="169"/>
  <c r="AK310" i="169" s="1"/>
  <c r="K310" i="169"/>
  <c r="AL310" i="169" s="1"/>
  <c r="L310" i="169"/>
  <c r="AM310" i="169" s="1"/>
  <c r="O310" i="169"/>
  <c r="AO310" i="169" s="1"/>
  <c r="P310" i="169"/>
  <c r="Q310" i="169"/>
  <c r="U310" i="169" s="1"/>
  <c r="AQ310" i="169" s="1"/>
  <c r="W310" i="169"/>
  <c r="A311" i="169"/>
  <c r="B311" i="169"/>
  <c r="D311" i="169"/>
  <c r="E311" i="169" s="1"/>
  <c r="F311" i="169"/>
  <c r="J311" i="169"/>
  <c r="AK311" i="169" s="1"/>
  <c r="K311" i="169"/>
  <c r="AL311" i="169" s="1"/>
  <c r="L311" i="169"/>
  <c r="AM311" i="169" s="1"/>
  <c r="O311" i="169"/>
  <c r="AO311" i="169" s="1"/>
  <c r="P311" i="169"/>
  <c r="Q311" i="169"/>
  <c r="U311" i="169" s="1"/>
  <c r="AQ311" i="169" s="1"/>
  <c r="W311" i="169"/>
  <c r="A312" i="169"/>
  <c r="B312" i="169"/>
  <c r="D312" i="169"/>
  <c r="E312" i="169" s="1"/>
  <c r="F312" i="169"/>
  <c r="J312" i="169"/>
  <c r="AK312" i="169" s="1"/>
  <c r="K312" i="169"/>
  <c r="AL312" i="169" s="1"/>
  <c r="L312" i="169"/>
  <c r="AM312" i="169" s="1"/>
  <c r="O312" i="169"/>
  <c r="AO312" i="169" s="1"/>
  <c r="P312" i="169"/>
  <c r="Q312" i="169"/>
  <c r="U312" i="169" s="1"/>
  <c r="AQ312" i="169" s="1"/>
  <c r="W312" i="169"/>
  <c r="A313" i="169"/>
  <c r="B313" i="169"/>
  <c r="D313" i="169"/>
  <c r="E313" i="169" s="1"/>
  <c r="F313" i="169"/>
  <c r="J313" i="169"/>
  <c r="AK313" i="169" s="1"/>
  <c r="K313" i="169"/>
  <c r="AL313" i="169" s="1"/>
  <c r="L313" i="169"/>
  <c r="AM313" i="169" s="1"/>
  <c r="O313" i="169"/>
  <c r="AO313" i="169" s="1"/>
  <c r="P313" i="169"/>
  <c r="Q313" i="169"/>
  <c r="U313" i="169" s="1"/>
  <c r="AQ313" i="169" s="1"/>
  <c r="W313" i="169"/>
  <c r="A314" i="169"/>
  <c r="B314" i="169"/>
  <c r="D314" i="169"/>
  <c r="E314" i="169" s="1"/>
  <c r="F314" i="169"/>
  <c r="J314" i="169"/>
  <c r="AK314" i="169" s="1"/>
  <c r="K314" i="169"/>
  <c r="AL314" i="169" s="1"/>
  <c r="L314" i="169"/>
  <c r="AM314" i="169" s="1"/>
  <c r="O314" i="169"/>
  <c r="AO314" i="169" s="1"/>
  <c r="P314" i="169"/>
  <c r="Q314" i="169"/>
  <c r="U314" i="169" s="1"/>
  <c r="AQ314" i="169" s="1"/>
  <c r="W314" i="169"/>
  <c r="A315" i="169"/>
  <c r="B315" i="169"/>
  <c r="D315" i="169"/>
  <c r="E315" i="169" s="1"/>
  <c r="F315" i="169"/>
  <c r="J315" i="169"/>
  <c r="AK315" i="169" s="1"/>
  <c r="K315" i="169"/>
  <c r="AL315" i="169" s="1"/>
  <c r="L315" i="169"/>
  <c r="AM315" i="169" s="1"/>
  <c r="O315" i="169"/>
  <c r="AO315" i="169" s="1"/>
  <c r="P315" i="169"/>
  <c r="Q315" i="169"/>
  <c r="U315" i="169" s="1"/>
  <c r="AQ315" i="169" s="1"/>
  <c r="W315" i="169"/>
  <c r="A316" i="169"/>
  <c r="B316" i="169"/>
  <c r="D316" i="169"/>
  <c r="E316" i="169" s="1"/>
  <c r="F316" i="169"/>
  <c r="J316" i="169"/>
  <c r="AK316" i="169" s="1"/>
  <c r="K316" i="169"/>
  <c r="AL316" i="169" s="1"/>
  <c r="L316" i="169"/>
  <c r="AM316" i="169" s="1"/>
  <c r="O316" i="169"/>
  <c r="AO316" i="169" s="1"/>
  <c r="P316" i="169"/>
  <c r="Q316" i="169"/>
  <c r="U316" i="169" s="1"/>
  <c r="AQ316" i="169" s="1"/>
  <c r="W316" i="169"/>
  <c r="A318" i="169"/>
  <c r="B318" i="169"/>
  <c r="D318" i="169"/>
  <c r="E318" i="169" s="1"/>
  <c r="F318" i="169"/>
  <c r="J318" i="169"/>
  <c r="AK318" i="169" s="1"/>
  <c r="K318" i="169"/>
  <c r="AL318" i="169" s="1"/>
  <c r="L318" i="169"/>
  <c r="AM318" i="169" s="1"/>
  <c r="O318" i="169"/>
  <c r="AO318" i="169" s="1"/>
  <c r="P318" i="169"/>
  <c r="Q318" i="169"/>
  <c r="U318" i="169" s="1"/>
  <c r="AQ318" i="169" s="1"/>
  <c r="W318" i="169"/>
  <c r="A319" i="169"/>
  <c r="B319" i="169"/>
  <c r="D319" i="169"/>
  <c r="E319" i="169" s="1"/>
  <c r="F319" i="169"/>
  <c r="J319" i="169"/>
  <c r="AK319" i="169" s="1"/>
  <c r="K319" i="169"/>
  <c r="AL319" i="169" s="1"/>
  <c r="L319" i="169"/>
  <c r="AM319" i="169" s="1"/>
  <c r="O319" i="169"/>
  <c r="AO319" i="169" s="1"/>
  <c r="P319" i="169"/>
  <c r="Q319" i="169"/>
  <c r="U319" i="169" s="1"/>
  <c r="AQ319" i="169" s="1"/>
  <c r="W319" i="169"/>
  <c r="A320" i="169"/>
  <c r="B320" i="169"/>
  <c r="D320" i="169"/>
  <c r="E320" i="169" s="1"/>
  <c r="F320" i="169"/>
  <c r="J320" i="169"/>
  <c r="AK320" i="169" s="1"/>
  <c r="K320" i="169"/>
  <c r="AL320" i="169" s="1"/>
  <c r="L320" i="169"/>
  <c r="AM320" i="169" s="1"/>
  <c r="O320" i="169"/>
  <c r="AO320" i="169" s="1"/>
  <c r="P320" i="169"/>
  <c r="Q320" i="169"/>
  <c r="U320" i="169" s="1"/>
  <c r="AQ320" i="169" s="1"/>
  <c r="W320" i="169"/>
  <c r="A321" i="169"/>
  <c r="B321" i="169"/>
  <c r="D321" i="169"/>
  <c r="E321" i="169" s="1"/>
  <c r="F321" i="169"/>
  <c r="J321" i="169"/>
  <c r="AK321" i="169" s="1"/>
  <c r="K321" i="169"/>
  <c r="AL321" i="169" s="1"/>
  <c r="L321" i="169"/>
  <c r="AM321" i="169" s="1"/>
  <c r="O321" i="169"/>
  <c r="AO321" i="169" s="1"/>
  <c r="P321" i="169"/>
  <c r="Q321" i="169"/>
  <c r="U321" i="169" s="1"/>
  <c r="AQ321" i="169" s="1"/>
  <c r="W321" i="169"/>
  <c r="A264" i="169"/>
  <c r="B264" i="169"/>
  <c r="D264" i="169"/>
  <c r="E264" i="169" s="1"/>
  <c r="F264" i="169"/>
  <c r="J264" i="169"/>
  <c r="AK264" i="169" s="1"/>
  <c r="K264" i="169"/>
  <c r="AL264" i="169" s="1"/>
  <c r="L264" i="169"/>
  <c r="AM264" i="169" s="1"/>
  <c r="O264" i="169"/>
  <c r="AO264" i="169" s="1"/>
  <c r="P264" i="169"/>
  <c r="Q264" i="169"/>
  <c r="U264" i="169" s="1"/>
  <c r="AQ264" i="169" s="1"/>
  <c r="W264" i="169"/>
  <c r="A265" i="169"/>
  <c r="B265" i="169"/>
  <c r="D265" i="169"/>
  <c r="E265" i="169" s="1"/>
  <c r="F265" i="169"/>
  <c r="J265" i="169"/>
  <c r="AK265" i="169" s="1"/>
  <c r="K265" i="169"/>
  <c r="AL265" i="169" s="1"/>
  <c r="L265" i="169"/>
  <c r="AM265" i="169" s="1"/>
  <c r="O265" i="169"/>
  <c r="AO265" i="169" s="1"/>
  <c r="P265" i="169"/>
  <c r="Q265" i="169"/>
  <c r="U265" i="169" s="1"/>
  <c r="AQ265" i="169" s="1"/>
  <c r="W265" i="169"/>
  <c r="A266" i="169"/>
  <c r="B266" i="169"/>
  <c r="D266" i="169"/>
  <c r="E266" i="169" s="1"/>
  <c r="F266" i="169"/>
  <c r="J266" i="169"/>
  <c r="AK266" i="169" s="1"/>
  <c r="K266" i="169"/>
  <c r="AL266" i="169" s="1"/>
  <c r="L266" i="169"/>
  <c r="AM266" i="169" s="1"/>
  <c r="O266" i="169"/>
  <c r="AO266" i="169" s="1"/>
  <c r="P266" i="169"/>
  <c r="Q266" i="169"/>
  <c r="U266" i="169" s="1"/>
  <c r="AQ266" i="169" s="1"/>
  <c r="W266" i="169"/>
  <c r="A267" i="169"/>
  <c r="B267" i="169"/>
  <c r="D267" i="169"/>
  <c r="E267" i="169" s="1"/>
  <c r="F267" i="169"/>
  <c r="J267" i="169"/>
  <c r="AK267" i="169" s="1"/>
  <c r="K267" i="169"/>
  <c r="AL267" i="169" s="1"/>
  <c r="L267" i="169"/>
  <c r="AM267" i="169" s="1"/>
  <c r="O267" i="169"/>
  <c r="AO267" i="169" s="1"/>
  <c r="P267" i="169"/>
  <c r="Q267" i="169"/>
  <c r="U267" i="169" s="1"/>
  <c r="AQ267" i="169" s="1"/>
  <c r="W267" i="169"/>
  <c r="A268" i="169"/>
  <c r="B268" i="169"/>
  <c r="D268" i="169"/>
  <c r="E268" i="169" s="1"/>
  <c r="F268" i="169"/>
  <c r="J268" i="169"/>
  <c r="AK268" i="169" s="1"/>
  <c r="K268" i="169"/>
  <c r="AL268" i="169" s="1"/>
  <c r="L268" i="169"/>
  <c r="AM268" i="169" s="1"/>
  <c r="O268" i="169"/>
  <c r="AO268" i="169" s="1"/>
  <c r="P268" i="169"/>
  <c r="Q268" i="169"/>
  <c r="S268" i="169" s="1"/>
  <c r="AP268" i="169" s="1"/>
  <c r="W268" i="169"/>
  <c r="A269" i="169"/>
  <c r="B269" i="169"/>
  <c r="D269" i="169"/>
  <c r="E269" i="169" s="1"/>
  <c r="F269" i="169"/>
  <c r="J269" i="169"/>
  <c r="AK269" i="169" s="1"/>
  <c r="K269" i="169"/>
  <c r="AL269" i="169" s="1"/>
  <c r="L269" i="169"/>
  <c r="AM269" i="169" s="1"/>
  <c r="O269" i="169"/>
  <c r="AO269" i="169" s="1"/>
  <c r="P269" i="169"/>
  <c r="Q269" i="169"/>
  <c r="S269" i="169" s="1"/>
  <c r="AP269" i="169" s="1"/>
  <c r="W269" i="169"/>
  <c r="A270" i="169"/>
  <c r="B270" i="169"/>
  <c r="D270" i="169"/>
  <c r="E270" i="169" s="1"/>
  <c r="F270" i="169"/>
  <c r="J270" i="169"/>
  <c r="AK270" i="169" s="1"/>
  <c r="K270" i="169"/>
  <c r="AL270" i="169" s="1"/>
  <c r="L270" i="169"/>
  <c r="AM270" i="169" s="1"/>
  <c r="O270" i="169"/>
  <c r="AO270" i="169" s="1"/>
  <c r="P270" i="169"/>
  <c r="Q270" i="169"/>
  <c r="U270" i="169" s="1"/>
  <c r="AQ270" i="169" s="1"/>
  <c r="W270" i="169"/>
  <c r="A271" i="169"/>
  <c r="B271" i="169"/>
  <c r="D271" i="169"/>
  <c r="E271" i="169" s="1"/>
  <c r="F271" i="169"/>
  <c r="J271" i="169"/>
  <c r="AK271" i="169" s="1"/>
  <c r="K271" i="169"/>
  <c r="AL271" i="169" s="1"/>
  <c r="L271" i="169"/>
  <c r="AM271" i="169" s="1"/>
  <c r="O271" i="169"/>
  <c r="AO271" i="169" s="1"/>
  <c r="P271" i="169"/>
  <c r="Q271" i="169"/>
  <c r="U271" i="169" s="1"/>
  <c r="AQ271" i="169" s="1"/>
  <c r="W271" i="169"/>
  <c r="A272" i="169"/>
  <c r="B272" i="169"/>
  <c r="D272" i="169"/>
  <c r="E272" i="169" s="1"/>
  <c r="F272" i="169"/>
  <c r="J272" i="169"/>
  <c r="AK272" i="169" s="1"/>
  <c r="K272" i="169"/>
  <c r="AL272" i="169" s="1"/>
  <c r="L272" i="169"/>
  <c r="AM272" i="169" s="1"/>
  <c r="O272" i="169"/>
  <c r="AO272" i="169" s="1"/>
  <c r="P272" i="169"/>
  <c r="Q272" i="169"/>
  <c r="U272" i="169" s="1"/>
  <c r="AQ272" i="169" s="1"/>
  <c r="W272" i="169"/>
  <c r="A273" i="169"/>
  <c r="B273" i="169"/>
  <c r="D273" i="169"/>
  <c r="E273" i="169" s="1"/>
  <c r="F273" i="169"/>
  <c r="J273" i="169"/>
  <c r="AK273" i="169" s="1"/>
  <c r="K273" i="169"/>
  <c r="AL273" i="169" s="1"/>
  <c r="L273" i="169"/>
  <c r="AM273" i="169" s="1"/>
  <c r="O273" i="169"/>
  <c r="AO273" i="169" s="1"/>
  <c r="P273" i="169"/>
  <c r="Q273" i="169"/>
  <c r="U273" i="169" s="1"/>
  <c r="AQ273" i="169" s="1"/>
  <c r="W273" i="169"/>
  <c r="A274" i="169"/>
  <c r="B274" i="169"/>
  <c r="D274" i="169"/>
  <c r="E274" i="169" s="1"/>
  <c r="F274" i="169"/>
  <c r="J274" i="169"/>
  <c r="AK274" i="169" s="1"/>
  <c r="K274" i="169"/>
  <c r="AL274" i="169" s="1"/>
  <c r="L274" i="169"/>
  <c r="AM274" i="169" s="1"/>
  <c r="O274" i="169"/>
  <c r="AO274" i="169" s="1"/>
  <c r="P274" i="169"/>
  <c r="Q274" i="169"/>
  <c r="U274" i="169" s="1"/>
  <c r="AQ274" i="169" s="1"/>
  <c r="W274" i="169"/>
  <c r="A275" i="169"/>
  <c r="B275" i="169"/>
  <c r="D275" i="169"/>
  <c r="E275" i="169" s="1"/>
  <c r="F275" i="169"/>
  <c r="J275" i="169"/>
  <c r="AK275" i="169" s="1"/>
  <c r="K275" i="169"/>
  <c r="AL275" i="169" s="1"/>
  <c r="L275" i="169"/>
  <c r="AM275" i="169" s="1"/>
  <c r="O275" i="169"/>
  <c r="AO275" i="169" s="1"/>
  <c r="P275" i="169"/>
  <c r="Q275" i="169"/>
  <c r="U275" i="169" s="1"/>
  <c r="AQ275" i="169" s="1"/>
  <c r="W275" i="169"/>
  <c r="A276" i="169"/>
  <c r="B276" i="169"/>
  <c r="D276" i="169"/>
  <c r="E276" i="169" s="1"/>
  <c r="F276" i="169"/>
  <c r="J276" i="169"/>
  <c r="AK276" i="169" s="1"/>
  <c r="K276" i="169"/>
  <c r="AL276" i="169" s="1"/>
  <c r="L276" i="169"/>
  <c r="AM276" i="169" s="1"/>
  <c r="O276" i="169"/>
  <c r="AO276" i="169" s="1"/>
  <c r="P276" i="169"/>
  <c r="Q276" i="169"/>
  <c r="S276" i="169" s="1"/>
  <c r="AP276" i="169" s="1"/>
  <c r="W276" i="169"/>
  <c r="A277" i="169"/>
  <c r="B277" i="169"/>
  <c r="D277" i="169"/>
  <c r="E277" i="169" s="1"/>
  <c r="F277" i="169"/>
  <c r="J277" i="169"/>
  <c r="AK277" i="169" s="1"/>
  <c r="K277" i="169"/>
  <c r="AL277" i="169" s="1"/>
  <c r="L277" i="169"/>
  <c r="AM277" i="169" s="1"/>
  <c r="O277" i="169"/>
  <c r="AO277" i="169" s="1"/>
  <c r="P277" i="169"/>
  <c r="Q277" i="169"/>
  <c r="S277" i="169" s="1"/>
  <c r="AP277" i="169" s="1"/>
  <c r="W277" i="169"/>
  <c r="A278" i="169"/>
  <c r="B278" i="169"/>
  <c r="D278" i="169"/>
  <c r="E278" i="169" s="1"/>
  <c r="F278" i="169"/>
  <c r="J278" i="169"/>
  <c r="AK278" i="169" s="1"/>
  <c r="K278" i="169"/>
  <c r="AL278" i="169" s="1"/>
  <c r="L278" i="169"/>
  <c r="AM278" i="169" s="1"/>
  <c r="O278" i="169"/>
  <c r="AO278" i="169" s="1"/>
  <c r="P278" i="169"/>
  <c r="Q278" i="169"/>
  <c r="U278" i="169" s="1"/>
  <c r="AQ278" i="169" s="1"/>
  <c r="W278" i="169"/>
  <c r="A279" i="169"/>
  <c r="B279" i="169"/>
  <c r="D279" i="169"/>
  <c r="E279" i="169" s="1"/>
  <c r="F279" i="169"/>
  <c r="J279" i="169"/>
  <c r="AK279" i="169" s="1"/>
  <c r="K279" i="169"/>
  <c r="AL279" i="169" s="1"/>
  <c r="L279" i="169"/>
  <c r="AM279" i="169" s="1"/>
  <c r="O279" i="169"/>
  <c r="AO279" i="169" s="1"/>
  <c r="P279" i="169"/>
  <c r="Q279" i="169"/>
  <c r="U279" i="169" s="1"/>
  <c r="AQ279" i="169" s="1"/>
  <c r="W279" i="169"/>
  <c r="A280" i="169"/>
  <c r="B280" i="169"/>
  <c r="D280" i="169"/>
  <c r="E280" i="169" s="1"/>
  <c r="F280" i="169"/>
  <c r="J280" i="169"/>
  <c r="AK280" i="169" s="1"/>
  <c r="K280" i="169"/>
  <c r="AL280" i="169" s="1"/>
  <c r="L280" i="169"/>
  <c r="AM280" i="169" s="1"/>
  <c r="O280" i="169"/>
  <c r="AO280" i="169" s="1"/>
  <c r="P280" i="169"/>
  <c r="Q280" i="169"/>
  <c r="U280" i="169" s="1"/>
  <c r="AQ280" i="169" s="1"/>
  <c r="W280" i="169"/>
  <c r="A281" i="169"/>
  <c r="B281" i="169"/>
  <c r="D281" i="169"/>
  <c r="E281" i="169" s="1"/>
  <c r="F281" i="169"/>
  <c r="J281" i="169"/>
  <c r="AK281" i="169" s="1"/>
  <c r="K281" i="169"/>
  <c r="AL281" i="169" s="1"/>
  <c r="L281" i="169"/>
  <c r="AM281" i="169" s="1"/>
  <c r="O281" i="169"/>
  <c r="AO281" i="169" s="1"/>
  <c r="P281" i="169"/>
  <c r="Q281" i="169"/>
  <c r="S281" i="169" s="1"/>
  <c r="AP281" i="169" s="1"/>
  <c r="W281" i="169"/>
  <c r="A282" i="169"/>
  <c r="B282" i="169"/>
  <c r="D282" i="169"/>
  <c r="E282" i="169" s="1"/>
  <c r="F282" i="169"/>
  <c r="J282" i="169"/>
  <c r="AK282" i="169" s="1"/>
  <c r="K282" i="169"/>
  <c r="AL282" i="169" s="1"/>
  <c r="L282" i="169"/>
  <c r="AM282" i="169" s="1"/>
  <c r="O282" i="169"/>
  <c r="AO282" i="169" s="1"/>
  <c r="P282" i="169"/>
  <c r="Q282" i="169"/>
  <c r="U282" i="169" s="1"/>
  <c r="AQ282" i="169" s="1"/>
  <c r="W282" i="169"/>
  <c r="A283" i="169"/>
  <c r="B283" i="169"/>
  <c r="D283" i="169"/>
  <c r="E283" i="169" s="1"/>
  <c r="F283" i="169"/>
  <c r="J283" i="169"/>
  <c r="AK283" i="169" s="1"/>
  <c r="K283" i="169"/>
  <c r="AL283" i="169" s="1"/>
  <c r="L283" i="169"/>
  <c r="AM283" i="169" s="1"/>
  <c r="O283" i="169"/>
  <c r="AO283" i="169" s="1"/>
  <c r="P283" i="169"/>
  <c r="Q283" i="169"/>
  <c r="S283" i="169" s="1"/>
  <c r="AP283" i="169" s="1"/>
  <c r="W283" i="169"/>
  <c r="A284" i="169"/>
  <c r="B284" i="169"/>
  <c r="D284" i="169"/>
  <c r="E284" i="169" s="1"/>
  <c r="F284" i="169"/>
  <c r="J284" i="169"/>
  <c r="AK284" i="169" s="1"/>
  <c r="K284" i="169"/>
  <c r="AL284" i="169" s="1"/>
  <c r="L284" i="169"/>
  <c r="AM284" i="169" s="1"/>
  <c r="O284" i="169"/>
  <c r="AO284" i="169" s="1"/>
  <c r="P284" i="169"/>
  <c r="Q284" i="169"/>
  <c r="S284" i="169" s="1"/>
  <c r="AP284" i="169" s="1"/>
  <c r="W284" i="169"/>
  <c r="A285" i="169"/>
  <c r="B285" i="169"/>
  <c r="D285" i="169"/>
  <c r="E285" i="169" s="1"/>
  <c r="F285" i="169"/>
  <c r="J285" i="169"/>
  <c r="AK285" i="169" s="1"/>
  <c r="K285" i="169"/>
  <c r="AL285" i="169" s="1"/>
  <c r="L285" i="169"/>
  <c r="AM285" i="169" s="1"/>
  <c r="O285" i="169"/>
  <c r="AO285" i="169" s="1"/>
  <c r="P285" i="169"/>
  <c r="Q285" i="169"/>
  <c r="U285" i="169" s="1"/>
  <c r="AQ285" i="169" s="1"/>
  <c r="W285" i="169"/>
  <c r="A286" i="169"/>
  <c r="B286" i="169"/>
  <c r="D286" i="169"/>
  <c r="E286" i="169" s="1"/>
  <c r="F286" i="169"/>
  <c r="J286" i="169"/>
  <c r="AK286" i="169" s="1"/>
  <c r="K286" i="169"/>
  <c r="AL286" i="169" s="1"/>
  <c r="L286" i="169"/>
  <c r="AM286" i="169" s="1"/>
  <c r="O286" i="169"/>
  <c r="AO286" i="169" s="1"/>
  <c r="P286" i="169"/>
  <c r="Q286" i="169"/>
  <c r="S286" i="169" s="1"/>
  <c r="AP286" i="169" s="1"/>
  <c r="W286" i="169"/>
  <c r="A287" i="169"/>
  <c r="B287" i="169"/>
  <c r="D287" i="169"/>
  <c r="E287" i="169" s="1"/>
  <c r="F287" i="169"/>
  <c r="J287" i="169"/>
  <c r="AK287" i="169" s="1"/>
  <c r="K287" i="169"/>
  <c r="AL287" i="169" s="1"/>
  <c r="L287" i="169"/>
  <c r="AM287" i="169" s="1"/>
  <c r="O287" i="169"/>
  <c r="AO287" i="169" s="1"/>
  <c r="P287" i="169"/>
  <c r="Q287" i="169"/>
  <c r="U287" i="169" s="1"/>
  <c r="AQ287" i="169" s="1"/>
  <c r="W287" i="169"/>
  <c r="A288" i="169"/>
  <c r="B288" i="169"/>
  <c r="D288" i="169"/>
  <c r="E288" i="169" s="1"/>
  <c r="F288" i="169"/>
  <c r="J288" i="169"/>
  <c r="AK288" i="169" s="1"/>
  <c r="K288" i="169"/>
  <c r="AL288" i="169" s="1"/>
  <c r="L288" i="169"/>
  <c r="AM288" i="169" s="1"/>
  <c r="O288" i="169"/>
  <c r="AO288" i="169" s="1"/>
  <c r="P288" i="169"/>
  <c r="Q288" i="169"/>
  <c r="U288" i="169" s="1"/>
  <c r="AQ288" i="169" s="1"/>
  <c r="W288" i="169"/>
  <c r="A289" i="169"/>
  <c r="B289" i="169"/>
  <c r="D289" i="169"/>
  <c r="E289" i="169" s="1"/>
  <c r="F289" i="169"/>
  <c r="J289" i="169"/>
  <c r="AK289" i="169" s="1"/>
  <c r="K289" i="169"/>
  <c r="AL289" i="169" s="1"/>
  <c r="L289" i="169"/>
  <c r="AM289" i="169" s="1"/>
  <c r="O289" i="169"/>
  <c r="AO289" i="169" s="1"/>
  <c r="P289" i="169"/>
  <c r="Q289" i="169"/>
  <c r="U289" i="169" s="1"/>
  <c r="AQ289" i="169" s="1"/>
  <c r="W289" i="169"/>
  <c r="A290" i="169"/>
  <c r="B290" i="169"/>
  <c r="D290" i="169"/>
  <c r="E290" i="169" s="1"/>
  <c r="F290" i="169"/>
  <c r="J290" i="169"/>
  <c r="AK290" i="169" s="1"/>
  <c r="K290" i="169"/>
  <c r="AL290" i="169" s="1"/>
  <c r="L290" i="169"/>
  <c r="AM290" i="169" s="1"/>
  <c r="O290" i="169"/>
  <c r="AO290" i="169" s="1"/>
  <c r="P290" i="169"/>
  <c r="Q290" i="169"/>
  <c r="U290" i="169" s="1"/>
  <c r="AQ290" i="169" s="1"/>
  <c r="W290" i="169"/>
  <c r="A291" i="169"/>
  <c r="B291" i="169"/>
  <c r="D291" i="169"/>
  <c r="E291" i="169" s="1"/>
  <c r="F291" i="169"/>
  <c r="J291" i="169"/>
  <c r="AK291" i="169" s="1"/>
  <c r="K291" i="169"/>
  <c r="AL291" i="169" s="1"/>
  <c r="L291" i="169"/>
  <c r="AM291" i="169" s="1"/>
  <c r="O291" i="169"/>
  <c r="AO291" i="169" s="1"/>
  <c r="P291" i="169"/>
  <c r="Q291" i="169"/>
  <c r="U291" i="169" s="1"/>
  <c r="AQ291" i="169" s="1"/>
  <c r="W291" i="169"/>
  <c r="A292" i="169"/>
  <c r="B292" i="169"/>
  <c r="D292" i="169"/>
  <c r="E292" i="169" s="1"/>
  <c r="F292" i="169"/>
  <c r="J292" i="169"/>
  <c r="AK292" i="169" s="1"/>
  <c r="K292" i="169"/>
  <c r="AL292" i="169" s="1"/>
  <c r="L292" i="169"/>
  <c r="AM292" i="169" s="1"/>
  <c r="O292" i="169"/>
  <c r="AO292" i="169" s="1"/>
  <c r="P292" i="169"/>
  <c r="Q292" i="169"/>
  <c r="S292" i="169" s="1"/>
  <c r="AP292" i="169" s="1"/>
  <c r="W292" i="169"/>
  <c r="A293" i="169"/>
  <c r="B293" i="169"/>
  <c r="D293" i="169"/>
  <c r="E293" i="169" s="1"/>
  <c r="F293" i="169"/>
  <c r="J293" i="169"/>
  <c r="AK293" i="169" s="1"/>
  <c r="K293" i="169"/>
  <c r="AL293" i="169" s="1"/>
  <c r="L293" i="169"/>
  <c r="AM293" i="169" s="1"/>
  <c r="O293" i="169"/>
  <c r="AO293" i="169" s="1"/>
  <c r="P293" i="169"/>
  <c r="Q293" i="169"/>
  <c r="U293" i="169" s="1"/>
  <c r="AQ293" i="169" s="1"/>
  <c r="W293" i="169"/>
  <c r="A294" i="169"/>
  <c r="B294" i="169"/>
  <c r="D294" i="169"/>
  <c r="E294" i="169" s="1"/>
  <c r="F294" i="169"/>
  <c r="J294" i="169"/>
  <c r="AK294" i="169" s="1"/>
  <c r="K294" i="169"/>
  <c r="AL294" i="169" s="1"/>
  <c r="L294" i="169"/>
  <c r="AM294" i="169" s="1"/>
  <c r="O294" i="169"/>
  <c r="AO294" i="169" s="1"/>
  <c r="P294" i="169"/>
  <c r="Q294" i="169"/>
  <c r="S294" i="169" s="1"/>
  <c r="AP294" i="169" s="1"/>
  <c r="W294" i="169"/>
  <c r="A295" i="169"/>
  <c r="B295" i="169"/>
  <c r="D295" i="169"/>
  <c r="E295" i="169" s="1"/>
  <c r="F295" i="169"/>
  <c r="J295" i="169"/>
  <c r="AK295" i="169" s="1"/>
  <c r="K295" i="169"/>
  <c r="AL295" i="169" s="1"/>
  <c r="L295" i="169"/>
  <c r="AM295" i="169" s="1"/>
  <c r="O295" i="169"/>
  <c r="AO295" i="169" s="1"/>
  <c r="P295" i="169"/>
  <c r="Q295" i="169"/>
  <c r="U295" i="169" s="1"/>
  <c r="AQ295" i="169" s="1"/>
  <c r="W295" i="169"/>
  <c r="A296" i="169"/>
  <c r="B296" i="169"/>
  <c r="D296" i="169"/>
  <c r="E296" i="169" s="1"/>
  <c r="F296" i="169"/>
  <c r="J296" i="169"/>
  <c r="AK296" i="169" s="1"/>
  <c r="K296" i="169"/>
  <c r="AL296" i="169" s="1"/>
  <c r="L296" i="169"/>
  <c r="AM296" i="169" s="1"/>
  <c r="O296" i="169"/>
  <c r="AO296" i="169" s="1"/>
  <c r="P296" i="169"/>
  <c r="Q296" i="169"/>
  <c r="U296" i="169" s="1"/>
  <c r="AQ296" i="169" s="1"/>
  <c r="W296" i="169"/>
  <c r="A297" i="169"/>
  <c r="B297" i="169"/>
  <c r="D297" i="169"/>
  <c r="E297" i="169" s="1"/>
  <c r="F297" i="169"/>
  <c r="J297" i="169"/>
  <c r="AK297" i="169" s="1"/>
  <c r="K297" i="169"/>
  <c r="AL297" i="169" s="1"/>
  <c r="L297" i="169"/>
  <c r="AM297" i="169" s="1"/>
  <c r="O297" i="169"/>
  <c r="AO297" i="169" s="1"/>
  <c r="P297" i="169"/>
  <c r="Q297" i="169"/>
  <c r="S297" i="169" s="1"/>
  <c r="AP297" i="169" s="1"/>
  <c r="W297" i="169"/>
  <c r="A298" i="169"/>
  <c r="B298" i="169"/>
  <c r="D298" i="169"/>
  <c r="E298" i="169" s="1"/>
  <c r="F298" i="169"/>
  <c r="J298" i="169"/>
  <c r="AK298" i="169" s="1"/>
  <c r="K298" i="169"/>
  <c r="AL298" i="169" s="1"/>
  <c r="L298" i="169"/>
  <c r="AM298" i="169" s="1"/>
  <c r="O298" i="169"/>
  <c r="AO298" i="169" s="1"/>
  <c r="P298" i="169"/>
  <c r="Q298" i="169"/>
  <c r="U298" i="169" s="1"/>
  <c r="AQ298" i="169" s="1"/>
  <c r="W298" i="169"/>
  <c r="A299" i="169"/>
  <c r="B299" i="169"/>
  <c r="D299" i="169"/>
  <c r="E299" i="169" s="1"/>
  <c r="F299" i="169"/>
  <c r="J299" i="169"/>
  <c r="AK299" i="169" s="1"/>
  <c r="K299" i="169"/>
  <c r="AL299" i="169" s="1"/>
  <c r="L299" i="169"/>
  <c r="AM299" i="169" s="1"/>
  <c r="O299" i="169"/>
  <c r="AO299" i="169" s="1"/>
  <c r="P299" i="169"/>
  <c r="Q299" i="169"/>
  <c r="U299" i="169" s="1"/>
  <c r="AQ299" i="169" s="1"/>
  <c r="W299" i="169"/>
  <c r="A300" i="169"/>
  <c r="B300" i="169"/>
  <c r="D300" i="169"/>
  <c r="E300" i="169" s="1"/>
  <c r="F300" i="169"/>
  <c r="J300" i="169"/>
  <c r="AK300" i="169" s="1"/>
  <c r="K300" i="169"/>
  <c r="AL300" i="169" s="1"/>
  <c r="L300" i="169"/>
  <c r="AM300" i="169" s="1"/>
  <c r="O300" i="169"/>
  <c r="AO300" i="169" s="1"/>
  <c r="P300" i="169"/>
  <c r="Q300" i="169"/>
  <c r="U300" i="169" s="1"/>
  <c r="AQ300" i="169" s="1"/>
  <c r="W300" i="169"/>
  <c r="A301" i="169"/>
  <c r="B301" i="169"/>
  <c r="D301" i="169"/>
  <c r="E301" i="169" s="1"/>
  <c r="F301" i="169"/>
  <c r="J301" i="169"/>
  <c r="AK301" i="169" s="1"/>
  <c r="K301" i="169"/>
  <c r="AL301" i="169" s="1"/>
  <c r="L301" i="169"/>
  <c r="AM301" i="169" s="1"/>
  <c r="O301" i="169"/>
  <c r="AO301" i="169" s="1"/>
  <c r="P301" i="169"/>
  <c r="Q301" i="169"/>
  <c r="U301" i="169" s="1"/>
  <c r="AQ301" i="169" s="1"/>
  <c r="W301" i="169"/>
  <c r="K87" i="172"/>
  <c r="J87" i="172"/>
  <c r="K67" i="172"/>
  <c r="J67" i="172"/>
  <c r="K36" i="172"/>
  <c r="J36" i="172"/>
  <c r="K16" i="172"/>
  <c r="K18" i="172" s="1"/>
  <c r="AL18" i="172" s="1"/>
  <c r="AD9" i="172"/>
  <c r="X322" i="169" l="1"/>
  <c r="AF322" i="169" s="1"/>
  <c r="V322" i="169"/>
  <c r="AR322" i="169" s="1"/>
  <c r="X326" i="169"/>
  <c r="AF326" i="169" s="1"/>
  <c r="V326" i="169"/>
  <c r="AR326" i="169" s="1"/>
  <c r="S311" i="169"/>
  <c r="AP311" i="169" s="1"/>
  <c r="S308" i="169"/>
  <c r="AP308" i="169" s="1"/>
  <c r="V308" i="169"/>
  <c r="AR308" i="169" s="1"/>
  <c r="X308" i="169"/>
  <c r="AF308" i="169" s="1"/>
  <c r="V309" i="169"/>
  <c r="AR309" i="169" s="1"/>
  <c r="X309" i="169"/>
  <c r="AF309" i="169" s="1"/>
  <c r="S309" i="169"/>
  <c r="AP309" i="169" s="1"/>
  <c r="S310" i="169"/>
  <c r="AP310" i="169" s="1"/>
  <c r="V310" i="169"/>
  <c r="AR310" i="169" s="1"/>
  <c r="X310" i="169"/>
  <c r="AF310" i="169" s="1"/>
  <c r="V311" i="169"/>
  <c r="AR311" i="169" s="1"/>
  <c r="X311" i="169"/>
  <c r="AF311" i="169" s="1"/>
  <c r="S312" i="169"/>
  <c r="AP312" i="169" s="1"/>
  <c r="V312" i="169"/>
  <c r="AR312" i="169" s="1"/>
  <c r="X312" i="169"/>
  <c r="AF312" i="169" s="1"/>
  <c r="S313" i="169"/>
  <c r="AP313" i="169" s="1"/>
  <c r="V313" i="169"/>
  <c r="AR313" i="169" s="1"/>
  <c r="X313" i="169"/>
  <c r="AF313" i="169" s="1"/>
  <c r="V314" i="169"/>
  <c r="AR314" i="169" s="1"/>
  <c r="X314" i="169"/>
  <c r="AF314" i="169" s="1"/>
  <c r="S314" i="169"/>
  <c r="AP314" i="169" s="1"/>
  <c r="S315" i="169"/>
  <c r="AP315" i="169" s="1"/>
  <c r="V315" i="169"/>
  <c r="AR315" i="169" s="1"/>
  <c r="X315" i="169"/>
  <c r="AF315" i="169" s="1"/>
  <c r="S318" i="169"/>
  <c r="AP318" i="169" s="1"/>
  <c r="V316" i="169"/>
  <c r="AR316" i="169" s="1"/>
  <c r="X316" i="169"/>
  <c r="AF316" i="169" s="1"/>
  <c r="S316" i="169"/>
  <c r="AP316" i="169" s="1"/>
  <c r="V318" i="169"/>
  <c r="AR318" i="169" s="1"/>
  <c r="X318" i="169"/>
  <c r="AF318" i="169" s="1"/>
  <c r="V319" i="169"/>
  <c r="AR319" i="169" s="1"/>
  <c r="X319" i="169"/>
  <c r="AF319" i="169" s="1"/>
  <c r="S319" i="169"/>
  <c r="AP319" i="169" s="1"/>
  <c r="S320" i="169"/>
  <c r="AP320" i="169" s="1"/>
  <c r="V320" i="169"/>
  <c r="AR320" i="169" s="1"/>
  <c r="X320" i="169"/>
  <c r="AF320" i="169" s="1"/>
  <c r="V321" i="169"/>
  <c r="AR321" i="169" s="1"/>
  <c r="X321" i="169"/>
  <c r="AF321" i="169" s="1"/>
  <c r="U268" i="169"/>
  <c r="AQ268" i="169" s="1"/>
  <c r="S321" i="169"/>
  <c r="AP321" i="169" s="1"/>
  <c r="V265" i="169"/>
  <c r="AR265" i="169" s="1"/>
  <c r="S267" i="169"/>
  <c r="AP267" i="169" s="1"/>
  <c r="S265" i="169"/>
  <c r="AP265" i="169" s="1"/>
  <c r="X265" i="169"/>
  <c r="AF265" i="169" s="1"/>
  <c r="V264" i="169"/>
  <c r="AR264" i="169" s="1"/>
  <c r="X264" i="169"/>
  <c r="AF264" i="169" s="1"/>
  <c r="S264" i="169"/>
  <c r="AP264" i="169" s="1"/>
  <c r="V266" i="169"/>
  <c r="AR266" i="169" s="1"/>
  <c r="X266" i="169"/>
  <c r="AF266" i="169" s="1"/>
  <c r="S266" i="169"/>
  <c r="AP266" i="169" s="1"/>
  <c r="V267" i="169"/>
  <c r="AR267" i="169" s="1"/>
  <c r="X267" i="169"/>
  <c r="AF267" i="169" s="1"/>
  <c r="U269" i="169"/>
  <c r="AQ269" i="169" s="1"/>
  <c r="S275" i="169"/>
  <c r="AP275" i="169" s="1"/>
  <c r="S272" i="169"/>
  <c r="AP272" i="169" s="1"/>
  <c r="S271" i="169"/>
  <c r="AP271" i="169" s="1"/>
  <c r="V270" i="169"/>
  <c r="AR270" i="169" s="1"/>
  <c r="X270" i="169"/>
  <c r="AF270" i="169" s="1"/>
  <c r="S270" i="169"/>
  <c r="AP270" i="169" s="1"/>
  <c r="V271" i="169"/>
  <c r="AR271" i="169" s="1"/>
  <c r="X271" i="169"/>
  <c r="AF271" i="169" s="1"/>
  <c r="V272" i="169"/>
  <c r="AR272" i="169" s="1"/>
  <c r="X272" i="169"/>
  <c r="AF272" i="169" s="1"/>
  <c r="V273" i="169"/>
  <c r="AR273" i="169" s="1"/>
  <c r="X273" i="169"/>
  <c r="AF273" i="169" s="1"/>
  <c r="S273" i="169"/>
  <c r="AP273" i="169" s="1"/>
  <c r="U276" i="169"/>
  <c r="AQ276" i="169" s="1"/>
  <c r="V274" i="169"/>
  <c r="AR274" i="169" s="1"/>
  <c r="X274" i="169"/>
  <c r="AF274" i="169" s="1"/>
  <c r="S274" i="169"/>
  <c r="AP274" i="169" s="1"/>
  <c r="S279" i="169"/>
  <c r="AP279" i="169" s="1"/>
  <c r="U277" i="169"/>
  <c r="AQ277" i="169" s="1"/>
  <c r="V275" i="169"/>
  <c r="AR275" i="169" s="1"/>
  <c r="X275" i="169"/>
  <c r="AF275" i="169" s="1"/>
  <c r="X278" i="169"/>
  <c r="AF278" i="169" s="1"/>
  <c r="V278" i="169"/>
  <c r="AR278" i="169" s="1"/>
  <c r="S278" i="169"/>
  <c r="AP278" i="169" s="1"/>
  <c r="S280" i="169"/>
  <c r="AP280" i="169" s="1"/>
  <c r="V279" i="169"/>
  <c r="AR279" i="169" s="1"/>
  <c r="X279" i="169"/>
  <c r="AF279" i="169" s="1"/>
  <c r="V280" i="169"/>
  <c r="AR280" i="169" s="1"/>
  <c r="X280" i="169"/>
  <c r="AF280" i="169" s="1"/>
  <c r="U286" i="169"/>
  <c r="AQ286" i="169" s="1"/>
  <c r="U281" i="169"/>
  <c r="AQ281" i="169" s="1"/>
  <c r="S289" i="169"/>
  <c r="AP289" i="169" s="1"/>
  <c r="S285" i="169"/>
  <c r="AP285" i="169" s="1"/>
  <c r="U283" i="169"/>
  <c r="AQ283" i="169" s="1"/>
  <c r="V282" i="169"/>
  <c r="AR282" i="169" s="1"/>
  <c r="X282" i="169"/>
  <c r="AF282" i="169" s="1"/>
  <c r="S282" i="169"/>
  <c r="AP282" i="169" s="1"/>
  <c r="U284" i="169"/>
  <c r="AQ284" i="169" s="1"/>
  <c r="V285" i="169"/>
  <c r="AR285" i="169" s="1"/>
  <c r="X285" i="169"/>
  <c r="AF285" i="169" s="1"/>
  <c r="V287" i="169"/>
  <c r="AR287" i="169" s="1"/>
  <c r="X287" i="169"/>
  <c r="AF287" i="169" s="1"/>
  <c r="S295" i="169"/>
  <c r="AP295" i="169" s="1"/>
  <c r="S287" i="169"/>
  <c r="AP287" i="169" s="1"/>
  <c r="V288" i="169"/>
  <c r="AR288" i="169" s="1"/>
  <c r="X288" i="169"/>
  <c r="AF288" i="169" s="1"/>
  <c r="S288" i="169"/>
  <c r="AP288" i="169" s="1"/>
  <c r="S298" i="169"/>
  <c r="AP298" i="169" s="1"/>
  <c r="U297" i="169"/>
  <c r="AQ297" i="169" s="1"/>
  <c r="S296" i="169"/>
  <c r="AP296" i="169" s="1"/>
  <c r="S291" i="169"/>
  <c r="AP291" i="169" s="1"/>
  <c r="V289" i="169"/>
  <c r="AR289" i="169" s="1"/>
  <c r="X289" i="169"/>
  <c r="AF289" i="169" s="1"/>
  <c r="X295" i="169"/>
  <c r="AF295" i="169" s="1"/>
  <c r="V290" i="169"/>
  <c r="AR290" i="169" s="1"/>
  <c r="X290" i="169"/>
  <c r="AF290" i="169" s="1"/>
  <c r="S290" i="169"/>
  <c r="AP290" i="169" s="1"/>
  <c r="V291" i="169"/>
  <c r="AR291" i="169" s="1"/>
  <c r="X291" i="169"/>
  <c r="AF291" i="169" s="1"/>
  <c r="U294" i="169"/>
  <c r="AQ294" i="169" s="1"/>
  <c r="S293" i="169"/>
  <c r="AP293" i="169" s="1"/>
  <c r="U292" i="169"/>
  <c r="AQ292" i="169" s="1"/>
  <c r="V293" i="169"/>
  <c r="AR293" i="169" s="1"/>
  <c r="X293" i="169"/>
  <c r="AF293" i="169" s="1"/>
  <c r="V295" i="169"/>
  <c r="AR295" i="169" s="1"/>
  <c r="V296" i="169"/>
  <c r="AR296" i="169" s="1"/>
  <c r="X296" i="169"/>
  <c r="AF296" i="169" s="1"/>
  <c r="V298" i="169"/>
  <c r="AR298" i="169" s="1"/>
  <c r="X298" i="169"/>
  <c r="AF298" i="169" s="1"/>
  <c r="V299" i="169"/>
  <c r="AR299" i="169" s="1"/>
  <c r="X299" i="169"/>
  <c r="AF299" i="169" s="1"/>
  <c r="S299" i="169"/>
  <c r="AP299" i="169" s="1"/>
  <c r="V300" i="169"/>
  <c r="AR300" i="169" s="1"/>
  <c r="X300" i="169"/>
  <c r="AF300" i="169" s="1"/>
  <c r="S300" i="169"/>
  <c r="AP300" i="169" s="1"/>
  <c r="V301" i="169"/>
  <c r="AR301" i="169" s="1"/>
  <c r="X301" i="169"/>
  <c r="AF301" i="169" s="1"/>
  <c r="S301" i="169"/>
  <c r="AP301" i="169" s="1"/>
  <c r="P133" i="176"/>
  <c r="O133" i="176"/>
  <c r="N133" i="176"/>
  <c r="M133" i="176"/>
  <c r="L133" i="176"/>
  <c r="K133" i="176"/>
  <c r="J133" i="176"/>
  <c r="I133" i="176"/>
  <c r="H133" i="176"/>
  <c r="G133" i="176"/>
  <c r="F133" i="176"/>
  <c r="E133" i="176"/>
  <c r="R132" i="176"/>
  <c r="Q132" i="176"/>
  <c r="R131" i="176"/>
  <c r="Q131" i="176"/>
  <c r="R130" i="176"/>
  <c r="Q130" i="176"/>
  <c r="R129" i="176"/>
  <c r="Q129" i="176"/>
  <c r="R128" i="176"/>
  <c r="Q128" i="176"/>
  <c r="R127" i="176"/>
  <c r="Q127" i="176"/>
  <c r="R126" i="176"/>
  <c r="Q126" i="176"/>
  <c r="R125" i="176"/>
  <c r="Q125" i="176"/>
  <c r="R124" i="176"/>
  <c r="Q124" i="176"/>
  <c r="R123" i="176"/>
  <c r="Q123" i="176"/>
  <c r="R122" i="176"/>
  <c r="Q122" i="176"/>
  <c r="R121" i="176"/>
  <c r="Q121" i="176"/>
  <c r="R120" i="176"/>
  <c r="Q120" i="176"/>
  <c r="R119" i="176"/>
  <c r="Q119" i="176"/>
  <c r="P118" i="176"/>
  <c r="O118" i="176"/>
  <c r="N118" i="176"/>
  <c r="M118" i="176"/>
  <c r="L118" i="176"/>
  <c r="K118" i="176"/>
  <c r="J118" i="176"/>
  <c r="I118" i="176"/>
  <c r="H118" i="176"/>
  <c r="G118" i="176"/>
  <c r="F118" i="176"/>
  <c r="E118" i="176"/>
  <c r="R117" i="176"/>
  <c r="Q117" i="176"/>
  <c r="R116" i="176"/>
  <c r="Q116" i="176"/>
  <c r="R115" i="176"/>
  <c r="Q115" i="176"/>
  <c r="R114" i="176"/>
  <c r="Q114" i="176"/>
  <c r="R113" i="176"/>
  <c r="Q113" i="176"/>
  <c r="R112" i="176"/>
  <c r="Q112" i="176"/>
  <c r="R111" i="176"/>
  <c r="Q111" i="176"/>
  <c r="R110" i="176"/>
  <c r="Q110" i="176"/>
  <c r="R109" i="176"/>
  <c r="Q109" i="176"/>
  <c r="R108" i="176"/>
  <c r="Q108" i="176"/>
  <c r="R107" i="176"/>
  <c r="Q107" i="176"/>
  <c r="R105" i="176"/>
  <c r="Q105" i="176"/>
  <c r="R104" i="176"/>
  <c r="Q104" i="176"/>
  <c r="R103" i="176"/>
  <c r="Q103" i="176"/>
  <c r="R102" i="176"/>
  <c r="Q102" i="176"/>
  <c r="R101" i="176"/>
  <c r="Q101" i="176"/>
  <c r="R100" i="176"/>
  <c r="Q100" i="176"/>
  <c r="R99" i="176"/>
  <c r="Q99" i="176"/>
  <c r="R98" i="176"/>
  <c r="Q98" i="176"/>
  <c r="R97" i="176"/>
  <c r="Q97" i="176"/>
  <c r="R96" i="176"/>
  <c r="Q96" i="176"/>
  <c r="R95" i="176"/>
  <c r="Q95" i="176"/>
  <c r="R94" i="176"/>
  <c r="Q94" i="176"/>
  <c r="P93" i="176"/>
  <c r="O93" i="176"/>
  <c r="N93" i="176"/>
  <c r="M93" i="176"/>
  <c r="L93" i="176"/>
  <c r="K93" i="176"/>
  <c r="J93" i="176"/>
  <c r="I93" i="176"/>
  <c r="H93" i="176"/>
  <c r="G93" i="176"/>
  <c r="F93" i="176"/>
  <c r="E93" i="176"/>
  <c r="R92" i="176"/>
  <c r="Q92" i="176"/>
  <c r="R91" i="176"/>
  <c r="Q91" i="176"/>
  <c r="R90" i="176"/>
  <c r="Q90" i="176"/>
  <c r="R89" i="176"/>
  <c r="Q89" i="176"/>
  <c r="R88" i="176"/>
  <c r="Q88" i="176"/>
  <c r="R87" i="176"/>
  <c r="Q87" i="176"/>
  <c r="R86" i="176"/>
  <c r="Q86" i="176"/>
  <c r="R85" i="176"/>
  <c r="Q85" i="176"/>
  <c r="R84" i="176"/>
  <c r="Q84" i="176"/>
  <c r="R83" i="176"/>
  <c r="Q83" i="176"/>
  <c r="R82" i="176"/>
  <c r="Q82" i="176"/>
  <c r="R81" i="176"/>
  <c r="Q81" i="176"/>
  <c r="R80" i="176"/>
  <c r="Q80" i="176"/>
  <c r="R79" i="176"/>
  <c r="Q79" i="176"/>
  <c r="R78" i="176"/>
  <c r="Q78" i="176"/>
  <c r="R77" i="176"/>
  <c r="Q77" i="176"/>
  <c r="R76" i="176"/>
  <c r="Q76" i="176"/>
  <c r="R75" i="176"/>
  <c r="Q75" i="176"/>
  <c r="R74" i="176"/>
  <c r="Q74" i="176"/>
  <c r="R73" i="176"/>
  <c r="Q73" i="176"/>
  <c r="R72" i="176"/>
  <c r="Q72" i="176"/>
  <c r="R71" i="176"/>
  <c r="Q71" i="176"/>
  <c r="R70" i="176"/>
  <c r="Q70" i="176"/>
  <c r="R69" i="176"/>
  <c r="Q69" i="176"/>
  <c r="R68" i="176"/>
  <c r="Q68" i="176"/>
  <c r="R67" i="176"/>
  <c r="Q67" i="176"/>
  <c r="R66" i="176"/>
  <c r="Q66" i="176"/>
  <c r="R65" i="176"/>
  <c r="Q65" i="176"/>
  <c r="R64" i="176"/>
  <c r="Q64" i="176"/>
  <c r="R63" i="176"/>
  <c r="Q63" i="176"/>
  <c r="R62" i="176"/>
  <c r="Q62" i="176"/>
  <c r="R61" i="176"/>
  <c r="Q61" i="176"/>
  <c r="R60" i="176"/>
  <c r="Q60" i="176"/>
  <c r="R59" i="176"/>
  <c r="Q59" i="176"/>
  <c r="R58" i="176"/>
  <c r="Q58" i="176"/>
  <c r="R57" i="176"/>
  <c r="Q57" i="176"/>
  <c r="R56" i="176"/>
  <c r="Q56" i="176"/>
  <c r="R55" i="176"/>
  <c r="Q55" i="176"/>
  <c r="R54" i="176"/>
  <c r="Q54" i="176"/>
  <c r="R53" i="176"/>
  <c r="Q53" i="176"/>
  <c r="R52" i="176"/>
  <c r="Q52" i="176"/>
  <c r="R51" i="176"/>
  <c r="Q51" i="176"/>
  <c r="R50" i="176"/>
  <c r="Q50" i="176"/>
  <c r="R49" i="176"/>
  <c r="Q49" i="176"/>
  <c r="R48" i="176"/>
  <c r="Q48" i="176"/>
  <c r="R47" i="176"/>
  <c r="Q47" i="176"/>
  <c r="R46" i="176"/>
  <c r="Q46" i="176"/>
  <c r="R45" i="176"/>
  <c r="Q45" i="176"/>
  <c r="R44" i="176"/>
  <c r="Q44" i="176"/>
  <c r="R43" i="176"/>
  <c r="Q43" i="176"/>
  <c r="R42" i="176"/>
  <c r="Q42" i="176"/>
  <c r="R41" i="176"/>
  <c r="Q41" i="176"/>
  <c r="R40" i="176"/>
  <c r="Q40" i="176"/>
  <c r="R39" i="176"/>
  <c r="Q39" i="176"/>
  <c r="R38" i="176"/>
  <c r="Q38" i="176"/>
  <c r="R37" i="176"/>
  <c r="Q37" i="176"/>
  <c r="R36" i="176"/>
  <c r="Q36" i="176"/>
  <c r="R35" i="176"/>
  <c r="Q35" i="176"/>
  <c r="R34" i="176"/>
  <c r="Q34" i="176"/>
  <c r="R33" i="176"/>
  <c r="Q33" i="176"/>
  <c r="R32" i="176"/>
  <c r="Q32" i="176"/>
  <c r="R31" i="176"/>
  <c r="Q31" i="176"/>
  <c r="R30" i="176"/>
  <c r="Q30" i="176"/>
  <c r="R29" i="176"/>
  <c r="Q29" i="176"/>
  <c r="Q106" i="176"/>
  <c r="R28" i="176"/>
  <c r="Q28" i="176"/>
  <c r="R27" i="176"/>
  <c r="Q27" i="176"/>
  <c r="R26" i="176"/>
  <c r="Q26" i="176"/>
  <c r="R25" i="176"/>
  <c r="Q25" i="176"/>
  <c r="R24" i="176"/>
  <c r="Q24" i="176"/>
  <c r="R23" i="176"/>
  <c r="Q23" i="176"/>
  <c r="R22" i="176"/>
  <c r="Q22" i="176"/>
  <c r="R21" i="176"/>
  <c r="Q21" i="176"/>
  <c r="R20" i="176"/>
  <c r="Q20" i="176"/>
  <c r="R19" i="176"/>
  <c r="Q19" i="176"/>
  <c r="P18" i="176"/>
  <c r="O18" i="176"/>
  <c r="N18" i="176"/>
  <c r="N134" i="176" s="1"/>
  <c r="M18" i="176"/>
  <c r="L18" i="176"/>
  <c r="L134" i="176" s="1"/>
  <c r="K18" i="176"/>
  <c r="J18" i="176"/>
  <c r="J134" i="176" s="1"/>
  <c r="I18" i="176"/>
  <c r="H18" i="176"/>
  <c r="G18" i="176"/>
  <c r="F18" i="176"/>
  <c r="F134" i="176" s="1"/>
  <c r="E18" i="176"/>
  <c r="R17" i="176"/>
  <c r="Q17" i="176"/>
  <c r="R16" i="176"/>
  <c r="Q16" i="176"/>
  <c r="R15" i="176"/>
  <c r="Q15" i="176"/>
  <c r="R14" i="176"/>
  <c r="Q14" i="176"/>
  <c r="R13" i="176"/>
  <c r="Q13" i="176"/>
  <c r="R12" i="176"/>
  <c r="Q12" i="176"/>
  <c r="R11" i="176"/>
  <c r="Q11" i="176"/>
  <c r="R10" i="176"/>
  <c r="Q10" i="176"/>
  <c r="R9" i="176"/>
  <c r="Q9" i="176"/>
  <c r="R8" i="176"/>
  <c r="Q8" i="176"/>
  <c r="R7" i="176"/>
  <c r="Q7" i="176"/>
  <c r="R6" i="176"/>
  <c r="Q6" i="176"/>
  <c r="R5" i="176"/>
  <c r="Q5" i="176"/>
  <c r="R4" i="176"/>
  <c r="Q4" i="176"/>
  <c r="X286" i="169" l="1"/>
  <c r="AF286" i="169" s="1"/>
  <c r="V294" i="169"/>
  <c r="AR294" i="169" s="1"/>
  <c r="X269" i="169"/>
  <c r="AF269" i="169" s="1"/>
  <c r="V276" i="169"/>
  <c r="AR276" i="169" s="1"/>
  <c r="X297" i="169"/>
  <c r="AF297" i="169" s="1"/>
  <c r="V283" i="169"/>
  <c r="AR283" i="169" s="1"/>
  <c r="V268" i="169"/>
  <c r="AR268" i="169" s="1"/>
  <c r="V284" i="169"/>
  <c r="AR284" i="169" s="1"/>
  <c r="R18" i="176"/>
  <c r="P134" i="176"/>
  <c r="Q18" i="176"/>
  <c r="H134" i="176"/>
  <c r="R93" i="176"/>
  <c r="S54" i="176" s="1"/>
  <c r="Q118" i="176"/>
  <c r="X268" i="169"/>
  <c r="AF268" i="169" s="1"/>
  <c r="V269" i="169"/>
  <c r="AR269" i="169" s="1"/>
  <c r="X276" i="169"/>
  <c r="AF276" i="169" s="1"/>
  <c r="V277" i="169"/>
  <c r="AR277" i="169" s="1"/>
  <c r="X277" i="169"/>
  <c r="AF277" i="169" s="1"/>
  <c r="V286" i="169"/>
  <c r="AR286" i="169" s="1"/>
  <c r="X283" i="169"/>
  <c r="AF283" i="169" s="1"/>
  <c r="X281" i="169"/>
  <c r="AF281" i="169" s="1"/>
  <c r="V281" i="169"/>
  <c r="AR281" i="169" s="1"/>
  <c r="X284" i="169"/>
  <c r="AF284" i="169" s="1"/>
  <c r="V297" i="169"/>
  <c r="AR297" i="169" s="1"/>
  <c r="X294" i="169"/>
  <c r="AF294" i="169" s="1"/>
  <c r="V292" i="169"/>
  <c r="AR292" i="169" s="1"/>
  <c r="X292" i="169"/>
  <c r="AF292" i="169" s="1"/>
  <c r="R118" i="176"/>
  <c r="S96" i="176" s="1"/>
  <c r="G49" i="172" s="1"/>
  <c r="S101" i="176"/>
  <c r="G60" i="172" s="1"/>
  <c r="S105" i="176"/>
  <c r="G39" i="172" s="1"/>
  <c r="Q133" i="176"/>
  <c r="R133" i="176"/>
  <c r="E134" i="176"/>
  <c r="I134" i="176"/>
  <c r="M134" i="176"/>
  <c r="Q93" i="176"/>
  <c r="G134" i="176"/>
  <c r="K134" i="176"/>
  <c r="O134" i="176"/>
  <c r="S6" i="176"/>
  <c r="S80" i="176"/>
  <c r="S82" i="176"/>
  <c r="S9" i="176"/>
  <c r="S16" i="176"/>
  <c r="S26" i="176"/>
  <c r="S28" i="176"/>
  <c r="S35" i="176"/>
  <c r="S43" i="176"/>
  <c r="S44" i="176"/>
  <c r="S51" i="176"/>
  <c r="S67" i="176"/>
  <c r="S69" i="176"/>
  <c r="S83" i="176"/>
  <c r="S120" i="176"/>
  <c r="S123" i="176"/>
  <c r="S129" i="176"/>
  <c r="T39" i="172" l="1"/>
  <c r="S39" i="172" s="1"/>
  <c r="U39" i="172"/>
  <c r="T60" i="172"/>
  <c r="S60" i="172" s="1"/>
  <c r="U60" i="172"/>
  <c r="T49" i="172"/>
  <c r="S49" i="172" s="1"/>
  <c r="U49" i="172"/>
  <c r="S107" i="176"/>
  <c r="G44" i="172" s="1"/>
  <c r="S24" i="176"/>
  <c r="S91" i="176"/>
  <c r="S59" i="176"/>
  <c r="S39" i="176"/>
  <c r="S22" i="176"/>
  <c r="S72" i="176"/>
  <c r="S63" i="176"/>
  <c r="S78" i="176"/>
  <c r="S40" i="176"/>
  <c r="S37" i="176"/>
  <c r="S70" i="176"/>
  <c r="S41" i="176"/>
  <c r="S25" i="176"/>
  <c r="S61" i="176"/>
  <c r="S74" i="176"/>
  <c r="S87" i="176"/>
  <c r="S55" i="176"/>
  <c r="S21" i="176"/>
  <c r="S85" i="176"/>
  <c r="S53" i="176"/>
  <c r="S36" i="176"/>
  <c r="S20" i="176"/>
  <c r="S66" i="176"/>
  <c r="S49" i="176"/>
  <c r="S33" i="176"/>
  <c r="S52" i="176"/>
  <c r="S64" i="176"/>
  <c r="S79" i="176"/>
  <c r="S62" i="176"/>
  <c r="S77" i="176"/>
  <c r="S48" i="176"/>
  <c r="S32" i="176"/>
  <c r="S90" i="176"/>
  <c r="S58" i="176"/>
  <c r="S75" i="176"/>
  <c r="S47" i="176"/>
  <c r="S31" i="176"/>
  <c r="S88" i="176"/>
  <c r="S56" i="176"/>
  <c r="S71" i="176"/>
  <c r="S45" i="176"/>
  <c r="S29" i="176"/>
  <c r="S86" i="176"/>
  <c r="S110" i="176"/>
  <c r="G50" i="172" s="1"/>
  <c r="S114" i="176"/>
  <c r="G53" i="172" s="1"/>
  <c r="S97" i="176"/>
  <c r="G52" i="172" s="1"/>
  <c r="S109" i="176"/>
  <c r="G55" i="172" s="1"/>
  <c r="S112" i="176"/>
  <c r="G54" i="172" s="1"/>
  <c r="S103" i="176"/>
  <c r="G43" i="172" s="1"/>
  <c r="S95" i="176"/>
  <c r="G59" i="172" s="1"/>
  <c r="S102" i="176"/>
  <c r="G58" i="172" s="1"/>
  <c r="S117" i="176"/>
  <c r="G41" i="172" s="1"/>
  <c r="S104" i="176"/>
  <c r="G38" i="172" s="1"/>
  <c r="S106" i="176"/>
  <c r="G46" i="172" s="1"/>
  <c r="S98" i="176"/>
  <c r="G45" i="172" s="1"/>
  <c r="S113" i="176"/>
  <c r="G48" i="172" s="1"/>
  <c r="S100" i="176"/>
  <c r="G56" i="172" s="1"/>
  <c r="S116" i="176"/>
  <c r="G40" i="172" s="1"/>
  <c r="S108" i="176"/>
  <c r="G47" i="172" s="1"/>
  <c r="S99" i="176"/>
  <c r="G57" i="172" s="1"/>
  <c r="S115" i="176"/>
  <c r="G61" i="172" s="1"/>
  <c r="S94" i="176"/>
  <c r="G51" i="172" s="1"/>
  <c r="S111" i="176"/>
  <c r="G42" i="172" s="1"/>
  <c r="S127" i="176"/>
  <c r="S122" i="176"/>
  <c r="S8" i="176"/>
  <c r="S15" i="176"/>
  <c r="S131" i="176"/>
  <c r="S126" i="176"/>
  <c r="S121" i="176"/>
  <c r="S13" i="176"/>
  <c r="S5" i="176"/>
  <c r="S130" i="176"/>
  <c r="S125" i="176"/>
  <c r="S119" i="176"/>
  <c r="S89" i="176"/>
  <c r="S81" i="176"/>
  <c r="S73" i="176"/>
  <c r="S65" i="176"/>
  <c r="S57" i="176"/>
  <c r="S50" i="176"/>
  <c r="S46" i="176"/>
  <c r="S42" i="176"/>
  <c r="S38" i="176"/>
  <c r="S34" i="176"/>
  <c r="S30" i="176"/>
  <c r="S27" i="176"/>
  <c r="S23" i="176"/>
  <c r="S19" i="176"/>
  <c r="S11" i="176"/>
  <c r="S92" i="176"/>
  <c r="S84" i="176"/>
  <c r="S76" i="176"/>
  <c r="S68" i="176"/>
  <c r="S60" i="176"/>
  <c r="S132" i="176"/>
  <c r="S128" i="176"/>
  <c r="S124" i="176"/>
  <c r="S17" i="176"/>
  <c r="S12" i="176"/>
  <c r="S7" i="176"/>
  <c r="Q134" i="176"/>
  <c r="Q135" i="176" s="1"/>
  <c r="S14" i="176"/>
  <c r="S10" i="176"/>
  <c r="R134" i="176"/>
  <c r="S4" i="176"/>
  <c r="U61" i="172" l="1"/>
  <c r="T61" i="172"/>
  <c r="S61" i="172" s="1"/>
  <c r="J56" i="172"/>
  <c r="T56" i="172"/>
  <c r="S56" i="172" s="1"/>
  <c r="U56" i="172"/>
  <c r="T38" i="172"/>
  <c r="U38" i="172"/>
  <c r="T43" i="172"/>
  <c r="S43" i="172" s="1"/>
  <c r="U43" i="172"/>
  <c r="U53" i="172"/>
  <c r="T53" i="172"/>
  <c r="S53" i="172" s="1"/>
  <c r="T41" i="172"/>
  <c r="S41" i="172" s="1"/>
  <c r="U41" i="172"/>
  <c r="T54" i="172"/>
  <c r="S54" i="172" s="1"/>
  <c r="U54" i="172"/>
  <c r="T50" i="172"/>
  <c r="S50" i="172" s="1"/>
  <c r="U50" i="172"/>
  <c r="T44" i="172"/>
  <c r="S44" i="172" s="1"/>
  <c r="U44" i="172"/>
  <c r="T48" i="172"/>
  <c r="S48" i="172" s="1"/>
  <c r="U48" i="172"/>
  <c r="T42" i="172"/>
  <c r="S42" i="172" s="1"/>
  <c r="U42" i="172"/>
  <c r="T47" i="172"/>
  <c r="S47" i="172" s="1"/>
  <c r="U47" i="172"/>
  <c r="U45" i="172"/>
  <c r="T45" i="172"/>
  <c r="S45" i="172" s="1"/>
  <c r="T58" i="172"/>
  <c r="S58" i="172" s="1"/>
  <c r="U58" i="172"/>
  <c r="T55" i="172"/>
  <c r="S55" i="172" s="1"/>
  <c r="U55" i="172"/>
  <c r="T57" i="172"/>
  <c r="S57" i="172" s="1"/>
  <c r="U57" i="172"/>
  <c r="T51" i="172"/>
  <c r="S51" i="172" s="1"/>
  <c r="U51" i="172"/>
  <c r="T40" i="172"/>
  <c r="S40" i="172" s="1"/>
  <c r="U40" i="172"/>
  <c r="T46" i="172"/>
  <c r="S46" i="172" s="1"/>
  <c r="U46" i="172"/>
  <c r="T59" i="172"/>
  <c r="S59" i="172" s="1"/>
  <c r="U59" i="172"/>
  <c r="T52" i="172"/>
  <c r="S52" i="172" s="1"/>
  <c r="U52" i="172"/>
  <c r="S93" i="176"/>
  <c r="S133" i="176"/>
  <c r="T4" i="176"/>
  <c r="T98" i="176"/>
  <c r="T102" i="176"/>
  <c r="T106" i="176"/>
  <c r="T110" i="176"/>
  <c r="T114" i="176"/>
  <c r="T94" i="176"/>
  <c r="T95" i="176"/>
  <c r="T99" i="176"/>
  <c r="T103" i="176"/>
  <c r="T107" i="176"/>
  <c r="T111" i="176"/>
  <c r="T115" i="176"/>
  <c r="T96" i="176"/>
  <c r="T100" i="176"/>
  <c r="T104" i="176"/>
  <c r="T108" i="176"/>
  <c r="T112" i="176"/>
  <c r="T116" i="176"/>
  <c r="T97" i="176"/>
  <c r="T101" i="176"/>
  <c r="T105" i="176"/>
  <c r="T109" i="176"/>
  <c r="T113" i="176"/>
  <c r="T117" i="176"/>
  <c r="S118" i="176"/>
  <c r="S18" i="176"/>
  <c r="T6" i="176"/>
  <c r="T23" i="176"/>
  <c r="T14" i="176"/>
  <c r="T40" i="176"/>
  <c r="T7" i="176"/>
  <c r="T15" i="176"/>
  <c r="T24" i="176"/>
  <c r="T31" i="176"/>
  <c r="T39" i="176"/>
  <c r="T47" i="176"/>
  <c r="T52" i="176"/>
  <c r="T56" i="176"/>
  <c r="T60" i="176"/>
  <c r="T64" i="176"/>
  <c r="T68" i="176"/>
  <c r="T72" i="176"/>
  <c r="T76" i="176"/>
  <c r="T80" i="176"/>
  <c r="T84" i="176"/>
  <c r="T88" i="176"/>
  <c r="T92" i="176"/>
  <c r="T125" i="176"/>
  <c r="T19" i="176"/>
  <c r="T126" i="176"/>
  <c r="T10" i="176"/>
  <c r="T34" i="176"/>
  <c r="T30" i="176"/>
  <c r="T16" i="176"/>
  <c r="T27" i="176"/>
  <c r="T42" i="176"/>
  <c r="T9" i="176"/>
  <c r="T17" i="176"/>
  <c r="T26" i="176"/>
  <c r="T33" i="176"/>
  <c r="T41" i="176"/>
  <c r="T49" i="176"/>
  <c r="T119" i="176"/>
  <c r="T127" i="176"/>
  <c r="T53" i="176"/>
  <c r="T57" i="176"/>
  <c r="T61" i="176"/>
  <c r="T65" i="176"/>
  <c r="T69" i="176"/>
  <c r="T73" i="176"/>
  <c r="T77" i="176"/>
  <c r="T81" i="176"/>
  <c r="T85" i="176"/>
  <c r="T89" i="176"/>
  <c r="T120" i="176"/>
  <c r="T128" i="176"/>
  <c r="T21" i="176"/>
  <c r="T44" i="176"/>
  <c r="T38" i="176"/>
  <c r="T46" i="176"/>
  <c r="T32" i="176"/>
  <c r="T48" i="176"/>
  <c r="T11" i="176"/>
  <c r="T20" i="176"/>
  <c r="T28" i="176"/>
  <c r="T35" i="176"/>
  <c r="T43" i="176"/>
  <c r="T51" i="176"/>
  <c r="T54" i="176"/>
  <c r="T58" i="176"/>
  <c r="T62" i="176"/>
  <c r="T66" i="176"/>
  <c r="T70" i="176"/>
  <c r="T74" i="176"/>
  <c r="T78" i="176"/>
  <c r="T82" i="176"/>
  <c r="T86" i="176"/>
  <c r="T90" i="176"/>
  <c r="T121" i="176"/>
  <c r="T129" i="176"/>
  <c r="T122" i="176"/>
  <c r="T130" i="176"/>
  <c r="T25" i="176"/>
  <c r="T12" i="176"/>
  <c r="T50" i="176"/>
  <c r="T8" i="176"/>
  <c r="T36" i="176"/>
  <c r="T5" i="176"/>
  <c r="T13" i="176"/>
  <c r="T22" i="176"/>
  <c r="T29" i="176"/>
  <c r="T37" i="176"/>
  <c r="T45" i="176"/>
  <c r="T123" i="176"/>
  <c r="T131" i="176"/>
  <c r="T55" i="176"/>
  <c r="T59" i="176"/>
  <c r="T63" i="176"/>
  <c r="T67" i="176"/>
  <c r="T71" i="176"/>
  <c r="T75" i="176"/>
  <c r="T79" i="176"/>
  <c r="T83" i="176"/>
  <c r="T87" i="176"/>
  <c r="T91" i="176"/>
  <c r="T124" i="176"/>
  <c r="T132" i="176"/>
  <c r="AB46" i="172" l="1"/>
  <c r="T62" i="172"/>
  <c r="T63" i="172" s="1"/>
  <c r="S38" i="172"/>
  <c r="T93" i="176"/>
  <c r="T18" i="176"/>
  <c r="U18" i="176" s="1"/>
  <c r="T118" i="176"/>
  <c r="T133" i="176"/>
  <c r="T134" i="176" l="1"/>
  <c r="L32" i="172" l="1"/>
  <c r="M83" i="172"/>
  <c r="AN2" i="169"/>
  <c r="AH2" i="169"/>
  <c r="AJ2" i="169" s="1"/>
  <c r="P62" i="172" l="1"/>
  <c r="AF6" i="172" s="1"/>
  <c r="AI2" i="169"/>
  <c r="J46" i="172" l="1"/>
  <c r="I46" i="172" s="1"/>
  <c r="K46" i="172"/>
  <c r="AC36" i="172"/>
  <c r="R46" i="172" l="1"/>
  <c r="AL46" i="172"/>
  <c r="AN46" i="172" s="1"/>
  <c r="EB90" i="172"/>
  <c r="EA90" i="172"/>
  <c r="DZ90" i="172"/>
  <c r="DY90" i="172"/>
  <c r="DX90" i="172"/>
  <c r="DW90" i="172"/>
  <c r="DV90" i="172"/>
  <c r="DU90" i="172"/>
  <c r="DS90" i="172"/>
  <c r="DR90" i="172"/>
  <c r="DQ90" i="172"/>
  <c r="DP90" i="172"/>
  <c r="DO90" i="172"/>
  <c r="DN90" i="172"/>
  <c r="DM90" i="172"/>
  <c r="DL90" i="172"/>
  <c r="DJ90" i="172"/>
  <c r="DI90" i="172"/>
  <c r="AO8" i="172" s="1"/>
  <c r="DH90" i="172"/>
  <c r="DG90" i="172"/>
  <c r="DF90" i="172"/>
  <c r="DE90" i="172"/>
  <c r="DD90" i="172"/>
  <c r="DC90" i="172"/>
  <c r="CV90" i="172"/>
  <c r="CU90" i="172"/>
  <c r="CT90" i="172"/>
  <c r="CS90" i="172"/>
  <c r="CR90" i="172"/>
  <c r="CQ90" i="172"/>
  <c r="CP90" i="172"/>
  <c r="CO90" i="172"/>
  <c r="CM90" i="172"/>
  <c r="CL90" i="172"/>
  <c r="CK90" i="172"/>
  <c r="CJ90" i="172"/>
  <c r="CI90" i="172"/>
  <c r="CH90" i="172"/>
  <c r="CG90" i="172"/>
  <c r="CF90" i="172"/>
  <c r="CD90" i="172"/>
  <c r="CC90" i="172"/>
  <c r="CB90" i="172"/>
  <c r="CA90" i="172"/>
  <c r="BZ90" i="172"/>
  <c r="BY90" i="172"/>
  <c r="BX90" i="172"/>
  <c r="BW90" i="172"/>
  <c r="BP90" i="172"/>
  <c r="BO90" i="172"/>
  <c r="BN90" i="172"/>
  <c r="BM90" i="172"/>
  <c r="BL90" i="172"/>
  <c r="BK90" i="172"/>
  <c r="BJ90" i="172"/>
  <c r="BI90" i="172"/>
  <c r="BG90" i="172"/>
  <c r="BF90" i="172"/>
  <c r="BE90" i="172"/>
  <c r="BD90" i="172"/>
  <c r="BC90" i="172"/>
  <c r="BB90" i="172"/>
  <c r="BA90" i="172"/>
  <c r="AZ90" i="172"/>
  <c r="AX90" i="172"/>
  <c r="AW90" i="172"/>
  <c r="AV90" i="172"/>
  <c r="AU90" i="172"/>
  <c r="AT90" i="172"/>
  <c r="AS90" i="172"/>
  <c r="AR90" i="172"/>
  <c r="AQ90" i="172"/>
  <c r="AJ90" i="172"/>
  <c r="AI90" i="172"/>
  <c r="AH90" i="172"/>
  <c r="AG90" i="172"/>
  <c r="AF90" i="172"/>
  <c r="AE90" i="172"/>
  <c r="AD90" i="172"/>
  <c r="AC90" i="172"/>
  <c r="AA90" i="172"/>
  <c r="AB90" i="172" s="1"/>
  <c r="Z90" i="172"/>
  <c r="Y90" i="172"/>
  <c r="X90" i="172"/>
  <c r="W90" i="172"/>
  <c r="V90" i="172"/>
  <c r="U90" i="172"/>
  <c r="U91" i="172" s="1"/>
  <c r="S90" i="172"/>
  <c r="Q90" i="172"/>
  <c r="P90" i="172"/>
  <c r="M90" i="172"/>
  <c r="L90" i="172"/>
  <c r="EE89" i="172"/>
  <c r="EE90" i="172" s="1"/>
  <c r="ED89" i="172"/>
  <c r="ED90" i="172" s="1"/>
  <c r="EC89" i="172"/>
  <c r="DT89" i="172"/>
  <c r="DK89" i="172"/>
  <c r="CY89" i="172"/>
  <c r="CY90" i="172" s="1"/>
  <c r="CX89" i="172"/>
  <c r="CX90" i="172" s="1"/>
  <c r="CW89" i="172"/>
  <c r="CN89" i="172"/>
  <c r="CE89" i="172"/>
  <c r="BS89" i="172"/>
  <c r="BS90" i="172" s="1"/>
  <c r="BR89" i="172"/>
  <c r="BR90" i="172" s="1"/>
  <c r="BQ89" i="172"/>
  <c r="BH89" i="172"/>
  <c r="AY89" i="172"/>
  <c r="AM89" i="172"/>
  <c r="AM90" i="172" s="1"/>
  <c r="AK89" i="172"/>
  <c r="AB89" i="172"/>
  <c r="AC87" i="172"/>
  <c r="K89" i="172"/>
  <c r="R89" i="172" s="1"/>
  <c r="J89" i="172"/>
  <c r="J90" i="172" s="1"/>
  <c r="EB83" i="172"/>
  <c r="EA83" i="172"/>
  <c r="DZ83" i="172"/>
  <c r="DY83" i="172"/>
  <c r="DX83" i="172"/>
  <c r="DW83" i="172"/>
  <c r="DV83" i="172"/>
  <c r="DU83" i="172"/>
  <c r="DS83" i="172"/>
  <c r="DR83" i="172"/>
  <c r="AP7" i="172" s="1"/>
  <c r="DQ83" i="172"/>
  <c r="DP83" i="172"/>
  <c r="DO83" i="172"/>
  <c r="DN83" i="172"/>
  <c r="DM83" i="172"/>
  <c r="DL83" i="172"/>
  <c r="DJ83" i="172"/>
  <c r="DI83" i="172"/>
  <c r="AO7" i="172" s="1"/>
  <c r="DH83" i="172"/>
  <c r="DG83" i="172"/>
  <c r="DF83" i="172"/>
  <c r="DE83" i="172"/>
  <c r="DD83" i="172"/>
  <c r="DC83" i="172"/>
  <c r="CV83" i="172"/>
  <c r="CU83" i="172"/>
  <c r="AN7" i="172" s="1"/>
  <c r="CT83" i="172"/>
  <c r="CS83" i="172"/>
  <c r="CR83" i="172"/>
  <c r="CQ83" i="172"/>
  <c r="CP83" i="172"/>
  <c r="CO83" i="172"/>
  <c r="CM83" i="172"/>
  <c r="CL83" i="172"/>
  <c r="CK83" i="172"/>
  <c r="CJ83" i="172"/>
  <c r="CI83" i="172"/>
  <c r="CH83" i="172"/>
  <c r="CG83" i="172"/>
  <c r="CF83" i="172"/>
  <c r="CD83" i="172"/>
  <c r="CC83" i="172"/>
  <c r="AL7" i="172" s="1"/>
  <c r="CB83" i="172"/>
  <c r="CA83" i="172"/>
  <c r="BZ83" i="172"/>
  <c r="BY83" i="172"/>
  <c r="BX83" i="172"/>
  <c r="BW83" i="172"/>
  <c r="BP83" i="172"/>
  <c r="BO83" i="172"/>
  <c r="AK7" i="172" s="1"/>
  <c r="BN83" i="172"/>
  <c r="BM83" i="172"/>
  <c r="BL83" i="172"/>
  <c r="BK83" i="172"/>
  <c r="BJ83" i="172"/>
  <c r="BI83" i="172"/>
  <c r="BG83" i="172"/>
  <c r="BF83" i="172"/>
  <c r="AJ7" i="172" s="1"/>
  <c r="BE83" i="172"/>
  <c r="BD83" i="172"/>
  <c r="BC83" i="172"/>
  <c r="BB83" i="172"/>
  <c r="BA83" i="172"/>
  <c r="AZ83" i="172"/>
  <c r="AX83" i="172"/>
  <c r="AW83" i="172"/>
  <c r="AV83" i="172"/>
  <c r="AU83" i="172"/>
  <c r="AT83" i="172"/>
  <c r="AS83" i="172"/>
  <c r="AR83" i="172"/>
  <c r="AQ83" i="172"/>
  <c r="AJ83" i="172"/>
  <c r="AI83" i="172"/>
  <c r="AH7" i="172" s="1"/>
  <c r="AH83" i="172"/>
  <c r="AG83" i="172"/>
  <c r="AF83" i="172"/>
  <c r="AE83" i="172"/>
  <c r="AD83" i="172"/>
  <c r="AC83" i="172"/>
  <c r="AA83" i="172"/>
  <c r="Z83" i="172"/>
  <c r="Y83" i="172"/>
  <c r="X83" i="172"/>
  <c r="W83" i="172"/>
  <c r="V83" i="172"/>
  <c r="U83" i="172"/>
  <c r="U84" i="172" s="1"/>
  <c r="S83" i="172"/>
  <c r="Q83" i="172"/>
  <c r="P83" i="172"/>
  <c r="L83" i="172"/>
  <c r="G83" i="172"/>
  <c r="EE82" i="172"/>
  <c r="ED82" i="172"/>
  <c r="EC82" i="172"/>
  <c r="DT82" i="172"/>
  <c r="DK82" i="172"/>
  <c r="CY82" i="172"/>
  <c r="CX82" i="172"/>
  <c r="CW82" i="172"/>
  <c r="CN82" i="172"/>
  <c r="CE82" i="172"/>
  <c r="BS82" i="172"/>
  <c r="BR82" i="172"/>
  <c r="BQ82" i="172"/>
  <c r="BH82" i="172"/>
  <c r="AY82" i="172"/>
  <c r="AM82" i="172"/>
  <c r="AK82" i="172"/>
  <c r="AB82" i="172"/>
  <c r="EE81" i="172"/>
  <c r="ED81" i="172"/>
  <c r="EC81" i="172"/>
  <c r="DT81" i="172"/>
  <c r="DK81" i="172"/>
  <c r="CY81" i="172"/>
  <c r="CX81" i="172"/>
  <c r="CW81" i="172"/>
  <c r="CN81" i="172"/>
  <c r="CE81" i="172"/>
  <c r="BS81" i="172"/>
  <c r="BR81" i="172"/>
  <c r="BQ81" i="172"/>
  <c r="BH81" i="172"/>
  <c r="AY81" i="172"/>
  <c r="AM81" i="172"/>
  <c r="AK81" i="172"/>
  <c r="AB81" i="172"/>
  <c r="EE80" i="172"/>
  <c r="ED80" i="172"/>
  <c r="EC80" i="172"/>
  <c r="DT80" i="172"/>
  <c r="DK80" i="172"/>
  <c r="CY80" i="172"/>
  <c r="CX80" i="172"/>
  <c r="CW80" i="172"/>
  <c r="CN80" i="172"/>
  <c r="CE80" i="172"/>
  <c r="BS80" i="172"/>
  <c r="BR80" i="172"/>
  <c r="BQ80" i="172"/>
  <c r="BH80" i="172"/>
  <c r="AY80" i="172"/>
  <c r="AM80" i="172"/>
  <c r="AK80" i="172"/>
  <c r="AB80" i="172"/>
  <c r="EE79" i="172"/>
  <c r="ED79" i="172"/>
  <c r="EC79" i="172"/>
  <c r="DT79" i="172"/>
  <c r="DK79" i="172"/>
  <c r="CY79" i="172"/>
  <c r="CX79" i="172"/>
  <c r="CW79" i="172"/>
  <c r="CN79" i="172"/>
  <c r="CE79" i="172"/>
  <c r="BS79" i="172"/>
  <c r="BR79" i="172"/>
  <c r="BQ79" i="172"/>
  <c r="BH79" i="172"/>
  <c r="AY79" i="172"/>
  <c r="AM79" i="172"/>
  <c r="AK79" i="172"/>
  <c r="AB79" i="172"/>
  <c r="EE78" i="172"/>
  <c r="ED78" i="172"/>
  <c r="EC78" i="172"/>
  <c r="DT78" i="172"/>
  <c r="DK78" i="172"/>
  <c r="CY78" i="172"/>
  <c r="CX78" i="172"/>
  <c r="CW78" i="172"/>
  <c r="CN78" i="172"/>
  <c r="CE78" i="172"/>
  <c r="BS78" i="172"/>
  <c r="BR78" i="172"/>
  <c r="BQ78" i="172"/>
  <c r="BH78" i="172"/>
  <c r="AY78" i="172"/>
  <c r="AM78" i="172"/>
  <c r="AK78" i="172"/>
  <c r="AB78" i="172"/>
  <c r="EE77" i="172"/>
  <c r="ED77" i="172"/>
  <c r="EC77" i="172"/>
  <c r="DT77" i="172"/>
  <c r="DK77" i="172"/>
  <c r="CY77" i="172"/>
  <c r="CX77" i="172"/>
  <c r="CW77" i="172"/>
  <c r="CN77" i="172"/>
  <c r="CE77" i="172"/>
  <c r="BS77" i="172"/>
  <c r="BR77" i="172"/>
  <c r="BQ77" i="172"/>
  <c r="BH77" i="172"/>
  <c r="AY77" i="172"/>
  <c r="AM77" i="172"/>
  <c r="AK77" i="172"/>
  <c r="AB77" i="172"/>
  <c r="EE76" i="172"/>
  <c r="ED76" i="172"/>
  <c r="EC76" i="172"/>
  <c r="DT76" i="172"/>
  <c r="DK76" i="172"/>
  <c r="CY76" i="172"/>
  <c r="CX76" i="172"/>
  <c r="CW76" i="172"/>
  <c r="CN76" i="172"/>
  <c r="CE76" i="172"/>
  <c r="BS76" i="172"/>
  <c r="BR76" i="172"/>
  <c r="BQ76" i="172"/>
  <c r="BH76" i="172"/>
  <c r="AY76" i="172"/>
  <c r="AM76" i="172"/>
  <c r="AK76" i="172"/>
  <c r="AB76" i="172"/>
  <c r="EE75" i="172"/>
  <c r="ED75" i="172"/>
  <c r="EC75" i="172"/>
  <c r="DT75" i="172"/>
  <c r="DK75" i="172"/>
  <c r="CY75" i="172"/>
  <c r="CX75" i="172"/>
  <c r="CW75" i="172"/>
  <c r="CN75" i="172"/>
  <c r="CE75" i="172"/>
  <c r="BS75" i="172"/>
  <c r="BR75" i="172"/>
  <c r="BQ75" i="172"/>
  <c r="BH75" i="172"/>
  <c r="AY75" i="172"/>
  <c r="AM75" i="172"/>
  <c r="AK75" i="172"/>
  <c r="AB75" i="172"/>
  <c r="EE74" i="172"/>
  <c r="ED74" i="172"/>
  <c r="EC74" i="172"/>
  <c r="DT74" i="172"/>
  <c r="DK74" i="172"/>
  <c r="CY74" i="172"/>
  <c r="CX74" i="172"/>
  <c r="CW74" i="172"/>
  <c r="CN74" i="172"/>
  <c r="CE74" i="172"/>
  <c r="BS74" i="172"/>
  <c r="BR74" i="172"/>
  <c r="BQ74" i="172"/>
  <c r="BH74" i="172"/>
  <c r="AY74" i="172"/>
  <c r="AM74" i="172"/>
  <c r="AK74" i="172"/>
  <c r="EE73" i="172"/>
  <c r="ED73" i="172"/>
  <c r="EC73" i="172"/>
  <c r="DT73" i="172"/>
  <c r="DK73" i="172"/>
  <c r="CY73" i="172"/>
  <c r="CX73" i="172"/>
  <c r="CW73" i="172"/>
  <c r="CN73" i="172"/>
  <c r="CE73" i="172"/>
  <c r="BS73" i="172"/>
  <c r="BR73" i="172"/>
  <c r="BQ73" i="172"/>
  <c r="BH73" i="172"/>
  <c r="AY73" i="172"/>
  <c r="AM73" i="172"/>
  <c r="AK73" i="172"/>
  <c r="EE72" i="172"/>
  <c r="ED72" i="172"/>
  <c r="EC72" i="172"/>
  <c r="DT72" i="172"/>
  <c r="DK72" i="172"/>
  <c r="CY72" i="172"/>
  <c r="CX72" i="172"/>
  <c r="CW72" i="172"/>
  <c r="CN72" i="172"/>
  <c r="CE72" i="172"/>
  <c r="BS72" i="172"/>
  <c r="BR72" i="172"/>
  <c r="BQ72" i="172"/>
  <c r="BH72" i="172"/>
  <c r="AY72" i="172"/>
  <c r="AM72" i="172"/>
  <c r="AK72" i="172"/>
  <c r="AB72" i="172"/>
  <c r="EE71" i="172"/>
  <c r="ED71" i="172"/>
  <c r="EC71" i="172"/>
  <c r="DT71" i="172"/>
  <c r="DK71" i="172"/>
  <c r="CY71" i="172"/>
  <c r="CX71" i="172"/>
  <c r="CW71" i="172"/>
  <c r="CN71" i="172"/>
  <c r="CE71" i="172"/>
  <c r="BS71" i="172"/>
  <c r="BR71" i="172"/>
  <c r="BQ71" i="172"/>
  <c r="BH71" i="172"/>
  <c r="AY71" i="172"/>
  <c r="AM71" i="172"/>
  <c r="AK71" i="172"/>
  <c r="AB71" i="172"/>
  <c r="EE70" i="172"/>
  <c r="ED70" i="172"/>
  <c r="EC70" i="172"/>
  <c r="DT70" i="172"/>
  <c r="DK70" i="172"/>
  <c r="CY70" i="172"/>
  <c r="CX70" i="172"/>
  <c r="CW70" i="172"/>
  <c r="CN70" i="172"/>
  <c r="CE70" i="172"/>
  <c r="BS70" i="172"/>
  <c r="BR70" i="172"/>
  <c r="BQ70" i="172"/>
  <c r="BH70" i="172"/>
  <c r="AY70" i="172"/>
  <c r="AM70" i="172"/>
  <c r="AK70" i="172"/>
  <c r="AB70" i="172"/>
  <c r="EE69" i="172"/>
  <c r="ED69" i="172"/>
  <c r="EC69" i="172"/>
  <c r="DT69" i="172"/>
  <c r="DK69" i="172"/>
  <c r="CY69" i="172"/>
  <c r="CX69" i="172"/>
  <c r="CW69" i="172"/>
  <c r="CN69" i="172"/>
  <c r="CE69" i="172"/>
  <c r="BS69" i="172"/>
  <c r="BR69" i="172"/>
  <c r="BQ69" i="172"/>
  <c r="BH69" i="172"/>
  <c r="AY69" i="172"/>
  <c r="AM69" i="172"/>
  <c r="AK69" i="172"/>
  <c r="AB69" i="172"/>
  <c r="AC67" i="172"/>
  <c r="J82" i="172"/>
  <c r="I82" i="172" s="1"/>
  <c r="EB62" i="172"/>
  <c r="EA62" i="172"/>
  <c r="AQ6" i="172" s="1"/>
  <c r="DZ62" i="172"/>
  <c r="DY62" i="172"/>
  <c r="DX62" i="172"/>
  <c r="DW62" i="172"/>
  <c r="DV62" i="172"/>
  <c r="DU62" i="172"/>
  <c r="DS62" i="172"/>
  <c r="DR62" i="172"/>
  <c r="AP6" i="172" s="1"/>
  <c r="DQ62" i="172"/>
  <c r="DP62" i="172"/>
  <c r="DO62" i="172"/>
  <c r="DN62" i="172"/>
  <c r="DM62" i="172"/>
  <c r="DL62" i="172"/>
  <c r="DJ62" i="172"/>
  <c r="DI62" i="172"/>
  <c r="DH62" i="172"/>
  <c r="DG62" i="172"/>
  <c r="DF62" i="172"/>
  <c r="DE62" i="172"/>
  <c r="DD62" i="172"/>
  <c r="DC62" i="172"/>
  <c r="CV62" i="172"/>
  <c r="CU62" i="172"/>
  <c r="CT62" i="172"/>
  <c r="CS62" i="172"/>
  <c r="CR62" i="172"/>
  <c r="CQ62" i="172"/>
  <c r="CP62" i="172"/>
  <c r="CO62" i="172"/>
  <c r="CM62" i="172"/>
  <c r="CL62" i="172"/>
  <c r="AM6" i="172" s="1"/>
  <c r="CK62" i="172"/>
  <c r="CJ62" i="172"/>
  <c r="CI62" i="172"/>
  <c r="CH62" i="172"/>
  <c r="CG62" i="172"/>
  <c r="CF62" i="172"/>
  <c r="CD62" i="172"/>
  <c r="CC62" i="172"/>
  <c r="AL6" i="172" s="1"/>
  <c r="CB62" i="172"/>
  <c r="CA62" i="172"/>
  <c r="BZ62" i="172"/>
  <c r="BY62" i="172"/>
  <c r="BX62" i="172"/>
  <c r="BW62" i="172"/>
  <c r="BP62" i="172"/>
  <c r="BO62" i="172"/>
  <c r="BN62" i="172"/>
  <c r="BM62" i="172"/>
  <c r="BL62" i="172"/>
  <c r="BK62" i="172"/>
  <c r="BJ62" i="172"/>
  <c r="BI62" i="172"/>
  <c r="BG62" i="172"/>
  <c r="BF62" i="172"/>
  <c r="BE62" i="172"/>
  <c r="BD62" i="172"/>
  <c r="BC62" i="172"/>
  <c r="BB62" i="172"/>
  <c r="BA62" i="172"/>
  <c r="AZ62" i="172"/>
  <c r="AX62" i="172"/>
  <c r="AW62" i="172"/>
  <c r="AI6" i="172" s="1"/>
  <c r="AV62" i="172"/>
  <c r="AU62" i="172"/>
  <c r="AT62" i="172"/>
  <c r="AS62" i="172"/>
  <c r="AR62" i="172"/>
  <c r="AQ62" i="172"/>
  <c r="AJ62" i="172"/>
  <c r="AI62" i="172"/>
  <c r="AH6" i="172" s="1"/>
  <c r="AH62" i="172"/>
  <c r="AG62" i="172"/>
  <c r="AF62" i="172"/>
  <c r="AE62" i="172"/>
  <c r="AD62" i="172"/>
  <c r="AC62" i="172"/>
  <c r="AA62" i="172"/>
  <c r="Z62" i="172"/>
  <c r="Y62" i="172"/>
  <c r="X62" i="172"/>
  <c r="W62" i="172"/>
  <c r="V62" i="172"/>
  <c r="U62" i="172"/>
  <c r="U63" i="172" s="1"/>
  <c r="S62" i="172"/>
  <c r="Q62" i="172"/>
  <c r="O9" i="172"/>
  <c r="M62" i="172"/>
  <c r="L62" i="172"/>
  <c r="G62" i="172"/>
  <c r="EE61" i="172"/>
  <c r="ED61" i="172"/>
  <c r="EC61" i="172"/>
  <c r="DT61" i="172"/>
  <c r="DK61" i="172"/>
  <c r="CY61" i="172"/>
  <c r="CX61" i="172"/>
  <c r="CW61" i="172"/>
  <c r="CN61" i="172"/>
  <c r="CE61" i="172"/>
  <c r="BS61" i="172"/>
  <c r="BR61" i="172"/>
  <c r="BQ61" i="172"/>
  <c r="BH61" i="172"/>
  <c r="AY61" i="172"/>
  <c r="AM61" i="172"/>
  <c r="AK61" i="172"/>
  <c r="AB61" i="172"/>
  <c r="EE60" i="172"/>
  <c r="ED60" i="172"/>
  <c r="EC60" i="172"/>
  <c r="DT60" i="172"/>
  <c r="DK60" i="172"/>
  <c r="CY60" i="172"/>
  <c r="CX60" i="172"/>
  <c r="CW60" i="172"/>
  <c r="CN60" i="172"/>
  <c r="CE60" i="172"/>
  <c r="BS60" i="172"/>
  <c r="BR60" i="172"/>
  <c r="BQ60" i="172"/>
  <c r="BH60" i="172"/>
  <c r="AY60" i="172"/>
  <c r="AM60" i="172"/>
  <c r="AK60" i="172"/>
  <c r="AB60" i="172"/>
  <c r="EE59" i="172"/>
  <c r="ED59" i="172"/>
  <c r="EC59" i="172"/>
  <c r="DT59" i="172"/>
  <c r="DK59" i="172"/>
  <c r="CY59" i="172"/>
  <c r="CX59" i="172"/>
  <c r="CW59" i="172"/>
  <c r="CN59" i="172"/>
  <c r="CE59" i="172"/>
  <c r="BS59" i="172"/>
  <c r="BR59" i="172"/>
  <c r="BQ59" i="172"/>
  <c r="BH59" i="172"/>
  <c r="AY59" i="172"/>
  <c r="AM59" i="172"/>
  <c r="AK59" i="172"/>
  <c r="AB59" i="172"/>
  <c r="EE58" i="172"/>
  <c r="ED58" i="172"/>
  <c r="EC58" i="172"/>
  <c r="DT58" i="172"/>
  <c r="DK58" i="172"/>
  <c r="CY58" i="172"/>
  <c r="CX58" i="172"/>
  <c r="CW58" i="172"/>
  <c r="CN58" i="172"/>
  <c r="CE58" i="172"/>
  <c r="BS58" i="172"/>
  <c r="BR58" i="172"/>
  <c r="BQ58" i="172"/>
  <c r="BH58" i="172"/>
  <c r="AY58" i="172"/>
  <c r="AM58" i="172"/>
  <c r="AK58" i="172"/>
  <c r="AB58" i="172"/>
  <c r="EE57" i="172"/>
  <c r="ED57" i="172"/>
  <c r="EC57" i="172"/>
  <c r="DT57" i="172"/>
  <c r="DK57" i="172"/>
  <c r="CY57" i="172"/>
  <c r="CX57" i="172"/>
  <c r="CW57" i="172"/>
  <c r="CN57" i="172"/>
  <c r="CE57" i="172"/>
  <c r="BS57" i="172"/>
  <c r="BR57" i="172"/>
  <c r="BQ57" i="172"/>
  <c r="BH57" i="172"/>
  <c r="AY57" i="172"/>
  <c r="AM57" i="172"/>
  <c r="AK57" i="172"/>
  <c r="AB57" i="172"/>
  <c r="EE56" i="172"/>
  <c r="ED56" i="172"/>
  <c r="EC56" i="172"/>
  <c r="DT56" i="172"/>
  <c r="DK56" i="172"/>
  <c r="CY56" i="172"/>
  <c r="CX56" i="172"/>
  <c r="CW56" i="172"/>
  <c r="CN56" i="172"/>
  <c r="CE56" i="172"/>
  <c r="BS56" i="172"/>
  <c r="BR56" i="172"/>
  <c r="BQ56" i="172"/>
  <c r="BH56" i="172"/>
  <c r="AY56" i="172"/>
  <c r="AM56" i="172"/>
  <c r="AK56" i="172"/>
  <c r="AB56" i="172"/>
  <c r="EE55" i="172"/>
  <c r="ED55" i="172"/>
  <c r="EC55" i="172"/>
  <c r="DT55" i="172"/>
  <c r="DK55" i="172"/>
  <c r="CY55" i="172"/>
  <c r="CX55" i="172"/>
  <c r="CW55" i="172"/>
  <c r="CN55" i="172"/>
  <c r="CE55" i="172"/>
  <c r="BS55" i="172"/>
  <c r="BR55" i="172"/>
  <c r="BQ55" i="172"/>
  <c r="BH55" i="172"/>
  <c r="AY55" i="172"/>
  <c r="AM55" i="172"/>
  <c r="AK55" i="172"/>
  <c r="AB55" i="172"/>
  <c r="EE54" i="172"/>
  <c r="ED54" i="172"/>
  <c r="EC54" i="172"/>
  <c r="DT54" i="172"/>
  <c r="DK54" i="172"/>
  <c r="CY54" i="172"/>
  <c r="CX54" i="172"/>
  <c r="CW54" i="172"/>
  <c r="CN54" i="172"/>
  <c r="CE54" i="172"/>
  <c r="BS54" i="172"/>
  <c r="BR54" i="172"/>
  <c r="BQ54" i="172"/>
  <c r="BH54" i="172"/>
  <c r="AY54" i="172"/>
  <c r="AM54" i="172"/>
  <c r="AK54" i="172"/>
  <c r="AB54" i="172"/>
  <c r="EE53" i="172"/>
  <c r="ED53" i="172"/>
  <c r="EC53" i="172"/>
  <c r="DT53" i="172"/>
  <c r="DK53" i="172"/>
  <c r="CY53" i="172"/>
  <c r="CX53" i="172"/>
  <c r="CW53" i="172"/>
  <c r="CN53" i="172"/>
  <c r="CE53" i="172"/>
  <c r="BS53" i="172"/>
  <c r="BR53" i="172"/>
  <c r="BQ53" i="172"/>
  <c r="BH53" i="172"/>
  <c r="AY53" i="172"/>
  <c r="AM53" i="172"/>
  <c r="AK53" i="172"/>
  <c r="AB53" i="172"/>
  <c r="EE52" i="172"/>
  <c r="ED52" i="172"/>
  <c r="EC52" i="172"/>
  <c r="DT52" i="172"/>
  <c r="DK52" i="172"/>
  <c r="CY52" i="172"/>
  <c r="CX52" i="172"/>
  <c r="CW52" i="172"/>
  <c r="CN52" i="172"/>
  <c r="CE52" i="172"/>
  <c r="BS52" i="172"/>
  <c r="BR52" i="172"/>
  <c r="BQ52" i="172"/>
  <c r="BH52" i="172"/>
  <c r="AY52" i="172"/>
  <c r="AM52" i="172"/>
  <c r="AK52" i="172"/>
  <c r="AB52" i="172"/>
  <c r="EE51" i="172"/>
  <c r="ED51" i="172"/>
  <c r="EC51" i="172"/>
  <c r="DT51" i="172"/>
  <c r="DK51" i="172"/>
  <c r="CY51" i="172"/>
  <c r="CX51" i="172"/>
  <c r="CW51" i="172"/>
  <c r="CN51" i="172"/>
  <c r="CE51" i="172"/>
  <c r="BS51" i="172"/>
  <c r="BR51" i="172"/>
  <c r="BQ51" i="172"/>
  <c r="BH51" i="172"/>
  <c r="AY51" i="172"/>
  <c r="AM51" i="172"/>
  <c r="AK51" i="172"/>
  <c r="AB51" i="172"/>
  <c r="EE50" i="172"/>
  <c r="ED50" i="172"/>
  <c r="EC50" i="172"/>
  <c r="DT50" i="172"/>
  <c r="DK50" i="172"/>
  <c r="CY50" i="172"/>
  <c r="CX50" i="172"/>
  <c r="CW50" i="172"/>
  <c r="CN50" i="172"/>
  <c r="CE50" i="172"/>
  <c r="BS50" i="172"/>
  <c r="BR50" i="172"/>
  <c r="BQ50" i="172"/>
  <c r="BH50" i="172"/>
  <c r="AY50" i="172"/>
  <c r="AM50" i="172"/>
  <c r="AK50" i="172"/>
  <c r="AB50" i="172"/>
  <c r="EE49" i="172"/>
  <c r="ED49" i="172"/>
  <c r="EC49" i="172"/>
  <c r="DT49" i="172"/>
  <c r="DK49" i="172"/>
  <c r="CY49" i="172"/>
  <c r="CX49" i="172"/>
  <c r="CW49" i="172"/>
  <c r="CN49" i="172"/>
  <c r="CE49" i="172"/>
  <c r="BS49" i="172"/>
  <c r="BR49" i="172"/>
  <c r="BQ49" i="172"/>
  <c r="BH49" i="172"/>
  <c r="AY49" i="172"/>
  <c r="AM49" i="172"/>
  <c r="AK49" i="172"/>
  <c r="AB49" i="172"/>
  <c r="EE48" i="172"/>
  <c r="ED48" i="172"/>
  <c r="EC48" i="172"/>
  <c r="DT48" i="172"/>
  <c r="DK48" i="172"/>
  <c r="CY48" i="172"/>
  <c r="CX48" i="172"/>
  <c r="CW48" i="172"/>
  <c r="CN48" i="172"/>
  <c r="CE48" i="172"/>
  <c r="BS48" i="172"/>
  <c r="BR48" i="172"/>
  <c r="BQ48" i="172"/>
  <c r="BH48" i="172"/>
  <c r="AY48" i="172"/>
  <c r="AM48" i="172"/>
  <c r="AK48" i="172"/>
  <c r="AB48" i="172"/>
  <c r="EE47" i="172"/>
  <c r="ED47" i="172"/>
  <c r="EC47" i="172"/>
  <c r="DT47" i="172"/>
  <c r="DK47" i="172"/>
  <c r="CY47" i="172"/>
  <c r="CX47" i="172"/>
  <c r="CW47" i="172"/>
  <c r="CN47" i="172"/>
  <c r="CE47" i="172"/>
  <c r="BS47" i="172"/>
  <c r="BR47" i="172"/>
  <c r="BQ47" i="172"/>
  <c r="BH47" i="172"/>
  <c r="AY47" i="172"/>
  <c r="AM47" i="172"/>
  <c r="AK47" i="172"/>
  <c r="AB47" i="172"/>
  <c r="EE45" i="172"/>
  <c r="ED45" i="172"/>
  <c r="EC45" i="172"/>
  <c r="DT45" i="172"/>
  <c r="DK45" i="172"/>
  <c r="CY45" i="172"/>
  <c r="CX45" i="172"/>
  <c r="CW45" i="172"/>
  <c r="CN45" i="172"/>
  <c r="CE45" i="172"/>
  <c r="BS45" i="172"/>
  <c r="BR45" i="172"/>
  <c r="BQ45" i="172"/>
  <c r="BH45" i="172"/>
  <c r="AY45" i="172"/>
  <c r="AM45" i="172"/>
  <c r="AK45" i="172"/>
  <c r="AB45" i="172"/>
  <c r="EE44" i="172"/>
  <c r="ED44" i="172"/>
  <c r="EC44" i="172"/>
  <c r="DT44" i="172"/>
  <c r="DK44" i="172"/>
  <c r="CY44" i="172"/>
  <c r="CX44" i="172"/>
  <c r="CW44" i="172"/>
  <c r="CN44" i="172"/>
  <c r="CE44" i="172"/>
  <c r="BS44" i="172"/>
  <c r="BR44" i="172"/>
  <c r="BQ44" i="172"/>
  <c r="BH44" i="172"/>
  <c r="AY44" i="172"/>
  <c r="AM44" i="172"/>
  <c r="AK44" i="172"/>
  <c r="AB44" i="172"/>
  <c r="EE43" i="172"/>
  <c r="ED43" i="172"/>
  <c r="EC43" i="172"/>
  <c r="DT43" i="172"/>
  <c r="DK43" i="172"/>
  <c r="CY43" i="172"/>
  <c r="CX43" i="172"/>
  <c r="CW43" i="172"/>
  <c r="CN43" i="172"/>
  <c r="CE43" i="172"/>
  <c r="BS43" i="172"/>
  <c r="BR43" i="172"/>
  <c r="BQ43" i="172"/>
  <c r="BH43" i="172"/>
  <c r="AY43" i="172"/>
  <c r="AM43" i="172"/>
  <c r="AK43" i="172"/>
  <c r="AB43" i="172"/>
  <c r="EE42" i="172"/>
  <c r="ED42" i="172"/>
  <c r="EC42" i="172"/>
  <c r="DT42" i="172"/>
  <c r="DK42" i="172"/>
  <c r="CY42" i="172"/>
  <c r="CX42" i="172"/>
  <c r="CW42" i="172"/>
  <c r="CN42" i="172"/>
  <c r="CE42" i="172"/>
  <c r="BS42" i="172"/>
  <c r="BR42" i="172"/>
  <c r="BQ42" i="172"/>
  <c r="BH42" i="172"/>
  <c r="AY42" i="172"/>
  <c r="AM42" i="172"/>
  <c r="AK42" i="172"/>
  <c r="AB42" i="172"/>
  <c r="EE41" i="172"/>
  <c r="ED41" i="172"/>
  <c r="EC41" i="172"/>
  <c r="DT41" i="172"/>
  <c r="DK41" i="172"/>
  <c r="CY41" i="172"/>
  <c r="CX41" i="172"/>
  <c r="CW41" i="172"/>
  <c r="CN41" i="172"/>
  <c r="CE41" i="172"/>
  <c r="BS41" i="172"/>
  <c r="BR41" i="172"/>
  <c r="BQ41" i="172"/>
  <c r="BH41" i="172"/>
  <c r="AY41" i="172"/>
  <c r="AM41" i="172"/>
  <c r="AK41" i="172"/>
  <c r="AB41" i="172"/>
  <c r="EE40" i="172"/>
  <c r="ED40" i="172"/>
  <c r="EC40" i="172"/>
  <c r="DT40" i="172"/>
  <c r="DK40" i="172"/>
  <c r="CY40" i="172"/>
  <c r="CX40" i="172"/>
  <c r="CW40" i="172"/>
  <c r="CN40" i="172"/>
  <c r="CE40" i="172"/>
  <c r="BS40" i="172"/>
  <c r="BR40" i="172"/>
  <c r="BQ40" i="172"/>
  <c r="BH40" i="172"/>
  <c r="AY40" i="172"/>
  <c r="AM40" i="172"/>
  <c r="AK40" i="172"/>
  <c r="AB40" i="172"/>
  <c r="EE39" i="172"/>
  <c r="ED39" i="172"/>
  <c r="EC39" i="172"/>
  <c r="DT39" i="172"/>
  <c r="DK39" i="172"/>
  <c r="CY39" i="172"/>
  <c r="CX39" i="172"/>
  <c r="CW39" i="172"/>
  <c r="CN39" i="172"/>
  <c r="CE39" i="172"/>
  <c r="BS39" i="172"/>
  <c r="BR39" i="172"/>
  <c r="BQ39" i="172"/>
  <c r="BH39" i="172"/>
  <c r="AY39" i="172"/>
  <c r="AM39" i="172"/>
  <c r="AK39" i="172"/>
  <c r="AB39" i="172"/>
  <c r="EE38" i="172"/>
  <c r="ED38" i="172"/>
  <c r="EC38" i="172"/>
  <c r="DT38" i="172"/>
  <c r="DK38" i="172"/>
  <c r="CY38" i="172"/>
  <c r="CX38" i="172"/>
  <c r="CW38" i="172"/>
  <c r="CN38" i="172"/>
  <c r="CE38" i="172"/>
  <c r="BS38" i="172"/>
  <c r="BR38" i="172"/>
  <c r="BQ38" i="172"/>
  <c r="BH38" i="172"/>
  <c r="AY38" i="172"/>
  <c r="AM38" i="172"/>
  <c r="AK38" i="172"/>
  <c r="AB38" i="172"/>
  <c r="K49" i="172"/>
  <c r="R49" i="172" s="1"/>
  <c r="EB32" i="172"/>
  <c r="AQ10" i="172" s="1"/>
  <c r="AQ12" i="172" s="1"/>
  <c r="EA32" i="172"/>
  <c r="DZ32" i="172"/>
  <c r="DY32" i="172"/>
  <c r="DX32" i="172"/>
  <c r="DW32" i="172"/>
  <c r="DV32" i="172"/>
  <c r="DU32" i="172"/>
  <c r="DS32" i="172"/>
  <c r="DR32" i="172"/>
  <c r="DQ32" i="172"/>
  <c r="DP32" i="172"/>
  <c r="DO32" i="172"/>
  <c r="DN32" i="172"/>
  <c r="DM32" i="172"/>
  <c r="DL32" i="172"/>
  <c r="DJ32" i="172"/>
  <c r="DI32" i="172"/>
  <c r="DH32" i="172"/>
  <c r="DG32" i="172"/>
  <c r="DF32" i="172"/>
  <c r="DE32" i="172"/>
  <c r="DD32" i="172"/>
  <c r="DC32" i="172"/>
  <c r="CV32" i="172"/>
  <c r="CU32" i="172"/>
  <c r="CT32" i="172"/>
  <c r="CS32" i="172"/>
  <c r="CR32" i="172"/>
  <c r="CQ32" i="172"/>
  <c r="CP32" i="172"/>
  <c r="CO32" i="172"/>
  <c r="CM32" i="172"/>
  <c r="AM10" i="172" s="1"/>
  <c r="AM12" i="172" s="1"/>
  <c r="CL32" i="172"/>
  <c r="CK32" i="172"/>
  <c r="CJ32" i="172"/>
  <c r="CI32" i="172"/>
  <c r="CH32" i="172"/>
  <c r="CG32" i="172"/>
  <c r="CF32" i="172"/>
  <c r="CD32" i="172"/>
  <c r="CC32" i="172"/>
  <c r="CB32" i="172"/>
  <c r="CA32" i="172"/>
  <c r="BZ32" i="172"/>
  <c r="BY32" i="172"/>
  <c r="BX32" i="172"/>
  <c r="BW32" i="172"/>
  <c r="BP32" i="172"/>
  <c r="BO32" i="172"/>
  <c r="BN32" i="172"/>
  <c r="BM32" i="172"/>
  <c r="BL32" i="172"/>
  <c r="BK32" i="172"/>
  <c r="BJ32" i="172"/>
  <c r="BI32" i="172"/>
  <c r="BG32" i="172"/>
  <c r="BF32" i="172"/>
  <c r="BE32" i="172"/>
  <c r="BD32" i="172"/>
  <c r="BC32" i="172"/>
  <c r="BB32" i="172"/>
  <c r="BA32" i="172"/>
  <c r="AZ32" i="172"/>
  <c r="AX32" i="172"/>
  <c r="AI10" i="172" s="1"/>
  <c r="AI12" i="172" s="1"/>
  <c r="AW32" i="172"/>
  <c r="AV32" i="172"/>
  <c r="AU32" i="172"/>
  <c r="AT32" i="172"/>
  <c r="AS32" i="172"/>
  <c r="AR32" i="172"/>
  <c r="AQ32" i="172"/>
  <c r="AJ32" i="172"/>
  <c r="AI32" i="172"/>
  <c r="AH32" i="172"/>
  <c r="AG32" i="172"/>
  <c r="AF32" i="172"/>
  <c r="AE32" i="172"/>
  <c r="AD32" i="172"/>
  <c r="AC32" i="172"/>
  <c r="Z32" i="172"/>
  <c r="Y32" i="172"/>
  <c r="X32" i="172"/>
  <c r="W32" i="172"/>
  <c r="V32" i="172"/>
  <c r="U32" i="172"/>
  <c r="S32" i="172"/>
  <c r="Q32" i="172"/>
  <c r="P32" i="172"/>
  <c r="M32" i="172"/>
  <c r="G32" i="172"/>
  <c r="EE31" i="172"/>
  <c r="ED31" i="172"/>
  <c r="EC31" i="172"/>
  <c r="DT31" i="172"/>
  <c r="DK31" i="172"/>
  <c r="CY31" i="172"/>
  <c r="CX31" i="172"/>
  <c r="CW31" i="172"/>
  <c r="CN31" i="172"/>
  <c r="CE31" i="172"/>
  <c r="BS31" i="172"/>
  <c r="BR31" i="172"/>
  <c r="BQ31" i="172"/>
  <c r="BH31" i="172"/>
  <c r="AY31" i="172"/>
  <c r="AM31" i="172"/>
  <c r="AK31" i="172"/>
  <c r="AB31" i="172"/>
  <c r="EE30" i="172"/>
  <c r="ED30" i="172"/>
  <c r="EC30" i="172"/>
  <c r="DT30" i="172"/>
  <c r="DK30" i="172"/>
  <c r="CY30" i="172"/>
  <c r="CX30" i="172"/>
  <c r="CW30" i="172"/>
  <c r="CN30" i="172"/>
  <c r="CE30" i="172"/>
  <c r="BS30" i="172"/>
  <c r="BR30" i="172"/>
  <c r="BQ30" i="172"/>
  <c r="BH30" i="172"/>
  <c r="AY30" i="172"/>
  <c r="AM30" i="172"/>
  <c r="AK30" i="172"/>
  <c r="AB30" i="172"/>
  <c r="EE29" i="172"/>
  <c r="ED29" i="172"/>
  <c r="EC29" i="172"/>
  <c r="DT29" i="172"/>
  <c r="DK29" i="172"/>
  <c r="CY29" i="172"/>
  <c r="CX29" i="172"/>
  <c r="CW29" i="172"/>
  <c r="CN29" i="172"/>
  <c r="CE29" i="172"/>
  <c r="BS29" i="172"/>
  <c r="BR29" i="172"/>
  <c r="BQ29" i="172"/>
  <c r="BH29" i="172"/>
  <c r="AY29" i="172"/>
  <c r="AM29" i="172"/>
  <c r="AK29" i="172"/>
  <c r="AB29" i="172"/>
  <c r="EE28" i="172"/>
  <c r="ED28" i="172"/>
  <c r="EC28" i="172"/>
  <c r="DT28" i="172"/>
  <c r="DK28" i="172"/>
  <c r="CY28" i="172"/>
  <c r="CX28" i="172"/>
  <c r="CW28" i="172"/>
  <c r="CN28" i="172"/>
  <c r="CE28" i="172"/>
  <c r="BS28" i="172"/>
  <c r="BR28" i="172"/>
  <c r="BQ28" i="172"/>
  <c r="BH28" i="172"/>
  <c r="AY28" i="172"/>
  <c r="AM28" i="172"/>
  <c r="AK28" i="172"/>
  <c r="AB28" i="172"/>
  <c r="EE24" i="172"/>
  <c r="ED24" i="172"/>
  <c r="EC24" i="172"/>
  <c r="DT24" i="172"/>
  <c r="DK24" i="172"/>
  <c r="CY24" i="172"/>
  <c r="CX24" i="172"/>
  <c r="CW24" i="172"/>
  <c r="CN24" i="172"/>
  <c r="CE24" i="172"/>
  <c r="BS24" i="172"/>
  <c r="BR24" i="172"/>
  <c r="BQ24" i="172"/>
  <c r="BH24" i="172"/>
  <c r="AY24" i="172"/>
  <c r="AM24" i="172"/>
  <c r="AK24" i="172"/>
  <c r="AB24" i="172"/>
  <c r="EE23" i="172"/>
  <c r="ED23" i="172"/>
  <c r="EC23" i="172"/>
  <c r="DT23" i="172"/>
  <c r="DK23" i="172"/>
  <c r="CY23" i="172"/>
  <c r="CX23" i="172"/>
  <c r="CW23" i="172"/>
  <c r="CN23" i="172"/>
  <c r="CE23" i="172"/>
  <c r="BS23" i="172"/>
  <c r="BR23" i="172"/>
  <c r="BQ23" i="172"/>
  <c r="BH23" i="172"/>
  <c r="AY23" i="172"/>
  <c r="AM23" i="172"/>
  <c r="AK23" i="172"/>
  <c r="AB23" i="172"/>
  <c r="EE22" i="172"/>
  <c r="ED22" i="172"/>
  <c r="EC22" i="172"/>
  <c r="DT22" i="172"/>
  <c r="DK22" i="172"/>
  <c r="CY22" i="172"/>
  <c r="CX22" i="172"/>
  <c r="CW22" i="172"/>
  <c r="CN22" i="172"/>
  <c r="CE22" i="172"/>
  <c r="BS22" i="172"/>
  <c r="BR22" i="172"/>
  <c r="BQ22" i="172"/>
  <c r="BH22" i="172"/>
  <c r="AY22" i="172"/>
  <c r="AK22" i="172"/>
  <c r="AB22" i="172"/>
  <c r="EE21" i="172"/>
  <c r="ED21" i="172"/>
  <c r="EC21" i="172"/>
  <c r="DT21" i="172"/>
  <c r="DK21" i="172"/>
  <c r="CY21" i="172"/>
  <c r="CX21" i="172"/>
  <c r="CW21" i="172"/>
  <c r="CN21" i="172"/>
  <c r="CE21" i="172"/>
  <c r="BS21" i="172"/>
  <c r="BR21" i="172"/>
  <c r="BQ21" i="172"/>
  <c r="BH21" i="172"/>
  <c r="AY21" i="172"/>
  <c r="AM21" i="172"/>
  <c r="AK21" i="172"/>
  <c r="AB21" i="172"/>
  <c r="EE20" i="172"/>
  <c r="ED20" i="172"/>
  <c r="EC20" i="172"/>
  <c r="DT20" i="172"/>
  <c r="DK20" i="172"/>
  <c r="CY20" i="172"/>
  <c r="CX20" i="172"/>
  <c r="CW20" i="172"/>
  <c r="CN20" i="172"/>
  <c r="CE20" i="172"/>
  <c r="BS20" i="172"/>
  <c r="BR20" i="172"/>
  <c r="BQ20" i="172"/>
  <c r="BH20" i="172"/>
  <c r="AY20" i="172"/>
  <c r="AM20" i="172"/>
  <c r="AK20" i="172"/>
  <c r="AB20" i="172"/>
  <c r="EE19" i="172"/>
  <c r="ED19" i="172"/>
  <c r="EC19" i="172"/>
  <c r="DT19" i="172"/>
  <c r="DK19" i="172"/>
  <c r="CY19" i="172"/>
  <c r="CX19" i="172"/>
  <c r="CW19" i="172"/>
  <c r="CN19" i="172"/>
  <c r="CE19" i="172"/>
  <c r="BS19" i="172"/>
  <c r="BR19" i="172"/>
  <c r="BQ19" i="172"/>
  <c r="BH19" i="172"/>
  <c r="AY19" i="172"/>
  <c r="AM19" i="172"/>
  <c r="AK19" i="172"/>
  <c r="AB19" i="172"/>
  <c r="EE18" i="172"/>
  <c r="ED18" i="172"/>
  <c r="EC18" i="172"/>
  <c r="DT18" i="172"/>
  <c r="DK18" i="172"/>
  <c r="CY18" i="172"/>
  <c r="CX18" i="172"/>
  <c r="CW18" i="172"/>
  <c r="CN18" i="172"/>
  <c r="CE18" i="172"/>
  <c r="BS18" i="172"/>
  <c r="BR18" i="172"/>
  <c r="BQ18" i="172"/>
  <c r="BH18" i="172"/>
  <c r="AY18" i="172"/>
  <c r="AK18" i="172"/>
  <c r="AC16" i="172"/>
  <c r="K92" i="172"/>
  <c r="K93" i="172" s="1"/>
  <c r="DU13" i="172"/>
  <c r="DL13" i="172"/>
  <c r="DC13" i="172"/>
  <c r="CO13" i="172"/>
  <c r="CF13" i="172"/>
  <c r="BW13" i="172"/>
  <c r="BI13" i="172"/>
  <c r="AZ13" i="172"/>
  <c r="AQ13" i="172"/>
  <c r="AP8" i="172"/>
  <c r="AN8" i="172"/>
  <c r="AL8" i="172"/>
  <c r="AQ7" i="172"/>
  <c r="AM7" i="172"/>
  <c r="AI7" i="172"/>
  <c r="AO6" i="172"/>
  <c r="AN6" i="172"/>
  <c r="AK6" i="172"/>
  <c r="AJ6" i="172"/>
  <c r="AQ5" i="172"/>
  <c r="AP5" i="172"/>
  <c r="AO5" i="172"/>
  <c r="AN5" i="172"/>
  <c r="AM5" i="172"/>
  <c r="AL5" i="172"/>
  <c r="AK5" i="172"/>
  <c r="AJ5" i="172"/>
  <c r="AI5" i="172"/>
  <c r="AH5" i="172"/>
  <c r="AR4" i="172"/>
  <c r="AR3" i="172"/>
  <c r="AA10" i="172" l="1"/>
  <c r="AB10" i="172" s="1"/>
  <c r="AB83" i="172"/>
  <c r="AA9" i="172"/>
  <c r="AB9" i="172" s="1"/>
  <c r="AB62" i="172"/>
  <c r="U33" i="172"/>
  <c r="AB32" i="172"/>
  <c r="O8" i="172"/>
  <c r="O12" i="172" s="1"/>
  <c r="P12" i="172" s="1"/>
  <c r="AF5" i="172"/>
  <c r="X93" i="172"/>
  <c r="X92" i="172" s="1"/>
  <c r="O10" i="172"/>
  <c r="AF7" i="172"/>
  <c r="Y93" i="172"/>
  <c r="Y92" i="172" s="1"/>
  <c r="Z93" i="172"/>
  <c r="Z92" i="172" s="1"/>
  <c r="AF10" i="172"/>
  <c r="AF12" i="172" s="1"/>
  <c r="W93" i="172"/>
  <c r="W92" i="172" s="1"/>
  <c r="O11" i="172"/>
  <c r="AF8" i="172"/>
  <c r="AA11" i="172"/>
  <c r="AB11" i="172" s="1"/>
  <c r="AA93" i="172"/>
  <c r="AA92" i="172" s="1"/>
  <c r="AG8" i="172"/>
  <c r="Y11" i="172"/>
  <c r="Z11" i="172" s="1"/>
  <c r="AG7" i="172"/>
  <c r="Y10" i="172"/>
  <c r="Z10" i="172" s="1"/>
  <c r="AG6" i="172"/>
  <c r="AR6" i="172" s="1"/>
  <c r="Y9" i="172"/>
  <c r="Z9" i="172" s="1"/>
  <c r="Y8" i="172"/>
  <c r="AG5" i="172"/>
  <c r="AR5" i="172" s="1"/>
  <c r="AA8" i="172"/>
  <c r="AG10" i="172"/>
  <c r="AG12" i="172" s="1"/>
  <c r="S92" i="172"/>
  <c r="S13" i="172" s="1"/>
  <c r="AF9" i="172"/>
  <c r="AF11" i="172" s="1"/>
  <c r="Q11" i="172"/>
  <c r="Q10" i="172"/>
  <c r="EF60" i="172"/>
  <c r="BT61" i="172"/>
  <c r="Q9" i="172"/>
  <c r="Q8" i="172"/>
  <c r="EF39" i="172"/>
  <c r="BT40" i="172"/>
  <c r="CZ82" i="172"/>
  <c r="Q93" i="172"/>
  <c r="K79" i="172"/>
  <c r="R79" i="172" s="1"/>
  <c r="K69" i="172"/>
  <c r="J91" i="172"/>
  <c r="P11" i="172"/>
  <c r="J92" i="172"/>
  <c r="J93" i="172" s="1"/>
  <c r="EF90" i="172"/>
  <c r="BQ83" i="172"/>
  <c r="EF72" i="172"/>
  <c r="CE83" i="172"/>
  <c r="EF71" i="172"/>
  <c r="BT80" i="172"/>
  <c r="EF81" i="172"/>
  <c r="CZ78" i="172"/>
  <c r="CZ77" i="172"/>
  <c r="CN83" i="172"/>
  <c r="CW83" i="172"/>
  <c r="AK90" i="172"/>
  <c r="AY90" i="172"/>
  <c r="BH90" i="172"/>
  <c r="BQ90" i="172"/>
  <c r="CE90" i="172"/>
  <c r="CN90" i="172"/>
  <c r="CW90" i="172"/>
  <c r="DT90" i="172"/>
  <c r="CZ74" i="172"/>
  <c r="BT82" i="172"/>
  <c r="M93" i="172"/>
  <c r="M92" i="172" s="1"/>
  <c r="CZ22" i="172"/>
  <c r="BT20" i="172"/>
  <c r="CZ24" i="172"/>
  <c r="BT41" i="172"/>
  <c r="EF42" i="172"/>
  <c r="BT43" i="172"/>
  <c r="DK62" i="172"/>
  <c r="CZ42" i="172"/>
  <c r="J20" i="172"/>
  <c r="I20" i="172" s="1"/>
  <c r="EF44" i="172"/>
  <c r="EF47" i="172"/>
  <c r="BT48" i="172"/>
  <c r="EF49" i="172"/>
  <c r="BT52" i="172"/>
  <c r="EF57" i="172"/>
  <c r="J71" i="172"/>
  <c r="I71" i="172" s="1"/>
  <c r="BT73" i="172"/>
  <c r="EF76" i="172"/>
  <c r="CZ70" i="172"/>
  <c r="BT76" i="172"/>
  <c r="EC90" i="172"/>
  <c r="EF30" i="172"/>
  <c r="CZ38" i="172"/>
  <c r="CZ59" i="172"/>
  <c r="CZ80" i="172"/>
  <c r="AO9" i="172"/>
  <c r="AO11" i="172" s="1"/>
  <c r="AH8" i="172"/>
  <c r="AH9" i="172" s="1"/>
  <c r="AH11" i="172" s="1"/>
  <c r="O93" i="172"/>
  <c r="BH83" i="172"/>
  <c r="AL9" i="172"/>
  <c r="AL11" i="172" s="1"/>
  <c r="AP9" i="172"/>
  <c r="AP11" i="172" s="1"/>
  <c r="AK8" i="172"/>
  <c r="AK9" i="172" s="1"/>
  <c r="AK11" i="172" s="1"/>
  <c r="R18" i="172"/>
  <c r="J21" i="172"/>
  <c r="I21" i="172" s="1"/>
  <c r="K22" i="172"/>
  <c r="BT31" i="172"/>
  <c r="L93" i="172"/>
  <c r="L92" i="172" s="1"/>
  <c r="P93" i="172"/>
  <c r="V93" i="172"/>
  <c r="V92" i="172" s="1"/>
  <c r="AK32" i="172"/>
  <c r="AY32" i="172"/>
  <c r="BH32" i="172"/>
  <c r="ED62" i="172"/>
  <c r="CY83" i="172"/>
  <c r="EF69" i="172"/>
  <c r="K72" i="172"/>
  <c r="R72" i="172" s="1"/>
  <c r="DK83" i="172"/>
  <c r="K21" i="172"/>
  <c r="R21" i="172" s="1"/>
  <c r="AN9" i="172"/>
  <c r="AN11" i="172" s="1"/>
  <c r="AM8" i="172"/>
  <c r="AM9" i="172" s="1"/>
  <c r="AM11" i="172" s="1"/>
  <c r="AQ8" i="172"/>
  <c r="AQ9" i="172" s="1"/>
  <c r="AQ11" i="172" s="1"/>
  <c r="CZ41" i="172"/>
  <c r="BT44" i="172"/>
  <c r="CZ45" i="172"/>
  <c r="CZ48" i="172"/>
  <c r="CZ52" i="172"/>
  <c r="BT58" i="172"/>
  <c r="AK62" i="172"/>
  <c r="AY62" i="172"/>
  <c r="EF75" i="172"/>
  <c r="BT77" i="172"/>
  <c r="EF78" i="172"/>
  <c r="BT79" i="172"/>
  <c r="EF19" i="172"/>
  <c r="EF23" i="172"/>
  <c r="BT24" i="172"/>
  <c r="CY32" i="172"/>
  <c r="ED32" i="172"/>
  <c r="EE32" i="172"/>
  <c r="CZ20" i="172"/>
  <c r="AJ8" i="172"/>
  <c r="AJ9" i="172" s="1"/>
  <c r="AJ11" i="172" s="1"/>
  <c r="AI8" i="172"/>
  <c r="AI9" i="172" s="1"/>
  <c r="AI11" i="172" s="1"/>
  <c r="DT83" i="172"/>
  <c r="EF70" i="172"/>
  <c r="BT72" i="172"/>
  <c r="EF80" i="172"/>
  <c r="EF82" i="172"/>
  <c r="CZ81" i="172"/>
  <c r="EF40" i="172"/>
  <c r="CZ44" i="172"/>
  <c r="CZ47" i="172"/>
  <c r="CZ49" i="172"/>
  <c r="CZ51" i="172"/>
  <c r="CZ53" i="172"/>
  <c r="CZ55" i="172"/>
  <c r="EF61" i="172"/>
  <c r="BH62" i="172"/>
  <c r="BQ62" i="172"/>
  <c r="CE62" i="172"/>
  <c r="CN62" i="172"/>
  <c r="CW62" i="172"/>
  <c r="DT62" i="172"/>
  <c r="EC62" i="172"/>
  <c r="CZ50" i="172"/>
  <c r="EF53" i="172"/>
  <c r="EF45" i="172"/>
  <c r="BT47" i="172"/>
  <c r="BT49" i="172"/>
  <c r="BT51" i="172"/>
  <c r="BT53" i="172"/>
  <c r="EF54" i="172"/>
  <c r="EF56" i="172"/>
  <c r="BT57" i="172"/>
  <c r="BS32" i="172"/>
  <c r="CX32" i="172"/>
  <c r="BT22" i="172"/>
  <c r="CZ23" i="172"/>
  <c r="CZ28" i="172"/>
  <c r="BT19" i="172"/>
  <c r="BR32" i="172"/>
  <c r="CZ21" i="172"/>
  <c r="EF22" i="172"/>
  <c r="EF24" i="172"/>
  <c r="EF29" i="172"/>
  <c r="BT30" i="172"/>
  <c r="CW32" i="172"/>
  <c r="DK32" i="172"/>
  <c r="DT32" i="172"/>
  <c r="EF18" i="172"/>
  <c r="BT23" i="172"/>
  <c r="EF28" i="172"/>
  <c r="BT29" i="172"/>
  <c r="CZ30" i="172"/>
  <c r="EF31" i="172"/>
  <c r="EC32" i="172"/>
  <c r="BT18" i="172"/>
  <c r="CZ19" i="172"/>
  <c r="BT21" i="172"/>
  <c r="BT28" i="172"/>
  <c r="CZ29" i="172"/>
  <c r="BQ32" i="172"/>
  <c r="CE32" i="172"/>
  <c r="CN32" i="172"/>
  <c r="EF20" i="172"/>
  <c r="EF21" i="172"/>
  <c r="CZ31" i="172"/>
  <c r="BT55" i="172"/>
  <c r="CZ56" i="172"/>
  <c r="BR62" i="172"/>
  <c r="BT39" i="172"/>
  <c r="CZ40" i="172"/>
  <c r="EF41" i="172"/>
  <c r="BT42" i="172"/>
  <c r="CZ43" i="172"/>
  <c r="EF48" i="172"/>
  <c r="EF52" i="172"/>
  <c r="BT54" i="172"/>
  <c r="CZ58" i="172"/>
  <c r="EF59" i="172"/>
  <c r="BT60" i="172"/>
  <c r="CZ61" i="172"/>
  <c r="CZ39" i="172"/>
  <c r="EF43" i="172"/>
  <c r="BT45" i="172"/>
  <c r="CZ54" i="172"/>
  <c r="EF55" i="172"/>
  <c r="BT56" i="172"/>
  <c r="CZ57" i="172"/>
  <c r="EF58" i="172"/>
  <c r="BT59" i="172"/>
  <c r="CZ60" i="172"/>
  <c r="AJ10" i="172"/>
  <c r="AJ12" i="172" s="1"/>
  <c r="AN10" i="172"/>
  <c r="AN12" i="172" s="1"/>
  <c r="AO10" i="172"/>
  <c r="AO12" i="172" s="1"/>
  <c r="EE83" i="172"/>
  <c r="BT70" i="172"/>
  <c r="BT71" i="172"/>
  <c r="CZ73" i="172"/>
  <c r="EF74" i="172"/>
  <c r="BT75" i="172"/>
  <c r="CZ76" i="172"/>
  <c r="EF77" i="172"/>
  <c r="BT78" i="172"/>
  <c r="CZ79" i="172"/>
  <c r="AK83" i="172"/>
  <c r="AY83" i="172"/>
  <c r="EC83" i="172"/>
  <c r="AM83" i="172"/>
  <c r="BR83" i="172"/>
  <c r="CZ71" i="172"/>
  <c r="CZ72" i="172"/>
  <c r="EF73" i="172"/>
  <c r="BT74" i="172"/>
  <c r="CZ75" i="172"/>
  <c r="EF79" i="172"/>
  <c r="BT81" i="172"/>
  <c r="AR7" i="172"/>
  <c r="BS83" i="172"/>
  <c r="CX83" i="172"/>
  <c r="AH10" i="172"/>
  <c r="AH12" i="172" s="1"/>
  <c r="AK10" i="172"/>
  <c r="AK12" i="172" s="1"/>
  <c r="AL10" i="172"/>
  <c r="AL12" i="172" s="1"/>
  <c r="AP10" i="172"/>
  <c r="AP12" i="172" s="1"/>
  <c r="CZ90" i="172"/>
  <c r="DK90" i="172"/>
  <c r="AN18" i="172"/>
  <c r="AM32" i="172"/>
  <c r="AL49" i="172"/>
  <c r="AN49" i="172" s="1"/>
  <c r="J25" i="172"/>
  <c r="I25" i="172" s="1"/>
  <c r="K26" i="172"/>
  <c r="J29" i="172"/>
  <c r="I29" i="172" s="1"/>
  <c r="K30" i="172"/>
  <c r="R30" i="172" s="1"/>
  <c r="J59" i="172"/>
  <c r="I59" i="172" s="1"/>
  <c r="J55" i="172"/>
  <c r="I55" i="172" s="1"/>
  <c r="J60" i="172"/>
  <c r="I60" i="172" s="1"/>
  <c r="I56" i="172"/>
  <c r="J61" i="172"/>
  <c r="I61" i="172" s="1"/>
  <c r="J57" i="172"/>
  <c r="I57" i="172" s="1"/>
  <c r="J53" i="172"/>
  <c r="I53" i="172" s="1"/>
  <c r="J58" i="172"/>
  <c r="I58" i="172" s="1"/>
  <c r="J54" i="172"/>
  <c r="I54" i="172" s="1"/>
  <c r="J39" i="172"/>
  <c r="I39" i="172" s="1"/>
  <c r="K40" i="172"/>
  <c r="R40" i="172" s="1"/>
  <c r="J43" i="172"/>
  <c r="I43" i="172" s="1"/>
  <c r="K44" i="172"/>
  <c r="R44" i="172" s="1"/>
  <c r="J48" i="172"/>
  <c r="I48" i="172" s="1"/>
  <c r="J52" i="172"/>
  <c r="I52" i="172" s="1"/>
  <c r="AL89" i="172"/>
  <c r="K90" i="172"/>
  <c r="AL21" i="172"/>
  <c r="AN21" i="172" s="1"/>
  <c r="J24" i="172"/>
  <c r="I24" i="172" s="1"/>
  <c r="K25" i="172"/>
  <c r="J28" i="172"/>
  <c r="I28" i="172" s="1"/>
  <c r="K29" i="172"/>
  <c r="R29" i="172" s="1"/>
  <c r="K60" i="172"/>
  <c r="R60" i="172" s="1"/>
  <c r="K56" i="172"/>
  <c r="R56" i="172" s="1"/>
  <c r="K52" i="172"/>
  <c r="R52" i="172" s="1"/>
  <c r="K61" i="172"/>
  <c r="R61" i="172" s="1"/>
  <c r="K57" i="172"/>
  <c r="R57" i="172" s="1"/>
  <c r="K58" i="172"/>
  <c r="R58" i="172" s="1"/>
  <c r="K54" i="172"/>
  <c r="R54" i="172" s="1"/>
  <c r="K59" i="172"/>
  <c r="R59" i="172" s="1"/>
  <c r="K55" i="172"/>
  <c r="R55" i="172" s="1"/>
  <c r="K51" i="172"/>
  <c r="R51" i="172" s="1"/>
  <c r="J38" i="172"/>
  <c r="BS62" i="172"/>
  <c r="EE62" i="172"/>
  <c r="K39" i="172"/>
  <c r="R39" i="172" s="1"/>
  <c r="J42" i="172"/>
  <c r="I42" i="172" s="1"/>
  <c r="K43" i="172"/>
  <c r="R43" i="172" s="1"/>
  <c r="J47" i="172"/>
  <c r="I47" i="172" s="1"/>
  <c r="K48" i="172"/>
  <c r="R48" i="172" s="1"/>
  <c r="EF50" i="172"/>
  <c r="CZ18" i="172"/>
  <c r="J19" i="172"/>
  <c r="I19" i="172" s="1"/>
  <c r="K20" i="172"/>
  <c r="R20" i="172" s="1"/>
  <c r="J23" i="172"/>
  <c r="I23" i="172" s="1"/>
  <c r="K24" i="172"/>
  <c r="R24" i="172" s="1"/>
  <c r="J27" i="172"/>
  <c r="I27" i="172" s="1"/>
  <c r="K28" i="172"/>
  <c r="R28" i="172" s="1"/>
  <c r="J31" i="172"/>
  <c r="I31" i="172" s="1"/>
  <c r="K38" i="172"/>
  <c r="R38" i="172" s="1"/>
  <c r="BT38" i="172"/>
  <c r="CX62" i="172"/>
  <c r="EF38" i="172"/>
  <c r="J41" i="172"/>
  <c r="I41" i="172" s="1"/>
  <c r="K42" i="172"/>
  <c r="R42" i="172" s="1"/>
  <c r="J45" i="172"/>
  <c r="I45" i="172" s="1"/>
  <c r="K47" i="172"/>
  <c r="R47" i="172" s="1"/>
  <c r="J50" i="172"/>
  <c r="I50" i="172" s="1"/>
  <c r="BT50" i="172"/>
  <c r="K19" i="172"/>
  <c r="R19" i="172" s="1"/>
  <c r="J22" i="172"/>
  <c r="I22" i="172" s="1"/>
  <c r="K23" i="172"/>
  <c r="R23" i="172" s="1"/>
  <c r="J26" i="172"/>
  <c r="I26" i="172" s="1"/>
  <c r="K27" i="172"/>
  <c r="J30" i="172"/>
  <c r="I30" i="172" s="1"/>
  <c r="K31" i="172"/>
  <c r="R31" i="172" s="1"/>
  <c r="AM62" i="172"/>
  <c r="CY62" i="172"/>
  <c r="J40" i="172"/>
  <c r="I40" i="172" s="1"/>
  <c r="K41" i="172"/>
  <c r="R41" i="172" s="1"/>
  <c r="J44" i="172"/>
  <c r="I44" i="172" s="1"/>
  <c r="K45" i="172"/>
  <c r="R45" i="172" s="1"/>
  <c r="J49" i="172"/>
  <c r="I49" i="172" s="1"/>
  <c r="K50" i="172"/>
  <c r="R50" i="172" s="1"/>
  <c r="J51" i="172"/>
  <c r="I51" i="172" s="1"/>
  <c r="EF51" i="172"/>
  <c r="K53" i="172"/>
  <c r="R53" i="172" s="1"/>
  <c r="BT90" i="172"/>
  <c r="J69" i="172"/>
  <c r="K70" i="172"/>
  <c r="R70" i="172" s="1"/>
  <c r="J73" i="172"/>
  <c r="I73" i="172" s="1"/>
  <c r="K74" i="172"/>
  <c r="R74" i="172" s="1"/>
  <c r="J77" i="172"/>
  <c r="I77" i="172" s="1"/>
  <c r="K78" i="172"/>
  <c r="R78" i="172" s="1"/>
  <c r="J81" i="172"/>
  <c r="I81" i="172" s="1"/>
  <c r="K82" i="172"/>
  <c r="R82" i="172" s="1"/>
  <c r="ED83" i="172"/>
  <c r="R69" i="172"/>
  <c r="BT69" i="172"/>
  <c r="J72" i="172"/>
  <c r="I72" i="172" s="1"/>
  <c r="K73" i="172"/>
  <c r="R73" i="172" s="1"/>
  <c r="J76" i="172"/>
  <c r="I76" i="172" s="1"/>
  <c r="K77" i="172"/>
  <c r="R77" i="172" s="1"/>
  <c r="J80" i="172"/>
  <c r="I80" i="172" s="1"/>
  <c r="K81" i="172"/>
  <c r="R81" i="172" s="1"/>
  <c r="I89" i="172"/>
  <c r="I90" i="172" s="1"/>
  <c r="CZ89" i="172"/>
  <c r="J75" i="172"/>
  <c r="I75" i="172" s="1"/>
  <c r="K76" i="172"/>
  <c r="R76" i="172" s="1"/>
  <c r="J79" i="172"/>
  <c r="I79" i="172" s="1"/>
  <c r="K80" i="172"/>
  <c r="R80" i="172" s="1"/>
  <c r="CZ69" i="172"/>
  <c r="J70" i="172"/>
  <c r="I70" i="172" s="1"/>
  <c r="K71" i="172"/>
  <c r="R71" i="172" s="1"/>
  <c r="J74" i="172"/>
  <c r="I74" i="172" s="1"/>
  <c r="K75" i="172"/>
  <c r="R75" i="172" s="1"/>
  <c r="J78" i="172"/>
  <c r="I78" i="172" s="1"/>
  <c r="BT89" i="172"/>
  <c r="EF89" i="172"/>
  <c r="R22" i="172" l="1"/>
  <c r="AL22" i="172"/>
  <c r="AN22" i="172" s="1"/>
  <c r="R27" i="172"/>
  <c r="AL27" i="172"/>
  <c r="AN27" i="172" s="1"/>
  <c r="R25" i="172"/>
  <c r="AL25" i="172"/>
  <c r="AN25" i="172" s="1"/>
  <c r="R26" i="172"/>
  <c r="AL26" i="172"/>
  <c r="AN26" i="172" s="1"/>
  <c r="AB8" i="172"/>
  <c r="AA12" i="172"/>
  <c r="AB12" i="172" s="1"/>
  <c r="Z8" i="172"/>
  <c r="Y12" i="172"/>
  <c r="Z12" i="172" s="1"/>
  <c r="AL79" i="172"/>
  <c r="AN79" i="172" s="1"/>
  <c r="Q12" i="172"/>
  <c r="R12" i="172" s="1"/>
  <c r="K91" i="172"/>
  <c r="R11" i="172"/>
  <c r="EF62" i="172"/>
  <c r="EF83" i="172"/>
  <c r="BT83" i="172"/>
  <c r="CZ83" i="172"/>
  <c r="BT62" i="172"/>
  <c r="AL72" i="172"/>
  <c r="AN72" i="172" s="1"/>
  <c r="EF32" i="172"/>
  <c r="AR8" i="172"/>
  <c r="AR9" i="172" s="1"/>
  <c r="AR11" i="172" s="1"/>
  <c r="AG9" i="172"/>
  <c r="AG11" i="172" s="1"/>
  <c r="CZ32" i="172"/>
  <c r="BT32" i="172"/>
  <c r="CZ62" i="172"/>
  <c r="AR10" i="172"/>
  <c r="AR12" i="172" s="1"/>
  <c r="AL75" i="172"/>
  <c r="AN75" i="172" s="1"/>
  <c r="AL76" i="172"/>
  <c r="AN76" i="172" s="1"/>
  <c r="AL77" i="172"/>
  <c r="AN77" i="172" s="1"/>
  <c r="AL47" i="172"/>
  <c r="AN47" i="172" s="1"/>
  <c r="AL24" i="172"/>
  <c r="AN24" i="172" s="1"/>
  <c r="AL48" i="172"/>
  <c r="AN48" i="172" s="1"/>
  <c r="AL39" i="172"/>
  <c r="AN39" i="172" s="1"/>
  <c r="AL51" i="172"/>
  <c r="AN51" i="172" s="1"/>
  <c r="AL58" i="172"/>
  <c r="AN58" i="172" s="1"/>
  <c r="AL56" i="172"/>
  <c r="AN56" i="172" s="1"/>
  <c r="AL44" i="172"/>
  <c r="AN44" i="172" s="1"/>
  <c r="AL69" i="172"/>
  <c r="K83" i="172"/>
  <c r="AL78" i="172"/>
  <c r="AN78" i="172" s="1"/>
  <c r="AL70" i="172"/>
  <c r="AN70" i="172" s="1"/>
  <c r="AL45" i="172"/>
  <c r="AN45" i="172" s="1"/>
  <c r="AL19" i="172"/>
  <c r="AN19" i="172" s="1"/>
  <c r="AL55" i="172"/>
  <c r="AN55" i="172" s="1"/>
  <c r="AL57" i="172"/>
  <c r="AN57" i="172" s="1"/>
  <c r="AL60" i="172"/>
  <c r="AN60" i="172" s="1"/>
  <c r="AN89" i="172"/>
  <c r="AL90" i="172"/>
  <c r="AN90" i="172" s="1"/>
  <c r="AL30" i="172"/>
  <c r="AN30" i="172" s="1"/>
  <c r="AL81" i="172"/>
  <c r="AN81" i="172" s="1"/>
  <c r="AL73" i="172"/>
  <c r="AN73" i="172" s="1"/>
  <c r="J83" i="172"/>
  <c r="I69" i="172"/>
  <c r="I83" i="172" s="1"/>
  <c r="J32" i="172"/>
  <c r="I18" i="172"/>
  <c r="I32" i="172" s="1"/>
  <c r="AL42" i="172"/>
  <c r="AN42" i="172" s="1"/>
  <c r="AL28" i="172"/>
  <c r="AN28" i="172" s="1"/>
  <c r="AL20" i="172"/>
  <c r="AN20" i="172" s="1"/>
  <c r="AL43" i="172"/>
  <c r="AN43" i="172" s="1"/>
  <c r="AL59" i="172"/>
  <c r="AN59" i="172" s="1"/>
  <c r="AL61" i="172"/>
  <c r="AN61" i="172" s="1"/>
  <c r="AL29" i="172"/>
  <c r="AN29" i="172" s="1"/>
  <c r="AL40" i="172"/>
  <c r="AN40" i="172" s="1"/>
  <c r="K32" i="172"/>
  <c r="R32" i="172" s="1"/>
  <c r="AL71" i="172"/>
  <c r="AN71" i="172" s="1"/>
  <c r="AL80" i="172"/>
  <c r="AN80" i="172" s="1"/>
  <c r="AL82" i="172"/>
  <c r="AN82" i="172" s="1"/>
  <c r="AL74" i="172"/>
  <c r="AN74" i="172" s="1"/>
  <c r="AL53" i="172"/>
  <c r="AN53" i="172" s="1"/>
  <c r="AL50" i="172"/>
  <c r="AN50" i="172" s="1"/>
  <c r="AL41" i="172"/>
  <c r="AN41" i="172" s="1"/>
  <c r="AL31" i="172"/>
  <c r="AN31" i="172" s="1"/>
  <c r="AL23" i="172"/>
  <c r="AN23" i="172" s="1"/>
  <c r="K62" i="172"/>
  <c r="R62" i="172" s="1"/>
  <c r="AL38" i="172"/>
  <c r="J62" i="172"/>
  <c r="I38" i="172"/>
  <c r="I62" i="172" s="1"/>
  <c r="AL54" i="172"/>
  <c r="AN54" i="172" s="1"/>
  <c r="AL52" i="172"/>
  <c r="AN52" i="172" s="1"/>
  <c r="I92" i="172" l="1"/>
  <c r="I13" i="172" s="1"/>
  <c r="R8" i="172"/>
  <c r="J63" i="172"/>
  <c r="P9" i="172"/>
  <c r="K33" i="172"/>
  <c r="J84" i="172"/>
  <c r="P10" i="172"/>
  <c r="R10" i="172"/>
  <c r="R9" i="172"/>
  <c r="J33" i="172"/>
  <c r="P8" i="172"/>
  <c r="AL62" i="172"/>
  <c r="AN62" i="172" s="1"/>
  <c r="AN38" i="172"/>
  <c r="AL32" i="172"/>
  <c r="AN32" i="172" s="1"/>
  <c r="AL83" i="172"/>
  <c r="AN83" i="172" s="1"/>
  <c r="AN69" i="172"/>
  <c r="K63" i="172"/>
  <c r="K84" i="172"/>
  <c r="J93" i="169" l="1"/>
  <c r="AK93" i="169" s="1"/>
  <c r="A252" i="169"/>
  <c r="B252" i="169"/>
  <c r="D252" i="169"/>
  <c r="E252" i="169" s="1"/>
  <c r="F252" i="169"/>
  <c r="J252" i="169"/>
  <c r="AK252" i="169" s="1"/>
  <c r="K252" i="169"/>
  <c r="AL252" i="169" s="1"/>
  <c r="L252" i="169"/>
  <c r="AM252" i="169" s="1"/>
  <c r="O252" i="169"/>
  <c r="AO252" i="169" s="1"/>
  <c r="P252" i="169"/>
  <c r="Q252" i="169"/>
  <c r="U252" i="169" s="1"/>
  <c r="AQ252" i="169" s="1"/>
  <c r="W252" i="169"/>
  <c r="A253" i="169"/>
  <c r="B253" i="169"/>
  <c r="D253" i="169"/>
  <c r="E253" i="169" s="1"/>
  <c r="F253" i="169"/>
  <c r="J253" i="169"/>
  <c r="AK253" i="169" s="1"/>
  <c r="K253" i="169"/>
  <c r="AL253" i="169" s="1"/>
  <c r="L253" i="169"/>
  <c r="AM253" i="169" s="1"/>
  <c r="O253" i="169"/>
  <c r="AO253" i="169" s="1"/>
  <c r="P253" i="169"/>
  <c r="Q253" i="169"/>
  <c r="U253" i="169" s="1"/>
  <c r="AQ253" i="169" s="1"/>
  <c r="W253" i="169"/>
  <c r="A254" i="169"/>
  <c r="B254" i="169"/>
  <c r="D254" i="169"/>
  <c r="E254" i="169" s="1"/>
  <c r="F254" i="169"/>
  <c r="J254" i="169"/>
  <c r="AK254" i="169" s="1"/>
  <c r="K254" i="169"/>
  <c r="AL254" i="169" s="1"/>
  <c r="L254" i="169"/>
  <c r="AM254" i="169" s="1"/>
  <c r="O254" i="169"/>
  <c r="AO254" i="169" s="1"/>
  <c r="P254" i="169"/>
  <c r="Q254" i="169"/>
  <c r="U254" i="169" s="1"/>
  <c r="AQ254" i="169" s="1"/>
  <c r="W254" i="169"/>
  <c r="A255" i="169"/>
  <c r="B255" i="169"/>
  <c r="D255" i="169"/>
  <c r="E255" i="169" s="1"/>
  <c r="F255" i="169"/>
  <c r="J255" i="169"/>
  <c r="AK255" i="169" s="1"/>
  <c r="K255" i="169"/>
  <c r="AL255" i="169" s="1"/>
  <c r="L255" i="169"/>
  <c r="AM255" i="169" s="1"/>
  <c r="O255" i="169"/>
  <c r="AO255" i="169" s="1"/>
  <c r="P255" i="169"/>
  <c r="Q255" i="169"/>
  <c r="U255" i="169" s="1"/>
  <c r="AQ255" i="169" s="1"/>
  <c r="W255" i="169"/>
  <c r="A256" i="169"/>
  <c r="B256" i="169"/>
  <c r="D256" i="169"/>
  <c r="E256" i="169" s="1"/>
  <c r="F256" i="169"/>
  <c r="J256" i="169"/>
  <c r="AK256" i="169" s="1"/>
  <c r="K256" i="169"/>
  <c r="AL256" i="169" s="1"/>
  <c r="L256" i="169"/>
  <c r="AM256" i="169" s="1"/>
  <c r="O256" i="169"/>
  <c r="AO256" i="169" s="1"/>
  <c r="P256" i="169"/>
  <c r="Q256" i="169"/>
  <c r="U256" i="169" s="1"/>
  <c r="AQ256" i="169" s="1"/>
  <c r="W256" i="169"/>
  <c r="A257" i="169"/>
  <c r="B257" i="169"/>
  <c r="D257" i="169"/>
  <c r="E257" i="169" s="1"/>
  <c r="F257" i="169"/>
  <c r="J257" i="169"/>
  <c r="AK257" i="169" s="1"/>
  <c r="K257" i="169"/>
  <c r="AL257" i="169" s="1"/>
  <c r="L257" i="169"/>
  <c r="AM257" i="169" s="1"/>
  <c r="O257" i="169"/>
  <c r="AO257" i="169" s="1"/>
  <c r="P257" i="169"/>
  <c r="Q257" i="169"/>
  <c r="U257" i="169" s="1"/>
  <c r="AQ257" i="169" s="1"/>
  <c r="W257" i="169"/>
  <c r="A258" i="169"/>
  <c r="B258" i="169"/>
  <c r="D258" i="169"/>
  <c r="E258" i="169" s="1"/>
  <c r="F258" i="169"/>
  <c r="J258" i="169"/>
  <c r="AK258" i="169" s="1"/>
  <c r="K258" i="169"/>
  <c r="AL258" i="169" s="1"/>
  <c r="L258" i="169"/>
  <c r="AM258" i="169" s="1"/>
  <c r="O258" i="169"/>
  <c r="AO258" i="169" s="1"/>
  <c r="P258" i="169"/>
  <c r="Q258" i="169"/>
  <c r="U258" i="169" s="1"/>
  <c r="AQ258" i="169" s="1"/>
  <c r="W258" i="169"/>
  <c r="A259" i="169"/>
  <c r="B259" i="169"/>
  <c r="D259" i="169"/>
  <c r="E259" i="169" s="1"/>
  <c r="F259" i="169"/>
  <c r="J259" i="169"/>
  <c r="AK259" i="169" s="1"/>
  <c r="K259" i="169"/>
  <c r="AL259" i="169" s="1"/>
  <c r="L259" i="169"/>
  <c r="AM259" i="169" s="1"/>
  <c r="O259" i="169"/>
  <c r="AO259" i="169" s="1"/>
  <c r="P259" i="169"/>
  <c r="Q259" i="169"/>
  <c r="U259" i="169" s="1"/>
  <c r="AQ259" i="169" s="1"/>
  <c r="W259" i="169"/>
  <c r="A260" i="169"/>
  <c r="B260" i="169"/>
  <c r="D260" i="169"/>
  <c r="E260" i="169" s="1"/>
  <c r="F260" i="169"/>
  <c r="J260" i="169"/>
  <c r="AK260" i="169" s="1"/>
  <c r="K260" i="169"/>
  <c r="AL260" i="169" s="1"/>
  <c r="L260" i="169"/>
  <c r="AM260" i="169" s="1"/>
  <c r="O260" i="169"/>
  <c r="AO260" i="169" s="1"/>
  <c r="P260" i="169"/>
  <c r="Q260" i="169"/>
  <c r="U260" i="169" s="1"/>
  <c r="AQ260" i="169" s="1"/>
  <c r="W260" i="169"/>
  <c r="A262" i="169"/>
  <c r="B262" i="169"/>
  <c r="D262" i="169"/>
  <c r="E262" i="169" s="1"/>
  <c r="F262" i="169"/>
  <c r="J262" i="169"/>
  <c r="AK262" i="169" s="1"/>
  <c r="K262" i="169"/>
  <c r="AL262" i="169" s="1"/>
  <c r="L262" i="169"/>
  <c r="AM262" i="169" s="1"/>
  <c r="O262" i="169"/>
  <c r="AO262" i="169" s="1"/>
  <c r="P262" i="169"/>
  <c r="Q262" i="169"/>
  <c r="U262" i="169" s="1"/>
  <c r="AQ262" i="169" s="1"/>
  <c r="W262" i="169"/>
  <c r="A263" i="169"/>
  <c r="B263" i="169"/>
  <c r="D263" i="169"/>
  <c r="E263" i="169" s="1"/>
  <c r="F263" i="169"/>
  <c r="J263" i="169"/>
  <c r="AK263" i="169" s="1"/>
  <c r="K263" i="169"/>
  <c r="AL263" i="169" s="1"/>
  <c r="L263" i="169"/>
  <c r="AM263" i="169" s="1"/>
  <c r="O263" i="169"/>
  <c r="AO263" i="169" s="1"/>
  <c r="P263" i="169"/>
  <c r="Q263" i="169"/>
  <c r="U263" i="169" s="1"/>
  <c r="AQ263" i="169" s="1"/>
  <c r="W263" i="169"/>
  <c r="A302" i="169"/>
  <c r="B302" i="169"/>
  <c r="D302" i="169"/>
  <c r="E302" i="169" s="1"/>
  <c r="F302" i="169"/>
  <c r="J302" i="169"/>
  <c r="AK302" i="169" s="1"/>
  <c r="K302" i="169"/>
  <c r="AL302" i="169" s="1"/>
  <c r="L302" i="169"/>
  <c r="AM302" i="169" s="1"/>
  <c r="O302" i="169"/>
  <c r="AO302" i="169" s="1"/>
  <c r="P302" i="169"/>
  <c r="Q302" i="169"/>
  <c r="U302" i="169" s="1"/>
  <c r="AQ302" i="169" s="1"/>
  <c r="W302" i="169"/>
  <c r="A303" i="169"/>
  <c r="B303" i="169"/>
  <c r="D303" i="169"/>
  <c r="E303" i="169" s="1"/>
  <c r="F303" i="169"/>
  <c r="J303" i="169"/>
  <c r="AK303" i="169" s="1"/>
  <c r="K303" i="169"/>
  <c r="AL303" i="169" s="1"/>
  <c r="L303" i="169"/>
  <c r="AM303" i="169" s="1"/>
  <c r="O303" i="169"/>
  <c r="AO303" i="169" s="1"/>
  <c r="P303" i="169"/>
  <c r="Q303" i="169"/>
  <c r="U303" i="169" s="1"/>
  <c r="AQ303" i="169" s="1"/>
  <c r="W303" i="169"/>
  <c r="A219" i="169"/>
  <c r="B219" i="169"/>
  <c r="D219" i="169"/>
  <c r="E219" i="169" s="1"/>
  <c r="F219" i="169"/>
  <c r="J219" i="169"/>
  <c r="AK219" i="169" s="1"/>
  <c r="K219" i="169"/>
  <c r="AL219" i="169" s="1"/>
  <c r="L219" i="169"/>
  <c r="AM219" i="169" s="1"/>
  <c r="O219" i="169"/>
  <c r="AO219" i="169" s="1"/>
  <c r="P219" i="169"/>
  <c r="Q219" i="169"/>
  <c r="U219" i="169" s="1"/>
  <c r="AQ219" i="169" s="1"/>
  <c r="W219" i="169"/>
  <c r="A220" i="169"/>
  <c r="B220" i="169"/>
  <c r="D220" i="169"/>
  <c r="E220" i="169" s="1"/>
  <c r="F220" i="169"/>
  <c r="J220" i="169"/>
  <c r="AK220" i="169" s="1"/>
  <c r="K220" i="169"/>
  <c r="AL220" i="169" s="1"/>
  <c r="L220" i="169"/>
  <c r="AM220" i="169" s="1"/>
  <c r="O220" i="169"/>
  <c r="AO220" i="169" s="1"/>
  <c r="P220" i="169"/>
  <c r="Q220" i="169"/>
  <c r="U220" i="169" s="1"/>
  <c r="AQ220" i="169" s="1"/>
  <c r="W220" i="169"/>
  <c r="A221" i="169"/>
  <c r="B221" i="169"/>
  <c r="D221" i="169"/>
  <c r="E221" i="169" s="1"/>
  <c r="F221" i="169"/>
  <c r="J221" i="169"/>
  <c r="AK221" i="169" s="1"/>
  <c r="K221" i="169"/>
  <c r="AL221" i="169" s="1"/>
  <c r="L221" i="169"/>
  <c r="AM221" i="169" s="1"/>
  <c r="O221" i="169"/>
  <c r="AO221" i="169" s="1"/>
  <c r="P221" i="169"/>
  <c r="Q221" i="169"/>
  <c r="U221" i="169" s="1"/>
  <c r="AQ221" i="169" s="1"/>
  <c r="W221" i="169"/>
  <c r="A222" i="169"/>
  <c r="B222" i="169"/>
  <c r="D222" i="169"/>
  <c r="E222" i="169" s="1"/>
  <c r="F222" i="169"/>
  <c r="J222" i="169"/>
  <c r="AK222" i="169" s="1"/>
  <c r="K222" i="169"/>
  <c r="AL222" i="169" s="1"/>
  <c r="L222" i="169"/>
  <c r="AM222" i="169" s="1"/>
  <c r="O222" i="169"/>
  <c r="AO222" i="169" s="1"/>
  <c r="P222" i="169"/>
  <c r="Q222" i="169"/>
  <c r="U222" i="169" s="1"/>
  <c r="AQ222" i="169" s="1"/>
  <c r="W222" i="169"/>
  <c r="A223" i="169"/>
  <c r="B223" i="169"/>
  <c r="D223" i="169"/>
  <c r="E223" i="169" s="1"/>
  <c r="F223" i="169"/>
  <c r="J223" i="169"/>
  <c r="AK223" i="169" s="1"/>
  <c r="K223" i="169"/>
  <c r="AL223" i="169" s="1"/>
  <c r="L223" i="169"/>
  <c r="AM223" i="169" s="1"/>
  <c r="O223" i="169"/>
  <c r="AO223" i="169" s="1"/>
  <c r="P223" i="169"/>
  <c r="Q223" i="169"/>
  <c r="U223" i="169" s="1"/>
  <c r="AQ223" i="169" s="1"/>
  <c r="W223" i="169"/>
  <c r="A224" i="169"/>
  <c r="B224" i="169"/>
  <c r="D224" i="169"/>
  <c r="E224" i="169" s="1"/>
  <c r="F224" i="169"/>
  <c r="J224" i="169"/>
  <c r="AK224" i="169" s="1"/>
  <c r="K224" i="169"/>
  <c r="AL224" i="169" s="1"/>
  <c r="L224" i="169"/>
  <c r="AM224" i="169" s="1"/>
  <c r="O224" i="169"/>
  <c r="AO224" i="169" s="1"/>
  <c r="P224" i="169"/>
  <c r="Q224" i="169"/>
  <c r="U224" i="169" s="1"/>
  <c r="AQ224" i="169" s="1"/>
  <c r="W224" i="169"/>
  <c r="A228" i="169"/>
  <c r="B228" i="169"/>
  <c r="D228" i="169"/>
  <c r="E228" i="169" s="1"/>
  <c r="F228" i="169"/>
  <c r="J228" i="169"/>
  <c r="AK228" i="169" s="1"/>
  <c r="K228" i="169"/>
  <c r="AL228" i="169" s="1"/>
  <c r="L228" i="169"/>
  <c r="AM228" i="169" s="1"/>
  <c r="O228" i="169"/>
  <c r="AO228" i="169" s="1"/>
  <c r="P228" i="169"/>
  <c r="Q228" i="169"/>
  <c r="U228" i="169" s="1"/>
  <c r="AQ228" i="169" s="1"/>
  <c r="W228" i="169"/>
  <c r="A229" i="169"/>
  <c r="B229" i="169"/>
  <c r="D229" i="169"/>
  <c r="E229" i="169" s="1"/>
  <c r="F229" i="169"/>
  <c r="J229" i="169"/>
  <c r="AK229" i="169" s="1"/>
  <c r="K229" i="169"/>
  <c r="AL229" i="169" s="1"/>
  <c r="L229" i="169"/>
  <c r="AM229" i="169" s="1"/>
  <c r="O229" i="169"/>
  <c r="AO229" i="169" s="1"/>
  <c r="P229" i="169"/>
  <c r="Q229" i="169"/>
  <c r="U229" i="169" s="1"/>
  <c r="AQ229" i="169" s="1"/>
  <c r="W229" i="169"/>
  <c r="A230" i="169"/>
  <c r="B230" i="169"/>
  <c r="D230" i="169"/>
  <c r="E230" i="169" s="1"/>
  <c r="F230" i="169"/>
  <c r="J230" i="169"/>
  <c r="AK230" i="169" s="1"/>
  <c r="K230" i="169"/>
  <c r="AL230" i="169" s="1"/>
  <c r="L230" i="169"/>
  <c r="AM230" i="169" s="1"/>
  <c r="O230" i="169"/>
  <c r="AO230" i="169" s="1"/>
  <c r="P230" i="169"/>
  <c r="Q230" i="169"/>
  <c r="U230" i="169" s="1"/>
  <c r="AQ230" i="169" s="1"/>
  <c r="W230" i="169"/>
  <c r="A231" i="169"/>
  <c r="B231" i="169"/>
  <c r="D231" i="169"/>
  <c r="E231" i="169" s="1"/>
  <c r="F231" i="169"/>
  <c r="J231" i="169"/>
  <c r="AK231" i="169" s="1"/>
  <c r="K231" i="169"/>
  <c r="AL231" i="169" s="1"/>
  <c r="L231" i="169"/>
  <c r="AM231" i="169" s="1"/>
  <c r="O231" i="169"/>
  <c r="AO231" i="169" s="1"/>
  <c r="P231" i="169"/>
  <c r="Q231" i="169"/>
  <c r="U231" i="169" s="1"/>
  <c r="AQ231" i="169" s="1"/>
  <c r="W231" i="169"/>
  <c r="A232" i="169"/>
  <c r="B232" i="169"/>
  <c r="D232" i="169"/>
  <c r="E232" i="169" s="1"/>
  <c r="F232" i="169"/>
  <c r="J232" i="169"/>
  <c r="AK232" i="169" s="1"/>
  <c r="K232" i="169"/>
  <c r="AL232" i="169" s="1"/>
  <c r="L232" i="169"/>
  <c r="AM232" i="169" s="1"/>
  <c r="O232" i="169"/>
  <c r="AO232" i="169" s="1"/>
  <c r="P232" i="169"/>
  <c r="Q232" i="169"/>
  <c r="U232" i="169" s="1"/>
  <c r="AQ232" i="169" s="1"/>
  <c r="W232" i="169"/>
  <c r="A233" i="169"/>
  <c r="B233" i="169"/>
  <c r="D233" i="169"/>
  <c r="E233" i="169" s="1"/>
  <c r="F233" i="169"/>
  <c r="J233" i="169"/>
  <c r="AK233" i="169" s="1"/>
  <c r="K233" i="169"/>
  <c r="AL233" i="169" s="1"/>
  <c r="L233" i="169"/>
  <c r="AM233" i="169" s="1"/>
  <c r="O233" i="169"/>
  <c r="AO233" i="169" s="1"/>
  <c r="P233" i="169"/>
  <c r="Q233" i="169"/>
  <c r="U233" i="169" s="1"/>
  <c r="AQ233" i="169" s="1"/>
  <c r="W233" i="169"/>
  <c r="A234" i="169"/>
  <c r="B234" i="169"/>
  <c r="D234" i="169"/>
  <c r="E234" i="169" s="1"/>
  <c r="F234" i="169"/>
  <c r="J234" i="169"/>
  <c r="AK234" i="169" s="1"/>
  <c r="K234" i="169"/>
  <c r="AL234" i="169" s="1"/>
  <c r="L234" i="169"/>
  <c r="AM234" i="169" s="1"/>
  <c r="O234" i="169"/>
  <c r="AO234" i="169" s="1"/>
  <c r="P234" i="169"/>
  <c r="Q234" i="169"/>
  <c r="U234" i="169" s="1"/>
  <c r="AQ234" i="169" s="1"/>
  <c r="W234" i="169"/>
  <c r="A235" i="169"/>
  <c r="B235" i="169"/>
  <c r="D235" i="169"/>
  <c r="E235" i="169" s="1"/>
  <c r="F235" i="169"/>
  <c r="J235" i="169"/>
  <c r="AK235" i="169" s="1"/>
  <c r="K235" i="169"/>
  <c r="AL235" i="169" s="1"/>
  <c r="L235" i="169"/>
  <c r="AM235" i="169" s="1"/>
  <c r="O235" i="169"/>
  <c r="AO235" i="169" s="1"/>
  <c r="P235" i="169"/>
  <c r="Q235" i="169"/>
  <c r="U235" i="169" s="1"/>
  <c r="AQ235" i="169" s="1"/>
  <c r="W235" i="169"/>
  <c r="A236" i="169"/>
  <c r="B236" i="169"/>
  <c r="D236" i="169"/>
  <c r="E236" i="169" s="1"/>
  <c r="F236" i="169"/>
  <c r="J236" i="169"/>
  <c r="AK236" i="169" s="1"/>
  <c r="K236" i="169"/>
  <c r="AL236" i="169" s="1"/>
  <c r="L236" i="169"/>
  <c r="AM236" i="169" s="1"/>
  <c r="O236" i="169"/>
  <c r="AO236" i="169" s="1"/>
  <c r="P236" i="169"/>
  <c r="Q236" i="169"/>
  <c r="U236" i="169" s="1"/>
  <c r="AQ236" i="169" s="1"/>
  <c r="W236" i="169"/>
  <c r="A237" i="169"/>
  <c r="B237" i="169"/>
  <c r="D237" i="169"/>
  <c r="E237" i="169" s="1"/>
  <c r="F237" i="169"/>
  <c r="J237" i="169"/>
  <c r="AK237" i="169" s="1"/>
  <c r="K237" i="169"/>
  <c r="AL237" i="169" s="1"/>
  <c r="L237" i="169"/>
  <c r="AM237" i="169" s="1"/>
  <c r="O237" i="169"/>
  <c r="AO237" i="169" s="1"/>
  <c r="P237" i="169"/>
  <c r="Q237" i="169"/>
  <c r="U237" i="169" s="1"/>
  <c r="AQ237" i="169" s="1"/>
  <c r="W237" i="169"/>
  <c r="A238" i="169"/>
  <c r="B238" i="169"/>
  <c r="D238" i="169"/>
  <c r="E238" i="169" s="1"/>
  <c r="F238" i="169"/>
  <c r="J238" i="169"/>
  <c r="AK238" i="169" s="1"/>
  <c r="K238" i="169"/>
  <c r="AL238" i="169" s="1"/>
  <c r="L238" i="169"/>
  <c r="AM238" i="169" s="1"/>
  <c r="O238" i="169"/>
  <c r="AO238" i="169" s="1"/>
  <c r="P238" i="169"/>
  <c r="Q238" i="169"/>
  <c r="U238" i="169" s="1"/>
  <c r="AQ238" i="169" s="1"/>
  <c r="W238" i="169"/>
  <c r="A239" i="169"/>
  <c r="B239" i="169"/>
  <c r="D239" i="169"/>
  <c r="E239" i="169" s="1"/>
  <c r="F239" i="169"/>
  <c r="J239" i="169"/>
  <c r="AK239" i="169" s="1"/>
  <c r="K239" i="169"/>
  <c r="AL239" i="169" s="1"/>
  <c r="L239" i="169"/>
  <c r="AM239" i="169" s="1"/>
  <c r="O239" i="169"/>
  <c r="AO239" i="169" s="1"/>
  <c r="P239" i="169"/>
  <c r="Q239" i="169"/>
  <c r="U239" i="169" s="1"/>
  <c r="AQ239" i="169" s="1"/>
  <c r="W239" i="169"/>
  <c r="A240" i="169"/>
  <c r="B240" i="169"/>
  <c r="D240" i="169"/>
  <c r="E240" i="169" s="1"/>
  <c r="F240" i="169"/>
  <c r="J240" i="169"/>
  <c r="AK240" i="169" s="1"/>
  <c r="K240" i="169"/>
  <c r="AL240" i="169" s="1"/>
  <c r="L240" i="169"/>
  <c r="AM240" i="169" s="1"/>
  <c r="O240" i="169"/>
  <c r="AO240" i="169" s="1"/>
  <c r="P240" i="169"/>
  <c r="Q240" i="169"/>
  <c r="U240" i="169" s="1"/>
  <c r="AQ240" i="169" s="1"/>
  <c r="W240" i="169"/>
  <c r="A241" i="169"/>
  <c r="B241" i="169"/>
  <c r="D241" i="169"/>
  <c r="E241" i="169" s="1"/>
  <c r="F241" i="169"/>
  <c r="J241" i="169"/>
  <c r="AK241" i="169" s="1"/>
  <c r="K241" i="169"/>
  <c r="AL241" i="169" s="1"/>
  <c r="L241" i="169"/>
  <c r="AM241" i="169" s="1"/>
  <c r="O241" i="169"/>
  <c r="AO241" i="169" s="1"/>
  <c r="P241" i="169"/>
  <c r="Q241" i="169"/>
  <c r="U241" i="169" s="1"/>
  <c r="AQ241" i="169" s="1"/>
  <c r="W241" i="169"/>
  <c r="A242" i="169"/>
  <c r="B242" i="169"/>
  <c r="D242" i="169"/>
  <c r="E242" i="169" s="1"/>
  <c r="F242" i="169"/>
  <c r="J242" i="169"/>
  <c r="AK242" i="169" s="1"/>
  <c r="K242" i="169"/>
  <c r="AL242" i="169" s="1"/>
  <c r="L242" i="169"/>
  <c r="AM242" i="169" s="1"/>
  <c r="O242" i="169"/>
  <c r="AO242" i="169" s="1"/>
  <c r="P242" i="169"/>
  <c r="Q242" i="169"/>
  <c r="U242" i="169" s="1"/>
  <c r="AQ242" i="169" s="1"/>
  <c r="W242" i="169"/>
  <c r="A243" i="169"/>
  <c r="B243" i="169"/>
  <c r="D243" i="169"/>
  <c r="E243" i="169" s="1"/>
  <c r="F243" i="169"/>
  <c r="J243" i="169"/>
  <c r="AK243" i="169" s="1"/>
  <c r="K243" i="169"/>
  <c r="AL243" i="169" s="1"/>
  <c r="L243" i="169"/>
  <c r="AM243" i="169" s="1"/>
  <c r="O243" i="169"/>
  <c r="AO243" i="169" s="1"/>
  <c r="P243" i="169"/>
  <c r="Q243" i="169"/>
  <c r="U243" i="169" s="1"/>
  <c r="AQ243" i="169" s="1"/>
  <c r="W243" i="169"/>
  <c r="A244" i="169"/>
  <c r="B244" i="169"/>
  <c r="D244" i="169"/>
  <c r="E244" i="169" s="1"/>
  <c r="F244" i="169"/>
  <c r="J244" i="169"/>
  <c r="AK244" i="169" s="1"/>
  <c r="K244" i="169"/>
  <c r="AL244" i="169" s="1"/>
  <c r="L244" i="169"/>
  <c r="AM244" i="169" s="1"/>
  <c r="O244" i="169"/>
  <c r="AO244" i="169" s="1"/>
  <c r="P244" i="169"/>
  <c r="Q244" i="169"/>
  <c r="U244" i="169" s="1"/>
  <c r="AQ244" i="169" s="1"/>
  <c r="W244" i="169"/>
  <c r="A245" i="169"/>
  <c r="B245" i="169"/>
  <c r="D245" i="169"/>
  <c r="E245" i="169" s="1"/>
  <c r="F245" i="169"/>
  <c r="J245" i="169"/>
  <c r="AK245" i="169" s="1"/>
  <c r="K245" i="169"/>
  <c r="AL245" i="169" s="1"/>
  <c r="L245" i="169"/>
  <c r="AM245" i="169" s="1"/>
  <c r="O245" i="169"/>
  <c r="AO245" i="169" s="1"/>
  <c r="P245" i="169"/>
  <c r="Q245" i="169"/>
  <c r="U245" i="169" s="1"/>
  <c r="AQ245" i="169" s="1"/>
  <c r="W245" i="169"/>
  <c r="A246" i="169"/>
  <c r="B246" i="169"/>
  <c r="D246" i="169"/>
  <c r="E246" i="169" s="1"/>
  <c r="F246" i="169"/>
  <c r="J246" i="169"/>
  <c r="AK246" i="169" s="1"/>
  <c r="K246" i="169"/>
  <c r="AL246" i="169" s="1"/>
  <c r="L246" i="169"/>
  <c r="AM246" i="169" s="1"/>
  <c r="O246" i="169"/>
  <c r="AO246" i="169" s="1"/>
  <c r="P246" i="169"/>
  <c r="Q246" i="169"/>
  <c r="U246" i="169" s="1"/>
  <c r="AQ246" i="169" s="1"/>
  <c r="W246" i="169"/>
  <c r="A247" i="169"/>
  <c r="B247" i="169"/>
  <c r="D247" i="169"/>
  <c r="E247" i="169" s="1"/>
  <c r="F247" i="169"/>
  <c r="J247" i="169"/>
  <c r="AK247" i="169" s="1"/>
  <c r="K247" i="169"/>
  <c r="AL247" i="169" s="1"/>
  <c r="L247" i="169"/>
  <c r="AM247" i="169" s="1"/>
  <c r="O247" i="169"/>
  <c r="AO247" i="169" s="1"/>
  <c r="P247" i="169"/>
  <c r="Q247" i="169"/>
  <c r="U247" i="169" s="1"/>
  <c r="AQ247" i="169" s="1"/>
  <c r="W247" i="169"/>
  <c r="A248" i="169"/>
  <c r="B248" i="169"/>
  <c r="D248" i="169"/>
  <c r="E248" i="169" s="1"/>
  <c r="F248" i="169"/>
  <c r="J248" i="169"/>
  <c r="AK248" i="169" s="1"/>
  <c r="K248" i="169"/>
  <c r="AL248" i="169" s="1"/>
  <c r="L248" i="169"/>
  <c r="AM248" i="169" s="1"/>
  <c r="O248" i="169"/>
  <c r="AO248" i="169" s="1"/>
  <c r="P248" i="169"/>
  <c r="Q248" i="169"/>
  <c r="U248" i="169" s="1"/>
  <c r="AQ248" i="169" s="1"/>
  <c r="W248" i="169"/>
  <c r="A249" i="169"/>
  <c r="B249" i="169"/>
  <c r="D249" i="169"/>
  <c r="E249" i="169" s="1"/>
  <c r="F249" i="169"/>
  <c r="J249" i="169"/>
  <c r="AK249" i="169" s="1"/>
  <c r="K249" i="169"/>
  <c r="AL249" i="169" s="1"/>
  <c r="L249" i="169"/>
  <c r="AM249" i="169" s="1"/>
  <c r="O249" i="169"/>
  <c r="AO249" i="169" s="1"/>
  <c r="P249" i="169"/>
  <c r="Q249" i="169"/>
  <c r="U249" i="169" s="1"/>
  <c r="AQ249" i="169" s="1"/>
  <c r="W249" i="169"/>
  <c r="A250" i="169"/>
  <c r="B250" i="169"/>
  <c r="D250" i="169"/>
  <c r="E250" i="169" s="1"/>
  <c r="F250" i="169"/>
  <c r="J250" i="169"/>
  <c r="AK250" i="169" s="1"/>
  <c r="K250" i="169"/>
  <c r="AL250" i="169" s="1"/>
  <c r="L250" i="169"/>
  <c r="AM250" i="169" s="1"/>
  <c r="O250" i="169"/>
  <c r="AO250" i="169" s="1"/>
  <c r="P250" i="169"/>
  <c r="Q250" i="169"/>
  <c r="U250" i="169" s="1"/>
  <c r="AQ250" i="169" s="1"/>
  <c r="W250" i="169"/>
  <c r="A251" i="169"/>
  <c r="B251" i="169"/>
  <c r="D251" i="169"/>
  <c r="E251" i="169" s="1"/>
  <c r="F251" i="169"/>
  <c r="J251" i="169"/>
  <c r="AK251" i="169" s="1"/>
  <c r="K251" i="169"/>
  <c r="AL251" i="169" s="1"/>
  <c r="L251" i="169"/>
  <c r="AM251" i="169" s="1"/>
  <c r="O251" i="169"/>
  <c r="AO251" i="169" s="1"/>
  <c r="P251" i="169"/>
  <c r="Q251" i="169"/>
  <c r="U251" i="169" s="1"/>
  <c r="AQ251" i="169" s="1"/>
  <c r="W251" i="169"/>
  <c r="A304" i="169"/>
  <c r="B304" i="169"/>
  <c r="D304" i="169"/>
  <c r="E304" i="169" s="1"/>
  <c r="F304" i="169"/>
  <c r="J304" i="169"/>
  <c r="AK304" i="169" s="1"/>
  <c r="K304" i="169"/>
  <c r="AL304" i="169" s="1"/>
  <c r="L304" i="169"/>
  <c r="AM304" i="169" s="1"/>
  <c r="O304" i="169"/>
  <c r="AO304" i="169" s="1"/>
  <c r="P304" i="169"/>
  <c r="Q304" i="169"/>
  <c r="U304" i="169" s="1"/>
  <c r="AQ304" i="169" s="1"/>
  <c r="W304" i="169"/>
  <c r="A305" i="169"/>
  <c r="B305" i="169"/>
  <c r="D305" i="169"/>
  <c r="E305" i="169" s="1"/>
  <c r="F305" i="169"/>
  <c r="J305" i="169"/>
  <c r="AK305" i="169" s="1"/>
  <c r="K305" i="169"/>
  <c r="AL305" i="169" s="1"/>
  <c r="L305" i="169"/>
  <c r="AM305" i="169" s="1"/>
  <c r="O305" i="169"/>
  <c r="AO305" i="169" s="1"/>
  <c r="P305" i="169"/>
  <c r="Q305" i="169"/>
  <c r="U305" i="169" s="1"/>
  <c r="AQ305" i="169" s="1"/>
  <c r="W305" i="169"/>
  <c r="A306" i="169"/>
  <c r="B306" i="169"/>
  <c r="D306" i="169"/>
  <c r="E306" i="169" s="1"/>
  <c r="F306" i="169"/>
  <c r="J306" i="169"/>
  <c r="AK306" i="169" s="1"/>
  <c r="K306" i="169"/>
  <c r="AL306" i="169" s="1"/>
  <c r="L306" i="169"/>
  <c r="AM306" i="169" s="1"/>
  <c r="O306" i="169"/>
  <c r="AO306" i="169" s="1"/>
  <c r="P306" i="169"/>
  <c r="Q306" i="169"/>
  <c r="U306" i="169" s="1"/>
  <c r="AQ306" i="169" s="1"/>
  <c r="W306" i="169"/>
  <c r="A307" i="169"/>
  <c r="B307" i="169"/>
  <c r="D307" i="169"/>
  <c r="E307" i="169" s="1"/>
  <c r="F307" i="169"/>
  <c r="J307" i="169"/>
  <c r="AK307" i="169" s="1"/>
  <c r="K307" i="169"/>
  <c r="AL307" i="169" s="1"/>
  <c r="L307" i="169"/>
  <c r="AM307" i="169" s="1"/>
  <c r="O307" i="169"/>
  <c r="AO307" i="169" s="1"/>
  <c r="P307" i="169"/>
  <c r="Q307" i="169"/>
  <c r="U307" i="169" s="1"/>
  <c r="AQ307" i="169" s="1"/>
  <c r="W307" i="169"/>
  <c r="A346" i="169"/>
  <c r="B346" i="169"/>
  <c r="D346" i="169"/>
  <c r="E346" i="169" s="1"/>
  <c r="F346" i="169"/>
  <c r="J346" i="169"/>
  <c r="AK346" i="169" s="1"/>
  <c r="K346" i="169"/>
  <c r="AL346" i="169" s="1"/>
  <c r="L346" i="169"/>
  <c r="AM346" i="169" s="1"/>
  <c r="O346" i="169"/>
  <c r="AO346" i="169" s="1"/>
  <c r="P346" i="169"/>
  <c r="Q346" i="169"/>
  <c r="U346" i="169" s="1"/>
  <c r="AQ346" i="169" s="1"/>
  <c r="W346" i="169"/>
  <c r="A347" i="169"/>
  <c r="B347" i="169"/>
  <c r="D347" i="169"/>
  <c r="E347" i="169" s="1"/>
  <c r="F347" i="169"/>
  <c r="J347" i="169"/>
  <c r="AK347" i="169" s="1"/>
  <c r="K347" i="169"/>
  <c r="AL347" i="169" s="1"/>
  <c r="L347" i="169"/>
  <c r="AM347" i="169" s="1"/>
  <c r="O347" i="169"/>
  <c r="AO347" i="169" s="1"/>
  <c r="P347" i="169"/>
  <c r="Q347" i="169"/>
  <c r="U347" i="169" s="1"/>
  <c r="AQ347" i="169" s="1"/>
  <c r="W347" i="169"/>
  <c r="A201" i="169"/>
  <c r="B201" i="169"/>
  <c r="D201" i="169"/>
  <c r="E201" i="169" s="1"/>
  <c r="F201" i="169"/>
  <c r="J201" i="169"/>
  <c r="AK201" i="169" s="1"/>
  <c r="K201" i="169"/>
  <c r="AL201" i="169" s="1"/>
  <c r="L201" i="169"/>
  <c r="AM201" i="169" s="1"/>
  <c r="O201" i="169"/>
  <c r="AO201" i="169" s="1"/>
  <c r="P201" i="169"/>
  <c r="Q201" i="169"/>
  <c r="U201" i="169" s="1"/>
  <c r="AQ201" i="169" s="1"/>
  <c r="W201" i="169"/>
  <c r="A202" i="169"/>
  <c r="B202" i="169"/>
  <c r="D202" i="169"/>
  <c r="E202" i="169" s="1"/>
  <c r="F202" i="169"/>
  <c r="J202" i="169"/>
  <c r="AK202" i="169" s="1"/>
  <c r="K202" i="169"/>
  <c r="AL202" i="169" s="1"/>
  <c r="L202" i="169"/>
  <c r="AM202" i="169" s="1"/>
  <c r="O202" i="169"/>
  <c r="AO202" i="169" s="1"/>
  <c r="P202" i="169"/>
  <c r="Q202" i="169"/>
  <c r="U202" i="169" s="1"/>
  <c r="AQ202" i="169" s="1"/>
  <c r="W202" i="169"/>
  <c r="A203" i="169"/>
  <c r="B203" i="169"/>
  <c r="D203" i="169"/>
  <c r="E203" i="169" s="1"/>
  <c r="F203" i="169"/>
  <c r="J203" i="169"/>
  <c r="AK203" i="169" s="1"/>
  <c r="K203" i="169"/>
  <c r="AL203" i="169" s="1"/>
  <c r="L203" i="169"/>
  <c r="AM203" i="169" s="1"/>
  <c r="O203" i="169"/>
  <c r="AO203" i="169" s="1"/>
  <c r="P203" i="169"/>
  <c r="Q203" i="169"/>
  <c r="U203" i="169" s="1"/>
  <c r="AQ203" i="169" s="1"/>
  <c r="W203" i="169"/>
  <c r="A204" i="169"/>
  <c r="B204" i="169"/>
  <c r="D204" i="169"/>
  <c r="E204" i="169" s="1"/>
  <c r="F204" i="169"/>
  <c r="J204" i="169"/>
  <c r="AK204" i="169" s="1"/>
  <c r="K204" i="169"/>
  <c r="AL204" i="169" s="1"/>
  <c r="L204" i="169"/>
  <c r="AM204" i="169" s="1"/>
  <c r="O204" i="169"/>
  <c r="AO204" i="169" s="1"/>
  <c r="P204" i="169"/>
  <c r="Q204" i="169"/>
  <c r="U204" i="169" s="1"/>
  <c r="AQ204" i="169" s="1"/>
  <c r="W204" i="169"/>
  <c r="A205" i="169"/>
  <c r="B205" i="169"/>
  <c r="D205" i="169"/>
  <c r="E205" i="169" s="1"/>
  <c r="F205" i="169"/>
  <c r="J205" i="169"/>
  <c r="AK205" i="169" s="1"/>
  <c r="K205" i="169"/>
  <c r="AL205" i="169" s="1"/>
  <c r="L205" i="169"/>
  <c r="AM205" i="169" s="1"/>
  <c r="O205" i="169"/>
  <c r="AO205" i="169" s="1"/>
  <c r="P205" i="169"/>
  <c r="Q205" i="169"/>
  <c r="U205" i="169" s="1"/>
  <c r="AQ205" i="169" s="1"/>
  <c r="W205" i="169"/>
  <c r="A206" i="169"/>
  <c r="B206" i="169"/>
  <c r="D206" i="169"/>
  <c r="E206" i="169" s="1"/>
  <c r="F206" i="169"/>
  <c r="J206" i="169"/>
  <c r="AK206" i="169" s="1"/>
  <c r="K206" i="169"/>
  <c r="AL206" i="169" s="1"/>
  <c r="L206" i="169"/>
  <c r="AM206" i="169" s="1"/>
  <c r="O206" i="169"/>
  <c r="AO206" i="169" s="1"/>
  <c r="P206" i="169"/>
  <c r="Q206" i="169"/>
  <c r="U206" i="169" s="1"/>
  <c r="AQ206" i="169" s="1"/>
  <c r="W206" i="169"/>
  <c r="A207" i="169"/>
  <c r="B207" i="169"/>
  <c r="D207" i="169"/>
  <c r="E207" i="169" s="1"/>
  <c r="F207" i="169"/>
  <c r="J207" i="169"/>
  <c r="AK207" i="169" s="1"/>
  <c r="K207" i="169"/>
  <c r="AL207" i="169" s="1"/>
  <c r="L207" i="169"/>
  <c r="AM207" i="169" s="1"/>
  <c r="O207" i="169"/>
  <c r="AO207" i="169" s="1"/>
  <c r="P207" i="169"/>
  <c r="Q207" i="169"/>
  <c r="U207" i="169" s="1"/>
  <c r="AQ207" i="169" s="1"/>
  <c r="W207" i="169"/>
  <c r="A208" i="169"/>
  <c r="B208" i="169"/>
  <c r="D208" i="169"/>
  <c r="E208" i="169" s="1"/>
  <c r="F208" i="169"/>
  <c r="J208" i="169"/>
  <c r="AK208" i="169" s="1"/>
  <c r="K208" i="169"/>
  <c r="AL208" i="169" s="1"/>
  <c r="L208" i="169"/>
  <c r="AM208" i="169" s="1"/>
  <c r="O208" i="169"/>
  <c r="AO208" i="169" s="1"/>
  <c r="P208" i="169"/>
  <c r="Q208" i="169"/>
  <c r="U208" i="169" s="1"/>
  <c r="AQ208" i="169" s="1"/>
  <c r="W208" i="169"/>
  <c r="A209" i="169"/>
  <c r="B209" i="169"/>
  <c r="D209" i="169"/>
  <c r="E209" i="169" s="1"/>
  <c r="F209" i="169"/>
  <c r="J209" i="169"/>
  <c r="AK209" i="169" s="1"/>
  <c r="K209" i="169"/>
  <c r="AL209" i="169" s="1"/>
  <c r="L209" i="169"/>
  <c r="AM209" i="169" s="1"/>
  <c r="O209" i="169"/>
  <c r="AO209" i="169" s="1"/>
  <c r="P209" i="169"/>
  <c r="Q209" i="169"/>
  <c r="U209" i="169" s="1"/>
  <c r="AQ209" i="169" s="1"/>
  <c r="W209" i="169"/>
  <c r="A210" i="169"/>
  <c r="B210" i="169"/>
  <c r="D210" i="169"/>
  <c r="E210" i="169" s="1"/>
  <c r="F210" i="169"/>
  <c r="J210" i="169"/>
  <c r="AK210" i="169" s="1"/>
  <c r="K210" i="169"/>
  <c r="AL210" i="169" s="1"/>
  <c r="L210" i="169"/>
  <c r="AM210" i="169" s="1"/>
  <c r="O210" i="169"/>
  <c r="AO210" i="169" s="1"/>
  <c r="P210" i="169"/>
  <c r="Q210" i="169"/>
  <c r="U210" i="169" s="1"/>
  <c r="AQ210" i="169" s="1"/>
  <c r="W210" i="169"/>
  <c r="A211" i="169"/>
  <c r="B211" i="169"/>
  <c r="D211" i="169"/>
  <c r="E211" i="169" s="1"/>
  <c r="F211" i="169"/>
  <c r="J211" i="169"/>
  <c r="AK211" i="169" s="1"/>
  <c r="K211" i="169"/>
  <c r="AL211" i="169" s="1"/>
  <c r="L211" i="169"/>
  <c r="AM211" i="169" s="1"/>
  <c r="O211" i="169"/>
  <c r="AO211" i="169" s="1"/>
  <c r="P211" i="169"/>
  <c r="Q211" i="169"/>
  <c r="U211" i="169" s="1"/>
  <c r="AQ211" i="169" s="1"/>
  <c r="W211" i="169"/>
  <c r="A212" i="169"/>
  <c r="B212" i="169"/>
  <c r="D212" i="169"/>
  <c r="E212" i="169" s="1"/>
  <c r="F212" i="169"/>
  <c r="J212" i="169"/>
  <c r="AK212" i="169" s="1"/>
  <c r="K212" i="169"/>
  <c r="AL212" i="169" s="1"/>
  <c r="L212" i="169"/>
  <c r="AM212" i="169" s="1"/>
  <c r="O212" i="169"/>
  <c r="AO212" i="169" s="1"/>
  <c r="P212" i="169"/>
  <c r="Q212" i="169"/>
  <c r="U212" i="169" s="1"/>
  <c r="AQ212" i="169" s="1"/>
  <c r="W212" i="169"/>
  <c r="A213" i="169"/>
  <c r="B213" i="169"/>
  <c r="D213" i="169"/>
  <c r="E213" i="169" s="1"/>
  <c r="F213" i="169"/>
  <c r="J213" i="169"/>
  <c r="AK213" i="169" s="1"/>
  <c r="K213" i="169"/>
  <c r="AL213" i="169" s="1"/>
  <c r="L213" i="169"/>
  <c r="AM213" i="169" s="1"/>
  <c r="O213" i="169"/>
  <c r="AO213" i="169" s="1"/>
  <c r="P213" i="169"/>
  <c r="Q213" i="169"/>
  <c r="U213" i="169" s="1"/>
  <c r="AQ213" i="169" s="1"/>
  <c r="W213" i="169"/>
  <c r="A214" i="169"/>
  <c r="B214" i="169"/>
  <c r="D214" i="169"/>
  <c r="E214" i="169" s="1"/>
  <c r="F214" i="169"/>
  <c r="J214" i="169"/>
  <c r="AK214" i="169" s="1"/>
  <c r="K214" i="169"/>
  <c r="AL214" i="169" s="1"/>
  <c r="L214" i="169"/>
  <c r="AM214" i="169" s="1"/>
  <c r="O214" i="169"/>
  <c r="AO214" i="169" s="1"/>
  <c r="P214" i="169"/>
  <c r="Q214" i="169"/>
  <c r="U214" i="169" s="1"/>
  <c r="AQ214" i="169" s="1"/>
  <c r="W214" i="169"/>
  <c r="A215" i="169"/>
  <c r="B215" i="169"/>
  <c r="D215" i="169"/>
  <c r="E215" i="169" s="1"/>
  <c r="F215" i="169"/>
  <c r="J215" i="169"/>
  <c r="AK215" i="169" s="1"/>
  <c r="K215" i="169"/>
  <c r="AL215" i="169" s="1"/>
  <c r="L215" i="169"/>
  <c r="AM215" i="169" s="1"/>
  <c r="O215" i="169"/>
  <c r="AO215" i="169" s="1"/>
  <c r="P215" i="169"/>
  <c r="Q215" i="169"/>
  <c r="U215" i="169" s="1"/>
  <c r="AQ215" i="169" s="1"/>
  <c r="W215" i="169"/>
  <c r="A216" i="169"/>
  <c r="B216" i="169"/>
  <c r="D216" i="169"/>
  <c r="E216" i="169" s="1"/>
  <c r="F216" i="169"/>
  <c r="J216" i="169"/>
  <c r="AK216" i="169" s="1"/>
  <c r="K216" i="169"/>
  <c r="AL216" i="169" s="1"/>
  <c r="L216" i="169"/>
  <c r="AM216" i="169" s="1"/>
  <c r="O216" i="169"/>
  <c r="AO216" i="169" s="1"/>
  <c r="P216" i="169"/>
  <c r="Q216" i="169"/>
  <c r="U216" i="169" s="1"/>
  <c r="AQ216" i="169" s="1"/>
  <c r="W216" i="169"/>
  <c r="A217" i="169"/>
  <c r="B217" i="169"/>
  <c r="D217" i="169"/>
  <c r="E217" i="169" s="1"/>
  <c r="F217" i="169"/>
  <c r="J217" i="169"/>
  <c r="AK217" i="169" s="1"/>
  <c r="K217" i="169"/>
  <c r="AL217" i="169" s="1"/>
  <c r="L217" i="169"/>
  <c r="AM217" i="169" s="1"/>
  <c r="O217" i="169"/>
  <c r="AO217" i="169" s="1"/>
  <c r="P217" i="169"/>
  <c r="Q217" i="169"/>
  <c r="U217" i="169" s="1"/>
  <c r="AQ217" i="169" s="1"/>
  <c r="W217" i="169"/>
  <c r="A218" i="169"/>
  <c r="B218" i="169"/>
  <c r="D218" i="169"/>
  <c r="E218" i="169" s="1"/>
  <c r="F218" i="169"/>
  <c r="J218" i="169"/>
  <c r="AK218" i="169" s="1"/>
  <c r="K218" i="169"/>
  <c r="AL218" i="169" s="1"/>
  <c r="L218" i="169"/>
  <c r="AM218" i="169" s="1"/>
  <c r="O218" i="169"/>
  <c r="AO218" i="169" s="1"/>
  <c r="P218" i="169"/>
  <c r="Q218" i="169"/>
  <c r="U218" i="169" s="1"/>
  <c r="AQ218" i="169" s="1"/>
  <c r="W218" i="169"/>
  <c r="A348" i="169"/>
  <c r="B348" i="169"/>
  <c r="D348" i="169"/>
  <c r="E348" i="169" s="1"/>
  <c r="F348" i="169"/>
  <c r="J348" i="169"/>
  <c r="AK348" i="169" s="1"/>
  <c r="K348" i="169"/>
  <c r="AL348" i="169" s="1"/>
  <c r="L348" i="169"/>
  <c r="AM348" i="169" s="1"/>
  <c r="O348" i="169"/>
  <c r="AO348" i="169" s="1"/>
  <c r="P348" i="169"/>
  <c r="Q348" i="169"/>
  <c r="U348" i="169" s="1"/>
  <c r="AQ348" i="169" s="1"/>
  <c r="W348" i="169"/>
  <c r="A517" i="169"/>
  <c r="B517" i="169"/>
  <c r="D517" i="169"/>
  <c r="E517" i="169" s="1"/>
  <c r="F517" i="169"/>
  <c r="J517" i="169"/>
  <c r="AK517" i="169" s="1"/>
  <c r="K517" i="169"/>
  <c r="AL517" i="169" s="1"/>
  <c r="L517" i="169"/>
  <c r="AM517" i="169" s="1"/>
  <c r="O517" i="169"/>
  <c r="AO517" i="169" s="1"/>
  <c r="P517" i="169"/>
  <c r="Q517" i="169"/>
  <c r="U517" i="169" s="1"/>
  <c r="AQ517" i="169" s="1"/>
  <c r="W517" i="169"/>
  <c r="A184" i="169"/>
  <c r="B184" i="169"/>
  <c r="D184" i="169"/>
  <c r="E184" i="169" s="1"/>
  <c r="F184" i="169"/>
  <c r="J184" i="169"/>
  <c r="AK184" i="169" s="1"/>
  <c r="K184" i="169"/>
  <c r="AL184" i="169" s="1"/>
  <c r="L184" i="169"/>
  <c r="AM184" i="169" s="1"/>
  <c r="O184" i="169"/>
  <c r="AO184" i="169" s="1"/>
  <c r="P184" i="169"/>
  <c r="Q184" i="169"/>
  <c r="U184" i="169" s="1"/>
  <c r="AQ184" i="169" s="1"/>
  <c r="W184" i="169"/>
  <c r="A185" i="169"/>
  <c r="B185" i="169"/>
  <c r="D185" i="169"/>
  <c r="E185" i="169" s="1"/>
  <c r="F185" i="169"/>
  <c r="J185" i="169"/>
  <c r="AK185" i="169" s="1"/>
  <c r="K185" i="169"/>
  <c r="AL185" i="169" s="1"/>
  <c r="L185" i="169"/>
  <c r="AM185" i="169" s="1"/>
  <c r="O185" i="169"/>
  <c r="AO185" i="169" s="1"/>
  <c r="P185" i="169"/>
  <c r="Q185" i="169"/>
  <c r="U185" i="169" s="1"/>
  <c r="AQ185" i="169" s="1"/>
  <c r="W185" i="169"/>
  <c r="A186" i="169"/>
  <c r="B186" i="169"/>
  <c r="D186" i="169"/>
  <c r="E186" i="169" s="1"/>
  <c r="F186" i="169"/>
  <c r="J186" i="169"/>
  <c r="AK186" i="169" s="1"/>
  <c r="K186" i="169"/>
  <c r="AL186" i="169" s="1"/>
  <c r="L186" i="169"/>
  <c r="AM186" i="169" s="1"/>
  <c r="O186" i="169"/>
  <c r="AO186" i="169" s="1"/>
  <c r="P186" i="169"/>
  <c r="Q186" i="169"/>
  <c r="U186" i="169" s="1"/>
  <c r="AQ186" i="169" s="1"/>
  <c r="W186" i="169"/>
  <c r="A187" i="169"/>
  <c r="B187" i="169"/>
  <c r="D187" i="169"/>
  <c r="E187" i="169" s="1"/>
  <c r="F187" i="169"/>
  <c r="J187" i="169"/>
  <c r="AK187" i="169" s="1"/>
  <c r="K187" i="169"/>
  <c r="AL187" i="169" s="1"/>
  <c r="L187" i="169"/>
  <c r="AM187" i="169" s="1"/>
  <c r="O187" i="169"/>
  <c r="AO187" i="169" s="1"/>
  <c r="P187" i="169"/>
  <c r="Q187" i="169"/>
  <c r="U187" i="169" s="1"/>
  <c r="AQ187" i="169" s="1"/>
  <c r="W187" i="169"/>
  <c r="A188" i="169"/>
  <c r="B188" i="169"/>
  <c r="D188" i="169"/>
  <c r="E188" i="169" s="1"/>
  <c r="F188" i="169"/>
  <c r="J188" i="169"/>
  <c r="AK188" i="169" s="1"/>
  <c r="K188" i="169"/>
  <c r="AL188" i="169" s="1"/>
  <c r="L188" i="169"/>
  <c r="AM188" i="169" s="1"/>
  <c r="O188" i="169"/>
  <c r="AO188" i="169" s="1"/>
  <c r="P188" i="169"/>
  <c r="Q188" i="169"/>
  <c r="U188" i="169" s="1"/>
  <c r="AQ188" i="169" s="1"/>
  <c r="W188" i="169"/>
  <c r="A189" i="169"/>
  <c r="B189" i="169"/>
  <c r="D189" i="169"/>
  <c r="E189" i="169" s="1"/>
  <c r="F189" i="169"/>
  <c r="J189" i="169"/>
  <c r="AK189" i="169" s="1"/>
  <c r="K189" i="169"/>
  <c r="AL189" i="169" s="1"/>
  <c r="L189" i="169"/>
  <c r="AM189" i="169" s="1"/>
  <c r="O189" i="169"/>
  <c r="AO189" i="169" s="1"/>
  <c r="P189" i="169"/>
  <c r="Q189" i="169"/>
  <c r="U189" i="169" s="1"/>
  <c r="AQ189" i="169" s="1"/>
  <c r="W189" i="169"/>
  <c r="A190" i="169"/>
  <c r="B190" i="169"/>
  <c r="D190" i="169"/>
  <c r="E190" i="169" s="1"/>
  <c r="F190" i="169"/>
  <c r="J190" i="169"/>
  <c r="AK190" i="169" s="1"/>
  <c r="K190" i="169"/>
  <c r="AL190" i="169" s="1"/>
  <c r="L190" i="169"/>
  <c r="AM190" i="169" s="1"/>
  <c r="O190" i="169"/>
  <c r="AO190" i="169" s="1"/>
  <c r="P190" i="169"/>
  <c r="Q190" i="169"/>
  <c r="U190" i="169" s="1"/>
  <c r="AQ190" i="169" s="1"/>
  <c r="W190" i="169"/>
  <c r="A191" i="169"/>
  <c r="B191" i="169"/>
  <c r="D191" i="169"/>
  <c r="E191" i="169" s="1"/>
  <c r="F191" i="169"/>
  <c r="J191" i="169"/>
  <c r="AK191" i="169" s="1"/>
  <c r="K191" i="169"/>
  <c r="AL191" i="169" s="1"/>
  <c r="L191" i="169"/>
  <c r="AM191" i="169" s="1"/>
  <c r="O191" i="169"/>
  <c r="AO191" i="169" s="1"/>
  <c r="P191" i="169"/>
  <c r="Q191" i="169"/>
  <c r="U191" i="169" s="1"/>
  <c r="AQ191" i="169" s="1"/>
  <c r="W191" i="169"/>
  <c r="A192" i="169"/>
  <c r="B192" i="169"/>
  <c r="D192" i="169"/>
  <c r="E192" i="169" s="1"/>
  <c r="F192" i="169"/>
  <c r="J192" i="169"/>
  <c r="AK192" i="169" s="1"/>
  <c r="K192" i="169"/>
  <c r="AL192" i="169" s="1"/>
  <c r="L192" i="169"/>
  <c r="AM192" i="169" s="1"/>
  <c r="O192" i="169"/>
  <c r="AO192" i="169" s="1"/>
  <c r="P192" i="169"/>
  <c r="Q192" i="169"/>
  <c r="U192" i="169" s="1"/>
  <c r="AQ192" i="169" s="1"/>
  <c r="W192" i="169"/>
  <c r="A193" i="169"/>
  <c r="B193" i="169"/>
  <c r="D193" i="169"/>
  <c r="E193" i="169" s="1"/>
  <c r="F193" i="169"/>
  <c r="J193" i="169"/>
  <c r="AK193" i="169" s="1"/>
  <c r="K193" i="169"/>
  <c r="AL193" i="169" s="1"/>
  <c r="L193" i="169"/>
  <c r="AM193" i="169" s="1"/>
  <c r="O193" i="169"/>
  <c r="AO193" i="169" s="1"/>
  <c r="P193" i="169"/>
  <c r="Q193" i="169"/>
  <c r="U193" i="169" s="1"/>
  <c r="AQ193" i="169" s="1"/>
  <c r="W193" i="169"/>
  <c r="A194" i="169"/>
  <c r="B194" i="169"/>
  <c r="D194" i="169"/>
  <c r="E194" i="169" s="1"/>
  <c r="F194" i="169"/>
  <c r="J194" i="169"/>
  <c r="AK194" i="169" s="1"/>
  <c r="K194" i="169"/>
  <c r="AL194" i="169" s="1"/>
  <c r="L194" i="169"/>
  <c r="AM194" i="169" s="1"/>
  <c r="O194" i="169"/>
  <c r="AO194" i="169" s="1"/>
  <c r="P194" i="169"/>
  <c r="Q194" i="169"/>
  <c r="U194" i="169" s="1"/>
  <c r="AQ194" i="169" s="1"/>
  <c r="W194" i="169"/>
  <c r="A195" i="169"/>
  <c r="B195" i="169"/>
  <c r="D195" i="169"/>
  <c r="E195" i="169" s="1"/>
  <c r="F195" i="169"/>
  <c r="J195" i="169"/>
  <c r="AK195" i="169" s="1"/>
  <c r="K195" i="169"/>
  <c r="AL195" i="169" s="1"/>
  <c r="L195" i="169"/>
  <c r="AM195" i="169" s="1"/>
  <c r="O195" i="169"/>
  <c r="AO195" i="169" s="1"/>
  <c r="P195" i="169"/>
  <c r="Q195" i="169"/>
  <c r="U195" i="169" s="1"/>
  <c r="AQ195" i="169" s="1"/>
  <c r="W195" i="169"/>
  <c r="A159" i="169"/>
  <c r="B159" i="169"/>
  <c r="D159" i="169"/>
  <c r="E159" i="169" s="1"/>
  <c r="F159" i="169"/>
  <c r="J159" i="169"/>
  <c r="AK159" i="169" s="1"/>
  <c r="K159" i="169"/>
  <c r="AL159" i="169" s="1"/>
  <c r="L159" i="169"/>
  <c r="AM159" i="169" s="1"/>
  <c r="O159" i="169"/>
  <c r="AO159" i="169" s="1"/>
  <c r="P159" i="169"/>
  <c r="Q159" i="169"/>
  <c r="S159" i="169" s="1"/>
  <c r="AP159" i="169" s="1"/>
  <c r="W159" i="169"/>
  <c r="A160" i="169"/>
  <c r="B160" i="169"/>
  <c r="D160" i="169"/>
  <c r="E160" i="169" s="1"/>
  <c r="F160" i="169"/>
  <c r="J160" i="169"/>
  <c r="AK160" i="169" s="1"/>
  <c r="K160" i="169"/>
  <c r="AL160" i="169" s="1"/>
  <c r="L160" i="169"/>
  <c r="AM160" i="169" s="1"/>
  <c r="O160" i="169"/>
  <c r="AO160" i="169" s="1"/>
  <c r="P160" i="169"/>
  <c r="Q160" i="169"/>
  <c r="U160" i="169" s="1"/>
  <c r="AQ160" i="169" s="1"/>
  <c r="W160" i="169"/>
  <c r="A161" i="169"/>
  <c r="B161" i="169"/>
  <c r="D161" i="169"/>
  <c r="E161" i="169" s="1"/>
  <c r="F161" i="169"/>
  <c r="J161" i="169"/>
  <c r="AK161" i="169" s="1"/>
  <c r="K161" i="169"/>
  <c r="AL161" i="169" s="1"/>
  <c r="L161" i="169"/>
  <c r="AM161" i="169" s="1"/>
  <c r="O161" i="169"/>
  <c r="AO161" i="169" s="1"/>
  <c r="P161" i="169"/>
  <c r="Q161" i="169"/>
  <c r="S161" i="169" s="1"/>
  <c r="AP161" i="169" s="1"/>
  <c r="W161" i="169"/>
  <c r="A162" i="169"/>
  <c r="B162" i="169"/>
  <c r="D162" i="169"/>
  <c r="E162" i="169" s="1"/>
  <c r="F162" i="169"/>
  <c r="J162" i="169"/>
  <c r="AK162" i="169" s="1"/>
  <c r="K162" i="169"/>
  <c r="AL162" i="169" s="1"/>
  <c r="L162" i="169"/>
  <c r="AM162" i="169" s="1"/>
  <c r="O162" i="169"/>
  <c r="AO162" i="169" s="1"/>
  <c r="P162" i="169"/>
  <c r="Q162" i="169"/>
  <c r="U162" i="169" s="1"/>
  <c r="AQ162" i="169" s="1"/>
  <c r="W162" i="169"/>
  <c r="A165" i="169"/>
  <c r="B165" i="169"/>
  <c r="D165" i="169"/>
  <c r="E165" i="169" s="1"/>
  <c r="F165" i="169"/>
  <c r="J165" i="169"/>
  <c r="AK165" i="169" s="1"/>
  <c r="K165" i="169"/>
  <c r="AL165" i="169" s="1"/>
  <c r="L165" i="169"/>
  <c r="AM165" i="169" s="1"/>
  <c r="O165" i="169"/>
  <c r="AO165" i="169" s="1"/>
  <c r="P165" i="169"/>
  <c r="Q165" i="169"/>
  <c r="S165" i="169" s="1"/>
  <c r="AP165" i="169" s="1"/>
  <c r="W165" i="169"/>
  <c r="A166" i="169"/>
  <c r="B166" i="169"/>
  <c r="D166" i="169"/>
  <c r="E166" i="169" s="1"/>
  <c r="F166" i="169"/>
  <c r="J166" i="169"/>
  <c r="AK166" i="169" s="1"/>
  <c r="K166" i="169"/>
  <c r="AL166" i="169" s="1"/>
  <c r="L166" i="169"/>
  <c r="AM166" i="169" s="1"/>
  <c r="O166" i="169"/>
  <c r="AO166" i="169" s="1"/>
  <c r="P166" i="169"/>
  <c r="Q166" i="169"/>
  <c r="S166" i="169" s="1"/>
  <c r="AP166" i="169" s="1"/>
  <c r="W166" i="169"/>
  <c r="A167" i="169"/>
  <c r="B167" i="169"/>
  <c r="D167" i="169"/>
  <c r="E167" i="169" s="1"/>
  <c r="F167" i="169"/>
  <c r="J167" i="169"/>
  <c r="AK167" i="169" s="1"/>
  <c r="K167" i="169"/>
  <c r="AL167" i="169" s="1"/>
  <c r="L167" i="169"/>
  <c r="AM167" i="169" s="1"/>
  <c r="O167" i="169"/>
  <c r="AO167" i="169" s="1"/>
  <c r="P167" i="169"/>
  <c r="Q167" i="169"/>
  <c r="S167" i="169" s="1"/>
  <c r="AP167" i="169" s="1"/>
  <c r="W167" i="169"/>
  <c r="A168" i="169"/>
  <c r="B168" i="169"/>
  <c r="D168" i="169"/>
  <c r="E168" i="169" s="1"/>
  <c r="F168" i="169"/>
  <c r="J168" i="169"/>
  <c r="AK168" i="169" s="1"/>
  <c r="K168" i="169"/>
  <c r="AL168" i="169" s="1"/>
  <c r="L168" i="169"/>
  <c r="AM168" i="169" s="1"/>
  <c r="O168" i="169"/>
  <c r="AO168" i="169" s="1"/>
  <c r="P168" i="169"/>
  <c r="Q168" i="169"/>
  <c r="S168" i="169" s="1"/>
  <c r="AP168" i="169" s="1"/>
  <c r="W168" i="169"/>
  <c r="A169" i="169"/>
  <c r="B169" i="169"/>
  <c r="D169" i="169"/>
  <c r="E169" i="169" s="1"/>
  <c r="F169" i="169"/>
  <c r="J169" i="169"/>
  <c r="AK169" i="169" s="1"/>
  <c r="K169" i="169"/>
  <c r="AL169" i="169" s="1"/>
  <c r="L169" i="169"/>
  <c r="AM169" i="169" s="1"/>
  <c r="O169" i="169"/>
  <c r="AO169" i="169" s="1"/>
  <c r="P169" i="169"/>
  <c r="Q169" i="169"/>
  <c r="U169" i="169" s="1"/>
  <c r="AQ169" i="169" s="1"/>
  <c r="W169" i="169"/>
  <c r="A170" i="169"/>
  <c r="B170" i="169"/>
  <c r="D170" i="169"/>
  <c r="E170" i="169" s="1"/>
  <c r="F170" i="169"/>
  <c r="J170" i="169"/>
  <c r="AK170" i="169" s="1"/>
  <c r="K170" i="169"/>
  <c r="AL170" i="169" s="1"/>
  <c r="L170" i="169"/>
  <c r="AM170" i="169" s="1"/>
  <c r="O170" i="169"/>
  <c r="AO170" i="169" s="1"/>
  <c r="P170" i="169"/>
  <c r="Q170" i="169"/>
  <c r="U170" i="169" s="1"/>
  <c r="AQ170" i="169" s="1"/>
  <c r="W170" i="169"/>
  <c r="A171" i="169"/>
  <c r="B171" i="169"/>
  <c r="D171" i="169"/>
  <c r="E171" i="169" s="1"/>
  <c r="F171" i="169"/>
  <c r="J171" i="169"/>
  <c r="AK171" i="169" s="1"/>
  <c r="K171" i="169"/>
  <c r="AL171" i="169" s="1"/>
  <c r="L171" i="169"/>
  <c r="AM171" i="169" s="1"/>
  <c r="O171" i="169"/>
  <c r="AO171" i="169" s="1"/>
  <c r="P171" i="169"/>
  <c r="Q171" i="169"/>
  <c r="S171" i="169" s="1"/>
  <c r="AP171" i="169" s="1"/>
  <c r="W171" i="169"/>
  <c r="A172" i="169"/>
  <c r="B172" i="169"/>
  <c r="D172" i="169"/>
  <c r="E172" i="169" s="1"/>
  <c r="F172" i="169"/>
  <c r="J172" i="169"/>
  <c r="AK172" i="169" s="1"/>
  <c r="K172" i="169"/>
  <c r="AL172" i="169" s="1"/>
  <c r="L172" i="169"/>
  <c r="AM172" i="169" s="1"/>
  <c r="O172" i="169"/>
  <c r="AO172" i="169" s="1"/>
  <c r="P172" i="169"/>
  <c r="Q172" i="169"/>
  <c r="U172" i="169" s="1"/>
  <c r="AQ172" i="169" s="1"/>
  <c r="W172" i="169"/>
  <c r="A173" i="169"/>
  <c r="B173" i="169"/>
  <c r="D173" i="169"/>
  <c r="E173" i="169" s="1"/>
  <c r="F173" i="169"/>
  <c r="J173" i="169"/>
  <c r="AK173" i="169" s="1"/>
  <c r="K173" i="169"/>
  <c r="AL173" i="169" s="1"/>
  <c r="L173" i="169"/>
  <c r="AM173" i="169" s="1"/>
  <c r="O173" i="169"/>
  <c r="AO173" i="169" s="1"/>
  <c r="P173" i="169"/>
  <c r="Q173" i="169"/>
  <c r="S173" i="169" s="1"/>
  <c r="AP173" i="169" s="1"/>
  <c r="W173" i="169"/>
  <c r="A150" i="169"/>
  <c r="B150" i="169"/>
  <c r="D150" i="169"/>
  <c r="E150" i="169" s="1"/>
  <c r="F150" i="169"/>
  <c r="J150" i="169"/>
  <c r="AK150" i="169" s="1"/>
  <c r="K150" i="169"/>
  <c r="AL150" i="169" s="1"/>
  <c r="L150" i="169"/>
  <c r="AM150" i="169" s="1"/>
  <c r="O150" i="169"/>
  <c r="AO150" i="169" s="1"/>
  <c r="P150" i="169"/>
  <c r="Q150" i="169"/>
  <c r="S150" i="169" s="1"/>
  <c r="AP150" i="169" s="1"/>
  <c r="W150" i="169"/>
  <c r="A151" i="169"/>
  <c r="B151" i="169"/>
  <c r="D151" i="169"/>
  <c r="E151" i="169" s="1"/>
  <c r="F151" i="169"/>
  <c r="J151" i="169"/>
  <c r="AK151" i="169" s="1"/>
  <c r="K151" i="169"/>
  <c r="AL151" i="169" s="1"/>
  <c r="L151" i="169"/>
  <c r="AM151" i="169" s="1"/>
  <c r="O151" i="169"/>
  <c r="AO151" i="169" s="1"/>
  <c r="P151" i="169"/>
  <c r="Q151" i="169"/>
  <c r="S151" i="169" s="1"/>
  <c r="AP151" i="169" s="1"/>
  <c r="W151" i="169"/>
  <c r="A152" i="169"/>
  <c r="B152" i="169"/>
  <c r="D152" i="169"/>
  <c r="E152" i="169" s="1"/>
  <c r="F152" i="169"/>
  <c r="J152" i="169"/>
  <c r="AK152" i="169" s="1"/>
  <c r="K152" i="169"/>
  <c r="AL152" i="169" s="1"/>
  <c r="L152" i="169"/>
  <c r="AM152" i="169" s="1"/>
  <c r="O152" i="169"/>
  <c r="AO152" i="169" s="1"/>
  <c r="P152" i="169"/>
  <c r="Q152" i="169"/>
  <c r="S152" i="169" s="1"/>
  <c r="AP152" i="169" s="1"/>
  <c r="W152" i="169"/>
  <c r="A153" i="169"/>
  <c r="B153" i="169"/>
  <c r="D153" i="169"/>
  <c r="E153" i="169" s="1"/>
  <c r="F153" i="169"/>
  <c r="J153" i="169"/>
  <c r="AK153" i="169" s="1"/>
  <c r="K153" i="169"/>
  <c r="AL153" i="169" s="1"/>
  <c r="L153" i="169"/>
  <c r="AM153" i="169" s="1"/>
  <c r="O153" i="169"/>
  <c r="AO153" i="169" s="1"/>
  <c r="P153" i="169"/>
  <c r="Q153" i="169"/>
  <c r="S153" i="169" s="1"/>
  <c r="AP153" i="169" s="1"/>
  <c r="W153" i="169"/>
  <c r="A154" i="169"/>
  <c r="B154" i="169"/>
  <c r="D154" i="169"/>
  <c r="E154" i="169" s="1"/>
  <c r="F154" i="169"/>
  <c r="J154" i="169"/>
  <c r="AK154" i="169" s="1"/>
  <c r="K154" i="169"/>
  <c r="AL154" i="169" s="1"/>
  <c r="L154" i="169"/>
  <c r="AM154" i="169" s="1"/>
  <c r="O154" i="169"/>
  <c r="AO154" i="169" s="1"/>
  <c r="P154" i="169"/>
  <c r="Q154" i="169"/>
  <c r="S154" i="169" s="1"/>
  <c r="AP154" i="169" s="1"/>
  <c r="W154" i="169"/>
  <c r="A155" i="169"/>
  <c r="B155" i="169"/>
  <c r="D155" i="169"/>
  <c r="E155" i="169" s="1"/>
  <c r="F155" i="169"/>
  <c r="J155" i="169"/>
  <c r="AK155" i="169" s="1"/>
  <c r="K155" i="169"/>
  <c r="AL155" i="169" s="1"/>
  <c r="L155" i="169"/>
  <c r="AM155" i="169" s="1"/>
  <c r="O155" i="169"/>
  <c r="AO155" i="169" s="1"/>
  <c r="P155" i="169"/>
  <c r="Q155" i="169"/>
  <c r="S155" i="169" s="1"/>
  <c r="AP155" i="169" s="1"/>
  <c r="W155" i="169"/>
  <c r="A156" i="169"/>
  <c r="B156" i="169"/>
  <c r="D156" i="169"/>
  <c r="E156" i="169" s="1"/>
  <c r="F156" i="169"/>
  <c r="J156" i="169"/>
  <c r="AK156" i="169" s="1"/>
  <c r="K156" i="169"/>
  <c r="AL156" i="169" s="1"/>
  <c r="L156" i="169"/>
  <c r="AM156" i="169" s="1"/>
  <c r="O156" i="169"/>
  <c r="AO156" i="169" s="1"/>
  <c r="P156" i="169"/>
  <c r="Q156" i="169"/>
  <c r="S156" i="169" s="1"/>
  <c r="AP156" i="169" s="1"/>
  <c r="W156" i="169"/>
  <c r="A157" i="169"/>
  <c r="B157" i="169"/>
  <c r="D157" i="169"/>
  <c r="E157" i="169" s="1"/>
  <c r="F157" i="169"/>
  <c r="J157" i="169"/>
  <c r="AK157" i="169" s="1"/>
  <c r="K157" i="169"/>
  <c r="AL157" i="169" s="1"/>
  <c r="L157" i="169"/>
  <c r="AM157" i="169" s="1"/>
  <c r="O157" i="169"/>
  <c r="AO157" i="169" s="1"/>
  <c r="P157" i="169"/>
  <c r="Q157" i="169"/>
  <c r="U157" i="169" s="1"/>
  <c r="AQ157" i="169" s="1"/>
  <c r="W157" i="169"/>
  <c r="A158" i="169"/>
  <c r="B158" i="169"/>
  <c r="D158" i="169"/>
  <c r="E158" i="169" s="1"/>
  <c r="F158" i="169"/>
  <c r="J158" i="169"/>
  <c r="AK158" i="169" s="1"/>
  <c r="K158" i="169"/>
  <c r="AL158" i="169" s="1"/>
  <c r="L158" i="169"/>
  <c r="AM158" i="169" s="1"/>
  <c r="O158" i="169"/>
  <c r="AO158" i="169" s="1"/>
  <c r="P158" i="169"/>
  <c r="Q158" i="169"/>
  <c r="S158" i="169" s="1"/>
  <c r="AP158" i="169" s="1"/>
  <c r="W158" i="169"/>
  <c r="A174" i="169"/>
  <c r="B174" i="169"/>
  <c r="D174" i="169"/>
  <c r="E174" i="169" s="1"/>
  <c r="F174" i="169"/>
  <c r="J174" i="169"/>
  <c r="AK174" i="169" s="1"/>
  <c r="K174" i="169"/>
  <c r="AL174" i="169" s="1"/>
  <c r="L174" i="169"/>
  <c r="AM174" i="169" s="1"/>
  <c r="O174" i="169"/>
  <c r="AO174" i="169" s="1"/>
  <c r="P174" i="169"/>
  <c r="Q174" i="169"/>
  <c r="S174" i="169" s="1"/>
  <c r="AP174" i="169" s="1"/>
  <c r="W174" i="169"/>
  <c r="A175" i="169"/>
  <c r="B175" i="169"/>
  <c r="D175" i="169"/>
  <c r="E175" i="169" s="1"/>
  <c r="F175" i="169"/>
  <c r="J175" i="169"/>
  <c r="AK175" i="169" s="1"/>
  <c r="K175" i="169"/>
  <c r="AL175" i="169" s="1"/>
  <c r="L175" i="169"/>
  <c r="AM175" i="169" s="1"/>
  <c r="O175" i="169"/>
  <c r="AO175" i="169" s="1"/>
  <c r="P175" i="169"/>
  <c r="Q175" i="169"/>
  <c r="S175" i="169" s="1"/>
  <c r="AP175" i="169" s="1"/>
  <c r="W175" i="169"/>
  <c r="A176" i="169"/>
  <c r="B176" i="169"/>
  <c r="D176" i="169"/>
  <c r="E176" i="169" s="1"/>
  <c r="F176" i="169"/>
  <c r="J176" i="169"/>
  <c r="AK176" i="169" s="1"/>
  <c r="K176" i="169"/>
  <c r="AL176" i="169" s="1"/>
  <c r="L176" i="169"/>
  <c r="AM176" i="169" s="1"/>
  <c r="O176" i="169"/>
  <c r="AO176" i="169" s="1"/>
  <c r="P176" i="169"/>
  <c r="Q176" i="169"/>
  <c r="S176" i="169" s="1"/>
  <c r="AP176" i="169" s="1"/>
  <c r="W176" i="169"/>
  <c r="A177" i="169"/>
  <c r="B177" i="169"/>
  <c r="D177" i="169"/>
  <c r="E177" i="169" s="1"/>
  <c r="F177" i="169"/>
  <c r="J177" i="169"/>
  <c r="AK177" i="169" s="1"/>
  <c r="K177" i="169"/>
  <c r="AL177" i="169" s="1"/>
  <c r="L177" i="169"/>
  <c r="AM177" i="169" s="1"/>
  <c r="O177" i="169"/>
  <c r="AO177" i="169" s="1"/>
  <c r="P177" i="169"/>
  <c r="Q177" i="169"/>
  <c r="S177" i="169" s="1"/>
  <c r="AP177" i="169" s="1"/>
  <c r="W177" i="169"/>
  <c r="A178" i="169"/>
  <c r="B178" i="169"/>
  <c r="D178" i="169"/>
  <c r="E178" i="169" s="1"/>
  <c r="F178" i="169"/>
  <c r="J178" i="169"/>
  <c r="AK178" i="169" s="1"/>
  <c r="K178" i="169"/>
  <c r="AL178" i="169" s="1"/>
  <c r="L178" i="169"/>
  <c r="AM178" i="169" s="1"/>
  <c r="O178" i="169"/>
  <c r="AO178" i="169" s="1"/>
  <c r="P178" i="169"/>
  <c r="Q178" i="169"/>
  <c r="U178" i="169" s="1"/>
  <c r="AQ178" i="169" s="1"/>
  <c r="W178" i="169"/>
  <c r="A179" i="169"/>
  <c r="B179" i="169"/>
  <c r="D179" i="169"/>
  <c r="E179" i="169" s="1"/>
  <c r="F179" i="169"/>
  <c r="J179" i="169"/>
  <c r="AK179" i="169" s="1"/>
  <c r="K179" i="169"/>
  <c r="AL179" i="169" s="1"/>
  <c r="L179" i="169"/>
  <c r="AM179" i="169" s="1"/>
  <c r="O179" i="169"/>
  <c r="AO179" i="169" s="1"/>
  <c r="P179" i="169"/>
  <c r="Q179" i="169"/>
  <c r="U179" i="169" s="1"/>
  <c r="AQ179" i="169" s="1"/>
  <c r="W179" i="169"/>
  <c r="A180" i="169"/>
  <c r="B180" i="169"/>
  <c r="D180" i="169"/>
  <c r="E180" i="169" s="1"/>
  <c r="F180" i="169"/>
  <c r="J180" i="169"/>
  <c r="AK180" i="169" s="1"/>
  <c r="K180" i="169"/>
  <c r="AL180" i="169" s="1"/>
  <c r="L180" i="169"/>
  <c r="AM180" i="169" s="1"/>
  <c r="O180" i="169"/>
  <c r="AO180" i="169" s="1"/>
  <c r="P180" i="169"/>
  <c r="Q180" i="169"/>
  <c r="U180" i="169" s="1"/>
  <c r="AQ180" i="169" s="1"/>
  <c r="W180" i="169"/>
  <c r="A181" i="169"/>
  <c r="B181" i="169"/>
  <c r="D181" i="169"/>
  <c r="E181" i="169" s="1"/>
  <c r="F181" i="169"/>
  <c r="J181" i="169"/>
  <c r="AK181" i="169" s="1"/>
  <c r="K181" i="169"/>
  <c r="AL181" i="169" s="1"/>
  <c r="L181" i="169"/>
  <c r="AM181" i="169" s="1"/>
  <c r="O181" i="169"/>
  <c r="AO181" i="169" s="1"/>
  <c r="P181" i="169"/>
  <c r="Q181" i="169"/>
  <c r="U181" i="169" s="1"/>
  <c r="AQ181" i="169" s="1"/>
  <c r="W181" i="169"/>
  <c r="A182" i="169"/>
  <c r="B182" i="169"/>
  <c r="D182" i="169"/>
  <c r="E182" i="169" s="1"/>
  <c r="F182" i="169"/>
  <c r="J182" i="169"/>
  <c r="AK182" i="169" s="1"/>
  <c r="K182" i="169"/>
  <c r="AL182" i="169" s="1"/>
  <c r="L182" i="169"/>
  <c r="AM182" i="169" s="1"/>
  <c r="O182" i="169"/>
  <c r="AO182" i="169" s="1"/>
  <c r="P182" i="169"/>
  <c r="Q182" i="169"/>
  <c r="S182" i="169" s="1"/>
  <c r="AP182" i="169" s="1"/>
  <c r="W182" i="169"/>
  <c r="A183" i="169"/>
  <c r="B183" i="169"/>
  <c r="D183" i="169"/>
  <c r="E183" i="169" s="1"/>
  <c r="F183" i="169"/>
  <c r="J183" i="169"/>
  <c r="AK183" i="169" s="1"/>
  <c r="K183" i="169"/>
  <c r="AL183" i="169" s="1"/>
  <c r="L183" i="169"/>
  <c r="AM183" i="169" s="1"/>
  <c r="O183" i="169"/>
  <c r="AO183" i="169" s="1"/>
  <c r="P183" i="169"/>
  <c r="Q183" i="169"/>
  <c r="S183" i="169" s="1"/>
  <c r="AP183" i="169" s="1"/>
  <c r="W183" i="169"/>
  <c r="A196" i="169"/>
  <c r="B196" i="169"/>
  <c r="D196" i="169"/>
  <c r="E196" i="169" s="1"/>
  <c r="F196" i="169"/>
  <c r="J196" i="169"/>
  <c r="AK196" i="169" s="1"/>
  <c r="K196" i="169"/>
  <c r="AL196" i="169" s="1"/>
  <c r="L196" i="169"/>
  <c r="AM196" i="169" s="1"/>
  <c r="O196" i="169"/>
  <c r="AO196" i="169" s="1"/>
  <c r="P196" i="169"/>
  <c r="Q196" i="169"/>
  <c r="U196" i="169" s="1"/>
  <c r="AQ196" i="169" s="1"/>
  <c r="W196" i="169"/>
  <c r="A197" i="169"/>
  <c r="B197" i="169"/>
  <c r="D197" i="169"/>
  <c r="E197" i="169" s="1"/>
  <c r="F197" i="169"/>
  <c r="J197" i="169"/>
  <c r="AK197" i="169" s="1"/>
  <c r="K197" i="169"/>
  <c r="AL197" i="169" s="1"/>
  <c r="L197" i="169"/>
  <c r="AM197" i="169" s="1"/>
  <c r="O197" i="169"/>
  <c r="AO197" i="169" s="1"/>
  <c r="P197" i="169"/>
  <c r="Q197" i="169"/>
  <c r="S197" i="169" s="1"/>
  <c r="AP197" i="169" s="1"/>
  <c r="W197" i="169"/>
  <c r="A198" i="169"/>
  <c r="B198" i="169"/>
  <c r="D198" i="169"/>
  <c r="E198" i="169" s="1"/>
  <c r="F198" i="169"/>
  <c r="J198" i="169"/>
  <c r="AK198" i="169" s="1"/>
  <c r="K198" i="169"/>
  <c r="AL198" i="169" s="1"/>
  <c r="L198" i="169"/>
  <c r="AM198" i="169" s="1"/>
  <c r="O198" i="169"/>
  <c r="AO198" i="169" s="1"/>
  <c r="P198" i="169"/>
  <c r="Q198" i="169"/>
  <c r="U198" i="169" s="1"/>
  <c r="AQ198" i="169" s="1"/>
  <c r="W198" i="169"/>
  <c r="A199" i="169"/>
  <c r="B199" i="169"/>
  <c r="D199" i="169"/>
  <c r="E199" i="169" s="1"/>
  <c r="F199" i="169"/>
  <c r="J199" i="169"/>
  <c r="AK199" i="169" s="1"/>
  <c r="K199" i="169"/>
  <c r="AL199" i="169" s="1"/>
  <c r="L199" i="169"/>
  <c r="AM199" i="169" s="1"/>
  <c r="O199" i="169"/>
  <c r="AO199" i="169" s="1"/>
  <c r="P199" i="169"/>
  <c r="Q199" i="169"/>
  <c r="U199" i="169" s="1"/>
  <c r="AQ199" i="169" s="1"/>
  <c r="W199" i="169"/>
  <c r="A200" i="169"/>
  <c r="B200" i="169"/>
  <c r="D200" i="169"/>
  <c r="E200" i="169" s="1"/>
  <c r="F200" i="169"/>
  <c r="J200" i="169"/>
  <c r="AK200" i="169" s="1"/>
  <c r="K200" i="169"/>
  <c r="AL200" i="169" s="1"/>
  <c r="L200" i="169"/>
  <c r="AM200" i="169" s="1"/>
  <c r="O200" i="169"/>
  <c r="AO200" i="169" s="1"/>
  <c r="P200" i="169"/>
  <c r="Q200" i="169"/>
  <c r="S200" i="169" s="1"/>
  <c r="AP200" i="169" s="1"/>
  <c r="W200" i="169"/>
  <c r="A611" i="169"/>
  <c r="B611" i="169"/>
  <c r="D611" i="169"/>
  <c r="E611" i="169" s="1"/>
  <c r="F611" i="169"/>
  <c r="J611" i="169"/>
  <c r="AK611" i="169" s="1"/>
  <c r="K611" i="169"/>
  <c r="AL611" i="169" s="1"/>
  <c r="L611" i="169"/>
  <c r="AM611" i="169" s="1"/>
  <c r="O611" i="169"/>
  <c r="AO611" i="169" s="1"/>
  <c r="P611" i="169"/>
  <c r="Q611" i="169"/>
  <c r="S611" i="169" s="1"/>
  <c r="AP611" i="169" s="1"/>
  <c r="W611" i="169"/>
  <c r="A612" i="169"/>
  <c r="B612" i="169"/>
  <c r="D612" i="169"/>
  <c r="E612" i="169" s="1"/>
  <c r="F612" i="169"/>
  <c r="J612" i="169"/>
  <c r="AK612" i="169" s="1"/>
  <c r="K612" i="169"/>
  <c r="AL612" i="169" s="1"/>
  <c r="L612" i="169"/>
  <c r="AM612" i="169" s="1"/>
  <c r="O612" i="169"/>
  <c r="AO612" i="169" s="1"/>
  <c r="P612" i="169"/>
  <c r="Q612" i="169"/>
  <c r="U612" i="169" s="1"/>
  <c r="AQ612" i="169" s="1"/>
  <c r="W612" i="169"/>
  <c r="A905" i="169"/>
  <c r="B905" i="169"/>
  <c r="D905" i="169"/>
  <c r="E905" i="169" s="1"/>
  <c r="F905" i="169"/>
  <c r="J905" i="169"/>
  <c r="AK905" i="169" s="1"/>
  <c r="K905" i="169"/>
  <c r="AL905" i="169" s="1"/>
  <c r="L905" i="169"/>
  <c r="AM905" i="169" s="1"/>
  <c r="O905" i="169"/>
  <c r="AO905" i="169" s="1"/>
  <c r="P905" i="169"/>
  <c r="Q905" i="169"/>
  <c r="S905" i="169" s="1"/>
  <c r="AP905" i="169" s="1"/>
  <c r="W905" i="169"/>
  <c r="A1313" i="169"/>
  <c r="B1313" i="169"/>
  <c r="D1313" i="169"/>
  <c r="E1313" i="169" s="1"/>
  <c r="F1313" i="169"/>
  <c r="J1313" i="169"/>
  <c r="K1313" i="169"/>
  <c r="L1313" i="169"/>
  <c r="O1313" i="169"/>
  <c r="P1313" i="169"/>
  <c r="Q1313" i="169"/>
  <c r="U1313" i="169" s="1"/>
  <c r="W1313" i="169"/>
  <c r="A117" i="169"/>
  <c r="B117" i="169"/>
  <c r="D117" i="169"/>
  <c r="E117" i="169" s="1"/>
  <c r="F117" i="169"/>
  <c r="J117" i="169"/>
  <c r="AK117" i="169" s="1"/>
  <c r="K117" i="169"/>
  <c r="AL117" i="169" s="1"/>
  <c r="L117" i="169"/>
  <c r="AM117" i="169" s="1"/>
  <c r="O117" i="169"/>
  <c r="AO117" i="169" s="1"/>
  <c r="P117" i="169"/>
  <c r="Q117" i="169"/>
  <c r="S117" i="169" s="1"/>
  <c r="AP117" i="169" s="1"/>
  <c r="W117" i="169"/>
  <c r="A118" i="169"/>
  <c r="B118" i="169"/>
  <c r="D118" i="169"/>
  <c r="E118" i="169" s="1"/>
  <c r="F118" i="169"/>
  <c r="J118" i="169"/>
  <c r="AK118" i="169" s="1"/>
  <c r="K118" i="169"/>
  <c r="AL118" i="169" s="1"/>
  <c r="L118" i="169"/>
  <c r="AM118" i="169" s="1"/>
  <c r="O118" i="169"/>
  <c r="AO118" i="169" s="1"/>
  <c r="P118" i="169"/>
  <c r="Q118" i="169"/>
  <c r="S118" i="169" s="1"/>
  <c r="AP118" i="169" s="1"/>
  <c r="W118" i="169"/>
  <c r="A119" i="169"/>
  <c r="B119" i="169"/>
  <c r="D119" i="169"/>
  <c r="E119" i="169" s="1"/>
  <c r="F119" i="169"/>
  <c r="J119" i="169"/>
  <c r="AK119" i="169" s="1"/>
  <c r="K119" i="169"/>
  <c r="AL119" i="169" s="1"/>
  <c r="L119" i="169"/>
  <c r="AM119" i="169" s="1"/>
  <c r="O119" i="169"/>
  <c r="AO119" i="169" s="1"/>
  <c r="P119" i="169"/>
  <c r="Q119" i="169"/>
  <c r="S119" i="169" s="1"/>
  <c r="AP119" i="169" s="1"/>
  <c r="W119" i="169"/>
  <c r="A120" i="169"/>
  <c r="B120" i="169"/>
  <c r="D120" i="169"/>
  <c r="E120" i="169" s="1"/>
  <c r="F120" i="169"/>
  <c r="J120" i="169"/>
  <c r="AK120" i="169" s="1"/>
  <c r="K120" i="169"/>
  <c r="AL120" i="169" s="1"/>
  <c r="L120" i="169"/>
  <c r="AM120" i="169" s="1"/>
  <c r="O120" i="169"/>
  <c r="AO120" i="169" s="1"/>
  <c r="P120" i="169"/>
  <c r="Q120" i="169"/>
  <c r="U120" i="169" s="1"/>
  <c r="AQ120" i="169" s="1"/>
  <c r="W120" i="169"/>
  <c r="A121" i="169"/>
  <c r="B121" i="169"/>
  <c r="D121" i="169"/>
  <c r="E121" i="169" s="1"/>
  <c r="F121" i="169"/>
  <c r="J121" i="169"/>
  <c r="AK121" i="169" s="1"/>
  <c r="K121" i="169"/>
  <c r="AL121" i="169" s="1"/>
  <c r="L121" i="169"/>
  <c r="AM121" i="169" s="1"/>
  <c r="O121" i="169"/>
  <c r="AO121" i="169" s="1"/>
  <c r="P121" i="169"/>
  <c r="Q121" i="169"/>
  <c r="U121" i="169" s="1"/>
  <c r="AQ121" i="169" s="1"/>
  <c r="W121" i="169"/>
  <c r="A122" i="169"/>
  <c r="B122" i="169"/>
  <c r="D122" i="169"/>
  <c r="E122" i="169" s="1"/>
  <c r="F122" i="169"/>
  <c r="J122" i="169"/>
  <c r="AK122" i="169" s="1"/>
  <c r="K122" i="169"/>
  <c r="AL122" i="169" s="1"/>
  <c r="L122" i="169"/>
  <c r="AM122" i="169" s="1"/>
  <c r="O122" i="169"/>
  <c r="AO122" i="169" s="1"/>
  <c r="P122" i="169"/>
  <c r="Q122" i="169"/>
  <c r="S122" i="169" s="1"/>
  <c r="AP122" i="169" s="1"/>
  <c r="W122" i="169"/>
  <c r="A123" i="169"/>
  <c r="B123" i="169"/>
  <c r="D123" i="169"/>
  <c r="E123" i="169" s="1"/>
  <c r="F123" i="169"/>
  <c r="J123" i="169"/>
  <c r="AK123" i="169" s="1"/>
  <c r="K123" i="169"/>
  <c r="AL123" i="169" s="1"/>
  <c r="L123" i="169"/>
  <c r="AM123" i="169" s="1"/>
  <c r="O123" i="169"/>
  <c r="AO123" i="169" s="1"/>
  <c r="P123" i="169"/>
  <c r="Q123" i="169"/>
  <c r="S123" i="169" s="1"/>
  <c r="AP123" i="169" s="1"/>
  <c r="W123" i="169"/>
  <c r="A124" i="169"/>
  <c r="B124" i="169"/>
  <c r="D124" i="169"/>
  <c r="E124" i="169" s="1"/>
  <c r="F124" i="169"/>
  <c r="J124" i="169"/>
  <c r="AK124" i="169" s="1"/>
  <c r="K124" i="169"/>
  <c r="AL124" i="169" s="1"/>
  <c r="L124" i="169"/>
  <c r="AM124" i="169" s="1"/>
  <c r="O124" i="169"/>
  <c r="AO124" i="169" s="1"/>
  <c r="P124" i="169"/>
  <c r="Q124" i="169"/>
  <c r="S124" i="169" s="1"/>
  <c r="AP124" i="169" s="1"/>
  <c r="W124" i="169"/>
  <c r="A107" i="169"/>
  <c r="A109" i="169"/>
  <c r="B109" i="169"/>
  <c r="D109" i="169"/>
  <c r="E109" i="169" s="1"/>
  <c r="F109" i="169"/>
  <c r="J109" i="169"/>
  <c r="AK109" i="169" s="1"/>
  <c r="K109" i="169"/>
  <c r="AL109" i="169" s="1"/>
  <c r="L109" i="169"/>
  <c r="AM109" i="169" s="1"/>
  <c r="O109" i="169"/>
  <c r="AO109" i="169" s="1"/>
  <c r="P109" i="169"/>
  <c r="Q109" i="169"/>
  <c r="S109" i="169" s="1"/>
  <c r="AP109" i="169" s="1"/>
  <c r="W109" i="169"/>
  <c r="A110" i="169"/>
  <c r="B110" i="169"/>
  <c r="D110" i="169"/>
  <c r="E110" i="169" s="1"/>
  <c r="F110" i="169"/>
  <c r="J110" i="169"/>
  <c r="AK110" i="169" s="1"/>
  <c r="K110" i="169"/>
  <c r="AL110" i="169" s="1"/>
  <c r="L110" i="169"/>
  <c r="AM110" i="169" s="1"/>
  <c r="O110" i="169"/>
  <c r="AO110" i="169" s="1"/>
  <c r="P110" i="169"/>
  <c r="Q110" i="169"/>
  <c r="S110" i="169" s="1"/>
  <c r="AP110" i="169" s="1"/>
  <c r="W110" i="169"/>
  <c r="A111" i="169"/>
  <c r="B111" i="169"/>
  <c r="D111" i="169"/>
  <c r="E111" i="169" s="1"/>
  <c r="F111" i="169"/>
  <c r="J111" i="169"/>
  <c r="AK111" i="169" s="1"/>
  <c r="K111" i="169"/>
  <c r="AL111" i="169" s="1"/>
  <c r="L111" i="169"/>
  <c r="AM111" i="169" s="1"/>
  <c r="O111" i="169"/>
  <c r="AO111" i="169" s="1"/>
  <c r="P111" i="169"/>
  <c r="Q111" i="169"/>
  <c r="U111" i="169" s="1"/>
  <c r="AQ111" i="169" s="1"/>
  <c r="W111" i="169"/>
  <c r="A112" i="169"/>
  <c r="B112" i="169"/>
  <c r="D112" i="169"/>
  <c r="E112" i="169" s="1"/>
  <c r="F112" i="169"/>
  <c r="J112" i="169"/>
  <c r="AK112" i="169" s="1"/>
  <c r="K112" i="169"/>
  <c r="AL112" i="169" s="1"/>
  <c r="L112" i="169"/>
  <c r="AM112" i="169" s="1"/>
  <c r="O112" i="169"/>
  <c r="AO112" i="169" s="1"/>
  <c r="P112" i="169"/>
  <c r="Q112" i="169"/>
  <c r="U112" i="169" s="1"/>
  <c r="AQ112" i="169" s="1"/>
  <c r="W112" i="169"/>
  <c r="A113" i="169"/>
  <c r="B113" i="169"/>
  <c r="D113" i="169"/>
  <c r="E113" i="169" s="1"/>
  <c r="F113" i="169"/>
  <c r="J113" i="169"/>
  <c r="AK113" i="169" s="1"/>
  <c r="K113" i="169"/>
  <c r="AL113" i="169" s="1"/>
  <c r="L113" i="169"/>
  <c r="AM113" i="169" s="1"/>
  <c r="O113" i="169"/>
  <c r="AO113" i="169" s="1"/>
  <c r="P113" i="169"/>
  <c r="Q113" i="169"/>
  <c r="S113" i="169" s="1"/>
  <c r="AP113" i="169" s="1"/>
  <c r="W113" i="169"/>
  <c r="A114" i="169"/>
  <c r="B114" i="169"/>
  <c r="D114" i="169"/>
  <c r="E114" i="169" s="1"/>
  <c r="F114" i="169"/>
  <c r="J114" i="169"/>
  <c r="AK114" i="169" s="1"/>
  <c r="K114" i="169"/>
  <c r="AL114" i="169" s="1"/>
  <c r="L114" i="169"/>
  <c r="AM114" i="169" s="1"/>
  <c r="O114" i="169"/>
  <c r="AO114" i="169" s="1"/>
  <c r="P114" i="169"/>
  <c r="Q114" i="169"/>
  <c r="U114" i="169" s="1"/>
  <c r="AQ114" i="169" s="1"/>
  <c r="W114" i="169"/>
  <c r="A115" i="169"/>
  <c r="B115" i="169"/>
  <c r="D115" i="169"/>
  <c r="E115" i="169" s="1"/>
  <c r="F115" i="169"/>
  <c r="J115" i="169"/>
  <c r="AK115" i="169" s="1"/>
  <c r="K115" i="169"/>
  <c r="AL115" i="169" s="1"/>
  <c r="L115" i="169"/>
  <c r="AM115" i="169" s="1"/>
  <c r="O115" i="169"/>
  <c r="AO115" i="169" s="1"/>
  <c r="P115" i="169"/>
  <c r="Q115" i="169"/>
  <c r="S115" i="169" s="1"/>
  <c r="AP115" i="169" s="1"/>
  <c r="W115" i="169"/>
  <c r="A116" i="169"/>
  <c r="B116" i="169"/>
  <c r="D116" i="169"/>
  <c r="E116" i="169" s="1"/>
  <c r="F116" i="169"/>
  <c r="J116" i="169"/>
  <c r="AK116" i="169" s="1"/>
  <c r="K116" i="169"/>
  <c r="AL116" i="169" s="1"/>
  <c r="L116" i="169"/>
  <c r="AM116" i="169" s="1"/>
  <c r="O116" i="169"/>
  <c r="AO116" i="169" s="1"/>
  <c r="P116" i="169"/>
  <c r="Q116" i="169"/>
  <c r="S116" i="169" s="1"/>
  <c r="AP116" i="169" s="1"/>
  <c r="W116" i="169"/>
  <c r="A126" i="169"/>
  <c r="B126" i="169"/>
  <c r="D126" i="169"/>
  <c r="E126" i="169" s="1"/>
  <c r="F126" i="169"/>
  <c r="J126" i="169"/>
  <c r="AK126" i="169" s="1"/>
  <c r="K126" i="169"/>
  <c r="AL126" i="169" s="1"/>
  <c r="L126" i="169"/>
  <c r="AM126" i="169" s="1"/>
  <c r="O126" i="169"/>
  <c r="AO126" i="169" s="1"/>
  <c r="P126" i="169"/>
  <c r="Q126" i="169"/>
  <c r="U126" i="169" s="1"/>
  <c r="AQ126" i="169" s="1"/>
  <c r="W126" i="169"/>
  <c r="A127" i="169"/>
  <c r="B127" i="169"/>
  <c r="D127" i="169"/>
  <c r="E127" i="169" s="1"/>
  <c r="F127" i="169"/>
  <c r="J127" i="169"/>
  <c r="AK127" i="169" s="1"/>
  <c r="K127" i="169"/>
  <c r="AL127" i="169" s="1"/>
  <c r="L127" i="169"/>
  <c r="AM127" i="169" s="1"/>
  <c r="O127" i="169"/>
  <c r="AO127" i="169" s="1"/>
  <c r="P127" i="169"/>
  <c r="Q127" i="169"/>
  <c r="S127" i="169" s="1"/>
  <c r="AP127" i="169" s="1"/>
  <c r="W127" i="169"/>
  <c r="A128" i="169"/>
  <c r="B128" i="169"/>
  <c r="D128" i="169"/>
  <c r="E128" i="169" s="1"/>
  <c r="F128" i="169"/>
  <c r="J128" i="169"/>
  <c r="AK128" i="169" s="1"/>
  <c r="K128" i="169"/>
  <c r="AL128" i="169" s="1"/>
  <c r="L128" i="169"/>
  <c r="AM128" i="169" s="1"/>
  <c r="O128" i="169"/>
  <c r="AO128" i="169" s="1"/>
  <c r="P128" i="169"/>
  <c r="Q128" i="169"/>
  <c r="S128" i="169" s="1"/>
  <c r="AP128" i="169" s="1"/>
  <c r="W128" i="169"/>
  <c r="A130" i="169"/>
  <c r="B130" i="169"/>
  <c r="D130" i="169"/>
  <c r="E130" i="169" s="1"/>
  <c r="F130" i="169"/>
  <c r="J130" i="169"/>
  <c r="AK130" i="169" s="1"/>
  <c r="K130" i="169"/>
  <c r="AL130" i="169" s="1"/>
  <c r="L130" i="169"/>
  <c r="AM130" i="169" s="1"/>
  <c r="O130" i="169"/>
  <c r="AO130" i="169" s="1"/>
  <c r="P130" i="169"/>
  <c r="Q130" i="169"/>
  <c r="U130" i="169" s="1"/>
  <c r="AQ130" i="169" s="1"/>
  <c r="W130" i="169"/>
  <c r="A133" i="169"/>
  <c r="B133" i="169"/>
  <c r="D133" i="169"/>
  <c r="E133" i="169" s="1"/>
  <c r="F133" i="169"/>
  <c r="J133" i="169"/>
  <c r="AK133" i="169" s="1"/>
  <c r="K133" i="169"/>
  <c r="AL133" i="169" s="1"/>
  <c r="L133" i="169"/>
  <c r="AM133" i="169" s="1"/>
  <c r="O133" i="169"/>
  <c r="AO133" i="169" s="1"/>
  <c r="P133" i="169"/>
  <c r="Q133" i="169"/>
  <c r="U133" i="169" s="1"/>
  <c r="AQ133" i="169" s="1"/>
  <c r="W133" i="169"/>
  <c r="A134" i="169"/>
  <c r="B134" i="169"/>
  <c r="D134" i="169"/>
  <c r="E134" i="169" s="1"/>
  <c r="F134" i="169"/>
  <c r="J134" i="169"/>
  <c r="AK134" i="169" s="1"/>
  <c r="K134" i="169"/>
  <c r="AL134" i="169" s="1"/>
  <c r="L134" i="169"/>
  <c r="AM134" i="169" s="1"/>
  <c r="O134" i="169"/>
  <c r="AO134" i="169" s="1"/>
  <c r="P134" i="169"/>
  <c r="Q134" i="169"/>
  <c r="S134" i="169" s="1"/>
  <c r="AP134" i="169" s="1"/>
  <c r="W134" i="169"/>
  <c r="A135" i="169"/>
  <c r="B135" i="169"/>
  <c r="D135" i="169"/>
  <c r="E135" i="169" s="1"/>
  <c r="F135" i="169"/>
  <c r="J135" i="169"/>
  <c r="AK135" i="169" s="1"/>
  <c r="K135" i="169"/>
  <c r="AL135" i="169" s="1"/>
  <c r="L135" i="169"/>
  <c r="AM135" i="169" s="1"/>
  <c r="O135" i="169"/>
  <c r="AO135" i="169" s="1"/>
  <c r="P135" i="169"/>
  <c r="Q135" i="169"/>
  <c r="U135" i="169" s="1"/>
  <c r="AQ135" i="169" s="1"/>
  <c r="W135" i="169"/>
  <c r="A136" i="169"/>
  <c r="B136" i="169"/>
  <c r="D136" i="169"/>
  <c r="E136" i="169" s="1"/>
  <c r="F136" i="169"/>
  <c r="J136" i="169"/>
  <c r="AK136" i="169" s="1"/>
  <c r="K136" i="169"/>
  <c r="AL136" i="169" s="1"/>
  <c r="L136" i="169"/>
  <c r="AM136" i="169" s="1"/>
  <c r="O136" i="169"/>
  <c r="AO136" i="169" s="1"/>
  <c r="P136" i="169"/>
  <c r="Q136" i="169"/>
  <c r="S136" i="169" s="1"/>
  <c r="AP136" i="169" s="1"/>
  <c r="W136" i="169"/>
  <c r="A137" i="169"/>
  <c r="B137" i="169"/>
  <c r="D137" i="169"/>
  <c r="E137" i="169" s="1"/>
  <c r="F137" i="169"/>
  <c r="J137" i="169"/>
  <c r="AK137" i="169" s="1"/>
  <c r="K137" i="169"/>
  <c r="AL137" i="169" s="1"/>
  <c r="L137" i="169"/>
  <c r="AM137" i="169" s="1"/>
  <c r="O137" i="169"/>
  <c r="AO137" i="169" s="1"/>
  <c r="P137" i="169"/>
  <c r="Q137" i="169"/>
  <c r="U137" i="169" s="1"/>
  <c r="AQ137" i="169" s="1"/>
  <c r="W137" i="169"/>
  <c r="A138" i="169"/>
  <c r="B138" i="169"/>
  <c r="D138" i="169"/>
  <c r="E138" i="169" s="1"/>
  <c r="F138" i="169"/>
  <c r="J138" i="169"/>
  <c r="AK138" i="169" s="1"/>
  <c r="K138" i="169"/>
  <c r="AL138" i="169" s="1"/>
  <c r="L138" i="169"/>
  <c r="AM138" i="169" s="1"/>
  <c r="O138" i="169"/>
  <c r="AO138" i="169" s="1"/>
  <c r="P138" i="169"/>
  <c r="Q138" i="169"/>
  <c r="U138" i="169" s="1"/>
  <c r="AQ138" i="169" s="1"/>
  <c r="W138" i="169"/>
  <c r="A139" i="169"/>
  <c r="B139" i="169"/>
  <c r="D139" i="169"/>
  <c r="E139" i="169" s="1"/>
  <c r="F139" i="169"/>
  <c r="J139" i="169"/>
  <c r="AK139" i="169" s="1"/>
  <c r="K139" i="169"/>
  <c r="AL139" i="169" s="1"/>
  <c r="L139" i="169"/>
  <c r="AM139" i="169" s="1"/>
  <c r="O139" i="169"/>
  <c r="AO139" i="169" s="1"/>
  <c r="P139" i="169"/>
  <c r="Q139" i="169"/>
  <c r="U139" i="169" s="1"/>
  <c r="AQ139" i="169" s="1"/>
  <c r="W139" i="169"/>
  <c r="A140" i="169"/>
  <c r="B140" i="169"/>
  <c r="D140" i="169"/>
  <c r="E140" i="169" s="1"/>
  <c r="F140" i="169"/>
  <c r="J140" i="169"/>
  <c r="AK140" i="169" s="1"/>
  <c r="K140" i="169"/>
  <c r="AL140" i="169" s="1"/>
  <c r="L140" i="169"/>
  <c r="AM140" i="169" s="1"/>
  <c r="O140" i="169"/>
  <c r="AO140" i="169" s="1"/>
  <c r="P140" i="169"/>
  <c r="Q140" i="169"/>
  <c r="U140" i="169" s="1"/>
  <c r="AQ140" i="169" s="1"/>
  <c r="W140" i="169"/>
  <c r="A141" i="169"/>
  <c r="B141" i="169"/>
  <c r="D141" i="169"/>
  <c r="E141" i="169" s="1"/>
  <c r="F141" i="169"/>
  <c r="J141" i="169"/>
  <c r="AK141" i="169" s="1"/>
  <c r="K141" i="169"/>
  <c r="AL141" i="169" s="1"/>
  <c r="L141" i="169"/>
  <c r="AM141" i="169" s="1"/>
  <c r="O141" i="169"/>
  <c r="AO141" i="169" s="1"/>
  <c r="P141" i="169"/>
  <c r="Q141" i="169"/>
  <c r="S141" i="169" s="1"/>
  <c r="AP141" i="169" s="1"/>
  <c r="W141" i="169"/>
  <c r="A142" i="169"/>
  <c r="B142" i="169"/>
  <c r="D142" i="169"/>
  <c r="E142" i="169" s="1"/>
  <c r="F142" i="169"/>
  <c r="J142" i="169"/>
  <c r="AK142" i="169" s="1"/>
  <c r="K142" i="169"/>
  <c r="AL142" i="169" s="1"/>
  <c r="L142" i="169"/>
  <c r="AM142" i="169" s="1"/>
  <c r="O142" i="169"/>
  <c r="AO142" i="169" s="1"/>
  <c r="P142" i="169"/>
  <c r="Q142" i="169"/>
  <c r="S142" i="169" s="1"/>
  <c r="AP142" i="169" s="1"/>
  <c r="W142" i="169"/>
  <c r="A143" i="169"/>
  <c r="B143" i="169"/>
  <c r="D143" i="169"/>
  <c r="E143" i="169" s="1"/>
  <c r="F143" i="169"/>
  <c r="J143" i="169"/>
  <c r="AK143" i="169" s="1"/>
  <c r="K143" i="169"/>
  <c r="AL143" i="169" s="1"/>
  <c r="L143" i="169"/>
  <c r="AM143" i="169" s="1"/>
  <c r="O143" i="169"/>
  <c r="AO143" i="169" s="1"/>
  <c r="P143" i="169"/>
  <c r="Q143" i="169"/>
  <c r="S143" i="169" s="1"/>
  <c r="AP143" i="169" s="1"/>
  <c r="W143" i="169"/>
  <c r="A144" i="169"/>
  <c r="B144" i="169"/>
  <c r="D144" i="169"/>
  <c r="E144" i="169" s="1"/>
  <c r="F144" i="169"/>
  <c r="J144" i="169"/>
  <c r="AK144" i="169" s="1"/>
  <c r="K144" i="169"/>
  <c r="AL144" i="169" s="1"/>
  <c r="L144" i="169"/>
  <c r="AM144" i="169" s="1"/>
  <c r="O144" i="169"/>
  <c r="AO144" i="169" s="1"/>
  <c r="P144" i="169"/>
  <c r="Q144" i="169"/>
  <c r="S144" i="169" s="1"/>
  <c r="AP144" i="169" s="1"/>
  <c r="W144" i="169"/>
  <c r="A145" i="169"/>
  <c r="B145" i="169"/>
  <c r="D145" i="169"/>
  <c r="E145" i="169" s="1"/>
  <c r="F145" i="169"/>
  <c r="J145" i="169"/>
  <c r="AK145" i="169" s="1"/>
  <c r="K145" i="169"/>
  <c r="AL145" i="169" s="1"/>
  <c r="L145" i="169"/>
  <c r="AM145" i="169" s="1"/>
  <c r="O145" i="169"/>
  <c r="AO145" i="169" s="1"/>
  <c r="P145" i="169"/>
  <c r="Q145" i="169"/>
  <c r="S145" i="169" s="1"/>
  <c r="AP145" i="169" s="1"/>
  <c r="W145" i="169"/>
  <c r="A146" i="169"/>
  <c r="B146" i="169"/>
  <c r="D146" i="169"/>
  <c r="E146" i="169" s="1"/>
  <c r="F146" i="169"/>
  <c r="J146" i="169"/>
  <c r="AK146" i="169" s="1"/>
  <c r="K146" i="169"/>
  <c r="AL146" i="169" s="1"/>
  <c r="L146" i="169"/>
  <c r="AM146" i="169" s="1"/>
  <c r="O146" i="169"/>
  <c r="AO146" i="169" s="1"/>
  <c r="P146" i="169"/>
  <c r="Q146" i="169"/>
  <c r="S146" i="169" s="1"/>
  <c r="AP146" i="169" s="1"/>
  <c r="W146" i="169"/>
  <c r="A148" i="169"/>
  <c r="B148" i="169"/>
  <c r="D148" i="169"/>
  <c r="E148" i="169" s="1"/>
  <c r="F148" i="169"/>
  <c r="J148" i="169"/>
  <c r="AK148" i="169" s="1"/>
  <c r="K148" i="169"/>
  <c r="AL148" i="169" s="1"/>
  <c r="L148" i="169"/>
  <c r="AM148" i="169" s="1"/>
  <c r="O148" i="169"/>
  <c r="AO148" i="169" s="1"/>
  <c r="P148" i="169"/>
  <c r="Q148" i="169"/>
  <c r="U148" i="169" s="1"/>
  <c r="AQ148" i="169" s="1"/>
  <c r="W148" i="169"/>
  <c r="A149" i="169"/>
  <c r="B149" i="169"/>
  <c r="D149" i="169"/>
  <c r="E149" i="169" s="1"/>
  <c r="F149" i="169"/>
  <c r="J149" i="169"/>
  <c r="AK149" i="169" s="1"/>
  <c r="K149" i="169"/>
  <c r="AL149" i="169" s="1"/>
  <c r="L149" i="169"/>
  <c r="AM149" i="169" s="1"/>
  <c r="O149" i="169"/>
  <c r="AO149" i="169" s="1"/>
  <c r="P149" i="169"/>
  <c r="Q149" i="169"/>
  <c r="U149" i="169" s="1"/>
  <c r="AQ149" i="169" s="1"/>
  <c r="W149" i="169"/>
  <c r="A97" i="169"/>
  <c r="B97" i="169"/>
  <c r="D97" i="169"/>
  <c r="E97" i="169" s="1"/>
  <c r="F97" i="169"/>
  <c r="J97" i="169"/>
  <c r="AK97" i="169" s="1"/>
  <c r="K97" i="169"/>
  <c r="AL97" i="169" s="1"/>
  <c r="L97" i="169"/>
  <c r="AM97" i="169" s="1"/>
  <c r="O97" i="169"/>
  <c r="AO97" i="169" s="1"/>
  <c r="P97" i="169"/>
  <c r="Q97" i="169"/>
  <c r="S97" i="169" s="1"/>
  <c r="AP97" i="169" s="1"/>
  <c r="W97" i="169"/>
  <c r="A98" i="169"/>
  <c r="B98" i="169"/>
  <c r="D98" i="169"/>
  <c r="E98" i="169" s="1"/>
  <c r="F98" i="169"/>
  <c r="J98" i="169"/>
  <c r="AK98" i="169" s="1"/>
  <c r="K98" i="169"/>
  <c r="AL98" i="169" s="1"/>
  <c r="L98" i="169"/>
  <c r="AM98" i="169" s="1"/>
  <c r="O98" i="169"/>
  <c r="AO98" i="169" s="1"/>
  <c r="P98" i="169"/>
  <c r="Q98" i="169"/>
  <c r="S98" i="169" s="1"/>
  <c r="AP98" i="169" s="1"/>
  <c r="W98" i="169"/>
  <c r="A99" i="169"/>
  <c r="B99" i="169"/>
  <c r="D99" i="169"/>
  <c r="E99" i="169" s="1"/>
  <c r="F99" i="169"/>
  <c r="J99" i="169"/>
  <c r="AK99" i="169" s="1"/>
  <c r="K99" i="169"/>
  <c r="AL99" i="169" s="1"/>
  <c r="L99" i="169"/>
  <c r="AM99" i="169" s="1"/>
  <c r="O99" i="169"/>
  <c r="AO99" i="169" s="1"/>
  <c r="P99" i="169"/>
  <c r="Q99" i="169"/>
  <c r="S99" i="169" s="1"/>
  <c r="AP99" i="169" s="1"/>
  <c r="W99" i="169"/>
  <c r="A100" i="169"/>
  <c r="B100" i="169"/>
  <c r="D100" i="169"/>
  <c r="E100" i="169" s="1"/>
  <c r="F100" i="169"/>
  <c r="J100" i="169"/>
  <c r="AK100" i="169" s="1"/>
  <c r="K100" i="169"/>
  <c r="AL100" i="169" s="1"/>
  <c r="L100" i="169"/>
  <c r="AM100" i="169" s="1"/>
  <c r="O100" i="169"/>
  <c r="AO100" i="169" s="1"/>
  <c r="P100" i="169"/>
  <c r="Q100" i="169"/>
  <c r="U100" i="169" s="1"/>
  <c r="AQ100" i="169" s="1"/>
  <c r="W100" i="169"/>
  <c r="A101" i="169"/>
  <c r="B101" i="169"/>
  <c r="D101" i="169"/>
  <c r="E101" i="169" s="1"/>
  <c r="F101" i="169"/>
  <c r="J101" i="169"/>
  <c r="AK101" i="169" s="1"/>
  <c r="K101" i="169"/>
  <c r="AL101" i="169" s="1"/>
  <c r="L101" i="169"/>
  <c r="AM101" i="169" s="1"/>
  <c r="O101" i="169"/>
  <c r="AO101" i="169" s="1"/>
  <c r="P101" i="169"/>
  <c r="Q101" i="169"/>
  <c r="S101" i="169" s="1"/>
  <c r="AP101" i="169" s="1"/>
  <c r="W101" i="169"/>
  <c r="A102" i="169"/>
  <c r="B102" i="169"/>
  <c r="D102" i="169"/>
  <c r="E102" i="169" s="1"/>
  <c r="F102" i="169"/>
  <c r="J102" i="169"/>
  <c r="AK102" i="169" s="1"/>
  <c r="K102" i="169"/>
  <c r="AL102" i="169" s="1"/>
  <c r="L102" i="169"/>
  <c r="AM102" i="169" s="1"/>
  <c r="O102" i="169"/>
  <c r="AO102" i="169" s="1"/>
  <c r="P102" i="169"/>
  <c r="Q102" i="169"/>
  <c r="U102" i="169" s="1"/>
  <c r="AQ102" i="169" s="1"/>
  <c r="W102" i="169"/>
  <c r="A103" i="169"/>
  <c r="B103" i="169"/>
  <c r="D103" i="169"/>
  <c r="E103" i="169" s="1"/>
  <c r="F103" i="169"/>
  <c r="J103" i="169"/>
  <c r="AK103" i="169" s="1"/>
  <c r="K103" i="169"/>
  <c r="AL103" i="169" s="1"/>
  <c r="L103" i="169"/>
  <c r="AM103" i="169" s="1"/>
  <c r="O103" i="169"/>
  <c r="AO103" i="169" s="1"/>
  <c r="P103" i="169"/>
  <c r="Q103" i="169"/>
  <c r="U103" i="169" s="1"/>
  <c r="AQ103" i="169" s="1"/>
  <c r="W103" i="169"/>
  <c r="A104" i="169"/>
  <c r="B104" i="169"/>
  <c r="D104" i="169"/>
  <c r="E104" i="169" s="1"/>
  <c r="F104" i="169"/>
  <c r="J104" i="169"/>
  <c r="AK104" i="169" s="1"/>
  <c r="K104" i="169"/>
  <c r="AL104" i="169" s="1"/>
  <c r="L104" i="169"/>
  <c r="AM104" i="169" s="1"/>
  <c r="O104" i="169"/>
  <c r="AO104" i="169" s="1"/>
  <c r="P104" i="169"/>
  <c r="Q104" i="169"/>
  <c r="U104" i="169" s="1"/>
  <c r="AQ104" i="169" s="1"/>
  <c r="W104" i="169"/>
  <c r="A105" i="169"/>
  <c r="B105" i="169"/>
  <c r="D105" i="169"/>
  <c r="E105" i="169" s="1"/>
  <c r="F105" i="169"/>
  <c r="J105" i="169"/>
  <c r="AK105" i="169" s="1"/>
  <c r="K105" i="169"/>
  <c r="AL105" i="169" s="1"/>
  <c r="L105" i="169"/>
  <c r="AM105" i="169" s="1"/>
  <c r="O105" i="169"/>
  <c r="AO105" i="169" s="1"/>
  <c r="P105" i="169"/>
  <c r="Q105" i="169"/>
  <c r="S105" i="169" s="1"/>
  <c r="AP105" i="169" s="1"/>
  <c r="W105" i="169"/>
  <c r="A106" i="169"/>
  <c r="B106" i="169"/>
  <c r="D106" i="169"/>
  <c r="E106" i="169" s="1"/>
  <c r="F106" i="169"/>
  <c r="J106" i="169"/>
  <c r="AK106" i="169" s="1"/>
  <c r="K106" i="169"/>
  <c r="AL106" i="169" s="1"/>
  <c r="L106" i="169"/>
  <c r="AM106" i="169" s="1"/>
  <c r="O106" i="169"/>
  <c r="AO106" i="169" s="1"/>
  <c r="P106" i="169"/>
  <c r="Q106" i="169"/>
  <c r="S106" i="169" s="1"/>
  <c r="AP106" i="169" s="1"/>
  <c r="W106" i="169"/>
  <c r="B107" i="169"/>
  <c r="D107" i="169"/>
  <c r="E107" i="169" s="1"/>
  <c r="F107" i="169"/>
  <c r="J107" i="169"/>
  <c r="AK107" i="169" s="1"/>
  <c r="K107" i="169"/>
  <c r="AL107" i="169" s="1"/>
  <c r="L107" i="169"/>
  <c r="AM107" i="169" s="1"/>
  <c r="O107" i="169"/>
  <c r="AO107" i="169" s="1"/>
  <c r="P107" i="169"/>
  <c r="Q107" i="169"/>
  <c r="S107" i="169" s="1"/>
  <c r="AP107" i="169" s="1"/>
  <c r="W107" i="169"/>
  <c r="A65" i="169"/>
  <c r="B65" i="169"/>
  <c r="D65" i="169"/>
  <c r="E65" i="169" s="1"/>
  <c r="F65" i="169"/>
  <c r="J65" i="169"/>
  <c r="AK65" i="169" s="1"/>
  <c r="K65" i="169"/>
  <c r="AL65" i="169" s="1"/>
  <c r="L65" i="169"/>
  <c r="AM65" i="169" s="1"/>
  <c r="O65" i="169"/>
  <c r="AO65" i="169" s="1"/>
  <c r="P65" i="169"/>
  <c r="Q65" i="169"/>
  <c r="S65" i="169" s="1"/>
  <c r="AP65" i="169" s="1"/>
  <c r="W65" i="169"/>
  <c r="A66" i="169"/>
  <c r="B66" i="169"/>
  <c r="D66" i="169"/>
  <c r="E66" i="169" s="1"/>
  <c r="F66" i="169"/>
  <c r="J66" i="169"/>
  <c r="AK66" i="169" s="1"/>
  <c r="K66" i="169"/>
  <c r="AL66" i="169" s="1"/>
  <c r="L66" i="169"/>
  <c r="AM66" i="169" s="1"/>
  <c r="O66" i="169"/>
  <c r="AO66" i="169" s="1"/>
  <c r="P66" i="169"/>
  <c r="Q66" i="169"/>
  <c r="S66" i="169" s="1"/>
  <c r="AP66" i="169" s="1"/>
  <c r="W66" i="169"/>
  <c r="A67" i="169"/>
  <c r="B67" i="169"/>
  <c r="D67" i="169"/>
  <c r="E67" i="169" s="1"/>
  <c r="F67" i="169"/>
  <c r="J67" i="169"/>
  <c r="AK67" i="169" s="1"/>
  <c r="K67" i="169"/>
  <c r="AL67" i="169" s="1"/>
  <c r="L67" i="169"/>
  <c r="AM67" i="169" s="1"/>
  <c r="O67" i="169"/>
  <c r="AO67" i="169" s="1"/>
  <c r="P67" i="169"/>
  <c r="Q67" i="169"/>
  <c r="S67" i="169" s="1"/>
  <c r="AP67" i="169" s="1"/>
  <c r="W67" i="169"/>
  <c r="A68" i="169"/>
  <c r="B68" i="169"/>
  <c r="D68" i="169"/>
  <c r="E68" i="169" s="1"/>
  <c r="F68" i="169"/>
  <c r="J68" i="169"/>
  <c r="AK68" i="169" s="1"/>
  <c r="K68" i="169"/>
  <c r="AL68" i="169" s="1"/>
  <c r="L68" i="169"/>
  <c r="AM68" i="169" s="1"/>
  <c r="O68" i="169"/>
  <c r="AO68" i="169" s="1"/>
  <c r="P68" i="169"/>
  <c r="Q68" i="169"/>
  <c r="S68" i="169" s="1"/>
  <c r="AP68" i="169" s="1"/>
  <c r="W68" i="169"/>
  <c r="A69" i="169"/>
  <c r="B69" i="169"/>
  <c r="D69" i="169"/>
  <c r="E69" i="169" s="1"/>
  <c r="F69" i="169"/>
  <c r="J69" i="169"/>
  <c r="AK69" i="169" s="1"/>
  <c r="K69" i="169"/>
  <c r="AL69" i="169" s="1"/>
  <c r="L69" i="169"/>
  <c r="AM69" i="169" s="1"/>
  <c r="O69" i="169"/>
  <c r="AO69" i="169" s="1"/>
  <c r="P69" i="169"/>
  <c r="Q69" i="169"/>
  <c r="S69" i="169" s="1"/>
  <c r="AP69" i="169" s="1"/>
  <c r="W69" i="169"/>
  <c r="A70" i="169"/>
  <c r="B70" i="169"/>
  <c r="D70" i="169"/>
  <c r="E70" i="169" s="1"/>
  <c r="F70" i="169"/>
  <c r="J70" i="169"/>
  <c r="AK70" i="169" s="1"/>
  <c r="K70" i="169"/>
  <c r="AL70" i="169" s="1"/>
  <c r="L70" i="169"/>
  <c r="AM70" i="169" s="1"/>
  <c r="O70" i="169"/>
  <c r="AO70" i="169" s="1"/>
  <c r="P70" i="169"/>
  <c r="Q70" i="169"/>
  <c r="S70" i="169" s="1"/>
  <c r="AP70" i="169" s="1"/>
  <c r="W70" i="169"/>
  <c r="A71" i="169"/>
  <c r="B71" i="169"/>
  <c r="D71" i="169"/>
  <c r="E71" i="169" s="1"/>
  <c r="F71" i="169"/>
  <c r="J71" i="169"/>
  <c r="AK71" i="169" s="1"/>
  <c r="K71" i="169"/>
  <c r="AL71" i="169" s="1"/>
  <c r="L71" i="169"/>
  <c r="AM71" i="169" s="1"/>
  <c r="O71" i="169"/>
  <c r="AO71" i="169" s="1"/>
  <c r="P71" i="169"/>
  <c r="Q71" i="169"/>
  <c r="S71" i="169" s="1"/>
  <c r="AP71" i="169" s="1"/>
  <c r="W71" i="169"/>
  <c r="A72" i="169"/>
  <c r="B72" i="169"/>
  <c r="D72" i="169"/>
  <c r="E72" i="169" s="1"/>
  <c r="F72" i="169"/>
  <c r="J72" i="169"/>
  <c r="AK72" i="169" s="1"/>
  <c r="K72" i="169"/>
  <c r="AL72" i="169" s="1"/>
  <c r="L72" i="169"/>
  <c r="AM72" i="169" s="1"/>
  <c r="O72" i="169"/>
  <c r="AO72" i="169" s="1"/>
  <c r="P72" i="169"/>
  <c r="Q72" i="169"/>
  <c r="S72" i="169" s="1"/>
  <c r="AP72" i="169" s="1"/>
  <c r="W72" i="169"/>
  <c r="A73" i="169"/>
  <c r="B73" i="169"/>
  <c r="D73" i="169"/>
  <c r="E73" i="169" s="1"/>
  <c r="F73" i="169"/>
  <c r="J73" i="169"/>
  <c r="AK73" i="169" s="1"/>
  <c r="K73" i="169"/>
  <c r="AL73" i="169" s="1"/>
  <c r="L73" i="169"/>
  <c r="AM73" i="169" s="1"/>
  <c r="O73" i="169"/>
  <c r="AO73" i="169" s="1"/>
  <c r="P73" i="169"/>
  <c r="Q73" i="169"/>
  <c r="U73" i="169" s="1"/>
  <c r="AQ73" i="169" s="1"/>
  <c r="W73" i="169"/>
  <c r="A74" i="169"/>
  <c r="B74" i="169"/>
  <c r="D74" i="169"/>
  <c r="E74" i="169" s="1"/>
  <c r="F74" i="169"/>
  <c r="J74" i="169"/>
  <c r="AK74" i="169" s="1"/>
  <c r="K74" i="169"/>
  <c r="AL74" i="169" s="1"/>
  <c r="L74" i="169"/>
  <c r="AM74" i="169" s="1"/>
  <c r="O74" i="169"/>
  <c r="AO74" i="169" s="1"/>
  <c r="P74" i="169"/>
  <c r="Q74" i="169"/>
  <c r="U74" i="169" s="1"/>
  <c r="AQ74" i="169" s="1"/>
  <c r="W74" i="169"/>
  <c r="A75" i="169"/>
  <c r="B75" i="169"/>
  <c r="D75" i="169"/>
  <c r="E75" i="169" s="1"/>
  <c r="F75" i="169"/>
  <c r="J75" i="169"/>
  <c r="AK75" i="169" s="1"/>
  <c r="K75" i="169"/>
  <c r="AL75" i="169" s="1"/>
  <c r="L75" i="169"/>
  <c r="AM75" i="169" s="1"/>
  <c r="O75" i="169"/>
  <c r="AO75" i="169" s="1"/>
  <c r="P75" i="169"/>
  <c r="Q75" i="169"/>
  <c r="S75" i="169" s="1"/>
  <c r="AP75" i="169" s="1"/>
  <c r="W75" i="169"/>
  <c r="A76" i="169"/>
  <c r="B76" i="169"/>
  <c r="D76" i="169"/>
  <c r="E76" i="169" s="1"/>
  <c r="F76" i="169"/>
  <c r="J76" i="169"/>
  <c r="AK76" i="169" s="1"/>
  <c r="K76" i="169"/>
  <c r="AL76" i="169" s="1"/>
  <c r="L76" i="169"/>
  <c r="AM76" i="169" s="1"/>
  <c r="O76" i="169"/>
  <c r="AO76" i="169" s="1"/>
  <c r="P76" i="169"/>
  <c r="Q76" i="169"/>
  <c r="S76" i="169" s="1"/>
  <c r="AP76" i="169" s="1"/>
  <c r="W76" i="169"/>
  <c r="A77" i="169"/>
  <c r="B77" i="169"/>
  <c r="D77" i="169"/>
  <c r="E77" i="169" s="1"/>
  <c r="F77" i="169"/>
  <c r="J77" i="169"/>
  <c r="AK77" i="169" s="1"/>
  <c r="K77" i="169"/>
  <c r="AL77" i="169" s="1"/>
  <c r="L77" i="169"/>
  <c r="AM77" i="169" s="1"/>
  <c r="O77" i="169"/>
  <c r="AO77" i="169" s="1"/>
  <c r="P77" i="169"/>
  <c r="Q77" i="169"/>
  <c r="U77" i="169" s="1"/>
  <c r="AQ77" i="169" s="1"/>
  <c r="W77" i="169"/>
  <c r="A78" i="169"/>
  <c r="B78" i="169"/>
  <c r="D78" i="169"/>
  <c r="E78" i="169" s="1"/>
  <c r="F78" i="169"/>
  <c r="J78" i="169"/>
  <c r="AK78" i="169" s="1"/>
  <c r="K78" i="169"/>
  <c r="AL78" i="169" s="1"/>
  <c r="L78" i="169"/>
  <c r="AM78" i="169" s="1"/>
  <c r="O78" i="169"/>
  <c r="AO78" i="169" s="1"/>
  <c r="P78" i="169"/>
  <c r="Q78" i="169"/>
  <c r="S78" i="169" s="1"/>
  <c r="AP78" i="169" s="1"/>
  <c r="W78" i="169"/>
  <c r="A79" i="169"/>
  <c r="B79" i="169"/>
  <c r="D79" i="169"/>
  <c r="E79" i="169" s="1"/>
  <c r="F79" i="169"/>
  <c r="J79" i="169"/>
  <c r="AK79" i="169" s="1"/>
  <c r="K79" i="169"/>
  <c r="AL79" i="169" s="1"/>
  <c r="L79" i="169"/>
  <c r="AM79" i="169" s="1"/>
  <c r="O79" i="169"/>
  <c r="AO79" i="169" s="1"/>
  <c r="P79" i="169"/>
  <c r="Q79" i="169"/>
  <c r="U79" i="169" s="1"/>
  <c r="AQ79" i="169" s="1"/>
  <c r="W79" i="169"/>
  <c r="A80" i="169"/>
  <c r="B80" i="169"/>
  <c r="D80" i="169"/>
  <c r="E80" i="169" s="1"/>
  <c r="F80" i="169"/>
  <c r="J80" i="169"/>
  <c r="AK80" i="169" s="1"/>
  <c r="K80" i="169"/>
  <c r="AL80" i="169" s="1"/>
  <c r="L80" i="169"/>
  <c r="AM80" i="169" s="1"/>
  <c r="O80" i="169"/>
  <c r="AO80" i="169" s="1"/>
  <c r="P80" i="169"/>
  <c r="Q80" i="169"/>
  <c r="S80" i="169" s="1"/>
  <c r="AP80" i="169" s="1"/>
  <c r="W80" i="169"/>
  <c r="A81" i="169"/>
  <c r="B81" i="169"/>
  <c r="D81" i="169"/>
  <c r="E81" i="169" s="1"/>
  <c r="F81" i="169"/>
  <c r="J81" i="169"/>
  <c r="AK81" i="169" s="1"/>
  <c r="K81" i="169"/>
  <c r="AL81" i="169" s="1"/>
  <c r="L81" i="169"/>
  <c r="AM81" i="169" s="1"/>
  <c r="O81" i="169"/>
  <c r="AO81" i="169" s="1"/>
  <c r="P81" i="169"/>
  <c r="Q81" i="169"/>
  <c r="S81" i="169" s="1"/>
  <c r="AP81" i="169" s="1"/>
  <c r="W81" i="169"/>
  <c r="A82" i="169"/>
  <c r="B82" i="169"/>
  <c r="D82" i="169"/>
  <c r="E82" i="169" s="1"/>
  <c r="F82" i="169"/>
  <c r="J82" i="169"/>
  <c r="AK82" i="169" s="1"/>
  <c r="K82" i="169"/>
  <c r="AL82" i="169" s="1"/>
  <c r="L82" i="169"/>
  <c r="AM82" i="169" s="1"/>
  <c r="O82" i="169"/>
  <c r="AO82" i="169" s="1"/>
  <c r="P82" i="169"/>
  <c r="Q82" i="169"/>
  <c r="U82" i="169" s="1"/>
  <c r="AQ82" i="169" s="1"/>
  <c r="W82" i="169"/>
  <c r="A83" i="169"/>
  <c r="B83" i="169"/>
  <c r="D83" i="169"/>
  <c r="E83" i="169" s="1"/>
  <c r="F83" i="169"/>
  <c r="J83" i="169"/>
  <c r="AK83" i="169" s="1"/>
  <c r="K83" i="169"/>
  <c r="AL83" i="169" s="1"/>
  <c r="L83" i="169"/>
  <c r="AM83" i="169" s="1"/>
  <c r="O83" i="169"/>
  <c r="AO83" i="169" s="1"/>
  <c r="P83" i="169"/>
  <c r="Q83" i="169"/>
  <c r="S83" i="169" s="1"/>
  <c r="AP83" i="169" s="1"/>
  <c r="W83" i="169"/>
  <c r="A84" i="169"/>
  <c r="B84" i="169"/>
  <c r="D84" i="169"/>
  <c r="E84" i="169" s="1"/>
  <c r="F84" i="169"/>
  <c r="J84" i="169"/>
  <c r="AK84" i="169" s="1"/>
  <c r="K84" i="169"/>
  <c r="AL84" i="169" s="1"/>
  <c r="L84" i="169"/>
  <c r="AM84" i="169" s="1"/>
  <c r="O84" i="169"/>
  <c r="AO84" i="169" s="1"/>
  <c r="P84" i="169"/>
  <c r="Q84" i="169"/>
  <c r="S84" i="169" s="1"/>
  <c r="AP84" i="169" s="1"/>
  <c r="W84" i="169"/>
  <c r="A85" i="169"/>
  <c r="B85" i="169"/>
  <c r="D85" i="169"/>
  <c r="E85" i="169" s="1"/>
  <c r="F85" i="169"/>
  <c r="J85" i="169"/>
  <c r="AK85" i="169" s="1"/>
  <c r="K85" i="169"/>
  <c r="AL85" i="169" s="1"/>
  <c r="L85" i="169"/>
  <c r="AM85" i="169" s="1"/>
  <c r="O85" i="169"/>
  <c r="AO85" i="169" s="1"/>
  <c r="P85" i="169"/>
  <c r="Q85" i="169"/>
  <c r="S85" i="169" s="1"/>
  <c r="AP85" i="169" s="1"/>
  <c r="W85" i="169"/>
  <c r="A86" i="169"/>
  <c r="B86" i="169"/>
  <c r="D86" i="169"/>
  <c r="E86" i="169" s="1"/>
  <c r="F86" i="169"/>
  <c r="J86" i="169"/>
  <c r="AK86" i="169" s="1"/>
  <c r="K86" i="169"/>
  <c r="AL86" i="169" s="1"/>
  <c r="L86" i="169"/>
  <c r="AM86" i="169" s="1"/>
  <c r="O86" i="169"/>
  <c r="AO86" i="169" s="1"/>
  <c r="P86" i="169"/>
  <c r="Q86" i="169"/>
  <c r="S86" i="169" s="1"/>
  <c r="AP86" i="169" s="1"/>
  <c r="W86" i="169"/>
  <c r="A87" i="169"/>
  <c r="B87" i="169"/>
  <c r="D87" i="169"/>
  <c r="E87" i="169" s="1"/>
  <c r="F87" i="169"/>
  <c r="J87" i="169"/>
  <c r="AK87" i="169" s="1"/>
  <c r="K87" i="169"/>
  <c r="AL87" i="169" s="1"/>
  <c r="L87" i="169"/>
  <c r="AM87" i="169" s="1"/>
  <c r="O87" i="169"/>
  <c r="AO87" i="169" s="1"/>
  <c r="P87" i="169"/>
  <c r="Q87" i="169"/>
  <c r="U87" i="169" s="1"/>
  <c r="AQ87" i="169" s="1"/>
  <c r="W87" i="169"/>
  <c r="A88" i="169"/>
  <c r="B88" i="169"/>
  <c r="D88" i="169"/>
  <c r="E88" i="169" s="1"/>
  <c r="F88" i="169"/>
  <c r="J88" i="169"/>
  <c r="AK88" i="169" s="1"/>
  <c r="K88" i="169"/>
  <c r="AL88" i="169" s="1"/>
  <c r="L88" i="169"/>
  <c r="AM88" i="169" s="1"/>
  <c r="O88" i="169"/>
  <c r="AO88" i="169" s="1"/>
  <c r="P88" i="169"/>
  <c r="Q88" i="169"/>
  <c r="S88" i="169" s="1"/>
  <c r="AP88" i="169" s="1"/>
  <c r="W88" i="169"/>
  <c r="A89" i="169"/>
  <c r="B89" i="169"/>
  <c r="D89" i="169"/>
  <c r="E89" i="169" s="1"/>
  <c r="F89" i="169"/>
  <c r="J89" i="169"/>
  <c r="AK89" i="169" s="1"/>
  <c r="K89" i="169"/>
  <c r="AL89" i="169" s="1"/>
  <c r="L89" i="169"/>
  <c r="AM89" i="169" s="1"/>
  <c r="O89" i="169"/>
  <c r="AO89" i="169" s="1"/>
  <c r="P89" i="169"/>
  <c r="Q89" i="169"/>
  <c r="S89" i="169" s="1"/>
  <c r="AP89" i="169" s="1"/>
  <c r="W89" i="169"/>
  <c r="A90" i="169"/>
  <c r="B90" i="169"/>
  <c r="D90" i="169"/>
  <c r="E90" i="169" s="1"/>
  <c r="F90" i="169"/>
  <c r="J90" i="169"/>
  <c r="AK90" i="169" s="1"/>
  <c r="K90" i="169"/>
  <c r="AL90" i="169" s="1"/>
  <c r="L90" i="169"/>
  <c r="AM90" i="169" s="1"/>
  <c r="O90" i="169"/>
  <c r="AO90" i="169" s="1"/>
  <c r="P90" i="169"/>
  <c r="Q90" i="169"/>
  <c r="S90" i="169" s="1"/>
  <c r="AP90" i="169" s="1"/>
  <c r="W90" i="169"/>
  <c r="A91" i="169"/>
  <c r="B91" i="169"/>
  <c r="D91" i="169"/>
  <c r="E91" i="169" s="1"/>
  <c r="F91" i="169"/>
  <c r="J91" i="169"/>
  <c r="AK91" i="169" s="1"/>
  <c r="K91" i="169"/>
  <c r="AL91" i="169" s="1"/>
  <c r="L91" i="169"/>
  <c r="AM91" i="169" s="1"/>
  <c r="O91" i="169"/>
  <c r="AO91" i="169" s="1"/>
  <c r="P91" i="169"/>
  <c r="Q91" i="169"/>
  <c r="U91" i="169" s="1"/>
  <c r="AQ91" i="169" s="1"/>
  <c r="W91" i="169"/>
  <c r="A92" i="169"/>
  <c r="B92" i="169"/>
  <c r="D92" i="169"/>
  <c r="E92" i="169" s="1"/>
  <c r="F92" i="169"/>
  <c r="J92" i="169"/>
  <c r="AK92" i="169" s="1"/>
  <c r="K92" i="169"/>
  <c r="AL92" i="169" s="1"/>
  <c r="L92" i="169"/>
  <c r="AM92" i="169" s="1"/>
  <c r="O92" i="169"/>
  <c r="AO92" i="169" s="1"/>
  <c r="P92" i="169"/>
  <c r="Q92" i="169"/>
  <c r="U92" i="169" s="1"/>
  <c r="AQ92" i="169" s="1"/>
  <c r="W92" i="169"/>
  <c r="A93" i="169"/>
  <c r="B93" i="169"/>
  <c r="D93" i="169"/>
  <c r="E93" i="169" s="1"/>
  <c r="F93" i="169"/>
  <c r="K93" i="169"/>
  <c r="AL93" i="169" s="1"/>
  <c r="L93" i="169"/>
  <c r="AM93" i="169" s="1"/>
  <c r="O93" i="169"/>
  <c r="AO93" i="169" s="1"/>
  <c r="P93" i="169"/>
  <c r="Q93" i="169"/>
  <c r="U93" i="169" s="1"/>
  <c r="AQ93" i="169" s="1"/>
  <c r="W93" i="169"/>
  <c r="A94" i="169"/>
  <c r="B94" i="169"/>
  <c r="D94" i="169"/>
  <c r="E94" i="169" s="1"/>
  <c r="F94" i="169"/>
  <c r="J94" i="169"/>
  <c r="AK94" i="169" s="1"/>
  <c r="K94" i="169"/>
  <c r="AL94" i="169" s="1"/>
  <c r="L94" i="169"/>
  <c r="AM94" i="169" s="1"/>
  <c r="O94" i="169"/>
  <c r="AO94" i="169" s="1"/>
  <c r="P94" i="169"/>
  <c r="Q94" i="169"/>
  <c r="S94" i="169" s="1"/>
  <c r="AP94" i="169" s="1"/>
  <c r="W94" i="169"/>
  <c r="A95" i="169"/>
  <c r="B95" i="169"/>
  <c r="D95" i="169"/>
  <c r="E95" i="169" s="1"/>
  <c r="F95" i="169"/>
  <c r="J95" i="169"/>
  <c r="AK95" i="169" s="1"/>
  <c r="K95" i="169"/>
  <c r="AL95" i="169" s="1"/>
  <c r="L95" i="169"/>
  <c r="AM95" i="169" s="1"/>
  <c r="O95" i="169"/>
  <c r="AO95" i="169" s="1"/>
  <c r="P95" i="169"/>
  <c r="Q95" i="169"/>
  <c r="S95" i="169" s="1"/>
  <c r="AP95" i="169" s="1"/>
  <c r="W95" i="169"/>
  <c r="A96" i="169"/>
  <c r="B96" i="169"/>
  <c r="D96" i="169"/>
  <c r="E96" i="169" s="1"/>
  <c r="F96" i="169"/>
  <c r="J96" i="169"/>
  <c r="AK96" i="169" s="1"/>
  <c r="K96" i="169"/>
  <c r="AL96" i="169" s="1"/>
  <c r="L96" i="169"/>
  <c r="AM96" i="169" s="1"/>
  <c r="O96" i="169"/>
  <c r="AO96" i="169" s="1"/>
  <c r="P96" i="169"/>
  <c r="Q96" i="169"/>
  <c r="S96" i="169" s="1"/>
  <c r="AP96" i="169" s="1"/>
  <c r="W96" i="169"/>
  <c r="A108" i="169"/>
  <c r="B108" i="169"/>
  <c r="D108" i="169"/>
  <c r="E108" i="169" s="1"/>
  <c r="F108" i="169"/>
  <c r="J108" i="169"/>
  <c r="AK108" i="169" s="1"/>
  <c r="K108" i="169"/>
  <c r="AL108" i="169" s="1"/>
  <c r="L108" i="169"/>
  <c r="AM108" i="169" s="1"/>
  <c r="O108" i="169"/>
  <c r="AO108" i="169" s="1"/>
  <c r="P108" i="169"/>
  <c r="Q108" i="169"/>
  <c r="U108" i="169" s="1"/>
  <c r="AQ108" i="169" s="1"/>
  <c r="W108" i="169"/>
  <c r="A55" i="169"/>
  <c r="B55" i="169"/>
  <c r="D55" i="169"/>
  <c r="E55" i="169" s="1"/>
  <c r="F55" i="169"/>
  <c r="J55" i="169"/>
  <c r="AK55" i="169" s="1"/>
  <c r="K55" i="169"/>
  <c r="AL55" i="169" s="1"/>
  <c r="L55" i="169"/>
  <c r="AM55" i="169" s="1"/>
  <c r="O55" i="169"/>
  <c r="AO55" i="169" s="1"/>
  <c r="P55" i="169"/>
  <c r="Q55" i="169"/>
  <c r="U55" i="169" s="1"/>
  <c r="AQ55" i="169" s="1"/>
  <c r="W55" i="169"/>
  <c r="A56" i="169"/>
  <c r="B56" i="169"/>
  <c r="D56" i="169"/>
  <c r="E56" i="169" s="1"/>
  <c r="F56" i="169"/>
  <c r="J56" i="169"/>
  <c r="AK56" i="169" s="1"/>
  <c r="K56" i="169"/>
  <c r="AL56" i="169" s="1"/>
  <c r="L56" i="169"/>
  <c r="AM56" i="169" s="1"/>
  <c r="O56" i="169"/>
  <c r="AO56" i="169" s="1"/>
  <c r="P56" i="169"/>
  <c r="Q56" i="169"/>
  <c r="U56" i="169" s="1"/>
  <c r="AQ56" i="169" s="1"/>
  <c r="W56" i="169"/>
  <c r="A57" i="169"/>
  <c r="B57" i="169"/>
  <c r="D57" i="169"/>
  <c r="E57" i="169" s="1"/>
  <c r="F57" i="169"/>
  <c r="J57" i="169"/>
  <c r="AK57" i="169" s="1"/>
  <c r="K57" i="169"/>
  <c r="AL57" i="169" s="1"/>
  <c r="L57" i="169"/>
  <c r="AM57" i="169" s="1"/>
  <c r="O57" i="169"/>
  <c r="AO57" i="169" s="1"/>
  <c r="P57" i="169"/>
  <c r="Q57" i="169"/>
  <c r="S57" i="169" s="1"/>
  <c r="AP57" i="169" s="1"/>
  <c r="W57" i="169"/>
  <c r="A58" i="169"/>
  <c r="B58" i="169"/>
  <c r="D58" i="169"/>
  <c r="E58" i="169" s="1"/>
  <c r="F58" i="169"/>
  <c r="J58" i="169"/>
  <c r="AK58" i="169" s="1"/>
  <c r="K58" i="169"/>
  <c r="AL58" i="169" s="1"/>
  <c r="L58" i="169"/>
  <c r="AM58" i="169" s="1"/>
  <c r="O58" i="169"/>
  <c r="AO58" i="169" s="1"/>
  <c r="P58" i="169"/>
  <c r="Q58" i="169"/>
  <c r="U58" i="169" s="1"/>
  <c r="AQ58" i="169" s="1"/>
  <c r="W58" i="169"/>
  <c r="A51" i="169"/>
  <c r="B51" i="169"/>
  <c r="D51" i="169"/>
  <c r="E51" i="169" s="1"/>
  <c r="F51" i="169"/>
  <c r="J51" i="169"/>
  <c r="AK51" i="169" s="1"/>
  <c r="K51" i="169"/>
  <c r="AL51" i="169" s="1"/>
  <c r="L51" i="169"/>
  <c r="AM51" i="169" s="1"/>
  <c r="O51" i="169"/>
  <c r="AO51" i="169" s="1"/>
  <c r="P51" i="169"/>
  <c r="Q51" i="169"/>
  <c r="U51" i="169" s="1"/>
  <c r="AQ51" i="169" s="1"/>
  <c r="W51" i="169"/>
  <c r="A52" i="169"/>
  <c r="B52" i="169"/>
  <c r="D52" i="169"/>
  <c r="E52" i="169" s="1"/>
  <c r="F52" i="169"/>
  <c r="J52" i="169"/>
  <c r="AK52" i="169" s="1"/>
  <c r="K52" i="169"/>
  <c r="AL52" i="169" s="1"/>
  <c r="L52" i="169"/>
  <c r="AM52" i="169" s="1"/>
  <c r="O52" i="169"/>
  <c r="AO52" i="169" s="1"/>
  <c r="P52" i="169"/>
  <c r="Q52" i="169"/>
  <c r="U52" i="169" s="1"/>
  <c r="AQ52" i="169" s="1"/>
  <c r="W52" i="169"/>
  <c r="A53" i="169"/>
  <c r="B53" i="169"/>
  <c r="D53" i="169"/>
  <c r="E53" i="169" s="1"/>
  <c r="F53" i="169"/>
  <c r="J53" i="169"/>
  <c r="AK53" i="169" s="1"/>
  <c r="K53" i="169"/>
  <c r="AL53" i="169" s="1"/>
  <c r="L53" i="169"/>
  <c r="AM53" i="169" s="1"/>
  <c r="O53" i="169"/>
  <c r="AO53" i="169" s="1"/>
  <c r="P53" i="169"/>
  <c r="Q53" i="169"/>
  <c r="U53" i="169" s="1"/>
  <c r="AQ53" i="169" s="1"/>
  <c r="W53" i="169"/>
  <c r="A54" i="169"/>
  <c r="B54" i="169"/>
  <c r="D54" i="169"/>
  <c r="E54" i="169" s="1"/>
  <c r="F54" i="169"/>
  <c r="J54" i="169"/>
  <c r="AK54" i="169" s="1"/>
  <c r="K54" i="169"/>
  <c r="AL54" i="169" s="1"/>
  <c r="L54" i="169"/>
  <c r="AM54" i="169" s="1"/>
  <c r="O54" i="169"/>
  <c r="AO54" i="169" s="1"/>
  <c r="P54" i="169"/>
  <c r="Q54" i="169"/>
  <c r="U54" i="169" s="1"/>
  <c r="AQ54" i="169" s="1"/>
  <c r="W54" i="169"/>
  <c r="A59" i="169"/>
  <c r="B59" i="169"/>
  <c r="D59" i="169"/>
  <c r="E59" i="169" s="1"/>
  <c r="F59" i="169"/>
  <c r="J59" i="169"/>
  <c r="AK59" i="169" s="1"/>
  <c r="K59" i="169"/>
  <c r="AL59" i="169" s="1"/>
  <c r="L59" i="169"/>
  <c r="AM59" i="169" s="1"/>
  <c r="O59" i="169"/>
  <c r="AO59" i="169" s="1"/>
  <c r="P59" i="169"/>
  <c r="Q59" i="169"/>
  <c r="U59" i="169" s="1"/>
  <c r="AQ59" i="169" s="1"/>
  <c r="W59" i="169"/>
  <c r="A60" i="169"/>
  <c r="B60" i="169"/>
  <c r="D60" i="169"/>
  <c r="E60" i="169" s="1"/>
  <c r="F60" i="169"/>
  <c r="J60" i="169"/>
  <c r="AK60" i="169" s="1"/>
  <c r="K60" i="169"/>
  <c r="AL60" i="169" s="1"/>
  <c r="L60" i="169"/>
  <c r="AM60" i="169" s="1"/>
  <c r="O60" i="169"/>
  <c r="AO60" i="169" s="1"/>
  <c r="P60" i="169"/>
  <c r="Q60" i="169"/>
  <c r="S60" i="169" s="1"/>
  <c r="AP60" i="169" s="1"/>
  <c r="W60" i="169"/>
  <c r="A61" i="169"/>
  <c r="B61" i="169"/>
  <c r="D61" i="169"/>
  <c r="E61" i="169" s="1"/>
  <c r="F61" i="169"/>
  <c r="J61" i="169"/>
  <c r="AK61" i="169" s="1"/>
  <c r="K61" i="169"/>
  <c r="AL61" i="169" s="1"/>
  <c r="L61" i="169"/>
  <c r="AM61" i="169" s="1"/>
  <c r="O61" i="169"/>
  <c r="AO61" i="169" s="1"/>
  <c r="P61" i="169"/>
  <c r="Q61" i="169"/>
  <c r="S61" i="169" s="1"/>
  <c r="AP61" i="169" s="1"/>
  <c r="W61" i="169"/>
  <c r="A62" i="169"/>
  <c r="B62" i="169"/>
  <c r="D62" i="169"/>
  <c r="E62" i="169" s="1"/>
  <c r="F62" i="169"/>
  <c r="J62" i="169"/>
  <c r="AK62" i="169" s="1"/>
  <c r="K62" i="169"/>
  <c r="AL62" i="169" s="1"/>
  <c r="L62" i="169"/>
  <c r="AM62" i="169" s="1"/>
  <c r="O62" i="169"/>
  <c r="AO62" i="169" s="1"/>
  <c r="P62" i="169"/>
  <c r="Q62" i="169"/>
  <c r="U62" i="169" s="1"/>
  <c r="AQ62" i="169" s="1"/>
  <c r="W62" i="169"/>
  <c r="A48" i="169"/>
  <c r="B48" i="169"/>
  <c r="D48" i="169"/>
  <c r="E48" i="169" s="1"/>
  <c r="F48" i="169"/>
  <c r="J48" i="169"/>
  <c r="AK48" i="169" s="1"/>
  <c r="K48" i="169"/>
  <c r="AL48" i="169" s="1"/>
  <c r="L48" i="169"/>
  <c r="AM48" i="169" s="1"/>
  <c r="O48" i="169"/>
  <c r="AO48" i="169" s="1"/>
  <c r="P48" i="169"/>
  <c r="Q48" i="169"/>
  <c r="U48" i="169" s="1"/>
  <c r="AQ48" i="169" s="1"/>
  <c r="W48" i="169"/>
  <c r="A49" i="169"/>
  <c r="B49" i="169"/>
  <c r="D49" i="169"/>
  <c r="E49" i="169" s="1"/>
  <c r="F49" i="169"/>
  <c r="J49" i="169"/>
  <c r="AK49" i="169" s="1"/>
  <c r="K49" i="169"/>
  <c r="AL49" i="169" s="1"/>
  <c r="L49" i="169"/>
  <c r="AM49" i="169" s="1"/>
  <c r="O49" i="169"/>
  <c r="AO49" i="169" s="1"/>
  <c r="P49" i="169"/>
  <c r="Q49" i="169"/>
  <c r="S49" i="169" s="1"/>
  <c r="AP49" i="169" s="1"/>
  <c r="W49" i="169"/>
  <c r="A50" i="169"/>
  <c r="B50" i="169"/>
  <c r="D50" i="169"/>
  <c r="E50" i="169" s="1"/>
  <c r="F50" i="169"/>
  <c r="J50" i="169"/>
  <c r="AK50" i="169" s="1"/>
  <c r="K50" i="169"/>
  <c r="AL50" i="169" s="1"/>
  <c r="L50" i="169"/>
  <c r="AM50" i="169" s="1"/>
  <c r="O50" i="169"/>
  <c r="AO50" i="169" s="1"/>
  <c r="P50" i="169"/>
  <c r="Q50" i="169"/>
  <c r="S50" i="169" s="1"/>
  <c r="AP50" i="169" s="1"/>
  <c r="W50" i="169"/>
  <c r="A63" i="169"/>
  <c r="B63" i="169"/>
  <c r="D63" i="169"/>
  <c r="E63" i="169" s="1"/>
  <c r="F63" i="169"/>
  <c r="J63" i="169"/>
  <c r="AK63" i="169" s="1"/>
  <c r="K63" i="169"/>
  <c r="AL63" i="169" s="1"/>
  <c r="L63" i="169"/>
  <c r="AM63" i="169" s="1"/>
  <c r="O63" i="169"/>
  <c r="AO63" i="169" s="1"/>
  <c r="P63" i="169"/>
  <c r="Q63" i="169"/>
  <c r="S63" i="169" s="1"/>
  <c r="AP63" i="169" s="1"/>
  <c r="W63" i="169"/>
  <c r="A64" i="169"/>
  <c r="B64" i="169"/>
  <c r="D64" i="169"/>
  <c r="E64" i="169" s="1"/>
  <c r="F64" i="169"/>
  <c r="J64" i="169"/>
  <c r="AK64" i="169" s="1"/>
  <c r="K64" i="169"/>
  <c r="AL64" i="169" s="1"/>
  <c r="L64" i="169"/>
  <c r="AM64" i="169" s="1"/>
  <c r="O64" i="169"/>
  <c r="AO64" i="169" s="1"/>
  <c r="P64" i="169"/>
  <c r="Q64" i="169"/>
  <c r="U64" i="169" s="1"/>
  <c r="AQ64" i="169" s="1"/>
  <c r="W64" i="169"/>
  <c r="A1315" i="169"/>
  <c r="B1315" i="169"/>
  <c r="D1315" i="169"/>
  <c r="E1315" i="169" s="1"/>
  <c r="F1315" i="169"/>
  <c r="J1315" i="169"/>
  <c r="K1315" i="169"/>
  <c r="L1315" i="169"/>
  <c r="O1315" i="169"/>
  <c r="P1315" i="169"/>
  <c r="Q1315" i="169"/>
  <c r="S1315" i="169" s="1"/>
  <c r="W1315" i="169"/>
  <c r="R1316" i="169"/>
  <c r="T1316" i="169"/>
  <c r="Y1316" i="169"/>
  <c r="Z1316" i="169"/>
  <c r="AA1316" i="169"/>
  <c r="AC1316" i="169"/>
  <c r="AE1316" i="169"/>
  <c r="V252" i="169" l="1"/>
  <c r="AR252" i="169" s="1"/>
  <c r="X252" i="169"/>
  <c r="AF252" i="169" s="1"/>
  <c r="S252" i="169"/>
  <c r="AP252" i="169" s="1"/>
  <c r="V253" i="169"/>
  <c r="AR253" i="169" s="1"/>
  <c r="X253" i="169"/>
  <c r="AF253" i="169" s="1"/>
  <c r="S253" i="169"/>
  <c r="AP253" i="169" s="1"/>
  <c r="V254" i="169"/>
  <c r="AR254" i="169" s="1"/>
  <c r="X254" i="169"/>
  <c r="AF254" i="169" s="1"/>
  <c r="S254" i="169"/>
  <c r="AP254" i="169" s="1"/>
  <c r="V255" i="169"/>
  <c r="AR255" i="169" s="1"/>
  <c r="X255" i="169"/>
  <c r="AF255" i="169" s="1"/>
  <c r="S255" i="169"/>
  <c r="AP255" i="169" s="1"/>
  <c r="V256" i="169"/>
  <c r="AR256" i="169" s="1"/>
  <c r="X256" i="169"/>
  <c r="AF256" i="169" s="1"/>
  <c r="S256" i="169"/>
  <c r="AP256" i="169" s="1"/>
  <c r="V257" i="169"/>
  <c r="AR257" i="169" s="1"/>
  <c r="X257" i="169"/>
  <c r="AF257" i="169" s="1"/>
  <c r="S257" i="169"/>
  <c r="AP257" i="169" s="1"/>
  <c r="V258" i="169"/>
  <c r="AR258" i="169" s="1"/>
  <c r="X258" i="169"/>
  <c r="AF258" i="169" s="1"/>
  <c r="S258" i="169"/>
  <c r="AP258" i="169" s="1"/>
  <c r="V259" i="169"/>
  <c r="AR259" i="169" s="1"/>
  <c r="X259" i="169"/>
  <c r="AF259" i="169" s="1"/>
  <c r="S259" i="169"/>
  <c r="AP259" i="169" s="1"/>
  <c r="V260" i="169"/>
  <c r="AR260" i="169" s="1"/>
  <c r="X260" i="169"/>
  <c r="AF260" i="169" s="1"/>
  <c r="S260" i="169"/>
  <c r="AP260" i="169" s="1"/>
  <c r="V262" i="169"/>
  <c r="AR262" i="169" s="1"/>
  <c r="X262" i="169"/>
  <c r="AF262" i="169" s="1"/>
  <c r="S262" i="169"/>
  <c r="AP262" i="169" s="1"/>
  <c r="V263" i="169"/>
  <c r="AR263" i="169" s="1"/>
  <c r="X263" i="169"/>
  <c r="AF263" i="169" s="1"/>
  <c r="S263" i="169"/>
  <c r="AP263" i="169" s="1"/>
  <c r="V302" i="169"/>
  <c r="AR302" i="169" s="1"/>
  <c r="X302" i="169"/>
  <c r="AF302" i="169" s="1"/>
  <c r="S302" i="169"/>
  <c r="AP302" i="169" s="1"/>
  <c r="V303" i="169"/>
  <c r="AR303" i="169" s="1"/>
  <c r="X303" i="169"/>
  <c r="AF303" i="169" s="1"/>
  <c r="S303" i="169"/>
  <c r="AP303" i="169" s="1"/>
  <c r="V219" i="169"/>
  <c r="AR219" i="169" s="1"/>
  <c r="X219" i="169"/>
  <c r="AF219" i="169" s="1"/>
  <c r="S219" i="169"/>
  <c r="AP219" i="169" s="1"/>
  <c r="V220" i="169"/>
  <c r="AR220" i="169" s="1"/>
  <c r="X220" i="169"/>
  <c r="AF220" i="169" s="1"/>
  <c r="S220" i="169"/>
  <c r="AP220" i="169" s="1"/>
  <c r="V221" i="169"/>
  <c r="AR221" i="169" s="1"/>
  <c r="X221" i="169"/>
  <c r="AF221" i="169" s="1"/>
  <c r="S221" i="169"/>
  <c r="AP221" i="169" s="1"/>
  <c r="V222" i="169"/>
  <c r="AR222" i="169" s="1"/>
  <c r="X222" i="169"/>
  <c r="AF222" i="169" s="1"/>
  <c r="S222" i="169"/>
  <c r="AP222" i="169" s="1"/>
  <c r="S223" i="169"/>
  <c r="AP223" i="169" s="1"/>
  <c r="V223" i="169"/>
  <c r="AR223" i="169" s="1"/>
  <c r="X223" i="169"/>
  <c r="AF223" i="169" s="1"/>
  <c r="V224" i="169"/>
  <c r="AR224" i="169" s="1"/>
  <c r="X224" i="169"/>
  <c r="AF224" i="169" s="1"/>
  <c r="S224" i="169"/>
  <c r="AP224" i="169" s="1"/>
  <c r="V228" i="169"/>
  <c r="AR228" i="169" s="1"/>
  <c r="X228" i="169"/>
  <c r="AF228" i="169" s="1"/>
  <c r="S228" i="169"/>
  <c r="AP228" i="169" s="1"/>
  <c r="V229" i="169"/>
  <c r="AR229" i="169" s="1"/>
  <c r="X229" i="169"/>
  <c r="AF229" i="169" s="1"/>
  <c r="S229" i="169"/>
  <c r="AP229" i="169" s="1"/>
  <c r="V230" i="169"/>
  <c r="AR230" i="169" s="1"/>
  <c r="X230" i="169"/>
  <c r="AF230" i="169" s="1"/>
  <c r="S230" i="169"/>
  <c r="AP230" i="169" s="1"/>
  <c r="V231" i="169"/>
  <c r="AR231" i="169" s="1"/>
  <c r="X231" i="169"/>
  <c r="AF231" i="169" s="1"/>
  <c r="S231" i="169"/>
  <c r="AP231" i="169" s="1"/>
  <c r="V232" i="169"/>
  <c r="AR232" i="169" s="1"/>
  <c r="X232" i="169"/>
  <c r="AF232" i="169" s="1"/>
  <c r="S232" i="169"/>
  <c r="AP232" i="169" s="1"/>
  <c r="V233" i="169"/>
  <c r="AR233" i="169" s="1"/>
  <c r="X233" i="169"/>
  <c r="AF233" i="169" s="1"/>
  <c r="S233" i="169"/>
  <c r="AP233" i="169" s="1"/>
  <c r="V234" i="169"/>
  <c r="AR234" i="169" s="1"/>
  <c r="X234" i="169"/>
  <c r="AF234" i="169" s="1"/>
  <c r="S234" i="169"/>
  <c r="AP234" i="169" s="1"/>
  <c r="V235" i="169"/>
  <c r="AR235" i="169" s="1"/>
  <c r="X235" i="169"/>
  <c r="AF235" i="169" s="1"/>
  <c r="S235" i="169"/>
  <c r="AP235" i="169" s="1"/>
  <c r="S236" i="169"/>
  <c r="AP236" i="169" s="1"/>
  <c r="V236" i="169"/>
  <c r="AR236" i="169" s="1"/>
  <c r="X236" i="169"/>
  <c r="AF236" i="169" s="1"/>
  <c r="S237" i="169"/>
  <c r="AP237" i="169" s="1"/>
  <c r="V237" i="169"/>
  <c r="AR237" i="169" s="1"/>
  <c r="X237" i="169"/>
  <c r="AF237" i="169" s="1"/>
  <c r="V238" i="169"/>
  <c r="AR238" i="169" s="1"/>
  <c r="X238" i="169"/>
  <c r="AF238" i="169" s="1"/>
  <c r="S238" i="169"/>
  <c r="AP238" i="169" s="1"/>
  <c r="V239" i="169"/>
  <c r="AR239" i="169" s="1"/>
  <c r="X239" i="169"/>
  <c r="AF239" i="169" s="1"/>
  <c r="S239" i="169"/>
  <c r="AP239" i="169" s="1"/>
  <c r="V240" i="169"/>
  <c r="AR240" i="169" s="1"/>
  <c r="X240" i="169"/>
  <c r="AF240" i="169" s="1"/>
  <c r="S240" i="169"/>
  <c r="AP240" i="169" s="1"/>
  <c r="V241" i="169"/>
  <c r="AR241" i="169" s="1"/>
  <c r="X241" i="169"/>
  <c r="AF241" i="169" s="1"/>
  <c r="S241" i="169"/>
  <c r="AP241" i="169" s="1"/>
  <c r="V242" i="169"/>
  <c r="AR242" i="169" s="1"/>
  <c r="X242" i="169"/>
  <c r="AF242" i="169" s="1"/>
  <c r="S242" i="169"/>
  <c r="AP242" i="169" s="1"/>
  <c r="V243" i="169"/>
  <c r="AR243" i="169" s="1"/>
  <c r="X243" i="169"/>
  <c r="AF243" i="169" s="1"/>
  <c r="S243" i="169"/>
  <c r="AP243" i="169" s="1"/>
  <c r="V244" i="169"/>
  <c r="AR244" i="169" s="1"/>
  <c r="X244" i="169"/>
  <c r="AF244" i="169" s="1"/>
  <c r="S244" i="169"/>
  <c r="AP244" i="169" s="1"/>
  <c r="V245" i="169"/>
  <c r="AR245" i="169" s="1"/>
  <c r="X245" i="169"/>
  <c r="AF245" i="169" s="1"/>
  <c r="S245" i="169"/>
  <c r="AP245" i="169" s="1"/>
  <c r="V246" i="169"/>
  <c r="AR246" i="169" s="1"/>
  <c r="X246" i="169"/>
  <c r="AF246" i="169" s="1"/>
  <c r="S246" i="169"/>
  <c r="AP246" i="169" s="1"/>
  <c r="V247" i="169"/>
  <c r="AR247" i="169" s="1"/>
  <c r="X247" i="169"/>
  <c r="AF247" i="169" s="1"/>
  <c r="S247" i="169"/>
  <c r="AP247" i="169" s="1"/>
  <c r="S248" i="169"/>
  <c r="AP248" i="169" s="1"/>
  <c r="V248" i="169"/>
  <c r="AR248" i="169" s="1"/>
  <c r="X248" i="169"/>
  <c r="AF248" i="169" s="1"/>
  <c r="V249" i="169"/>
  <c r="AR249" i="169" s="1"/>
  <c r="X249" i="169"/>
  <c r="AF249" i="169" s="1"/>
  <c r="S249" i="169"/>
  <c r="AP249" i="169" s="1"/>
  <c r="V250" i="169"/>
  <c r="AR250" i="169" s="1"/>
  <c r="X250" i="169"/>
  <c r="AF250" i="169" s="1"/>
  <c r="S250" i="169"/>
  <c r="AP250" i="169" s="1"/>
  <c r="V251" i="169"/>
  <c r="AR251" i="169" s="1"/>
  <c r="X251" i="169"/>
  <c r="AF251" i="169" s="1"/>
  <c r="S251" i="169"/>
  <c r="AP251" i="169" s="1"/>
  <c r="S305" i="169"/>
  <c r="AP305" i="169" s="1"/>
  <c r="V304" i="169"/>
  <c r="AR304" i="169" s="1"/>
  <c r="X304" i="169"/>
  <c r="AF304" i="169" s="1"/>
  <c r="S304" i="169"/>
  <c r="AP304" i="169" s="1"/>
  <c r="V305" i="169"/>
  <c r="AR305" i="169" s="1"/>
  <c r="X305" i="169"/>
  <c r="AF305" i="169" s="1"/>
  <c r="S307" i="169"/>
  <c r="AP307" i="169" s="1"/>
  <c r="V306" i="169"/>
  <c r="AR306" i="169" s="1"/>
  <c r="X306" i="169"/>
  <c r="AF306" i="169" s="1"/>
  <c r="S306" i="169"/>
  <c r="AP306" i="169" s="1"/>
  <c r="V307" i="169"/>
  <c r="AR307" i="169" s="1"/>
  <c r="X307" i="169"/>
  <c r="AF307" i="169" s="1"/>
  <c r="V346" i="169"/>
  <c r="AR346" i="169" s="1"/>
  <c r="X346" i="169"/>
  <c r="AF346" i="169" s="1"/>
  <c r="S346" i="169"/>
  <c r="AP346" i="169" s="1"/>
  <c r="S347" i="169"/>
  <c r="AP347" i="169" s="1"/>
  <c r="V347" i="169"/>
  <c r="AR347" i="169" s="1"/>
  <c r="X347" i="169"/>
  <c r="AF347" i="169" s="1"/>
  <c r="S211" i="169"/>
  <c r="AP211" i="169" s="1"/>
  <c r="V201" i="169"/>
  <c r="AR201" i="169" s="1"/>
  <c r="X201" i="169"/>
  <c r="AF201" i="169" s="1"/>
  <c r="S201" i="169"/>
  <c r="AP201" i="169" s="1"/>
  <c r="V202" i="169"/>
  <c r="AR202" i="169" s="1"/>
  <c r="X202" i="169"/>
  <c r="AF202" i="169" s="1"/>
  <c r="S202" i="169"/>
  <c r="AP202" i="169" s="1"/>
  <c r="S204" i="169"/>
  <c r="AP204" i="169" s="1"/>
  <c r="V203" i="169"/>
  <c r="AR203" i="169" s="1"/>
  <c r="X203" i="169"/>
  <c r="AF203" i="169" s="1"/>
  <c r="S203" i="169"/>
  <c r="AP203" i="169" s="1"/>
  <c r="S209" i="169"/>
  <c r="AP209" i="169" s="1"/>
  <c r="S208" i="169"/>
  <c r="AP208" i="169" s="1"/>
  <c r="V204" i="169"/>
  <c r="AR204" i="169" s="1"/>
  <c r="X204" i="169"/>
  <c r="AF204" i="169" s="1"/>
  <c r="V205" i="169"/>
  <c r="AR205" i="169" s="1"/>
  <c r="X205" i="169"/>
  <c r="AF205" i="169" s="1"/>
  <c r="S205" i="169"/>
  <c r="AP205" i="169" s="1"/>
  <c r="V206" i="169"/>
  <c r="AR206" i="169" s="1"/>
  <c r="X206" i="169"/>
  <c r="AF206" i="169" s="1"/>
  <c r="S206" i="169"/>
  <c r="AP206" i="169" s="1"/>
  <c r="V207" i="169"/>
  <c r="AR207" i="169" s="1"/>
  <c r="X207" i="169"/>
  <c r="AF207" i="169" s="1"/>
  <c r="S207" i="169"/>
  <c r="AP207" i="169" s="1"/>
  <c r="V208" i="169"/>
  <c r="AR208" i="169" s="1"/>
  <c r="X208" i="169"/>
  <c r="AF208" i="169" s="1"/>
  <c r="V209" i="169"/>
  <c r="AR209" i="169" s="1"/>
  <c r="X209" i="169"/>
  <c r="AF209" i="169" s="1"/>
  <c r="V210" i="169"/>
  <c r="AR210" i="169" s="1"/>
  <c r="X210" i="169"/>
  <c r="AF210" i="169" s="1"/>
  <c r="S210" i="169"/>
  <c r="AP210" i="169" s="1"/>
  <c r="V211" i="169"/>
  <c r="AR211" i="169" s="1"/>
  <c r="X211" i="169"/>
  <c r="AF211" i="169" s="1"/>
  <c r="V212" i="169"/>
  <c r="AR212" i="169" s="1"/>
  <c r="X212" i="169"/>
  <c r="AF212" i="169" s="1"/>
  <c r="S212" i="169"/>
  <c r="AP212" i="169" s="1"/>
  <c r="S214" i="169"/>
  <c r="AP214" i="169" s="1"/>
  <c r="V213" i="169"/>
  <c r="AR213" i="169" s="1"/>
  <c r="X213" i="169"/>
  <c r="AF213" i="169" s="1"/>
  <c r="S213" i="169"/>
  <c r="AP213" i="169" s="1"/>
  <c r="V214" i="169"/>
  <c r="AR214" i="169" s="1"/>
  <c r="X214" i="169"/>
  <c r="AF214" i="169" s="1"/>
  <c r="V215" i="169"/>
  <c r="AR215" i="169" s="1"/>
  <c r="X215" i="169"/>
  <c r="AF215" i="169" s="1"/>
  <c r="S215" i="169"/>
  <c r="AP215" i="169" s="1"/>
  <c r="V216" i="169"/>
  <c r="AR216" i="169" s="1"/>
  <c r="X216" i="169"/>
  <c r="AF216" i="169" s="1"/>
  <c r="S216" i="169"/>
  <c r="AP216" i="169" s="1"/>
  <c r="V217" i="169"/>
  <c r="AR217" i="169" s="1"/>
  <c r="X217" i="169"/>
  <c r="AF217" i="169" s="1"/>
  <c r="S217" i="169"/>
  <c r="AP217" i="169" s="1"/>
  <c r="V218" i="169"/>
  <c r="AR218" i="169" s="1"/>
  <c r="X218" i="169"/>
  <c r="AF218" i="169" s="1"/>
  <c r="S218" i="169"/>
  <c r="AP218" i="169" s="1"/>
  <c r="V348" i="169"/>
  <c r="AR348" i="169" s="1"/>
  <c r="X348" i="169"/>
  <c r="AF348" i="169" s="1"/>
  <c r="S348" i="169"/>
  <c r="AP348" i="169" s="1"/>
  <c r="S517" i="169"/>
  <c r="AP517" i="169" s="1"/>
  <c r="V517" i="169"/>
  <c r="AR517" i="169" s="1"/>
  <c r="X517" i="169"/>
  <c r="AF517" i="169" s="1"/>
  <c r="V184" i="169"/>
  <c r="AR184" i="169" s="1"/>
  <c r="X184" i="169"/>
  <c r="AF184" i="169" s="1"/>
  <c r="S184" i="169"/>
  <c r="AP184" i="169" s="1"/>
  <c r="V185" i="169"/>
  <c r="AR185" i="169" s="1"/>
  <c r="X185" i="169"/>
  <c r="AF185" i="169" s="1"/>
  <c r="S185" i="169"/>
  <c r="AP185" i="169" s="1"/>
  <c r="V186" i="169"/>
  <c r="AR186" i="169" s="1"/>
  <c r="X186" i="169"/>
  <c r="AF186" i="169" s="1"/>
  <c r="S186" i="169"/>
  <c r="AP186" i="169" s="1"/>
  <c r="S187" i="169"/>
  <c r="AP187" i="169" s="1"/>
  <c r="V187" i="169"/>
  <c r="AR187" i="169" s="1"/>
  <c r="X187" i="169"/>
  <c r="AF187" i="169" s="1"/>
  <c r="V188" i="169"/>
  <c r="AR188" i="169" s="1"/>
  <c r="X188" i="169"/>
  <c r="AF188" i="169" s="1"/>
  <c r="S188" i="169"/>
  <c r="AP188" i="169" s="1"/>
  <c r="S189" i="169"/>
  <c r="AP189" i="169" s="1"/>
  <c r="V189" i="169"/>
  <c r="AR189" i="169" s="1"/>
  <c r="X189" i="169"/>
  <c r="AF189" i="169" s="1"/>
  <c r="S190" i="169"/>
  <c r="AP190" i="169" s="1"/>
  <c r="V190" i="169"/>
  <c r="AR190" i="169" s="1"/>
  <c r="X190" i="169"/>
  <c r="AF190" i="169" s="1"/>
  <c r="V191" i="169"/>
  <c r="AR191" i="169" s="1"/>
  <c r="X191" i="169"/>
  <c r="AF191" i="169" s="1"/>
  <c r="S191" i="169"/>
  <c r="AP191" i="169" s="1"/>
  <c r="V192" i="169"/>
  <c r="AR192" i="169" s="1"/>
  <c r="X192" i="169"/>
  <c r="AF192" i="169" s="1"/>
  <c r="S192" i="169"/>
  <c r="AP192" i="169" s="1"/>
  <c r="S194" i="169"/>
  <c r="AP194" i="169" s="1"/>
  <c r="V193" i="169"/>
  <c r="AR193" i="169" s="1"/>
  <c r="X193" i="169"/>
  <c r="AF193" i="169" s="1"/>
  <c r="S193" i="169"/>
  <c r="AP193" i="169" s="1"/>
  <c r="V194" i="169"/>
  <c r="AR194" i="169" s="1"/>
  <c r="X194" i="169"/>
  <c r="AF194" i="169" s="1"/>
  <c r="S195" i="169"/>
  <c r="AP195" i="169" s="1"/>
  <c r="V195" i="169"/>
  <c r="AR195" i="169" s="1"/>
  <c r="X195" i="169"/>
  <c r="AF195" i="169" s="1"/>
  <c r="U197" i="169"/>
  <c r="AQ197" i="169" s="1"/>
  <c r="U156" i="169"/>
  <c r="AQ156" i="169" s="1"/>
  <c r="V160" i="169"/>
  <c r="AR160" i="169" s="1"/>
  <c r="V162" i="169"/>
  <c r="AR162" i="169" s="1"/>
  <c r="U158" i="169"/>
  <c r="AQ158" i="169" s="1"/>
  <c r="S170" i="169"/>
  <c r="AP170" i="169" s="1"/>
  <c r="U173" i="169"/>
  <c r="AQ173" i="169" s="1"/>
  <c r="S169" i="169"/>
  <c r="AP169" i="169" s="1"/>
  <c r="S162" i="169"/>
  <c r="AP162" i="169" s="1"/>
  <c r="S160" i="169"/>
  <c r="AP160" i="169" s="1"/>
  <c r="U159" i="169"/>
  <c r="AQ159" i="169" s="1"/>
  <c r="V169" i="169"/>
  <c r="AR169" i="169" s="1"/>
  <c r="U165" i="169"/>
  <c r="AQ165" i="169" s="1"/>
  <c r="U168" i="169"/>
  <c r="AQ168" i="169" s="1"/>
  <c r="U166" i="169"/>
  <c r="AQ166" i="169" s="1"/>
  <c r="U161" i="169"/>
  <c r="AQ161" i="169" s="1"/>
  <c r="U171" i="169"/>
  <c r="AQ171" i="169" s="1"/>
  <c r="V170" i="169"/>
  <c r="AR170" i="169" s="1"/>
  <c r="X170" i="169"/>
  <c r="AF170" i="169" s="1"/>
  <c r="U167" i="169"/>
  <c r="AQ167" i="169" s="1"/>
  <c r="X162" i="169"/>
  <c r="AF162" i="169" s="1"/>
  <c r="X160" i="169"/>
  <c r="AF160" i="169" s="1"/>
  <c r="V111" i="169"/>
  <c r="AR111" i="169" s="1"/>
  <c r="S172" i="169"/>
  <c r="AP172" i="169" s="1"/>
  <c r="U174" i="169"/>
  <c r="AQ174" i="169" s="1"/>
  <c r="V172" i="169"/>
  <c r="AR172" i="169" s="1"/>
  <c r="V196" i="169"/>
  <c r="AR196" i="169" s="1"/>
  <c r="S180" i="169"/>
  <c r="AP180" i="169" s="1"/>
  <c r="U150" i="169"/>
  <c r="AQ150" i="169" s="1"/>
  <c r="U151" i="169"/>
  <c r="AQ151" i="169" s="1"/>
  <c r="U155" i="169"/>
  <c r="AQ155" i="169" s="1"/>
  <c r="U152" i="169"/>
  <c r="AQ152" i="169" s="1"/>
  <c r="X169" i="169"/>
  <c r="AF169" i="169" s="1"/>
  <c r="V198" i="169"/>
  <c r="AR198" i="169" s="1"/>
  <c r="S157" i="169"/>
  <c r="AP157" i="169" s="1"/>
  <c r="V157" i="169"/>
  <c r="AR157" i="169" s="1"/>
  <c r="V181" i="169"/>
  <c r="AR181" i="169" s="1"/>
  <c r="U154" i="169"/>
  <c r="AQ154" i="169" s="1"/>
  <c r="X172" i="169"/>
  <c r="AF172" i="169" s="1"/>
  <c r="U109" i="169"/>
  <c r="AQ109" i="169" s="1"/>
  <c r="U153" i="169"/>
  <c r="AQ153" i="169" s="1"/>
  <c r="S178" i="169"/>
  <c r="AP178" i="169" s="1"/>
  <c r="U175" i="169"/>
  <c r="AQ175" i="169" s="1"/>
  <c r="S179" i="169"/>
  <c r="AP179" i="169" s="1"/>
  <c r="U176" i="169"/>
  <c r="AQ176" i="169" s="1"/>
  <c r="S181" i="169"/>
  <c r="AP181" i="169" s="1"/>
  <c r="U177" i="169"/>
  <c r="AQ177" i="169" s="1"/>
  <c r="V178" i="169"/>
  <c r="AR178" i="169" s="1"/>
  <c r="S1313" i="169"/>
  <c r="V179" i="169"/>
  <c r="AR179" i="169" s="1"/>
  <c r="V180" i="169"/>
  <c r="AR180" i="169" s="1"/>
  <c r="X157" i="169"/>
  <c r="AF157" i="169" s="1"/>
  <c r="V1313" i="169"/>
  <c r="U182" i="169"/>
  <c r="AQ182" i="169" s="1"/>
  <c r="S111" i="169"/>
  <c r="AP111" i="169" s="1"/>
  <c r="V120" i="169"/>
  <c r="AR120" i="169" s="1"/>
  <c r="U146" i="169"/>
  <c r="AQ146" i="169" s="1"/>
  <c r="V112" i="169"/>
  <c r="AR112" i="169" s="1"/>
  <c r="U124" i="169"/>
  <c r="AQ124" i="169" s="1"/>
  <c r="S612" i="169"/>
  <c r="AP612" i="169" s="1"/>
  <c r="X178" i="169"/>
  <c r="AF178" i="169" s="1"/>
  <c r="S196" i="169"/>
  <c r="AP196" i="169" s="1"/>
  <c r="X612" i="169"/>
  <c r="AF612" i="169" s="1"/>
  <c r="V612" i="169"/>
  <c r="AR612" i="169" s="1"/>
  <c r="U183" i="169"/>
  <c r="AQ183" i="169" s="1"/>
  <c r="U116" i="169"/>
  <c r="AQ116" i="169" s="1"/>
  <c r="U145" i="169"/>
  <c r="AQ145" i="169" s="1"/>
  <c r="U113" i="169"/>
  <c r="AQ113" i="169" s="1"/>
  <c r="S198" i="169"/>
  <c r="AP198" i="169" s="1"/>
  <c r="X179" i="169"/>
  <c r="AF179" i="169" s="1"/>
  <c r="S130" i="169"/>
  <c r="AP130" i="169" s="1"/>
  <c r="U905" i="169"/>
  <c r="AQ905" i="169" s="1"/>
  <c r="X180" i="169"/>
  <c r="AF180" i="169" s="1"/>
  <c r="S199" i="169"/>
  <c r="AP199" i="169" s="1"/>
  <c r="X181" i="169"/>
  <c r="AF181" i="169" s="1"/>
  <c r="X1313" i="169"/>
  <c r="AF1313" i="169" s="1"/>
  <c r="S112" i="169"/>
  <c r="AP112" i="169" s="1"/>
  <c r="U123" i="169"/>
  <c r="AQ123" i="169" s="1"/>
  <c r="X62" i="169"/>
  <c r="AF62" i="169" s="1"/>
  <c r="V130" i="169"/>
  <c r="AR130" i="169" s="1"/>
  <c r="U136" i="169"/>
  <c r="AQ136" i="169" s="1"/>
  <c r="S121" i="169"/>
  <c r="AP121" i="169" s="1"/>
  <c r="S133" i="169"/>
  <c r="AP133" i="169" s="1"/>
  <c r="X196" i="169"/>
  <c r="AF196" i="169" s="1"/>
  <c r="S137" i="169"/>
  <c r="AP137" i="169" s="1"/>
  <c r="V199" i="169"/>
  <c r="AR199" i="169" s="1"/>
  <c r="X199" i="169"/>
  <c r="AF199" i="169" s="1"/>
  <c r="S126" i="169"/>
  <c r="AP126" i="169" s="1"/>
  <c r="U117" i="169"/>
  <c r="AQ117" i="169" s="1"/>
  <c r="U611" i="169"/>
  <c r="AQ611" i="169" s="1"/>
  <c r="X198" i="169"/>
  <c r="AF198" i="169" s="1"/>
  <c r="S103" i="169"/>
  <c r="AP103" i="169" s="1"/>
  <c r="U134" i="169"/>
  <c r="AQ134" i="169" s="1"/>
  <c r="U118" i="169"/>
  <c r="AQ118" i="169" s="1"/>
  <c r="U200" i="169"/>
  <c r="AQ200" i="169" s="1"/>
  <c r="V103" i="169"/>
  <c r="AR103" i="169" s="1"/>
  <c r="V102" i="169"/>
  <c r="AR102" i="169" s="1"/>
  <c r="S149" i="169"/>
  <c r="AP149" i="169" s="1"/>
  <c r="U70" i="169"/>
  <c r="AQ70" i="169" s="1"/>
  <c r="S100" i="169"/>
  <c r="AP100" i="169" s="1"/>
  <c r="U144" i="169"/>
  <c r="AQ144" i="169" s="1"/>
  <c r="V139" i="169"/>
  <c r="AR139" i="169" s="1"/>
  <c r="S140" i="169"/>
  <c r="AP140" i="169" s="1"/>
  <c r="V133" i="169"/>
  <c r="AR133" i="169" s="1"/>
  <c r="S120" i="169"/>
  <c r="AP120" i="169" s="1"/>
  <c r="U119" i="169"/>
  <c r="AQ119" i="169" s="1"/>
  <c r="V121" i="169"/>
  <c r="AR121" i="169" s="1"/>
  <c r="X121" i="169"/>
  <c r="AF121" i="169" s="1"/>
  <c r="S139" i="169"/>
  <c r="AP139" i="169" s="1"/>
  <c r="X120" i="169"/>
  <c r="AF120" i="169" s="1"/>
  <c r="U115" i="169"/>
  <c r="AQ115" i="169" s="1"/>
  <c r="U110" i="169"/>
  <c r="AQ110" i="169" s="1"/>
  <c r="U122" i="169"/>
  <c r="AQ122" i="169" s="1"/>
  <c r="U65" i="169"/>
  <c r="AQ65" i="169" s="1"/>
  <c r="S114" i="169"/>
  <c r="AP114" i="169" s="1"/>
  <c r="X111" i="169"/>
  <c r="AF111" i="169" s="1"/>
  <c r="X112" i="169"/>
  <c r="AF112" i="169" s="1"/>
  <c r="X114" i="169"/>
  <c r="AF114" i="169" s="1"/>
  <c r="S135" i="169"/>
  <c r="AP135" i="169" s="1"/>
  <c r="V79" i="169"/>
  <c r="AR79" i="169" s="1"/>
  <c r="S148" i="169"/>
  <c r="AP148" i="169" s="1"/>
  <c r="V137" i="169"/>
  <c r="AR137" i="169" s="1"/>
  <c r="V114" i="169"/>
  <c r="AR114" i="169" s="1"/>
  <c r="V126" i="169"/>
  <c r="AR126" i="169" s="1"/>
  <c r="X126" i="169"/>
  <c r="AF126" i="169" s="1"/>
  <c r="S138" i="169"/>
  <c r="AP138" i="169" s="1"/>
  <c r="U128" i="169"/>
  <c r="AQ128" i="169" s="1"/>
  <c r="U127" i="169"/>
  <c r="AQ127" i="169" s="1"/>
  <c r="V138" i="169"/>
  <c r="AR138" i="169" s="1"/>
  <c r="X130" i="169"/>
  <c r="AF130" i="169" s="1"/>
  <c r="X133" i="169"/>
  <c r="AF133" i="169" s="1"/>
  <c r="V135" i="169"/>
  <c r="AR135" i="169" s="1"/>
  <c r="X135" i="169"/>
  <c r="AF135" i="169" s="1"/>
  <c r="U68" i="169"/>
  <c r="AQ68" i="169" s="1"/>
  <c r="U97" i="169"/>
  <c r="AQ97" i="169" s="1"/>
  <c r="U75" i="169"/>
  <c r="AQ75" i="169" s="1"/>
  <c r="X137" i="169"/>
  <c r="AF137" i="169" s="1"/>
  <c r="X138" i="169"/>
  <c r="AF138" i="169" s="1"/>
  <c r="V82" i="169"/>
  <c r="AR82" i="169" s="1"/>
  <c r="S104" i="169"/>
  <c r="AP104" i="169" s="1"/>
  <c r="S79" i="169"/>
  <c r="AP79" i="169" s="1"/>
  <c r="X148" i="169"/>
  <c r="AF148" i="169" s="1"/>
  <c r="V148" i="169"/>
  <c r="AR148" i="169" s="1"/>
  <c r="V140" i="169"/>
  <c r="AR140" i="169" s="1"/>
  <c r="X140" i="169"/>
  <c r="AF140" i="169" s="1"/>
  <c r="X149" i="169"/>
  <c r="AF149" i="169" s="1"/>
  <c r="V149" i="169"/>
  <c r="AR149" i="169" s="1"/>
  <c r="S102" i="169"/>
  <c r="AP102" i="169" s="1"/>
  <c r="U98" i="169"/>
  <c r="AQ98" i="169" s="1"/>
  <c r="U143" i="169"/>
  <c r="AQ143" i="169" s="1"/>
  <c r="U142" i="169"/>
  <c r="AQ142" i="169" s="1"/>
  <c r="X139" i="169"/>
  <c r="AF139" i="169" s="1"/>
  <c r="U141" i="169"/>
  <c r="AQ141" i="169" s="1"/>
  <c r="S87" i="169"/>
  <c r="AP87" i="169" s="1"/>
  <c r="U101" i="169"/>
  <c r="AQ101" i="169" s="1"/>
  <c r="X100" i="169"/>
  <c r="AF100" i="169" s="1"/>
  <c r="V100" i="169"/>
  <c r="AR100" i="169" s="1"/>
  <c r="U99" i="169"/>
  <c r="AQ99" i="169" s="1"/>
  <c r="V77" i="169"/>
  <c r="AR77" i="169" s="1"/>
  <c r="U66" i="169"/>
  <c r="AQ66" i="169" s="1"/>
  <c r="U107" i="169"/>
  <c r="AQ107" i="169" s="1"/>
  <c r="U106" i="169"/>
  <c r="AQ106" i="169" s="1"/>
  <c r="X102" i="169"/>
  <c r="AF102" i="169" s="1"/>
  <c r="V87" i="169"/>
  <c r="AR87" i="169" s="1"/>
  <c r="V104" i="169"/>
  <c r="AR104" i="169" s="1"/>
  <c r="X104" i="169"/>
  <c r="AF104" i="169" s="1"/>
  <c r="S74" i="169"/>
  <c r="AP74" i="169" s="1"/>
  <c r="X103" i="169"/>
  <c r="AF103" i="169" s="1"/>
  <c r="V74" i="169"/>
  <c r="AR74" i="169" s="1"/>
  <c r="U105" i="169"/>
  <c r="AQ105" i="169" s="1"/>
  <c r="S77" i="169"/>
  <c r="AP77" i="169" s="1"/>
  <c r="U72" i="169"/>
  <c r="AQ72" i="169" s="1"/>
  <c r="V73" i="169"/>
  <c r="AR73" i="169" s="1"/>
  <c r="U69" i="169"/>
  <c r="AQ69" i="169" s="1"/>
  <c r="U67" i="169"/>
  <c r="AQ67" i="169" s="1"/>
  <c r="U71" i="169"/>
  <c r="AQ71" i="169" s="1"/>
  <c r="S73" i="169"/>
  <c r="AP73" i="169" s="1"/>
  <c r="S93" i="169"/>
  <c r="AP93" i="169" s="1"/>
  <c r="U76" i="169"/>
  <c r="AQ76" i="169" s="1"/>
  <c r="U90" i="169"/>
  <c r="AQ90" i="169" s="1"/>
  <c r="U78" i="169"/>
  <c r="AQ78" i="169" s="1"/>
  <c r="S82" i="169"/>
  <c r="AP82" i="169" s="1"/>
  <c r="U83" i="169"/>
  <c r="AQ83" i="169" s="1"/>
  <c r="U94" i="169"/>
  <c r="AQ94" i="169" s="1"/>
  <c r="U88" i="169"/>
  <c r="AQ88" i="169" s="1"/>
  <c r="X73" i="169"/>
  <c r="AF73" i="169" s="1"/>
  <c r="X74" i="169"/>
  <c r="AF74" i="169" s="1"/>
  <c r="U81" i="169"/>
  <c r="AQ81" i="169" s="1"/>
  <c r="U80" i="169"/>
  <c r="AQ80" i="169" s="1"/>
  <c r="U84" i="169"/>
  <c r="AQ84" i="169" s="1"/>
  <c r="U89" i="169"/>
  <c r="AQ89" i="169" s="1"/>
  <c r="U85" i="169"/>
  <c r="AQ85" i="169" s="1"/>
  <c r="X77" i="169"/>
  <c r="AF77" i="169" s="1"/>
  <c r="X79" i="169"/>
  <c r="AF79" i="169" s="1"/>
  <c r="S91" i="169"/>
  <c r="AP91" i="169" s="1"/>
  <c r="U86" i="169"/>
  <c r="AQ86" i="169" s="1"/>
  <c r="S92" i="169"/>
  <c r="AP92" i="169" s="1"/>
  <c r="X82" i="169"/>
  <c r="AF82" i="169" s="1"/>
  <c r="V91" i="169"/>
  <c r="AR91" i="169" s="1"/>
  <c r="V92" i="169"/>
  <c r="AR92" i="169" s="1"/>
  <c r="V93" i="169"/>
  <c r="AR93" i="169" s="1"/>
  <c r="X93" i="169"/>
  <c r="AF93" i="169" s="1"/>
  <c r="S53" i="169"/>
  <c r="AP53" i="169" s="1"/>
  <c r="U95" i="169"/>
  <c r="AQ95" i="169" s="1"/>
  <c r="X87" i="169"/>
  <c r="AF87" i="169" s="1"/>
  <c r="U96" i="169"/>
  <c r="AQ96" i="169" s="1"/>
  <c r="X91" i="169"/>
  <c r="AF91" i="169" s="1"/>
  <c r="X92" i="169"/>
  <c r="AF92" i="169" s="1"/>
  <c r="S108" i="169"/>
  <c r="AP108" i="169" s="1"/>
  <c r="V108" i="169"/>
  <c r="AR108" i="169" s="1"/>
  <c r="S56" i="169"/>
  <c r="AP56" i="169" s="1"/>
  <c r="X108" i="169"/>
  <c r="AF108" i="169" s="1"/>
  <c r="U57" i="169"/>
  <c r="AQ57" i="169" s="1"/>
  <c r="S55" i="169"/>
  <c r="AP55" i="169" s="1"/>
  <c r="S58" i="169"/>
  <c r="AP58" i="169" s="1"/>
  <c r="V55" i="169"/>
  <c r="AR55" i="169" s="1"/>
  <c r="X55" i="169"/>
  <c r="AF55" i="169" s="1"/>
  <c r="V56" i="169"/>
  <c r="AR56" i="169" s="1"/>
  <c r="X56" i="169"/>
  <c r="AF56" i="169" s="1"/>
  <c r="V58" i="169"/>
  <c r="AR58" i="169" s="1"/>
  <c r="X58" i="169"/>
  <c r="AF58" i="169" s="1"/>
  <c r="V51" i="169"/>
  <c r="AR51" i="169" s="1"/>
  <c r="X51" i="169"/>
  <c r="AF51" i="169" s="1"/>
  <c r="S51" i="169"/>
  <c r="AP51" i="169" s="1"/>
  <c r="V52" i="169"/>
  <c r="AR52" i="169" s="1"/>
  <c r="X52" i="169"/>
  <c r="AF52" i="169" s="1"/>
  <c r="S52" i="169"/>
  <c r="AP52" i="169" s="1"/>
  <c r="V53" i="169"/>
  <c r="AR53" i="169" s="1"/>
  <c r="X53" i="169"/>
  <c r="AF53" i="169" s="1"/>
  <c r="U60" i="169"/>
  <c r="AQ60" i="169" s="1"/>
  <c r="S59" i="169"/>
  <c r="AP59" i="169" s="1"/>
  <c r="S54" i="169"/>
  <c r="AP54" i="169" s="1"/>
  <c r="V54" i="169"/>
  <c r="AR54" i="169" s="1"/>
  <c r="X54" i="169"/>
  <c r="AF54" i="169" s="1"/>
  <c r="V59" i="169"/>
  <c r="AR59" i="169" s="1"/>
  <c r="X59" i="169"/>
  <c r="AF59" i="169" s="1"/>
  <c r="S62" i="169"/>
  <c r="AP62" i="169" s="1"/>
  <c r="U61" i="169"/>
  <c r="AQ61" i="169" s="1"/>
  <c r="V62" i="169"/>
  <c r="AR62" i="169" s="1"/>
  <c r="S48" i="169"/>
  <c r="AP48" i="169" s="1"/>
  <c r="U63" i="169"/>
  <c r="AQ63" i="169" s="1"/>
  <c r="U49" i="169"/>
  <c r="AQ49" i="169" s="1"/>
  <c r="V48" i="169"/>
  <c r="AR48" i="169" s="1"/>
  <c r="X48" i="169"/>
  <c r="AF48" i="169" s="1"/>
  <c r="U50" i="169"/>
  <c r="AQ50" i="169" s="1"/>
  <c r="S64" i="169"/>
  <c r="AP64" i="169" s="1"/>
  <c r="V64" i="169"/>
  <c r="AR64" i="169" s="1"/>
  <c r="X64" i="169"/>
  <c r="AF64" i="169" s="1"/>
  <c r="U1315" i="169"/>
  <c r="AA69" i="168"/>
  <c r="N69" i="168"/>
  <c r="L69" i="168"/>
  <c r="F69" i="168"/>
  <c r="AA67" i="168"/>
  <c r="N67" i="168"/>
  <c r="L67" i="168"/>
  <c r="F67" i="168"/>
  <c r="AA66" i="168"/>
  <c r="N66" i="168"/>
  <c r="F66" i="168"/>
  <c r="AA65" i="168"/>
  <c r="N65" i="168"/>
  <c r="F65" i="168"/>
  <c r="AA64" i="168"/>
  <c r="N64" i="168"/>
  <c r="F64" i="168"/>
  <c r="AA63" i="168"/>
  <c r="N63" i="168"/>
  <c r="F63" i="168"/>
  <c r="AA62" i="168"/>
  <c r="N62" i="168"/>
  <c r="F62" i="168"/>
  <c r="AA61" i="168"/>
  <c r="N61" i="168"/>
  <c r="F61" i="168"/>
  <c r="AA60" i="168"/>
  <c r="N60" i="168"/>
  <c r="F60" i="168"/>
  <c r="AA59" i="168"/>
  <c r="N59" i="168"/>
  <c r="L59" i="168"/>
  <c r="F59" i="168"/>
  <c r="AA58" i="168"/>
  <c r="N58" i="168"/>
  <c r="L58" i="168"/>
  <c r="F58" i="168"/>
  <c r="AA57" i="168"/>
  <c r="N57" i="168"/>
  <c r="L57" i="168"/>
  <c r="F57" i="168"/>
  <c r="AA56" i="168"/>
  <c r="N56" i="168"/>
  <c r="L56" i="168"/>
  <c r="F56" i="168"/>
  <c r="AA55" i="168"/>
  <c r="N55" i="168"/>
  <c r="L55" i="168"/>
  <c r="F55" i="168"/>
  <c r="AA54" i="168"/>
  <c r="N54" i="168"/>
  <c r="L54" i="168"/>
  <c r="F54" i="168"/>
  <c r="AA53" i="168"/>
  <c r="N53" i="168"/>
  <c r="L53" i="168"/>
  <c r="F53" i="168"/>
  <c r="AA52" i="168"/>
  <c r="N52" i="168"/>
  <c r="L52" i="168"/>
  <c r="F52" i="168"/>
  <c r="AA51" i="168"/>
  <c r="N51" i="168"/>
  <c r="L51" i="168"/>
  <c r="F51" i="168"/>
  <c r="AA50" i="168"/>
  <c r="N50" i="168"/>
  <c r="L50" i="168"/>
  <c r="F50" i="168"/>
  <c r="AA49" i="168"/>
  <c r="N49" i="168"/>
  <c r="L49" i="168"/>
  <c r="F49" i="168"/>
  <c r="AA48" i="168"/>
  <c r="N48" i="168"/>
  <c r="L48" i="168"/>
  <c r="F48" i="168"/>
  <c r="AA47" i="168"/>
  <c r="N47" i="168"/>
  <c r="L47" i="168"/>
  <c r="F47" i="168"/>
  <c r="AA46" i="168"/>
  <c r="N46" i="168"/>
  <c r="L46" i="168"/>
  <c r="F46" i="168"/>
  <c r="AA45" i="168"/>
  <c r="N45" i="168"/>
  <c r="L45" i="168"/>
  <c r="F45" i="168"/>
  <c r="AA44" i="168"/>
  <c r="N44" i="168"/>
  <c r="L44" i="168"/>
  <c r="F44" i="168"/>
  <c r="AA43" i="168"/>
  <c r="N43" i="168"/>
  <c r="L43" i="168"/>
  <c r="F43" i="168"/>
  <c r="AA42" i="168"/>
  <c r="N42" i="168"/>
  <c r="L42" i="168"/>
  <c r="F42" i="168"/>
  <c r="AA41" i="168"/>
  <c r="N41" i="168"/>
  <c r="L41" i="168"/>
  <c r="F41" i="168"/>
  <c r="AA40" i="168"/>
  <c r="N40" i="168"/>
  <c r="L40" i="168"/>
  <c r="F40" i="168"/>
  <c r="AA34" i="168"/>
  <c r="N34" i="168"/>
  <c r="L34" i="168"/>
  <c r="F34" i="168"/>
  <c r="AA33" i="168"/>
  <c r="F33" i="168"/>
  <c r="AB33" i="168" s="1"/>
  <c r="AA32" i="168"/>
  <c r="N32" i="168"/>
  <c r="L32" i="168"/>
  <c r="F32" i="168"/>
  <c r="AA31" i="168"/>
  <c r="N31" i="168"/>
  <c r="F31" i="168"/>
  <c r="AA30" i="168"/>
  <c r="N30" i="168"/>
  <c r="F30" i="168"/>
  <c r="AA29" i="168"/>
  <c r="N29" i="168"/>
  <c r="F29" i="168"/>
  <c r="AA28" i="168"/>
  <c r="N28" i="168"/>
  <c r="F28" i="168"/>
  <c r="AA27" i="168"/>
  <c r="N27" i="168"/>
  <c r="F27" i="168"/>
  <c r="AA26" i="168"/>
  <c r="N26" i="168"/>
  <c r="F26" i="168"/>
  <c r="AA25" i="168"/>
  <c r="N25" i="168"/>
  <c r="F25" i="168"/>
  <c r="AA24" i="168"/>
  <c r="N24" i="168"/>
  <c r="L24" i="168"/>
  <c r="F24" i="168"/>
  <c r="AA23" i="168"/>
  <c r="N23" i="168"/>
  <c r="L23" i="168"/>
  <c r="F23" i="168"/>
  <c r="AA22" i="168"/>
  <c r="N22" i="168"/>
  <c r="L22" i="168"/>
  <c r="F22" i="168"/>
  <c r="AA21" i="168"/>
  <c r="N21" i="168"/>
  <c r="L21" i="168"/>
  <c r="F21" i="168"/>
  <c r="AA20" i="168"/>
  <c r="N20" i="168"/>
  <c r="L20" i="168"/>
  <c r="F20" i="168"/>
  <c r="AA19" i="168"/>
  <c r="N19" i="168"/>
  <c r="L19" i="168"/>
  <c r="F19" i="168"/>
  <c r="AA18" i="168"/>
  <c r="N18" i="168"/>
  <c r="L18" i="168"/>
  <c r="F18" i="168"/>
  <c r="AA17" i="168"/>
  <c r="N17" i="168"/>
  <c r="L17" i="168"/>
  <c r="F17" i="168"/>
  <c r="AA16" i="168"/>
  <c r="N16" i="168"/>
  <c r="L16" i="168"/>
  <c r="F16" i="168"/>
  <c r="AA15" i="168"/>
  <c r="N15" i="168"/>
  <c r="L15" i="168"/>
  <c r="F15" i="168"/>
  <c r="AA14" i="168"/>
  <c r="N14" i="168"/>
  <c r="L14" i="168"/>
  <c r="F14" i="168"/>
  <c r="AA13" i="168"/>
  <c r="N13" i="168"/>
  <c r="L13" i="168"/>
  <c r="F13" i="168"/>
  <c r="AA12" i="168"/>
  <c r="N12" i="168"/>
  <c r="L12" i="168"/>
  <c r="F12" i="168"/>
  <c r="AA11" i="168"/>
  <c r="N11" i="168"/>
  <c r="L11" i="168"/>
  <c r="F11" i="168"/>
  <c r="AA10" i="168"/>
  <c r="N10" i="168"/>
  <c r="L10" i="168"/>
  <c r="F10" i="168"/>
  <c r="AA9" i="168"/>
  <c r="N9" i="168"/>
  <c r="L9" i="168"/>
  <c r="F9" i="168"/>
  <c r="AA8" i="168"/>
  <c r="N8" i="168"/>
  <c r="L8" i="168"/>
  <c r="F8" i="168"/>
  <c r="AA7" i="168"/>
  <c r="N7" i="168"/>
  <c r="L7" i="168"/>
  <c r="F7" i="168"/>
  <c r="AA6" i="168"/>
  <c r="N6" i="168"/>
  <c r="L6" i="168"/>
  <c r="F6" i="168"/>
  <c r="AA5" i="168"/>
  <c r="N5" i="168"/>
  <c r="L5" i="168"/>
  <c r="F5" i="168"/>
  <c r="AA40" i="167"/>
  <c r="Z41" i="167" s="1"/>
  <c r="AE36" i="167" s="1"/>
  <c r="N40" i="167"/>
  <c r="L40" i="167"/>
  <c r="F40" i="167"/>
  <c r="D40" i="167"/>
  <c r="AA34" i="167"/>
  <c r="N34" i="167"/>
  <c r="L34" i="167"/>
  <c r="F34" i="167"/>
  <c r="AA33" i="167"/>
  <c r="F33" i="167"/>
  <c r="AB33" i="167" s="1"/>
  <c r="AA32" i="167"/>
  <c r="N32" i="167"/>
  <c r="L32" i="167"/>
  <c r="F32" i="167"/>
  <c r="AA31" i="167"/>
  <c r="N31" i="167"/>
  <c r="F31" i="167"/>
  <c r="AA30" i="167"/>
  <c r="N30" i="167"/>
  <c r="F30" i="167"/>
  <c r="AA29" i="167"/>
  <c r="N29" i="167"/>
  <c r="F29" i="167"/>
  <c r="AA28" i="167"/>
  <c r="N28" i="167"/>
  <c r="F28" i="167"/>
  <c r="AA27" i="167"/>
  <c r="N27" i="167"/>
  <c r="F27" i="167"/>
  <c r="AA26" i="167"/>
  <c r="N26" i="167"/>
  <c r="F26" i="167"/>
  <c r="AA25" i="167"/>
  <c r="N25" i="167"/>
  <c r="F25" i="167"/>
  <c r="AA24" i="167"/>
  <c r="N24" i="167"/>
  <c r="L24" i="167"/>
  <c r="F24" i="167"/>
  <c r="AA23" i="167"/>
  <c r="N23" i="167"/>
  <c r="L23" i="167"/>
  <c r="F23" i="167"/>
  <c r="AA22" i="167"/>
  <c r="N22" i="167"/>
  <c r="L22" i="167"/>
  <c r="F22" i="167"/>
  <c r="AA21" i="167"/>
  <c r="N21" i="167"/>
  <c r="L21" i="167"/>
  <c r="F21" i="167"/>
  <c r="AA20" i="167"/>
  <c r="N20" i="167"/>
  <c r="L20" i="167"/>
  <c r="F20" i="167"/>
  <c r="AA19" i="167"/>
  <c r="N19" i="167"/>
  <c r="L19" i="167"/>
  <c r="F19" i="167"/>
  <c r="AA18" i="167"/>
  <c r="N18" i="167"/>
  <c r="L18" i="167"/>
  <c r="F18" i="167"/>
  <c r="AA17" i="167"/>
  <c r="N17" i="167"/>
  <c r="L17" i="167"/>
  <c r="F17" i="167"/>
  <c r="AA16" i="167"/>
  <c r="N16" i="167"/>
  <c r="L16" i="167"/>
  <c r="F16" i="167"/>
  <c r="AA15" i="167"/>
  <c r="N15" i="167"/>
  <c r="L15" i="167"/>
  <c r="F15" i="167"/>
  <c r="AA14" i="167"/>
  <c r="N14" i="167"/>
  <c r="L14" i="167"/>
  <c r="F14" i="167"/>
  <c r="AA13" i="167"/>
  <c r="N13" i="167"/>
  <c r="L13" i="167"/>
  <c r="F13" i="167"/>
  <c r="AA12" i="167"/>
  <c r="N12" i="167"/>
  <c r="L12" i="167"/>
  <c r="F12" i="167"/>
  <c r="AA11" i="167"/>
  <c r="N11" i="167"/>
  <c r="L11" i="167"/>
  <c r="F11" i="167"/>
  <c r="AA10" i="167"/>
  <c r="N10" i="167"/>
  <c r="L10" i="167"/>
  <c r="F10" i="167"/>
  <c r="AA9" i="167"/>
  <c r="N9" i="167"/>
  <c r="L9" i="167"/>
  <c r="F9" i="167"/>
  <c r="AA8" i="167"/>
  <c r="N8" i="167"/>
  <c r="L8" i="167"/>
  <c r="F8" i="167"/>
  <c r="AA7" i="167"/>
  <c r="N7" i="167"/>
  <c r="L7" i="167"/>
  <c r="F7" i="167"/>
  <c r="AA6" i="167"/>
  <c r="N6" i="167"/>
  <c r="L6" i="167"/>
  <c r="F6" i="167"/>
  <c r="AA5" i="167"/>
  <c r="N5" i="167"/>
  <c r="L5" i="167"/>
  <c r="F5" i="167"/>
  <c r="AA33" i="109"/>
  <c r="N33" i="109"/>
  <c r="L33" i="109"/>
  <c r="F33" i="109"/>
  <c r="D33" i="109"/>
  <c r="AA32" i="109"/>
  <c r="N32" i="109"/>
  <c r="L32" i="109"/>
  <c r="F32" i="109"/>
  <c r="D32" i="109"/>
  <c r="AA31" i="109"/>
  <c r="N31" i="109"/>
  <c r="F31" i="109"/>
  <c r="D31" i="109"/>
  <c r="AA30" i="109"/>
  <c r="N30" i="109"/>
  <c r="F30" i="109"/>
  <c r="D30" i="109"/>
  <c r="AA29" i="109"/>
  <c r="N29" i="109"/>
  <c r="F29" i="109"/>
  <c r="D29" i="109"/>
  <c r="AA28" i="109"/>
  <c r="N28" i="109"/>
  <c r="F28" i="109"/>
  <c r="D28" i="109"/>
  <c r="AA27" i="109"/>
  <c r="N27" i="109"/>
  <c r="F27" i="109"/>
  <c r="D27" i="109"/>
  <c r="AA26" i="109"/>
  <c r="N26" i="109"/>
  <c r="F26" i="109"/>
  <c r="D26" i="109"/>
  <c r="AA25" i="109"/>
  <c r="N25" i="109"/>
  <c r="F25" i="109"/>
  <c r="D25" i="109"/>
  <c r="AA24" i="109"/>
  <c r="N24" i="109"/>
  <c r="L24" i="109"/>
  <c r="F24" i="109"/>
  <c r="D24" i="109"/>
  <c r="AA23" i="109"/>
  <c r="N23" i="109"/>
  <c r="L23" i="109"/>
  <c r="F23" i="109"/>
  <c r="D23" i="109"/>
  <c r="AA22" i="109"/>
  <c r="N22" i="109"/>
  <c r="L22" i="109"/>
  <c r="F22" i="109"/>
  <c r="D22" i="109"/>
  <c r="AA21" i="109"/>
  <c r="N21" i="109"/>
  <c r="L21" i="109"/>
  <c r="F21" i="109"/>
  <c r="D21" i="109"/>
  <c r="AA20" i="109"/>
  <c r="N20" i="109"/>
  <c r="L20" i="109"/>
  <c r="F20" i="109"/>
  <c r="D20" i="109"/>
  <c r="AA19" i="109"/>
  <c r="N19" i="109"/>
  <c r="L19" i="109"/>
  <c r="F19" i="109"/>
  <c r="D19" i="109"/>
  <c r="AA18" i="109"/>
  <c r="N18" i="109"/>
  <c r="L18" i="109"/>
  <c r="F18" i="109"/>
  <c r="D18" i="109"/>
  <c r="AA17" i="109"/>
  <c r="N17" i="109"/>
  <c r="L17" i="109"/>
  <c r="F17" i="109"/>
  <c r="D17" i="109"/>
  <c r="AA16" i="109"/>
  <c r="N16" i="109"/>
  <c r="L16" i="109"/>
  <c r="F16" i="109"/>
  <c r="D16" i="109"/>
  <c r="AA15" i="109"/>
  <c r="N15" i="109"/>
  <c r="L15" i="109"/>
  <c r="F15" i="109"/>
  <c r="D15" i="109"/>
  <c r="AA14" i="109"/>
  <c r="N14" i="109"/>
  <c r="L14" i="109"/>
  <c r="F14" i="109"/>
  <c r="D14" i="109"/>
  <c r="AA13" i="109"/>
  <c r="N13" i="109"/>
  <c r="L13" i="109"/>
  <c r="F13" i="109"/>
  <c r="D13" i="109"/>
  <c r="AA12" i="109"/>
  <c r="N12" i="109"/>
  <c r="L12" i="109"/>
  <c r="F12" i="109"/>
  <c r="D12" i="109"/>
  <c r="AA11" i="109"/>
  <c r="N11" i="109"/>
  <c r="L11" i="109"/>
  <c r="F11" i="109"/>
  <c r="D11" i="109"/>
  <c r="AA10" i="109"/>
  <c r="N10" i="109"/>
  <c r="L10" i="109"/>
  <c r="F10" i="109"/>
  <c r="D10" i="109"/>
  <c r="AA9" i="109"/>
  <c r="N9" i="109"/>
  <c r="L9" i="109"/>
  <c r="F9" i="109"/>
  <c r="D9" i="109"/>
  <c r="AA8" i="109"/>
  <c r="N8" i="109"/>
  <c r="L8" i="109"/>
  <c r="F8" i="109"/>
  <c r="D8" i="109"/>
  <c r="AA7" i="109"/>
  <c r="N7" i="109"/>
  <c r="L7" i="109"/>
  <c r="F7" i="109"/>
  <c r="D7" i="109"/>
  <c r="AA6" i="109"/>
  <c r="N6" i="109"/>
  <c r="L6" i="109"/>
  <c r="F6" i="109"/>
  <c r="D6" i="109"/>
  <c r="AA5" i="109"/>
  <c r="N5" i="109"/>
  <c r="L5" i="109"/>
  <c r="F5" i="109"/>
  <c r="D5" i="109"/>
  <c r="AA69" i="165"/>
  <c r="X69" i="165"/>
  <c r="N69" i="165"/>
  <c r="L69" i="165"/>
  <c r="F69" i="165"/>
  <c r="D69" i="165"/>
  <c r="AA68" i="165"/>
  <c r="X68" i="165"/>
  <c r="N68" i="165"/>
  <c r="L68" i="165"/>
  <c r="F68" i="165"/>
  <c r="D68" i="165"/>
  <c r="AA67" i="165"/>
  <c r="X67" i="165"/>
  <c r="N67" i="165"/>
  <c r="F67" i="165"/>
  <c r="D67" i="165"/>
  <c r="AA66" i="165"/>
  <c r="X66" i="165"/>
  <c r="N66" i="165"/>
  <c r="F66" i="165"/>
  <c r="D66" i="165"/>
  <c r="AA65" i="165"/>
  <c r="X65" i="165"/>
  <c r="N65" i="165"/>
  <c r="F65" i="165"/>
  <c r="D65" i="165"/>
  <c r="AA63" i="165"/>
  <c r="X63" i="165"/>
  <c r="N63" i="165"/>
  <c r="F63" i="165"/>
  <c r="D63" i="165"/>
  <c r="AA62" i="165"/>
  <c r="X62" i="165"/>
  <c r="N62" i="165"/>
  <c r="F62" i="165"/>
  <c r="D62" i="165"/>
  <c r="AA61" i="165"/>
  <c r="X61" i="165"/>
  <c r="N61" i="165"/>
  <c r="F61" i="165"/>
  <c r="D61" i="165"/>
  <c r="AA60" i="165"/>
  <c r="X60" i="165"/>
  <c r="N60" i="165"/>
  <c r="F60" i="165"/>
  <c r="D60" i="165"/>
  <c r="AA59" i="165"/>
  <c r="X59" i="165"/>
  <c r="N59" i="165"/>
  <c r="L59" i="165"/>
  <c r="F59" i="165"/>
  <c r="D59" i="165"/>
  <c r="AA58" i="165"/>
  <c r="X58" i="165"/>
  <c r="N58" i="165"/>
  <c r="L58" i="165"/>
  <c r="F58" i="165"/>
  <c r="D58" i="165"/>
  <c r="AA57" i="165"/>
  <c r="X57" i="165"/>
  <c r="N57" i="165"/>
  <c r="L57" i="165"/>
  <c r="F57" i="165"/>
  <c r="D57" i="165"/>
  <c r="AA56" i="165"/>
  <c r="X56" i="165"/>
  <c r="N56" i="165"/>
  <c r="L56" i="165"/>
  <c r="F56" i="165"/>
  <c r="D56" i="165"/>
  <c r="AA55" i="165"/>
  <c r="X55" i="165"/>
  <c r="N55" i="165"/>
  <c r="L55" i="165"/>
  <c r="F55" i="165"/>
  <c r="D55" i="165"/>
  <c r="AA54" i="165"/>
  <c r="X54" i="165"/>
  <c r="N54" i="165"/>
  <c r="L54" i="165"/>
  <c r="F54" i="165"/>
  <c r="D54" i="165"/>
  <c r="AA53" i="165"/>
  <c r="X53" i="165"/>
  <c r="N53" i="165"/>
  <c r="L53" i="165"/>
  <c r="F53" i="165"/>
  <c r="D53" i="165"/>
  <c r="AA52" i="165"/>
  <c r="X52" i="165"/>
  <c r="N52" i="165"/>
  <c r="L52" i="165"/>
  <c r="F52" i="165"/>
  <c r="D52" i="165"/>
  <c r="AA51" i="165"/>
  <c r="X51" i="165"/>
  <c r="N51" i="165"/>
  <c r="L51" i="165"/>
  <c r="F51" i="165"/>
  <c r="D51" i="165"/>
  <c r="AA50" i="165"/>
  <c r="X50" i="165"/>
  <c r="N50" i="165"/>
  <c r="L50" i="165"/>
  <c r="F50" i="165"/>
  <c r="D50" i="165"/>
  <c r="AA49" i="165"/>
  <c r="X49" i="165"/>
  <c r="N49" i="165"/>
  <c r="L49" i="165"/>
  <c r="F49" i="165"/>
  <c r="D49" i="165"/>
  <c r="AA48" i="165"/>
  <c r="X48" i="165"/>
  <c r="N48" i="165"/>
  <c r="L48" i="165"/>
  <c r="F48" i="165"/>
  <c r="D48" i="165"/>
  <c r="AA47" i="165"/>
  <c r="X47" i="165"/>
  <c r="N47" i="165"/>
  <c r="L47" i="165"/>
  <c r="F47" i="165"/>
  <c r="D47" i="165"/>
  <c r="AA46" i="165"/>
  <c r="X46" i="165"/>
  <c r="N46" i="165"/>
  <c r="L46" i="165"/>
  <c r="F46" i="165"/>
  <c r="D46" i="165"/>
  <c r="AA45" i="165"/>
  <c r="X45" i="165"/>
  <c r="N45" i="165"/>
  <c r="L45" i="165"/>
  <c r="F45" i="165"/>
  <c r="D45" i="165"/>
  <c r="AA44" i="165"/>
  <c r="X44" i="165"/>
  <c r="N44" i="165"/>
  <c r="L44" i="165"/>
  <c r="F44" i="165"/>
  <c r="D44" i="165"/>
  <c r="AA43" i="165"/>
  <c r="X43" i="165"/>
  <c r="N43" i="165"/>
  <c r="L43" i="165"/>
  <c r="F43" i="165"/>
  <c r="D43" i="165"/>
  <c r="AA42" i="165"/>
  <c r="X42" i="165"/>
  <c r="N42" i="165"/>
  <c r="L42" i="165"/>
  <c r="F42" i="165"/>
  <c r="D42" i="165"/>
  <c r="AA41" i="165"/>
  <c r="X41" i="165"/>
  <c r="N41" i="165"/>
  <c r="L41" i="165"/>
  <c r="F41" i="165"/>
  <c r="D41" i="165"/>
  <c r="AA40" i="165"/>
  <c r="X40" i="165"/>
  <c r="N40" i="165"/>
  <c r="L40" i="165"/>
  <c r="F40" i="165"/>
  <c r="D40" i="165"/>
  <c r="AA34" i="165"/>
  <c r="N34" i="165"/>
  <c r="F34" i="165"/>
  <c r="AA33" i="165"/>
  <c r="N33" i="165"/>
  <c r="F33" i="165"/>
  <c r="AA32" i="165"/>
  <c r="N32" i="165"/>
  <c r="F32" i="165"/>
  <c r="AA31" i="165"/>
  <c r="N31" i="165"/>
  <c r="F31" i="165"/>
  <c r="AA30" i="165"/>
  <c r="N30" i="165"/>
  <c r="F30" i="165"/>
  <c r="AA29" i="165"/>
  <c r="N29" i="165"/>
  <c r="F29" i="165"/>
  <c r="AA28" i="165"/>
  <c r="N28" i="165"/>
  <c r="F28" i="165"/>
  <c r="AA27" i="165"/>
  <c r="N27" i="165"/>
  <c r="L27" i="165"/>
  <c r="F27" i="165"/>
  <c r="AA26" i="165"/>
  <c r="N26" i="165"/>
  <c r="L26" i="165"/>
  <c r="F26" i="165"/>
  <c r="AA22" i="165"/>
  <c r="N22" i="165"/>
  <c r="L22" i="165"/>
  <c r="F22" i="165"/>
  <c r="AA21" i="165"/>
  <c r="N21" i="165"/>
  <c r="L21" i="165"/>
  <c r="F21" i="165"/>
  <c r="AA20" i="165"/>
  <c r="N20" i="165"/>
  <c r="L20" i="165"/>
  <c r="F20" i="165"/>
  <c r="AA19" i="165"/>
  <c r="N19" i="165"/>
  <c r="L19" i="165"/>
  <c r="F19" i="165"/>
  <c r="AA18" i="165"/>
  <c r="N18" i="165"/>
  <c r="L18" i="165"/>
  <c r="F18" i="165"/>
  <c r="AA17" i="165"/>
  <c r="N17" i="165"/>
  <c r="L17" i="165"/>
  <c r="F17" i="165"/>
  <c r="AA16" i="165"/>
  <c r="N16" i="165"/>
  <c r="L16" i="165"/>
  <c r="F16" i="165"/>
  <c r="AA15" i="165"/>
  <c r="N15" i="165"/>
  <c r="L15" i="165"/>
  <c r="F15" i="165"/>
  <c r="AA14" i="165"/>
  <c r="N14" i="165"/>
  <c r="L14" i="165"/>
  <c r="F14" i="165"/>
  <c r="AA13" i="165"/>
  <c r="N13" i="165"/>
  <c r="L13" i="165"/>
  <c r="F13" i="165"/>
  <c r="AA12" i="165"/>
  <c r="N12" i="165"/>
  <c r="L12" i="165"/>
  <c r="F12" i="165"/>
  <c r="AA11" i="165"/>
  <c r="N11" i="165"/>
  <c r="L11" i="165"/>
  <c r="F11" i="165"/>
  <c r="AA10" i="165"/>
  <c r="N10" i="165"/>
  <c r="L10" i="165"/>
  <c r="F10" i="165"/>
  <c r="AA9" i="165"/>
  <c r="N9" i="165"/>
  <c r="L9" i="165"/>
  <c r="F9" i="165"/>
  <c r="AA8" i="165"/>
  <c r="N8" i="165"/>
  <c r="L8" i="165"/>
  <c r="F8" i="165"/>
  <c r="AA7" i="165"/>
  <c r="N7" i="165"/>
  <c r="L7" i="165"/>
  <c r="F7" i="165"/>
  <c r="AA6" i="165"/>
  <c r="N6" i="165"/>
  <c r="L6" i="165"/>
  <c r="F6" i="165"/>
  <c r="AA5" i="165"/>
  <c r="N5" i="165"/>
  <c r="L5" i="165"/>
  <c r="F5" i="165"/>
  <c r="D71" i="104"/>
  <c r="AA70" i="104"/>
  <c r="N70" i="104"/>
  <c r="F70" i="104"/>
  <c r="D70" i="104"/>
  <c r="AA69" i="104"/>
  <c r="N69" i="104"/>
  <c r="F69" i="104"/>
  <c r="D69" i="104"/>
  <c r="AA68" i="104"/>
  <c r="D68" i="104"/>
  <c r="AB68" i="104" s="1"/>
  <c r="AA67" i="104"/>
  <c r="D67" i="104"/>
  <c r="AB67" i="104" s="1"/>
  <c r="AA66" i="104"/>
  <c r="D66" i="104"/>
  <c r="AB66" i="104" s="1"/>
  <c r="AA65" i="104"/>
  <c r="N65" i="104"/>
  <c r="F65" i="104"/>
  <c r="D65" i="104"/>
  <c r="AA64" i="104"/>
  <c r="N64" i="104"/>
  <c r="F64" i="104"/>
  <c r="D64" i="104"/>
  <c r="AA63" i="104"/>
  <c r="N63" i="104"/>
  <c r="F63" i="104"/>
  <c r="D63" i="104"/>
  <c r="AA62" i="104"/>
  <c r="N62" i="104"/>
  <c r="F62" i="104"/>
  <c r="D62" i="104"/>
  <c r="AA61" i="104"/>
  <c r="N61" i="104"/>
  <c r="F61" i="104"/>
  <c r="D61" i="104"/>
  <c r="AA60" i="104"/>
  <c r="N60" i="104"/>
  <c r="L60" i="104"/>
  <c r="F60" i="104"/>
  <c r="D60" i="104"/>
  <c r="AA59" i="104"/>
  <c r="N59" i="104"/>
  <c r="L59" i="104"/>
  <c r="F59" i="104"/>
  <c r="D59" i="104"/>
  <c r="AA58" i="104"/>
  <c r="N58" i="104"/>
  <c r="L58" i="104"/>
  <c r="F58" i="104"/>
  <c r="D58" i="104"/>
  <c r="AA57" i="104"/>
  <c r="N57" i="104"/>
  <c r="L57" i="104"/>
  <c r="F57" i="104"/>
  <c r="D57" i="104"/>
  <c r="AA56" i="104"/>
  <c r="N56" i="104"/>
  <c r="L56" i="104"/>
  <c r="F56" i="104"/>
  <c r="D56" i="104"/>
  <c r="AA55" i="104"/>
  <c r="N55" i="104"/>
  <c r="L55" i="104"/>
  <c r="F55" i="104"/>
  <c r="D55" i="104"/>
  <c r="AA54" i="104"/>
  <c r="N54" i="104"/>
  <c r="L54" i="104"/>
  <c r="F54" i="104"/>
  <c r="D54" i="104"/>
  <c r="AA53" i="104"/>
  <c r="N53" i="104"/>
  <c r="L53" i="104"/>
  <c r="F53" i="104"/>
  <c r="D53" i="104"/>
  <c r="AA52" i="104"/>
  <c r="N52" i="104"/>
  <c r="L52" i="104"/>
  <c r="F52" i="104"/>
  <c r="D52" i="104"/>
  <c r="AA51" i="104"/>
  <c r="N51" i="104"/>
  <c r="L51" i="104"/>
  <c r="F51" i="104"/>
  <c r="D51" i="104"/>
  <c r="AA50" i="104"/>
  <c r="N50" i="104"/>
  <c r="L50" i="104"/>
  <c r="F50" i="104"/>
  <c r="D50" i="104"/>
  <c r="AA49" i="104"/>
  <c r="N49" i="104"/>
  <c r="L49" i="104"/>
  <c r="F49" i="104"/>
  <c r="D49" i="104"/>
  <c r="AA48" i="104"/>
  <c r="N48" i="104"/>
  <c r="L48" i="104"/>
  <c r="F48" i="104"/>
  <c r="D48" i="104"/>
  <c r="AA47" i="104"/>
  <c r="N47" i="104"/>
  <c r="L47" i="104"/>
  <c r="F47" i="104"/>
  <c r="D47" i="104"/>
  <c r="AA46" i="104"/>
  <c r="N46" i="104"/>
  <c r="L46" i="104"/>
  <c r="F46" i="104"/>
  <c r="D46" i="104"/>
  <c r="AA45" i="104"/>
  <c r="N45" i="104"/>
  <c r="L45" i="104"/>
  <c r="F45" i="104"/>
  <c r="D45" i="104"/>
  <c r="AA44" i="104"/>
  <c r="N44" i="104"/>
  <c r="L44" i="104"/>
  <c r="F44" i="104"/>
  <c r="D44" i="104"/>
  <c r="AA43" i="104"/>
  <c r="N43" i="104"/>
  <c r="L43" i="104"/>
  <c r="F43" i="104"/>
  <c r="D43" i="104"/>
  <c r="AA42" i="104"/>
  <c r="N42" i="104"/>
  <c r="L42" i="104"/>
  <c r="F42" i="104"/>
  <c r="D42" i="104"/>
  <c r="AA41" i="104"/>
  <c r="N41" i="104"/>
  <c r="L41" i="104"/>
  <c r="F41" i="104"/>
  <c r="D41" i="104"/>
  <c r="AA34" i="104"/>
  <c r="N34" i="104"/>
  <c r="F34" i="104"/>
  <c r="AA33" i="104"/>
  <c r="N33" i="104"/>
  <c r="F33" i="104"/>
  <c r="AA32" i="104"/>
  <c r="N32" i="104"/>
  <c r="F32" i="104"/>
  <c r="AA31" i="104"/>
  <c r="N31" i="104"/>
  <c r="F31" i="104"/>
  <c r="AA30" i="104"/>
  <c r="N30" i="104"/>
  <c r="F30" i="104"/>
  <c r="AA29" i="104"/>
  <c r="N29" i="104"/>
  <c r="F29" i="104"/>
  <c r="AA28" i="104"/>
  <c r="N28" i="104"/>
  <c r="F28" i="104"/>
  <c r="AA27" i="104"/>
  <c r="N27" i="104"/>
  <c r="L27" i="104"/>
  <c r="F27" i="104"/>
  <c r="AA26" i="104"/>
  <c r="N26" i="104"/>
  <c r="L26" i="104"/>
  <c r="F26" i="104"/>
  <c r="AA22" i="104"/>
  <c r="N22" i="104"/>
  <c r="L22" i="104"/>
  <c r="F22" i="104"/>
  <c r="AA21" i="104"/>
  <c r="N21" i="104"/>
  <c r="L21" i="104"/>
  <c r="F21" i="104"/>
  <c r="AA20" i="104"/>
  <c r="N20" i="104"/>
  <c r="L20" i="104"/>
  <c r="F20" i="104"/>
  <c r="AA19" i="104"/>
  <c r="N19" i="104"/>
  <c r="L19" i="104"/>
  <c r="F19" i="104"/>
  <c r="AA18" i="104"/>
  <c r="N18" i="104"/>
  <c r="L18" i="104"/>
  <c r="F18" i="104"/>
  <c r="AA17" i="104"/>
  <c r="N17" i="104"/>
  <c r="L17" i="104"/>
  <c r="F17" i="104"/>
  <c r="AA16" i="104"/>
  <c r="N16" i="104"/>
  <c r="L16" i="104"/>
  <c r="F16" i="104"/>
  <c r="AA15" i="104"/>
  <c r="N15" i="104"/>
  <c r="L15" i="104"/>
  <c r="F15" i="104"/>
  <c r="AA14" i="104"/>
  <c r="N14" i="104"/>
  <c r="L14" i="104"/>
  <c r="F14" i="104"/>
  <c r="AA13" i="104"/>
  <c r="N13" i="104"/>
  <c r="L13" i="104"/>
  <c r="F13" i="104"/>
  <c r="AA12" i="104"/>
  <c r="N12" i="104"/>
  <c r="L12" i="104"/>
  <c r="F12" i="104"/>
  <c r="AA11" i="104"/>
  <c r="N11" i="104"/>
  <c r="L11" i="104"/>
  <c r="F11" i="104"/>
  <c r="AA10" i="104"/>
  <c r="N10" i="104"/>
  <c r="L10" i="104"/>
  <c r="F10" i="104"/>
  <c r="AA9" i="104"/>
  <c r="N9" i="104"/>
  <c r="L9" i="104"/>
  <c r="F9" i="104"/>
  <c r="AA8" i="104"/>
  <c r="N8" i="104"/>
  <c r="L8" i="104"/>
  <c r="F8" i="104"/>
  <c r="AA7" i="104"/>
  <c r="N7" i="104"/>
  <c r="L7" i="104"/>
  <c r="F7" i="104"/>
  <c r="AA6" i="104"/>
  <c r="N6" i="104"/>
  <c r="L6" i="104"/>
  <c r="F6" i="104"/>
  <c r="AA5" i="104"/>
  <c r="N5" i="104"/>
  <c r="L5" i="104"/>
  <c r="F5" i="104"/>
  <c r="W1314" i="169"/>
  <c r="Q1314" i="169"/>
  <c r="P1314" i="169"/>
  <c r="O1314" i="169"/>
  <c r="L1314" i="169"/>
  <c r="K1314" i="169"/>
  <c r="J1314" i="169"/>
  <c r="F1314" i="169"/>
  <c r="D1314" i="169"/>
  <c r="E1314" i="169" s="1"/>
  <c r="B1314" i="169"/>
  <c r="A1314" i="169"/>
  <c r="W47" i="169"/>
  <c r="Q47" i="169"/>
  <c r="P47" i="169"/>
  <c r="O47" i="169"/>
  <c r="AO47" i="169" s="1"/>
  <c r="L47" i="169"/>
  <c r="AM47" i="169" s="1"/>
  <c r="K47" i="169"/>
  <c r="AL47" i="169" s="1"/>
  <c r="J47" i="169"/>
  <c r="AK47" i="169" s="1"/>
  <c r="F47" i="169"/>
  <c r="D47" i="169"/>
  <c r="E47" i="169" s="1"/>
  <c r="B47" i="169"/>
  <c r="A47" i="169"/>
  <c r="W46" i="169"/>
  <c r="Q46" i="169"/>
  <c r="U46" i="169" s="1"/>
  <c r="AQ46" i="169" s="1"/>
  <c r="P46" i="169"/>
  <c r="O46" i="169"/>
  <c r="AO46" i="169" s="1"/>
  <c r="L46" i="169"/>
  <c r="AM46" i="169" s="1"/>
  <c r="K46" i="169"/>
  <c r="AL46" i="169" s="1"/>
  <c r="J46" i="169"/>
  <c r="AK46" i="169" s="1"/>
  <c r="F46" i="169"/>
  <c r="D46" i="169"/>
  <c r="E46" i="169" s="1"/>
  <c r="B46" i="169"/>
  <c r="A46" i="169"/>
  <c r="W45" i="169"/>
  <c r="Q45" i="169"/>
  <c r="U45" i="169" s="1"/>
  <c r="AQ45" i="169" s="1"/>
  <c r="P45" i="169"/>
  <c r="O45" i="169"/>
  <c r="AO45" i="169" s="1"/>
  <c r="L45" i="169"/>
  <c r="AM45" i="169" s="1"/>
  <c r="K45" i="169"/>
  <c r="AL45" i="169" s="1"/>
  <c r="J45" i="169"/>
  <c r="AK45" i="169" s="1"/>
  <c r="F45" i="169"/>
  <c r="D45" i="169"/>
  <c r="E45" i="169" s="1"/>
  <c r="B45" i="169"/>
  <c r="A45" i="169"/>
  <c r="W44" i="169"/>
  <c r="Q44" i="169"/>
  <c r="S44" i="169" s="1"/>
  <c r="AP44" i="169" s="1"/>
  <c r="P44" i="169"/>
  <c r="O44" i="169"/>
  <c r="AO44" i="169" s="1"/>
  <c r="L44" i="169"/>
  <c r="AM44" i="169" s="1"/>
  <c r="K44" i="169"/>
  <c r="AL44" i="169" s="1"/>
  <c r="J44" i="169"/>
  <c r="AK44" i="169" s="1"/>
  <c r="F44" i="169"/>
  <c r="D44" i="169"/>
  <c r="E44" i="169" s="1"/>
  <c r="B44" i="169"/>
  <c r="A44" i="169"/>
  <c r="W43" i="169"/>
  <c r="Q43" i="169"/>
  <c r="U43" i="169" s="1"/>
  <c r="AQ43" i="169" s="1"/>
  <c r="P43" i="169"/>
  <c r="O43" i="169"/>
  <c r="AO43" i="169" s="1"/>
  <c r="L43" i="169"/>
  <c r="AM43" i="169" s="1"/>
  <c r="K43" i="169"/>
  <c r="AL43" i="169" s="1"/>
  <c r="J43" i="169"/>
  <c r="AK43" i="169" s="1"/>
  <c r="F43" i="169"/>
  <c r="D43" i="169"/>
  <c r="E43" i="169" s="1"/>
  <c r="B43" i="169"/>
  <c r="A43" i="169"/>
  <c r="W42" i="169"/>
  <c r="Q42" i="169"/>
  <c r="U42" i="169" s="1"/>
  <c r="AQ42" i="169" s="1"/>
  <c r="P42" i="169"/>
  <c r="O42" i="169"/>
  <c r="AO42" i="169" s="1"/>
  <c r="L42" i="169"/>
  <c r="AM42" i="169" s="1"/>
  <c r="K42" i="169"/>
  <c r="AL42" i="169" s="1"/>
  <c r="J42" i="169"/>
  <c r="AK42" i="169" s="1"/>
  <c r="F42" i="169"/>
  <c r="D42" i="169"/>
  <c r="E42" i="169" s="1"/>
  <c r="B42" i="169"/>
  <c r="A42" i="169"/>
  <c r="W41" i="169"/>
  <c r="Q41" i="169"/>
  <c r="P41" i="169"/>
  <c r="O41" i="169"/>
  <c r="AO41" i="169" s="1"/>
  <c r="L41" i="169"/>
  <c r="AM41" i="169" s="1"/>
  <c r="K41" i="169"/>
  <c r="AL41" i="169" s="1"/>
  <c r="J41" i="169"/>
  <c r="AK41" i="169" s="1"/>
  <c r="F41" i="169"/>
  <c r="D41" i="169"/>
  <c r="E41" i="169" s="1"/>
  <c r="B41" i="169"/>
  <c r="A41" i="169"/>
  <c r="W40" i="169"/>
  <c r="Q40" i="169"/>
  <c r="S40" i="169" s="1"/>
  <c r="AP40" i="169" s="1"/>
  <c r="P40" i="169"/>
  <c r="O40" i="169"/>
  <c r="AO40" i="169" s="1"/>
  <c r="L40" i="169"/>
  <c r="AM40" i="169" s="1"/>
  <c r="K40" i="169"/>
  <c r="AL40" i="169" s="1"/>
  <c r="J40" i="169"/>
  <c r="AK40" i="169" s="1"/>
  <c r="F40" i="169"/>
  <c r="D40" i="169"/>
  <c r="E40" i="169" s="1"/>
  <c r="B40" i="169"/>
  <c r="A40" i="169"/>
  <c r="W39" i="169"/>
  <c r="Q39" i="169"/>
  <c r="S39" i="169" s="1"/>
  <c r="AP39" i="169" s="1"/>
  <c r="P39" i="169"/>
  <c r="O39" i="169"/>
  <c r="AO39" i="169" s="1"/>
  <c r="L39" i="169"/>
  <c r="AM39" i="169" s="1"/>
  <c r="K39" i="169"/>
  <c r="AL39" i="169" s="1"/>
  <c r="J39" i="169"/>
  <c r="AK39" i="169" s="1"/>
  <c r="F39" i="169"/>
  <c r="D39" i="169"/>
  <c r="E39" i="169" s="1"/>
  <c r="B39" i="169"/>
  <c r="A39" i="169"/>
  <c r="W38" i="169"/>
  <c r="Q38" i="169"/>
  <c r="U38" i="169" s="1"/>
  <c r="AQ38" i="169" s="1"/>
  <c r="P38" i="169"/>
  <c r="O38" i="169"/>
  <c r="AO38" i="169" s="1"/>
  <c r="L38" i="169"/>
  <c r="AM38" i="169" s="1"/>
  <c r="K38" i="169"/>
  <c r="AL38" i="169" s="1"/>
  <c r="J38" i="169"/>
  <c r="AK38" i="169" s="1"/>
  <c r="F38" i="169"/>
  <c r="D38" i="169"/>
  <c r="E38" i="169" s="1"/>
  <c r="B38" i="169"/>
  <c r="A38" i="169"/>
  <c r="W37" i="169"/>
  <c r="Q37" i="169"/>
  <c r="U37" i="169" s="1"/>
  <c r="AQ37" i="169" s="1"/>
  <c r="P37" i="169"/>
  <c r="O37" i="169"/>
  <c r="AO37" i="169" s="1"/>
  <c r="L37" i="169"/>
  <c r="AM37" i="169" s="1"/>
  <c r="K37" i="169"/>
  <c r="AL37" i="169" s="1"/>
  <c r="J37" i="169"/>
  <c r="AK37" i="169" s="1"/>
  <c r="F37" i="169"/>
  <c r="D37" i="169"/>
  <c r="E37" i="169" s="1"/>
  <c r="B37" i="169"/>
  <c r="A37" i="169"/>
  <c r="W36" i="169"/>
  <c r="Q36" i="169"/>
  <c r="P36" i="169"/>
  <c r="O36" i="169"/>
  <c r="AO36" i="169" s="1"/>
  <c r="L36" i="169"/>
  <c r="AM36" i="169" s="1"/>
  <c r="K36" i="169"/>
  <c r="AL36" i="169" s="1"/>
  <c r="J36" i="169"/>
  <c r="AK36" i="169" s="1"/>
  <c r="F36" i="169"/>
  <c r="D36" i="169"/>
  <c r="E36" i="169" s="1"/>
  <c r="B36" i="169"/>
  <c r="A36" i="169"/>
  <c r="W35" i="169"/>
  <c r="Q35" i="169"/>
  <c r="U35" i="169" s="1"/>
  <c r="AQ35" i="169" s="1"/>
  <c r="P35" i="169"/>
  <c r="O35" i="169"/>
  <c r="AO35" i="169" s="1"/>
  <c r="L35" i="169"/>
  <c r="AM35" i="169" s="1"/>
  <c r="K35" i="169"/>
  <c r="AL35" i="169" s="1"/>
  <c r="J35" i="169"/>
  <c r="AK35" i="169" s="1"/>
  <c r="F35" i="169"/>
  <c r="D35" i="169"/>
  <c r="E35" i="169" s="1"/>
  <c r="B35" i="169"/>
  <c r="A35" i="169"/>
  <c r="W34" i="169"/>
  <c r="Q34" i="169"/>
  <c r="U34" i="169" s="1"/>
  <c r="AQ34" i="169" s="1"/>
  <c r="P34" i="169"/>
  <c r="O34" i="169"/>
  <c r="AO34" i="169" s="1"/>
  <c r="L34" i="169"/>
  <c r="AM34" i="169" s="1"/>
  <c r="K34" i="169"/>
  <c r="AL34" i="169" s="1"/>
  <c r="J34" i="169"/>
  <c r="AK34" i="169" s="1"/>
  <c r="F34" i="169"/>
  <c r="D34" i="169"/>
  <c r="E34" i="169" s="1"/>
  <c r="B34" i="169"/>
  <c r="A34" i="169"/>
  <c r="W33" i="169"/>
  <c r="Q33" i="169"/>
  <c r="S33" i="169" s="1"/>
  <c r="AP33" i="169" s="1"/>
  <c r="P33" i="169"/>
  <c r="O33" i="169"/>
  <c r="AO33" i="169" s="1"/>
  <c r="L33" i="169"/>
  <c r="AM33" i="169" s="1"/>
  <c r="K33" i="169"/>
  <c r="AL33" i="169" s="1"/>
  <c r="J33" i="169"/>
  <c r="AK33" i="169" s="1"/>
  <c r="F33" i="169"/>
  <c r="D33" i="169"/>
  <c r="E33" i="169" s="1"/>
  <c r="B33" i="169"/>
  <c r="A33" i="169"/>
  <c r="W32" i="169"/>
  <c r="Q32" i="169"/>
  <c r="S32" i="169" s="1"/>
  <c r="AP32" i="169" s="1"/>
  <c r="P32" i="169"/>
  <c r="O32" i="169"/>
  <c r="AO32" i="169" s="1"/>
  <c r="L32" i="169"/>
  <c r="AM32" i="169" s="1"/>
  <c r="K32" i="169"/>
  <c r="AL32" i="169" s="1"/>
  <c r="J32" i="169"/>
  <c r="AK32" i="169" s="1"/>
  <c r="F32" i="169"/>
  <c r="D32" i="169"/>
  <c r="E32" i="169" s="1"/>
  <c r="B32" i="169"/>
  <c r="A32" i="169"/>
  <c r="W31" i="169"/>
  <c r="Q31" i="169"/>
  <c r="S31" i="169" s="1"/>
  <c r="AP31" i="169" s="1"/>
  <c r="P31" i="169"/>
  <c r="O31" i="169"/>
  <c r="AO31" i="169" s="1"/>
  <c r="L31" i="169"/>
  <c r="AM31" i="169" s="1"/>
  <c r="K31" i="169"/>
  <c r="AL31" i="169" s="1"/>
  <c r="J31" i="169"/>
  <c r="AK31" i="169" s="1"/>
  <c r="F31" i="169"/>
  <c r="D31" i="169"/>
  <c r="E31" i="169" s="1"/>
  <c r="B31" i="169"/>
  <c r="A31" i="169"/>
  <c r="W30" i="169"/>
  <c r="Q30" i="169"/>
  <c r="U30" i="169" s="1"/>
  <c r="AQ30" i="169" s="1"/>
  <c r="P30" i="169"/>
  <c r="O30" i="169"/>
  <c r="AO30" i="169" s="1"/>
  <c r="L30" i="169"/>
  <c r="AM30" i="169" s="1"/>
  <c r="K30" i="169"/>
  <c r="AL30" i="169" s="1"/>
  <c r="J30" i="169"/>
  <c r="AK30" i="169" s="1"/>
  <c r="F30" i="169"/>
  <c r="D30" i="169"/>
  <c r="E30" i="169" s="1"/>
  <c r="B30" i="169"/>
  <c r="A30" i="169"/>
  <c r="W29" i="169"/>
  <c r="Q29" i="169"/>
  <c r="S29" i="169" s="1"/>
  <c r="AP29" i="169" s="1"/>
  <c r="P29" i="169"/>
  <c r="O29" i="169"/>
  <c r="AO29" i="169" s="1"/>
  <c r="L29" i="169"/>
  <c r="AM29" i="169" s="1"/>
  <c r="K29" i="169"/>
  <c r="AL29" i="169" s="1"/>
  <c r="J29" i="169"/>
  <c r="AK29" i="169" s="1"/>
  <c r="F29" i="169"/>
  <c r="D29" i="169"/>
  <c r="E29" i="169" s="1"/>
  <c r="B29" i="169"/>
  <c r="A29" i="169"/>
  <c r="W28" i="169"/>
  <c r="Q28" i="169"/>
  <c r="S28" i="169" s="1"/>
  <c r="AP28" i="169" s="1"/>
  <c r="P28" i="169"/>
  <c r="O28" i="169"/>
  <c r="AO28" i="169" s="1"/>
  <c r="L28" i="169"/>
  <c r="AM28" i="169" s="1"/>
  <c r="K28" i="169"/>
  <c r="AL28" i="169" s="1"/>
  <c r="J28" i="169"/>
  <c r="AK28" i="169" s="1"/>
  <c r="F28" i="169"/>
  <c r="D28" i="169"/>
  <c r="E28" i="169" s="1"/>
  <c r="B28" i="169"/>
  <c r="A28" i="169"/>
  <c r="W27" i="169"/>
  <c r="Q27" i="169"/>
  <c r="U27" i="169" s="1"/>
  <c r="AQ27" i="169" s="1"/>
  <c r="P27" i="169"/>
  <c r="O27" i="169"/>
  <c r="AO27" i="169" s="1"/>
  <c r="L27" i="169"/>
  <c r="AM27" i="169" s="1"/>
  <c r="K27" i="169"/>
  <c r="AL27" i="169" s="1"/>
  <c r="J27" i="169"/>
  <c r="AK27" i="169" s="1"/>
  <c r="F27" i="169"/>
  <c r="D27" i="169"/>
  <c r="E27" i="169" s="1"/>
  <c r="B27" i="169"/>
  <c r="A27" i="169"/>
  <c r="W26" i="169"/>
  <c r="Q26" i="169"/>
  <c r="U26" i="169" s="1"/>
  <c r="AQ26" i="169" s="1"/>
  <c r="P26" i="169"/>
  <c r="O26" i="169"/>
  <c r="AO26" i="169" s="1"/>
  <c r="L26" i="169"/>
  <c r="AM26" i="169" s="1"/>
  <c r="K26" i="169"/>
  <c r="AL26" i="169" s="1"/>
  <c r="J26" i="169"/>
  <c r="AK26" i="169" s="1"/>
  <c r="F26" i="169"/>
  <c r="D26" i="169"/>
  <c r="E26" i="169" s="1"/>
  <c r="B26" i="169"/>
  <c r="A26" i="169"/>
  <c r="W25" i="169"/>
  <c r="Q25" i="169"/>
  <c r="S25" i="169" s="1"/>
  <c r="AP25" i="169" s="1"/>
  <c r="P25" i="169"/>
  <c r="O25" i="169"/>
  <c r="AO25" i="169" s="1"/>
  <c r="L25" i="169"/>
  <c r="AM25" i="169" s="1"/>
  <c r="K25" i="169"/>
  <c r="AL25" i="169" s="1"/>
  <c r="J25" i="169"/>
  <c r="AK25" i="169" s="1"/>
  <c r="F25" i="169"/>
  <c r="D25" i="169"/>
  <c r="E25" i="169" s="1"/>
  <c r="B25" i="169"/>
  <c r="A25" i="169"/>
  <c r="W24" i="169"/>
  <c r="Q24" i="169"/>
  <c r="S24" i="169" s="1"/>
  <c r="AP24" i="169" s="1"/>
  <c r="P24" i="169"/>
  <c r="O24" i="169"/>
  <c r="AO24" i="169" s="1"/>
  <c r="L24" i="169"/>
  <c r="AM24" i="169" s="1"/>
  <c r="K24" i="169"/>
  <c r="AL24" i="169" s="1"/>
  <c r="J24" i="169"/>
  <c r="AK24" i="169" s="1"/>
  <c r="F24" i="169"/>
  <c r="D24" i="169"/>
  <c r="E24" i="169" s="1"/>
  <c r="B24" i="169"/>
  <c r="A24" i="169"/>
  <c r="W23" i="169"/>
  <c r="Q23" i="169"/>
  <c r="U23" i="169" s="1"/>
  <c r="AQ23" i="169" s="1"/>
  <c r="P23" i="169"/>
  <c r="O23" i="169"/>
  <c r="AO23" i="169" s="1"/>
  <c r="L23" i="169"/>
  <c r="AM23" i="169" s="1"/>
  <c r="K23" i="169"/>
  <c r="AL23" i="169" s="1"/>
  <c r="J23" i="169"/>
  <c r="AK23" i="169" s="1"/>
  <c r="F23" i="169"/>
  <c r="D23" i="169"/>
  <c r="E23" i="169" s="1"/>
  <c r="B23" i="169"/>
  <c r="A23" i="169"/>
  <c r="W22" i="169"/>
  <c r="Q22" i="169"/>
  <c r="P22" i="169"/>
  <c r="O22" i="169"/>
  <c r="AO22" i="169" s="1"/>
  <c r="L22" i="169"/>
  <c r="AM22" i="169" s="1"/>
  <c r="K22" i="169"/>
  <c r="AL22" i="169" s="1"/>
  <c r="J22" i="169"/>
  <c r="AK22" i="169" s="1"/>
  <c r="F22" i="169"/>
  <c r="D22" i="169"/>
  <c r="E22" i="169" s="1"/>
  <c r="B22" i="169"/>
  <c r="A22" i="169"/>
  <c r="W21" i="169"/>
  <c r="Q21" i="169"/>
  <c r="S21" i="169" s="1"/>
  <c r="AP21" i="169" s="1"/>
  <c r="P21" i="169"/>
  <c r="O21" i="169"/>
  <c r="AO21" i="169" s="1"/>
  <c r="L21" i="169"/>
  <c r="AM21" i="169" s="1"/>
  <c r="K21" i="169"/>
  <c r="AL21" i="169" s="1"/>
  <c r="J21" i="169"/>
  <c r="AK21" i="169" s="1"/>
  <c r="F21" i="169"/>
  <c r="D21" i="169"/>
  <c r="E21" i="169" s="1"/>
  <c r="B21" i="169"/>
  <c r="A21" i="169"/>
  <c r="W20" i="169"/>
  <c r="Q20" i="169"/>
  <c r="U20" i="169" s="1"/>
  <c r="AQ20" i="169" s="1"/>
  <c r="P20" i="169"/>
  <c r="O20" i="169"/>
  <c r="AO20" i="169" s="1"/>
  <c r="L20" i="169"/>
  <c r="AM20" i="169" s="1"/>
  <c r="K20" i="169"/>
  <c r="AL20" i="169" s="1"/>
  <c r="J20" i="169"/>
  <c r="AK20" i="169" s="1"/>
  <c r="F20" i="169"/>
  <c r="D20" i="169"/>
  <c r="E20" i="169" s="1"/>
  <c r="B20" i="169"/>
  <c r="A20" i="169"/>
  <c r="W19" i="169"/>
  <c r="Q19" i="169"/>
  <c r="S19" i="169" s="1"/>
  <c r="AP19" i="169" s="1"/>
  <c r="P19" i="169"/>
  <c r="O19" i="169"/>
  <c r="AO19" i="169" s="1"/>
  <c r="L19" i="169"/>
  <c r="AM19" i="169" s="1"/>
  <c r="K19" i="169"/>
  <c r="AL19" i="169" s="1"/>
  <c r="J19" i="169"/>
  <c r="AK19" i="169" s="1"/>
  <c r="F19" i="169"/>
  <c r="D19" i="169"/>
  <c r="E19" i="169" s="1"/>
  <c r="B19" i="169"/>
  <c r="A19" i="169"/>
  <c r="W18" i="169"/>
  <c r="Q18" i="169"/>
  <c r="S18" i="169" s="1"/>
  <c r="AP18" i="169" s="1"/>
  <c r="P18" i="169"/>
  <c r="O18" i="169"/>
  <c r="AO18" i="169" s="1"/>
  <c r="L18" i="169"/>
  <c r="AM18" i="169" s="1"/>
  <c r="K18" i="169"/>
  <c r="AL18" i="169" s="1"/>
  <c r="J18" i="169"/>
  <c r="AK18" i="169" s="1"/>
  <c r="F18" i="169"/>
  <c r="D18" i="169"/>
  <c r="E18" i="169" s="1"/>
  <c r="B18" i="169"/>
  <c r="A18" i="169"/>
  <c r="W17" i="169"/>
  <c r="Q17" i="169"/>
  <c r="U17" i="169" s="1"/>
  <c r="AQ17" i="169" s="1"/>
  <c r="P17" i="169"/>
  <c r="O17" i="169"/>
  <c r="AO17" i="169" s="1"/>
  <c r="L17" i="169"/>
  <c r="AM17" i="169" s="1"/>
  <c r="K17" i="169"/>
  <c r="AL17" i="169" s="1"/>
  <c r="J17" i="169"/>
  <c r="AK17" i="169" s="1"/>
  <c r="F17" i="169"/>
  <c r="D17" i="169"/>
  <c r="E17" i="169" s="1"/>
  <c r="B17" i="169"/>
  <c r="A17" i="169"/>
  <c r="W16" i="169"/>
  <c r="Q16" i="169"/>
  <c r="S16" i="169" s="1"/>
  <c r="AP16" i="169" s="1"/>
  <c r="P16" i="169"/>
  <c r="O16" i="169"/>
  <c r="AO16" i="169" s="1"/>
  <c r="L16" i="169"/>
  <c r="AM16" i="169" s="1"/>
  <c r="K16" i="169"/>
  <c r="AL16" i="169" s="1"/>
  <c r="J16" i="169"/>
  <c r="AK16" i="169" s="1"/>
  <c r="F16" i="169"/>
  <c r="D16" i="169"/>
  <c r="E16" i="169" s="1"/>
  <c r="B16" i="169"/>
  <c r="A16" i="169"/>
  <c r="W15" i="169"/>
  <c r="Q15" i="169"/>
  <c r="U15" i="169" s="1"/>
  <c r="AQ15" i="169" s="1"/>
  <c r="P15" i="169"/>
  <c r="O15" i="169"/>
  <c r="AO15" i="169" s="1"/>
  <c r="L15" i="169"/>
  <c r="AM15" i="169" s="1"/>
  <c r="K15" i="169"/>
  <c r="AL15" i="169" s="1"/>
  <c r="J15" i="169"/>
  <c r="AK15" i="169" s="1"/>
  <c r="F15" i="169"/>
  <c r="D15" i="169"/>
  <c r="E15" i="169" s="1"/>
  <c r="B15" i="169"/>
  <c r="A15" i="169"/>
  <c r="W14" i="169"/>
  <c r="Q14" i="169"/>
  <c r="U14" i="169" s="1"/>
  <c r="AQ14" i="169" s="1"/>
  <c r="P14" i="169"/>
  <c r="O14" i="169"/>
  <c r="AO14" i="169" s="1"/>
  <c r="L14" i="169"/>
  <c r="AM14" i="169" s="1"/>
  <c r="K14" i="169"/>
  <c r="AL14" i="169" s="1"/>
  <c r="J14" i="169"/>
  <c r="AK14" i="169" s="1"/>
  <c r="F14" i="169"/>
  <c r="D14" i="169"/>
  <c r="E14" i="169" s="1"/>
  <c r="B14" i="169"/>
  <c r="A14" i="169"/>
  <c r="W13" i="169"/>
  <c r="Q13" i="169"/>
  <c r="U13" i="169" s="1"/>
  <c r="AQ13" i="169" s="1"/>
  <c r="P13" i="169"/>
  <c r="O13" i="169"/>
  <c r="AO13" i="169" s="1"/>
  <c r="L13" i="169"/>
  <c r="AM13" i="169" s="1"/>
  <c r="K13" i="169"/>
  <c r="AL13" i="169" s="1"/>
  <c r="J13" i="169"/>
  <c r="AK13" i="169" s="1"/>
  <c r="F13" i="169"/>
  <c r="D13" i="169"/>
  <c r="E13" i="169" s="1"/>
  <c r="B13" i="169"/>
  <c r="A13" i="169"/>
  <c r="W12" i="169"/>
  <c r="Q12" i="169"/>
  <c r="S12" i="169" s="1"/>
  <c r="AP12" i="169" s="1"/>
  <c r="P12" i="169"/>
  <c r="O12" i="169"/>
  <c r="AO12" i="169" s="1"/>
  <c r="L12" i="169"/>
  <c r="AM12" i="169" s="1"/>
  <c r="K12" i="169"/>
  <c r="AL12" i="169" s="1"/>
  <c r="J12" i="169"/>
  <c r="AK12" i="169" s="1"/>
  <c r="F12" i="169"/>
  <c r="D12" i="169"/>
  <c r="E12" i="169" s="1"/>
  <c r="B12" i="169"/>
  <c r="A12" i="169"/>
  <c r="W11" i="169"/>
  <c r="Q11" i="169"/>
  <c r="S11" i="169" s="1"/>
  <c r="AP11" i="169" s="1"/>
  <c r="P11" i="169"/>
  <c r="O11" i="169"/>
  <c r="AO11" i="169" s="1"/>
  <c r="L11" i="169"/>
  <c r="AM11" i="169" s="1"/>
  <c r="K11" i="169"/>
  <c r="AL11" i="169" s="1"/>
  <c r="J11" i="169"/>
  <c r="AK11" i="169" s="1"/>
  <c r="F11" i="169"/>
  <c r="D11" i="169"/>
  <c r="E11" i="169" s="1"/>
  <c r="B11" i="169"/>
  <c r="A11" i="169"/>
  <c r="W10" i="169"/>
  <c r="Q10" i="169"/>
  <c r="U10" i="169" s="1"/>
  <c r="AQ10" i="169" s="1"/>
  <c r="P10" i="169"/>
  <c r="O10" i="169"/>
  <c r="AO10" i="169" s="1"/>
  <c r="L10" i="169"/>
  <c r="AM10" i="169" s="1"/>
  <c r="K10" i="169"/>
  <c r="AL10" i="169" s="1"/>
  <c r="J10" i="169"/>
  <c r="AK10" i="169" s="1"/>
  <c r="F10" i="169"/>
  <c r="D10" i="169"/>
  <c r="E10" i="169" s="1"/>
  <c r="B10" i="169"/>
  <c r="A10" i="169"/>
  <c r="W9" i="169"/>
  <c r="Q9" i="169"/>
  <c r="U9" i="169" s="1"/>
  <c r="AQ9" i="169" s="1"/>
  <c r="P9" i="169"/>
  <c r="O9" i="169"/>
  <c r="AO9" i="169" s="1"/>
  <c r="L9" i="169"/>
  <c r="AM9" i="169" s="1"/>
  <c r="K9" i="169"/>
  <c r="AL9" i="169" s="1"/>
  <c r="J9" i="169"/>
  <c r="AK9" i="169" s="1"/>
  <c r="F9" i="169"/>
  <c r="D9" i="169"/>
  <c r="E9" i="169" s="1"/>
  <c r="B9" i="169"/>
  <c r="A9" i="169"/>
  <c r="W8" i="169"/>
  <c r="Q8" i="169"/>
  <c r="S8" i="169" s="1"/>
  <c r="AP8" i="169" s="1"/>
  <c r="P8" i="169"/>
  <c r="O8" i="169"/>
  <c r="AO8" i="169" s="1"/>
  <c r="L8" i="169"/>
  <c r="AM8" i="169" s="1"/>
  <c r="K8" i="169"/>
  <c r="AL8" i="169" s="1"/>
  <c r="J8" i="169"/>
  <c r="AK8" i="169" s="1"/>
  <c r="F8" i="169"/>
  <c r="D8" i="169"/>
  <c r="E8" i="169" s="1"/>
  <c r="B8" i="169"/>
  <c r="A8" i="169"/>
  <c r="W7" i="169"/>
  <c r="Q7" i="169"/>
  <c r="S7" i="169" s="1"/>
  <c r="AP7" i="169" s="1"/>
  <c r="P7" i="169"/>
  <c r="O7" i="169"/>
  <c r="AO7" i="169" s="1"/>
  <c r="L7" i="169"/>
  <c r="AM7" i="169" s="1"/>
  <c r="K7" i="169"/>
  <c r="AL7" i="169" s="1"/>
  <c r="J7" i="169"/>
  <c r="AK7" i="169" s="1"/>
  <c r="F7" i="169"/>
  <c r="D7" i="169"/>
  <c r="E7" i="169" s="1"/>
  <c r="B7" i="169"/>
  <c r="A7" i="169"/>
  <c r="W6" i="169"/>
  <c r="Q6" i="169"/>
  <c r="U6" i="169" s="1"/>
  <c r="AQ6" i="169" s="1"/>
  <c r="P6" i="169"/>
  <c r="O6" i="169"/>
  <c r="AO6" i="169" s="1"/>
  <c r="L6" i="169"/>
  <c r="AM6" i="169" s="1"/>
  <c r="K6" i="169"/>
  <c r="AL6" i="169" s="1"/>
  <c r="J6" i="169"/>
  <c r="AK6" i="169" s="1"/>
  <c r="F6" i="169"/>
  <c r="D6" i="169"/>
  <c r="E6" i="169" s="1"/>
  <c r="B6" i="169"/>
  <c r="A6" i="169"/>
  <c r="W5" i="169"/>
  <c r="Q5" i="169"/>
  <c r="S5" i="169" s="1"/>
  <c r="AP5" i="169" s="1"/>
  <c r="P5" i="169"/>
  <c r="O5" i="169"/>
  <c r="AO5" i="169" s="1"/>
  <c r="L5" i="169"/>
  <c r="AM5" i="169" s="1"/>
  <c r="K5" i="169"/>
  <c r="AL5" i="169" s="1"/>
  <c r="J5" i="169"/>
  <c r="AK5" i="169" s="1"/>
  <c r="F5" i="169"/>
  <c r="D5" i="169"/>
  <c r="E5" i="169" s="1"/>
  <c r="B5" i="169"/>
  <c r="A5" i="169"/>
  <c r="W4" i="169"/>
  <c r="Q4" i="169"/>
  <c r="U4" i="169" s="1"/>
  <c r="AQ4" i="169" s="1"/>
  <c r="P4" i="169"/>
  <c r="O4" i="169"/>
  <c r="AO4" i="169" s="1"/>
  <c r="L4" i="169"/>
  <c r="AM4" i="169" s="1"/>
  <c r="K4" i="169"/>
  <c r="AL4" i="169" s="1"/>
  <c r="J4" i="169"/>
  <c r="AK4" i="169" s="1"/>
  <c r="F4" i="169"/>
  <c r="D4" i="169"/>
  <c r="E4" i="169" s="1"/>
  <c r="B4" i="169"/>
  <c r="A4" i="169"/>
  <c r="W3" i="169"/>
  <c r="Q3" i="169"/>
  <c r="S3" i="169" s="1"/>
  <c r="AP3" i="169" s="1"/>
  <c r="P3" i="169"/>
  <c r="O3" i="169"/>
  <c r="AO3" i="169" s="1"/>
  <c r="L3" i="169"/>
  <c r="AM3" i="169" s="1"/>
  <c r="K3" i="169"/>
  <c r="AL3" i="169" s="1"/>
  <c r="J3" i="169"/>
  <c r="AK3" i="169" s="1"/>
  <c r="F3" i="169"/>
  <c r="D3" i="169"/>
  <c r="E3" i="169" s="1"/>
  <c r="B3" i="169"/>
  <c r="A3" i="169"/>
  <c r="W2" i="169"/>
  <c r="Q2" i="169"/>
  <c r="U2" i="169" s="1"/>
  <c r="AQ2" i="169" s="1"/>
  <c r="P2" i="169"/>
  <c r="O2" i="169"/>
  <c r="AO2" i="169" s="1"/>
  <c r="L2" i="169"/>
  <c r="AM2" i="169" s="1"/>
  <c r="K2" i="169"/>
  <c r="AL2" i="169" s="1"/>
  <c r="J2" i="169"/>
  <c r="AK2" i="169" s="1"/>
  <c r="F2" i="169"/>
  <c r="D2" i="169"/>
  <c r="E2" i="169" s="1"/>
  <c r="B2" i="169"/>
  <c r="A2" i="169"/>
  <c r="X905" i="169" l="1"/>
  <c r="AF905" i="169" s="1"/>
  <c r="V50" i="169"/>
  <c r="AR50" i="169" s="1"/>
  <c r="X63" i="169"/>
  <c r="AF63" i="169" s="1"/>
  <c r="X57" i="169"/>
  <c r="AF57" i="169" s="1"/>
  <c r="V88" i="169"/>
  <c r="AR88" i="169" s="1"/>
  <c r="V78" i="169"/>
  <c r="AR78" i="169" s="1"/>
  <c r="V98" i="169"/>
  <c r="AR98" i="169" s="1"/>
  <c r="V144" i="169"/>
  <c r="AR144" i="169" s="1"/>
  <c r="V134" i="169"/>
  <c r="AR134" i="169" s="1"/>
  <c r="X136" i="169"/>
  <c r="AF136" i="169" s="1"/>
  <c r="V146" i="169"/>
  <c r="AR146" i="169" s="1"/>
  <c r="V176" i="169"/>
  <c r="AR176" i="169" s="1"/>
  <c r="V153" i="169"/>
  <c r="AR153" i="169" s="1"/>
  <c r="V174" i="169"/>
  <c r="AR174" i="169" s="1"/>
  <c r="V171" i="169"/>
  <c r="AR171" i="169" s="1"/>
  <c r="X158" i="169"/>
  <c r="AF158" i="169" s="1"/>
  <c r="V197" i="169"/>
  <c r="AR197" i="169" s="1"/>
  <c r="V95" i="169"/>
  <c r="AR95" i="169" s="1"/>
  <c r="V86" i="169"/>
  <c r="AR86" i="169" s="1"/>
  <c r="V85" i="169"/>
  <c r="AR85" i="169" s="1"/>
  <c r="V81" i="169"/>
  <c r="AR81" i="169" s="1"/>
  <c r="V94" i="169"/>
  <c r="AR94" i="169" s="1"/>
  <c r="V90" i="169"/>
  <c r="AR90" i="169" s="1"/>
  <c r="V71" i="169"/>
  <c r="AR71" i="169" s="1"/>
  <c r="V72" i="169"/>
  <c r="AR72" i="169" s="1"/>
  <c r="V66" i="169"/>
  <c r="AR66" i="169" s="1"/>
  <c r="V75" i="169"/>
  <c r="AR75" i="169" s="1"/>
  <c r="V110" i="169"/>
  <c r="AR110" i="169" s="1"/>
  <c r="V113" i="169"/>
  <c r="AR113" i="169" s="1"/>
  <c r="V109" i="169"/>
  <c r="AR109" i="169" s="1"/>
  <c r="V152" i="169"/>
  <c r="AR152" i="169" s="1"/>
  <c r="V167" i="169"/>
  <c r="AR167" i="169" s="1"/>
  <c r="V161" i="169"/>
  <c r="AR161" i="169" s="1"/>
  <c r="X89" i="169"/>
  <c r="AF89" i="169" s="1"/>
  <c r="V83" i="169"/>
  <c r="AR83" i="169" s="1"/>
  <c r="V76" i="169"/>
  <c r="AR76" i="169" s="1"/>
  <c r="V67" i="169"/>
  <c r="AR67" i="169" s="1"/>
  <c r="V101" i="169"/>
  <c r="AR101" i="169" s="1"/>
  <c r="X97" i="169"/>
  <c r="AF97" i="169" s="1"/>
  <c r="V115" i="169"/>
  <c r="AR115" i="169" s="1"/>
  <c r="X70" i="169"/>
  <c r="AF70" i="169" s="1"/>
  <c r="V145" i="169"/>
  <c r="AR145" i="169" s="1"/>
  <c r="V124" i="169"/>
  <c r="AR124" i="169" s="1"/>
  <c r="V177" i="169"/>
  <c r="AR177" i="169" s="1"/>
  <c r="V175" i="169"/>
  <c r="AR175" i="169" s="1"/>
  <c r="V155" i="169"/>
  <c r="AR155" i="169" s="1"/>
  <c r="V166" i="169"/>
  <c r="AR166" i="169" s="1"/>
  <c r="V173" i="169"/>
  <c r="AR173" i="169" s="1"/>
  <c r="X49" i="169"/>
  <c r="AF49" i="169" s="1"/>
  <c r="V60" i="169"/>
  <c r="AR60" i="169" s="1"/>
  <c r="X96" i="169"/>
  <c r="AF96" i="169" s="1"/>
  <c r="V84" i="169"/>
  <c r="AR84" i="169" s="1"/>
  <c r="V69" i="169"/>
  <c r="AR69" i="169" s="1"/>
  <c r="X106" i="169"/>
  <c r="AF106" i="169" s="1"/>
  <c r="V68" i="169"/>
  <c r="AR68" i="169" s="1"/>
  <c r="X65" i="169"/>
  <c r="AF65" i="169" s="1"/>
  <c r="V118" i="169"/>
  <c r="AR118" i="169" s="1"/>
  <c r="X123" i="169"/>
  <c r="AF123" i="169" s="1"/>
  <c r="V116" i="169"/>
  <c r="AR116" i="169" s="1"/>
  <c r="V182" i="169"/>
  <c r="AR182" i="169" s="1"/>
  <c r="X154" i="169"/>
  <c r="AF154" i="169" s="1"/>
  <c r="V151" i="169"/>
  <c r="AR151" i="169" s="1"/>
  <c r="V168" i="169"/>
  <c r="AR168" i="169" s="1"/>
  <c r="X156" i="169"/>
  <c r="AF156" i="169" s="1"/>
  <c r="V156" i="169"/>
  <c r="AR156" i="169" s="1"/>
  <c r="X197" i="169"/>
  <c r="AF197" i="169" s="1"/>
  <c r="X173" i="169"/>
  <c r="AF173" i="169" s="1"/>
  <c r="X171" i="169"/>
  <c r="AF171" i="169" s="1"/>
  <c r="V158" i="169"/>
  <c r="AR158" i="169" s="1"/>
  <c r="X166" i="169"/>
  <c r="AF166" i="169" s="1"/>
  <c r="X174" i="169"/>
  <c r="AF174" i="169" s="1"/>
  <c r="X165" i="169"/>
  <c r="AF165" i="169" s="1"/>
  <c r="V165" i="169"/>
  <c r="AR165" i="169" s="1"/>
  <c r="V159" i="169"/>
  <c r="AR159" i="169" s="1"/>
  <c r="X159" i="169"/>
  <c r="AF159" i="169" s="1"/>
  <c r="X161" i="169"/>
  <c r="AF161" i="169" s="1"/>
  <c r="X168" i="169"/>
  <c r="AF168" i="169" s="1"/>
  <c r="X167" i="169"/>
  <c r="AF167" i="169" s="1"/>
  <c r="X151" i="169"/>
  <c r="AF151" i="169" s="1"/>
  <c r="X155" i="169"/>
  <c r="AF155" i="169" s="1"/>
  <c r="X152" i="169"/>
  <c r="AF152" i="169" s="1"/>
  <c r="X109" i="169"/>
  <c r="AF109" i="169" s="1"/>
  <c r="V154" i="169"/>
  <c r="AR154" i="169" s="1"/>
  <c r="X150" i="169"/>
  <c r="AF150" i="169" s="1"/>
  <c r="V150" i="169"/>
  <c r="AR150" i="169" s="1"/>
  <c r="X177" i="169"/>
  <c r="AF177" i="169" s="1"/>
  <c r="X153" i="169"/>
  <c r="AF153" i="169" s="1"/>
  <c r="X176" i="169"/>
  <c r="AF176" i="169" s="1"/>
  <c r="X175" i="169"/>
  <c r="AF175" i="169" s="1"/>
  <c r="X182" i="169"/>
  <c r="AF182" i="169" s="1"/>
  <c r="X116" i="169"/>
  <c r="AF116" i="169" s="1"/>
  <c r="X124" i="169"/>
  <c r="AF124" i="169" s="1"/>
  <c r="X146" i="169"/>
  <c r="AF146" i="169" s="1"/>
  <c r="V65" i="169"/>
  <c r="AR65" i="169" s="1"/>
  <c r="X113" i="169"/>
  <c r="AF113" i="169" s="1"/>
  <c r="V905" i="169"/>
  <c r="AR905" i="169" s="1"/>
  <c r="X145" i="169"/>
  <c r="AF145" i="169" s="1"/>
  <c r="V183" i="169"/>
  <c r="AR183" i="169" s="1"/>
  <c r="X183" i="169"/>
  <c r="AF183" i="169" s="1"/>
  <c r="V123" i="169"/>
  <c r="AR123" i="169" s="1"/>
  <c r="V136" i="169"/>
  <c r="AR136" i="169" s="1"/>
  <c r="X134" i="169"/>
  <c r="AF134" i="169" s="1"/>
  <c r="X144" i="169"/>
  <c r="AF144" i="169" s="1"/>
  <c r="X68" i="169"/>
  <c r="AF68" i="169" s="1"/>
  <c r="X118" i="169"/>
  <c r="AF118" i="169" s="1"/>
  <c r="V200" i="169"/>
  <c r="AR200" i="169" s="1"/>
  <c r="X200" i="169"/>
  <c r="AF200" i="169" s="1"/>
  <c r="X115" i="169"/>
  <c r="AF115" i="169" s="1"/>
  <c r="X117" i="169"/>
  <c r="AF117" i="169" s="1"/>
  <c r="V117" i="169"/>
  <c r="AR117" i="169" s="1"/>
  <c r="V70" i="169"/>
  <c r="AR70" i="169" s="1"/>
  <c r="X611" i="169"/>
  <c r="AF611" i="169" s="1"/>
  <c r="V611" i="169"/>
  <c r="AR611" i="169" s="1"/>
  <c r="X110" i="169"/>
  <c r="AF110" i="169" s="1"/>
  <c r="X119" i="169"/>
  <c r="AF119" i="169" s="1"/>
  <c r="V119" i="169"/>
  <c r="AR119" i="169" s="1"/>
  <c r="X122" i="169"/>
  <c r="AF122" i="169" s="1"/>
  <c r="V122" i="169"/>
  <c r="AR122" i="169" s="1"/>
  <c r="X128" i="169"/>
  <c r="AF128" i="169" s="1"/>
  <c r="V128" i="169"/>
  <c r="AR128" i="169" s="1"/>
  <c r="X127" i="169"/>
  <c r="AF127" i="169" s="1"/>
  <c r="V127" i="169"/>
  <c r="AR127" i="169" s="1"/>
  <c r="V97" i="169"/>
  <c r="AR97" i="169" s="1"/>
  <c r="X75" i="169"/>
  <c r="AF75" i="169" s="1"/>
  <c r="X90" i="169"/>
  <c r="AF90" i="169" s="1"/>
  <c r="X72" i="169"/>
  <c r="AF72" i="169" s="1"/>
  <c r="X67" i="169"/>
  <c r="AF67" i="169" s="1"/>
  <c r="V143" i="169"/>
  <c r="AR143" i="169" s="1"/>
  <c r="X143" i="169"/>
  <c r="AF143" i="169" s="1"/>
  <c r="X101" i="169"/>
  <c r="AF101" i="169" s="1"/>
  <c r="V141" i="169"/>
  <c r="AR141" i="169" s="1"/>
  <c r="X141" i="169"/>
  <c r="AF141" i="169" s="1"/>
  <c r="V142" i="169"/>
  <c r="AR142" i="169" s="1"/>
  <c r="X142" i="169"/>
  <c r="AF142" i="169" s="1"/>
  <c r="X98" i="169"/>
  <c r="AF98" i="169" s="1"/>
  <c r="X99" i="169"/>
  <c r="AF99" i="169" s="1"/>
  <c r="V99" i="169"/>
  <c r="AR99" i="169" s="1"/>
  <c r="X107" i="169"/>
  <c r="AF107" i="169" s="1"/>
  <c r="V107" i="169"/>
  <c r="AR107" i="169" s="1"/>
  <c r="X66" i="169"/>
  <c r="AF66" i="169" s="1"/>
  <c r="V106" i="169"/>
  <c r="AR106" i="169" s="1"/>
  <c r="X94" i="169"/>
  <c r="AF94" i="169" s="1"/>
  <c r="X69" i="169"/>
  <c r="AF69" i="169" s="1"/>
  <c r="V105" i="169"/>
  <c r="AR105" i="169" s="1"/>
  <c r="X105" i="169"/>
  <c r="AF105" i="169" s="1"/>
  <c r="X71" i="169"/>
  <c r="AF71" i="169" s="1"/>
  <c r="X76" i="169"/>
  <c r="AF76" i="169" s="1"/>
  <c r="X83" i="169"/>
  <c r="AF83" i="169" s="1"/>
  <c r="X85" i="169"/>
  <c r="AF85" i="169" s="1"/>
  <c r="X84" i="169"/>
  <c r="AF84" i="169" s="1"/>
  <c r="X78" i="169"/>
  <c r="AF78" i="169" s="1"/>
  <c r="V89" i="169"/>
  <c r="AR89" i="169" s="1"/>
  <c r="X81" i="169"/>
  <c r="AF81" i="169" s="1"/>
  <c r="X88" i="169"/>
  <c r="AF88" i="169" s="1"/>
  <c r="X80" i="169"/>
  <c r="AF80" i="169" s="1"/>
  <c r="V80" i="169"/>
  <c r="AR80" i="169" s="1"/>
  <c r="X86" i="169"/>
  <c r="AF86" i="169" s="1"/>
  <c r="V96" i="169"/>
  <c r="AR96" i="169" s="1"/>
  <c r="X95" i="169"/>
  <c r="AF95" i="169" s="1"/>
  <c r="V57" i="169"/>
  <c r="AR57" i="169" s="1"/>
  <c r="X60" i="169"/>
  <c r="AF60" i="169" s="1"/>
  <c r="X61" i="169"/>
  <c r="AF61" i="169" s="1"/>
  <c r="V61" i="169"/>
  <c r="AR61" i="169" s="1"/>
  <c r="V49" i="169"/>
  <c r="AR49" i="169" s="1"/>
  <c r="V63" i="169"/>
  <c r="AR63" i="169" s="1"/>
  <c r="X50" i="169"/>
  <c r="AF50" i="169" s="1"/>
  <c r="S47" i="169"/>
  <c r="AP47" i="169" s="1"/>
  <c r="U47" i="169"/>
  <c r="AQ47" i="169" s="1"/>
  <c r="S1314" i="169"/>
  <c r="U1314" i="169"/>
  <c r="V1315" i="169"/>
  <c r="X1315" i="169"/>
  <c r="AF1315" i="169" s="1"/>
  <c r="W1316" i="169"/>
  <c r="AB25" i="168"/>
  <c r="AB29" i="168"/>
  <c r="AB59" i="168"/>
  <c r="AB63" i="168"/>
  <c r="AB67" i="168"/>
  <c r="AB30" i="168"/>
  <c r="AB29" i="165"/>
  <c r="AB33" i="165"/>
  <c r="AB67" i="165"/>
  <c r="AB10" i="104"/>
  <c r="AB22" i="104"/>
  <c r="AB28" i="104"/>
  <c r="AB32" i="104"/>
  <c r="AB5" i="165"/>
  <c r="AB17" i="165"/>
  <c r="AB29" i="109"/>
  <c r="AB29" i="104"/>
  <c r="AB33" i="104"/>
  <c r="AB30" i="104"/>
  <c r="AB34" i="104"/>
  <c r="AB69" i="168"/>
  <c r="AB6" i="109"/>
  <c r="AB14" i="109"/>
  <c r="AB62" i="104"/>
  <c r="AB6" i="165"/>
  <c r="AB12" i="165"/>
  <c r="AB31" i="165"/>
  <c r="AB57" i="168"/>
  <c r="AB15" i="104"/>
  <c r="AB21" i="104"/>
  <c r="AB41" i="104"/>
  <c r="AB14" i="167"/>
  <c r="AB15" i="168"/>
  <c r="AB46" i="168"/>
  <c r="AB49" i="168"/>
  <c r="AB19" i="168"/>
  <c r="AB53" i="168"/>
  <c r="AB6" i="104"/>
  <c r="AB9" i="104"/>
  <c r="AB12" i="104"/>
  <c r="AB52" i="104"/>
  <c r="AB58" i="165"/>
  <c r="AB8" i="109"/>
  <c r="AB22" i="109"/>
  <c r="AB10" i="167"/>
  <c r="AB16" i="167"/>
  <c r="AB11" i="168"/>
  <c r="AB14" i="168"/>
  <c r="AB17" i="168"/>
  <c r="AB26" i="168"/>
  <c r="AB13" i="165"/>
  <c r="AB19" i="165"/>
  <c r="AB45" i="168"/>
  <c r="AB31" i="104"/>
  <c r="AB53" i="104"/>
  <c r="AB22" i="165"/>
  <c r="AB46" i="165"/>
  <c r="AB28" i="109"/>
  <c r="AB26" i="167"/>
  <c r="AB30" i="167"/>
  <c r="AB34" i="167"/>
  <c r="AB60" i="168"/>
  <c r="AB64" i="168"/>
  <c r="AB49" i="165"/>
  <c r="AB61" i="104"/>
  <c r="AB64" i="104"/>
  <c r="AB32" i="109"/>
  <c r="AB11" i="167"/>
  <c r="AB40" i="168"/>
  <c r="AB54" i="104"/>
  <c r="AB28" i="168"/>
  <c r="AB61" i="168"/>
  <c r="AB65" i="168"/>
  <c r="AB11" i="104"/>
  <c r="AB14" i="104"/>
  <c r="AB62" i="165"/>
  <c r="AB12" i="109"/>
  <c r="AB12" i="167"/>
  <c r="AB18" i="167"/>
  <c r="AB16" i="168"/>
  <c r="AB5" i="104"/>
  <c r="AB47" i="104"/>
  <c r="AB49" i="104"/>
  <c r="AB21" i="165"/>
  <c r="AB9" i="167"/>
  <c r="AB28" i="167"/>
  <c r="AB32" i="167"/>
  <c r="AB10" i="168"/>
  <c r="AB32" i="168"/>
  <c r="AB41" i="168"/>
  <c r="AB44" i="168"/>
  <c r="AB47" i="168"/>
  <c r="AB62" i="168"/>
  <c r="AB66" i="168"/>
  <c r="AB45" i="104"/>
  <c r="AB40" i="165"/>
  <c r="AB56" i="165"/>
  <c r="AB60" i="165"/>
  <c r="AB57" i="104"/>
  <c r="AB33" i="109"/>
  <c r="AB56" i="168"/>
  <c r="U40" i="169"/>
  <c r="U29" i="169"/>
  <c r="V6" i="169"/>
  <c r="AR6" i="169" s="1"/>
  <c r="U32" i="169"/>
  <c r="U44" i="169"/>
  <c r="S37" i="169"/>
  <c r="AP37" i="169" s="1"/>
  <c r="U33" i="169"/>
  <c r="S45" i="169"/>
  <c r="AP45" i="169" s="1"/>
  <c r="U41" i="169"/>
  <c r="S41" i="169"/>
  <c r="AP41" i="169" s="1"/>
  <c r="S26" i="169"/>
  <c r="AP26" i="169" s="1"/>
  <c r="U12" i="169"/>
  <c r="U28" i="169"/>
  <c r="S6" i="169"/>
  <c r="AP6" i="169" s="1"/>
  <c r="U22" i="169"/>
  <c r="S22" i="169"/>
  <c r="AP22" i="169" s="1"/>
  <c r="U8" i="169"/>
  <c r="S36" i="169"/>
  <c r="AP36" i="169" s="1"/>
  <c r="U36" i="169"/>
  <c r="U16" i="169"/>
  <c r="V13" i="169"/>
  <c r="AR13" i="169" s="1"/>
  <c r="X13" i="169"/>
  <c r="AF13" i="169" s="1"/>
  <c r="V26" i="169"/>
  <c r="AR26" i="169" s="1"/>
  <c r="X26" i="169"/>
  <c r="AF26" i="169" s="1"/>
  <c r="V4" i="169"/>
  <c r="AR4" i="169" s="1"/>
  <c r="X4" i="169"/>
  <c r="AF4" i="169" s="1"/>
  <c r="V9" i="169"/>
  <c r="AR9" i="169" s="1"/>
  <c r="X9" i="169"/>
  <c r="AF9" i="169" s="1"/>
  <c r="U3" i="169"/>
  <c r="V37" i="169"/>
  <c r="AR37" i="169" s="1"/>
  <c r="V45" i="169"/>
  <c r="AR45" i="169" s="1"/>
  <c r="X6" i="169"/>
  <c r="AF6" i="169" s="1"/>
  <c r="X37" i="169"/>
  <c r="AF37" i="169" s="1"/>
  <c r="X45" i="169"/>
  <c r="AF45" i="169" s="1"/>
  <c r="S4" i="169"/>
  <c r="AP4" i="169" s="1"/>
  <c r="S9" i="169"/>
  <c r="AP9" i="169" s="1"/>
  <c r="S13" i="169"/>
  <c r="AP13" i="169" s="1"/>
  <c r="U21" i="169"/>
  <c r="U25" i="169"/>
  <c r="U19" i="169"/>
  <c r="AA35" i="165"/>
  <c r="AE1" i="165" s="1"/>
  <c r="AB54" i="165"/>
  <c r="AA35" i="167"/>
  <c r="AE1" i="167" s="1"/>
  <c r="AB18" i="104"/>
  <c r="AB20" i="104"/>
  <c r="AB42" i="104"/>
  <c r="AB51" i="104"/>
  <c r="AB9" i="165"/>
  <c r="AB11" i="165"/>
  <c r="AB30" i="165"/>
  <c r="AB48" i="165"/>
  <c r="AB52" i="165"/>
  <c r="AB57" i="165"/>
  <c r="AB5" i="109"/>
  <c r="AB13" i="109"/>
  <c r="AB16" i="109"/>
  <c r="AB21" i="109"/>
  <c r="AB24" i="109"/>
  <c r="AB26" i="109"/>
  <c r="AB6" i="167"/>
  <c r="AB8" i="167"/>
  <c r="AB19" i="167"/>
  <c r="AB31" i="167"/>
  <c r="AB18" i="168"/>
  <c r="AB22" i="168"/>
  <c r="AB24" i="168"/>
  <c r="AB48" i="168"/>
  <c r="AB52" i="168"/>
  <c r="AB54" i="168"/>
  <c r="AB8" i="104"/>
  <c r="AB60" i="104"/>
  <c r="AB12" i="168"/>
  <c r="AB42" i="168"/>
  <c r="AB16" i="104"/>
  <c r="AB48" i="104"/>
  <c r="AB50" i="104"/>
  <c r="AB59" i="104"/>
  <c r="AB70" i="104"/>
  <c r="AB7" i="165"/>
  <c r="AB28" i="165"/>
  <c r="AB47" i="165"/>
  <c r="AB63" i="165"/>
  <c r="AB66" i="165"/>
  <c r="AB7" i="109"/>
  <c r="AB15" i="109"/>
  <c r="AB23" i="109"/>
  <c r="AB20" i="167"/>
  <c r="AB22" i="167"/>
  <c r="AB24" i="167"/>
  <c r="AB29" i="167"/>
  <c r="AB5" i="168"/>
  <c r="AB7" i="168"/>
  <c r="AB9" i="168"/>
  <c r="AB20" i="168"/>
  <c r="AB31" i="168"/>
  <c r="AB50" i="168"/>
  <c r="AB27" i="104"/>
  <c r="AB63" i="104"/>
  <c r="AB15" i="165"/>
  <c r="AB44" i="165"/>
  <c r="AB55" i="165"/>
  <c r="AB10" i="109"/>
  <c r="AB18" i="109"/>
  <c r="AB30" i="109"/>
  <c r="AB58" i="168"/>
  <c r="AB7" i="104"/>
  <c r="AB13" i="104"/>
  <c r="AB17" i="104"/>
  <c r="AB19" i="104"/>
  <c r="AB56" i="104"/>
  <c r="AB58" i="104"/>
  <c r="AB65" i="104"/>
  <c r="AB8" i="165"/>
  <c r="AB10" i="165"/>
  <c r="AB26" i="165"/>
  <c r="AB34" i="165"/>
  <c r="AB43" i="165"/>
  <c r="AB9" i="109"/>
  <c r="AB17" i="109"/>
  <c r="AB20" i="109"/>
  <c r="AB25" i="109"/>
  <c r="AB27" i="109"/>
  <c r="AB5" i="167"/>
  <c r="AB7" i="167"/>
  <c r="AB27" i="167"/>
  <c r="AB23" i="168"/>
  <c r="AB27" i="168"/>
  <c r="AB34" i="168"/>
  <c r="AB55" i="168"/>
  <c r="AA35" i="104"/>
  <c r="AE1" i="104" s="1"/>
  <c r="AB44" i="104"/>
  <c r="AB46" i="104"/>
  <c r="AB55" i="104"/>
  <c r="AB16" i="165"/>
  <c r="AB18" i="165"/>
  <c r="AB42" i="165"/>
  <c r="AB45" i="165"/>
  <c r="AB51" i="165"/>
  <c r="AB65" i="165"/>
  <c r="AB69" i="165"/>
  <c r="AB31" i="109"/>
  <c r="AB13" i="167"/>
  <c r="AB15" i="167"/>
  <c r="AB40" i="167"/>
  <c r="AA41" i="167" s="1"/>
  <c r="AE37" i="167" s="1"/>
  <c r="AB13" i="168"/>
  <c r="AB43" i="168"/>
  <c r="AB26" i="104"/>
  <c r="AB43" i="104"/>
  <c r="AB69" i="104"/>
  <c r="AB14" i="165"/>
  <c r="AB20" i="165"/>
  <c r="AB27" i="165"/>
  <c r="AB32" i="165"/>
  <c r="AB41" i="165"/>
  <c r="AB50" i="165"/>
  <c r="AB53" i="165"/>
  <c r="AB59" i="165"/>
  <c r="AB61" i="165"/>
  <c r="AB68" i="165"/>
  <c r="AB11" i="109"/>
  <c r="AB19" i="109"/>
  <c r="AB17" i="167"/>
  <c r="AB21" i="167"/>
  <c r="AB23" i="167"/>
  <c r="AB6" i="168"/>
  <c r="AB8" i="168"/>
  <c r="AB21" i="168"/>
  <c r="AB51" i="168"/>
  <c r="V2" i="169"/>
  <c r="AR2" i="169" s="1"/>
  <c r="X2" i="169"/>
  <c r="X20" i="169"/>
  <c r="AF20" i="169" s="1"/>
  <c r="V20" i="169"/>
  <c r="AR20" i="169" s="1"/>
  <c r="X34" i="169"/>
  <c r="AF34" i="169" s="1"/>
  <c r="V34" i="169"/>
  <c r="AR34" i="169" s="1"/>
  <c r="X10" i="169"/>
  <c r="AF10" i="169" s="1"/>
  <c r="V10" i="169"/>
  <c r="AR10" i="169" s="1"/>
  <c r="X27" i="169"/>
  <c r="AF27" i="169" s="1"/>
  <c r="V27" i="169"/>
  <c r="AR27" i="169" s="1"/>
  <c r="X38" i="169"/>
  <c r="AF38" i="169" s="1"/>
  <c r="V38" i="169"/>
  <c r="AR38" i="169" s="1"/>
  <c r="X35" i="169"/>
  <c r="AF35" i="169" s="1"/>
  <c r="V35" i="169"/>
  <c r="AR35" i="169" s="1"/>
  <c r="X46" i="169"/>
  <c r="AF46" i="169" s="1"/>
  <c r="V46" i="169"/>
  <c r="AR46" i="169" s="1"/>
  <c r="X14" i="169"/>
  <c r="AF14" i="169" s="1"/>
  <c r="V14" i="169"/>
  <c r="AR14" i="169" s="1"/>
  <c r="X42" i="169"/>
  <c r="AF42" i="169" s="1"/>
  <c r="V42" i="169"/>
  <c r="AR42" i="169" s="1"/>
  <c r="X15" i="169"/>
  <c r="AF15" i="169" s="1"/>
  <c r="V15" i="169"/>
  <c r="AR15" i="169" s="1"/>
  <c r="X17" i="169"/>
  <c r="AF17" i="169" s="1"/>
  <c r="V17" i="169"/>
  <c r="AR17" i="169" s="1"/>
  <c r="X43" i="169"/>
  <c r="AF43" i="169" s="1"/>
  <c r="V43" i="169"/>
  <c r="AR43" i="169" s="1"/>
  <c r="X23" i="169"/>
  <c r="AF23" i="169" s="1"/>
  <c r="V23" i="169"/>
  <c r="AR23" i="169" s="1"/>
  <c r="X30" i="169"/>
  <c r="AF30" i="169" s="1"/>
  <c r="V30" i="169"/>
  <c r="AR30" i="169" s="1"/>
  <c r="U5" i="169"/>
  <c r="AQ5" i="169" s="1"/>
  <c r="U11" i="169"/>
  <c r="AQ11" i="169" s="1"/>
  <c r="U18" i="169"/>
  <c r="AQ18" i="169" s="1"/>
  <c r="U24" i="169"/>
  <c r="AQ24" i="169" s="1"/>
  <c r="U31" i="169"/>
  <c r="AQ31" i="169" s="1"/>
  <c r="U39" i="169"/>
  <c r="AQ39" i="169" s="1"/>
  <c r="S14" i="169"/>
  <c r="AP14" i="169" s="1"/>
  <c r="S20" i="169"/>
  <c r="AP20" i="169" s="1"/>
  <c r="S34" i="169"/>
  <c r="AP34" i="169" s="1"/>
  <c r="S42" i="169"/>
  <c r="AP42" i="169" s="1"/>
  <c r="U7" i="169"/>
  <c r="AQ7" i="169" s="1"/>
  <c r="S15" i="169"/>
  <c r="AP15" i="169" s="1"/>
  <c r="S27" i="169"/>
  <c r="AP27" i="169" s="1"/>
  <c r="S35" i="169"/>
  <c r="AP35" i="169" s="1"/>
  <c r="S43" i="169"/>
  <c r="AP43" i="169" s="1"/>
  <c r="S2" i="169"/>
  <c r="AP2" i="169" s="1"/>
  <c r="S10" i="169"/>
  <c r="AP10" i="169" s="1"/>
  <c r="S17" i="169"/>
  <c r="AP17" i="169" s="1"/>
  <c r="S23" i="169"/>
  <c r="AP23" i="169" s="1"/>
  <c r="S30" i="169"/>
  <c r="AP30" i="169" s="1"/>
  <c r="S38" i="169"/>
  <c r="AP38" i="169" s="1"/>
  <c r="S46" i="169"/>
  <c r="AP46" i="169" s="1"/>
  <c r="AA71" i="104"/>
  <c r="AE37" i="104" s="1"/>
  <c r="AA70" i="165"/>
  <c r="AE36" i="165" s="1"/>
  <c r="AA34" i="109"/>
  <c r="AE1" i="109" s="1"/>
  <c r="AA70" i="168"/>
  <c r="AE36" i="168" s="1"/>
  <c r="AB25" i="167"/>
  <c r="AA35" i="168"/>
  <c r="AE1" i="168" s="1"/>
  <c r="X1314" i="169" l="1"/>
  <c r="AF1314" i="169" s="1"/>
  <c r="U1316" i="169"/>
  <c r="X19" i="169"/>
  <c r="AF19" i="169" s="1"/>
  <c r="AQ19" i="169"/>
  <c r="V16" i="169"/>
  <c r="AR16" i="169" s="1"/>
  <c r="AQ16" i="169"/>
  <c r="X12" i="169"/>
  <c r="AF12" i="169" s="1"/>
  <c r="AQ12" i="169"/>
  <c r="V32" i="169"/>
  <c r="AR32" i="169" s="1"/>
  <c r="AQ32" i="169"/>
  <c r="X25" i="169"/>
  <c r="AF25" i="169" s="1"/>
  <c r="AQ25" i="169"/>
  <c r="V36" i="169"/>
  <c r="AR36" i="169" s="1"/>
  <c r="AQ36" i="169"/>
  <c r="V22" i="169"/>
  <c r="AR22" i="169" s="1"/>
  <c r="AQ22" i="169"/>
  <c r="V33" i="169"/>
  <c r="AR33" i="169" s="1"/>
  <c r="AQ33" i="169"/>
  <c r="V21" i="169"/>
  <c r="AR21" i="169" s="1"/>
  <c r="AQ21" i="169"/>
  <c r="X29" i="169"/>
  <c r="AF29" i="169" s="1"/>
  <c r="AQ29" i="169"/>
  <c r="V3" i="169"/>
  <c r="AR3" i="169" s="1"/>
  <c r="AQ3" i="169"/>
  <c r="V8" i="169"/>
  <c r="AR8" i="169" s="1"/>
  <c r="AQ8" i="169"/>
  <c r="V28" i="169"/>
  <c r="AR28" i="169" s="1"/>
  <c r="AQ28" i="169"/>
  <c r="X41" i="169"/>
  <c r="AF41" i="169" s="1"/>
  <c r="AQ41" i="169"/>
  <c r="V44" i="169"/>
  <c r="AR44" i="169" s="1"/>
  <c r="AQ44" i="169"/>
  <c r="X40" i="169"/>
  <c r="AF40" i="169" s="1"/>
  <c r="AQ40" i="169"/>
  <c r="S1316" i="169"/>
  <c r="X8" i="169"/>
  <c r="AF8" i="169" s="1"/>
  <c r="AB35" i="104"/>
  <c r="AE2" i="104" s="1"/>
  <c r="AB70" i="168"/>
  <c r="AE37" i="168" s="1"/>
  <c r="AB35" i="167"/>
  <c r="AE2" i="167" s="1"/>
  <c r="AB35" i="165"/>
  <c r="AE2" i="165" s="1"/>
  <c r="AB35" i="168"/>
  <c r="AE2" i="168" s="1"/>
  <c r="AB71" i="104"/>
  <c r="AE38" i="104" s="1"/>
  <c r="AB70" i="165"/>
  <c r="AE37" i="165" s="1"/>
  <c r="X33" i="169"/>
  <c r="AF33" i="169" s="1"/>
  <c r="X16" i="169"/>
  <c r="AF16" i="169" s="1"/>
  <c r="V19" i="169"/>
  <c r="AR19" i="169" s="1"/>
  <c r="X28" i="169"/>
  <c r="AF28" i="169" s="1"/>
  <c r="X32" i="169"/>
  <c r="AF32" i="169" s="1"/>
  <c r="V40" i="169"/>
  <c r="AR40" i="169" s="1"/>
  <c r="V29" i="169"/>
  <c r="AR29" i="169" s="1"/>
  <c r="X21" i="169"/>
  <c r="AF21" i="169" s="1"/>
  <c r="V25" i="169"/>
  <c r="AR25" i="169" s="1"/>
  <c r="X44" i="169"/>
  <c r="AF44" i="169" s="1"/>
  <c r="X22" i="169"/>
  <c r="AF22" i="169" s="1"/>
  <c r="X36" i="169"/>
  <c r="AF36" i="169" s="1"/>
  <c r="X3" i="169"/>
  <c r="AF3" i="169" s="1"/>
  <c r="V41" i="169"/>
  <c r="AR41" i="169" s="1"/>
  <c r="V1314" i="169"/>
  <c r="V12" i="169"/>
  <c r="AR12" i="169" s="1"/>
  <c r="AB34" i="109"/>
  <c r="AE2" i="109" s="1"/>
  <c r="X39" i="169"/>
  <c r="AF39" i="169" s="1"/>
  <c r="V39" i="169"/>
  <c r="AR39" i="169" s="1"/>
  <c r="V11" i="169"/>
  <c r="AR11" i="169" s="1"/>
  <c r="X11" i="169"/>
  <c r="AF11" i="169" s="1"/>
  <c r="X31" i="169"/>
  <c r="AF31" i="169" s="1"/>
  <c r="V31" i="169"/>
  <c r="AR31" i="169" s="1"/>
  <c r="V5" i="169"/>
  <c r="AR5" i="169" s="1"/>
  <c r="X5" i="169"/>
  <c r="AF5" i="169" s="1"/>
  <c r="AF2" i="169"/>
  <c r="V7" i="169"/>
  <c r="AR7" i="169" s="1"/>
  <c r="X7" i="169"/>
  <c r="AF7" i="169" s="1"/>
  <c r="X24" i="169"/>
  <c r="AF24" i="169" s="1"/>
  <c r="V24" i="169"/>
  <c r="AR24" i="169" s="1"/>
  <c r="X47" i="169"/>
  <c r="AF47" i="169" s="1"/>
  <c r="V47" i="169"/>
  <c r="AR47" i="169" s="1"/>
  <c r="V18" i="169"/>
  <c r="AR18" i="169" s="1"/>
  <c r="X18" i="169"/>
  <c r="AF18" i="169" s="1"/>
  <c r="AQ1316" i="169" l="1"/>
  <c r="V1316" i="169"/>
  <c r="X1316" i="169"/>
  <c r="AF1316" i="169"/>
</calcChain>
</file>

<file path=xl/sharedStrings.xml><?xml version="1.0" encoding="utf-8"?>
<sst xmlns="http://schemas.openxmlformats.org/spreadsheetml/2006/main" count="9073" uniqueCount="1778">
  <si>
    <t>Date</t>
  </si>
  <si>
    <t>No</t>
  </si>
  <si>
    <t>Township</t>
  </si>
  <si>
    <t>PKT</t>
  </si>
  <si>
    <t>BOT</t>
  </si>
  <si>
    <t>Particular</t>
  </si>
  <si>
    <t>ကုန်ရောင်း(လက်ငင်း)</t>
  </si>
  <si>
    <t>ကုန်ရောင်း(အကြွေး)</t>
  </si>
  <si>
    <t>အကွဲ</t>
  </si>
  <si>
    <t>လက်ဆောင်</t>
  </si>
  <si>
    <t>ဈေးဟောင်းလျှော့</t>
  </si>
  <si>
    <t>Formula Rum 700ml</t>
  </si>
  <si>
    <t>Formula Rum 350ml</t>
  </si>
  <si>
    <t>Today</t>
  </si>
  <si>
    <t>Year</t>
  </si>
  <si>
    <t>Month</t>
  </si>
  <si>
    <t>Period</t>
  </si>
  <si>
    <t>CustomerID</t>
  </si>
  <si>
    <t>ကုန်သည်အမည်</t>
  </si>
  <si>
    <t>StockID</t>
  </si>
  <si>
    <t>StockName</t>
  </si>
  <si>
    <t>ML</t>
  </si>
  <si>
    <t>နှုံး</t>
  </si>
  <si>
    <t>သင့်ငွေ</t>
  </si>
  <si>
    <t>ငွေရသည့်နေ့</t>
  </si>
  <si>
    <t>ကြွေးရငွေ</t>
  </si>
  <si>
    <t>ငွေရသည့်နေ့(၂)</t>
  </si>
  <si>
    <t>ကြွေးရငွေ2</t>
  </si>
  <si>
    <t>အကြွေးကျန်2</t>
  </si>
  <si>
    <t>ပါဝင်မှု</t>
  </si>
  <si>
    <t>SalesPK</t>
  </si>
  <si>
    <t>SalesBot</t>
  </si>
  <si>
    <t>Bottle</t>
  </si>
  <si>
    <t>June</t>
  </si>
  <si>
    <t>Column1</t>
  </si>
  <si>
    <t>စာရင်းဖွင့်</t>
  </si>
  <si>
    <t>‌ကော်မရှင်</t>
  </si>
  <si>
    <t>ဇေ အရက်သန့်</t>
  </si>
  <si>
    <t>Zay Vodka-12</t>
  </si>
  <si>
    <t>ဇေ Vodka</t>
  </si>
  <si>
    <t>Zay .35li-12</t>
  </si>
  <si>
    <t>"ဇေ" ကော်ဘူး (0.35Liter)</t>
  </si>
  <si>
    <t>"ဇေ" ကော်ဘူး (1 Liter)</t>
  </si>
  <si>
    <t>Zay .1Li-12-002</t>
  </si>
  <si>
    <t>Zay Red 1Li-001</t>
  </si>
  <si>
    <t>ဇေယျဝတီ Red (1 Liter) 30%</t>
  </si>
  <si>
    <t>Zay Red 1Li-002</t>
  </si>
  <si>
    <t>DGN 1Li-12</t>
  </si>
  <si>
    <t>ဒဂုံမန်ကျည်း ကော်ဘူး (1 Liter)</t>
  </si>
  <si>
    <t>Zay Red-14-001</t>
  </si>
  <si>
    <t>ဇေယျဝတီ Red</t>
  </si>
  <si>
    <t>KK-14</t>
  </si>
  <si>
    <t>ကောင်းကြည်</t>
  </si>
  <si>
    <t>ဇေယျဝတီ Red (ပု)</t>
  </si>
  <si>
    <t>Zay Red ပု-14-002</t>
  </si>
  <si>
    <t>ဇေယျဝတီ  Red(ပု)</t>
  </si>
  <si>
    <t>ဒဂုံနာနတ်ဝိုင်</t>
  </si>
  <si>
    <t>DGN-14-002</t>
  </si>
  <si>
    <t>ဒဂုံအရက်သန့်</t>
  </si>
  <si>
    <t>Zay Red High-14-001</t>
  </si>
  <si>
    <t>ဇေယျဝတီ High 43%</t>
  </si>
  <si>
    <t>Zay Red High-14-002</t>
  </si>
  <si>
    <t>FR-700-12</t>
  </si>
  <si>
    <t>Col-700</t>
  </si>
  <si>
    <t>Col-700ml</t>
  </si>
  <si>
    <t>Col-350</t>
  </si>
  <si>
    <t>Col-350ml</t>
  </si>
  <si>
    <t>Col-175</t>
  </si>
  <si>
    <t>Col-175ml</t>
  </si>
  <si>
    <t>Col-700 SRS</t>
  </si>
  <si>
    <t>Col-700SRS</t>
  </si>
  <si>
    <t>Col-350SRS</t>
  </si>
  <si>
    <t>Col-175SRS</t>
  </si>
  <si>
    <t>M-City</t>
  </si>
  <si>
    <t>Pea Cock</t>
  </si>
  <si>
    <t>3 Brother</t>
  </si>
  <si>
    <t>Thailand</t>
  </si>
  <si>
    <t>KP</t>
  </si>
  <si>
    <t>My-1</t>
  </si>
  <si>
    <t>My-2</t>
  </si>
  <si>
    <t>Ever First</t>
  </si>
  <si>
    <t>OMG</t>
  </si>
  <si>
    <t>Daw Htun May</t>
  </si>
  <si>
    <t>Ko Soe Naing</t>
  </si>
  <si>
    <t>Ko Nay Naing</t>
  </si>
  <si>
    <t>Daw Moe Moe Myint</t>
  </si>
  <si>
    <t>Daw Sein Yone</t>
  </si>
  <si>
    <t>Daw Mwe</t>
  </si>
  <si>
    <t>Ko Kyaw Soe</t>
  </si>
  <si>
    <t>War Eain</t>
  </si>
  <si>
    <t>La Pyae</t>
  </si>
  <si>
    <t>Taw Win</t>
  </si>
  <si>
    <t>Ko Mya Khat</t>
  </si>
  <si>
    <t>Ma Wint War Htike</t>
  </si>
  <si>
    <t>Ko Htun Naing</t>
  </si>
  <si>
    <t>Kyaw Star</t>
  </si>
  <si>
    <t>Ko Zaw Min</t>
  </si>
  <si>
    <t>Ko Bar Buu</t>
  </si>
  <si>
    <t>Ko Htike Soe</t>
  </si>
  <si>
    <t>Ko Zaw Lin Myat</t>
  </si>
  <si>
    <t>Ko Shan</t>
  </si>
  <si>
    <t>Ko Mg+Ma Thu Zar</t>
  </si>
  <si>
    <t>U Pyi Aye</t>
  </si>
  <si>
    <t>Ko Bo Ni</t>
  </si>
  <si>
    <t>Ma Maw</t>
  </si>
  <si>
    <t>Daw Pwal</t>
  </si>
  <si>
    <t>Ko Myo Aung</t>
  </si>
  <si>
    <t>Min Min Htun</t>
  </si>
  <si>
    <t>Ko Nyi Nyi Swe</t>
  </si>
  <si>
    <t>U Min Lwin</t>
  </si>
  <si>
    <t>Pyae Hlan</t>
  </si>
  <si>
    <t>Lin Thit</t>
  </si>
  <si>
    <t>Ko Wanna</t>
  </si>
  <si>
    <t>Ko Min Min Htun</t>
  </si>
  <si>
    <t>Ko Maung Lay</t>
  </si>
  <si>
    <t>Ma Chaw</t>
  </si>
  <si>
    <t>Sate Tine Kya</t>
  </si>
  <si>
    <t>U Myint Kyi</t>
  </si>
  <si>
    <t>Daw Htay</t>
  </si>
  <si>
    <t>Zay -14</t>
  </si>
  <si>
    <t>ကြိုရောင်း</t>
  </si>
  <si>
    <t>DG-24-002</t>
  </si>
  <si>
    <t>Zay -14-001</t>
  </si>
  <si>
    <t>Zay Red-14</t>
  </si>
  <si>
    <t>VoucherNo</t>
  </si>
  <si>
    <t>CarNo</t>
  </si>
  <si>
    <t>7F-9918</t>
  </si>
  <si>
    <t>3R-4271</t>
  </si>
  <si>
    <t>BE Debtors Opening</t>
  </si>
  <si>
    <t>Whisky Debtors Opening</t>
  </si>
  <si>
    <t>Zay Red-24-001</t>
  </si>
  <si>
    <t>Parking</t>
  </si>
  <si>
    <t>Ko Zaw</t>
  </si>
  <si>
    <t>Zay Red High-14-003</t>
  </si>
  <si>
    <t>Zay Red-14-003</t>
  </si>
  <si>
    <t>Total (PKT)</t>
  </si>
  <si>
    <t>SKU</t>
  </si>
  <si>
    <t>Total (BOT)</t>
  </si>
  <si>
    <t xml:space="preserve">Total Sales </t>
  </si>
  <si>
    <t>2-FollowUpSales'!A1</t>
  </si>
  <si>
    <t>DailySales!A1</t>
  </si>
  <si>
    <t>Outlet</t>
  </si>
  <si>
    <t>XOX</t>
  </si>
  <si>
    <t>2-FollowUpSales'!A37</t>
  </si>
  <si>
    <t>6Q-5159</t>
  </si>
  <si>
    <t>Ko Arr Noe</t>
  </si>
  <si>
    <t>Van Sales</t>
  </si>
  <si>
    <t>မော်လမြိုင်</t>
  </si>
  <si>
    <t>လမုတန်း</t>
  </si>
  <si>
    <t>SemiWholeSales</t>
  </si>
  <si>
    <t>မုဒုံ</t>
  </si>
  <si>
    <t>မ‌ဝေသား</t>
  </si>
  <si>
    <t>WholeSales</t>
  </si>
  <si>
    <t>မဝင်းမော်</t>
  </si>
  <si>
    <t>ဘားအံ</t>
  </si>
  <si>
    <t>ကိုဇော်</t>
  </si>
  <si>
    <t>မက္ကသာ</t>
  </si>
  <si>
    <t>မခိုင်</t>
  </si>
  <si>
    <t>နောင်တမံ</t>
  </si>
  <si>
    <t>ပြုံးချို</t>
  </si>
  <si>
    <t>ရေလယ်လမ်းဝ</t>
  </si>
  <si>
    <t>ပွကြီးကွမ်းယာ</t>
  </si>
  <si>
    <t>ဦးမြင့်အောင်</t>
  </si>
  <si>
    <t>ဒေါ်နွယ်နွယ်ဝင်း</t>
  </si>
  <si>
    <t>ဘားအံအဖြောင့်လမ်း</t>
  </si>
  <si>
    <t>ဦးကရင်</t>
  </si>
  <si>
    <t>ပိုင်ကျုံ</t>
  </si>
  <si>
    <t>ဒေါ်ခိုင်</t>
  </si>
  <si>
    <t>သိမ်ဇရပ်</t>
  </si>
  <si>
    <t>ဒေါ်ဌေး</t>
  </si>
  <si>
    <t>ရွှေရောင်ပြ</t>
  </si>
  <si>
    <t>ရွှေရောင်အနာဂတ်</t>
  </si>
  <si>
    <t>ဦးမောင်သိန်း</t>
  </si>
  <si>
    <t>အင်ကြင်းမေ</t>
  </si>
  <si>
    <t>ပြည့်လျှံကျော်</t>
  </si>
  <si>
    <t>ဒေါ်စိန်</t>
  </si>
  <si>
    <t>Daw Sein</t>
  </si>
  <si>
    <t>ဦိးမြင့်နိုင်</t>
  </si>
  <si>
    <t>ကျိုက်ထို</t>
  </si>
  <si>
    <t>ဇဗ္ဗူအေး</t>
  </si>
  <si>
    <t>ဘီးလင်း</t>
  </si>
  <si>
    <t>မစန္ဒာမိုး</t>
  </si>
  <si>
    <t>မိုးဆန်းချာလီ</t>
  </si>
  <si>
    <t>ရဲညွှန့်အောင်</t>
  </si>
  <si>
    <t>ရဲရင့်အောင်</t>
  </si>
  <si>
    <t>ဦးမြင့်ကြည်</t>
  </si>
  <si>
    <t>ဦးအေးမြင့်</t>
  </si>
  <si>
    <t>U Aye Myint</t>
  </si>
  <si>
    <t>သထုံ</t>
  </si>
  <si>
    <t>ရတနာပုံ</t>
  </si>
  <si>
    <t>အနန်းပင်</t>
  </si>
  <si>
    <t>မဂျူးလီမ</t>
  </si>
  <si>
    <t>သဲအိမ်</t>
  </si>
  <si>
    <t>ဒဂါးစားသောက်ဆိုင်</t>
  </si>
  <si>
    <t>မလတ်တိုစန်း</t>
  </si>
  <si>
    <t>ကောင်းလိုက်</t>
  </si>
  <si>
    <t>မ‌ကေသီခိုင်</t>
  </si>
  <si>
    <t>စစ်မှုထမ်းဟောင်း</t>
  </si>
  <si>
    <t>ဒေါ်ဂတုံးမ</t>
  </si>
  <si>
    <t>ကို၀တုတ်</t>
  </si>
  <si>
    <t>ဇာသပြင်</t>
  </si>
  <si>
    <t>ကိုဌေး</t>
  </si>
  <si>
    <t>မြိုင်ကလေး</t>
  </si>
  <si>
    <t>စိတ်တိုင်းကျ</t>
  </si>
  <si>
    <t>ဒေါ်ချိုချို၀င်း</t>
  </si>
  <si>
    <t>ကလော့</t>
  </si>
  <si>
    <t>စိမ်းလဲ့ကန်သာ</t>
  </si>
  <si>
    <t>မုဒွန်း</t>
  </si>
  <si>
    <t>အမိရင်ခွင်</t>
  </si>
  <si>
    <t>ကလွီ</t>
  </si>
  <si>
    <t>အိုးလေး</t>
  </si>
  <si>
    <t>ဒရယ်</t>
  </si>
  <si>
    <t>ရွှေမေတ္တာ</t>
  </si>
  <si>
    <t>ဒေါင်းဥ</t>
  </si>
  <si>
    <t>ကိုထိုက်</t>
  </si>
  <si>
    <t>Ko Htike</t>
  </si>
  <si>
    <t>ဦးထွေးဟန်</t>
  </si>
  <si>
    <t>ရွှေကုက္ကိုလ်</t>
  </si>
  <si>
    <t>ကိုသားငယ်</t>
  </si>
  <si>
    <t>ကမာမို</t>
  </si>
  <si>
    <t>ဦးအောင်မြင့်</t>
  </si>
  <si>
    <t>ဆောင်းနှင်း‌ေ</t>
  </si>
  <si>
    <t>စွဲနေပြီ</t>
  </si>
  <si>
    <t>ကွမ်ရိုက်</t>
  </si>
  <si>
    <t>ငွေလှိုင်းသံ</t>
  </si>
  <si>
    <t>ဦးပန်ချာ</t>
  </si>
  <si>
    <t>တော်ကနာ</t>
  </si>
  <si>
    <t>မင်းထွန်းသိန်း</t>
  </si>
  <si>
    <t>ရေး</t>
  </si>
  <si>
    <t>မနံ့သာ</t>
  </si>
  <si>
    <t>ကိုမွန်လေး</t>
  </si>
  <si>
    <t>ဇီးဖြူသောင်</t>
  </si>
  <si>
    <t>မ‌ချော</t>
  </si>
  <si>
    <t>မနှင်းပွင့်ဖြူ</t>
  </si>
  <si>
    <t>သံဖြူဇရပ်</t>
  </si>
  <si>
    <t>မနန္ဒာအေး</t>
  </si>
  <si>
    <t>ဇပြွန်းပင်</t>
  </si>
  <si>
    <t>ဦးမြင့်ကို</t>
  </si>
  <si>
    <t>လမိုင်း</t>
  </si>
  <si>
    <t>သိန်းကမ္ဘာ</t>
  </si>
  <si>
    <t>ပင</t>
  </si>
  <si>
    <t>မရီရီမာ</t>
  </si>
  <si>
    <t>ကုန်းမြင့်သာယာ</t>
  </si>
  <si>
    <t>မရီမွန်</t>
  </si>
  <si>
    <t>မိဘမေတ္တာ</t>
  </si>
  <si>
    <t>ကိုငယ်လေး</t>
  </si>
  <si>
    <t>ကိုမောင်လေး</t>
  </si>
  <si>
    <t>မြေနီကုန်း</t>
  </si>
  <si>
    <t>တီနားလေး</t>
  </si>
  <si>
    <t>သရက်ကုန်း</t>
  </si>
  <si>
    <t>သရက်မြိုင်</t>
  </si>
  <si>
    <t>ကိုမင်းမင်းထွန်း</t>
  </si>
  <si>
    <t>စက်မှုဇုန်</t>
  </si>
  <si>
    <t>သိန်းသန်း</t>
  </si>
  <si>
    <t>၀မ်းဒေါ်လာ</t>
  </si>
  <si>
    <t>ဖိုးခွားလေး</t>
  </si>
  <si>
    <t>ဦးဘိုနီ</t>
  </si>
  <si>
    <t>မင်းဆန်းသစ်</t>
  </si>
  <si>
    <t>နိုင်ကျော်</t>
  </si>
  <si>
    <t>ဦးလှ၀င်း</t>
  </si>
  <si>
    <t>မောင်ငံ</t>
  </si>
  <si>
    <t>သီရိမြိုင်</t>
  </si>
  <si>
    <t>သပြေ</t>
  </si>
  <si>
    <t>အုတ်ဖို</t>
  </si>
  <si>
    <t>ဆုံဆည်းရာ</t>
  </si>
  <si>
    <t>ရှင်းသန့်</t>
  </si>
  <si>
    <t>ဖက်ခင်းလမ်း</t>
  </si>
  <si>
    <t>Hi Hi</t>
  </si>
  <si>
    <t>ကောင်းခေတ်</t>
  </si>
  <si>
    <t>ဒိုက်၀န်ကွင်း</t>
  </si>
  <si>
    <t>ကိုအောင်</t>
  </si>
  <si>
    <t>Ko Aung</t>
  </si>
  <si>
    <t>ဒေါင်းဇရပ်</t>
  </si>
  <si>
    <t>မနွယ်နီ</t>
  </si>
  <si>
    <t>ငွေလင်းယုန်</t>
  </si>
  <si>
    <t>အုပ်ကြီး</t>
  </si>
  <si>
    <t>ပေါင်</t>
  </si>
  <si>
    <t>ဦးဘုန်းမြင့်</t>
  </si>
  <si>
    <t>မြိုင်သာယာ</t>
  </si>
  <si>
    <t>အနဲကြီး</t>
  </si>
  <si>
    <t>ကို၀ဏ္ဏ</t>
  </si>
  <si>
    <t>မုပွန်</t>
  </si>
  <si>
    <t>သွန်းရွှေစင်</t>
  </si>
  <si>
    <t>အမောင်</t>
  </si>
  <si>
    <t>မသန္တာ</t>
  </si>
  <si>
    <t>ဈေးကြို</t>
  </si>
  <si>
    <t>ဟေ၀န်နန်း</t>
  </si>
  <si>
    <t>မ‌ေ၀-၂</t>
  </si>
  <si>
    <t>မ‌‌ေ</t>
  </si>
  <si>
    <t>ဒေါ်ကော</t>
  </si>
  <si>
    <t>မဇာဇာ</t>
  </si>
  <si>
    <t>ကိုနေကျော်</t>
  </si>
  <si>
    <t>ကမ္ဘာကျော်</t>
  </si>
  <si>
    <t>ရာမည</t>
  </si>
  <si>
    <t>ပိုင်ရပ်</t>
  </si>
  <si>
    <t>ကိုရန်နိုင်ဦး</t>
  </si>
  <si>
    <t>A1</t>
  </si>
  <si>
    <t>နန်းသဇင်</t>
  </si>
  <si>
    <t>ရွှေမိုး</t>
  </si>
  <si>
    <t>ကောင်းထက်လျှံ</t>
  </si>
  <si>
    <t>ပြုံးပန်း‌ေ</t>
  </si>
  <si>
    <t>ဘဲကြီးဖြိုး</t>
  </si>
  <si>
    <t>မိုးမခ</t>
  </si>
  <si>
    <t>ကိုလေး</t>
  </si>
  <si>
    <t>ကိုကြီး</t>
  </si>
  <si>
    <t>မစန္ဒာ</t>
  </si>
  <si>
    <t>မင်းသံလွင်</t>
  </si>
  <si>
    <t>ဇာနည်လေး</t>
  </si>
  <si>
    <t>ဆေးသစ္စာ</t>
  </si>
  <si>
    <t>မသီတာ၀င်း</t>
  </si>
  <si>
    <t>ကိုကျော်ရွှေ</t>
  </si>
  <si>
    <t>ဆုံမှတ်</t>
  </si>
  <si>
    <t>ကိုအောင်နိုင်ဦး</t>
  </si>
  <si>
    <t>ကိုကျော်မြင့်</t>
  </si>
  <si>
    <t>Ko Kyaw Myint</t>
  </si>
  <si>
    <t>ကိုဇော်၀င်းထွန်း</t>
  </si>
  <si>
    <t>တောင်ရိုးတန်း</t>
  </si>
  <si>
    <t>တောင်ပေါ်တန်း</t>
  </si>
  <si>
    <t>Taung Paw Tan</t>
  </si>
  <si>
    <t>ရွှေပလိုင်း</t>
  </si>
  <si>
    <t>စူပါ</t>
  </si>
  <si>
    <t>Super</t>
  </si>
  <si>
    <t>Firday Mon</t>
  </si>
  <si>
    <t>လင်းသစ်</t>
  </si>
  <si>
    <t>ပြည့်လျှံ</t>
  </si>
  <si>
    <t>ဈေးကြီး</t>
  </si>
  <si>
    <t>ဦးမင်းလွင်</t>
  </si>
  <si>
    <t>ကိုညီညီဆွေ</t>
  </si>
  <si>
    <t>ကိုမျိုးအောင်</t>
  </si>
  <si>
    <t>မုတ္တမ</t>
  </si>
  <si>
    <t>မင်းမင်းထွန်း</t>
  </si>
  <si>
    <t>ယမုံနာ</t>
  </si>
  <si>
    <t>ဟေမာြပည့်၀</t>
  </si>
  <si>
    <t>ဦး၀င်းမြင့်</t>
  </si>
  <si>
    <t>ကရုပ္ပိ</t>
  </si>
  <si>
    <t>ကို၀င်းခိုင်</t>
  </si>
  <si>
    <t>ဒေါ်ပွဲ</t>
  </si>
  <si>
    <t>မသန်းသန်းအေး</t>
  </si>
  <si>
    <t>ရွှေကုက္ကိုရိပ်</t>
  </si>
  <si>
    <t>ဂျွန်</t>
  </si>
  <si>
    <t>မတင်တင်၀င်း</t>
  </si>
  <si>
    <t>ကျိုက်မရော</t>
  </si>
  <si>
    <t>၀ဿာန်နှင်း</t>
  </si>
  <si>
    <t>ဒေါ်ဘုတ်</t>
  </si>
  <si>
    <t>ကိုထွေး</t>
  </si>
  <si>
    <t>မမော်</t>
  </si>
  <si>
    <t>မပု</t>
  </si>
  <si>
    <t>ဦးစိန်မြင့်+ဒေါ်အုန်းမြင့်</t>
  </si>
  <si>
    <t>ကိုဘိုနီ</t>
  </si>
  <si>
    <t>ထက်လင်းအောင်</t>
  </si>
  <si>
    <t>၀င်းအောင်ရွှေ</t>
  </si>
  <si>
    <t>ကိုမောင်ဦး</t>
  </si>
  <si>
    <t>ဒေါ်ကုလားမ</t>
  </si>
  <si>
    <t>ကျုံဒိုး</t>
  </si>
  <si>
    <t>နော်သင်းစုလှိုင်</t>
  </si>
  <si>
    <t>ကိုကျော်ဦး</t>
  </si>
  <si>
    <t>ဦးပြည်အေး</t>
  </si>
  <si>
    <t>ကိုမောင်+မသူဇာ</t>
  </si>
  <si>
    <t>မလှကြည်</t>
  </si>
  <si>
    <t>ဘုရားသုံးဆူ</t>
  </si>
  <si>
    <t>ဒေါ်မြစိန်</t>
  </si>
  <si>
    <t>Daw Mya Sein</t>
  </si>
  <si>
    <t>ဒေါ်မိငယ်</t>
  </si>
  <si>
    <t>မကေကေ</t>
  </si>
  <si>
    <t>ကိုရှမ်း</t>
  </si>
  <si>
    <t>ကိုဇော်လင်းမြတ်</t>
  </si>
  <si>
    <t>ကိုကျော်နိုင်စိုး</t>
  </si>
  <si>
    <t>ဒေါ်အေးအေးမြင့်</t>
  </si>
  <si>
    <t>ထောမငေး</t>
  </si>
  <si>
    <t>ဒေါ်မူ</t>
  </si>
  <si>
    <t>အစင်</t>
  </si>
  <si>
    <t>ကိုထိုက်စိုး</t>
  </si>
  <si>
    <t>ပြည့်စုံရှင်</t>
  </si>
  <si>
    <t>ကိုထူးဇော်</t>
  </si>
  <si>
    <t>မကြည်အေး</t>
  </si>
  <si>
    <t>ကိုဘာဘူ</t>
  </si>
  <si>
    <t>Feeling Store</t>
  </si>
  <si>
    <t>ကိုဇော်မင်း</t>
  </si>
  <si>
    <t>ဆင်ရွာ</t>
  </si>
  <si>
    <t>ကိုအေးမင်းနိုင်</t>
  </si>
  <si>
    <t>ဘုန်းနေခထွန်း</t>
  </si>
  <si>
    <t>ဒေါ်ခင်</t>
  </si>
  <si>
    <t>မစမူး</t>
  </si>
  <si>
    <t>မနံသာ</t>
  </si>
  <si>
    <t>မနွယ်နွယ်၀င်း</t>
  </si>
  <si>
    <t>ဒေါ်ခင်ကြည်</t>
  </si>
  <si>
    <t>အီဗြစ်</t>
  </si>
  <si>
    <t>ကိုသန်းထွန်းဦး</t>
  </si>
  <si>
    <t>ကံ့ကော်စတိုး</t>
  </si>
  <si>
    <t>OP</t>
  </si>
  <si>
    <t>OP Debtors Opening</t>
  </si>
  <si>
    <t>ကျော်စတား</t>
  </si>
  <si>
    <t>Formula</t>
  </si>
  <si>
    <t>Formula Debtors Opening</t>
  </si>
  <si>
    <t>ကိုထွန်းနိုင်</t>
  </si>
  <si>
    <t>Whisky</t>
  </si>
  <si>
    <t>ဒေါ်နွယ်နွယ်ရီ(ရွှေတောင်ကြား)</t>
  </si>
  <si>
    <t>BE</t>
  </si>
  <si>
    <t>FR-350-24</t>
  </si>
  <si>
    <t>မဝင့်ဝါထိုက်(ရွှေပင်လယ်)</t>
  </si>
  <si>
    <t>Col-175 SRS</t>
  </si>
  <si>
    <t>ကိုမြခက်</t>
  </si>
  <si>
    <t>Col-350 SRS</t>
  </si>
  <si>
    <t>ဒေါ်မိစိန်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</si>
  <si>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</si>
  <si>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မွန်လေး</t>
  </si>
  <si>
    <t>ကျင်းသန်း(သင်း)</t>
  </si>
  <si>
    <t>ဒေါ်မိမိနိုင်</t>
  </si>
  <si>
    <t>ရွှေခေါင်ရည်</t>
  </si>
  <si>
    <t>ဒေါ်မြလေး</t>
  </si>
  <si>
    <t>တောင်စွန်း</t>
  </si>
  <si>
    <t>တော်၀င်</t>
  </si>
  <si>
    <t>ဦးစိုး၀င်း</t>
  </si>
  <si>
    <t>ဒုံ၀န်း</t>
  </si>
  <si>
    <t>လပြည့်</t>
  </si>
  <si>
    <t>မသီတာဦး</t>
  </si>
  <si>
    <t>DG-24-001</t>
  </si>
  <si>
    <t>ရောင်ခြည်ဦး</t>
  </si>
  <si>
    <t>ဝါးအိမ်</t>
  </si>
  <si>
    <t>DGN-14-001</t>
  </si>
  <si>
    <t>ကိုကျော်စိုး (နံ့သာ)</t>
  </si>
  <si>
    <t>Zay Red ပု-14-001</t>
  </si>
  <si>
    <t>ရွှေလ၀န်း (၀င်း)</t>
  </si>
  <si>
    <t>ဒေါ်မွှေး</t>
  </si>
  <si>
    <t>ကောင်းကြည်-1Li</t>
  </si>
  <si>
    <t>kk-1Li(25%)</t>
  </si>
  <si>
    <t>မယဥ်ယဥ်သန်း</t>
  </si>
  <si>
    <t>ဖြိုး‌‌ေစံ</t>
  </si>
  <si>
    <t>ဒေါ်စိန်ယုံ</t>
  </si>
  <si>
    <t>ဒေါ်မိုးမိုးမြင့်</t>
  </si>
  <si>
    <t>ဖောက်တိုက်</t>
  </si>
  <si>
    <t>ကိုနေနိုင်</t>
  </si>
  <si>
    <t>ကိုစိုးနိုင်</t>
  </si>
  <si>
    <t>ကိုပိန်</t>
  </si>
  <si>
    <t>အရက်ဖာကော်မရှင်</t>
  </si>
  <si>
    <t>ကော်မရှင်</t>
  </si>
  <si>
    <t>ထွန်း+၀င်း</t>
  </si>
  <si>
    <t>Zay .1Li-12-001</t>
  </si>
  <si>
    <t>ကိုကျော်မင်းထွန်း</t>
  </si>
  <si>
    <t>6Q-5326</t>
  </si>
  <si>
    <t>ကုန်ရောင်းပြန်သွင်း</t>
  </si>
  <si>
    <t>နွယ်သာကီ</t>
  </si>
  <si>
    <t>မိဘရိပ်</t>
  </si>
  <si>
    <t>ဒေါ်ထွန်းမေ</t>
  </si>
  <si>
    <t>Car No</t>
  </si>
  <si>
    <t>Sales</t>
  </si>
  <si>
    <t>လိပ်စာ</t>
  </si>
  <si>
    <t>ကုန်သည်</t>
  </si>
  <si>
    <t>Sales Price</t>
  </si>
  <si>
    <t>Qty</t>
  </si>
  <si>
    <t>ml</t>
  </si>
  <si>
    <t>Stock ID</t>
  </si>
  <si>
    <t>ကိုအာနိုး</t>
  </si>
  <si>
    <t>မသီ</t>
  </si>
  <si>
    <t>Maw La Myaing</t>
  </si>
  <si>
    <t>Col-350 SRS-1</t>
  </si>
  <si>
    <t>Col-175 SRS-1</t>
  </si>
  <si>
    <t>Yay</t>
  </si>
  <si>
    <t>Hpa-an</t>
  </si>
  <si>
    <t>Paung</t>
  </si>
  <si>
    <t>ThaHtone</t>
  </si>
  <si>
    <t>KawKareik</t>
  </si>
  <si>
    <t>Phar Pun</t>
  </si>
  <si>
    <t>Bagoda-3</t>
  </si>
  <si>
    <t>Chang Sone</t>
  </si>
  <si>
    <t>Mudon</t>
  </si>
  <si>
    <t>Than Phyu ZaYat</t>
  </si>
  <si>
    <t>yaY</t>
  </si>
  <si>
    <t>Liter</t>
  </si>
  <si>
    <t>Mini Whole Sales</t>
  </si>
  <si>
    <t>ဟန်သာ</t>
  </si>
  <si>
    <t>Van-1</t>
  </si>
  <si>
    <t>Soe Thiha</t>
  </si>
  <si>
    <t>စိုးသီဟ</t>
  </si>
  <si>
    <t>ချာလီ</t>
  </si>
  <si>
    <t>Kyaikto</t>
  </si>
  <si>
    <t>Belin</t>
  </si>
  <si>
    <t>သော်တာဝင်း</t>
  </si>
  <si>
    <t>လူဝကြီး</t>
  </si>
  <si>
    <t>Zay Vodka-14</t>
  </si>
  <si>
    <t>Ko Win Htut Aung</t>
  </si>
  <si>
    <t>ကိုဝင်းထွဋ်အောင်</t>
  </si>
  <si>
    <t>ဘုန်းမြတ်လျှံ</t>
  </si>
  <si>
    <t>ဦးဝင်းရှိန်</t>
  </si>
  <si>
    <t>လင်းလင်း</t>
  </si>
  <si>
    <t>Zar Ni Lwin</t>
  </si>
  <si>
    <t>ဇာနည်လွင်</t>
  </si>
  <si>
    <t>Cherry Myaing</t>
  </si>
  <si>
    <t>ချယ်ရီမြိုင်</t>
  </si>
  <si>
    <t>ရခိုင်ကုန်း</t>
  </si>
  <si>
    <t>`</t>
  </si>
  <si>
    <t>Ko Zaw Lay</t>
  </si>
  <si>
    <t>ကိုဇော်လေး</t>
  </si>
  <si>
    <t>Col-350-1</t>
  </si>
  <si>
    <t>Col-350ml-1</t>
  </si>
  <si>
    <t>Col-700-1</t>
  </si>
  <si>
    <t>Col-700ml-1</t>
  </si>
  <si>
    <t>Zay Red-14-1</t>
  </si>
  <si>
    <t>ဇေယျဝတီ Red-1</t>
  </si>
  <si>
    <t>Zay Red-14-004</t>
  </si>
  <si>
    <t>Ko Chan Thar</t>
  </si>
  <si>
    <t>ကိုချမ်းသာ</t>
  </si>
  <si>
    <t>Zay 0.6Li</t>
  </si>
  <si>
    <t>ဇေသန့် 0.6Li</t>
  </si>
  <si>
    <t>Col-700-2</t>
  </si>
  <si>
    <t>Col-700ml-2</t>
  </si>
  <si>
    <t>Hnin Nu Wai</t>
  </si>
  <si>
    <t>နှင်းနုဝေ</t>
  </si>
  <si>
    <t>kk-1Li(40%)</t>
  </si>
  <si>
    <t>မ‌ရွှေစင်</t>
  </si>
  <si>
    <t>Mone Nae Kon Ki</t>
  </si>
  <si>
    <t>မိုးနဲကွန်ကီ</t>
  </si>
  <si>
    <t xml:space="preserve">                                                            </t>
  </si>
  <si>
    <t>ရွှေရင်အေး</t>
  </si>
  <si>
    <t>Zay Red-14-005</t>
  </si>
  <si>
    <t>Zay Vodka-12-(8.2.2025)</t>
  </si>
  <si>
    <t>Zay Vodka-1(8.3.2025)</t>
  </si>
  <si>
    <t>Zay Red 1Li-003(8.3.2025)</t>
  </si>
  <si>
    <t>Zay .1Li-12-003(8.3.2025)</t>
  </si>
  <si>
    <t>Zay Red High-14-004(8.3.2025)</t>
  </si>
  <si>
    <t>Zay Red ပု-14-003(8.3.2025)</t>
  </si>
  <si>
    <t>DG-24-003(8.3.2025)</t>
  </si>
  <si>
    <t>DGN 1Li-12(8.3.2025)</t>
  </si>
  <si>
    <t>Zay Red-14-006</t>
  </si>
  <si>
    <t>Zay Red High-14-005</t>
  </si>
  <si>
    <t>KK-14(8.3.2025)</t>
  </si>
  <si>
    <t>DGN-14-003(3.8.2025)</t>
  </si>
  <si>
    <t>Zay .35li-12(8.3.2025)</t>
  </si>
  <si>
    <t>အလင်းရောင်</t>
  </si>
  <si>
    <t>ဒူရိန်</t>
  </si>
  <si>
    <t>FR-350-24-1</t>
  </si>
  <si>
    <t>ကိုရဲ</t>
  </si>
  <si>
    <t>Zay Red-24-002</t>
  </si>
  <si>
    <t>Shwe man</t>
  </si>
  <si>
    <t>ရွှေမန်း</t>
  </si>
  <si>
    <t>Ko Ye</t>
  </si>
  <si>
    <t>ဖြိုး</t>
  </si>
  <si>
    <t>Thein Zayet</t>
  </si>
  <si>
    <t>Daw New New Yee</t>
  </si>
  <si>
    <t>Win Aung Shwe</t>
  </si>
  <si>
    <t>Ko Mon Lay</t>
  </si>
  <si>
    <t>Ko Kyaw Shwe</t>
  </si>
  <si>
    <t>Ko Kyaw Naing Soe</t>
  </si>
  <si>
    <t>Daw Mi Sen</t>
  </si>
  <si>
    <t>Ma Sandar</t>
  </si>
  <si>
    <t>Ko Aung Naing Oo</t>
  </si>
  <si>
    <t>Ma Thida Win</t>
  </si>
  <si>
    <t>Kant Kaw Store</t>
  </si>
  <si>
    <t>U Hla Win</t>
  </si>
  <si>
    <t>Mon Lay</t>
  </si>
  <si>
    <t>Say Thitsar</t>
  </si>
  <si>
    <t>Ye Nyunt Aung</t>
  </si>
  <si>
    <t>One Dollar</t>
  </si>
  <si>
    <t>Ko Maung Oo</t>
  </si>
  <si>
    <t>Nan Tha Zin</t>
  </si>
  <si>
    <t>A Nae Gyi</t>
  </si>
  <si>
    <t>Daw Kaw</t>
  </si>
  <si>
    <t>Char Li</t>
  </si>
  <si>
    <t>Yaung Chi Oo</t>
  </si>
  <si>
    <t>Ngwe Hlaing Than</t>
  </si>
  <si>
    <t>Ma Thandar</t>
  </si>
  <si>
    <t>Ko Yan Naing Oo</t>
  </si>
  <si>
    <t>Ma Wai-2</t>
  </si>
  <si>
    <t>A Maung</t>
  </si>
  <si>
    <t>Daw Mi Mi Naing</t>
  </si>
  <si>
    <t>Ma Zar Zar</t>
  </si>
  <si>
    <t>Phyo Wai San</t>
  </si>
  <si>
    <t>A Mi Yin Khwin</t>
  </si>
  <si>
    <t>Sein Lae Kan Thar</t>
  </si>
  <si>
    <t>Ko Pain</t>
  </si>
  <si>
    <t>Ma Sandar Moe</t>
  </si>
  <si>
    <t>U Soe Win</t>
  </si>
  <si>
    <t>05146</t>
  </si>
  <si>
    <t>Yadanar Pone</t>
  </si>
  <si>
    <t>Bhone Myat Hlan</t>
  </si>
  <si>
    <t>Hay Won Nan</t>
  </si>
  <si>
    <t>Hay Mar Pyae Wa</t>
  </si>
  <si>
    <t>Tha Yat Myaing</t>
  </si>
  <si>
    <t>Shin Thant</t>
  </si>
  <si>
    <t>Kaung Khat</t>
  </si>
  <si>
    <t>Daw Cho Cho Win</t>
  </si>
  <si>
    <t>U Bhone Myint</t>
  </si>
  <si>
    <t>Ma New Ni</t>
  </si>
  <si>
    <t>Min San Thit</t>
  </si>
  <si>
    <t>Ya Mone Nar</t>
  </si>
  <si>
    <t>U Aung Myint</t>
  </si>
  <si>
    <t>Ko Kyi</t>
  </si>
  <si>
    <t>Tha Pyay</t>
  </si>
  <si>
    <t>Pyone Pan Wai</t>
  </si>
  <si>
    <t>Bae Gyi Phyo</t>
  </si>
  <si>
    <t>Ko Nay Kyaw</t>
  </si>
  <si>
    <t>Daw Mya Lay</t>
  </si>
  <si>
    <t>Min Htun Thein</t>
  </si>
  <si>
    <t>Shwe La Win</t>
  </si>
  <si>
    <t>Naing Kyaw</t>
  </si>
  <si>
    <t>Naw Thin Su Hlaing</t>
  </si>
  <si>
    <t>Kabar Kyaw</t>
  </si>
  <si>
    <t>Shwe Kokeko</t>
  </si>
  <si>
    <t>U Htwe Han</t>
  </si>
  <si>
    <t>Ko Thar Ngwe</t>
  </si>
  <si>
    <t>Sone See Yar</t>
  </si>
  <si>
    <t>Wa Than Hnin</t>
  </si>
  <si>
    <t>Kyin Thin</t>
  </si>
  <si>
    <t>Ko Win Khaing</t>
  </si>
  <si>
    <t>Ko Wa Toke</t>
  </si>
  <si>
    <t>Ko Kyaw Min Htun</t>
  </si>
  <si>
    <t>Ko Kyaw Oo</t>
  </si>
  <si>
    <t>Ko Ngwe Lay</t>
  </si>
  <si>
    <t>Ko Zaw Win Htun</t>
  </si>
  <si>
    <t>Ko Htay</t>
  </si>
  <si>
    <t>Ko Htwe</t>
  </si>
  <si>
    <t>Ko Htoo Zaw</t>
  </si>
  <si>
    <t>Ko Lay</t>
  </si>
  <si>
    <t>Ko Than Htun Oo</t>
  </si>
  <si>
    <t>Ko Aye Min Naing</t>
  </si>
  <si>
    <t>Kaung Htet Hlan</t>
  </si>
  <si>
    <t>Kaung Lite</t>
  </si>
  <si>
    <t>Ngwe Lin Yone</t>
  </si>
  <si>
    <t>Swal Nay Pi</t>
  </si>
  <si>
    <t>Sone Mhat</t>
  </si>
  <si>
    <t>Saung Hnin Wai</t>
  </si>
  <si>
    <t>Zabu Aye</t>
  </si>
  <si>
    <t>Zar Ni Lay</t>
  </si>
  <si>
    <t>T Narr Lay</t>
  </si>
  <si>
    <t>Htet Lin Aung</t>
  </si>
  <si>
    <t>Htun+Win</t>
  </si>
  <si>
    <t>Htaw Ma Ngway</t>
  </si>
  <si>
    <t>Dingar</t>
  </si>
  <si>
    <t>Daw Ka Lar Ma</t>
  </si>
  <si>
    <t>Daw Khin</t>
  </si>
  <si>
    <t>Daw Khin Kyi</t>
  </si>
  <si>
    <t>Daw Khaing</t>
  </si>
  <si>
    <t>Daw Ka Tone Ma</t>
  </si>
  <si>
    <t>Daw New New Win</t>
  </si>
  <si>
    <t>Daw Bote</t>
  </si>
  <si>
    <t>Daw Mi Ngwe</t>
  </si>
  <si>
    <t>Daw Mu</t>
  </si>
  <si>
    <t>Daw Aye Aye Myint</t>
  </si>
  <si>
    <t>Ngwe Thar Gi</t>
  </si>
  <si>
    <t>Pyae Sone Shin</t>
  </si>
  <si>
    <t>Pyae Hlan Kyaw</t>
  </si>
  <si>
    <t>05149</t>
  </si>
  <si>
    <t>05203</t>
  </si>
  <si>
    <t>05206</t>
  </si>
  <si>
    <t>05157</t>
  </si>
  <si>
    <t>05201</t>
  </si>
  <si>
    <t>05144</t>
  </si>
  <si>
    <t>A Lin Thit</t>
  </si>
  <si>
    <t>အလင်းသစ်</t>
  </si>
  <si>
    <t>A lin Thit</t>
  </si>
  <si>
    <t>05145</t>
  </si>
  <si>
    <t>05148</t>
  </si>
  <si>
    <t>05209</t>
  </si>
  <si>
    <t>05208</t>
  </si>
  <si>
    <t>05207</t>
  </si>
  <si>
    <t>05210</t>
  </si>
  <si>
    <t>05211</t>
  </si>
  <si>
    <t>05219</t>
  </si>
  <si>
    <t>05220</t>
  </si>
  <si>
    <t>05213</t>
  </si>
  <si>
    <t>05217</t>
  </si>
  <si>
    <t>05216</t>
  </si>
  <si>
    <t>05221</t>
  </si>
  <si>
    <t>05109</t>
  </si>
  <si>
    <t>ko myo aung</t>
  </si>
  <si>
    <t>05228</t>
  </si>
  <si>
    <t>05229</t>
  </si>
  <si>
    <t>05227</t>
  </si>
  <si>
    <t>05222</t>
  </si>
  <si>
    <t>05226</t>
  </si>
  <si>
    <t>05225</t>
  </si>
  <si>
    <t>05232</t>
  </si>
  <si>
    <t>05215</t>
  </si>
  <si>
    <t>05253</t>
  </si>
  <si>
    <t>05252</t>
  </si>
  <si>
    <t>05254</t>
  </si>
  <si>
    <t>02534</t>
  </si>
  <si>
    <t>05240</t>
  </si>
  <si>
    <t>05233</t>
  </si>
  <si>
    <t>05237</t>
  </si>
  <si>
    <t>05236</t>
  </si>
  <si>
    <t>05239</t>
  </si>
  <si>
    <t>05241</t>
  </si>
  <si>
    <t>pyae Hlan</t>
  </si>
  <si>
    <t>ko kyaw Shwe</t>
  </si>
  <si>
    <t>moe san</t>
  </si>
  <si>
    <t>ma thida win</t>
  </si>
  <si>
    <t>05248</t>
  </si>
  <si>
    <t>05022</t>
  </si>
  <si>
    <t>05245</t>
  </si>
  <si>
    <t>05023</t>
  </si>
  <si>
    <t>05025</t>
  </si>
  <si>
    <t>05024</t>
  </si>
  <si>
    <t>05244</t>
  </si>
  <si>
    <t>05243</t>
  </si>
  <si>
    <t>05021</t>
  </si>
  <si>
    <t>Golden Bell</t>
  </si>
  <si>
    <t>ko nyi nyi swe</t>
  </si>
  <si>
    <t>05356</t>
  </si>
  <si>
    <t>05352</t>
  </si>
  <si>
    <t>05351</t>
  </si>
  <si>
    <t>05249</t>
  </si>
  <si>
    <t>0529</t>
  </si>
  <si>
    <t>05355</t>
  </si>
  <si>
    <t>05353</t>
  </si>
  <si>
    <t>05357</t>
  </si>
  <si>
    <t>ko mon lay</t>
  </si>
  <si>
    <t>05314</t>
  </si>
  <si>
    <t>05305</t>
  </si>
  <si>
    <t>05304</t>
  </si>
  <si>
    <t>05301</t>
  </si>
  <si>
    <t>05313</t>
  </si>
  <si>
    <t>05308</t>
  </si>
  <si>
    <t>05306</t>
  </si>
  <si>
    <t>05302</t>
  </si>
  <si>
    <t>05307</t>
  </si>
  <si>
    <t>05312</t>
  </si>
  <si>
    <t>05311</t>
  </si>
  <si>
    <t>05310</t>
  </si>
  <si>
    <t>05303</t>
  </si>
  <si>
    <t>05309</t>
  </si>
  <si>
    <t>KO Kyaw Myint</t>
  </si>
  <si>
    <t>Moon</t>
  </si>
  <si>
    <t>san thit kabar</t>
  </si>
  <si>
    <t>Hlann</t>
  </si>
  <si>
    <t>Shwe Nagar</t>
  </si>
  <si>
    <t>ကမ်းနားလမ်း</t>
  </si>
  <si>
    <t>ဆန်းသစ်ကမ္ဘာ</t>
  </si>
  <si>
    <t>လျှမ်း</t>
  </si>
  <si>
    <t>ရွှေနဂါး</t>
  </si>
  <si>
    <t>ဘီလျှံနာ</t>
  </si>
  <si>
    <t>Billionaire</t>
  </si>
  <si>
    <t>05259</t>
  </si>
  <si>
    <t>05316</t>
  </si>
  <si>
    <t>05359</t>
  </si>
  <si>
    <t>05360</t>
  </si>
  <si>
    <t>05358</t>
  </si>
  <si>
    <t>05361</t>
  </si>
  <si>
    <t>05258</t>
  </si>
  <si>
    <t>05317</t>
  </si>
  <si>
    <t>05319</t>
  </si>
  <si>
    <t>05320</t>
  </si>
  <si>
    <t>05318</t>
  </si>
  <si>
    <t>ma Zar Zar</t>
  </si>
  <si>
    <t>sone see yar</t>
  </si>
  <si>
    <t>Baw Dar Gyi</t>
  </si>
  <si>
    <t>ဇေယျာ-၁</t>
  </si>
  <si>
    <t>ဘော်ဒါကြီး</t>
  </si>
  <si>
    <t>KKK</t>
  </si>
  <si>
    <t>U Win Myint</t>
  </si>
  <si>
    <t>05376</t>
  </si>
  <si>
    <t>05371</t>
  </si>
  <si>
    <t>05374</t>
  </si>
  <si>
    <t>05370</t>
  </si>
  <si>
    <t>05375</t>
  </si>
  <si>
    <t>05365</t>
  </si>
  <si>
    <t>065266</t>
  </si>
  <si>
    <t>05368</t>
  </si>
  <si>
    <t>05373</t>
  </si>
  <si>
    <t>05367</t>
  </si>
  <si>
    <t>05363</t>
  </si>
  <si>
    <t>05362</t>
  </si>
  <si>
    <t>05321</t>
  </si>
  <si>
    <t>U Thein Win</t>
  </si>
  <si>
    <t>ဦးသိန်းဝင်း</t>
  </si>
  <si>
    <t>05382</t>
  </si>
  <si>
    <t>05384</t>
  </si>
  <si>
    <t>05027</t>
  </si>
  <si>
    <t>050383</t>
  </si>
  <si>
    <t>05380</t>
  </si>
  <si>
    <t>05381</t>
  </si>
  <si>
    <t>05379</t>
  </si>
  <si>
    <t>05028</t>
  </si>
  <si>
    <t>05026</t>
  </si>
  <si>
    <t>05032</t>
  </si>
  <si>
    <t>05031</t>
  </si>
  <si>
    <t>05029</t>
  </si>
  <si>
    <t>05388</t>
  </si>
  <si>
    <t>05390</t>
  </si>
  <si>
    <t>05387</t>
  </si>
  <si>
    <t>05389</t>
  </si>
  <si>
    <t>05261</t>
  </si>
  <si>
    <t>05262</t>
  </si>
  <si>
    <t>05328</t>
  </si>
  <si>
    <t>Ma Thi</t>
  </si>
  <si>
    <t>05325</t>
  </si>
  <si>
    <t>05332</t>
  </si>
  <si>
    <t>05333</t>
  </si>
  <si>
    <t>05339</t>
  </si>
  <si>
    <t>05338</t>
  </si>
  <si>
    <t>La Yaung Win</t>
  </si>
  <si>
    <t>လရောင်ဝင်း</t>
  </si>
  <si>
    <t>Friday Mon</t>
  </si>
  <si>
    <t>Phyo Wai Win</t>
  </si>
  <si>
    <t>ဖြိုးဝေဝင်း</t>
  </si>
  <si>
    <t>U Saw Maung</t>
  </si>
  <si>
    <t>ဦးစောမောင်</t>
  </si>
  <si>
    <t>Pyone Cho</t>
  </si>
  <si>
    <t>Pwa Gyi</t>
  </si>
  <si>
    <t>Phyo</t>
  </si>
  <si>
    <t>Phoe Khwar Lay</t>
  </si>
  <si>
    <t>Bhone Nay Kha Htun</t>
  </si>
  <si>
    <t>Ma Kyi Aye</t>
  </si>
  <si>
    <t>Ma Kay Kay</t>
  </si>
  <si>
    <t>Ma Kay Thi Khaing</t>
  </si>
  <si>
    <t>Ma Khaing</t>
  </si>
  <si>
    <t>Ma Juee Li Ma</t>
  </si>
  <si>
    <t>Min Than Lwin</t>
  </si>
  <si>
    <t>Ma Sa Muu</t>
  </si>
  <si>
    <t>Ma Tin Tin Win</t>
  </si>
  <si>
    <t>Ma Nandar Aye</t>
  </si>
  <si>
    <t>Ma New New Win</t>
  </si>
  <si>
    <t>Ma Nant Thar</t>
  </si>
  <si>
    <t>Ma Hnin Pwint Phyu</t>
  </si>
  <si>
    <t>Ma Pu</t>
  </si>
  <si>
    <t>Ma Yin Yin Than</t>
  </si>
  <si>
    <t>Ma Shwe Sin</t>
  </si>
  <si>
    <t>Ma Yi Mon</t>
  </si>
  <si>
    <t>Ma Yi Yi Mar</t>
  </si>
  <si>
    <t>Ma Lat To San</t>
  </si>
  <si>
    <t>Ma Hla Myi</t>
  </si>
  <si>
    <t>Ma Win Maw</t>
  </si>
  <si>
    <t>Ma Wai Thar</t>
  </si>
  <si>
    <t>Ma Than Than Aye</t>
  </si>
  <si>
    <t>Ma Thida Oo</t>
  </si>
  <si>
    <t>Miba Myitter</t>
  </si>
  <si>
    <t>Mi Ba Yite</t>
  </si>
  <si>
    <t>Moe San Char Li</t>
  </si>
  <si>
    <t>Moe Ma Kha</t>
  </si>
  <si>
    <t xml:space="preserve">Ma Wai </t>
  </si>
  <si>
    <t>Shwe Khaung Yi</t>
  </si>
  <si>
    <t>Shwe Pa Line</t>
  </si>
  <si>
    <t>Shwe Moe</t>
  </si>
  <si>
    <t>Shwe Myitter</t>
  </si>
  <si>
    <t>Shwe Yin Aye</t>
  </si>
  <si>
    <t>Shwe Yaung A Nar Gat</t>
  </si>
  <si>
    <t>Yar Ma Nya</t>
  </si>
  <si>
    <t>Ye Yint Aung</t>
  </si>
  <si>
    <t>Lin Lin</t>
  </si>
  <si>
    <t>Lu Wa Gyi</t>
  </si>
  <si>
    <t>Thoon Shwe Sin</t>
  </si>
  <si>
    <t>Thein Gabar</t>
  </si>
  <si>
    <t>Thein Than</t>
  </si>
  <si>
    <t>Thaw Tar Win</t>
  </si>
  <si>
    <t>Han Thar</t>
  </si>
  <si>
    <t>Ingyin May</t>
  </si>
  <si>
    <t>A Lin Yaung</t>
  </si>
  <si>
    <t>Ooe Lay</t>
  </si>
  <si>
    <t>Oak Gyi</t>
  </si>
  <si>
    <t>U Ka Yin</t>
  </si>
  <si>
    <t>U Sein Myint+Daw Owne Myint</t>
  </si>
  <si>
    <t>U Pan Char</t>
  </si>
  <si>
    <t>U Bo Ni</t>
  </si>
  <si>
    <t>U Myint Ko</t>
  </si>
  <si>
    <t>U Maung Thein</t>
  </si>
  <si>
    <t>U Win Shine</t>
  </si>
  <si>
    <t>U Myint Naing</t>
  </si>
  <si>
    <t>05337</t>
  </si>
  <si>
    <t>05335</t>
  </si>
  <si>
    <t>05334</t>
  </si>
  <si>
    <t>05324</t>
  </si>
  <si>
    <t>05326</t>
  </si>
  <si>
    <t>05327</t>
  </si>
  <si>
    <t>05397</t>
  </si>
  <si>
    <t>05393</t>
  </si>
  <si>
    <t>05394</t>
  </si>
  <si>
    <t>05395</t>
  </si>
  <si>
    <t>05392</t>
  </si>
  <si>
    <t>05396</t>
  </si>
  <si>
    <t>05033</t>
  </si>
  <si>
    <t>05263</t>
  </si>
  <si>
    <t>နတ်ကြီးချောင်</t>
  </si>
  <si>
    <t>ကမမောင်း</t>
  </si>
  <si>
    <t>သိမ်ဇရပ်(၀ါးဒတ်ကွင်း)</t>
  </si>
  <si>
    <t>တောင်၀ိုင်း(နတ်စင်ရှေ့)</t>
  </si>
  <si>
    <t>ကြခတ်ငူ</t>
  </si>
  <si>
    <t>တံခွန်တိုင်(မုဒုံ)</t>
  </si>
  <si>
    <t>ဒေါင်းဇရပ်မီးပွုင့်</t>
  </si>
  <si>
    <t>ပန်းဘဲတန်း</t>
  </si>
  <si>
    <t>သိမ်ဇရမ်</t>
  </si>
  <si>
    <t>ဘန့်ဘွေးကုန်း</t>
  </si>
  <si>
    <t>သက္ကော</t>
  </si>
  <si>
    <t>ရွာလွတ်(ကွမ်ဒိုင်း)</t>
  </si>
  <si>
    <t>ကော့နွတ်</t>
  </si>
  <si>
    <t>နဘူး</t>
  </si>
  <si>
    <t>ဖားပြရွာ</t>
  </si>
  <si>
    <t>ကော့ကရိတ်</t>
  </si>
  <si>
    <t>အလူးကျေးရွာ</t>
  </si>
  <si>
    <t>သံဖြူဇရပ် (နှစ်ကိုင်း)</t>
  </si>
  <si>
    <t>ဈေးကြိုဆန်တန်း</t>
  </si>
  <si>
    <t>သထုံကြာပန်း</t>
  </si>
  <si>
    <t>ဂေါက်ကွင်းရှေ့(ဘုရားသုံးဆူ)</t>
  </si>
  <si>
    <t>၆ မိုင်</t>
  </si>
  <si>
    <t>ကွမ်ဒိုင်း</t>
  </si>
  <si>
    <t>မုခနီး (စော်ကဲ)</t>
  </si>
  <si>
    <t>ထီးလင်း၀င်းသာယာ(ဇာသပြင်)</t>
  </si>
  <si>
    <t>ဆင်ခေါင်းမိုတဲ</t>
  </si>
  <si>
    <t>အိန္ဒုလမ်း</t>
  </si>
  <si>
    <t>ဆောင်နိုင်ကြီး</t>
  </si>
  <si>
    <t>ချောင်းတောင်</t>
  </si>
  <si>
    <t>ကလိုင်ပဒေါ</t>
  </si>
  <si>
    <t>ဖားအောက်</t>
  </si>
  <si>
    <t>သွေးသောက်</t>
  </si>
  <si>
    <t>၉ တိုင်</t>
  </si>
  <si>
    <t>ကျိုက်ဒုံ</t>
  </si>
  <si>
    <t>ကျွန်းချောင်း</t>
  </si>
  <si>
    <t>မြောက်ကြာအင်း</t>
  </si>
  <si>
    <t>ကျိုက်ကော်</t>
  </si>
  <si>
    <t>ချောင်းနှစ်ခွ</t>
  </si>
  <si>
    <t>ကလော့သော့</t>
  </si>
  <si>
    <t>တရနာ</t>
  </si>
  <si>
    <t>ခလွန်</t>
  </si>
  <si>
    <t>ဘီးလမိုင်း</t>
  </si>
  <si>
    <t>ရွေလှေ</t>
  </si>
  <si>
    <t>စမ်းကြီး</t>
  </si>
  <si>
    <t>ဖက်တန်းလမ်း (ဈေးကြီး)</t>
  </si>
  <si>
    <t>သာယာအေး</t>
  </si>
  <si>
    <t>အင်းကွဲရွာ</t>
  </si>
  <si>
    <t>တောင်ဝိုင်းဥယျာဥ်လမ်း</t>
  </si>
  <si>
    <t>ရေး(ကျောင်းရွာ)</t>
  </si>
  <si>
    <t>ကျိုက္ခမီ</t>
  </si>
  <si>
    <t>ကမနင်း</t>
  </si>
  <si>
    <t>Moe San</t>
  </si>
  <si>
    <t>မိုးဆမ်း</t>
  </si>
  <si>
    <t>Target</t>
  </si>
  <si>
    <t>Q1</t>
  </si>
  <si>
    <t>Q2</t>
  </si>
  <si>
    <t>Q3</t>
  </si>
  <si>
    <t>Q4</t>
  </si>
  <si>
    <t>2025 Total</t>
  </si>
  <si>
    <t>January</t>
  </si>
  <si>
    <t>February</t>
  </si>
  <si>
    <t xml:space="preserve">March </t>
  </si>
  <si>
    <t xml:space="preserve">April </t>
  </si>
  <si>
    <t xml:space="preserve">May </t>
  </si>
  <si>
    <t xml:space="preserve">June </t>
  </si>
  <si>
    <t xml:space="preserve">July </t>
  </si>
  <si>
    <t xml:space="preserve">August </t>
  </si>
  <si>
    <t xml:space="preserve">September </t>
  </si>
  <si>
    <t>October</t>
  </si>
  <si>
    <t xml:space="preserve">Novermber </t>
  </si>
  <si>
    <t xml:space="preserve">December </t>
  </si>
  <si>
    <t>Target (BOT)</t>
  </si>
  <si>
    <t>Target (Liters)</t>
  </si>
  <si>
    <t>WS</t>
  </si>
  <si>
    <t>SWS</t>
  </si>
  <si>
    <t>Mini</t>
  </si>
  <si>
    <t>Van</t>
  </si>
  <si>
    <t xml:space="preserve">Total Sales(BOT) </t>
  </si>
  <si>
    <t xml:space="preserve">Total Sales(Liters) </t>
  </si>
  <si>
    <t>Ach % (BOT)</t>
  </si>
  <si>
    <t>Ach % (Liters)</t>
  </si>
  <si>
    <t xml:space="preserve">Quarter 1 </t>
  </si>
  <si>
    <t>Quarter 2</t>
  </si>
  <si>
    <t>Quarter 3</t>
  </si>
  <si>
    <t>Quarter 4</t>
  </si>
  <si>
    <t>Wholesales Follow Up - (MLM)</t>
  </si>
  <si>
    <t xml:space="preserve">Q1 Total </t>
  </si>
  <si>
    <t xml:space="preserve">Q2 Total </t>
  </si>
  <si>
    <t xml:space="preserve">Q3 Total </t>
  </si>
  <si>
    <t xml:space="preserve">Q4 Total </t>
  </si>
  <si>
    <t>ACH%</t>
  </si>
  <si>
    <t xml:space="preserve">Target </t>
  </si>
  <si>
    <t xml:space="preserve">Sales </t>
  </si>
  <si>
    <t>Ach %</t>
  </si>
  <si>
    <t>Sr No.</t>
  </si>
  <si>
    <t>Customer Name</t>
  </si>
  <si>
    <t>Area</t>
  </si>
  <si>
    <t>Outlet Type</t>
  </si>
  <si>
    <t>Cons%</t>
  </si>
  <si>
    <t>Resp by</t>
  </si>
  <si>
    <t xml:space="preserve">PKT </t>
  </si>
  <si>
    <t xml:space="preserve">Bottle </t>
  </si>
  <si>
    <t>Liters</t>
  </si>
  <si>
    <t>Ltr</t>
  </si>
  <si>
    <t>ရေးမြို့</t>
  </si>
  <si>
    <t xml:space="preserve">Yaye </t>
  </si>
  <si>
    <t>Daw New New Yi</t>
  </si>
  <si>
    <t xml:space="preserve">Yayae </t>
  </si>
  <si>
    <t>Mawlamyaing</t>
  </si>
  <si>
    <t>Ko Nyi Nyi Swe-1</t>
  </si>
  <si>
    <t>ကျိုက်ထိုမြို့</t>
  </si>
  <si>
    <t>Total Wholesales ( 14 )</t>
  </si>
  <si>
    <t>Semi Wholesales Follow Up - (MLM)</t>
  </si>
  <si>
    <t xml:space="preserve">Semi WS </t>
  </si>
  <si>
    <t>Daw Mi Sein</t>
  </si>
  <si>
    <t>မုဒုံမြို့</t>
  </si>
  <si>
    <t>A-1</t>
  </si>
  <si>
    <t>ဘီးလင်းမြို့</t>
  </si>
  <si>
    <t>Ma Thantar</t>
  </si>
  <si>
    <t>ပေါင်မြို့</t>
  </si>
  <si>
    <t>Ko Mg Oo</t>
  </si>
  <si>
    <t>Ma Wai</t>
  </si>
  <si>
    <t xml:space="preserve">Kankaw </t>
  </si>
  <si>
    <t>Quarter 1</t>
  </si>
  <si>
    <t>Mini  Follow Up - (MLM)</t>
  </si>
  <si>
    <t xml:space="preserve">Van </t>
  </si>
  <si>
    <t>ASM</t>
  </si>
  <si>
    <t xml:space="preserve">Area </t>
  </si>
  <si>
    <t xml:space="preserve">Frequancy </t>
  </si>
  <si>
    <t xml:space="preserve">Mini WS </t>
  </si>
  <si>
    <t>Ko Peain</t>
  </si>
  <si>
    <t>ချောင်းဆုံမြို့</t>
  </si>
  <si>
    <t>Wa Mone Nar</t>
  </si>
  <si>
    <t>A Nae gyi</t>
  </si>
  <si>
    <t>Total Mini Wholesales (14)</t>
  </si>
  <si>
    <t>Mini + Van Sales  Follow Up - (MLM)</t>
  </si>
  <si>
    <t xml:space="preserve">Total Outlet </t>
  </si>
  <si>
    <t>PK</t>
  </si>
  <si>
    <t xml:space="preserve">Van 1 </t>
  </si>
  <si>
    <t>ထိန်လင်း</t>
  </si>
  <si>
    <t xml:space="preserve">Total Van Sales </t>
  </si>
  <si>
    <t>Team</t>
  </si>
  <si>
    <t>Stock Name</t>
  </si>
  <si>
    <t>Sales Ctns</t>
  </si>
  <si>
    <t>Sales Bot;</t>
  </si>
  <si>
    <t>Sales Liter</t>
  </si>
  <si>
    <t>Grand Total</t>
  </si>
  <si>
    <t>(All)</t>
  </si>
  <si>
    <t>Sum of Sales Ctns</t>
  </si>
  <si>
    <t>Total</t>
  </si>
  <si>
    <t>Values</t>
  </si>
  <si>
    <t>Sum of Sales Bot;</t>
  </si>
  <si>
    <t>Sum of Sales Liter</t>
  </si>
  <si>
    <t>Jan</t>
  </si>
  <si>
    <t>2026</t>
  </si>
  <si>
    <t>(Multiple Items)</t>
  </si>
  <si>
    <t>%</t>
  </si>
  <si>
    <t>Semi</t>
  </si>
  <si>
    <t>Time Spend</t>
  </si>
  <si>
    <t>2025 Liter Sales Summary</t>
  </si>
  <si>
    <t>Channel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</si>
  <si>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</si>
  <si>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</si>
  <si>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</si>
  <si>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</si>
  <si>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</si>
  <si>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</si>
  <si>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</si>
  <si>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</si>
  <si>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</si>
  <si>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</si>
  <si>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</si>
  <si>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Yearly Total</t>
  </si>
  <si>
    <t>AVG</t>
  </si>
  <si>
    <t>Contribution %</t>
  </si>
  <si>
    <t>WS Total</t>
  </si>
  <si>
    <t>ဘုရားသုံးဆူမြို့</t>
  </si>
  <si>
    <t>မ‌ကေကေ</t>
  </si>
  <si>
    <t>ဖာပွန်မြို့</t>
  </si>
  <si>
    <t>သထုံမြို့</t>
  </si>
  <si>
    <t>ကော့ကရိတ်မြို့</t>
  </si>
  <si>
    <t>မြတ်ဘုန်းလျှံ</t>
  </si>
  <si>
    <t>Van Total</t>
  </si>
  <si>
    <t>Semi Total</t>
  </si>
  <si>
    <t>Mini Total</t>
  </si>
  <si>
    <t>MLM Grand Total</t>
  </si>
  <si>
    <t>Jan'26 Target</t>
  </si>
  <si>
    <t>301Ctns &amp; Above</t>
  </si>
  <si>
    <t>100Ctns to 300Ctns</t>
  </si>
  <si>
    <t>51Ctns to 100Ctns</t>
  </si>
  <si>
    <t>Retail</t>
  </si>
  <si>
    <t>Below 50Ctns</t>
  </si>
  <si>
    <t>05038</t>
  </si>
  <si>
    <t>05037</t>
  </si>
  <si>
    <t>05036</t>
  </si>
  <si>
    <t>05099</t>
  </si>
  <si>
    <t>05401</t>
  </si>
  <si>
    <t>05403</t>
  </si>
  <si>
    <t>05402</t>
  </si>
  <si>
    <t>05412</t>
  </si>
  <si>
    <t>05047</t>
  </si>
  <si>
    <t>05400</t>
  </si>
  <si>
    <t>05405</t>
  </si>
  <si>
    <t>05410</t>
  </si>
  <si>
    <t>05409</t>
  </si>
  <si>
    <t>05416</t>
  </si>
  <si>
    <t>05419</t>
  </si>
  <si>
    <t>05414</t>
  </si>
  <si>
    <t>05417</t>
  </si>
  <si>
    <t>05408</t>
  </si>
  <si>
    <t>05418</t>
  </si>
  <si>
    <t>05413</t>
  </si>
  <si>
    <t>05415</t>
  </si>
  <si>
    <t>05267</t>
  </si>
  <si>
    <t>05266</t>
  </si>
  <si>
    <t>05341</t>
  </si>
  <si>
    <t>05423</t>
  </si>
  <si>
    <t>05424</t>
  </si>
  <si>
    <t>05406</t>
  </si>
  <si>
    <t>05427</t>
  </si>
  <si>
    <t>05428</t>
  </si>
  <si>
    <t>Phaung Taine</t>
  </si>
  <si>
    <t>ဖောင်တိန်</t>
  </si>
  <si>
    <t>05430</t>
  </si>
  <si>
    <t>Mone Nae Kon Ki-1</t>
  </si>
  <si>
    <t>05422</t>
  </si>
  <si>
    <t>05431</t>
  </si>
  <si>
    <t>05432</t>
  </si>
  <si>
    <t>05435</t>
  </si>
  <si>
    <t>05439</t>
  </si>
  <si>
    <t>05433</t>
  </si>
  <si>
    <t>05434</t>
  </si>
  <si>
    <t>05438</t>
  </si>
  <si>
    <t>05437</t>
  </si>
  <si>
    <t>05269</t>
  </si>
  <si>
    <t>05270</t>
  </si>
  <si>
    <t>05445</t>
  </si>
  <si>
    <t>03466</t>
  </si>
  <si>
    <t>Ma Zar Zar Oo</t>
  </si>
  <si>
    <t>မဇာဇာဦး</t>
  </si>
  <si>
    <t>05442</t>
  </si>
  <si>
    <t>05444</t>
  </si>
  <si>
    <t>05443</t>
  </si>
  <si>
    <t>05348</t>
  </si>
  <si>
    <t>Phyo Wai Oo</t>
  </si>
  <si>
    <t>ဖြိူးဝေဦး</t>
  </si>
  <si>
    <t>Moe Hti Aung</t>
  </si>
  <si>
    <t>မိုးထိအောင်</t>
  </si>
  <si>
    <t>05342</t>
  </si>
  <si>
    <t>05344</t>
  </si>
  <si>
    <t>Daily One</t>
  </si>
  <si>
    <t>05343</t>
  </si>
  <si>
    <t>05502</t>
  </si>
  <si>
    <t>05505</t>
  </si>
  <si>
    <t>05449</t>
  </si>
  <si>
    <t>05501</t>
  </si>
  <si>
    <t>05503</t>
  </si>
  <si>
    <t>05506</t>
  </si>
  <si>
    <t>05507</t>
  </si>
  <si>
    <t>05508</t>
  </si>
  <si>
    <t>Shwe Kyoekyar</t>
  </si>
  <si>
    <t>05455</t>
  </si>
  <si>
    <t>ရွှေကြိုးကြာ</t>
  </si>
  <si>
    <t>05457</t>
  </si>
  <si>
    <t>05349</t>
  </si>
  <si>
    <t>05451</t>
  </si>
  <si>
    <t>05450</t>
  </si>
  <si>
    <t>05504</t>
  </si>
  <si>
    <t>05548</t>
  </si>
  <si>
    <t>DG-1Li</t>
  </si>
  <si>
    <t>တောင်ဝိုင်း</t>
  </si>
  <si>
    <t>05456</t>
  </si>
  <si>
    <t>05454</t>
  </si>
  <si>
    <t>05453</t>
  </si>
  <si>
    <t>05039</t>
  </si>
  <si>
    <t>Shwe man-1Li</t>
  </si>
  <si>
    <t>05041</t>
  </si>
  <si>
    <t>05042</t>
  </si>
  <si>
    <t>05511</t>
  </si>
  <si>
    <t>05509</t>
  </si>
  <si>
    <t>05510</t>
  </si>
  <si>
    <t>05464</t>
  </si>
  <si>
    <t>05460</t>
  </si>
  <si>
    <t>05463</t>
  </si>
  <si>
    <t>Ko san</t>
  </si>
  <si>
    <t>ကိုစံ</t>
  </si>
  <si>
    <t>05459</t>
  </si>
  <si>
    <t>05461</t>
  </si>
  <si>
    <t>05462</t>
  </si>
  <si>
    <t>Nyi Nyi</t>
  </si>
  <si>
    <t>ညီညီ</t>
  </si>
  <si>
    <t>05513</t>
  </si>
  <si>
    <t>05519</t>
  </si>
  <si>
    <t>05520</t>
  </si>
  <si>
    <t>05271</t>
  </si>
  <si>
    <t>05515</t>
  </si>
  <si>
    <t>05514</t>
  </si>
  <si>
    <t>05516</t>
  </si>
  <si>
    <t>05521</t>
  </si>
  <si>
    <t>05467</t>
  </si>
  <si>
    <t>Lucky</t>
  </si>
  <si>
    <t>05466</t>
  </si>
  <si>
    <t>05465</t>
  </si>
  <si>
    <t>05469</t>
  </si>
  <si>
    <t>သားကြီး</t>
  </si>
  <si>
    <t>Thar Gyi</t>
  </si>
  <si>
    <t>ရွေ ပြည်အေး</t>
  </si>
  <si>
    <t>05470</t>
  </si>
  <si>
    <t>05471</t>
  </si>
  <si>
    <t>Sa Aung San</t>
  </si>
  <si>
    <t>စအောင်စန်း</t>
  </si>
  <si>
    <t>ထီးလုံ၀င်းသာယာ(ဇာသပြင်)</t>
  </si>
  <si>
    <t>05272</t>
  </si>
  <si>
    <t>05273</t>
  </si>
  <si>
    <t>05274</t>
  </si>
  <si>
    <t>05525</t>
  </si>
  <si>
    <t>05528</t>
  </si>
  <si>
    <t>05527</t>
  </si>
  <si>
    <t>05524</t>
  </si>
  <si>
    <t>05045</t>
  </si>
  <si>
    <t>050489</t>
  </si>
  <si>
    <t>05046</t>
  </si>
  <si>
    <t>05048</t>
  </si>
  <si>
    <t>05522</t>
  </si>
  <si>
    <t>05535</t>
  </si>
  <si>
    <t>05537</t>
  </si>
  <si>
    <t>05538</t>
  </si>
  <si>
    <t>05531</t>
  </si>
  <si>
    <t>05532</t>
  </si>
  <si>
    <t>05533</t>
  </si>
  <si>
    <t>05530</t>
  </si>
  <si>
    <t>05536</t>
  </si>
  <si>
    <t>05472</t>
  </si>
  <si>
    <t>05541</t>
  </si>
  <si>
    <t>05542</t>
  </si>
  <si>
    <t>05540</t>
  </si>
  <si>
    <t>05545</t>
  </si>
  <si>
    <t>05546</t>
  </si>
  <si>
    <t>05543</t>
  </si>
  <si>
    <t>05544</t>
  </si>
  <si>
    <t>05476</t>
  </si>
  <si>
    <t>05475</t>
  </si>
  <si>
    <t>05552</t>
  </si>
  <si>
    <t>05551</t>
  </si>
  <si>
    <t>05050</t>
  </si>
  <si>
    <t>05049</t>
  </si>
  <si>
    <t>05554</t>
  </si>
  <si>
    <t>05601</t>
  </si>
  <si>
    <t>05603</t>
  </si>
  <si>
    <t>05555</t>
  </si>
  <si>
    <t>05556</t>
  </si>
  <si>
    <t>0550</t>
  </si>
  <si>
    <t>05549</t>
  </si>
  <si>
    <t>05547</t>
  </si>
  <si>
    <t>05479</t>
  </si>
  <si>
    <t>05612</t>
  </si>
  <si>
    <t>05609</t>
  </si>
  <si>
    <t>05608</t>
  </si>
  <si>
    <t>05607</t>
  </si>
  <si>
    <t>05631</t>
  </si>
  <si>
    <t>05480</t>
  </si>
  <si>
    <t>05557</t>
  </si>
  <si>
    <t>05625</t>
  </si>
  <si>
    <t>05264</t>
  </si>
  <si>
    <t>05620</t>
  </si>
  <si>
    <t>05614</t>
  </si>
  <si>
    <t>05615</t>
  </si>
  <si>
    <t>05621</t>
  </si>
  <si>
    <t>05606</t>
  </si>
  <si>
    <t>05628</t>
  </si>
  <si>
    <t>05617</t>
  </si>
  <si>
    <t>05619</t>
  </si>
  <si>
    <t>05627</t>
  </si>
  <si>
    <t>05630</t>
  </si>
  <si>
    <t>05481</t>
  </si>
  <si>
    <t>Total Semi Wholesales (24)</t>
  </si>
  <si>
    <t>Wholesales</t>
  </si>
  <si>
    <t>Semi Wholesales</t>
  </si>
  <si>
    <t>2025 AVG</t>
  </si>
  <si>
    <t>2025 AVG Lirer</t>
  </si>
  <si>
    <t>2026 AVG</t>
  </si>
  <si>
    <t>Achi %</t>
  </si>
  <si>
    <t>05632</t>
  </si>
  <si>
    <t>05640</t>
  </si>
  <si>
    <t>05641</t>
  </si>
  <si>
    <t>05637</t>
  </si>
  <si>
    <t>05636</t>
  </si>
  <si>
    <t>05478</t>
  </si>
  <si>
    <t>05482</t>
  </si>
  <si>
    <t>05635</t>
  </si>
  <si>
    <t>05633</t>
  </si>
  <si>
    <t>05642</t>
  </si>
  <si>
    <t>05277</t>
  </si>
  <si>
    <t>05643</t>
  </si>
  <si>
    <t>05655</t>
  </si>
  <si>
    <t>05649</t>
  </si>
  <si>
    <t>05646</t>
  </si>
  <si>
    <t>05645</t>
  </si>
  <si>
    <t>05651</t>
  </si>
  <si>
    <t>05644</t>
  </si>
  <si>
    <t>05648</t>
  </si>
  <si>
    <t>05486</t>
  </si>
  <si>
    <t>05490</t>
  </si>
  <si>
    <t>Comment</t>
  </si>
  <si>
    <t>05489</t>
  </si>
  <si>
    <t>05477</t>
  </si>
  <si>
    <t>05488</t>
  </si>
  <si>
    <t>05484</t>
  </si>
  <si>
    <t>Hein</t>
  </si>
  <si>
    <t>ဟိန်း</t>
  </si>
  <si>
    <t>U Than Swe</t>
  </si>
  <si>
    <t>ဦးသန်းဆွေ</t>
  </si>
  <si>
    <t>မင်းရွာ</t>
  </si>
  <si>
    <t>05483</t>
  </si>
  <si>
    <t>05487</t>
  </si>
  <si>
    <t>05485</t>
  </si>
  <si>
    <t>05561</t>
  </si>
  <si>
    <t>05662</t>
  </si>
  <si>
    <t>05664</t>
  </si>
  <si>
    <t>05656</t>
  </si>
  <si>
    <t>05657</t>
  </si>
  <si>
    <t>05658</t>
  </si>
  <si>
    <t>05660</t>
  </si>
  <si>
    <t>05659</t>
  </si>
  <si>
    <t>05663</t>
  </si>
  <si>
    <t>05666</t>
  </si>
  <si>
    <t>05669</t>
  </si>
  <si>
    <t>05565</t>
  </si>
  <si>
    <t>05667</t>
  </si>
  <si>
    <t>0553</t>
  </si>
  <si>
    <t>05562</t>
  </si>
  <si>
    <t>05564</t>
  </si>
  <si>
    <t>05668</t>
  </si>
  <si>
    <t>05491</t>
  </si>
  <si>
    <t>05566</t>
  </si>
  <si>
    <t>059676</t>
  </si>
  <si>
    <t>05674</t>
  </si>
  <si>
    <t>05675</t>
  </si>
  <si>
    <t>05676</t>
  </si>
  <si>
    <t>05686</t>
  </si>
  <si>
    <t>05678</t>
  </si>
  <si>
    <t>05281</t>
  </si>
  <si>
    <t>05680</t>
  </si>
  <si>
    <t>05280</t>
  </si>
  <si>
    <t>05681</t>
  </si>
  <si>
    <t>0567</t>
  </si>
  <si>
    <t>05688</t>
  </si>
  <si>
    <t>05282</t>
  </si>
  <si>
    <t>05697</t>
  </si>
  <si>
    <t>05691</t>
  </si>
  <si>
    <t>05690</t>
  </si>
  <si>
    <t>05693</t>
  </si>
  <si>
    <t>05699</t>
  </si>
  <si>
    <t>05696</t>
  </si>
  <si>
    <t>05689</t>
  </si>
  <si>
    <t>05694</t>
  </si>
  <si>
    <t>05698</t>
  </si>
  <si>
    <t>5692</t>
  </si>
  <si>
    <t>05705</t>
  </si>
  <si>
    <t>05709</t>
  </si>
  <si>
    <t>05706</t>
  </si>
  <si>
    <t>05704</t>
  </si>
  <si>
    <t>Ok 1-2</t>
  </si>
  <si>
    <t>Jocker</t>
  </si>
  <si>
    <t>နတ်စင်</t>
  </si>
  <si>
    <t>05708</t>
  </si>
  <si>
    <t>Daw Khin Than Myint</t>
  </si>
  <si>
    <t>ဒေါ်ခင်သန်းမြင့်</t>
  </si>
  <si>
    <t>နတ်ခမ်းရွာ</t>
  </si>
  <si>
    <t>05710</t>
  </si>
  <si>
    <t>05707</t>
  </si>
  <si>
    <t>05570</t>
  </si>
  <si>
    <t>05569</t>
  </si>
  <si>
    <t>05700</t>
  </si>
  <si>
    <t>05754</t>
  </si>
  <si>
    <t>05702</t>
  </si>
  <si>
    <t>05751</t>
  </si>
  <si>
    <t>05757</t>
  </si>
  <si>
    <t>05759</t>
  </si>
  <si>
    <t>05761</t>
  </si>
  <si>
    <t>05574</t>
  </si>
  <si>
    <t>05573</t>
  </si>
  <si>
    <t>05572</t>
  </si>
  <si>
    <t>05756</t>
  </si>
  <si>
    <t>05755</t>
  </si>
  <si>
    <t>05758</t>
  </si>
  <si>
    <t>05716</t>
  </si>
  <si>
    <t>Daw Tin Tin Aye</t>
  </si>
  <si>
    <t>ဒေါ်တင်တင်အေး</t>
  </si>
  <si>
    <t>05718</t>
  </si>
  <si>
    <t>KS</t>
  </si>
  <si>
    <t>05712</t>
  </si>
  <si>
    <t>05711</t>
  </si>
  <si>
    <t>05715</t>
  </si>
  <si>
    <t>Shwe Taw Win</t>
  </si>
  <si>
    <t>ရွှေတော်ဝင်</t>
  </si>
  <si>
    <t>05713</t>
  </si>
  <si>
    <t>Shwe Hlaing Bwar</t>
  </si>
  <si>
    <t>ရွှေလှိုင်ဘွား</t>
  </si>
  <si>
    <t>Daw Mee</t>
  </si>
  <si>
    <t>ဒေါ်မီး</t>
  </si>
  <si>
    <t>05714</t>
  </si>
  <si>
    <t>05763</t>
  </si>
  <si>
    <t>05575</t>
  </si>
  <si>
    <t>05764</t>
  </si>
  <si>
    <t>05724</t>
  </si>
  <si>
    <t>Shwe Nan Htet</t>
  </si>
  <si>
    <t>ရွှေနန်းထက်</t>
  </si>
  <si>
    <t>မြို့ရှောင်လမ်း</t>
  </si>
  <si>
    <t>05725</t>
  </si>
  <si>
    <t>Shwe Nadi</t>
  </si>
  <si>
    <t>ရွှေနဒီ</t>
  </si>
  <si>
    <t>05720</t>
  </si>
  <si>
    <t>Marlar Myaing</t>
  </si>
  <si>
    <t>မာလာမြို်င</t>
  </si>
  <si>
    <t>ဘူတာကြီး</t>
  </si>
  <si>
    <t>05721</t>
  </si>
  <si>
    <t>Aung Kabar</t>
  </si>
  <si>
    <t>အောင်ကမ္ဘာ</t>
  </si>
  <si>
    <t>05719</t>
  </si>
  <si>
    <t>05723</t>
  </si>
  <si>
    <t>Ko Ch</t>
  </si>
  <si>
    <t>ကိုချိုင်</t>
  </si>
  <si>
    <t>05722</t>
  </si>
  <si>
    <t>05577</t>
  </si>
  <si>
    <t>05576</t>
  </si>
  <si>
    <t>05578</t>
  </si>
  <si>
    <t>05768</t>
  </si>
  <si>
    <t>05638</t>
  </si>
  <si>
    <t>05766</t>
  </si>
  <si>
    <t>05765</t>
  </si>
  <si>
    <t>05772</t>
  </si>
  <si>
    <t>05283</t>
  </si>
  <si>
    <t>05729</t>
  </si>
  <si>
    <t>05736</t>
  </si>
  <si>
    <t>05732</t>
  </si>
  <si>
    <t>05733</t>
  </si>
  <si>
    <t>05727</t>
  </si>
  <si>
    <t>05726</t>
  </si>
  <si>
    <t>05739</t>
  </si>
  <si>
    <t>05731</t>
  </si>
  <si>
    <t>05735</t>
  </si>
  <si>
    <t>05734</t>
  </si>
  <si>
    <t>05730</t>
  </si>
  <si>
    <t>Shwe ban Dar</t>
  </si>
  <si>
    <t>ရွှေဗန်ဒါ</t>
  </si>
  <si>
    <t>ဗဟိုလမ်း</t>
  </si>
  <si>
    <t>05284</t>
  </si>
  <si>
    <t>05778</t>
  </si>
  <si>
    <t>05777</t>
  </si>
  <si>
    <t>05779</t>
  </si>
  <si>
    <t>05780</t>
  </si>
  <si>
    <t>05287</t>
  </si>
  <si>
    <t>05288</t>
  </si>
  <si>
    <t>05289</t>
  </si>
  <si>
    <t>05290</t>
  </si>
  <si>
    <t>05781</t>
  </si>
  <si>
    <t>05775</t>
  </si>
  <si>
    <t>05741</t>
  </si>
  <si>
    <t>05742</t>
  </si>
  <si>
    <t>Pan Ei Phyu</t>
  </si>
  <si>
    <t>Sk</t>
  </si>
  <si>
    <t>ပန်းအိဖြူ</t>
  </si>
  <si>
    <t>05743</t>
  </si>
  <si>
    <t>Queen</t>
  </si>
  <si>
    <t>ဘုရင်မ</t>
  </si>
  <si>
    <t>တိုးချဲ့ကမ်းနား</t>
  </si>
  <si>
    <t>၀၅၇၃၅</t>
  </si>
  <si>
    <t>0595</t>
  </si>
  <si>
    <t>05293</t>
  </si>
  <si>
    <t>05296</t>
  </si>
  <si>
    <t>05294</t>
  </si>
  <si>
    <t>05783</t>
  </si>
  <si>
    <t>05786</t>
  </si>
  <si>
    <t>05784</t>
  </si>
  <si>
    <t>05782</t>
  </si>
  <si>
    <t>05788</t>
  </si>
  <si>
    <t>05979</t>
  </si>
  <si>
    <t>05798</t>
  </si>
  <si>
    <t>05790</t>
  </si>
  <si>
    <t>05789</t>
  </si>
  <si>
    <t>05796</t>
  </si>
  <si>
    <t>05792</t>
  </si>
  <si>
    <t>05793</t>
  </si>
  <si>
    <t>05794</t>
  </si>
  <si>
    <t>05795</t>
  </si>
  <si>
    <t>056791</t>
  </si>
  <si>
    <t>05901</t>
  </si>
  <si>
    <t>05905</t>
  </si>
  <si>
    <t>05903</t>
  </si>
  <si>
    <t>05904</t>
  </si>
  <si>
    <t>05902</t>
  </si>
  <si>
    <t>05299</t>
  </si>
  <si>
    <t>05799</t>
  </si>
  <si>
    <t>05801</t>
  </si>
  <si>
    <t>05802</t>
  </si>
  <si>
    <t>05740</t>
  </si>
  <si>
    <t>Han Thar Myaing</t>
  </si>
  <si>
    <t>ဟံသာမြိုင်</t>
  </si>
  <si>
    <t>05800</t>
  </si>
  <si>
    <t>05579</t>
  </si>
  <si>
    <t>05580</t>
  </si>
  <si>
    <t>05855</t>
  </si>
  <si>
    <t>05852</t>
  </si>
  <si>
    <t>AKK</t>
  </si>
  <si>
    <t>Than Myitter</t>
  </si>
  <si>
    <t>သန်းမေတ္တာ</t>
  </si>
  <si>
    <t>05853</t>
  </si>
  <si>
    <t>05857</t>
  </si>
  <si>
    <t>05856</t>
  </si>
  <si>
    <t>05858</t>
  </si>
  <si>
    <t>05913</t>
  </si>
  <si>
    <t>05851</t>
  </si>
  <si>
    <t>05908</t>
  </si>
  <si>
    <t>05910</t>
  </si>
  <si>
    <t>05906</t>
  </si>
  <si>
    <t>05914</t>
  </si>
  <si>
    <t>05915</t>
  </si>
  <si>
    <t>05911</t>
  </si>
  <si>
    <t>05803</t>
  </si>
  <si>
    <t>05300</t>
  </si>
  <si>
    <t>05585</t>
  </si>
  <si>
    <t>05916</t>
  </si>
  <si>
    <t>05919</t>
  </si>
  <si>
    <t>05859</t>
  </si>
  <si>
    <t>05584</t>
  </si>
  <si>
    <t>05917</t>
  </si>
  <si>
    <t>05865</t>
  </si>
  <si>
    <t>05862</t>
  </si>
  <si>
    <t>05863</t>
  </si>
  <si>
    <t>05860</t>
  </si>
  <si>
    <t>05864</t>
  </si>
  <si>
    <t>05925</t>
  </si>
  <si>
    <t>05926</t>
  </si>
  <si>
    <t>05927</t>
  </si>
  <si>
    <t>Yati</t>
  </si>
  <si>
    <t>ရတီ</t>
  </si>
  <si>
    <t>ချောင်းဆောက်</t>
  </si>
  <si>
    <t>0592</t>
  </si>
  <si>
    <t>05866</t>
  </si>
  <si>
    <t>5867</t>
  </si>
  <si>
    <t>05928</t>
  </si>
  <si>
    <t>05923</t>
  </si>
  <si>
    <t>05931</t>
  </si>
  <si>
    <t>05934</t>
  </si>
  <si>
    <t>05935</t>
  </si>
  <si>
    <t>05936</t>
  </si>
  <si>
    <t>05942</t>
  </si>
  <si>
    <t>05876</t>
  </si>
  <si>
    <t>05932</t>
  </si>
  <si>
    <t>05871</t>
  </si>
  <si>
    <t>05941</t>
  </si>
  <si>
    <t>05877</t>
  </si>
  <si>
    <t>Shwe Sate Kuu</t>
  </si>
  <si>
    <t>ရွှေစိတ်ကူး</t>
  </si>
  <si>
    <t>R Gyi</t>
  </si>
  <si>
    <t>အာကြီး</t>
  </si>
  <si>
    <t>Ma Ni Ni Mar</t>
  </si>
  <si>
    <t>မနီနီမာ</t>
  </si>
  <si>
    <t>ကျောက်တန်း</t>
  </si>
  <si>
    <t>Shwe Sate Shwin</t>
  </si>
  <si>
    <t>ရွှေစိတ်ရွှင်</t>
  </si>
  <si>
    <t>Ko Ngwe Lay+Ma Nan</t>
  </si>
  <si>
    <t>ကိုငယ်လေး+မနန်း</t>
  </si>
  <si>
    <t>05868</t>
  </si>
  <si>
    <t>05870</t>
  </si>
  <si>
    <t>05873</t>
  </si>
  <si>
    <t>05875</t>
  </si>
  <si>
    <t>05874</t>
  </si>
  <si>
    <t>05872</t>
  </si>
  <si>
    <t>05943</t>
  </si>
  <si>
    <t>05944</t>
  </si>
  <si>
    <t>05947</t>
  </si>
  <si>
    <t>05950</t>
  </si>
  <si>
    <t>05945</t>
  </si>
  <si>
    <t>05937</t>
  </si>
  <si>
    <t>05939</t>
  </si>
  <si>
    <t>05940</t>
  </si>
  <si>
    <t>05587</t>
  </si>
  <si>
    <t>05883</t>
  </si>
  <si>
    <t>05884</t>
  </si>
  <si>
    <t>Tow Brother</t>
  </si>
  <si>
    <t>05881</t>
  </si>
  <si>
    <t>05882</t>
  </si>
  <si>
    <t>05951</t>
  </si>
  <si>
    <t>05952</t>
  </si>
  <si>
    <t>05953</t>
  </si>
  <si>
    <t>05956</t>
  </si>
  <si>
    <t>05588</t>
  </si>
  <si>
    <t>05888</t>
  </si>
  <si>
    <t>05806</t>
  </si>
  <si>
    <t>05889</t>
  </si>
  <si>
    <t>05890</t>
  </si>
  <si>
    <t>05891</t>
  </si>
  <si>
    <t>05807</t>
  </si>
  <si>
    <t>Hnin Lwin Lwi</t>
  </si>
  <si>
    <t>နှင်းလွင်လွင်</t>
  </si>
  <si>
    <t>05805</t>
  </si>
  <si>
    <t>05957</t>
  </si>
  <si>
    <t>05958</t>
  </si>
  <si>
    <t>05962</t>
  </si>
  <si>
    <t>05965</t>
  </si>
  <si>
    <t>05963</t>
  </si>
  <si>
    <t>05964</t>
  </si>
  <si>
    <t>05895</t>
  </si>
  <si>
    <t>05894</t>
  </si>
  <si>
    <t>05893</t>
  </si>
  <si>
    <t>05892</t>
  </si>
  <si>
    <t>AAK</t>
  </si>
  <si>
    <t>05594</t>
  </si>
  <si>
    <t>05593</t>
  </si>
  <si>
    <t>05592</t>
  </si>
  <si>
    <t>06002</t>
  </si>
  <si>
    <t>05967</t>
  </si>
  <si>
    <t>05966</t>
  </si>
  <si>
    <t>05896</t>
  </si>
  <si>
    <t>05969</t>
  </si>
  <si>
    <t>05596</t>
  </si>
  <si>
    <t>05968</t>
  </si>
  <si>
    <t>06004</t>
  </si>
  <si>
    <t>06003</t>
  </si>
  <si>
    <t>06001</t>
  </si>
  <si>
    <t>05897</t>
  </si>
  <si>
    <t>05978</t>
  </si>
  <si>
    <t>05812</t>
  </si>
  <si>
    <t>05809</t>
  </si>
  <si>
    <t>05977</t>
  </si>
  <si>
    <t>05981</t>
  </si>
  <si>
    <t>06006</t>
  </si>
  <si>
    <t>05972</t>
  </si>
  <si>
    <t>05973</t>
  </si>
  <si>
    <t>05974</t>
  </si>
  <si>
    <t>05975</t>
  </si>
  <si>
    <t>05970</t>
  </si>
  <si>
    <t>05813</t>
  </si>
  <si>
    <t>05810</t>
  </si>
  <si>
    <t>05816</t>
  </si>
  <si>
    <t>05815</t>
  </si>
  <si>
    <t>05808</t>
  </si>
  <si>
    <t>05817</t>
  </si>
  <si>
    <t>AK</t>
  </si>
  <si>
    <t>Saung Ngwe Oo</t>
  </si>
  <si>
    <t>ဆောင်းနွေဦး</t>
  </si>
  <si>
    <t>05811</t>
  </si>
  <si>
    <t>05814</t>
  </si>
  <si>
    <t>05980</t>
  </si>
  <si>
    <t>06008</t>
  </si>
  <si>
    <t>6007</t>
  </si>
  <si>
    <t>6005</t>
  </si>
  <si>
    <t>06009</t>
  </si>
  <si>
    <t>Ko Myo Aung-1</t>
  </si>
  <si>
    <t>05599</t>
  </si>
  <si>
    <t>05013</t>
  </si>
  <si>
    <t>06017</t>
  </si>
  <si>
    <t>06011</t>
  </si>
  <si>
    <t>06012</t>
  </si>
  <si>
    <t>06019</t>
  </si>
  <si>
    <t>06014</t>
  </si>
  <si>
    <t>06018</t>
  </si>
  <si>
    <t>06021</t>
  </si>
  <si>
    <t>06022</t>
  </si>
  <si>
    <t>06020</t>
  </si>
  <si>
    <t>05990</t>
  </si>
  <si>
    <t>05983</t>
  </si>
  <si>
    <t>006021</t>
  </si>
  <si>
    <t>05818</t>
  </si>
  <si>
    <t>05989</t>
  </si>
  <si>
    <t>05987</t>
  </si>
  <si>
    <t>05988</t>
  </si>
  <si>
    <t>06053</t>
  </si>
  <si>
    <t>06023</t>
  </si>
  <si>
    <t>06024</t>
  </si>
  <si>
    <t>06025</t>
  </si>
  <si>
    <t>06054</t>
  </si>
  <si>
    <t>06057</t>
  </si>
  <si>
    <t>05991</t>
  </si>
  <si>
    <t>06062</t>
  </si>
  <si>
    <t>6067</t>
  </si>
  <si>
    <t>06069</t>
  </si>
  <si>
    <t>05994</t>
  </si>
  <si>
    <t>06058</t>
  </si>
  <si>
    <t>05820</t>
  </si>
  <si>
    <t>06063</t>
  </si>
  <si>
    <t>06061</t>
  </si>
  <si>
    <t>06027</t>
  </si>
  <si>
    <t>05825</t>
  </si>
  <si>
    <t>05824</t>
  </si>
  <si>
    <t>06032</t>
  </si>
  <si>
    <t>06028</t>
  </si>
  <si>
    <t>06029</t>
  </si>
  <si>
    <t>06031</t>
  </si>
  <si>
    <t>06030</t>
  </si>
  <si>
    <t>05995</t>
  </si>
  <si>
    <t>06080</t>
  </si>
  <si>
    <t>06076</t>
  </si>
  <si>
    <t>06033</t>
  </si>
  <si>
    <t>06065</t>
  </si>
  <si>
    <t>06072</t>
  </si>
  <si>
    <t>06070</t>
  </si>
  <si>
    <t>06071</t>
  </si>
  <si>
    <t>Ko Than Chaung</t>
  </si>
  <si>
    <t>ကိုသံချောင်း</t>
  </si>
  <si>
    <t>06073</t>
  </si>
  <si>
    <t>06075</t>
  </si>
  <si>
    <t>06074</t>
  </si>
  <si>
    <t>06083</t>
  </si>
  <si>
    <t>06081</t>
  </si>
  <si>
    <t>06082</t>
  </si>
  <si>
    <t>05996</t>
  </si>
  <si>
    <t>06087</t>
  </si>
  <si>
    <t>06094</t>
  </si>
  <si>
    <t>06096</t>
  </si>
  <si>
    <t>05997</t>
  </si>
  <si>
    <t>05998</t>
  </si>
  <si>
    <t>06088</t>
  </si>
  <si>
    <t>06089</t>
  </si>
  <si>
    <t>06092</t>
  </si>
  <si>
    <t>06091</t>
  </si>
  <si>
    <t>Shwe Mingalar</t>
  </si>
  <si>
    <t>ရွေမင်္ဂလာ</t>
  </si>
  <si>
    <t>လမုတန်းဈေး</t>
  </si>
  <si>
    <t>05999</t>
  </si>
  <si>
    <t>06090</t>
  </si>
  <si>
    <t>06095</t>
  </si>
  <si>
    <t>06041</t>
  </si>
  <si>
    <t>06040</t>
  </si>
  <si>
    <t>06034</t>
  </si>
  <si>
    <t>06035</t>
  </si>
  <si>
    <t>06039</t>
  </si>
  <si>
    <t>06038</t>
  </si>
  <si>
    <t>06037</t>
  </si>
  <si>
    <t>06036</t>
  </si>
  <si>
    <t>05827</t>
  </si>
  <si>
    <t>058285</t>
  </si>
  <si>
    <t>05826</t>
  </si>
  <si>
    <t>05828</t>
  </si>
  <si>
    <t>06097</t>
  </si>
  <si>
    <t>06154</t>
  </si>
  <si>
    <t>06156</t>
  </si>
  <si>
    <t>06157</t>
  </si>
  <si>
    <t>ဒေါ်ထန်းပိန်</t>
  </si>
  <si>
    <t>Daw Htan Pain</t>
  </si>
  <si>
    <t>မုပွန်‌ကျောက်တန်း</t>
  </si>
  <si>
    <t>06101</t>
  </si>
  <si>
    <t>06201</t>
  </si>
  <si>
    <t>06202</t>
  </si>
  <si>
    <t>06204</t>
  </si>
  <si>
    <t>06203</t>
  </si>
  <si>
    <t>06206</t>
  </si>
  <si>
    <t>06160</t>
  </si>
  <si>
    <t>06159</t>
  </si>
  <si>
    <t>06104</t>
  </si>
  <si>
    <t>06207</t>
  </si>
  <si>
    <t>06210</t>
  </si>
  <si>
    <t>06211</t>
  </si>
  <si>
    <t>06212</t>
  </si>
  <si>
    <t>Hinn Thar Myaing</t>
  </si>
  <si>
    <t>ဟင်္သာမြိုင်</t>
  </si>
  <si>
    <t>06215</t>
  </si>
  <si>
    <t>06214</t>
  </si>
  <si>
    <t>06208</t>
  </si>
  <si>
    <t>06213</t>
  </si>
  <si>
    <t>Kyaw Gyi</t>
  </si>
  <si>
    <t>ကျော်ကြီး</t>
  </si>
  <si>
    <t>06173</t>
  </si>
  <si>
    <t>06169</t>
  </si>
  <si>
    <t>06167</t>
  </si>
  <si>
    <t>06171</t>
  </si>
  <si>
    <t>05830</t>
  </si>
  <si>
    <t>05831</t>
  </si>
  <si>
    <t>05832</t>
  </si>
  <si>
    <t>06163</t>
  </si>
  <si>
    <t>06162</t>
  </si>
  <si>
    <t>06172</t>
  </si>
  <si>
    <t>06175</t>
  </si>
  <si>
    <t>06176</t>
  </si>
  <si>
    <t>06177</t>
  </si>
  <si>
    <t>06105</t>
  </si>
  <si>
    <t>06216</t>
  </si>
  <si>
    <t>06217</t>
  </si>
  <si>
    <t>06219</t>
  </si>
  <si>
    <t>06178</t>
  </si>
  <si>
    <t>06179</t>
  </si>
  <si>
    <t>06180</t>
  </si>
  <si>
    <t>06181</t>
  </si>
  <si>
    <t>06184</t>
  </si>
  <si>
    <t>06218</t>
  </si>
  <si>
    <t>06107</t>
  </si>
  <si>
    <t>06191</t>
  </si>
  <si>
    <t>06192</t>
  </si>
  <si>
    <t>06185</t>
  </si>
  <si>
    <t>06188</t>
  </si>
  <si>
    <t>06189</t>
  </si>
  <si>
    <t>06186</t>
  </si>
  <si>
    <t>05835</t>
  </si>
  <si>
    <t>05834</t>
  </si>
  <si>
    <t>05833</t>
  </si>
  <si>
    <t>06187</t>
  </si>
  <si>
    <t>06190</t>
  </si>
  <si>
    <t>06197</t>
  </si>
  <si>
    <t>06196</t>
  </si>
  <si>
    <t>06253</t>
  </si>
  <si>
    <t>06200</t>
  </si>
  <si>
    <t>05837</t>
  </si>
  <si>
    <t>05836</t>
  </si>
  <si>
    <t>06251</t>
  </si>
  <si>
    <t>0621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</si>
</sst>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0_);\(0\)"/>
    <numFmt numFmtId="167" formatCode="dd/mm/yy"/>
    <numFmt numFmtId="168" formatCode="_-* #,##0.00_-;\-* #,##0.00_-;_-* &quot;-&quot;_-;_-@_-"/>
  </numFmts>
  <fonts count="2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Pyidaungsu"/>
      <family val="2"/>
    </font>
    <font>
      <sz val="11"/>
      <color theme="1"/>
      <name val="Aptos Narrow"/>
      <family val="2"/>
      <scheme val="minor"/>
    </font>
    <font>
      <sz val="10"/>
      <color theme="1"/>
      <name val="Pyidaungsu"/>
      <family val="2"/>
    </font>
    <font>
      <sz val="10"/>
      <name val="Pyidaungsu"/>
      <family val="2"/>
    </font>
    <font>
      <b/>
      <sz val="10"/>
      <name val="Pyidaungsu"/>
      <family val="2"/>
    </font>
    <font>
      <sz val="10"/>
      <color rgb="FFFF0000"/>
      <name val="Pyidaungsu"/>
      <family val="2"/>
    </font>
    <font>
      <b/>
      <sz val="10"/>
      <color theme="0"/>
      <name val="Pyidaungsu"/>
      <family val="2"/>
    </font>
    <font>
      <b/>
      <sz val="10"/>
      <color rgb="FFFF0000"/>
      <name val="Pyidaungsu"/>
      <family val="2"/>
    </font>
    <font>
      <b/>
      <sz val="10"/>
      <color theme="1"/>
      <name val="Pyidaungsu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Pyidaungsu"/>
      <family val="2"/>
    </font>
    <font>
      <sz val="10"/>
      <color theme="0"/>
      <name val="Pyidaungsu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9" tint="-0.499984740745262"/>
      <name val="Pyidaungsu"/>
      <family val="2"/>
    </font>
    <font>
      <sz val="12"/>
      <color theme="1"/>
      <name val="Candara"/>
      <family val="2"/>
    </font>
    <font>
      <b/>
      <sz val="12"/>
      <color theme="1"/>
      <name val="Candara"/>
      <family val="2"/>
    </font>
    <font>
      <b/>
      <sz val="12"/>
      <name val="Candara"/>
      <family val="2"/>
    </font>
    <font>
      <b/>
      <sz val="12"/>
      <color rgb="FFFF0000"/>
      <name val="Candara"/>
      <family val="2"/>
    </font>
    <font>
      <b/>
      <sz val="12"/>
      <color rgb="FF0000FF"/>
      <name val="Candara"/>
      <family val="2"/>
    </font>
    <font>
      <sz val="12"/>
      <name val="Candara"/>
      <family val="2"/>
    </font>
    <font>
      <b/>
      <sz val="12"/>
      <color rgb="FF0070C0"/>
      <name val="Candara"/>
      <family val="2"/>
    </font>
    <font>
      <b/>
      <u/>
      <sz val="12"/>
      <color theme="1"/>
      <name val="Candara"/>
      <family val="2"/>
    </font>
    <font>
      <sz val="12"/>
      <color rgb="FFFF0000"/>
      <name val="Candara"/>
      <family val="2"/>
    </font>
    <font>
      <b/>
      <sz val="14"/>
      <color theme="1"/>
      <name val="Candara"/>
      <family val="2"/>
    </font>
    <font>
      <b/>
      <sz val="14"/>
      <color rgb="FFFF0000"/>
      <name val="Candara"/>
      <family val="2"/>
    </font>
    <font>
      <b/>
      <sz val="14"/>
      <color rgb="FF0070C0"/>
      <name val="Candara"/>
      <family val="2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89999084444715716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11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5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31">
    <xf numFmtId="0" fontId="0" fillId="0" borderId="0" xfId="0"/>
    <xf numFmtId="0" fontId="5" fillId="0" borderId="0" xfId="0" applyFont="1" applyAlignment="1">
      <alignment horizontal="center" vertical="center"/>
    </xf>
    <xf numFmtId="165" fontId="4" fillId="0" borderId="0" xfId="1" applyNumberFormat="1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65" fontId="5" fillId="0" borderId="0" xfId="1" applyNumberFormat="1" applyFont="1" applyFill="1" applyAlignment="1">
      <alignment horizontal="center"/>
    </xf>
    <xf numFmtId="165" fontId="7" fillId="0" borderId="0" xfId="1" applyNumberFormat="1" applyFont="1" applyFill="1" applyAlignment="1">
      <alignment horizontal="center"/>
    </xf>
    <xf numFmtId="165" fontId="4" fillId="0" borderId="0" xfId="1" applyNumberFormat="1" applyFont="1" applyFill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65" fontId="7" fillId="0" borderId="6" xfId="1" applyNumberFormat="1" applyFont="1" applyBorder="1" applyAlignment="1">
      <alignment horizontal="center"/>
    </xf>
    <xf numFmtId="0" fontId="4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right" vertical="center"/>
    </xf>
    <xf numFmtId="1" fontId="4" fillId="0" borderId="0" xfId="0" applyNumberFormat="1" applyFont="1" applyAlignment="1">
      <alignment horizontal="center" vertical="center"/>
    </xf>
    <xf numFmtId="165" fontId="7" fillId="5" borderId="0" xfId="1" applyNumberFormat="1" applyFont="1" applyFill="1" applyAlignment="1">
      <alignment vertical="center"/>
    </xf>
    <xf numFmtId="165" fontId="7" fillId="5" borderId="0" xfId="1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1" applyNumberFormat="1" applyFont="1" applyFill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2" fontId="5" fillId="0" borderId="0" xfId="1" applyNumberFormat="1" applyFont="1" applyFill="1" applyAlignment="1">
      <alignment horizontal="center"/>
    </xf>
    <xf numFmtId="165" fontId="16" fillId="0" borderId="0" xfId="1" applyNumberFormat="1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165" fontId="12" fillId="0" borderId="0" xfId="1" quotePrefix="1" applyNumberFormat="1" applyFont="1" applyFill="1" applyAlignment="1">
      <alignment horizontal="center"/>
    </xf>
    <xf numFmtId="165" fontId="13" fillId="0" borderId="0" xfId="1" applyNumberFormat="1" applyFont="1" applyFill="1" applyAlignment="1">
      <alignment horizontal="center"/>
    </xf>
    <xf numFmtId="165" fontId="7" fillId="0" borderId="0" xfId="1" applyNumberFormat="1" applyFont="1" applyFill="1" applyAlignment="1">
      <alignment horizontal="center" vertical="center"/>
    </xf>
    <xf numFmtId="165" fontId="5" fillId="0" borderId="0" xfId="1" applyNumberFormat="1" applyFont="1" applyFill="1" applyAlignment="1">
      <alignment horizontal="center" vertical="center"/>
    </xf>
    <xf numFmtId="165" fontId="13" fillId="0" borderId="0" xfId="1" applyNumberFormat="1" applyFont="1" applyFill="1" applyAlignment="1">
      <alignment horizontal="center" vertical="center"/>
    </xf>
    <xf numFmtId="165" fontId="8" fillId="0" borderId="0" xfId="1" applyNumberFormat="1" applyFont="1" applyFill="1" applyAlignment="1">
      <alignment horizontal="center"/>
    </xf>
    <xf numFmtId="165" fontId="6" fillId="0" borderId="0" xfId="1" applyNumberFormat="1" applyFont="1" applyFill="1" applyAlignment="1">
      <alignment horizontal="center"/>
    </xf>
    <xf numFmtId="165" fontId="9" fillId="0" borderId="0" xfId="1" applyNumberFormat="1" applyFont="1" applyFill="1" applyAlignment="1">
      <alignment horizontal="center"/>
    </xf>
    <xf numFmtId="165" fontId="6" fillId="0" borderId="0" xfId="1" applyNumberFormat="1" applyFont="1" applyFill="1" applyBorder="1" applyAlignment="1">
      <alignment horizontal="center"/>
    </xf>
    <xf numFmtId="165" fontId="4" fillId="0" borderId="0" xfId="1" applyNumberFormat="1" applyFont="1" applyFill="1"/>
    <xf numFmtId="165" fontId="5" fillId="0" borderId="0" xfId="1" applyNumberFormat="1" applyFont="1" applyFill="1"/>
    <xf numFmtId="0" fontId="7" fillId="0" borderId="0" xfId="0" quotePrefix="1" applyFont="1" applyAlignment="1">
      <alignment horizontal="center"/>
    </xf>
    <xf numFmtId="166" fontId="5" fillId="0" borderId="11" xfId="0" applyNumberFormat="1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12" fillId="0" borderId="0" xfId="3" quotePrefix="1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167" fontId="5" fillId="0" borderId="0" xfId="1" applyNumberFormat="1" applyFont="1" applyFill="1" applyAlignment="1">
      <alignment horizontal="right" vertical="center"/>
    </xf>
    <xf numFmtId="14" fontId="5" fillId="0" borderId="0" xfId="1" applyNumberFormat="1" applyFont="1" applyFill="1" applyAlignment="1">
      <alignment horizontal="right" vertical="center"/>
    </xf>
    <xf numFmtId="165" fontId="7" fillId="0" borderId="0" xfId="1" applyNumberFormat="1" applyFont="1" applyFill="1" applyAlignment="1">
      <alignment horizontal="right" vertical="center"/>
    </xf>
    <xf numFmtId="165" fontId="7" fillId="0" borderId="0" xfId="1" applyNumberFormat="1" applyFont="1" applyFill="1" applyAlignment="1">
      <alignment horizontal="left"/>
    </xf>
    <xf numFmtId="167" fontId="7" fillId="0" borderId="0" xfId="1" applyNumberFormat="1" applyFont="1" applyFill="1" applyAlignment="1">
      <alignment horizontal="center"/>
    </xf>
    <xf numFmtId="167" fontId="5" fillId="0" borderId="0" xfId="1" applyNumberFormat="1" applyFont="1" applyFill="1" applyAlignment="1">
      <alignment horizontal="center" vertical="center"/>
    </xf>
    <xf numFmtId="43" fontId="4" fillId="0" borderId="0" xfId="1" applyFont="1" applyFill="1" applyAlignment="1">
      <alignment horizontal="center"/>
    </xf>
    <xf numFmtId="14" fontId="7" fillId="0" borderId="0" xfId="1" quotePrefix="1" applyNumberFormat="1" applyFont="1" applyFill="1" applyAlignment="1">
      <alignment horizontal="right" vertical="center"/>
    </xf>
    <xf numFmtId="0" fontId="4" fillId="0" borderId="0" xfId="0" applyFont="1" applyAlignment="1">
      <alignment horizontal="left"/>
    </xf>
    <xf numFmtId="14" fontId="7" fillId="0" borderId="0" xfId="0" quotePrefix="1" applyNumberFormat="1" applyFont="1" applyAlignment="1">
      <alignment horizontal="center" vertical="center"/>
    </xf>
    <xf numFmtId="0" fontId="7" fillId="0" borderId="0" xfId="0" applyFont="1"/>
    <xf numFmtId="0" fontId="4" fillId="8" borderId="0" xfId="0" applyFont="1" applyFill="1" applyAlignment="1">
      <alignment horizontal="center"/>
    </xf>
    <xf numFmtId="1" fontId="5" fillId="0" borderId="0" xfId="1" applyNumberFormat="1" applyFont="1" applyFill="1" applyAlignment="1">
      <alignment horizontal="center"/>
    </xf>
    <xf numFmtId="165" fontId="5" fillId="9" borderId="0" xfId="0" applyNumberFormat="1" applyFont="1" applyFill="1" applyAlignment="1">
      <alignment horizontal="center"/>
    </xf>
    <xf numFmtId="0" fontId="4" fillId="4" borderId="0" xfId="0" applyFont="1" applyFill="1"/>
    <xf numFmtId="165" fontId="17" fillId="0" borderId="0" xfId="9" applyNumberFormat="1" applyFont="1" applyAlignment="1">
      <alignment horizontal="center" vertical="center"/>
    </xf>
    <xf numFmtId="168" fontId="17" fillId="0" borderId="0" xfId="7" applyNumberFormat="1" applyFont="1" applyAlignment="1">
      <alignment horizontal="center" vertical="center"/>
    </xf>
    <xf numFmtId="165" fontId="18" fillId="0" borderId="0" xfId="9" applyNumberFormat="1" applyFont="1" applyAlignment="1">
      <alignment horizontal="center" vertical="center"/>
    </xf>
    <xf numFmtId="164" fontId="18" fillId="0" borderId="2" xfId="7" applyFont="1" applyBorder="1" applyAlignment="1">
      <alignment horizontal="center" vertical="center"/>
    </xf>
    <xf numFmtId="165" fontId="18" fillId="0" borderId="0" xfId="9" applyNumberFormat="1" applyFont="1" applyFill="1" applyBorder="1" applyAlignment="1">
      <alignment horizontal="center" vertical="center"/>
    </xf>
    <xf numFmtId="164" fontId="19" fillId="10" borderId="18" xfId="7" applyFont="1" applyFill="1" applyBorder="1" applyAlignment="1">
      <alignment horizontal="center" vertical="center"/>
    </xf>
    <xf numFmtId="165" fontId="18" fillId="10" borderId="1" xfId="9" applyNumberFormat="1" applyFont="1" applyFill="1" applyBorder="1" applyAlignment="1">
      <alignment horizontal="center" vertical="center"/>
    </xf>
    <xf numFmtId="165" fontId="18" fillId="10" borderId="19" xfId="9" applyNumberFormat="1" applyFont="1" applyFill="1" applyBorder="1" applyAlignment="1">
      <alignment horizontal="center" vertical="center"/>
    </xf>
    <xf numFmtId="165" fontId="18" fillId="11" borderId="3" xfId="9" applyNumberFormat="1" applyFont="1" applyFill="1" applyBorder="1" applyAlignment="1">
      <alignment horizontal="center" vertical="center"/>
    </xf>
    <xf numFmtId="165" fontId="18" fillId="11" borderId="1" xfId="9" applyNumberFormat="1" applyFont="1" applyFill="1" applyBorder="1" applyAlignment="1">
      <alignment horizontal="center" vertical="center"/>
    </xf>
    <xf numFmtId="165" fontId="18" fillId="11" borderId="19" xfId="9" applyNumberFormat="1" applyFont="1" applyFill="1" applyBorder="1" applyAlignment="1">
      <alignment horizontal="center" vertical="center"/>
    </xf>
    <xf numFmtId="165" fontId="18" fillId="12" borderId="18" xfId="9" applyNumberFormat="1" applyFont="1" applyFill="1" applyBorder="1" applyAlignment="1">
      <alignment horizontal="center" vertical="center"/>
    </xf>
    <xf numFmtId="165" fontId="18" fillId="12" borderId="1" xfId="9" applyNumberFormat="1" applyFont="1" applyFill="1" applyBorder="1" applyAlignment="1">
      <alignment horizontal="center" vertical="center"/>
    </xf>
    <xf numFmtId="165" fontId="18" fillId="12" borderId="19" xfId="9" applyNumberFormat="1" applyFont="1" applyFill="1" applyBorder="1" applyAlignment="1">
      <alignment horizontal="center" vertical="center"/>
    </xf>
    <xf numFmtId="0" fontId="19" fillId="13" borderId="18" xfId="10" applyFont="1" applyFill="1" applyBorder="1" applyAlignment="1">
      <alignment horizontal="center" vertical="center"/>
    </xf>
    <xf numFmtId="165" fontId="18" fillId="13" borderId="1" xfId="9" applyNumberFormat="1" applyFont="1" applyFill="1" applyBorder="1" applyAlignment="1">
      <alignment horizontal="center" vertical="center"/>
    </xf>
    <xf numFmtId="165" fontId="18" fillId="13" borderId="19" xfId="9" applyNumberFormat="1" applyFont="1" applyFill="1" applyBorder="1" applyAlignment="1">
      <alignment horizontal="center" vertical="center"/>
    </xf>
    <xf numFmtId="164" fontId="20" fillId="0" borderId="2" xfId="7" applyFont="1" applyBorder="1" applyAlignment="1">
      <alignment horizontal="left" vertical="center"/>
    </xf>
    <xf numFmtId="165" fontId="20" fillId="10" borderId="18" xfId="1" applyNumberFormat="1" applyFont="1" applyFill="1" applyBorder="1" applyAlignment="1">
      <alignment vertical="center"/>
    </xf>
    <xf numFmtId="165" fontId="20" fillId="11" borderId="3" xfId="1" applyNumberFormat="1" applyFont="1" applyFill="1" applyBorder="1" applyAlignment="1">
      <alignment vertical="center"/>
    </xf>
    <xf numFmtId="165" fontId="20" fillId="11" borderId="1" xfId="1" applyNumberFormat="1" applyFont="1" applyFill="1" applyBorder="1" applyAlignment="1">
      <alignment vertical="center"/>
    </xf>
    <xf numFmtId="165" fontId="20" fillId="11" borderId="19" xfId="1" applyNumberFormat="1" applyFont="1" applyFill="1" applyBorder="1" applyAlignment="1">
      <alignment vertical="center"/>
    </xf>
    <xf numFmtId="165" fontId="20" fillId="12" borderId="18" xfId="1" applyNumberFormat="1" applyFont="1" applyFill="1" applyBorder="1" applyAlignment="1">
      <alignment horizontal="center" vertical="center"/>
    </xf>
    <xf numFmtId="165" fontId="20" fillId="12" borderId="1" xfId="1" applyNumberFormat="1" applyFont="1" applyFill="1" applyBorder="1" applyAlignment="1">
      <alignment horizontal="center" vertical="center"/>
    </xf>
    <xf numFmtId="165" fontId="20" fillId="12" borderId="19" xfId="1" applyNumberFormat="1" applyFont="1" applyFill="1" applyBorder="1" applyAlignment="1">
      <alignment horizontal="center" vertical="center"/>
    </xf>
    <xf numFmtId="165" fontId="20" fillId="13" borderId="18" xfId="1" applyNumberFormat="1" applyFont="1" applyFill="1" applyBorder="1" applyAlignment="1">
      <alignment horizontal="center" vertical="center"/>
    </xf>
    <xf numFmtId="165" fontId="20" fillId="13" borderId="1" xfId="1" applyNumberFormat="1" applyFont="1" applyFill="1" applyBorder="1" applyAlignment="1">
      <alignment horizontal="center" vertical="center"/>
    </xf>
    <xf numFmtId="165" fontId="20" fillId="13" borderId="19" xfId="1" applyNumberFormat="1" applyFont="1" applyFill="1" applyBorder="1" applyAlignment="1">
      <alignment horizontal="center" vertical="center"/>
    </xf>
    <xf numFmtId="165" fontId="20" fillId="14" borderId="1" xfId="0" applyNumberFormat="1" applyFont="1" applyFill="1" applyBorder="1" applyAlignment="1">
      <alignment vertical="center"/>
    </xf>
    <xf numFmtId="164" fontId="21" fillId="0" borderId="2" xfId="7" applyFont="1" applyBorder="1" applyAlignment="1">
      <alignment horizontal="left" vertical="center"/>
    </xf>
    <xf numFmtId="165" fontId="21" fillId="10" borderId="18" xfId="1" applyNumberFormat="1" applyFont="1" applyFill="1" applyBorder="1" applyAlignment="1">
      <alignment vertical="center"/>
    </xf>
    <xf numFmtId="165" fontId="21" fillId="11" borderId="3" xfId="1" applyNumberFormat="1" applyFont="1" applyFill="1" applyBorder="1" applyAlignment="1">
      <alignment vertical="center"/>
    </xf>
    <xf numFmtId="165" fontId="21" fillId="11" borderId="1" xfId="1" applyNumberFormat="1" applyFont="1" applyFill="1" applyBorder="1" applyAlignment="1">
      <alignment vertical="center"/>
    </xf>
    <xf numFmtId="165" fontId="21" fillId="11" borderId="19" xfId="1" applyNumberFormat="1" applyFont="1" applyFill="1" applyBorder="1" applyAlignment="1">
      <alignment vertical="center"/>
    </xf>
    <xf numFmtId="165" fontId="21" fillId="12" borderId="18" xfId="1" applyNumberFormat="1" applyFont="1" applyFill="1" applyBorder="1" applyAlignment="1">
      <alignment horizontal="center" vertical="center"/>
    </xf>
    <xf numFmtId="165" fontId="21" fillId="12" borderId="1" xfId="1" applyNumberFormat="1" applyFont="1" applyFill="1" applyBorder="1" applyAlignment="1">
      <alignment horizontal="center" vertical="center"/>
    </xf>
    <xf numFmtId="165" fontId="21" fillId="12" borderId="19" xfId="1" applyNumberFormat="1" applyFont="1" applyFill="1" applyBorder="1" applyAlignment="1">
      <alignment horizontal="center" vertical="center"/>
    </xf>
    <xf numFmtId="165" fontId="21" fillId="13" borderId="18" xfId="1" applyNumberFormat="1" applyFont="1" applyFill="1" applyBorder="1" applyAlignment="1">
      <alignment horizontal="center" vertical="center"/>
    </xf>
    <xf numFmtId="165" fontId="21" fillId="13" borderId="1" xfId="1" applyNumberFormat="1" applyFont="1" applyFill="1" applyBorder="1" applyAlignment="1">
      <alignment horizontal="center" vertical="center"/>
    </xf>
    <xf numFmtId="165" fontId="21" fillId="13" borderId="19" xfId="1" applyNumberFormat="1" applyFont="1" applyFill="1" applyBorder="1" applyAlignment="1">
      <alignment horizontal="center" vertical="center"/>
    </xf>
    <xf numFmtId="165" fontId="21" fillId="14" borderId="1" xfId="10" applyNumberFormat="1" applyFont="1" applyFill="1" applyBorder="1" applyAlignment="1">
      <alignment vertical="center"/>
    </xf>
    <xf numFmtId="165" fontId="17" fillId="0" borderId="0" xfId="9" applyNumberFormat="1" applyFont="1" applyBorder="1" applyAlignment="1">
      <alignment horizontal="center" vertical="center"/>
    </xf>
    <xf numFmtId="165" fontId="17" fillId="0" borderId="0" xfId="9" applyNumberFormat="1" applyFont="1" applyFill="1" applyBorder="1" applyAlignment="1">
      <alignment horizontal="center" vertical="center"/>
    </xf>
    <xf numFmtId="9" fontId="18" fillId="0" borderId="0" xfId="11" applyFont="1" applyFill="1" applyBorder="1" applyAlignment="1">
      <alignment horizontal="center" vertical="center"/>
    </xf>
    <xf numFmtId="164" fontId="18" fillId="0" borderId="2" xfId="7" applyFont="1" applyBorder="1" applyAlignment="1">
      <alignment horizontal="left" vertical="center" indent="1"/>
    </xf>
    <xf numFmtId="164" fontId="22" fillId="10" borderId="18" xfId="7" applyFont="1" applyFill="1" applyBorder="1" applyAlignment="1">
      <alignment horizontal="center" vertical="center"/>
    </xf>
    <xf numFmtId="165" fontId="17" fillId="10" borderId="1" xfId="1" applyNumberFormat="1" applyFont="1" applyFill="1" applyBorder="1" applyAlignment="1">
      <alignment horizontal="center" vertical="center"/>
    </xf>
    <xf numFmtId="165" fontId="17" fillId="10" borderId="19" xfId="1" applyNumberFormat="1" applyFont="1" applyFill="1" applyBorder="1" applyAlignment="1">
      <alignment horizontal="center" vertical="center"/>
    </xf>
    <xf numFmtId="165" fontId="17" fillId="11" borderId="3" xfId="1" applyNumberFormat="1" applyFont="1" applyFill="1" applyBorder="1" applyAlignment="1">
      <alignment horizontal="center" vertical="center"/>
    </xf>
    <xf numFmtId="165" fontId="17" fillId="11" borderId="1" xfId="1" applyNumberFormat="1" applyFont="1" applyFill="1" applyBorder="1" applyAlignment="1">
      <alignment horizontal="center" vertical="center"/>
    </xf>
    <xf numFmtId="165" fontId="17" fillId="11" borderId="19" xfId="1" applyNumberFormat="1" applyFont="1" applyFill="1" applyBorder="1" applyAlignment="1">
      <alignment horizontal="center" vertical="center"/>
    </xf>
    <xf numFmtId="165" fontId="17" fillId="12" borderId="18" xfId="1" applyNumberFormat="1" applyFont="1" applyFill="1" applyBorder="1" applyAlignment="1">
      <alignment horizontal="center" vertical="center"/>
    </xf>
    <xf numFmtId="165" fontId="17" fillId="12" borderId="1" xfId="1" applyNumberFormat="1" applyFont="1" applyFill="1" applyBorder="1" applyAlignment="1">
      <alignment horizontal="center" vertical="center"/>
    </xf>
    <xf numFmtId="165" fontId="17" fillId="13" borderId="18" xfId="1" applyNumberFormat="1" applyFont="1" applyFill="1" applyBorder="1" applyAlignment="1">
      <alignment horizontal="center" vertical="center"/>
    </xf>
    <xf numFmtId="165" fontId="17" fillId="13" borderId="1" xfId="1" applyNumberFormat="1" applyFont="1" applyFill="1" applyBorder="1" applyAlignment="1">
      <alignment horizontal="center" vertical="center"/>
    </xf>
    <xf numFmtId="164" fontId="17" fillId="14" borderId="1" xfId="12" applyFont="1" applyFill="1" applyBorder="1" applyAlignment="1">
      <alignment vertical="center"/>
    </xf>
    <xf numFmtId="164" fontId="20" fillId="10" borderId="18" xfId="7" applyFont="1" applyFill="1" applyBorder="1" applyAlignment="1">
      <alignment vertical="center"/>
    </xf>
    <xf numFmtId="165" fontId="20" fillId="10" borderId="1" xfId="1" applyNumberFormat="1" applyFont="1" applyFill="1" applyBorder="1" applyAlignment="1">
      <alignment vertical="center"/>
    </xf>
    <xf numFmtId="165" fontId="20" fillId="10" borderId="19" xfId="1" applyNumberFormat="1" applyFont="1" applyFill="1" applyBorder="1" applyAlignment="1">
      <alignment vertical="center"/>
    </xf>
    <xf numFmtId="165" fontId="20" fillId="11" borderId="1" xfId="1" applyNumberFormat="1" applyFont="1" applyFill="1" applyBorder="1" applyAlignment="1">
      <alignment horizontal="center" vertical="center"/>
    </xf>
    <xf numFmtId="165" fontId="20" fillId="11" borderId="19" xfId="1" applyNumberFormat="1" applyFont="1" applyFill="1" applyBorder="1" applyAlignment="1">
      <alignment horizontal="center" vertical="center"/>
    </xf>
    <xf numFmtId="165" fontId="20" fillId="14" borderId="1" xfId="10" applyNumberFormat="1" applyFont="1" applyFill="1" applyBorder="1" applyAlignment="1">
      <alignment vertical="center"/>
    </xf>
    <xf numFmtId="164" fontId="23" fillId="10" borderId="18" xfId="7" applyFont="1" applyFill="1" applyBorder="1" applyAlignment="1">
      <alignment vertical="center"/>
    </xf>
    <xf numFmtId="165" fontId="21" fillId="10" borderId="1" xfId="1" applyNumberFormat="1" applyFont="1" applyFill="1" applyBorder="1" applyAlignment="1">
      <alignment vertical="center"/>
    </xf>
    <xf numFmtId="165" fontId="21" fillId="10" borderId="19" xfId="1" applyNumberFormat="1" applyFont="1" applyFill="1" applyBorder="1" applyAlignment="1">
      <alignment horizontal="center" vertical="center"/>
    </xf>
    <xf numFmtId="165" fontId="21" fillId="11" borderId="3" xfId="1" applyNumberFormat="1" applyFont="1" applyFill="1" applyBorder="1" applyAlignment="1">
      <alignment horizontal="center" vertical="center"/>
    </xf>
    <xf numFmtId="165" fontId="21" fillId="11" borderId="1" xfId="1" applyNumberFormat="1" applyFont="1" applyFill="1" applyBorder="1" applyAlignment="1">
      <alignment horizontal="center" vertical="center"/>
    </xf>
    <xf numFmtId="165" fontId="21" fillId="11" borderId="19" xfId="1" applyNumberFormat="1" applyFont="1" applyFill="1" applyBorder="1" applyAlignment="1">
      <alignment horizontal="center" vertical="center"/>
    </xf>
    <xf numFmtId="165" fontId="18" fillId="0" borderId="0" xfId="9" applyNumberFormat="1" applyFont="1" applyBorder="1" applyAlignment="1">
      <alignment horizontal="center" vertical="center"/>
    </xf>
    <xf numFmtId="9" fontId="20" fillId="10" borderId="18" xfId="8" applyFont="1" applyFill="1" applyBorder="1" applyAlignment="1">
      <alignment vertical="center"/>
    </xf>
    <xf numFmtId="9" fontId="20" fillId="10" borderId="1" xfId="11" applyFont="1" applyFill="1" applyBorder="1" applyAlignment="1">
      <alignment vertical="center"/>
    </xf>
    <xf numFmtId="9" fontId="20" fillId="10" borderId="19" xfId="11" applyFont="1" applyFill="1" applyBorder="1" applyAlignment="1">
      <alignment vertical="center"/>
    </xf>
    <xf numFmtId="9" fontId="20" fillId="11" borderId="1" xfId="11" applyFont="1" applyFill="1" applyBorder="1" applyAlignment="1">
      <alignment vertical="center"/>
    </xf>
    <xf numFmtId="9" fontId="20" fillId="11" borderId="19" xfId="11" applyFont="1" applyFill="1" applyBorder="1" applyAlignment="1">
      <alignment vertical="center"/>
    </xf>
    <xf numFmtId="9" fontId="20" fillId="12" borderId="18" xfId="11" applyFont="1" applyFill="1" applyBorder="1" applyAlignment="1">
      <alignment vertical="center"/>
    </xf>
    <xf numFmtId="9" fontId="20" fillId="12" borderId="1" xfId="11" applyFont="1" applyFill="1" applyBorder="1" applyAlignment="1">
      <alignment vertical="center"/>
    </xf>
    <xf numFmtId="9" fontId="20" fillId="12" borderId="19" xfId="11" applyFont="1" applyFill="1" applyBorder="1" applyAlignment="1">
      <alignment vertical="center"/>
    </xf>
    <xf numFmtId="9" fontId="20" fillId="13" borderId="18" xfId="11" applyFont="1" applyFill="1" applyBorder="1" applyAlignment="1">
      <alignment vertical="center"/>
    </xf>
    <xf numFmtId="9" fontId="20" fillId="13" borderId="1" xfId="11" applyFont="1" applyFill="1" applyBorder="1" applyAlignment="1">
      <alignment vertical="center"/>
    </xf>
    <xf numFmtId="9" fontId="20" fillId="13" borderId="19" xfId="11" applyFont="1" applyFill="1" applyBorder="1" applyAlignment="1">
      <alignment vertical="center"/>
    </xf>
    <xf numFmtId="9" fontId="20" fillId="14" borderId="1" xfId="11" applyFont="1" applyFill="1" applyBorder="1" applyAlignment="1">
      <alignment vertical="center"/>
    </xf>
    <xf numFmtId="9" fontId="23" fillId="10" borderId="20" xfId="8" applyFont="1" applyFill="1" applyBorder="1" applyAlignment="1">
      <alignment vertical="center"/>
    </xf>
    <xf numFmtId="9" fontId="21" fillId="10" borderId="21" xfId="11" applyFont="1" applyFill="1" applyBorder="1" applyAlignment="1">
      <alignment vertical="center"/>
    </xf>
    <xf numFmtId="9" fontId="21" fillId="10" borderId="22" xfId="11" applyFont="1" applyFill="1" applyBorder="1" applyAlignment="1">
      <alignment vertical="center"/>
    </xf>
    <xf numFmtId="9" fontId="21" fillId="11" borderId="21" xfId="11" applyFont="1" applyFill="1" applyBorder="1" applyAlignment="1">
      <alignment vertical="center"/>
    </xf>
    <xf numFmtId="9" fontId="21" fillId="11" borderId="22" xfId="11" applyFont="1" applyFill="1" applyBorder="1" applyAlignment="1">
      <alignment vertical="center"/>
    </xf>
    <xf numFmtId="9" fontId="21" fillId="12" borderId="20" xfId="11" applyFont="1" applyFill="1" applyBorder="1" applyAlignment="1">
      <alignment vertical="center"/>
    </xf>
    <xf numFmtId="9" fontId="21" fillId="12" borderId="21" xfId="11" applyFont="1" applyFill="1" applyBorder="1" applyAlignment="1">
      <alignment vertical="center"/>
    </xf>
    <xf numFmtId="9" fontId="21" fillId="12" borderId="22" xfId="11" applyFont="1" applyFill="1" applyBorder="1" applyAlignment="1">
      <alignment vertical="center"/>
    </xf>
    <xf numFmtId="9" fontId="21" fillId="13" borderId="20" xfId="11" applyFont="1" applyFill="1" applyBorder="1" applyAlignment="1">
      <alignment vertical="center"/>
    </xf>
    <xf numFmtId="9" fontId="21" fillId="13" borderId="21" xfId="11" applyFont="1" applyFill="1" applyBorder="1" applyAlignment="1">
      <alignment vertical="center"/>
    </xf>
    <xf numFmtId="9" fontId="21" fillId="13" borderId="22" xfId="11" applyFont="1" applyFill="1" applyBorder="1" applyAlignment="1">
      <alignment vertical="center"/>
    </xf>
    <xf numFmtId="9" fontId="21" fillId="14" borderId="1" xfId="11" applyFont="1" applyFill="1" applyBorder="1" applyAlignment="1">
      <alignment vertical="center"/>
    </xf>
    <xf numFmtId="164" fontId="18" fillId="0" borderId="0" xfId="7" applyFont="1" applyAlignment="1">
      <alignment horizontal="center" vertical="center"/>
    </xf>
    <xf numFmtId="164" fontId="20" fillId="0" borderId="0" xfId="7" applyFont="1" applyAlignment="1">
      <alignment horizontal="center" vertical="center"/>
    </xf>
    <xf numFmtId="165" fontId="18" fillId="0" borderId="23" xfId="9" applyNumberFormat="1" applyFont="1" applyBorder="1" applyAlignment="1">
      <alignment horizontal="center" vertical="center"/>
    </xf>
    <xf numFmtId="165" fontId="18" fillId="0" borderId="25" xfId="9" applyNumberFormat="1" applyFont="1" applyBorder="1" applyAlignment="1">
      <alignment horizontal="center" vertical="center"/>
    </xf>
    <xf numFmtId="165" fontId="18" fillId="0" borderId="26" xfId="9" applyNumberFormat="1" applyFont="1" applyBorder="1" applyAlignment="1">
      <alignment horizontal="center" vertical="center"/>
    </xf>
    <xf numFmtId="0" fontId="17" fillId="0" borderId="0" xfId="10" applyFont="1" applyAlignment="1">
      <alignment vertical="center"/>
    </xf>
    <xf numFmtId="165" fontId="24" fillId="0" borderId="0" xfId="9" applyNumberFormat="1" applyFont="1" applyAlignment="1">
      <alignment horizontal="center" vertical="center"/>
    </xf>
    <xf numFmtId="165" fontId="18" fillId="0" borderId="14" xfId="9" applyNumberFormat="1" applyFont="1" applyBorder="1" applyAlignment="1">
      <alignment horizontal="center" vertical="center"/>
    </xf>
    <xf numFmtId="165" fontId="18" fillId="0" borderId="15" xfId="9" applyNumberFormat="1" applyFont="1" applyBorder="1" applyAlignment="1">
      <alignment horizontal="center" vertical="center"/>
    </xf>
    <xf numFmtId="0" fontId="18" fillId="0" borderId="14" xfId="10" applyFont="1" applyBorder="1" applyAlignment="1">
      <alignment horizontal="center" vertical="center"/>
    </xf>
    <xf numFmtId="0" fontId="18" fillId="0" borderId="15" xfId="10" applyFont="1" applyBorder="1" applyAlignment="1">
      <alignment horizontal="center" vertical="center"/>
    </xf>
    <xf numFmtId="0" fontId="18" fillId="0" borderId="16" xfId="10" applyFont="1" applyBorder="1" applyAlignment="1">
      <alignment horizontal="center" vertical="center"/>
    </xf>
    <xf numFmtId="0" fontId="17" fillId="0" borderId="0" xfId="10" applyFont="1" applyAlignment="1">
      <alignment horizontal="center" vertical="center"/>
    </xf>
    <xf numFmtId="165" fontId="20" fillId="0" borderId="33" xfId="9" applyNumberFormat="1" applyFont="1" applyFill="1" applyBorder="1" applyAlignment="1">
      <alignment vertical="center"/>
    </xf>
    <xf numFmtId="164" fontId="20" fillId="4" borderId="13" xfId="7" applyFont="1" applyFill="1" applyBorder="1" applyAlignment="1">
      <alignment vertical="center"/>
    </xf>
    <xf numFmtId="164" fontId="20" fillId="4" borderId="4" xfId="7" applyFont="1" applyFill="1" applyBorder="1" applyAlignment="1">
      <alignment vertical="center"/>
    </xf>
    <xf numFmtId="165" fontId="18" fillId="0" borderId="22" xfId="9" applyNumberFormat="1" applyFont="1" applyBorder="1" applyAlignment="1">
      <alignment horizontal="center" vertical="center" wrapText="1"/>
    </xf>
    <xf numFmtId="165" fontId="18" fillId="0" borderId="20" xfId="9" applyNumberFormat="1" applyFont="1" applyBorder="1" applyAlignment="1">
      <alignment horizontal="center" vertical="center"/>
    </xf>
    <xf numFmtId="165" fontId="18" fillId="0" borderId="21" xfId="9" applyNumberFormat="1" applyFont="1" applyBorder="1" applyAlignment="1">
      <alignment horizontal="center" vertical="center"/>
    </xf>
    <xf numFmtId="165" fontId="18" fillId="0" borderId="22" xfId="9" applyNumberFormat="1" applyFont="1" applyBorder="1" applyAlignment="1">
      <alignment horizontal="center" vertical="center"/>
    </xf>
    <xf numFmtId="0" fontId="18" fillId="0" borderId="12" xfId="10" applyFont="1" applyBorder="1" applyAlignment="1">
      <alignment horizontal="center" vertical="center" wrapText="1"/>
    </xf>
    <xf numFmtId="0" fontId="18" fillId="0" borderId="20" xfId="10" applyFont="1" applyBorder="1" applyAlignment="1">
      <alignment horizontal="center" vertical="center"/>
    </xf>
    <xf numFmtId="0" fontId="18" fillId="0" borderId="21" xfId="10" applyFont="1" applyBorder="1" applyAlignment="1">
      <alignment horizontal="center" vertical="center"/>
    </xf>
    <xf numFmtId="0" fontId="18" fillId="0" borderId="22" xfId="10" applyFont="1" applyBorder="1" applyAlignment="1">
      <alignment horizontal="center" vertical="center"/>
    </xf>
    <xf numFmtId="0" fontId="18" fillId="0" borderId="22" xfId="10" applyFont="1" applyBorder="1" applyAlignment="1">
      <alignment horizontal="center" vertical="center" wrapText="1"/>
    </xf>
    <xf numFmtId="165" fontId="18" fillId="0" borderId="1" xfId="9" applyNumberFormat="1" applyFont="1" applyBorder="1" applyAlignment="1">
      <alignment horizontal="center" vertical="center"/>
    </xf>
    <xf numFmtId="165" fontId="18" fillId="0" borderId="2" xfId="9" applyNumberFormat="1" applyFont="1" applyBorder="1" applyAlignment="1">
      <alignment horizontal="center" vertical="center"/>
    </xf>
    <xf numFmtId="168" fontId="18" fillId="0" borderId="1" xfId="7" applyNumberFormat="1" applyFont="1" applyBorder="1" applyAlignment="1">
      <alignment horizontal="center" vertical="center"/>
    </xf>
    <xf numFmtId="164" fontId="20" fillId="0" borderId="15" xfId="7" applyFont="1" applyBorder="1" applyAlignment="1">
      <alignment horizontal="center" vertical="center"/>
    </xf>
    <xf numFmtId="165" fontId="18" fillId="0" borderId="36" xfId="9" applyNumberFormat="1" applyFont="1" applyBorder="1" applyAlignment="1">
      <alignment horizontal="center" vertical="center"/>
    </xf>
    <xf numFmtId="165" fontId="18" fillId="0" borderId="37" xfId="9" applyNumberFormat="1" applyFont="1" applyBorder="1" applyAlignment="1">
      <alignment horizontal="center" vertical="center"/>
    </xf>
    <xf numFmtId="165" fontId="18" fillId="0" borderId="38" xfId="9" applyNumberFormat="1" applyFont="1" applyBorder="1" applyAlignment="1">
      <alignment horizontal="center" vertical="center"/>
    </xf>
    <xf numFmtId="0" fontId="18" fillId="0" borderId="0" xfId="10" applyFont="1" applyAlignment="1">
      <alignment horizontal="center" vertical="center"/>
    </xf>
    <xf numFmtId="164" fontId="18" fillId="0" borderId="2" xfId="12" applyFont="1" applyBorder="1" applyAlignment="1">
      <alignment horizontal="center" vertical="center"/>
    </xf>
    <xf numFmtId="0" fontId="18" fillId="0" borderId="36" xfId="10" applyFont="1" applyBorder="1" applyAlignment="1">
      <alignment horizontal="center" vertical="center"/>
    </xf>
    <xf numFmtId="0" fontId="18" fillId="0" borderId="37" xfId="10" applyFont="1" applyBorder="1" applyAlignment="1">
      <alignment horizontal="center" vertical="center"/>
    </xf>
    <xf numFmtId="165" fontId="17" fillId="8" borderId="1" xfId="9" applyNumberFormat="1" applyFont="1" applyFill="1" applyBorder="1" applyAlignment="1">
      <alignment horizontal="left" vertical="center"/>
    </xf>
    <xf numFmtId="165" fontId="17" fillId="0" borderId="1" xfId="9" applyNumberFormat="1" applyFont="1" applyBorder="1" applyAlignment="1">
      <alignment horizontal="left" vertical="center"/>
    </xf>
    <xf numFmtId="165" fontId="17" fillId="0" borderId="1" xfId="9" applyNumberFormat="1" applyFont="1" applyBorder="1" applyAlignment="1">
      <alignment horizontal="center" vertical="center"/>
    </xf>
    <xf numFmtId="168" fontId="17" fillId="0" borderId="1" xfId="7" applyNumberFormat="1" applyFont="1" applyBorder="1" applyAlignment="1">
      <alignment horizontal="center" vertical="center"/>
    </xf>
    <xf numFmtId="165" fontId="18" fillId="0" borderId="18" xfId="9" applyNumberFormat="1" applyFont="1" applyBorder="1" applyAlignment="1">
      <alignment horizontal="center" vertical="center"/>
    </xf>
    <xf numFmtId="164" fontId="20" fillId="0" borderId="1" xfId="7" applyFont="1" applyBorder="1" applyAlignment="1">
      <alignment horizontal="center" vertical="center"/>
    </xf>
    <xf numFmtId="165" fontId="17" fillId="0" borderId="1" xfId="9" applyNumberFormat="1" applyFont="1" applyFill="1" applyBorder="1" applyAlignment="1">
      <alignment horizontal="center" vertical="center"/>
    </xf>
    <xf numFmtId="9" fontId="17" fillId="0" borderId="19" xfId="11" applyFont="1" applyBorder="1" applyAlignment="1">
      <alignment horizontal="center" vertical="center"/>
    </xf>
    <xf numFmtId="165" fontId="17" fillId="0" borderId="18" xfId="9" applyNumberFormat="1" applyFont="1" applyBorder="1" applyAlignment="1">
      <alignment horizontal="center" vertical="center"/>
    </xf>
    <xf numFmtId="165" fontId="17" fillId="0" borderId="3" xfId="9" applyNumberFormat="1" applyFont="1" applyBorder="1" applyAlignment="1">
      <alignment horizontal="center" vertical="center"/>
    </xf>
    <xf numFmtId="10" fontId="17" fillId="0" borderId="1" xfId="11" applyNumberFormat="1" applyFont="1" applyBorder="1" applyAlignment="1">
      <alignment horizontal="center" vertical="center"/>
    </xf>
    <xf numFmtId="165" fontId="17" fillId="0" borderId="1" xfId="10" applyNumberFormat="1" applyFont="1" applyBorder="1" applyAlignment="1">
      <alignment vertical="center"/>
    </xf>
    <xf numFmtId="165" fontId="17" fillId="8" borderId="1" xfId="9" applyNumberFormat="1" applyFont="1" applyFill="1" applyBorder="1" applyAlignment="1">
      <alignment vertical="center"/>
    </xf>
    <xf numFmtId="165" fontId="17" fillId="0" borderId="1" xfId="9" applyNumberFormat="1" applyFont="1" applyBorder="1" applyAlignment="1">
      <alignment vertical="center"/>
    </xf>
    <xf numFmtId="165" fontId="18" fillId="10" borderId="20" xfId="9" applyNumberFormat="1" applyFont="1" applyFill="1" applyBorder="1" applyAlignment="1">
      <alignment horizontal="center" vertical="center"/>
    </xf>
    <xf numFmtId="164" fontId="19" fillId="10" borderId="21" xfId="7" applyFont="1" applyFill="1" applyBorder="1" applyAlignment="1">
      <alignment horizontal="center" vertical="center"/>
    </xf>
    <xf numFmtId="164" fontId="20" fillId="10" borderId="21" xfId="7" applyFont="1" applyFill="1" applyBorder="1" applyAlignment="1">
      <alignment horizontal="center" vertical="center"/>
    </xf>
    <xf numFmtId="165" fontId="18" fillId="10" borderId="21" xfId="9" applyNumberFormat="1" applyFont="1" applyFill="1" applyBorder="1" applyAlignment="1">
      <alignment horizontal="center" vertical="center"/>
    </xf>
    <xf numFmtId="9" fontId="18" fillId="10" borderId="22" xfId="11" applyFont="1" applyFill="1" applyBorder="1" applyAlignment="1">
      <alignment horizontal="center" vertical="center"/>
    </xf>
    <xf numFmtId="165" fontId="18" fillId="10" borderId="35" xfId="9" applyNumberFormat="1" applyFont="1" applyFill="1" applyBorder="1" applyAlignment="1">
      <alignment horizontal="center" vertical="center"/>
    </xf>
    <xf numFmtId="9" fontId="18" fillId="0" borderId="22" xfId="11" applyFont="1" applyFill="1" applyBorder="1" applyAlignment="1">
      <alignment horizontal="center" vertical="center"/>
    </xf>
    <xf numFmtId="168" fontId="18" fillId="0" borderId="0" xfId="7" applyNumberFormat="1" applyFont="1" applyAlignment="1">
      <alignment horizontal="center" vertical="center"/>
    </xf>
    <xf numFmtId="164" fontId="18" fillId="0" borderId="0" xfId="7" applyFont="1" applyFill="1" applyBorder="1" applyAlignment="1">
      <alignment horizontal="center" vertical="center"/>
    </xf>
    <xf numFmtId="164" fontId="20" fillId="0" borderId="0" xfId="7" applyFont="1" applyFill="1" applyBorder="1" applyAlignment="1">
      <alignment horizontal="center" vertical="center"/>
    </xf>
    <xf numFmtId="165" fontId="20" fillId="4" borderId="13" xfId="9" applyNumberFormat="1" applyFont="1" applyFill="1" applyBorder="1" applyAlignment="1">
      <alignment vertical="center"/>
    </xf>
    <xf numFmtId="165" fontId="20" fillId="4" borderId="4" xfId="9" applyNumberFormat="1" applyFont="1" applyFill="1" applyBorder="1" applyAlignment="1">
      <alignment vertical="center"/>
    </xf>
    <xf numFmtId="165" fontId="18" fillId="0" borderId="19" xfId="9" applyNumberFormat="1" applyFont="1" applyBorder="1" applyAlignment="1">
      <alignment horizontal="center" vertical="center" wrapText="1"/>
    </xf>
    <xf numFmtId="165" fontId="18" fillId="0" borderId="19" xfId="9" applyNumberFormat="1" applyFont="1" applyBorder="1" applyAlignment="1">
      <alignment horizontal="center" vertical="center"/>
    </xf>
    <xf numFmtId="165" fontId="18" fillId="0" borderId="1" xfId="9" applyNumberFormat="1" applyFont="1" applyBorder="1" applyAlignment="1">
      <alignment horizontal="left" vertical="center"/>
    </xf>
    <xf numFmtId="165" fontId="22" fillId="0" borderId="1" xfId="9" applyNumberFormat="1" applyFont="1" applyBorder="1" applyAlignment="1">
      <alignment horizontal="left" vertical="center"/>
    </xf>
    <xf numFmtId="165" fontId="22" fillId="0" borderId="1" xfId="9" applyNumberFormat="1" applyFont="1" applyBorder="1" applyAlignment="1">
      <alignment horizontal="left" vertical="center" wrapText="1"/>
    </xf>
    <xf numFmtId="164" fontId="17" fillId="0" borderId="0" xfId="7" applyFont="1" applyAlignment="1">
      <alignment horizontal="center" vertical="center"/>
    </xf>
    <xf numFmtId="164" fontId="25" fillId="0" borderId="0" xfId="7" applyFont="1" applyAlignment="1">
      <alignment horizontal="center" vertical="center"/>
    </xf>
    <xf numFmtId="165" fontId="18" fillId="0" borderId="44" xfId="9" applyNumberFormat="1" applyFont="1" applyBorder="1" applyAlignment="1">
      <alignment horizontal="center" vertical="center" wrapText="1"/>
    </xf>
    <xf numFmtId="9" fontId="18" fillId="0" borderId="22" xfId="11" applyFont="1" applyBorder="1" applyAlignment="1">
      <alignment horizontal="center" vertical="center"/>
    </xf>
    <xf numFmtId="165" fontId="18" fillId="4" borderId="0" xfId="9" applyNumberFormat="1" applyFont="1" applyFill="1" applyAlignment="1">
      <alignment horizontal="center" vertical="center"/>
    </xf>
    <xf numFmtId="164" fontId="23" fillId="0" borderId="0" xfId="7" applyFont="1" applyAlignment="1">
      <alignment horizontal="center" vertical="center"/>
    </xf>
    <xf numFmtId="164" fontId="20" fillId="0" borderId="25" xfId="7" applyFont="1" applyBorder="1" applyAlignment="1">
      <alignment horizontal="center" vertical="center"/>
    </xf>
    <xf numFmtId="165" fontId="17" fillId="0" borderId="15" xfId="9" applyNumberFormat="1" applyFont="1" applyBorder="1" applyAlignment="1">
      <alignment horizontal="center" vertical="center"/>
    </xf>
    <xf numFmtId="165" fontId="18" fillId="0" borderId="48" xfId="9" applyNumberFormat="1" applyFont="1" applyBorder="1" applyAlignment="1">
      <alignment horizontal="center" vertical="center"/>
    </xf>
    <xf numFmtId="165" fontId="17" fillId="8" borderId="18" xfId="9" applyNumberFormat="1" applyFont="1" applyFill="1" applyBorder="1" applyAlignment="1">
      <alignment horizontal="center" vertical="center"/>
    </xf>
    <xf numFmtId="165" fontId="18" fillId="10" borderId="34" xfId="9" applyNumberFormat="1" applyFont="1" applyFill="1" applyBorder="1" applyAlignment="1">
      <alignment horizontal="center" vertical="center"/>
    </xf>
    <xf numFmtId="168" fontId="18" fillId="10" borderId="21" xfId="7" applyNumberFormat="1" applyFont="1" applyFill="1" applyBorder="1" applyAlignment="1">
      <alignment horizontal="center" vertical="center"/>
    </xf>
    <xf numFmtId="0" fontId="4" fillId="0" borderId="46" xfId="0" applyFont="1" applyBorder="1"/>
    <xf numFmtId="165" fontId="19" fillId="0" borderId="0" xfId="1" applyNumberFormat="1" applyFont="1" applyFill="1" applyBorder="1" applyAlignment="1">
      <alignment horizontal="center" vertical="center"/>
    </xf>
    <xf numFmtId="165" fontId="19" fillId="0" borderId="0" xfId="1" applyNumberFormat="1" applyFont="1" applyFill="1" applyAlignment="1">
      <alignment horizontal="center" vertical="center"/>
    </xf>
    <xf numFmtId="165" fontId="19" fillId="0" borderId="0" xfId="1" applyNumberFormat="1" applyFont="1" applyFill="1" applyAlignment="1">
      <alignment horizontal="center"/>
    </xf>
    <xf numFmtId="43" fontId="22" fillId="0" borderId="0" xfId="1" applyFont="1" applyFill="1" applyBorder="1" applyAlignment="1">
      <alignment horizontal="center" vertical="center"/>
    </xf>
    <xf numFmtId="165" fontId="17" fillId="0" borderId="0" xfId="1" applyNumberFormat="1" applyFont="1" applyFill="1" applyAlignment="1">
      <alignment horizontal="center"/>
    </xf>
    <xf numFmtId="14" fontId="22" fillId="0" borderId="0" xfId="1" applyNumberFormat="1" applyFont="1" applyFill="1" applyBorder="1" applyAlignment="1">
      <alignment horizontal="center" vertical="center"/>
    </xf>
    <xf numFmtId="164" fontId="19" fillId="0" borderId="0" xfId="7" applyFont="1" applyFill="1" applyAlignment="1">
      <alignment horizontal="center"/>
    </xf>
    <xf numFmtId="164" fontId="22" fillId="0" borderId="0" xfId="7" applyFont="1" applyAlignment="1">
      <alignment horizontal="center"/>
    </xf>
    <xf numFmtId="164" fontId="17" fillId="0" borderId="0" xfId="7" applyFont="1" applyFill="1" applyAlignment="1">
      <alignment horizontal="center"/>
    </xf>
    <xf numFmtId="43" fontId="22" fillId="0" borderId="0" xfId="1" applyFont="1" applyFill="1" applyBorder="1" applyAlignment="1">
      <alignment horizontal="left" vertical="center" indent="1"/>
    </xf>
    <xf numFmtId="14" fontId="22" fillId="0" borderId="0" xfId="0" applyNumberFormat="1" applyFont="1" applyAlignment="1">
      <alignment horizontal="left" vertical="center" indent="1"/>
    </xf>
    <xf numFmtId="0" fontId="22" fillId="0" borderId="0" xfId="0" applyFont="1" applyAlignment="1">
      <alignment horizontal="left" indent="1"/>
    </xf>
    <xf numFmtId="14" fontId="22" fillId="0" borderId="0" xfId="0" applyNumberFormat="1" applyFont="1" applyAlignment="1">
      <alignment horizontal="left" indent="1"/>
    </xf>
    <xf numFmtId="165" fontId="17" fillId="0" borderId="0" xfId="1" applyNumberFormat="1" applyFont="1" applyFill="1" applyAlignment="1">
      <alignment horizontal="left" indent="1"/>
    </xf>
    <xf numFmtId="0" fontId="0" fillId="0" borderId="0" xfId="0" pivotButton="1"/>
    <xf numFmtId="164" fontId="0" fillId="0" borderId="0" xfId="7" applyFont="1"/>
    <xf numFmtId="9" fontId="20" fillId="0" borderId="0" xfId="8" applyFont="1" applyAlignment="1">
      <alignment horizontal="center" vertical="center"/>
    </xf>
    <xf numFmtId="9" fontId="18" fillId="0" borderId="19" xfId="11" applyFont="1" applyBorder="1" applyAlignment="1">
      <alignment horizontal="center" vertical="center"/>
    </xf>
    <xf numFmtId="165" fontId="25" fillId="0" borderId="1" xfId="9" applyNumberFormat="1" applyFont="1" applyBorder="1" applyAlignment="1">
      <alignment horizontal="center" vertical="center"/>
    </xf>
    <xf numFmtId="165" fontId="20" fillId="10" borderId="21" xfId="9" applyNumberFormat="1" applyFont="1" applyFill="1" applyBorder="1" applyAlignment="1">
      <alignment horizontal="center" vertical="center"/>
    </xf>
    <xf numFmtId="165" fontId="25" fillId="0" borderId="1" xfId="9" applyNumberFormat="1" applyFont="1" applyFill="1" applyBorder="1" applyAlignment="1">
      <alignment horizontal="center" vertical="center"/>
    </xf>
    <xf numFmtId="164" fontId="18" fillId="0" borderId="1" xfId="7" applyFont="1" applyBorder="1" applyAlignment="1">
      <alignment horizontal="center" vertical="center"/>
    </xf>
    <xf numFmtId="165" fontId="20" fillId="0" borderId="25" xfId="9" applyNumberFormat="1" applyFont="1" applyBorder="1" applyAlignment="1">
      <alignment horizontal="center" vertical="center"/>
    </xf>
    <xf numFmtId="164" fontId="18" fillId="0" borderId="15" xfId="7" applyFont="1" applyBorder="1" applyAlignment="1">
      <alignment horizontal="center" vertical="center"/>
    </xf>
    <xf numFmtId="165" fontId="25" fillId="0" borderId="15" xfId="9" applyNumberFormat="1" applyFont="1" applyBorder="1" applyAlignment="1">
      <alignment horizontal="center" vertical="center"/>
    </xf>
    <xf numFmtId="165" fontId="17" fillId="0" borderId="15" xfId="9" applyNumberFormat="1" applyFont="1" applyFill="1" applyBorder="1" applyAlignment="1">
      <alignment horizontal="center" vertical="center"/>
    </xf>
    <xf numFmtId="165" fontId="25" fillId="0" borderId="15" xfId="9" applyNumberFormat="1" applyFont="1" applyFill="1" applyBorder="1" applyAlignment="1">
      <alignment horizontal="center" vertical="center"/>
    </xf>
    <xf numFmtId="9" fontId="18" fillId="0" borderId="16" xfId="11" applyFont="1" applyBorder="1" applyAlignment="1">
      <alignment horizontal="center" vertical="center"/>
    </xf>
    <xf numFmtId="165" fontId="18" fillId="11" borderId="17" xfId="9" applyNumberFormat="1" applyFont="1" applyFill="1" applyBorder="1" applyAlignment="1">
      <alignment vertical="center"/>
    </xf>
    <xf numFmtId="165" fontId="18" fillId="11" borderId="15" xfId="9" applyNumberFormat="1" applyFont="1" applyFill="1" applyBorder="1" applyAlignment="1">
      <alignment vertical="center"/>
    </xf>
    <xf numFmtId="165" fontId="18" fillId="11" borderId="16" xfId="9" applyNumberFormat="1" applyFont="1" applyFill="1" applyBorder="1" applyAlignment="1">
      <alignment vertical="center"/>
    </xf>
    <xf numFmtId="165" fontId="18" fillId="12" borderId="14" xfId="9" applyNumberFormat="1" applyFont="1" applyFill="1" applyBorder="1" applyAlignment="1">
      <alignment vertical="center"/>
    </xf>
    <xf numFmtId="165" fontId="18" fillId="12" borderId="15" xfId="9" applyNumberFormat="1" applyFont="1" applyFill="1" applyBorder="1" applyAlignment="1">
      <alignment vertical="center"/>
    </xf>
    <xf numFmtId="165" fontId="18" fillId="12" borderId="16" xfId="9" applyNumberFormat="1" applyFont="1" applyFill="1" applyBorder="1" applyAlignment="1">
      <alignment vertical="center"/>
    </xf>
    <xf numFmtId="165" fontId="18" fillId="13" borderId="14" xfId="9" applyNumberFormat="1" applyFont="1" applyFill="1" applyBorder="1" applyAlignment="1">
      <alignment vertical="center"/>
    </xf>
    <xf numFmtId="165" fontId="18" fillId="13" borderId="15" xfId="9" applyNumberFormat="1" applyFont="1" applyFill="1" applyBorder="1" applyAlignment="1">
      <alignment vertical="center"/>
    </xf>
    <xf numFmtId="165" fontId="18" fillId="13" borderId="16" xfId="9" applyNumberFormat="1" applyFont="1" applyFill="1" applyBorder="1" applyAlignment="1">
      <alignment vertical="center"/>
    </xf>
    <xf numFmtId="0" fontId="18" fillId="14" borderId="1" xfId="10" applyFont="1" applyFill="1" applyBorder="1" applyAlignment="1">
      <alignment vertical="center"/>
    </xf>
    <xf numFmtId="165" fontId="18" fillId="10" borderId="0" xfId="9" applyNumberFormat="1" applyFont="1" applyFill="1" applyBorder="1" applyAlignment="1">
      <alignment vertical="center"/>
    </xf>
    <xf numFmtId="165" fontId="20" fillId="0" borderId="0" xfId="9" applyNumberFormat="1" applyFont="1" applyAlignment="1">
      <alignment horizontal="center" vertical="center"/>
    </xf>
    <xf numFmtId="165" fontId="18" fillId="0" borderId="0" xfId="9" applyNumberFormat="1" applyFont="1" applyFill="1" applyBorder="1" applyAlignment="1">
      <alignment horizontal="left" vertical="center" indent="1"/>
    </xf>
    <xf numFmtId="165" fontId="18" fillId="0" borderId="30" xfId="9" applyNumberFormat="1" applyFont="1" applyBorder="1" applyAlignment="1">
      <alignment horizontal="left" vertical="center" indent="1"/>
    </xf>
    <xf numFmtId="165" fontId="18" fillId="0" borderId="45" xfId="9" applyNumberFormat="1" applyFont="1" applyBorder="1" applyAlignment="1">
      <alignment horizontal="left" vertical="center" indent="1"/>
    </xf>
    <xf numFmtId="9" fontId="20" fillId="4" borderId="0" xfId="8" applyFont="1" applyFill="1" applyAlignment="1">
      <alignment horizontal="center" vertical="center"/>
    </xf>
    <xf numFmtId="165" fontId="18" fillId="0" borderId="51" xfId="9" applyNumberFormat="1" applyFont="1" applyBorder="1" applyAlignment="1">
      <alignment horizontal="center" vertical="center" wrapText="1"/>
    </xf>
    <xf numFmtId="165" fontId="18" fillId="15" borderId="52" xfId="9" applyNumberFormat="1" applyFont="1" applyFill="1" applyBorder="1" applyAlignment="1">
      <alignment horizontal="center" vertical="center"/>
    </xf>
    <xf numFmtId="165" fontId="18" fillId="15" borderId="53" xfId="9" applyNumberFormat="1" applyFont="1" applyFill="1" applyBorder="1" applyAlignment="1">
      <alignment horizontal="center" vertical="center"/>
    </xf>
    <xf numFmtId="165" fontId="20" fillId="12" borderId="54" xfId="9" applyNumberFormat="1" applyFont="1" applyFill="1" applyBorder="1" applyAlignment="1">
      <alignment horizontal="center" vertical="center"/>
    </xf>
    <xf numFmtId="165" fontId="25" fillId="12" borderId="53" xfId="9" applyNumberFormat="1" applyFont="1" applyFill="1" applyBorder="1" applyAlignment="1">
      <alignment horizontal="center" vertical="center"/>
    </xf>
    <xf numFmtId="165" fontId="18" fillId="15" borderId="27" xfId="9" applyNumberFormat="1" applyFont="1" applyFill="1" applyBorder="1" applyAlignment="1">
      <alignment horizontal="center" vertical="center"/>
    </xf>
    <xf numFmtId="165" fontId="20" fillId="12" borderId="55" xfId="9" applyNumberFormat="1" applyFont="1" applyFill="1" applyBorder="1" applyAlignment="1">
      <alignment horizontal="center" vertical="center"/>
    </xf>
    <xf numFmtId="165" fontId="25" fillId="0" borderId="17" xfId="9" applyNumberFormat="1" applyFont="1" applyFill="1" applyBorder="1" applyAlignment="1">
      <alignment horizontal="center" vertical="center"/>
    </xf>
    <xf numFmtId="9" fontId="20" fillId="0" borderId="16" xfId="8" applyFont="1" applyFill="1" applyBorder="1" applyAlignment="1">
      <alignment horizontal="right" vertical="center"/>
    </xf>
    <xf numFmtId="165" fontId="25" fillId="0" borderId="3" xfId="9" applyNumberFormat="1" applyFont="1" applyFill="1" applyBorder="1" applyAlignment="1">
      <alignment horizontal="center" vertical="center"/>
    </xf>
    <xf numFmtId="9" fontId="20" fillId="0" borderId="19" xfId="8" applyFont="1" applyFill="1" applyBorder="1" applyAlignment="1">
      <alignment horizontal="right" vertical="center"/>
    </xf>
    <xf numFmtId="165" fontId="17" fillId="0" borderId="14" xfId="9" applyNumberFormat="1" applyFont="1" applyFill="1" applyBorder="1" applyAlignment="1">
      <alignment horizontal="center" vertical="center"/>
    </xf>
    <xf numFmtId="9" fontId="18" fillId="0" borderId="16" xfId="8" applyFont="1" applyFill="1" applyBorder="1" applyAlignment="1">
      <alignment horizontal="right" vertical="center"/>
    </xf>
    <xf numFmtId="165" fontId="17" fillId="0" borderId="18" xfId="9" applyNumberFormat="1" applyFont="1" applyFill="1" applyBorder="1" applyAlignment="1">
      <alignment horizontal="center" vertical="center"/>
    </xf>
    <xf numFmtId="9" fontId="18" fillId="0" borderId="19" xfId="8" applyFont="1" applyFill="1" applyBorder="1" applyAlignment="1">
      <alignment horizontal="right" vertical="center"/>
    </xf>
    <xf numFmtId="165" fontId="18" fillId="0" borderId="56" xfId="9" applyNumberFormat="1" applyFont="1" applyBorder="1" applyAlignment="1">
      <alignment horizontal="left" vertical="center" indent="1"/>
    </xf>
    <xf numFmtId="165" fontId="17" fillId="0" borderId="33" xfId="9" applyNumberFormat="1" applyFont="1" applyFill="1" applyBorder="1" applyAlignment="1">
      <alignment horizontal="center" vertical="center"/>
    </xf>
    <xf numFmtId="9" fontId="18" fillId="0" borderId="51" xfId="8" applyFont="1" applyFill="1" applyBorder="1" applyAlignment="1">
      <alignment horizontal="right" vertical="center"/>
    </xf>
    <xf numFmtId="165" fontId="25" fillId="0" borderId="13" xfId="9" applyNumberFormat="1" applyFont="1" applyFill="1" applyBorder="1" applyAlignment="1">
      <alignment horizontal="center" vertical="center"/>
    </xf>
    <xf numFmtId="9" fontId="20" fillId="0" borderId="51" xfId="8" applyFont="1" applyFill="1" applyBorder="1" applyAlignment="1">
      <alignment horizontal="right" vertical="center"/>
    </xf>
    <xf numFmtId="165" fontId="18" fillId="0" borderId="39" xfId="9" applyNumberFormat="1" applyFont="1" applyBorder="1" applyAlignment="1">
      <alignment horizontal="left" vertical="center" indent="1"/>
    </xf>
    <xf numFmtId="9" fontId="18" fillId="15" borderId="29" xfId="8" applyFont="1" applyFill="1" applyBorder="1" applyAlignment="1">
      <alignment horizontal="right" vertical="center"/>
    </xf>
    <xf numFmtId="9" fontId="20" fillId="12" borderId="29" xfId="8" applyFont="1" applyFill="1" applyBorder="1" applyAlignment="1">
      <alignment horizontal="right" vertical="center"/>
    </xf>
    <xf numFmtId="165" fontId="18" fillId="0" borderId="16" xfId="9" applyNumberFormat="1" applyFont="1" applyBorder="1" applyAlignment="1">
      <alignment horizontal="center" vertical="center"/>
    </xf>
    <xf numFmtId="165" fontId="18" fillId="0" borderId="3" xfId="9" applyNumberFormat="1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4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164" fontId="26" fillId="0" borderId="0" xfId="7" applyFont="1"/>
    <xf numFmtId="168" fontId="27" fillId="0" borderId="0" xfId="7" applyNumberFormat="1" applyFont="1"/>
    <xf numFmtId="168" fontId="28" fillId="0" borderId="0" xfId="7" applyNumberFormat="1" applyFont="1"/>
    <xf numFmtId="0" fontId="26" fillId="0" borderId="0" xfId="0" applyFont="1"/>
    <xf numFmtId="0" fontId="26" fillId="0" borderId="1" xfId="0" applyFont="1" applyBorder="1" applyAlignment="1">
      <alignment horizontal="center" vertical="center" wrapText="1"/>
    </xf>
    <xf numFmtId="164" fontId="26" fillId="0" borderId="1" xfId="7" applyFont="1" applyBorder="1" applyAlignment="1">
      <alignment horizontal="center" vertical="center" wrapText="1"/>
    </xf>
    <xf numFmtId="168" fontId="27" fillId="4" borderId="1" xfId="7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indent="1"/>
    </xf>
    <xf numFmtId="164" fontId="17" fillId="0" borderId="1" xfId="7" applyFont="1" applyBorder="1" applyAlignment="1">
      <alignment vertical="center"/>
    </xf>
    <xf numFmtId="164" fontId="18" fillId="0" borderId="1" xfId="7" applyFont="1" applyBorder="1" applyAlignment="1">
      <alignment vertical="center"/>
    </xf>
    <xf numFmtId="168" fontId="20" fillId="0" borderId="1" xfId="7" applyNumberFormat="1" applyFont="1" applyBorder="1" applyAlignment="1">
      <alignment vertical="center"/>
    </xf>
    <xf numFmtId="168" fontId="23" fillId="0" borderId="1" xfId="7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15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left" vertical="center" indent="1"/>
    </xf>
    <xf numFmtId="164" fontId="18" fillId="15" borderId="1" xfId="7" applyFont="1" applyFill="1" applyBorder="1" applyAlignment="1">
      <alignment vertical="center"/>
    </xf>
    <xf numFmtId="168" fontId="20" fillId="15" borderId="1" xfId="7" applyNumberFormat="1" applyFont="1" applyFill="1" applyBorder="1" applyAlignment="1">
      <alignment vertical="center"/>
    </xf>
    <xf numFmtId="168" fontId="23" fillId="15" borderId="1" xfId="7" applyNumberFormat="1" applyFont="1" applyFill="1" applyBorder="1" applyAlignment="1">
      <alignment vertical="center"/>
    </xf>
    <xf numFmtId="0" fontId="18" fillId="15" borderId="0" xfId="0" applyFont="1" applyFill="1" applyAlignment="1">
      <alignment vertical="center"/>
    </xf>
    <xf numFmtId="0" fontId="18" fillId="10" borderId="1" xfId="0" applyFont="1" applyFill="1" applyBorder="1" applyAlignment="1">
      <alignment horizontal="center"/>
    </xf>
    <xf numFmtId="0" fontId="18" fillId="10" borderId="1" xfId="0" applyFont="1" applyFill="1" applyBorder="1" applyAlignment="1">
      <alignment horizontal="left" vertical="center" indent="2"/>
    </xf>
    <xf numFmtId="164" fontId="18" fillId="10" borderId="1" xfId="7" applyFont="1" applyFill="1" applyBorder="1"/>
    <xf numFmtId="168" fontId="23" fillId="10" borderId="1" xfId="7" applyNumberFormat="1" applyFont="1" applyFill="1" applyBorder="1" applyAlignment="1">
      <alignment vertical="center"/>
    </xf>
    <xf numFmtId="0" fontId="18" fillId="10" borderId="0" xfId="0" applyFont="1" applyFill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 vertical="center" indent="2"/>
    </xf>
    <xf numFmtId="164" fontId="17" fillId="0" borderId="0" xfId="7" applyFont="1"/>
    <xf numFmtId="164" fontId="20" fillId="4" borderId="0" xfId="7" applyFont="1" applyFill="1"/>
    <xf numFmtId="164" fontId="18" fillId="0" borderId="0" xfId="7" applyFont="1"/>
    <xf numFmtId="168" fontId="20" fillId="0" borderId="0" xfId="7" applyNumberFormat="1" applyFont="1"/>
    <xf numFmtId="168" fontId="23" fillId="0" borderId="0" xfId="7" applyNumberFormat="1" applyFont="1"/>
    <xf numFmtId="0" fontId="17" fillId="0" borderId="0" xfId="0" applyFont="1"/>
    <xf numFmtId="168" fontId="28" fillId="15" borderId="2" xfId="7" applyNumberFormat="1" applyFont="1" applyFill="1" applyBorder="1" applyAlignment="1">
      <alignment horizontal="center" vertical="center" wrapText="1"/>
    </xf>
    <xf numFmtId="164" fontId="26" fillId="0" borderId="1" xfId="7" applyFont="1" applyBorder="1" applyAlignment="1">
      <alignment horizontal="center"/>
    </xf>
    <xf numFmtId="164" fontId="27" fillId="0" borderId="1" xfId="7" applyFont="1" applyBorder="1" applyAlignment="1">
      <alignment horizontal="center" vertical="center" wrapText="1"/>
    </xf>
    <xf numFmtId="164" fontId="17" fillId="0" borderId="0" xfId="7" applyFont="1" applyAlignment="1">
      <alignment vertical="center"/>
    </xf>
    <xf numFmtId="164" fontId="25" fillId="0" borderId="0" xfId="7" applyFont="1" applyAlignment="1">
      <alignment vertical="center"/>
    </xf>
    <xf numFmtId="164" fontId="18" fillId="15" borderId="0" xfId="7" applyFont="1" applyFill="1" applyAlignment="1">
      <alignment vertical="center"/>
    </xf>
    <xf numFmtId="164" fontId="20" fillId="15" borderId="0" xfId="7" applyFont="1" applyFill="1" applyAlignment="1">
      <alignment vertical="center"/>
    </xf>
    <xf numFmtId="164" fontId="18" fillId="10" borderId="0" xfId="7" applyFont="1" applyFill="1"/>
    <xf numFmtId="164" fontId="20" fillId="10" borderId="0" xfId="7" applyFont="1" applyFill="1"/>
    <xf numFmtId="164" fontId="25" fillId="0" borderId="0" xfId="7" applyFont="1"/>
    <xf numFmtId="164" fontId="27" fillId="0" borderId="1" xfId="7" applyFont="1" applyBorder="1" applyAlignment="1">
      <alignment horizontal="center"/>
    </xf>
    <xf numFmtId="165" fontId="17" fillId="0" borderId="8" xfId="9" applyNumberFormat="1" applyFont="1" applyBorder="1" applyAlignment="1">
      <alignment horizontal="center" vertical="center"/>
    </xf>
    <xf numFmtId="165" fontId="17" fillId="0" borderId="42" xfId="9" applyNumberFormat="1" applyFont="1" applyFill="1" applyBorder="1" applyAlignment="1">
      <alignment horizontal="center" vertical="center"/>
    </xf>
    <xf numFmtId="165" fontId="17" fillId="0" borderId="7" xfId="9" applyNumberFormat="1" applyFont="1" applyBorder="1" applyAlignment="1">
      <alignment horizontal="left" vertical="center" indent="1"/>
    </xf>
    <xf numFmtId="165" fontId="17" fillId="0" borderId="50" xfId="9" applyNumberFormat="1" applyFont="1" applyFill="1" applyBorder="1" applyAlignment="1">
      <alignment horizontal="left" vertical="center" indent="1"/>
    </xf>
    <xf numFmtId="165" fontId="17" fillId="0" borderId="57" xfId="9" applyNumberFormat="1" applyFont="1" applyBorder="1" applyAlignment="1">
      <alignment horizontal="left" vertical="center" indent="1"/>
    </xf>
    <xf numFmtId="165" fontId="17" fillId="0" borderId="58" xfId="9" applyNumberFormat="1" applyFont="1" applyFill="1" applyBorder="1" applyAlignment="1">
      <alignment horizontal="left" vertical="center" indent="1"/>
    </xf>
    <xf numFmtId="168" fontId="18" fillId="0" borderId="15" xfId="7" applyNumberFormat="1" applyFont="1" applyBorder="1" applyAlignment="1">
      <alignment horizontal="center" vertical="center"/>
    </xf>
    <xf numFmtId="165" fontId="20" fillId="0" borderId="15" xfId="9" applyNumberFormat="1" applyFont="1" applyBorder="1" applyAlignment="1">
      <alignment horizontal="center" vertical="center"/>
    </xf>
    <xf numFmtId="166" fontId="5" fillId="0" borderId="59" xfId="0" applyNumberFormat="1" applyFont="1" applyBorder="1" applyAlignment="1">
      <alignment horizontal="center" vertical="center"/>
    </xf>
    <xf numFmtId="165" fontId="7" fillId="0" borderId="0" xfId="1" applyNumberFormat="1" applyFont="1" applyAlignment="1">
      <alignment horizontal="center"/>
    </xf>
    <xf numFmtId="9" fontId="18" fillId="0" borderId="0" xfId="8" applyFont="1" applyAlignment="1">
      <alignment horizontal="center" vertical="center"/>
    </xf>
    <xf numFmtId="165" fontId="20" fillId="4" borderId="21" xfId="9" applyNumberFormat="1" applyFont="1" applyFill="1" applyBorder="1" applyAlignment="1">
      <alignment vertical="center"/>
    </xf>
    <xf numFmtId="164" fontId="20" fillId="4" borderId="20" xfId="7" applyFont="1" applyFill="1" applyBorder="1" applyAlignment="1">
      <alignment vertical="center"/>
    </xf>
    <xf numFmtId="165" fontId="20" fillId="0" borderId="45" xfId="9" applyNumberFormat="1" applyFont="1" applyFill="1" applyBorder="1" applyAlignment="1">
      <alignment vertical="center"/>
    </xf>
    <xf numFmtId="165" fontId="20" fillId="4" borderId="1" xfId="9" applyNumberFormat="1" applyFont="1" applyFill="1" applyBorder="1" applyAlignment="1">
      <alignment vertical="center"/>
    </xf>
    <xf numFmtId="165" fontId="20" fillId="4" borderId="35" xfId="9" applyNumberFormat="1" applyFont="1" applyFill="1" applyBorder="1" applyAlignment="1">
      <alignment vertical="center"/>
    </xf>
    <xf numFmtId="165" fontId="20" fillId="0" borderId="20" xfId="9" applyNumberFormat="1" applyFont="1" applyFill="1" applyBorder="1" applyAlignment="1">
      <alignment vertical="center"/>
    </xf>
    <xf numFmtId="9" fontId="19" fillId="0" borderId="0" xfId="8" applyFont="1" applyAlignment="1">
      <alignment horizontal="center" vertical="center"/>
    </xf>
    <xf numFmtId="164" fontId="19" fillId="10" borderId="20" xfId="7" applyFont="1" applyFill="1" applyBorder="1" applyAlignment="1">
      <alignment horizontal="center" vertical="center"/>
    </xf>
    <xf numFmtId="165" fontId="20" fillId="11" borderId="3" xfId="1" applyNumberFormat="1" applyFont="1" applyFill="1" applyBorder="1" applyAlignment="1">
      <alignment horizontal="center" vertical="center"/>
    </xf>
    <xf numFmtId="9" fontId="20" fillId="11" borderId="3" xfId="11" applyFont="1" applyFill="1" applyBorder="1" applyAlignment="1">
      <alignment vertical="center"/>
    </xf>
    <xf numFmtId="9" fontId="21" fillId="11" borderId="35" xfId="11" applyFont="1" applyFill="1" applyBorder="1" applyAlignment="1">
      <alignment vertical="center"/>
    </xf>
    <xf numFmtId="165" fontId="18" fillId="10" borderId="14" xfId="9" applyNumberFormat="1" applyFont="1" applyFill="1" applyBorder="1" applyAlignment="1">
      <alignment vertical="center"/>
    </xf>
    <xf numFmtId="165" fontId="18" fillId="10" borderId="15" xfId="9" applyNumberFormat="1" applyFont="1" applyFill="1" applyBorder="1" applyAlignment="1">
      <alignment vertical="center"/>
    </xf>
    <xf numFmtId="165" fontId="18" fillId="10" borderId="16" xfId="9" applyNumberFormat="1" applyFont="1" applyFill="1" applyBorder="1" applyAlignment="1">
      <alignment vertical="center"/>
    </xf>
    <xf numFmtId="165" fontId="21" fillId="10" borderId="19" xfId="1" applyNumberFormat="1" applyFont="1" applyFill="1" applyBorder="1" applyAlignment="1">
      <alignment vertical="center"/>
    </xf>
    <xf numFmtId="165" fontId="18" fillId="0" borderId="7" xfId="9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indent="1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horizontal="center" vertical="center"/>
    </xf>
    <xf numFmtId="164" fontId="25" fillId="0" borderId="1" xfId="7" applyFont="1" applyBorder="1" applyAlignment="1">
      <alignment vertical="center"/>
    </xf>
    <xf numFmtId="164" fontId="18" fillId="0" borderId="1" xfId="0" applyNumberFormat="1" applyFont="1" applyBorder="1" applyAlignment="1">
      <alignment vertical="center"/>
    </xf>
    <xf numFmtId="164" fontId="20" fillId="0" borderId="1" xfId="7" applyFont="1" applyBorder="1" applyAlignment="1">
      <alignment vertical="center"/>
    </xf>
    <xf numFmtId="9" fontId="17" fillId="0" borderId="1" xfId="8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164" fontId="18" fillId="0" borderId="37" xfId="7" applyFont="1" applyBorder="1" applyAlignment="1">
      <alignment vertical="center"/>
    </xf>
    <xf numFmtId="0" fontId="18" fillId="17" borderId="1" xfId="0" applyFont="1" applyFill="1" applyBorder="1" applyAlignment="1">
      <alignment horizontal="center" vertical="center"/>
    </xf>
    <xf numFmtId="164" fontId="18" fillId="17" borderId="1" xfId="0" applyNumberFormat="1" applyFont="1" applyFill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18" fillId="0" borderId="27" xfId="10" applyFont="1" applyBorder="1" applyAlignment="1">
      <alignment horizontal="center" vertical="center"/>
    </xf>
    <xf numFmtId="0" fontId="18" fillId="0" borderId="28" xfId="10" applyFont="1" applyBorder="1" applyAlignment="1">
      <alignment horizontal="center" vertical="center"/>
    </xf>
    <xf numFmtId="0" fontId="18" fillId="0" borderId="29" xfId="10" applyFont="1" applyBorder="1" applyAlignment="1">
      <alignment horizontal="center" vertical="center"/>
    </xf>
    <xf numFmtId="17" fontId="18" fillId="0" borderId="30" xfId="10" applyNumberFormat="1" applyFont="1" applyBorder="1" applyAlignment="1">
      <alignment horizontal="center" vertical="center" wrapText="1"/>
    </xf>
    <xf numFmtId="17" fontId="18" fillId="0" borderId="31" xfId="10" applyNumberFormat="1" applyFont="1" applyBorder="1" applyAlignment="1">
      <alignment horizontal="center" vertical="center" wrapText="1"/>
    </xf>
    <xf numFmtId="0" fontId="18" fillId="0" borderId="31" xfId="10" applyFont="1" applyBorder="1" applyAlignment="1">
      <alignment horizontal="center" vertical="center" wrapText="1"/>
    </xf>
    <xf numFmtId="0" fontId="18" fillId="0" borderId="32" xfId="10" applyFont="1" applyBorder="1" applyAlignment="1">
      <alignment horizontal="center" vertical="center" wrapText="1"/>
    </xf>
    <xf numFmtId="165" fontId="18" fillId="0" borderId="14" xfId="9" applyNumberFormat="1" applyFont="1" applyBorder="1" applyAlignment="1">
      <alignment horizontal="center" vertical="center"/>
    </xf>
    <xf numFmtId="165" fontId="18" fillId="0" borderId="15" xfId="9" applyNumberFormat="1" applyFont="1" applyBorder="1" applyAlignment="1">
      <alignment horizontal="center" vertical="center"/>
    </xf>
    <xf numFmtId="165" fontId="18" fillId="0" borderId="16" xfId="9" applyNumberFormat="1" applyFont="1" applyBorder="1" applyAlignment="1">
      <alignment horizontal="center" vertical="center"/>
    </xf>
    <xf numFmtId="17" fontId="18" fillId="0" borderId="14" xfId="10" applyNumberFormat="1" applyFont="1" applyBorder="1" applyAlignment="1">
      <alignment horizontal="center" vertical="center" wrapText="1"/>
    </xf>
    <xf numFmtId="0" fontId="18" fillId="0" borderId="15" xfId="10" applyFont="1" applyBorder="1" applyAlignment="1">
      <alignment horizontal="center" vertical="center" wrapText="1"/>
    </xf>
    <xf numFmtId="0" fontId="18" fillId="0" borderId="16" xfId="10" applyFont="1" applyBorder="1" applyAlignment="1">
      <alignment horizontal="center" vertical="center" wrapText="1"/>
    </xf>
    <xf numFmtId="0" fontId="18" fillId="0" borderId="14" xfId="10" applyFont="1" applyBorder="1" applyAlignment="1">
      <alignment horizontal="center" vertical="center"/>
    </xf>
    <xf numFmtId="0" fontId="18" fillId="0" borderId="15" xfId="10" applyFont="1" applyBorder="1" applyAlignment="1">
      <alignment horizontal="center" vertical="center"/>
    </xf>
    <xf numFmtId="0" fontId="18" fillId="0" borderId="16" xfId="10" applyFont="1" applyBorder="1" applyAlignment="1">
      <alignment horizontal="center" vertical="center"/>
    </xf>
    <xf numFmtId="165" fontId="18" fillId="15" borderId="27" xfId="9" applyNumberFormat="1" applyFont="1" applyFill="1" applyBorder="1" applyAlignment="1">
      <alignment horizontal="center" vertical="center"/>
    </xf>
    <xf numFmtId="165" fontId="18" fillId="15" borderId="29" xfId="9" applyNumberFormat="1" applyFont="1" applyFill="1" applyBorder="1" applyAlignment="1">
      <alignment horizontal="center" vertical="center"/>
    </xf>
    <xf numFmtId="165" fontId="20" fillId="12" borderId="55" xfId="9" applyNumberFormat="1" applyFont="1" applyFill="1" applyBorder="1" applyAlignment="1">
      <alignment horizontal="center" vertical="center"/>
    </xf>
    <xf numFmtId="165" fontId="20" fillId="12" borderId="29" xfId="9" applyNumberFormat="1" applyFont="1" applyFill="1" applyBorder="1" applyAlignment="1">
      <alignment horizontal="center" vertical="center"/>
    </xf>
    <xf numFmtId="165" fontId="18" fillId="0" borderId="0" xfId="9" applyNumberFormat="1" applyFont="1" applyFill="1" applyBorder="1" applyAlignment="1">
      <alignment horizontal="center" vertical="center"/>
    </xf>
    <xf numFmtId="17" fontId="18" fillId="0" borderId="32" xfId="10" applyNumberFormat="1" applyFont="1" applyBorder="1" applyAlignment="1">
      <alignment horizontal="center" vertical="center" wrapText="1"/>
    </xf>
    <xf numFmtId="165" fontId="18" fillId="0" borderId="30" xfId="9" applyNumberFormat="1" applyFont="1" applyBorder="1" applyAlignment="1">
      <alignment horizontal="center" vertical="center"/>
    </xf>
    <xf numFmtId="165" fontId="18" fillId="0" borderId="31" xfId="9" applyNumberFormat="1" applyFont="1" applyBorder="1" applyAlignment="1">
      <alignment horizontal="center" vertical="center"/>
    </xf>
    <xf numFmtId="165" fontId="18" fillId="0" borderId="32" xfId="9" applyNumberFormat="1" applyFont="1" applyBorder="1" applyAlignment="1">
      <alignment horizontal="center" vertical="center"/>
    </xf>
    <xf numFmtId="165" fontId="18" fillId="0" borderId="23" xfId="9" applyNumberFormat="1" applyFont="1" applyBorder="1" applyAlignment="1">
      <alignment horizontal="center" vertical="center"/>
    </xf>
    <xf numFmtId="165" fontId="18" fillId="0" borderId="24" xfId="9" applyNumberFormat="1" applyFont="1" applyBorder="1" applyAlignment="1">
      <alignment horizontal="center" vertical="center"/>
    </xf>
    <xf numFmtId="165" fontId="18" fillId="0" borderId="25" xfId="9" applyNumberFormat="1" applyFont="1" applyBorder="1" applyAlignment="1">
      <alignment horizontal="center" vertical="center"/>
    </xf>
    <xf numFmtId="165" fontId="18" fillId="0" borderId="26" xfId="9" applyNumberFormat="1" applyFont="1" applyBorder="1" applyAlignment="1">
      <alignment horizontal="center" vertical="center"/>
    </xf>
    <xf numFmtId="0" fontId="18" fillId="0" borderId="12" xfId="9" applyNumberFormat="1" applyFont="1" applyBorder="1" applyAlignment="1">
      <alignment horizontal="center" vertical="center"/>
    </xf>
    <xf numFmtId="0" fontId="18" fillId="0" borderId="13" xfId="9" applyNumberFormat="1" applyFont="1" applyBorder="1" applyAlignment="1">
      <alignment horizontal="center" vertical="center"/>
    </xf>
    <xf numFmtId="0" fontId="18" fillId="0" borderId="34" xfId="9" applyNumberFormat="1" applyFont="1" applyBorder="1" applyAlignment="1">
      <alignment horizontal="center" vertical="center"/>
    </xf>
    <xf numFmtId="0" fontId="18" fillId="0" borderId="35" xfId="9" applyNumberFormat="1" applyFont="1" applyBorder="1" applyAlignment="1">
      <alignment horizontal="center" vertical="center"/>
    </xf>
    <xf numFmtId="0" fontId="18" fillId="0" borderId="21" xfId="9" applyNumberFormat="1" applyFont="1" applyBorder="1" applyAlignment="1">
      <alignment horizontal="center" vertical="center" wrapText="1"/>
    </xf>
    <xf numFmtId="165" fontId="20" fillId="4" borderId="33" xfId="10" applyNumberFormat="1" applyFont="1" applyFill="1" applyBorder="1" applyAlignment="1">
      <alignment horizontal="center" vertical="center"/>
    </xf>
    <xf numFmtId="165" fontId="20" fillId="4" borderId="4" xfId="10" applyNumberFormat="1" applyFont="1" applyFill="1" applyBorder="1" applyAlignment="1">
      <alignment horizontal="center" vertical="center"/>
    </xf>
    <xf numFmtId="0" fontId="18" fillId="0" borderId="4" xfId="10" applyFont="1" applyBorder="1" applyAlignment="1">
      <alignment horizontal="center" vertical="center" wrapText="1"/>
    </xf>
    <xf numFmtId="0" fontId="18" fillId="0" borderId="21" xfId="10" applyFont="1" applyBorder="1" applyAlignment="1">
      <alignment horizontal="center" vertical="center" wrapText="1"/>
    </xf>
    <xf numFmtId="165" fontId="20" fillId="4" borderId="20" xfId="10" applyNumberFormat="1" applyFont="1" applyFill="1" applyBorder="1" applyAlignment="1">
      <alignment horizontal="center" vertical="center"/>
    </xf>
    <xf numFmtId="165" fontId="20" fillId="4" borderId="21" xfId="10" applyNumberFormat="1" applyFont="1" applyFill="1" applyBorder="1" applyAlignment="1">
      <alignment horizontal="center" vertical="center"/>
    </xf>
    <xf numFmtId="165" fontId="18" fillId="0" borderId="48" xfId="9" applyNumberFormat="1" applyFont="1" applyBorder="1" applyAlignment="1">
      <alignment horizontal="center" vertical="center"/>
    </xf>
    <xf numFmtId="165" fontId="18" fillId="0" borderId="17" xfId="9" applyNumberFormat="1" applyFont="1" applyBorder="1" applyAlignment="1">
      <alignment horizontal="center" vertical="center"/>
    </xf>
    <xf numFmtId="165" fontId="20" fillId="4" borderId="20" xfId="9" applyNumberFormat="1" applyFont="1" applyFill="1" applyBorder="1" applyAlignment="1">
      <alignment horizontal="center" vertical="center"/>
    </xf>
    <xf numFmtId="165" fontId="20" fillId="4" borderId="21" xfId="9" applyNumberFormat="1" applyFont="1" applyFill="1" applyBorder="1" applyAlignment="1">
      <alignment horizontal="center" vertical="center"/>
    </xf>
    <xf numFmtId="0" fontId="18" fillId="0" borderId="4" xfId="9" applyNumberFormat="1" applyFont="1" applyBorder="1" applyAlignment="1">
      <alignment horizontal="center" vertical="center" wrapText="1"/>
    </xf>
    <xf numFmtId="0" fontId="18" fillId="0" borderId="30" xfId="10" applyFont="1" applyBorder="1" applyAlignment="1">
      <alignment horizontal="center" vertical="center"/>
    </xf>
    <xf numFmtId="0" fontId="18" fillId="0" borderId="31" xfId="10" applyFont="1" applyBorder="1" applyAlignment="1">
      <alignment horizontal="center" vertical="center"/>
    </xf>
    <xf numFmtId="0" fontId="18" fillId="0" borderId="32" xfId="10" applyFont="1" applyBorder="1" applyAlignment="1">
      <alignment horizontal="center" vertical="center"/>
    </xf>
    <xf numFmtId="0" fontId="18" fillId="0" borderId="12" xfId="9" applyNumberFormat="1" applyFont="1" applyBorder="1" applyAlignment="1">
      <alignment horizontal="center" vertical="center" wrapText="1"/>
    </xf>
    <xf numFmtId="0" fontId="18" fillId="0" borderId="13" xfId="9" applyNumberFormat="1" applyFont="1" applyBorder="1" applyAlignment="1">
      <alignment horizontal="center" vertical="center" wrapText="1"/>
    </xf>
    <xf numFmtId="0" fontId="18" fillId="0" borderId="2" xfId="9" applyNumberFormat="1" applyFont="1" applyBorder="1" applyAlignment="1">
      <alignment horizontal="center" vertical="center"/>
    </xf>
    <xf numFmtId="0" fontId="18" fillId="0" borderId="3" xfId="9" applyNumberFormat="1" applyFont="1" applyBorder="1" applyAlignment="1">
      <alignment horizontal="center" vertical="center"/>
    </xf>
    <xf numFmtId="0" fontId="18" fillId="0" borderId="2" xfId="9" applyNumberFormat="1" applyFont="1" applyBorder="1" applyAlignment="1">
      <alignment horizontal="center" vertical="center" wrapText="1"/>
    </xf>
    <xf numFmtId="0" fontId="18" fillId="0" borderId="3" xfId="9" applyNumberFormat="1" applyFont="1" applyBorder="1" applyAlignment="1">
      <alignment horizontal="center" vertical="center" wrapText="1"/>
    </xf>
    <xf numFmtId="165" fontId="20" fillId="4" borderId="45" xfId="9" applyNumberFormat="1" applyFont="1" applyFill="1" applyBorder="1" applyAlignment="1">
      <alignment horizontal="center" vertical="center"/>
    </xf>
    <xf numFmtId="165" fontId="20" fillId="4" borderId="3" xfId="9" applyNumberFormat="1" applyFont="1" applyFill="1" applyBorder="1" applyAlignment="1">
      <alignment horizontal="center" vertical="center"/>
    </xf>
    <xf numFmtId="165" fontId="18" fillId="10" borderId="34" xfId="9" applyNumberFormat="1" applyFont="1" applyFill="1" applyBorder="1" applyAlignment="1">
      <alignment horizontal="center" vertical="center"/>
    </xf>
    <xf numFmtId="165" fontId="18" fillId="10" borderId="49" xfId="9" applyNumberFormat="1" applyFont="1" applyFill="1" applyBorder="1" applyAlignment="1">
      <alignment horizontal="center" vertical="center"/>
    </xf>
    <xf numFmtId="165" fontId="18" fillId="10" borderId="35" xfId="9" applyNumberFormat="1" applyFont="1" applyFill="1" applyBorder="1" applyAlignment="1">
      <alignment horizontal="center" vertical="center"/>
    </xf>
    <xf numFmtId="0" fontId="18" fillId="0" borderId="39" xfId="10" applyFont="1" applyBorder="1" applyAlignment="1">
      <alignment horizontal="center" vertical="center"/>
    </xf>
    <xf numFmtId="0" fontId="18" fillId="0" borderId="40" xfId="10" applyFont="1" applyBorder="1" applyAlignment="1">
      <alignment horizontal="center" vertical="center"/>
    </xf>
    <xf numFmtId="0" fontId="18" fillId="0" borderId="41" xfId="10" applyFont="1" applyBorder="1" applyAlignment="1">
      <alignment horizontal="center" vertical="center"/>
    </xf>
    <xf numFmtId="165" fontId="18" fillId="0" borderId="39" xfId="9" applyNumberFormat="1" applyFont="1" applyBorder="1" applyAlignment="1">
      <alignment horizontal="center" vertical="center"/>
    </xf>
    <xf numFmtId="165" fontId="18" fillId="0" borderId="40" xfId="9" applyNumberFormat="1" applyFont="1" applyBorder="1" applyAlignment="1">
      <alignment horizontal="center" vertical="center"/>
    </xf>
    <xf numFmtId="165" fontId="18" fillId="0" borderId="41" xfId="9" applyNumberFormat="1" applyFont="1" applyBorder="1" applyAlignment="1">
      <alignment horizontal="center" vertical="center"/>
    </xf>
    <xf numFmtId="0" fontId="18" fillId="0" borderId="34" xfId="10" applyFont="1" applyBorder="1" applyAlignment="1">
      <alignment horizontal="center" vertical="center" wrapText="1"/>
    </xf>
    <xf numFmtId="0" fontId="18" fillId="0" borderId="35" xfId="10" applyFont="1" applyBorder="1" applyAlignment="1">
      <alignment horizontal="center" vertical="center" wrapText="1"/>
    </xf>
    <xf numFmtId="165" fontId="20" fillId="4" borderId="47" xfId="10" applyNumberFormat="1" applyFont="1" applyFill="1" applyBorder="1" applyAlignment="1">
      <alignment horizontal="center" vertical="center"/>
    </xf>
    <xf numFmtId="165" fontId="20" fillId="4" borderId="35" xfId="10" applyNumberFormat="1" applyFont="1" applyFill="1" applyBorder="1" applyAlignment="1">
      <alignment horizontal="center" vertical="center"/>
    </xf>
    <xf numFmtId="165" fontId="18" fillId="10" borderId="21" xfId="9" applyNumberFormat="1" applyFont="1" applyFill="1" applyBorder="1" applyAlignment="1">
      <alignment horizontal="center" vertical="center"/>
    </xf>
    <xf numFmtId="165" fontId="18" fillId="0" borderId="8" xfId="9" applyNumberFormat="1" applyFont="1" applyBorder="1" applyAlignment="1">
      <alignment horizontal="center" vertical="center"/>
    </xf>
    <xf numFmtId="165" fontId="18" fillId="0" borderId="9" xfId="9" applyNumberFormat="1" applyFont="1" applyBorder="1" applyAlignment="1">
      <alignment horizontal="center" vertical="center"/>
    </xf>
    <xf numFmtId="165" fontId="18" fillId="0" borderId="42" xfId="9" applyNumberFormat="1" applyFont="1" applyBorder="1" applyAlignment="1">
      <alignment horizontal="center" vertical="center"/>
    </xf>
    <xf numFmtId="0" fontId="18" fillId="0" borderId="4" xfId="9" applyNumberFormat="1" applyFont="1" applyBorder="1" applyAlignment="1">
      <alignment horizontal="center" vertical="center"/>
    </xf>
    <xf numFmtId="0" fontId="18" fillId="0" borderId="21" xfId="9" applyNumberFormat="1" applyFont="1" applyBorder="1" applyAlignment="1">
      <alignment horizontal="center" vertical="center"/>
    </xf>
    <xf numFmtId="165" fontId="20" fillId="4" borderId="43" xfId="9" applyNumberFormat="1" applyFont="1" applyFill="1" applyBorder="1" applyAlignment="1">
      <alignment horizontal="center" vertical="center"/>
    </xf>
    <xf numFmtId="165" fontId="20" fillId="4" borderId="37" xfId="9" applyNumberFormat="1" applyFont="1" applyFill="1" applyBorder="1" applyAlignment="1">
      <alignment horizontal="center" vertical="center"/>
    </xf>
    <xf numFmtId="0" fontId="18" fillId="0" borderId="1" xfId="9" applyNumberFormat="1" applyFont="1" applyBorder="1" applyAlignment="1">
      <alignment horizontal="center" vertical="center"/>
    </xf>
    <xf numFmtId="0" fontId="18" fillId="0" borderId="1" xfId="9" applyNumberFormat="1" applyFont="1" applyBorder="1" applyAlignment="1">
      <alignment horizontal="center" vertical="center" wrapText="1"/>
    </xf>
    <xf numFmtId="17" fontId="18" fillId="0" borderId="17" xfId="10" applyNumberFormat="1" applyFont="1" applyBorder="1" applyAlignment="1">
      <alignment horizontal="center" vertical="center" wrapText="1"/>
    </xf>
    <xf numFmtId="165" fontId="18" fillId="15" borderId="39" xfId="9" applyNumberFormat="1" applyFont="1" applyFill="1" applyBorder="1" applyAlignment="1">
      <alignment horizontal="center" vertical="center"/>
    </xf>
    <xf numFmtId="165" fontId="18" fillId="15" borderId="41" xfId="9" applyNumberFormat="1" applyFont="1" applyFill="1" applyBorder="1" applyAlignment="1">
      <alignment horizontal="center" vertical="center"/>
    </xf>
    <xf numFmtId="165" fontId="20" fillId="12" borderId="39" xfId="9" applyNumberFormat="1" applyFont="1" applyFill="1" applyBorder="1" applyAlignment="1">
      <alignment horizontal="center" vertical="center"/>
    </xf>
    <xf numFmtId="165" fontId="20" fillId="12" borderId="41" xfId="9" applyNumberFormat="1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horizontal="center" vertical="center"/>
    </xf>
    <xf numFmtId="164" fontId="26" fillId="0" borderId="1" xfId="7" applyFont="1" applyBorder="1" applyAlignment="1">
      <alignment horizontal="center"/>
    </xf>
    <xf numFmtId="1" fontId="6" fillId="0" borderId="7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2" fillId="0" borderId="0" xfId="3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0" xfId="3" quotePrefix="1" applyAlignment="1">
      <alignment horizontal="center" vertical="center"/>
    </xf>
    <xf numFmtId="0" fontId="11" fillId="0" borderId="0" xfId="3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2" fillId="0" borderId="0" xfId="3" quotePrefix="1" applyFont="1" applyAlignment="1">
      <alignment horizontal="center" vertical="center"/>
    </xf>
    <xf numFmtId="14" fontId="7" fillId="0" borderId="0" xfId="0" quotePrefix="1" applyNumberFormat="1" applyFont="1" applyAlignment="1">
      <alignment horizontal="center"/>
    </xf>
  </cellXfs>
  <cellStyles count="13">
    <cellStyle name="Comma" xfId="1" builtinId="3"/>
    <cellStyle name="Comma [0]" xfId="7" builtinId="6"/>
    <cellStyle name="Comma [0] 2" xfId="12" xr:uid="{7C42FE0B-D330-504C-886F-CBDC9C620067}"/>
    <cellStyle name="Comma 2" xfId="5" xr:uid="{1932A4B8-58FA-4BBD-9E93-2A11551CB689}"/>
    <cellStyle name="Comma 3" xfId="9" xr:uid="{91B3AF1A-51C0-1D4A-A71D-C7FE0580E18C}"/>
    <cellStyle name="Hyperlink" xfId="3" builtinId="8"/>
    <cellStyle name="Normal" xfId="0" builtinId="0"/>
    <cellStyle name="Normal 2" xfId="4" xr:uid="{E39446D5-D0A7-49EE-A5A6-E74406BDF01B}"/>
    <cellStyle name="Normal 2 2" xfId="6" xr:uid="{B286A845-4C86-49FC-8FC1-BF81287756ED}"/>
    <cellStyle name="Normal 2 2 2" xfId="10" xr:uid="{AEE20621-759A-4144-A2BF-F634683CF021}"/>
    <cellStyle name="Normal 4" xfId="2" xr:uid="{44A9221B-525C-48F2-80EF-66940C4438DC}"/>
    <cellStyle name="Percent" xfId="8" builtinId="5"/>
    <cellStyle name="Percent 3" xfId="11" xr:uid="{E4D5DD0A-6515-E94A-AFE4-F3AA4361F404}"/>
  </cellStyles>
  <dxfs count="1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67" formatCode="dd/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67" formatCode="dd/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9" formatCode="m/d/yyyy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9" formatCode="m/d/yyyy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7" formatCode="dd/mm/yy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7" formatCode="dd/mm/yy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7" formatCode="dd/mm/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Pyidaungsu"/>
        <family val="2"/>
        <scheme val="none"/>
      </font>
      <numFmt numFmtId="167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166" formatCode="0_);\(0\)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fill>
        <patternFill patternType="none">
          <fgColor rgb="FFF4CCCC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fill>
        <patternFill patternType="none">
          <fgColor rgb="FFF4CCCC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  <numFmt numFmtId="30" formatCode="@"/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30" formatCode="@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30" formatCode="@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yidaungsu"/>
        <family val="2"/>
        <scheme val="none"/>
      </font>
      <numFmt numFmtId="30" formatCode="@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Pyidaungsu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Pyidaungsu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Pyidaungsu"/>
        <family val="2"/>
        <scheme val="none"/>
      </font>
    </dxf>
  </dxfs>
  <tableStyles count="0" defaultTableStyle="TableStyleMedium2" defaultPivotStyle="PivotStyleLight16"/>
  <colors>
    <mruColors>
      <color rgb="FFFFFF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Ko%20Sai%20Report%20Up\9-MLM%20Debtors%20and%20FollowUp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SLP%20Daily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n+Wholesale Debtors"/>
      <sheetName val="2025 Follow up sales "/>
      <sheetName val="2-FollowUpSales"/>
      <sheetName val="Daw Htun May"/>
      <sheetName val="Daw Mwe"/>
      <sheetName val="Shwe La Won"/>
      <sheetName val="Ko Kyaw Soe"/>
      <sheetName val="War Eain"/>
      <sheetName val="La Pyae"/>
      <sheetName val="U Soe Win"/>
      <sheetName val="Taw Win"/>
      <sheetName val="Ko Mya Khat"/>
      <sheetName val="Ma Wint War Htike"/>
      <sheetName val="Daw Nwe Nwe Yee"/>
      <sheetName val="Ko Htun Naing"/>
      <sheetName val="Kyaw Star"/>
      <sheetName val="Ko Bar Buu"/>
      <sheetName val="Ko Htike Soe"/>
      <sheetName val="Ko Kyaw Naing Soe"/>
      <sheetName val="Ma Kay Kay"/>
      <sheetName val="Daw Mya Sein"/>
      <sheetName val="Ko Mg+MaThuzar"/>
      <sheetName val="U Pyi Aye"/>
      <sheetName val="Naw Thin Su Hlaing"/>
      <sheetName val="Win Aung Shwe"/>
      <sheetName val="Ma Than Than Aye"/>
      <sheetName val="Ko Myo Aung "/>
      <sheetName val="U Win Myint"/>
      <sheetName val="Ko Nyi Nyi Swe"/>
      <sheetName val="U Min Lwin"/>
      <sheetName val="Pyae Hlan"/>
      <sheetName val="Lin Thit"/>
      <sheetName val="Ko Aung Naing Oo"/>
      <sheetName val="Ko Kyaw Shwe"/>
      <sheetName val="Ma Sandar"/>
      <sheetName val="Nan Tha zIN"/>
      <sheetName val="Yar Ma Nya"/>
      <sheetName val="Daw Kaw"/>
      <sheetName val="U Bhone Myint"/>
      <sheetName val="U Hla Win"/>
      <sheetName val="Ma Nandar Lay"/>
      <sheetName val="Ma Hnin Pwint Phyu"/>
      <sheetName val="Ma Chaw"/>
      <sheetName val="Ko Htike"/>
      <sheetName val="Saite Tine Kya"/>
      <sheetName val="U Aye Myint"/>
      <sheetName val="U Myina Kyi"/>
      <sheetName val="Ye Nyunt Aung"/>
      <sheetName val="Chae Li"/>
      <sheetName val="Ma Sandar Moe"/>
      <sheetName val="Daw Sein"/>
      <sheetName val="Moe San Char Li"/>
      <sheetName val="9-MLM Debtors and FollowUpSales"/>
      <sheetName val="Follow Up"/>
    </sheetNames>
    <definedNames>
      <definedName name="End_Bal" refersTo="#REF!"/>
      <definedName name="Full_Print" refersTo="#REF!"/>
      <definedName name="Header_Row" refersTo="#REF!"/>
      <definedName name="Interest_Rate" refersTo="#REF!"/>
      <definedName name="Loan_Start" refersTo="#REF!"/>
      <definedName name="Loan_Years" refersTo="#REF!" sheetId="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7.573006828701" createdVersion="8" refreshedVersion="8" minRefreshableVersion="3" recordCount="927" xr:uid="{E68CEEB4-DB53-214E-B858-F8EDCCEF81F1}">
  <cacheSource type="worksheet">
    <worksheetSource ref="AH1:AR31047" sheet="DailySales"/>
  </cacheSource>
  <cacheFields count="11">
    <cacheField name="Date" numFmtId="0">
      <sharedItems containsNonDate="0" containsDate="1" containsString="0" containsBlank="1" minDate="1899-12-30T00:00:00" maxDate="2026-02-24T00:00:00" count="47">
        <d v="2026-01-01T00:00:00"/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m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4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1899-12-30T00:00:00"/>
      </sharedItems>
    </cacheField>
    <cacheField name="Month" numFmtId="0">
      <sharedItems containsBlank="1" count="4">
        <s v="Jan"/>
        <s v="Feb"/>
        <m/>
        <e v="#VALUE!" u="1"/>
      </sharedItems>
    </cacheField>
    <cacheField name="Year" numFmtId="0">
      <sharedItems containsBlank="1" count="4">
        <s v="2026"/>
        <m/>
        <s v="1900" u="1"/>
        <e v="#VALUE!" u="1"/>
      </sharedItems>
    </cacheField>
    <cacheField name="Customer Name" numFmtId="0">
      <sharedItems containsBlank="1" containsMixedTypes="1" containsNumber="1" containsInteger="1" minValue="155" maxValue="745" count="179">
        <s v="ဒေါ်ထွန်းမေ"/>
        <s v="ဒေါ်နွယ်နွယ်ရီ(ရွှေတောင်ကြား)"/>
        <s v="ကိုထွန်းနိုင်"/>
        <s v="ကျော်စတား"/>
        <s v="ကိုထိုက်စိုး"/>
        <s v="ကိုမောင်+မသူဇာ"/>
        <s v="ဒေါ်စိန်ယုံ"/>
        <s v="ကိုကျော်နိုင်စိုး"/>
        <s v="မ‌ချော"/>
        <s v="Thailand"/>
        <s v="ကိုနေနိုင်"/>
        <s v="မမော်"/>
        <s v="ကိုကျော်စိုး (နံ့သာ)"/>
        <s v="လပြည့်"/>
        <s v="တော်၀င်"/>
        <s v="ဦးမြင့်ကြည်"/>
        <s v="ဦးစိုး၀င်း"/>
        <s v="ကိုစိုးနိုင်"/>
        <s v="ဦးပြည်အေး"/>
        <s v="ဒေါ်မိုးမိုးမြင့်"/>
        <s v="ကိုအာနိုး"/>
        <s v="ကိုဝင်းထွဋ်အောင်"/>
        <s v="လင်းသစ်"/>
        <s v="အလင်းသစ်"/>
        <s v="ကမ္ဘာကျော်"/>
        <s v="မသန္တာ"/>
        <s v="မင်းမင်းထွန်း"/>
        <s v="ဦးမင်းလွင်"/>
        <s v="ကိုမြခက်"/>
        <s v="ကိုမျိုးအောင်"/>
        <s v="မနှင်းပွင့်ဖြူ"/>
        <s v="ကိုကျော်မြင့်"/>
        <s v="Outlet"/>
        <s v="ဝါးအိမ်"/>
        <s v="ကိုရဲ"/>
        <s v="၀င်းအောင်ရွှေ"/>
        <s v="ဦးလှ၀င်း"/>
        <s v="တီနားလေး"/>
        <s v="အနဲကြီး"/>
        <s v="ပြည့်လျှံ"/>
        <s v="ကိုကျော်ရွှေ"/>
        <s v="မိုးဆမ်း"/>
        <s v="မသီတာ၀င်း"/>
        <s v="ကိုကြီး"/>
        <s v="ကိုဘိုနီ"/>
        <s v="ကို၀ဏ္ဏ"/>
        <s v="Golden Bell"/>
        <s v="ကိုညီညီဆွေ"/>
        <s v="ဦး၀င်းမြင့်"/>
        <s v="ကိုမွန်လေး"/>
        <s v="ရဲညွှန့်အောင်"/>
        <s v="စိုးသီဟ"/>
        <s v="Moon"/>
        <n v="155"/>
        <s v="ဘီလျှံနာ"/>
        <s v="Feeling Store"/>
        <s v="ဆန်းသစ်ကမ္ဘာ"/>
        <s v="လျှမ်း"/>
        <s v="My-1"/>
        <s v="တောင်ပေါ်တန်း"/>
        <s v="ရွှေနဂါး"/>
        <s v="မဇာဇာ"/>
        <s v="A1"/>
        <s v="ကိုပိန်"/>
        <s v="My-2"/>
        <s v="ဆုံဆည်းရာ"/>
        <s v="ဘော်ဒါကြီး"/>
        <s v="KKK"/>
        <s v="ကိုမောင်ဦး"/>
        <s v="၀မ်းဒေါ်လာ"/>
        <s v="ဦးသိန်းဝင်း"/>
        <s v="နန်းသဇင်"/>
        <s v="ဒေါ်မိစိန်"/>
        <s v="ဒေါ်မြလေး"/>
        <s v="ဒေါ်ချိုချို၀င်း"/>
        <s v="စိမ်းလဲ့ကန်သာ"/>
        <s v="မင်းထွန်းသိန်း"/>
        <s v="စိတ်တိုင်းကျ"/>
        <s v="မသီ"/>
        <s v="ကောင်းခေတ်"/>
        <s v="Hi Hi"/>
        <s v="လရောင်ဝင်း"/>
        <s v="Friday Mon"/>
        <s v="ဖြိုးဝေဝင်း"/>
        <s v="KP"/>
        <s v="ဦးစောမောင်"/>
        <s v="အမောင်"/>
        <s v="မိုးဆန်းချာလီ"/>
        <s v="ကိုဘာဘူ"/>
        <s v="မဝင့်ဝါထိုက်(ရွှေပင်လယ်)"/>
        <s v="OMG"/>
        <s v="ချယ်ရီမြိုင်"/>
        <s v="မ‌ရွှေစင်"/>
        <s v="ပြုံးပန်း‌ေ"/>
        <s v="စူပါ"/>
        <s v="မစန္ဒာ"/>
        <s v="ဖြိုး‌‌ေစံ"/>
        <s v="ဖောင်တိန်"/>
        <s v="ဆေးသစ္စာ"/>
        <s v="နော်သင်းစုလှိုင်"/>
        <s v="မဇာဇာဦး"/>
        <s v="ဖြိူးဝေဦး"/>
        <s v="ဦးဘိုနီ"/>
        <s v="Daily One"/>
        <s v="မိုးထိအောင်"/>
        <s v="3 Brother"/>
        <s v="ရွှေကြိုးကြာ"/>
        <s v="ကိုအောင်နိုင်ဦး"/>
        <s v="ကိုရန်နိုင်ဦး"/>
        <s v="ဒေါ်ဌေး"/>
        <s v="ဒေါ်စိန်"/>
        <s v="ကိုစံ"/>
        <s v="ဇာနည်လွင်"/>
        <s v="ညီညီ"/>
        <s v="ဒေါ်မိမိနိုင်"/>
        <s v="အုပ်ကြီး"/>
        <s v="Lucky"/>
        <s v="ယမုံနာ"/>
        <s v="သားကြီး"/>
        <s v="စအောင်စန်း"/>
        <s v="ကံ့ကော်စတိုး"/>
        <s v="ကိုဇော်လင်းမြတ်"/>
        <s v="ဒေါ်ကော"/>
        <s v="M-City"/>
        <s v="ဦးဘုန်းမြင့်"/>
        <s v="ဖိုးခွားလေး"/>
        <s v="မင်းဆန်းသစ်"/>
        <s v="ဟေမာြပည့်၀"/>
        <s v="ချာလီ"/>
        <s v="လူဝကြီး"/>
        <s v="မစန္ဒာမိုး"/>
        <s v="မ‌ေ၀-၂"/>
        <n v="745"/>
        <s v="သရက်မြိုင်"/>
        <s v="ကိုချမ်းသာ"/>
        <s v="ကိုအောင်"/>
        <s v="ကိုရှမ်း"/>
        <s v="ကိုနေကျော်"/>
        <s v="Comment"/>
        <s v="ဟိန်း"/>
        <s v="ဦးသန်းဆွေ"/>
        <s v="၀ဿာန်နှင်း"/>
        <s v="ဦးအေးမြင့်"/>
        <s v="ကိုမောင်လေး"/>
        <s v="ဖြိုး"/>
        <s v="Ok 1-2"/>
        <s v="ဒေါ်ခင်သန်းမြင့်"/>
        <s v="Jocker"/>
        <s v="မွန်လေး"/>
        <s v="ဒေါ်တင်တင်အေး"/>
        <s v="KS"/>
        <s v="ရွှေတော်ဝင်"/>
        <s v="ရွှေလှိုင်ဘွား"/>
        <s v="ဒေါ်မီး"/>
        <s v="ရွှေနန်းထက်"/>
        <s v="ရွှေနဒီ"/>
        <s v="မာလာမြို်င"/>
        <s v="အောင်ကမ္ဘာ"/>
        <s v="ဟေ၀န်နန်း"/>
        <s v="ကိုချိုင်"/>
        <s v="ဘုရင်မ"/>
        <s v="ရွှေဗန်ဒါ"/>
        <s v="အမိရင်ခွင်"/>
        <s v="ကိုထိုက်"/>
        <s v="ငွေလှိုင်းသံ"/>
        <s v="ပန်းအိဖြူ"/>
        <s v="Sk"/>
        <s v="လင်းလင်း"/>
        <s v="ကိုဇော်လေး"/>
        <s v="ဟံသာမြိုင်"/>
        <s v="AKK"/>
        <s v="သန်းမေတ္တာ"/>
        <s v="ရတီ"/>
        <s v="ရွှေစိတ်ကူး"/>
        <s v="အာကြီး"/>
        <s v="မနီနီမာ"/>
        <s v="ရွှေစိတ်ရွှင်"/>
        <s v="ကိုငယ်လေး+မနန်း"/>
        <m/>
      </sharedItems>
    </cacheField>
    <cacheField name="Township" numFmtId="0">
      <sharedItems containsBlank="1"/>
    </cacheField>
    <cacheField name="Team" numFmtId="0">
      <sharedItems containsBlank="1" count="7">
        <s v="WholeSales"/>
        <s v="Mini Whole Sales"/>
        <s v="SemiWholeSales"/>
        <s v="Van Sales"/>
        <m/>
        <e v="#N/A" u="1"/>
        <e v="#VALUE!" u="1"/>
      </sharedItems>
    </cacheField>
    <cacheField name="Particular" numFmtId="0">
      <sharedItems containsBlank="1" containsMixedTypes="1" containsNumber="1" containsInteger="1" minValue="0" maxValue="0" count="7">
        <s v="ကုန်ရောင်း(အကြွေး)"/>
        <s v="ကြိုရောင်း"/>
        <s v="ကုန်ရောင်း(လက်ငင်း)"/>
        <s v="လက်ဆောင်"/>
        <m/>
        <s v="ဖောက်တိုက်"/>
        <n v="0" u="1"/>
      </sharedItems>
    </cacheField>
    <cacheField name="Stock Name" numFmtId="0">
      <sharedItems containsBlank="1" count="19">
        <s v="BE"/>
        <s v="ဇေယျဝတီ  Red(ပု)"/>
        <s v="ဒဂုံအရက်သန့်"/>
        <s v="ဇေယျဝတီ Red"/>
        <s v="ဇေယျဝတီ Red (1 Liter) 30%"/>
        <s v="&quot;ဇေ&quot; ကော်ဘူး (1 Liter)"/>
        <s v="ဇေ Vodka"/>
        <s v="&quot;ဇေ&quot; ကော်ဘူး (0.35Liter)"/>
        <s v="Formula Rum 350ml"/>
        <s v="ဇေယျဝတီ High 43%"/>
        <s v="ဒဂုံနာနတ်ဝိုင်"/>
        <s v="ဒဂုံမန်ကျည်း ကော်ဘူး (1 Liter)"/>
        <s v="ကောင်းကြည်-1Li"/>
        <s v="ကောင်းကြည်"/>
        <s v="ရွှေမန်း"/>
        <s v="မိုးနဲကွန်ကီ"/>
        <m/>
        <e v="#N/A" u="1"/>
        <e v="#VALUE!" u="1"/>
      </sharedItems>
    </cacheField>
    <cacheField name="Sales Ctns" numFmtId="164">
      <sharedItems containsString="0" containsBlank="1" containsNumber="1" minValue="0" maxValue="500"/>
    </cacheField>
    <cacheField name="Sales Bot;" numFmtId="164">
      <sharedItems containsString="0" containsBlank="1" containsNumber="1" containsInteger="1" minValue="0" maxValue="508841"/>
    </cacheField>
    <cacheField name="Sales Liter" numFmtId="164">
      <sharedItems containsString="0" containsBlank="1" containsNumber="1" minValue="0" maxValue="4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7">
  <r>
    <x v="0"/>
    <x v="0"/>
    <x v="0"/>
    <x v="0"/>
    <s v="Maw La Myaing"/>
    <x v="0"/>
    <x v="0"/>
    <x v="0"/>
    <n v="0"/>
    <n v="0"/>
    <n v="0"/>
  </r>
  <r>
    <x v="0"/>
    <x v="0"/>
    <x v="0"/>
    <x v="1"/>
    <s v="Yay"/>
    <x v="0"/>
    <x v="0"/>
    <x v="0"/>
    <n v="0"/>
    <n v="0"/>
    <n v="0"/>
  </r>
  <r>
    <x v="0"/>
    <x v="0"/>
    <x v="0"/>
    <x v="1"/>
    <s v="Yay"/>
    <x v="0"/>
    <x v="0"/>
    <x v="0"/>
    <n v="0"/>
    <n v="0"/>
    <n v="0"/>
  </r>
  <r>
    <x v="0"/>
    <x v="0"/>
    <x v="0"/>
    <x v="1"/>
    <s v="Yay"/>
    <x v="0"/>
    <x v="0"/>
    <x v="0"/>
    <n v="0"/>
    <n v="0"/>
    <n v="0"/>
  </r>
  <r>
    <x v="0"/>
    <x v="0"/>
    <x v="0"/>
    <x v="1"/>
    <s v="Yay"/>
    <x v="0"/>
    <x v="0"/>
    <x v="0"/>
    <n v="0"/>
    <n v="0"/>
    <n v="0"/>
  </r>
  <r>
    <x v="0"/>
    <x v="0"/>
    <x v="0"/>
    <x v="1"/>
    <s v="Yay"/>
    <x v="0"/>
    <x v="0"/>
    <x v="0"/>
    <n v="0"/>
    <n v="0"/>
    <n v="0"/>
  </r>
  <r>
    <x v="0"/>
    <x v="0"/>
    <x v="0"/>
    <x v="1"/>
    <s v="Yay"/>
    <x v="0"/>
    <x v="0"/>
    <x v="0"/>
    <n v="0"/>
    <n v="0"/>
    <n v="0"/>
  </r>
  <r>
    <x v="0"/>
    <x v="0"/>
    <x v="0"/>
    <x v="2"/>
    <s v="Yay"/>
    <x v="0"/>
    <x v="0"/>
    <x v="0"/>
    <n v="0"/>
    <n v="0"/>
    <n v="0"/>
  </r>
  <r>
    <x v="0"/>
    <x v="0"/>
    <x v="0"/>
    <x v="3"/>
    <s v="Yay"/>
    <x v="0"/>
    <x v="0"/>
    <x v="0"/>
    <n v="0"/>
    <n v="0"/>
    <n v="0"/>
  </r>
  <r>
    <x v="0"/>
    <x v="0"/>
    <x v="0"/>
    <x v="3"/>
    <s v="Yay"/>
    <x v="0"/>
    <x v="0"/>
    <x v="0"/>
    <n v="0"/>
    <n v="0"/>
    <n v="0"/>
  </r>
  <r>
    <x v="0"/>
    <x v="0"/>
    <x v="0"/>
    <x v="3"/>
    <s v="Yay"/>
    <x v="0"/>
    <x v="0"/>
    <x v="0"/>
    <n v="0"/>
    <n v="0"/>
    <n v="0"/>
  </r>
  <r>
    <x v="0"/>
    <x v="0"/>
    <x v="0"/>
    <x v="3"/>
    <s v="Yay"/>
    <x v="0"/>
    <x v="0"/>
    <x v="0"/>
    <n v="0"/>
    <n v="0"/>
    <n v="0"/>
  </r>
  <r>
    <x v="0"/>
    <x v="0"/>
    <x v="0"/>
    <x v="3"/>
    <s v="Yay"/>
    <x v="0"/>
    <x v="0"/>
    <x v="0"/>
    <n v="0"/>
    <n v="0"/>
    <n v="0"/>
  </r>
  <r>
    <x v="0"/>
    <x v="0"/>
    <x v="0"/>
    <x v="3"/>
    <s v="Yay"/>
    <x v="0"/>
    <x v="0"/>
    <x v="0"/>
    <n v="0"/>
    <n v="0"/>
    <n v="0"/>
  </r>
  <r>
    <x v="0"/>
    <x v="0"/>
    <x v="0"/>
    <x v="3"/>
    <s v="Yay"/>
    <x v="0"/>
    <x v="0"/>
    <x v="0"/>
    <n v="0"/>
    <n v="0"/>
    <n v="0"/>
  </r>
  <r>
    <x v="0"/>
    <x v="0"/>
    <x v="0"/>
    <x v="3"/>
    <s v="Yay"/>
    <x v="0"/>
    <x v="0"/>
    <x v="0"/>
    <n v="0"/>
    <n v="0"/>
    <n v="0"/>
  </r>
  <r>
    <x v="0"/>
    <x v="0"/>
    <x v="0"/>
    <x v="3"/>
    <s v="Yay"/>
    <x v="0"/>
    <x v="0"/>
    <x v="0"/>
    <n v="0"/>
    <n v="0"/>
    <n v="0"/>
  </r>
  <r>
    <x v="0"/>
    <x v="0"/>
    <x v="0"/>
    <x v="3"/>
    <s v="Yay"/>
    <x v="0"/>
    <x v="0"/>
    <x v="0"/>
    <n v="0"/>
    <n v="0"/>
    <n v="0"/>
  </r>
  <r>
    <x v="0"/>
    <x v="0"/>
    <x v="0"/>
    <x v="4"/>
    <s v="Yay"/>
    <x v="0"/>
    <x v="0"/>
    <x v="0"/>
    <n v="0"/>
    <n v="0"/>
    <n v="0"/>
  </r>
  <r>
    <x v="0"/>
    <x v="0"/>
    <x v="0"/>
    <x v="5"/>
    <s v="Yay"/>
    <x v="0"/>
    <x v="0"/>
    <x v="0"/>
    <n v="0"/>
    <n v="0"/>
    <n v="0"/>
  </r>
  <r>
    <x v="0"/>
    <x v="0"/>
    <x v="0"/>
    <x v="5"/>
    <s v="Yay"/>
    <x v="0"/>
    <x v="0"/>
    <x v="0"/>
    <n v="0"/>
    <n v="0"/>
    <n v="0"/>
  </r>
  <r>
    <x v="0"/>
    <x v="0"/>
    <x v="0"/>
    <x v="5"/>
    <s v="Yay"/>
    <x v="0"/>
    <x v="0"/>
    <x v="0"/>
    <n v="0"/>
    <n v="0"/>
    <n v="0"/>
  </r>
  <r>
    <x v="0"/>
    <x v="0"/>
    <x v="0"/>
    <x v="5"/>
    <s v="Yay"/>
    <x v="0"/>
    <x v="0"/>
    <x v="0"/>
    <n v="0"/>
    <n v="0"/>
    <n v="0"/>
  </r>
  <r>
    <x v="0"/>
    <x v="0"/>
    <x v="0"/>
    <x v="5"/>
    <s v="Yay"/>
    <x v="0"/>
    <x v="0"/>
    <x v="0"/>
    <n v="0"/>
    <n v="0"/>
    <n v="0"/>
  </r>
  <r>
    <x v="0"/>
    <x v="0"/>
    <x v="0"/>
    <x v="5"/>
    <s v="Yay"/>
    <x v="0"/>
    <x v="0"/>
    <x v="0"/>
    <n v="0"/>
    <n v="0"/>
    <n v="0"/>
  </r>
  <r>
    <x v="0"/>
    <x v="0"/>
    <x v="0"/>
    <x v="5"/>
    <s v="Yay"/>
    <x v="0"/>
    <x v="0"/>
    <x v="0"/>
    <n v="0"/>
    <n v="0"/>
    <n v="0"/>
  </r>
  <r>
    <x v="0"/>
    <x v="0"/>
    <x v="0"/>
    <x v="5"/>
    <s v="Yay"/>
    <x v="0"/>
    <x v="0"/>
    <x v="0"/>
    <n v="0"/>
    <n v="0"/>
    <n v="0"/>
  </r>
  <r>
    <x v="0"/>
    <x v="0"/>
    <x v="0"/>
    <x v="5"/>
    <s v="Yay"/>
    <x v="0"/>
    <x v="0"/>
    <x v="0"/>
    <n v="0"/>
    <n v="0"/>
    <n v="0"/>
  </r>
  <r>
    <x v="0"/>
    <x v="0"/>
    <x v="0"/>
    <x v="5"/>
    <s v="Yay"/>
    <x v="0"/>
    <x v="0"/>
    <x v="0"/>
    <n v="0"/>
    <n v="0"/>
    <n v="0"/>
  </r>
  <r>
    <x v="0"/>
    <x v="0"/>
    <x v="0"/>
    <x v="6"/>
    <s v="Mudon"/>
    <x v="1"/>
    <x v="0"/>
    <x v="0"/>
    <n v="0"/>
    <n v="0"/>
    <n v="0"/>
  </r>
  <r>
    <x v="0"/>
    <x v="0"/>
    <x v="0"/>
    <x v="7"/>
    <s v="Yay"/>
    <x v="2"/>
    <x v="0"/>
    <x v="0"/>
    <n v="0"/>
    <n v="0"/>
    <n v="0"/>
  </r>
  <r>
    <x v="0"/>
    <x v="0"/>
    <x v="0"/>
    <x v="8"/>
    <s v="Yay"/>
    <x v="2"/>
    <x v="1"/>
    <x v="0"/>
    <n v="0"/>
    <n v="0"/>
    <n v="0"/>
  </r>
  <r>
    <x v="0"/>
    <x v="0"/>
    <x v="0"/>
    <x v="9"/>
    <s v="Mudon"/>
    <x v="2"/>
    <x v="0"/>
    <x v="0"/>
    <n v="0"/>
    <n v="0"/>
    <n v="0"/>
  </r>
  <r>
    <x v="0"/>
    <x v="0"/>
    <x v="0"/>
    <x v="10"/>
    <s v="Paung"/>
    <x v="3"/>
    <x v="0"/>
    <x v="0"/>
    <n v="0"/>
    <n v="0"/>
    <n v="0"/>
  </r>
  <r>
    <x v="0"/>
    <x v="0"/>
    <x v="0"/>
    <x v="11"/>
    <s v="Hpa-an"/>
    <x v="2"/>
    <x v="0"/>
    <x v="0"/>
    <n v="0"/>
    <n v="0"/>
    <n v="0"/>
  </r>
  <r>
    <x v="0"/>
    <x v="0"/>
    <x v="0"/>
    <x v="12"/>
    <s v="ThaHtone"/>
    <x v="1"/>
    <x v="0"/>
    <x v="0"/>
    <n v="0"/>
    <n v="0"/>
    <n v="0"/>
  </r>
  <r>
    <x v="0"/>
    <x v="0"/>
    <x v="0"/>
    <x v="13"/>
    <s v="ThaHtone"/>
    <x v="1"/>
    <x v="0"/>
    <x v="0"/>
    <n v="0"/>
    <n v="0"/>
    <n v="0"/>
  </r>
  <r>
    <x v="0"/>
    <x v="0"/>
    <x v="0"/>
    <x v="14"/>
    <s v="Belin"/>
    <x v="2"/>
    <x v="0"/>
    <x v="0"/>
    <n v="0"/>
    <n v="0"/>
    <n v="0"/>
  </r>
  <r>
    <x v="0"/>
    <x v="0"/>
    <x v="0"/>
    <x v="15"/>
    <s v="Belin"/>
    <x v="2"/>
    <x v="0"/>
    <x v="0"/>
    <n v="0"/>
    <n v="0"/>
    <n v="0"/>
  </r>
  <r>
    <x v="0"/>
    <x v="0"/>
    <x v="0"/>
    <x v="16"/>
    <s v="Belin"/>
    <x v="3"/>
    <x v="0"/>
    <x v="0"/>
    <n v="0"/>
    <n v="0"/>
    <n v="0"/>
  </r>
  <r>
    <x v="0"/>
    <x v="0"/>
    <x v="0"/>
    <x v="17"/>
    <s v="Paung"/>
    <x v="3"/>
    <x v="0"/>
    <x v="0"/>
    <n v="0"/>
    <n v="0"/>
    <n v="0"/>
  </r>
  <r>
    <x v="0"/>
    <x v="0"/>
    <x v="0"/>
    <x v="18"/>
    <s v="Paung"/>
    <x v="2"/>
    <x v="0"/>
    <x v="0"/>
    <n v="0"/>
    <n v="0"/>
    <n v="0"/>
  </r>
  <r>
    <x v="0"/>
    <x v="0"/>
    <x v="0"/>
    <x v="19"/>
    <s v="Mudon"/>
    <x v="3"/>
    <x v="0"/>
    <x v="0"/>
    <n v="0"/>
    <n v="0"/>
    <n v="0"/>
  </r>
  <r>
    <x v="0"/>
    <x v="0"/>
    <x v="0"/>
    <x v="20"/>
    <s v="Yay"/>
    <x v="3"/>
    <x v="0"/>
    <x v="0"/>
    <n v="0"/>
    <n v="0"/>
    <n v="0"/>
  </r>
  <r>
    <x v="1"/>
    <x v="0"/>
    <x v="0"/>
    <x v="6"/>
    <s v="Mudon"/>
    <x v="1"/>
    <x v="0"/>
    <x v="1"/>
    <n v="30"/>
    <n v="420"/>
    <n v="268.8"/>
  </r>
  <r>
    <x v="1"/>
    <x v="0"/>
    <x v="0"/>
    <x v="0"/>
    <s v="Maw La Myaing"/>
    <x v="0"/>
    <x v="0"/>
    <x v="2"/>
    <n v="60"/>
    <n v="1440"/>
    <n v="921.6"/>
  </r>
  <r>
    <x v="1"/>
    <x v="0"/>
    <x v="0"/>
    <x v="3"/>
    <s v="Yay"/>
    <x v="0"/>
    <x v="0"/>
    <x v="3"/>
    <n v="105"/>
    <n v="1470"/>
    <n v="940.80000000000007"/>
  </r>
  <r>
    <x v="1"/>
    <x v="0"/>
    <x v="0"/>
    <x v="3"/>
    <s v="Yay"/>
    <x v="0"/>
    <x v="0"/>
    <x v="4"/>
    <n v="100"/>
    <n v="1200"/>
    <n v="1200"/>
  </r>
  <r>
    <x v="1"/>
    <x v="0"/>
    <x v="0"/>
    <x v="3"/>
    <s v="Yay"/>
    <x v="0"/>
    <x v="0"/>
    <x v="3"/>
    <n v="100"/>
    <n v="1400"/>
    <n v="896"/>
  </r>
  <r>
    <x v="1"/>
    <x v="0"/>
    <x v="0"/>
    <x v="21"/>
    <s v="Maw La Myaing"/>
    <x v="3"/>
    <x v="2"/>
    <x v="3"/>
    <n v="5"/>
    <n v="70"/>
    <n v="44.800000000000004"/>
  </r>
  <r>
    <x v="1"/>
    <x v="0"/>
    <x v="0"/>
    <x v="21"/>
    <s v="Maw La Myaing"/>
    <x v="3"/>
    <x v="2"/>
    <x v="4"/>
    <n v="50"/>
    <n v="600"/>
    <n v="600"/>
  </r>
  <r>
    <x v="1"/>
    <x v="0"/>
    <x v="0"/>
    <x v="22"/>
    <s v="Yay"/>
    <x v="0"/>
    <x v="2"/>
    <x v="3"/>
    <n v="40"/>
    <n v="560"/>
    <n v="358.40000000000003"/>
  </r>
  <r>
    <x v="1"/>
    <x v="0"/>
    <x v="0"/>
    <x v="22"/>
    <s v="Yay"/>
    <x v="0"/>
    <x v="2"/>
    <x v="4"/>
    <n v="60"/>
    <n v="720"/>
    <n v="720"/>
  </r>
  <r>
    <x v="1"/>
    <x v="0"/>
    <x v="0"/>
    <x v="23"/>
    <s v="Mudon"/>
    <x v="3"/>
    <x v="2"/>
    <x v="1"/>
    <n v="25"/>
    <n v="350"/>
    <n v="224"/>
  </r>
  <r>
    <x v="1"/>
    <x v="0"/>
    <x v="0"/>
    <x v="24"/>
    <s v="Mudon"/>
    <x v="3"/>
    <x v="2"/>
    <x v="1"/>
    <n v="10"/>
    <n v="140"/>
    <n v="89.600000000000009"/>
  </r>
  <r>
    <x v="1"/>
    <x v="0"/>
    <x v="0"/>
    <x v="25"/>
    <s v="Maw La Myaing"/>
    <x v="3"/>
    <x v="2"/>
    <x v="5"/>
    <n v="5"/>
    <n v="60"/>
    <n v="60"/>
  </r>
  <r>
    <x v="2"/>
    <x v="0"/>
    <x v="0"/>
    <x v="5"/>
    <s v="Yay"/>
    <x v="0"/>
    <x v="0"/>
    <x v="4"/>
    <n v="150"/>
    <n v="1800"/>
    <n v="1800"/>
  </r>
  <r>
    <x v="2"/>
    <x v="0"/>
    <x v="0"/>
    <x v="26"/>
    <s v="Paung"/>
    <x v="3"/>
    <x v="2"/>
    <x v="1"/>
    <n v="10"/>
    <n v="140"/>
    <n v="89.600000000000009"/>
  </r>
  <r>
    <x v="2"/>
    <x v="0"/>
    <x v="0"/>
    <x v="27"/>
    <s v="Maw La Myaing"/>
    <x v="0"/>
    <x v="2"/>
    <x v="2"/>
    <n v="50"/>
    <n v="1200"/>
    <n v="768"/>
  </r>
  <r>
    <x v="2"/>
    <x v="0"/>
    <x v="0"/>
    <x v="20"/>
    <s v="Yay"/>
    <x v="3"/>
    <x v="2"/>
    <x v="4"/>
    <n v="30"/>
    <n v="360"/>
    <n v="360"/>
  </r>
  <r>
    <x v="3"/>
    <x v="0"/>
    <x v="0"/>
    <x v="3"/>
    <s v="Yay"/>
    <x v="0"/>
    <x v="0"/>
    <x v="3"/>
    <n v="240"/>
    <n v="3360"/>
    <n v="2150.4"/>
  </r>
  <r>
    <x v="3"/>
    <x v="0"/>
    <x v="0"/>
    <x v="3"/>
    <s v="Yay"/>
    <x v="0"/>
    <x v="0"/>
    <x v="4"/>
    <n v="150"/>
    <n v="1800"/>
    <n v="1800"/>
  </r>
  <r>
    <x v="3"/>
    <x v="0"/>
    <x v="0"/>
    <x v="28"/>
    <s v="Yay"/>
    <x v="0"/>
    <x v="0"/>
    <x v="3"/>
    <n v="100"/>
    <n v="1400"/>
    <n v="896"/>
  </r>
  <r>
    <x v="3"/>
    <x v="0"/>
    <x v="0"/>
    <x v="1"/>
    <s v="Yay"/>
    <x v="0"/>
    <x v="0"/>
    <x v="4"/>
    <n v="100"/>
    <n v="1200"/>
    <n v="1200"/>
  </r>
  <r>
    <x v="3"/>
    <x v="0"/>
    <x v="0"/>
    <x v="29"/>
    <s v="Maw La Myaing"/>
    <x v="0"/>
    <x v="2"/>
    <x v="6"/>
    <n v="20"/>
    <n v="280"/>
    <n v="179.20000000000002"/>
  </r>
  <r>
    <x v="3"/>
    <x v="0"/>
    <x v="0"/>
    <x v="29"/>
    <s v="Maw La Myaing"/>
    <x v="0"/>
    <x v="2"/>
    <x v="3"/>
    <n v="20"/>
    <n v="280"/>
    <n v="179.20000000000002"/>
  </r>
  <r>
    <x v="3"/>
    <x v="0"/>
    <x v="0"/>
    <x v="30"/>
    <s v="Yay"/>
    <x v="3"/>
    <x v="2"/>
    <x v="4"/>
    <n v="100"/>
    <n v="1200"/>
    <n v="1200"/>
  </r>
  <r>
    <x v="3"/>
    <x v="0"/>
    <x v="0"/>
    <x v="31"/>
    <s v="Maw La Myaing"/>
    <x v="3"/>
    <x v="2"/>
    <x v="5"/>
    <n v="10"/>
    <n v="120"/>
    <n v="120"/>
  </r>
  <r>
    <x v="3"/>
    <x v="0"/>
    <x v="0"/>
    <x v="32"/>
    <s v="Maw La Myaing"/>
    <x v="3"/>
    <x v="2"/>
    <x v="7"/>
    <n v="1"/>
    <n v="40"/>
    <n v="14"/>
  </r>
  <r>
    <x v="3"/>
    <x v="0"/>
    <x v="0"/>
    <x v="32"/>
    <s v="Maw La Myaing"/>
    <x v="3"/>
    <x v="2"/>
    <x v="8"/>
    <n v="1.5416666666666665"/>
    <n v="37"/>
    <n v="12.95"/>
  </r>
  <r>
    <x v="3"/>
    <x v="0"/>
    <x v="0"/>
    <x v="33"/>
    <s v="Thein Zayet"/>
    <x v="1"/>
    <x v="2"/>
    <x v="3"/>
    <n v="100"/>
    <n v="1400"/>
    <n v="896"/>
  </r>
  <r>
    <x v="3"/>
    <x v="0"/>
    <x v="0"/>
    <x v="33"/>
    <s v="Thein Zayet"/>
    <x v="1"/>
    <x v="2"/>
    <x v="4"/>
    <n v="125"/>
    <n v="1500"/>
    <n v="1500"/>
  </r>
  <r>
    <x v="4"/>
    <x v="0"/>
    <x v="0"/>
    <x v="3"/>
    <s v="Yay"/>
    <x v="0"/>
    <x v="0"/>
    <x v="3"/>
    <n v="100"/>
    <n v="1400"/>
    <n v="896"/>
  </r>
  <r>
    <x v="4"/>
    <x v="0"/>
    <x v="0"/>
    <x v="3"/>
    <s v="Yay"/>
    <x v="0"/>
    <x v="0"/>
    <x v="3"/>
    <n v="100"/>
    <n v="1400"/>
    <n v="896"/>
  </r>
  <r>
    <x v="4"/>
    <x v="0"/>
    <x v="0"/>
    <x v="3"/>
    <s v="Yay"/>
    <x v="0"/>
    <x v="0"/>
    <x v="4"/>
    <n v="100"/>
    <n v="1200"/>
    <n v="1200"/>
  </r>
  <r>
    <x v="4"/>
    <x v="0"/>
    <x v="0"/>
    <x v="0"/>
    <s v="Maw La Myaing"/>
    <x v="0"/>
    <x v="0"/>
    <x v="2"/>
    <n v="60"/>
    <n v="1440"/>
    <n v="921.6"/>
  </r>
  <r>
    <x v="4"/>
    <x v="0"/>
    <x v="0"/>
    <x v="29"/>
    <s v="Maw La Myaing"/>
    <x v="0"/>
    <x v="2"/>
    <x v="6"/>
    <n v="20"/>
    <n v="280"/>
    <n v="179.20000000000002"/>
  </r>
  <r>
    <x v="4"/>
    <x v="0"/>
    <x v="0"/>
    <x v="29"/>
    <s v="Maw La Myaing"/>
    <x v="0"/>
    <x v="2"/>
    <x v="9"/>
    <n v="20"/>
    <n v="280"/>
    <n v="179.20000000000002"/>
  </r>
  <r>
    <x v="4"/>
    <x v="0"/>
    <x v="0"/>
    <x v="0"/>
    <s v="Maw La Myaing"/>
    <x v="0"/>
    <x v="2"/>
    <x v="3"/>
    <n v="50"/>
    <n v="700"/>
    <n v="448"/>
  </r>
  <r>
    <x v="4"/>
    <x v="0"/>
    <x v="0"/>
    <x v="29"/>
    <s v="Maw La Myaing"/>
    <x v="0"/>
    <x v="2"/>
    <x v="4"/>
    <n v="20"/>
    <n v="240"/>
    <n v="240"/>
  </r>
  <r>
    <x v="4"/>
    <x v="0"/>
    <x v="0"/>
    <x v="34"/>
    <s v="Yay"/>
    <x v="3"/>
    <x v="2"/>
    <x v="4"/>
    <n v="50"/>
    <n v="600"/>
    <n v="600"/>
  </r>
  <r>
    <x v="4"/>
    <x v="0"/>
    <x v="0"/>
    <x v="35"/>
    <s v="Hpa-an"/>
    <x v="2"/>
    <x v="2"/>
    <x v="4"/>
    <n v="50"/>
    <n v="600"/>
    <n v="600"/>
  </r>
  <r>
    <x v="4"/>
    <x v="0"/>
    <x v="0"/>
    <x v="36"/>
    <s v="Hpa-an"/>
    <x v="1"/>
    <x v="2"/>
    <x v="5"/>
    <n v="30"/>
    <n v="360"/>
    <n v="360"/>
  </r>
  <r>
    <x v="4"/>
    <x v="0"/>
    <x v="0"/>
    <x v="36"/>
    <s v="Hpa-an"/>
    <x v="1"/>
    <x v="2"/>
    <x v="7"/>
    <n v="20"/>
    <n v="800"/>
    <n v="280"/>
  </r>
  <r>
    <x v="4"/>
    <x v="0"/>
    <x v="0"/>
    <x v="11"/>
    <s v="Hpa-an"/>
    <x v="2"/>
    <x v="2"/>
    <x v="5"/>
    <n v="70"/>
    <n v="840"/>
    <n v="840"/>
  </r>
  <r>
    <x v="4"/>
    <x v="0"/>
    <x v="0"/>
    <x v="37"/>
    <s v="Hpa-an"/>
    <x v="3"/>
    <x v="2"/>
    <x v="5"/>
    <n v="50"/>
    <n v="600"/>
    <n v="600"/>
  </r>
  <r>
    <x v="5"/>
    <x v="0"/>
    <x v="0"/>
    <x v="5"/>
    <s v="Yay"/>
    <x v="0"/>
    <x v="0"/>
    <x v="4"/>
    <n v="50"/>
    <n v="600"/>
    <n v="600"/>
  </r>
  <r>
    <x v="5"/>
    <x v="0"/>
    <x v="0"/>
    <x v="38"/>
    <s v="Maw La Myaing"/>
    <x v="1"/>
    <x v="2"/>
    <x v="6"/>
    <n v="10"/>
    <n v="140"/>
    <n v="89.600000000000009"/>
  </r>
  <r>
    <x v="5"/>
    <x v="0"/>
    <x v="0"/>
    <x v="39"/>
    <s v="Maw La Myaing"/>
    <x v="0"/>
    <x v="2"/>
    <x v="6"/>
    <n v="100"/>
    <n v="1400"/>
    <n v="896"/>
  </r>
  <r>
    <x v="5"/>
    <x v="0"/>
    <x v="0"/>
    <x v="39"/>
    <s v="Maw La Myaing"/>
    <x v="0"/>
    <x v="2"/>
    <x v="4"/>
    <n v="200"/>
    <n v="2400"/>
    <n v="2400"/>
  </r>
  <r>
    <x v="5"/>
    <x v="0"/>
    <x v="0"/>
    <x v="40"/>
    <s v="Mudon"/>
    <x v="2"/>
    <x v="2"/>
    <x v="1"/>
    <n v="50"/>
    <n v="700"/>
    <n v="448"/>
  </r>
  <r>
    <x v="5"/>
    <x v="0"/>
    <x v="0"/>
    <x v="41"/>
    <s v="Mudon"/>
    <x v="2"/>
    <x v="2"/>
    <x v="1"/>
    <n v="50"/>
    <n v="700"/>
    <n v="448"/>
  </r>
  <r>
    <x v="5"/>
    <x v="0"/>
    <x v="0"/>
    <x v="42"/>
    <s v="Mudon"/>
    <x v="2"/>
    <x v="2"/>
    <x v="1"/>
    <n v="49"/>
    <n v="686"/>
    <n v="439.04"/>
  </r>
  <r>
    <x v="5"/>
    <x v="0"/>
    <x v="0"/>
    <x v="34"/>
    <s v="Yay"/>
    <x v="3"/>
    <x v="2"/>
    <x v="4"/>
    <n v="50"/>
    <n v="600"/>
    <n v="600"/>
  </r>
  <r>
    <x v="6"/>
    <x v="0"/>
    <x v="0"/>
    <x v="3"/>
    <s v="Yay"/>
    <x v="0"/>
    <x v="0"/>
    <x v="3"/>
    <n v="100"/>
    <n v="1400"/>
    <n v="896"/>
  </r>
  <r>
    <x v="6"/>
    <x v="0"/>
    <x v="0"/>
    <x v="3"/>
    <s v="Yay"/>
    <x v="0"/>
    <x v="0"/>
    <x v="4"/>
    <n v="200"/>
    <n v="2400"/>
    <n v="2400"/>
  </r>
  <r>
    <x v="6"/>
    <x v="0"/>
    <x v="0"/>
    <x v="43"/>
    <s v="Maw La Myaing"/>
    <x v="3"/>
    <x v="2"/>
    <x v="6"/>
    <n v="25"/>
    <n v="350"/>
    <n v="224"/>
  </r>
  <r>
    <x v="6"/>
    <x v="0"/>
    <x v="0"/>
    <x v="29"/>
    <s v="Maw La Myaing"/>
    <x v="0"/>
    <x v="2"/>
    <x v="6"/>
    <n v="20"/>
    <n v="280"/>
    <n v="179.20000000000002"/>
  </r>
  <r>
    <x v="6"/>
    <x v="0"/>
    <x v="0"/>
    <x v="44"/>
    <s v="Belin"/>
    <x v="3"/>
    <x v="2"/>
    <x v="6"/>
    <n v="10"/>
    <n v="140"/>
    <n v="89.600000000000009"/>
  </r>
  <r>
    <x v="6"/>
    <x v="0"/>
    <x v="0"/>
    <x v="45"/>
    <s v="Maw La Myaing"/>
    <x v="3"/>
    <x v="2"/>
    <x v="6"/>
    <n v="10"/>
    <n v="140"/>
    <n v="89.600000000000009"/>
  </r>
  <r>
    <x v="6"/>
    <x v="0"/>
    <x v="0"/>
    <x v="46"/>
    <s v="Maw La Myaing"/>
    <x v="3"/>
    <x v="2"/>
    <x v="6"/>
    <n v="10"/>
    <n v="140"/>
    <n v="89.600000000000009"/>
  </r>
  <r>
    <x v="6"/>
    <x v="0"/>
    <x v="0"/>
    <x v="47"/>
    <s v="Maw La Myaing"/>
    <x v="0"/>
    <x v="2"/>
    <x v="6"/>
    <n v="100"/>
    <n v="1400"/>
    <n v="896"/>
  </r>
  <r>
    <x v="6"/>
    <x v="0"/>
    <x v="0"/>
    <x v="27"/>
    <s v="Maw La Myaing"/>
    <x v="0"/>
    <x v="2"/>
    <x v="6"/>
    <n v="20"/>
    <n v="280"/>
    <n v="179.20000000000002"/>
  </r>
  <r>
    <x v="6"/>
    <x v="0"/>
    <x v="0"/>
    <x v="27"/>
    <s v="Maw La Myaing"/>
    <x v="0"/>
    <x v="2"/>
    <x v="2"/>
    <n v="30"/>
    <n v="720"/>
    <n v="460.8"/>
  </r>
  <r>
    <x v="6"/>
    <x v="0"/>
    <x v="0"/>
    <x v="48"/>
    <s v="Maw La Myaing"/>
    <x v="3"/>
    <x v="2"/>
    <x v="4"/>
    <n v="50"/>
    <n v="600"/>
    <n v="600"/>
  </r>
  <r>
    <x v="7"/>
    <x v="0"/>
    <x v="0"/>
    <x v="3"/>
    <s v="Yay"/>
    <x v="0"/>
    <x v="0"/>
    <x v="3"/>
    <n v="200"/>
    <n v="2800"/>
    <n v="1792"/>
  </r>
  <r>
    <x v="7"/>
    <x v="0"/>
    <x v="0"/>
    <x v="1"/>
    <s v="Yay"/>
    <x v="0"/>
    <x v="0"/>
    <x v="3"/>
    <n v="200"/>
    <n v="2800"/>
    <n v="1792"/>
  </r>
  <r>
    <x v="7"/>
    <x v="0"/>
    <x v="0"/>
    <x v="1"/>
    <s v="Yay"/>
    <x v="0"/>
    <x v="0"/>
    <x v="4"/>
    <n v="100"/>
    <n v="1200"/>
    <n v="1200"/>
  </r>
  <r>
    <x v="7"/>
    <x v="0"/>
    <x v="0"/>
    <x v="47"/>
    <s v="Maw La Myaing"/>
    <x v="0"/>
    <x v="2"/>
    <x v="6"/>
    <n v="50"/>
    <n v="700"/>
    <n v="448"/>
  </r>
  <r>
    <x v="7"/>
    <x v="0"/>
    <x v="0"/>
    <x v="47"/>
    <s v="Maw La Myaing"/>
    <x v="0"/>
    <x v="2"/>
    <x v="3"/>
    <n v="50"/>
    <n v="700"/>
    <n v="448"/>
  </r>
  <r>
    <x v="7"/>
    <x v="0"/>
    <x v="0"/>
    <x v="47"/>
    <s v="Maw La Myaing"/>
    <x v="0"/>
    <x v="2"/>
    <x v="4"/>
    <n v="50"/>
    <n v="600"/>
    <n v="600"/>
  </r>
  <r>
    <x v="7"/>
    <x v="0"/>
    <x v="0"/>
    <x v="49"/>
    <s v="Yay"/>
    <x v="2"/>
    <x v="2"/>
    <x v="3"/>
    <n v="100"/>
    <n v="1400"/>
    <n v="896"/>
  </r>
  <r>
    <x v="7"/>
    <x v="0"/>
    <x v="0"/>
    <x v="50"/>
    <s v="Kyaikto"/>
    <x v="1"/>
    <x v="2"/>
    <x v="6"/>
    <n v="100"/>
    <n v="1200"/>
    <n v="840"/>
  </r>
  <r>
    <x v="7"/>
    <x v="0"/>
    <x v="0"/>
    <x v="1"/>
    <s v="Yay"/>
    <x v="0"/>
    <x v="2"/>
    <x v="4"/>
    <n v="100"/>
    <n v="1200"/>
    <n v="1200"/>
  </r>
  <r>
    <x v="7"/>
    <x v="0"/>
    <x v="0"/>
    <x v="31"/>
    <s v="Maw La Myaing"/>
    <x v="3"/>
    <x v="2"/>
    <x v="10"/>
    <n v="1"/>
    <n v="14"/>
    <n v="8.9600000000000009"/>
  </r>
  <r>
    <x v="7"/>
    <x v="0"/>
    <x v="0"/>
    <x v="51"/>
    <s v="Maw La Myaing"/>
    <x v="3"/>
    <x v="2"/>
    <x v="5"/>
    <n v="10"/>
    <n v="120"/>
    <n v="120"/>
  </r>
  <r>
    <x v="7"/>
    <x v="0"/>
    <x v="0"/>
    <x v="52"/>
    <s v="Maw La Myaing"/>
    <x v="3"/>
    <x v="2"/>
    <x v="6"/>
    <n v="0.25"/>
    <n v="3"/>
    <n v="2.0999999999999996"/>
  </r>
  <r>
    <x v="7"/>
    <x v="0"/>
    <x v="0"/>
    <x v="52"/>
    <s v="Maw La Myaing"/>
    <x v="3"/>
    <x v="2"/>
    <x v="11"/>
    <n v="8.3333333333333329E-2"/>
    <n v="1"/>
    <n v="1"/>
  </r>
  <r>
    <x v="7"/>
    <x v="0"/>
    <x v="0"/>
    <x v="52"/>
    <s v="Maw La Myaing"/>
    <x v="3"/>
    <x v="2"/>
    <x v="12"/>
    <n v="8.3333333333333329E-2"/>
    <n v="1"/>
    <n v="1"/>
  </r>
  <r>
    <x v="7"/>
    <x v="0"/>
    <x v="0"/>
    <x v="52"/>
    <s v="Maw La Myaing"/>
    <x v="3"/>
    <x v="2"/>
    <x v="12"/>
    <n v="8.3333333333333329E-2"/>
    <n v="1"/>
    <n v="1"/>
  </r>
  <r>
    <x v="7"/>
    <x v="0"/>
    <x v="0"/>
    <x v="53"/>
    <s v="Maw La Myaing"/>
    <x v="3"/>
    <x v="2"/>
    <x v="11"/>
    <n v="0.41666666666666669"/>
    <n v="5"/>
    <n v="5"/>
  </r>
  <r>
    <x v="7"/>
    <x v="0"/>
    <x v="0"/>
    <x v="53"/>
    <s v="Maw La Myaing"/>
    <x v="3"/>
    <x v="2"/>
    <x v="12"/>
    <n v="0.41666666666666669"/>
    <n v="5"/>
    <n v="5"/>
  </r>
  <r>
    <x v="7"/>
    <x v="0"/>
    <x v="0"/>
    <x v="53"/>
    <s v="Maw La Myaing"/>
    <x v="3"/>
    <x v="2"/>
    <x v="12"/>
    <n v="0.41666666666666669"/>
    <n v="5"/>
    <n v="5"/>
  </r>
  <r>
    <x v="7"/>
    <x v="0"/>
    <x v="0"/>
    <x v="53"/>
    <s v="Maw La Myaing"/>
    <x v="3"/>
    <x v="3"/>
    <x v="12"/>
    <n v="8.3333333333333329E-2"/>
    <n v="1"/>
    <n v="1"/>
  </r>
  <r>
    <x v="7"/>
    <x v="0"/>
    <x v="0"/>
    <x v="31"/>
    <s v="Maw La Myaing"/>
    <x v="3"/>
    <x v="2"/>
    <x v="11"/>
    <n v="1"/>
    <n v="12"/>
    <n v="12"/>
  </r>
  <r>
    <x v="7"/>
    <x v="0"/>
    <x v="0"/>
    <x v="31"/>
    <s v="Maw La Myaing"/>
    <x v="3"/>
    <x v="2"/>
    <x v="12"/>
    <n v="0.25"/>
    <n v="3"/>
    <n v="3"/>
  </r>
  <r>
    <x v="7"/>
    <x v="0"/>
    <x v="0"/>
    <x v="31"/>
    <s v="Maw La Myaing"/>
    <x v="3"/>
    <x v="2"/>
    <x v="12"/>
    <n v="0.25"/>
    <n v="3"/>
    <n v="3"/>
  </r>
  <r>
    <x v="7"/>
    <x v="0"/>
    <x v="0"/>
    <x v="31"/>
    <s v="Maw La Myaing"/>
    <x v="3"/>
    <x v="3"/>
    <x v="12"/>
    <n v="8.3333333333333329E-2"/>
    <n v="1"/>
    <n v="1"/>
  </r>
  <r>
    <x v="7"/>
    <x v="0"/>
    <x v="0"/>
    <x v="54"/>
    <s v="Maw La Myaing"/>
    <x v="3"/>
    <x v="2"/>
    <x v="11"/>
    <n v="2"/>
    <n v="24"/>
    <n v="24"/>
  </r>
  <r>
    <x v="7"/>
    <x v="0"/>
    <x v="0"/>
    <x v="54"/>
    <s v="Maw La Myaing"/>
    <x v="3"/>
    <x v="3"/>
    <x v="11"/>
    <n v="8.3333333333333329E-2"/>
    <n v="1"/>
    <n v="1"/>
  </r>
  <r>
    <x v="7"/>
    <x v="0"/>
    <x v="0"/>
    <x v="54"/>
    <s v="Maw La Myaing"/>
    <x v="3"/>
    <x v="3"/>
    <x v="12"/>
    <n v="8.3333333333333329E-2"/>
    <n v="1"/>
    <n v="1"/>
  </r>
  <r>
    <x v="7"/>
    <x v="0"/>
    <x v="0"/>
    <x v="51"/>
    <s v="Maw La Myaing"/>
    <x v="3"/>
    <x v="2"/>
    <x v="11"/>
    <n v="1"/>
    <n v="12"/>
    <n v="12"/>
  </r>
  <r>
    <x v="7"/>
    <x v="0"/>
    <x v="0"/>
    <x v="55"/>
    <s v="Maw La Myaing"/>
    <x v="3"/>
    <x v="2"/>
    <x v="11"/>
    <n v="0.25"/>
    <n v="3"/>
    <n v="3"/>
  </r>
  <r>
    <x v="7"/>
    <x v="0"/>
    <x v="0"/>
    <x v="56"/>
    <s v="Maw La Myaing"/>
    <x v="3"/>
    <x v="2"/>
    <x v="11"/>
    <n v="8.3333333333333329E-2"/>
    <n v="1"/>
    <n v="1"/>
  </r>
  <r>
    <x v="7"/>
    <x v="0"/>
    <x v="0"/>
    <x v="56"/>
    <s v="Maw La Myaing"/>
    <x v="3"/>
    <x v="2"/>
    <x v="12"/>
    <n v="8.3333333333333329E-2"/>
    <n v="1"/>
    <n v="1"/>
  </r>
  <r>
    <x v="7"/>
    <x v="0"/>
    <x v="0"/>
    <x v="56"/>
    <s v="Maw La Myaing"/>
    <x v="3"/>
    <x v="2"/>
    <x v="12"/>
    <n v="8.3333333333333329E-2"/>
    <n v="1"/>
    <n v="1"/>
  </r>
  <r>
    <x v="7"/>
    <x v="0"/>
    <x v="0"/>
    <x v="57"/>
    <s v="Maw La Myaing"/>
    <x v="3"/>
    <x v="2"/>
    <x v="11"/>
    <n v="8.3333333333333329E-2"/>
    <n v="1"/>
    <n v="1"/>
  </r>
  <r>
    <x v="7"/>
    <x v="0"/>
    <x v="0"/>
    <x v="57"/>
    <s v="Maw La Myaing"/>
    <x v="3"/>
    <x v="2"/>
    <x v="12"/>
    <n v="8.3333333333333329E-2"/>
    <n v="1"/>
    <n v="1"/>
  </r>
  <r>
    <x v="7"/>
    <x v="0"/>
    <x v="0"/>
    <x v="57"/>
    <s v="Maw La Myaing"/>
    <x v="3"/>
    <x v="2"/>
    <x v="12"/>
    <n v="8.3333333333333329E-2"/>
    <n v="1"/>
    <n v="1"/>
  </r>
  <r>
    <x v="7"/>
    <x v="0"/>
    <x v="0"/>
    <x v="58"/>
    <s v="Maw La Myaing"/>
    <x v="3"/>
    <x v="2"/>
    <x v="12"/>
    <n v="1"/>
    <n v="12"/>
    <n v="12"/>
  </r>
  <r>
    <x v="7"/>
    <x v="0"/>
    <x v="0"/>
    <x v="59"/>
    <s v="Maw La Myaing"/>
    <x v="3"/>
    <x v="2"/>
    <x v="12"/>
    <n v="0.25"/>
    <n v="3"/>
    <n v="3"/>
  </r>
  <r>
    <x v="7"/>
    <x v="0"/>
    <x v="0"/>
    <x v="59"/>
    <s v="Maw La Myaing"/>
    <x v="3"/>
    <x v="2"/>
    <x v="12"/>
    <n v="0.25"/>
    <n v="3"/>
    <n v="3"/>
  </r>
  <r>
    <x v="7"/>
    <x v="0"/>
    <x v="0"/>
    <x v="60"/>
    <s v="Maw La Myaing"/>
    <x v="3"/>
    <x v="2"/>
    <x v="12"/>
    <n v="1"/>
    <n v="12"/>
    <n v="12"/>
  </r>
  <r>
    <x v="7"/>
    <x v="0"/>
    <x v="0"/>
    <x v="60"/>
    <s v="Maw La Myaing"/>
    <x v="3"/>
    <x v="2"/>
    <x v="12"/>
    <n v="0.16666666666666666"/>
    <n v="2"/>
    <n v="2"/>
  </r>
  <r>
    <x v="7"/>
    <x v="0"/>
    <x v="0"/>
    <x v="27"/>
    <s v="Maw La Myaing"/>
    <x v="0"/>
    <x v="2"/>
    <x v="12"/>
    <n v="1"/>
    <n v="12"/>
    <n v="12"/>
  </r>
  <r>
    <x v="7"/>
    <x v="0"/>
    <x v="0"/>
    <x v="27"/>
    <s v="Maw La Myaing"/>
    <x v="0"/>
    <x v="3"/>
    <x v="12"/>
    <n v="8.3333333333333329E-2"/>
    <n v="1"/>
    <n v="1"/>
  </r>
  <r>
    <x v="7"/>
    <x v="0"/>
    <x v="0"/>
    <x v="27"/>
    <s v="Maw La Myaing"/>
    <x v="0"/>
    <x v="2"/>
    <x v="12"/>
    <n v="1"/>
    <n v="12"/>
    <n v="12"/>
  </r>
  <r>
    <x v="8"/>
    <x v="0"/>
    <x v="0"/>
    <x v="61"/>
    <s v="Maw La Myaing"/>
    <x v="3"/>
    <x v="2"/>
    <x v="6"/>
    <n v="3"/>
    <n v="42"/>
    <n v="26.88"/>
  </r>
  <r>
    <x v="8"/>
    <x v="0"/>
    <x v="0"/>
    <x v="61"/>
    <s v="Maw La Myaing"/>
    <x v="3"/>
    <x v="2"/>
    <x v="5"/>
    <n v="10"/>
    <n v="120"/>
    <n v="120"/>
  </r>
  <r>
    <x v="8"/>
    <x v="0"/>
    <x v="0"/>
    <x v="62"/>
    <s v="Maw La Myaing"/>
    <x v="2"/>
    <x v="2"/>
    <x v="6"/>
    <n v="25"/>
    <n v="350"/>
    <n v="224"/>
  </r>
  <r>
    <x v="8"/>
    <x v="0"/>
    <x v="0"/>
    <x v="62"/>
    <s v="Maw La Myaing"/>
    <x v="2"/>
    <x v="2"/>
    <x v="5"/>
    <n v="10"/>
    <n v="120"/>
    <n v="120"/>
  </r>
  <r>
    <x v="8"/>
    <x v="0"/>
    <x v="0"/>
    <x v="26"/>
    <s v="Paung"/>
    <x v="3"/>
    <x v="2"/>
    <x v="6"/>
    <n v="5"/>
    <n v="70"/>
    <n v="44.800000000000004"/>
  </r>
  <r>
    <x v="8"/>
    <x v="0"/>
    <x v="0"/>
    <x v="26"/>
    <s v="Paung"/>
    <x v="3"/>
    <x v="2"/>
    <x v="1"/>
    <n v="10"/>
    <n v="140"/>
    <n v="89.600000000000009"/>
  </r>
  <r>
    <x v="8"/>
    <x v="0"/>
    <x v="0"/>
    <x v="26"/>
    <s v="Paung"/>
    <x v="3"/>
    <x v="2"/>
    <x v="10"/>
    <n v="5"/>
    <n v="70"/>
    <n v="44.800000000000004"/>
  </r>
  <r>
    <x v="8"/>
    <x v="0"/>
    <x v="0"/>
    <x v="22"/>
    <s v="Yay"/>
    <x v="0"/>
    <x v="2"/>
    <x v="3"/>
    <n v="40"/>
    <n v="560"/>
    <n v="358.40000000000003"/>
  </r>
  <r>
    <x v="8"/>
    <x v="0"/>
    <x v="0"/>
    <x v="22"/>
    <s v="Yay"/>
    <x v="0"/>
    <x v="2"/>
    <x v="4"/>
    <n v="60"/>
    <n v="720"/>
    <n v="720"/>
  </r>
  <r>
    <x v="8"/>
    <x v="0"/>
    <x v="0"/>
    <x v="27"/>
    <s v="Maw La Myaing"/>
    <x v="0"/>
    <x v="2"/>
    <x v="2"/>
    <n v="30"/>
    <n v="720"/>
    <n v="460.8"/>
  </r>
  <r>
    <x v="8"/>
    <x v="0"/>
    <x v="0"/>
    <x v="3"/>
    <s v="Yay"/>
    <x v="0"/>
    <x v="0"/>
    <x v="4"/>
    <n v="100"/>
    <n v="1200"/>
    <n v="1200"/>
  </r>
  <r>
    <x v="8"/>
    <x v="0"/>
    <x v="0"/>
    <x v="63"/>
    <s v="Maw La Myaing"/>
    <x v="3"/>
    <x v="2"/>
    <x v="6"/>
    <n v="10"/>
    <n v="140"/>
    <n v="89.600000000000009"/>
  </r>
  <r>
    <x v="8"/>
    <x v="0"/>
    <x v="0"/>
    <x v="64"/>
    <s v="Maw La Myaing"/>
    <x v="3"/>
    <x v="2"/>
    <x v="12"/>
    <n v="1"/>
    <n v="12"/>
    <n v="12"/>
  </r>
  <r>
    <x v="8"/>
    <x v="0"/>
    <x v="0"/>
    <x v="64"/>
    <s v="Maw La Myaing"/>
    <x v="3"/>
    <x v="2"/>
    <x v="12"/>
    <n v="1"/>
    <n v="12"/>
    <n v="12"/>
  </r>
  <r>
    <x v="8"/>
    <x v="0"/>
    <x v="0"/>
    <x v="64"/>
    <s v="Maw La Myaing"/>
    <x v="3"/>
    <x v="3"/>
    <x v="12"/>
    <n v="8.3333333333333329E-2"/>
    <n v="1"/>
    <n v="1"/>
  </r>
  <r>
    <x v="8"/>
    <x v="0"/>
    <x v="0"/>
    <x v="64"/>
    <s v="Maw La Myaing"/>
    <x v="3"/>
    <x v="3"/>
    <x v="12"/>
    <n v="8.3333333333333329E-2"/>
    <n v="1"/>
    <n v="1"/>
  </r>
  <r>
    <x v="8"/>
    <x v="0"/>
    <x v="0"/>
    <x v="65"/>
    <s v="Maw La Myaing"/>
    <x v="3"/>
    <x v="2"/>
    <x v="12"/>
    <n v="0.16666666666666666"/>
    <n v="2"/>
    <n v="2"/>
  </r>
  <r>
    <x v="8"/>
    <x v="0"/>
    <x v="0"/>
    <x v="65"/>
    <s v="Maw La Myaing"/>
    <x v="3"/>
    <x v="2"/>
    <x v="12"/>
    <n v="0.16666666666666666"/>
    <n v="2"/>
    <n v="2"/>
  </r>
  <r>
    <x v="8"/>
    <x v="0"/>
    <x v="0"/>
    <x v="66"/>
    <s v="Maw La Myaing"/>
    <x v="3"/>
    <x v="2"/>
    <x v="11"/>
    <n v="8.3333333333333329E-2"/>
    <n v="1"/>
    <n v="1"/>
  </r>
  <r>
    <x v="8"/>
    <x v="0"/>
    <x v="0"/>
    <x v="66"/>
    <s v="Maw La Myaing"/>
    <x v="3"/>
    <x v="2"/>
    <x v="12"/>
    <n v="8.3333333333333329E-2"/>
    <n v="1"/>
    <n v="1"/>
  </r>
  <r>
    <x v="8"/>
    <x v="0"/>
    <x v="0"/>
    <x v="66"/>
    <s v="Maw La Myaing"/>
    <x v="3"/>
    <x v="2"/>
    <x v="12"/>
    <n v="8.3333333333333329E-2"/>
    <n v="1"/>
    <n v="1"/>
  </r>
  <r>
    <x v="8"/>
    <x v="0"/>
    <x v="0"/>
    <x v="67"/>
    <s v="Maw La Myaing"/>
    <x v="3"/>
    <x v="2"/>
    <x v="10"/>
    <n v="0.5"/>
    <n v="7"/>
    <n v="4.4800000000000004"/>
  </r>
  <r>
    <x v="9"/>
    <x v="0"/>
    <x v="0"/>
    <x v="3"/>
    <s v="Yay"/>
    <x v="0"/>
    <x v="0"/>
    <x v="3"/>
    <n v="200"/>
    <n v="2800"/>
    <n v="1792"/>
  </r>
  <r>
    <x v="9"/>
    <x v="0"/>
    <x v="0"/>
    <x v="2"/>
    <s v="Yay"/>
    <x v="0"/>
    <x v="0"/>
    <x v="3"/>
    <n v="200"/>
    <n v="2800"/>
    <n v="1792"/>
  </r>
  <r>
    <x v="9"/>
    <x v="0"/>
    <x v="0"/>
    <x v="1"/>
    <s v="Yay"/>
    <x v="0"/>
    <x v="0"/>
    <x v="3"/>
    <n v="300"/>
    <n v="4200"/>
    <n v="2688"/>
  </r>
  <r>
    <x v="9"/>
    <x v="0"/>
    <x v="0"/>
    <x v="3"/>
    <s v="Yay"/>
    <x v="0"/>
    <x v="0"/>
    <x v="3"/>
    <n v="100"/>
    <n v="1400"/>
    <n v="896"/>
  </r>
  <r>
    <x v="9"/>
    <x v="0"/>
    <x v="0"/>
    <x v="3"/>
    <s v="Yay"/>
    <x v="0"/>
    <x v="0"/>
    <x v="4"/>
    <n v="200"/>
    <n v="2400"/>
    <n v="2400"/>
  </r>
  <r>
    <x v="9"/>
    <x v="0"/>
    <x v="0"/>
    <x v="1"/>
    <s v="Yay"/>
    <x v="0"/>
    <x v="0"/>
    <x v="4"/>
    <n v="100"/>
    <n v="1200"/>
    <n v="1200"/>
  </r>
  <r>
    <x v="9"/>
    <x v="0"/>
    <x v="0"/>
    <x v="5"/>
    <s v="Yay"/>
    <x v="0"/>
    <x v="0"/>
    <x v="4"/>
    <n v="50"/>
    <n v="600"/>
    <n v="600"/>
  </r>
  <r>
    <x v="9"/>
    <x v="0"/>
    <x v="0"/>
    <x v="9"/>
    <s v="Mudon"/>
    <x v="2"/>
    <x v="0"/>
    <x v="1"/>
    <n v="50"/>
    <n v="700"/>
    <n v="448"/>
  </r>
  <r>
    <x v="9"/>
    <x v="0"/>
    <x v="0"/>
    <x v="29"/>
    <s v="Maw La Myaing"/>
    <x v="0"/>
    <x v="2"/>
    <x v="6"/>
    <n v="20"/>
    <n v="280"/>
    <n v="179.20000000000002"/>
  </r>
  <r>
    <x v="9"/>
    <x v="0"/>
    <x v="0"/>
    <x v="29"/>
    <s v="Maw La Myaing"/>
    <x v="0"/>
    <x v="2"/>
    <x v="4"/>
    <n v="30"/>
    <n v="360"/>
    <n v="360"/>
  </r>
  <r>
    <x v="9"/>
    <x v="0"/>
    <x v="0"/>
    <x v="68"/>
    <s v="Maw La Myaing"/>
    <x v="1"/>
    <x v="2"/>
    <x v="6"/>
    <n v="10"/>
    <n v="140"/>
    <n v="89.600000000000009"/>
  </r>
  <r>
    <x v="9"/>
    <x v="0"/>
    <x v="0"/>
    <x v="0"/>
    <s v="Maw La Myaing"/>
    <x v="0"/>
    <x v="2"/>
    <x v="3"/>
    <n v="50"/>
    <n v="700"/>
    <n v="448"/>
  </r>
  <r>
    <x v="9"/>
    <x v="0"/>
    <x v="0"/>
    <x v="40"/>
    <s v="Mudon"/>
    <x v="2"/>
    <x v="2"/>
    <x v="1"/>
    <n v="50"/>
    <n v="700"/>
    <n v="448"/>
  </r>
  <r>
    <x v="9"/>
    <x v="0"/>
    <x v="0"/>
    <x v="69"/>
    <s v="Mudon"/>
    <x v="1"/>
    <x v="2"/>
    <x v="1"/>
    <n v="25"/>
    <n v="350"/>
    <n v="224"/>
  </r>
  <r>
    <x v="9"/>
    <x v="0"/>
    <x v="0"/>
    <x v="70"/>
    <s v="Maw La Myaing"/>
    <x v="3"/>
    <x v="2"/>
    <x v="11"/>
    <n v="0.25"/>
    <n v="3"/>
    <n v="3"/>
  </r>
  <r>
    <x v="9"/>
    <x v="0"/>
    <x v="0"/>
    <x v="70"/>
    <s v="Maw La Myaing"/>
    <x v="3"/>
    <x v="2"/>
    <x v="12"/>
    <n v="0.25"/>
    <n v="3"/>
    <n v="3"/>
  </r>
  <r>
    <x v="9"/>
    <x v="0"/>
    <x v="0"/>
    <x v="70"/>
    <s v="Maw La Myaing"/>
    <x v="3"/>
    <x v="2"/>
    <x v="12"/>
    <n v="0.25"/>
    <n v="3"/>
    <n v="3"/>
  </r>
  <r>
    <x v="9"/>
    <x v="0"/>
    <x v="0"/>
    <x v="47"/>
    <s v="Maw La Myaing"/>
    <x v="0"/>
    <x v="3"/>
    <x v="11"/>
    <n v="8.3333333333333329E-2"/>
    <n v="1"/>
    <n v="1"/>
  </r>
  <r>
    <x v="9"/>
    <x v="0"/>
    <x v="0"/>
    <x v="47"/>
    <s v="Maw La Myaing"/>
    <x v="0"/>
    <x v="3"/>
    <x v="12"/>
    <n v="8.3333333333333329E-2"/>
    <n v="1"/>
    <n v="1"/>
  </r>
  <r>
    <x v="9"/>
    <x v="0"/>
    <x v="0"/>
    <x v="47"/>
    <s v="Maw La Myaing"/>
    <x v="0"/>
    <x v="3"/>
    <x v="12"/>
    <n v="8.3333333333333329E-2"/>
    <n v="1"/>
    <n v="1"/>
  </r>
  <r>
    <x v="9"/>
    <x v="0"/>
    <x v="0"/>
    <x v="29"/>
    <s v="Maw La Myaing"/>
    <x v="0"/>
    <x v="3"/>
    <x v="11"/>
    <n v="8.3333333333333329E-2"/>
    <n v="1"/>
    <n v="1"/>
  </r>
  <r>
    <x v="9"/>
    <x v="0"/>
    <x v="0"/>
    <x v="29"/>
    <s v="Maw La Myaing"/>
    <x v="0"/>
    <x v="3"/>
    <x v="12"/>
    <n v="8.3333333333333329E-2"/>
    <n v="1"/>
    <n v="1"/>
  </r>
  <r>
    <x v="9"/>
    <x v="0"/>
    <x v="0"/>
    <x v="29"/>
    <s v="Maw La Myaing"/>
    <x v="0"/>
    <x v="3"/>
    <x v="12"/>
    <n v="8.3333333333333329E-2"/>
    <n v="1"/>
    <n v="1"/>
  </r>
  <r>
    <x v="9"/>
    <x v="0"/>
    <x v="0"/>
    <x v="39"/>
    <s v="Maw La Myaing"/>
    <x v="0"/>
    <x v="3"/>
    <x v="11"/>
    <n v="8.3333333333333329E-2"/>
    <n v="1"/>
    <n v="1"/>
  </r>
  <r>
    <x v="9"/>
    <x v="0"/>
    <x v="0"/>
    <x v="39"/>
    <s v="Maw La Myaing"/>
    <x v="0"/>
    <x v="3"/>
    <x v="12"/>
    <n v="8.3333333333333329E-2"/>
    <n v="1"/>
    <n v="1"/>
  </r>
  <r>
    <x v="9"/>
    <x v="0"/>
    <x v="0"/>
    <x v="39"/>
    <s v="Maw La Myaing"/>
    <x v="0"/>
    <x v="3"/>
    <x v="12"/>
    <n v="8.3333333333333329E-2"/>
    <n v="1"/>
    <n v="1"/>
  </r>
  <r>
    <x v="9"/>
    <x v="0"/>
    <x v="0"/>
    <x v="71"/>
    <s v="Maw La Myaing"/>
    <x v="1"/>
    <x v="3"/>
    <x v="11"/>
    <n v="8.3333333333333329E-2"/>
    <n v="1"/>
    <n v="1"/>
  </r>
  <r>
    <x v="9"/>
    <x v="0"/>
    <x v="0"/>
    <x v="71"/>
    <s v="Maw La Myaing"/>
    <x v="1"/>
    <x v="3"/>
    <x v="12"/>
    <n v="8.3333333333333329E-2"/>
    <n v="1"/>
    <n v="1"/>
  </r>
  <r>
    <x v="9"/>
    <x v="0"/>
    <x v="0"/>
    <x v="71"/>
    <s v="Maw La Myaing"/>
    <x v="1"/>
    <x v="3"/>
    <x v="12"/>
    <n v="8.3333333333333329E-2"/>
    <n v="1"/>
    <n v="1"/>
  </r>
  <r>
    <x v="10"/>
    <x v="0"/>
    <x v="0"/>
    <x v="3"/>
    <s v="Yay"/>
    <x v="0"/>
    <x v="0"/>
    <x v="3"/>
    <n v="100"/>
    <n v="1400"/>
    <n v="896"/>
  </r>
  <r>
    <x v="10"/>
    <x v="0"/>
    <x v="0"/>
    <x v="3"/>
    <s v="Yay"/>
    <x v="0"/>
    <x v="0"/>
    <x v="3"/>
    <n v="50"/>
    <n v="700"/>
    <n v="448"/>
  </r>
  <r>
    <x v="10"/>
    <x v="0"/>
    <x v="0"/>
    <x v="3"/>
    <s v="Yay"/>
    <x v="0"/>
    <x v="0"/>
    <x v="4"/>
    <n v="150"/>
    <n v="1800"/>
    <n v="1800"/>
  </r>
  <r>
    <x v="10"/>
    <x v="0"/>
    <x v="0"/>
    <x v="18"/>
    <s v="Paung"/>
    <x v="2"/>
    <x v="2"/>
    <x v="6"/>
    <n v="100"/>
    <n v="1400"/>
    <n v="896"/>
  </r>
  <r>
    <x v="10"/>
    <x v="0"/>
    <x v="0"/>
    <x v="39"/>
    <s v="Maw La Myaing"/>
    <x v="0"/>
    <x v="2"/>
    <x v="6"/>
    <n v="100"/>
    <n v="1400"/>
    <n v="896"/>
  </r>
  <r>
    <x v="10"/>
    <x v="0"/>
    <x v="0"/>
    <x v="39"/>
    <s v="Maw La Myaing"/>
    <x v="0"/>
    <x v="2"/>
    <x v="4"/>
    <n v="100"/>
    <n v="1200"/>
    <n v="1200"/>
  </r>
  <r>
    <x v="10"/>
    <x v="0"/>
    <x v="0"/>
    <x v="72"/>
    <s v="Yay"/>
    <x v="2"/>
    <x v="2"/>
    <x v="3"/>
    <n v="20"/>
    <n v="280"/>
    <n v="179.20000000000002"/>
  </r>
  <r>
    <x v="10"/>
    <x v="0"/>
    <x v="0"/>
    <x v="72"/>
    <s v="Yay"/>
    <x v="2"/>
    <x v="2"/>
    <x v="4"/>
    <n v="30"/>
    <n v="360"/>
    <n v="360"/>
  </r>
  <r>
    <x v="10"/>
    <x v="0"/>
    <x v="0"/>
    <x v="34"/>
    <s v="Yay"/>
    <x v="3"/>
    <x v="2"/>
    <x v="4"/>
    <n v="50"/>
    <n v="600"/>
    <n v="600"/>
  </r>
  <r>
    <x v="10"/>
    <x v="0"/>
    <x v="0"/>
    <x v="48"/>
    <s v="Maw La Myaing"/>
    <x v="3"/>
    <x v="2"/>
    <x v="9"/>
    <n v="50"/>
    <n v="700"/>
    <n v="448"/>
  </r>
  <r>
    <x v="10"/>
    <x v="0"/>
    <x v="0"/>
    <x v="73"/>
    <s v="Paung"/>
    <x v="3"/>
    <x v="2"/>
    <x v="5"/>
    <n v="10"/>
    <n v="120"/>
    <n v="120"/>
  </r>
  <r>
    <x v="10"/>
    <x v="0"/>
    <x v="0"/>
    <x v="27"/>
    <s v="Maw La Myaing"/>
    <x v="0"/>
    <x v="2"/>
    <x v="2"/>
    <n v="40"/>
    <n v="960"/>
    <n v="614.4"/>
  </r>
  <r>
    <x v="10"/>
    <x v="0"/>
    <x v="0"/>
    <x v="27"/>
    <s v="Maw La Myaing"/>
    <x v="0"/>
    <x v="2"/>
    <x v="10"/>
    <n v="10"/>
    <n v="140"/>
    <n v="89.600000000000009"/>
  </r>
  <r>
    <x v="10"/>
    <x v="0"/>
    <x v="0"/>
    <x v="74"/>
    <s v="Chang Sone"/>
    <x v="3"/>
    <x v="2"/>
    <x v="6"/>
    <n v="5"/>
    <n v="70"/>
    <n v="44.800000000000004"/>
  </r>
  <r>
    <x v="10"/>
    <x v="0"/>
    <x v="0"/>
    <x v="75"/>
    <s v="Chang Sone"/>
    <x v="3"/>
    <x v="2"/>
    <x v="3"/>
    <n v="50"/>
    <n v="700"/>
    <n v="448"/>
  </r>
  <r>
    <x v="10"/>
    <x v="0"/>
    <x v="0"/>
    <x v="76"/>
    <s v="Chang Sone"/>
    <x v="3"/>
    <x v="2"/>
    <x v="9"/>
    <n v="5"/>
    <n v="70"/>
    <n v="44.800000000000004"/>
  </r>
  <r>
    <x v="11"/>
    <x v="0"/>
    <x v="0"/>
    <x v="3"/>
    <s v="Yay"/>
    <x v="0"/>
    <x v="0"/>
    <x v="3"/>
    <n v="100"/>
    <n v="1400"/>
    <n v="896"/>
  </r>
  <r>
    <x v="11"/>
    <x v="0"/>
    <x v="0"/>
    <x v="3"/>
    <s v="Yay"/>
    <x v="0"/>
    <x v="0"/>
    <x v="3"/>
    <n v="100"/>
    <n v="1400"/>
    <n v="896"/>
  </r>
  <r>
    <x v="11"/>
    <x v="0"/>
    <x v="0"/>
    <x v="3"/>
    <s v="Yay"/>
    <x v="0"/>
    <x v="0"/>
    <x v="4"/>
    <n v="100"/>
    <n v="1200"/>
    <n v="1200"/>
  </r>
  <r>
    <x v="11"/>
    <x v="0"/>
    <x v="0"/>
    <x v="5"/>
    <s v="Yay"/>
    <x v="0"/>
    <x v="0"/>
    <x v="4"/>
    <n v="100"/>
    <n v="1200"/>
    <n v="1200"/>
  </r>
  <r>
    <x v="11"/>
    <x v="0"/>
    <x v="0"/>
    <x v="0"/>
    <s v="Maw La Myaing"/>
    <x v="0"/>
    <x v="2"/>
    <x v="3"/>
    <n v="50"/>
    <n v="700"/>
    <n v="448"/>
  </r>
  <r>
    <x v="11"/>
    <x v="0"/>
    <x v="0"/>
    <x v="77"/>
    <s v="Hpa-an"/>
    <x v="2"/>
    <x v="2"/>
    <x v="13"/>
    <n v="200"/>
    <n v="2800"/>
    <n v="1792"/>
  </r>
  <r>
    <x v="11"/>
    <x v="0"/>
    <x v="0"/>
    <x v="77"/>
    <s v="Hpa-an"/>
    <x v="2"/>
    <x v="0"/>
    <x v="14"/>
    <n v="4"/>
    <n v="56"/>
    <n v="35.840000000000003"/>
  </r>
  <r>
    <x v="11"/>
    <x v="0"/>
    <x v="0"/>
    <x v="78"/>
    <s v="Maw La Myaing"/>
    <x v="3"/>
    <x v="2"/>
    <x v="6"/>
    <n v="3"/>
    <n v="42"/>
    <n v="26.88"/>
  </r>
  <r>
    <x v="11"/>
    <x v="0"/>
    <x v="0"/>
    <x v="38"/>
    <s v="Maw La Myaing"/>
    <x v="1"/>
    <x v="2"/>
    <x v="6"/>
    <n v="10"/>
    <n v="140"/>
    <n v="89.600000000000009"/>
  </r>
  <r>
    <x v="11"/>
    <x v="0"/>
    <x v="0"/>
    <x v="38"/>
    <s v="Maw La Myaing"/>
    <x v="1"/>
    <x v="3"/>
    <x v="11"/>
    <n v="0.25"/>
    <n v="3"/>
    <n v="3"/>
  </r>
  <r>
    <x v="11"/>
    <x v="0"/>
    <x v="0"/>
    <x v="38"/>
    <s v="Maw La Myaing"/>
    <x v="1"/>
    <x v="3"/>
    <x v="12"/>
    <n v="0.5"/>
    <n v="6"/>
    <n v="6"/>
  </r>
  <r>
    <x v="11"/>
    <x v="0"/>
    <x v="0"/>
    <x v="38"/>
    <s v="Maw La Myaing"/>
    <x v="1"/>
    <x v="3"/>
    <x v="12"/>
    <n v="0.5"/>
    <n v="6"/>
    <n v="6"/>
  </r>
  <r>
    <x v="11"/>
    <x v="0"/>
    <x v="0"/>
    <x v="31"/>
    <s v="Maw La Myaing"/>
    <x v="3"/>
    <x v="2"/>
    <x v="6"/>
    <n v="7"/>
    <n v="98"/>
    <n v="62.72"/>
  </r>
  <r>
    <x v="11"/>
    <x v="0"/>
    <x v="0"/>
    <x v="79"/>
    <s v="Maw La Myaing"/>
    <x v="3"/>
    <x v="2"/>
    <x v="6"/>
    <n v="5"/>
    <n v="70"/>
    <n v="44.800000000000004"/>
  </r>
  <r>
    <x v="11"/>
    <x v="0"/>
    <x v="0"/>
    <x v="79"/>
    <s v="Maw La Myaing"/>
    <x v="3"/>
    <x v="2"/>
    <x v="5"/>
    <n v="5"/>
    <n v="60"/>
    <n v="60"/>
  </r>
  <r>
    <x v="11"/>
    <x v="0"/>
    <x v="0"/>
    <x v="25"/>
    <s v="Maw La Myaing"/>
    <x v="3"/>
    <x v="2"/>
    <x v="5"/>
    <n v="5"/>
    <n v="60"/>
    <n v="60"/>
  </r>
  <r>
    <x v="11"/>
    <x v="0"/>
    <x v="0"/>
    <x v="80"/>
    <s v="Maw La Myaing"/>
    <x v="3"/>
    <x v="2"/>
    <x v="6"/>
    <n v="2"/>
    <n v="28"/>
    <n v="17.920000000000002"/>
  </r>
  <r>
    <x v="11"/>
    <x v="0"/>
    <x v="0"/>
    <x v="80"/>
    <s v="Maw La Myaing"/>
    <x v="3"/>
    <x v="2"/>
    <x v="5"/>
    <n v="3"/>
    <n v="36"/>
    <n v="36"/>
  </r>
  <r>
    <x v="11"/>
    <x v="0"/>
    <x v="0"/>
    <x v="81"/>
    <s v="Maw La Myaing"/>
    <x v="3"/>
    <x v="2"/>
    <x v="6"/>
    <n v="0.33333333333333331"/>
    <n v="4"/>
    <n v="2.8"/>
  </r>
  <r>
    <x v="11"/>
    <x v="0"/>
    <x v="0"/>
    <x v="82"/>
    <s v="Maw La Myaing"/>
    <x v="3"/>
    <x v="2"/>
    <x v="6"/>
    <n v="0.41666666666666669"/>
    <n v="5"/>
    <n v="3.5"/>
  </r>
  <r>
    <x v="11"/>
    <x v="0"/>
    <x v="0"/>
    <x v="83"/>
    <s v="Maw La Myaing"/>
    <x v="3"/>
    <x v="2"/>
    <x v="13"/>
    <n v="3"/>
    <n v="42"/>
    <n v="26.88"/>
  </r>
  <r>
    <x v="11"/>
    <x v="0"/>
    <x v="0"/>
    <x v="83"/>
    <s v="Maw La Myaing"/>
    <x v="3"/>
    <x v="2"/>
    <x v="6"/>
    <n v="2"/>
    <n v="24"/>
    <n v="16.799999999999997"/>
  </r>
  <r>
    <x v="11"/>
    <x v="0"/>
    <x v="0"/>
    <x v="83"/>
    <s v="Maw La Myaing"/>
    <x v="3"/>
    <x v="2"/>
    <x v="10"/>
    <n v="0.5"/>
    <n v="7"/>
    <n v="4.4800000000000004"/>
  </r>
  <r>
    <x v="11"/>
    <x v="0"/>
    <x v="0"/>
    <x v="83"/>
    <s v="Maw La Myaing"/>
    <x v="3"/>
    <x v="2"/>
    <x v="12"/>
    <n v="1"/>
    <n v="12"/>
    <n v="12"/>
  </r>
  <r>
    <x v="11"/>
    <x v="0"/>
    <x v="0"/>
    <x v="83"/>
    <s v="Maw La Myaing"/>
    <x v="3"/>
    <x v="2"/>
    <x v="12"/>
    <n v="1"/>
    <n v="12"/>
    <n v="12"/>
  </r>
  <r>
    <x v="11"/>
    <x v="0"/>
    <x v="0"/>
    <x v="84"/>
    <s v="Maw La Myaing"/>
    <x v="2"/>
    <x v="2"/>
    <x v="11"/>
    <n v="0.16666666666666666"/>
    <n v="2"/>
    <n v="2"/>
  </r>
  <r>
    <x v="11"/>
    <x v="0"/>
    <x v="0"/>
    <x v="84"/>
    <s v="Maw La Myaing"/>
    <x v="2"/>
    <x v="2"/>
    <x v="12"/>
    <n v="0.16666666666666666"/>
    <n v="2"/>
    <n v="2"/>
  </r>
  <r>
    <x v="11"/>
    <x v="0"/>
    <x v="0"/>
    <x v="84"/>
    <s v="Maw La Myaing"/>
    <x v="2"/>
    <x v="2"/>
    <x v="12"/>
    <n v="0.16666666666666666"/>
    <n v="2"/>
    <n v="2"/>
  </r>
  <r>
    <x v="11"/>
    <x v="0"/>
    <x v="0"/>
    <x v="78"/>
    <s v="Maw La Myaing"/>
    <x v="3"/>
    <x v="2"/>
    <x v="11"/>
    <n v="0.41666666666666669"/>
    <n v="5"/>
    <n v="5"/>
  </r>
  <r>
    <x v="11"/>
    <x v="0"/>
    <x v="0"/>
    <x v="78"/>
    <s v="Maw La Myaing"/>
    <x v="3"/>
    <x v="2"/>
    <x v="12"/>
    <n v="0.5"/>
    <n v="6"/>
    <n v="6"/>
  </r>
  <r>
    <x v="11"/>
    <x v="0"/>
    <x v="0"/>
    <x v="78"/>
    <s v="Maw La Myaing"/>
    <x v="3"/>
    <x v="2"/>
    <x v="12"/>
    <n v="0.5"/>
    <n v="6"/>
    <n v="6"/>
  </r>
  <r>
    <x v="11"/>
    <x v="0"/>
    <x v="0"/>
    <x v="63"/>
    <s v="Maw La Myaing"/>
    <x v="3"/>
    <x v="2"/>
    <x v="12"/>
    <n v="0.41666666666666669"/>
    <n v="5"/>
    <n v="5"/>
  </r>
  <r>
    <x v="11"/>
    <x v="0"/>
    <x v="0"/>
    <x v="85"/>
    <s v="Maw La Myaing"/>
    <x v="3"/>
    <x v="2"/>
    <x v="12"/>
    <n v="0.58333333333333337"/>
    <n v="7"/>
    <n v="7"/>
  </r>
  <r>
    <x v="12"/>
    <x v="0"/>
    <x v="0"/>
    <x v="1"/>
    <s v="Yay"/>
    <x v="0"/>
    <x v="0"/>
    <x v="4"/>
    <n v="100"/>
    <n v="1200"/>
    <n v="1200"/>
  </r>
  <r>
    <x v="12"/>
    <x v="0"/>
    <x v="0"/>
    <x v="3"/>
    <s v="Yay"/>
    <x v="0"/>
    <x v="0"/>
    <x v="3"/>
    <n v="50"/>
    <n v="700"/>
    <n v="448"/>
  </r>
  <r>
    <x v="12"/>
    <x v="0"/>
    <x v="0"/>
    <x v="3"/>
    <s v="Yay"/>
    <x v="0"/>
    <x v="0"/>
    <x v="4"/>
    <n v="150"/>
    <n v="1800"/>
    <n v="1800"/>
  </r>
  <r>
    <x v="12"/>
    <x v="0"/>
    <x v="0"/>
    <x v="6"/>
    <s v="Mudon"/>
    <x v="1"/>
    <x v="2"/>
    <x v="1"/>
    <n v="20"/>
    <n v="280"/>
    <n v="179.20000000000002"/>
  </r>
  <r>
    <x v="12"/>
    <x v="0"/>
    <x v="0"/>
    <x v="86"/>
    <s v="Mudon"/>
    <x v="3"/>
    <x v="2"/>
    <x v="1"/>
    <n v="25"/>
    <n v="350"/>
    <n v="224"/>
  </r>
  <r>
    <x v="12"/>
    <x v="0"/>
    <x v="0"/>
    <x v="42"/>
    <s v="Mudon"/>
    <x v="2"/>
    <x v="2"/>
    <x v="1"/>
    <n v="25"/>
    <n v="350"/>
    <n v="224"/>
  </r>
  <r>
    <x v="12"/>
    <x v="0"/>
    <x v="0"/>
    <x v="40"/>
    <s v="Mudon"/>
    <x v="2"/>
    <x v="2"/>
    <x v="1"/>
    <n v="50"/>
    <n v="700"/>
    <n v="448"/>
  </r>
  <r>
    <x v="12"/>
    <x v="0"/>
    <x v="0"/>
    <x v="40"/>
    <s v="Mudon"/>
    <x v="2"/>
    <x v="2"/>
    <x v="4"/>
    <n v="10"/>
    <n v="120"/>
    <n v="120"/>
  </r>
  <r>
    <x v="12"/>
    <x v="0"/>
    <x v="0"/>
    <x v="27"/>
    <s v="Maw La Myaing"/>
    <x v="0"/>
    <x v="2"/>
    <x v="2"/>
    <n v="50"/>
    <n v="1200"/>
    <n v="768"/>
  </r>
  <r>
    <x v="12"/>
    <x v="0"/>
    <x v="0"/>
    <x v="87"/>
    <s v="Thein Zayet"/>
    <x v="0"/>
    <x v="2"/>
    <x v="3"/>
    <n v="150"/>
    <n v="2100"/>
    <n v="1344"/>
  </r>
  <r>
    <x v="12"/>
    <x v="0"/>
    <x v="0"/>
    <x v="87"/>
    <s v="Thein Zayet"/>
    <x v="0"/>
    <x v="2"/>
    <x v="2"/>
    <n v="20"/>
    <n v="480"/>
    <n v="307.2"/>
  </r>
  <r>
    <x v="12"/>
    <x v="0"/>
    <x v="0"/>
    <x v="87"/>
    <s v="Thein Zayet"/>
    <x v="0"/>
    <x v="2"/>
    <x v="4"/>
    <n v="50"/>
    <n v="600"/>
    <n v="600"/>
  </r>
  <r>
    <x v="12"/>
    <x v="0"/>
    <x v="0"/>
    <x v="88"/>
    <s v="Hpa-an"/>
    <x v="2"/>
    <x v="3"/>
    <x v="3"/>
    <n v="0.42857142857142855"/>
    <n v="6"/>
    <n v="3.84"/>
  </r>
  <r>
    <x v="12"/>
    <x v="0"/>
    <x v="0"/>
    <x v="88"/>
    <s v="Hpa-an"/>
    <x v="2"/>
    <x v="2"/>
    <x v="3"/>
    <n v="130"/>
    <n v="1820"/>
    <n v="1164.8"/>
  </r>
  <r>
    <x v="12"/>
    <x v="0"/>
    <x v="0"/>
    <x v="88"/>
    <s v="Hpa-an"/>
    <x v="2"/>
    <x v="2"/>
    <x v="4"/>
    <n v="70"/>
    <n v="840"/>
    <n v="840"/>
  </r>
  <r>
    <x v="13"/>
    <x v="0"/>
    <x v="0"/>
    <x v="89"/>
    <s v="Yay"/>
    <x v="0"/>
    <x v="1"/>
    <x v="3"/>
    <n v="100"/>
    <n v="1400"/>
    <n v="896"/>
  </r>
  <r>
    <x v="13"/>
    <x v="0"/>
    <x v="0"/>
    <x v="3"/>
    <s v="Yay"/>
    <x v="0"/>
    <x v="0"/>
    <x v="3"/>
    <n v="100"/>
    <n v="1400"/>
    <n v="896"/>
  </r>
  <r>
    <x v="13"/>
    <x v="0"/>
    <x v="0"/>
    <x v="3"/>
    <s v="Yay"/>
    <x v="0"/>
    <x v="0"/>
    <x v="3"/>
    <n v="100"/>
    <n v="1400"/>
    <n v="896"/>
  </r>
  <r>
    <x v="13"/>
    <x v="0"/>
    <x v="0"/>
    <x v="5"/>
    <s v="Yay"/>
    <x v="0"/>
    <x v="0"/>
    <x v="4"/>
    <n v="100"/>
    <n v="1200"/>
    <n v="1200"/>
  </r>
  <r>
    <x v="13"/>
    <x v="0"/>
    <x v="0"/>
    <x v="90"/>
    <s v="Maw La Myaing"/>
    <x v="3"/>
    <x v="2"/>
    <x v="6"/>
    <n v="5"/>
    <n v="70"/>
    <n v="44.800000000000004"/>
  </r>
  <r>
    <x v="13"/>
    <x v="0"/>
    <x v="0"/>
    <x v="29"/>
    <s v="Maw La Myaing"/>
    <x v="0"/>
    <x v="2"/>
    <x v="6"/>
    <n v="15"/>
    <n v="210"/>
    <n v="134.4"/>
  </r>
  <r>
    <x v="13"/>
    <x v="0"/>
    <x v="0"/>
    <x v="29"/>
    <s v="Maw La Myaing"/>
    <x v="0"/>
    <x v="2"/>
    <x v="9"/>
    <n v="20"/>
    <n v="280"/>
    <n v="179.20000000000002"/>
  </r>
  <r>
    <x v="13"/>
    <x v="0"/>
    <x v="0"/>
    <x v="29"/>
    <s v="Maw La Myaing"/>
    <x v="0"/>
    <x v="2"/>
    <x v="6"/>
    <n v="20"/>
    <n v="280"/>
    <n v="179.20000000000002"/>
  </r>
  <r>
    <x v="13"/>
    <x v="0"/>
    <x v="0"/>
    <x v="29"/>
    <s v="Maw La Myaing"/>
    <x v="0"/>
    <x v="2"/>
    <x v="4"/>
    <n v="30"/>
    <n v="360"/>
    <n v="360"/>
  </r>
  <r>
    <x v="13"/>
    <x v="0"/>
    <x v="0"/>
    <x v="91"/>
    <s v="Maw La Myaing"/>
    <x v="3"/>
    <x v="2"/>
    <x v="6"/>
    <n v="10"/>
    <n v="140"/>
    <n v="89.600000000000009"/>
  </r>
  <r>
    <x v="13"/>
    <x v="0"/>
    <x v="0"/>
    <x v="91"/>
    <s v="Maw La Myaing"/>
    <x v="3"/>
    <x v="2"/>
    <x v="5"/>
    <n v="3"/>
    <n v="36"/>
    <n v="36"/>
  </r>
  <r>
    <x v="13"/>
    <x v="0"/>
    <x v="0"/>
    <x v="22"/>
    <s v="Yay"/>
    <x v="0"/>
    <x v="2"/>
    <x v="3"/>
    <n v="25"/>
    <n v="350"/>
    <n v="224"/>
  </r>
  <r>
    <x v="13"/>
    <x v="0"/>
    <x v="0"/>
    <x v="22"/>
    <s v="Yay"/>
    <x v="0"/>
    <x v="2"/>
    <x v="4"/>
    <n v="25"/>
    <n v="300"/>
    <n v="300"/>
  </r>
  <r>
    <x v="13"/>
    <x v="0"/>
    <x v="0"/>
    <x v="26"/>
    <s v="Paung"/>
    <x v="3"/>
    <x v="2"/>
    <x v="1"/>
    <n v="15"/>
    <n v="210"/>
    <n v="134.4"/>
  </r>
  <r>
    <x v="13"/>
    <x v="0"/>
    <x v="0"/>
    <x v="34"/>
    <s v="Yay"/>
    <x v="3"/>
    <x v="2"/>
    <x v="4"/>
    <n v="50"/>
    <n v="600"/>
    <n v="600"/>
  </r>
  <r>
    <x v="13"/>
    <x v="0"/>
    <x v="0"/>
    <x v="92"/>
    <s v="ThaHtone"/>
    <x v="3"/>
    <x v="2"/>
    <x v="15"/>
    <n v="50"/>
    <n v="700"/>
    <n v="448"/>
  </r>
  <r>
    <x v="14"/>
    <x v="0"/>
    <x v="0"/>
    <x v="0"/>
    <s v="Maw La Myaing"/>
    <x v="0"/>
    <x v="0"/>
    <x v="2"/>
    <n v="60"/>
    <n v="1440"/>
    <n v="921.6"/>
  </r>
  <r>
    <x v="14"/>
    <x v="0"/>
    <x v="0"/>
    <x v="1"/>
    <s v="Yay"/>
    <x v="0"/>
    <x v="0"/>
    <x v="3"/>
    <n v="500"/>
    <n v="7000"/>
    <n v="4480"/>
  </r>
  <r>
    <x v="14"/>
    <x v="0"/>
    <x v="0"/>
    <x v="3"/>
    <s v="Yay"/>
    <x v="0"/>
    <x v="0"/>
    <x v="3"/>
    <n v="100"/>
    <n v="1400"/>
    <n v="896"/>
  </r>
  <r>
    <x v="14"/>
    <x v="0"/>
    <x v="0"/>
    <x v="3"/>
    <s v="Yay"/>
    <x v="0"/>
    <x v="0"/>
    <x v="4"/>
    <n v="130"/>
    <n v="1560"/>
    <n v="1560"/>
  </r>
  <r>
    <x v="14"/>
    <x v="0"/>
    <x v="0"/>
    <x v="5"/>
    <s v="Yay"/>
    <x v="0"/>
    <x v="0"/>
    <x v="4"/>
    <n v="50"/>
    <n v="600"/>
    <n v="600"/>
  </r>
  <r>
    <x v="14"/>
    <x v="0"/>
    <x v="0"/>
    <x v="1"/>
    <s v="Yay"/>
    <x v="0"/>
    <x v="0"/>
    <x v="4"/>
    <n v="100"/>
    <n v="1200"/>
    <n v="1200"/>
  </r>
  <r>
    <x v="14"/>
    <x v="0"/>
    <x v="0"/>
    <x v="0"/>
    <s v="Maw La Myaing"/>
    <x v="0"/>
    <x v="2"/>
    <x v="3"/>
    <n v="25"/>
    <n v="350"/>
    <n v="224"/>
  </r>
  <r>
    <x v="14"/>
    <x v="0"/>
    <x v="0"/>
    <x v="93"/>
    <s v="Maw La Myaing"/>
    <x v="3"/>
    <x v="2"/>
    <x v="5"/>
    <n v="5"/>
    <n v="60"/>
    <n v="60"/>
  </r>
  <r>
    <x v="14"/>
    <x v="0"/>
    <x v="0"/>
    <x v="94"/>
    <s v="Mudon"/>
    <x v="3"/>
    <x v="2"/>
    <x v="4"/>
    <n v="50"/>
    <n v="600"/>
    <n v="600"/>
  </r>
  <r>
    <x v="14"/>
    <x v="0"/>
    <x v="0"/>
    <x v="20"/>
    <s v="Yay"/>
    <x v="3"/>
    <x v="2"/>
    <x v="4"/>
    <n v="30"/>
    <n v="360"/>
    <n v="360"/>
  </r>
  <r>
    <x v="15"/>
    <x v="0"/>
    <x v="0"/>
    <x v="95"/>
    <s v="Hpa-an"/>
    <x v="2"/>
    <x v="2"/>
    <x v="3"/>
    <n v="100"/>
    <n v="1400"/>
    <n v="896"/>
  </r>
  <r>
    <x v="15"/>
    <x v="0"/>
    <x v="0"/>
    <x v="95"/>
    <s v="Hpa-an"/>
    <x v="2"/>
    <x v="2"/>
    <x v="4"/>
    <n v="100"/>
    <n v="1200"/>
    <n v="1200"/>
  </r>
  <r>
    <x v="15"/>
    <x v="0"/>
    <x v="0"/>
    <x v="62"/>
    <s v="Maw La Myaing"/>
    <x v="2"/>
    <x v="2"/>
    <x v="6"/>
    <n v="25"/>
    <n v="350"/>
    <n v="224"/>
  </r>
  <r>
    <x v="15"/>
    <x v="0"/>
    <x v="0"/>
    <x v="62"/>
    <s v="Maw La Myaing"/>
    <x v="2"/>
    <x v="2"/>
    <x v="5"/>
    <n v="15"/>
    <n v="180"/>
    <n v="180"/>
  </r>
  <r>
    <x v="15"/>
    <x v="0"/>
    <x v="0"/>
    <x v="96"/>
    <s v="Maw La Myaing"/>
    <x v="3"/>
    <x v="2"/>
    <x v="6"/>
    <n v="5"/>
    <n v="70"/>
    <n v="44.800000000000004"/>
  </r>
  <r>
    <x v="15"/>
    <x v="0"/>
    <x v="0"/>
    <x v="96"/>
    <s v="Maw La Myaing"/>
    <x v="3"/>
    <x v="2"/>
    <x v="5"/>
    <n v="25"/>
    <n v="300"/>
    <n v="300"/>
  </r>
  <r>
    <x v="15"/>
    <x v="0"/>
    <x v="0"/>
    <x v="72"/>
    <s v="Yay"/>
    <x v="2"/>
    <x v="2"/>
    <x v="3"/>
    <n v="30"/>
    <n v="420"/>
    <n v="268.8"/>
  </r>
  <r>
    <x v="15"/>
    <x v="0"/>
    <x v="0"/>
    <x v="72"/>
    <s v="Yay"/>
    <x v="2"/>
    <x v="2"/>
    <x v="4"/>
    <n v="50"/>
    <n v="600"/>
    <n v="600"/>
  </r>
  <r>
    <x v="15"/>
    <x v="0"/>
    <x v="0"/>
    <x v="5"/>
    <s v="Yay"/>
    <x v="0"/>
    <x v="2"/>
    <x v="3"/>
    <n v="30"/>
    <n v="420"/>
    <n v="268.8"/>
  </r>
  <r>
    <x v="15"/>
    <x v="0"/>
    <x v="0"/>
    <x v="30"/>
    <s v="Yay"/>
    <x v="3"/>
    <x v="2"/>
    <x v="4"/>
    <n v="100"/>
    <n v="1200"/>
    <n v="1200"/>
  </r>
  <r>
    <x v="15"/>
    <x v="0"/>
    <x v="0"/>
    <x v="40"/>
    <s v="Mudon"/>
    <x v="2"/>
    <x v="2"/>
    <x v="1"/>
    <n v="50"/>
    <n v="700"/>
    <n v="448"/>
  </r>
  <r>
    <x v="15"/>
    <x v="0"/>
    <x v="0"/>
    <x v="97"/>
    <s v="Mudon"/>
    <x v="3"/>
    <x v="2"/>
    <x v="1"/>
    <n v="30"/>
    <n v="420"/>
    <n v="268.8"/>
  </r>
  <r>
    <x v="15"/>
    <x v="0"/>
    <x v="0"/>
    <x v="97"/>
    <s v="Mudon"/>
    <x v="3"/>
    <x v="2"/>
    <x v="12"/>
    <n v="2"/>
    <n v="24"/>
    <n v="24"/>
  </r>
  <r>
    <x v="15"/>
    <x v="0"/>
    <x v="0"/>
    <x v="92"/>
    <s v="ThaHtone"/>
    <x v="3"/>
    <x v="2"/>
    <x v="15"/>
    <n v="50"/>
    <n v="700"/>
    <n v="448"/>
  </r>
  <r>
    <x v="15"/>
    <x v="0"/>
    <x v="0"/>
    <x v="3"/>
    <s v="Yay"/>
    <x v="0"/>
    <x v="0"/>
    <x v="3"/>
    <n v="60"/>
    <n v="840"/>
    <n v="537.6"/>
  </r>
  <r>
    <x v="15"/>
    <x v="0"/>
    <x v="0"/>
    <x v="3"/>
    <s v="Yay"/>
    <x v="0"/>
    <x v="0"/>
    <x v="4"/>
    <n v="50"/>
    <n v="600"/>
    <n v="600"/>
  </r>
  <r>
    <x v="15"/>
    <x v="0"/>
    <x v="0"/>
    <x v="3"/>
    <s v="Yay"/>
    <x v="0"/>
    <x v="0"/>
    <x v="3"/>
    <n v="70"/>
    <n v="980"/>
    <n v="627.20000000000005"/>
  </r>
  <r>
    <x v="15"/>
    <x v="0"/>
    <x v="0"/>
    <x v="3"/>
    <s v="Yay"/>
    <x v="0"/>
    <x v="0"/>
    <x v="4"/>
    <n v="150"/>
    <n v="1800"/>
    <n v="1800"/>
  </r>
  <r>
    <x v="15"/>
    <x v="0"/>
    <x v="0"/>
    <x v="3"/>
    <s v="Yay"/>
    <x v="0"/>
    <x v="0"/>
    <x v="3"/>
    <n v="100"/>
    <n v="1400"/>
    <n v="896"/>
  </r>
  <r>
    <x v="16"/>
    <x v="0"/>
    <x v="0"/>
    <x v="3"/>
    <s v="Yay"/>
    <x v="0"/>
    <x v="0"/>
    <x v="3"/>
    <n v="170"/>
    <n v="2380"/>
    <n v="1523.2"/>
  </r>
  <r>
    <x v="16"/>
    <x v="0"/>
    <x v="0"/>
    <x v="3"/>
    <s v="Yay"/>
    <x v="0"/>
    <x v="0"/>
    <x v="4"/>
    <n v="100"/>
    <n v="1200"/>
    <n v="1200"/>
  </r>
  <r>
    <x v="16"/>
    <x v="0"/>
    <x v="0"/>
    <x v="0"/>
    <s v="Maw La Myaing"/>
    <x v="0"/>
    <x v="0"/>
    <x v="2"/>
    <n v="60"/>
    <n v="1440"/>
    <n v="921.6"/>
  </r>
  <r>
    <x v="16"/>
    <x v="0"/>
    <x v="0"/>
    <x v="47"/>
    <s v="Maw La Myaing"/>
    <x v="0"/>
    <x v="2"/>
    <x v="6"/>
    <n v="50"/>
    <n v="700"/>
    <n v="448"/>
  </r>
  <r>
    <x v="16"/>
    <x v="0"/>
    <x v="0"/>
    <x v="47"/>
    <s v="Maw La Myaing"/>
    <x v="0"/>
    <x v="2"/>
    <x v="4"/>
    <n v="50"/>
    <n v="600"/>
    <n v="600"/>
  </r>
  <r>
    <x v="16"/>
    <x v="0"/>
    <x v="0"/>
    <x v="47"/>
    <s v="Maw La Myaing"/>
    <x v="0"/>
    <x v="2"/>
    <x v="5"/>
    <n v="50"/>
    <n v="600"/>
    <n v="600"/>
  </r>
  <r>
    <x v="16"/>
    <x v="0"/>
    <x v="0"/>
    <x v="98"/>
    <s v="Maw La Myaing"/>
    <x v="1"/>
    <x v="2"/>
    <x v="6"/>
    <n v="50"/>
    <n v="700"/>
    <n v="448"/>
  </r>
  <r>
    <x v="16"/>
    <x v="0"/>
    <x v="0"/>
    <x v="0"/>
    <s v="Maw La Myaing"/>
    <x v="0"/>
    <x v="2"/>
    <x v="3"/>
    <n v="25"/>
    <n v="350"/>
    <n v="224"/>
  </r>
  <r>
    <x v="16"/>
    <x v="0"/>
    <x v="0"/>
    <x v="0"/>
    <s v="Maw La Myaing"/>
    <x v="0"/>
    <x v="3"/>
    <x v="12"/>
    <n v="8.3333333333333329E-2"/>
    <n v="1"/>
    <n v="1"/>
  </r>
  <r>
    <x v="16"/>
    <x v="0"/>
    <x v="0"/>
    <x v="27"/>
    <s v="Maw La Myaing"/>
    <x v="0"/>
    <x v="2"/>
    <x v="2"/>
    <n v="59"/>
    <n v="1416"/>
    <n v="906.24"/>
  </r>
  <r>
    <x v="16"/>
    <x v="0"/>
    <x v="0"/>
    <x v="84"/>
    <s v="Maw La Myaing"/>
    <x v="2"/>
    <x v="2"/>
    <x v="11"/>
    <n v="2"/>
    <n v="24"/>
    <n v="24"/>
  </r>
  <r>
    <x v="16"/>
    <x v="0"/>
    <x v="0"/>
    <x v="84"/>
    <s v="Maw La Myaing"/>
    <x v="2"/>
    <x v="2"/>
    <x v="12"/>
    <n v="3"/>
    <n v="36"/>
    <n v="36"/>
  </r>
  <r>
    <x v="16"/>
    <x v="0"/>
    <x v="0"/>
    <x v="99"/>
    <s v="KawKareik"/>
    <x v="3"/>
    <x v="2"/>
    <x v="12"/>
    <n v="10"/>
    <n v="120"/>
    <n v="120"/>
  </r>
  <r>
    <x v="17"/>
    <x v="0"/>
    <x v="0"/>
    <x v="35"/>
    <s v="Hpa-an"/>
    <x v="2"/>
    <x v="2"/>
    <x v="3"/>
    <n v="200"/>
    <n v="2800"/>
    <n v="1792"/>
  </r>
  <r>
    <x v="17"/>
    <x v="0"/>
    <x v="0"/>
    <x v="35"/>
    <s v="Hpa-an"/>
    <x v="2"/>
    <x v="2"/>
    <x v="12"/>
    <n v="10"/>
    <n v="120"/>
    <n v="120"/>
  </r>
  <r>
    <x v="17"/>
    <x v="0"/>
    <x v="0"/>
    <x v="49"/>
    <s v="Yay"/>
    <x v="2"/>
    <x v="2"/>
    <x v="3"/>
    <n v="50"/>
    <n v="700"/>
    <n v="448"/>
  </r>
  <r>
    <x v="17"/>
    <x v="0"/>
    <x v="0"/>
    <x v="49"/>
    <s v="Yay"/>
    <x v="2"/>
    <x v="2"/>
    <x v="4"/>
    <n v="50"/>
    <n v="600"/>
    <n v="600"/>
  </r>
  <r>
    <x v="17"/>
    <x v="0"/>
    <x v="0"/>
    <x v="100"/>
    <s v="Yay"/>
    <x v="3"/>
    <x v="2"/>
    <x v="4"/>
    <n v="50"/>
    <n v="600"/>
    <n v="600"/>
  </r>
  <r>
    <x v="17"/>
    <x v="0"/>
    <x v="0"/>
    <x v="3"/>
    <s v="Yay"/>
    <x v="0"/>
    <x v="0"/>
    <x v="4"/>
    <n v="250"/>
    <n v="3000"/>
    <n v="3000"/>
  </r>
  <r>
    <x v="17"/>
    <x v="0"/>
    <x v="0"/>
    <x v="3"/>
    <s v="Yay"/>
    <x v="0"/>
    <x v="0"/>
    <x v="3"/>
    <n v="200"/>
    <n v="2800"/>
    <n v="1792"/>
  </r>
  <r>
    <x v="17"/>
    <x v="0"/>
    <x v="0"/>
    <x v="89"/>
    <s v="Yay"/>
    <x v="0"/>
    <x v="1"/>
    <x v="4"/>
    <n v="100"/>
    <n v="1200"/>
    <n v="1200"/>
  </r>
  <r>
    <x v="17"/>
    <x v="0"/>
    <x v="0"/>
    <x v="101"/>
    <s v="Maw La Myaing"/>
    <x v="3"/>
    <x v="2"/>
    <x v="5"/>
    <n v="5"/>
    <n v="60"/>
    <n v="60"/>
  </r>
  <r>
    <x v="17"/>
    <x v="0"/>
    <x v="0"/>
    <x v="101"/>
    <s v="Maw La Myaing"/>
    <x v="3"/>
    <x v="2"/>
    <x v="11"/>
    <n v="8.3333333333333329E-2"/>
    <n v="1"/>
    <n v="1"/>
  </r>
  <r>
    <x v="17"/>
    <x v="0"/>
    <x v="0"/>
    <x v="102"/>
    <s v="Maw La Myaing"/>
    <x v="3"/>
    <x v="2"/>
    <x v="11"/>
    <n v="0.25"/>
    <n v="3"/>
    <n v="3"/>
  </r>
  <r>
    <x v="17"/>
    <x v="0"/>
    <x v="0"/>
    <x v="102"/>
    <s v="Maw La Myaing"/>
    <x v="3"/>
    <x v="2"/>
    <x v="12"/>
    <n v="0.25"/>
    <n v="3"/>
    <n v="3"/>
  </r>
  <r>
    <x v="17"/>
    <x v="0"/>
    <x v="0"/>
    <x v="102"/>
    <s v="Maw La Myaing"/>
    <x v="3"/>
    <x v="2"/>
    <x v="12"/>
    <n v="0.25"/>
    <n v="3"/>
    <n v="3"/>
  </r>
  <r>
    <x v="17"/>
    <x v="0"/>
    <x v="0"/>
    <x v="102"/>
    <s v="Maw La Myaing"/>
    <x v="3"/>
    <x v="2"/>
    <x v="14"/>
    <n v="0.21428571428571427"/>
    <n v="3"/>
    <n v="1.92"/>
  </r>
  <r>
    <x v="17"/>
    <x v="0"/>
    <x v="0"/>
    <x v="103"/>
    <s v="Maw La Myaing"/>
    <x v="3"/>
    <x v="2"/>
    <x v="11"/>
    <n v="0.25"/>
    <n v="3"/>
    <n v="3"/>
  </r>
  <r>
    <x v="17"/>
    <x v="0"/>
    <x v="0"/>
    <x v="103"/>
    <s v="Maw La Myaing"/>
    <x v="3"/>
    <x v="2"/>
    <x v="12"/>
    <n v="0.25"/>
    <n v="3"/>
    <n v="3"/>
  </r>
  <r>
    <x v="17"/>
    <x v="0"/>
    <x v="0"/>
    <x v="103"/>
    <s v="Maw La Myaing"/>
    <x v="3"/>
    <x v="2"/>
    <x v="14"/>
    <n v="0.21428571428571427"/>
    <n v="3"/>
    <n v="1.92"/>
  </r>
  <r>
    <x v="17"/>
    <x v="0"/>
    <x v="0"/>
    <x v="104"/>
    <s v="Maw La Myaing"/>
    <x v="3"/>
    <x v="2"/>
    <x v="12"/>
    <n v="0.25"/>
    <n v="3"/>
    <n v="3"/>
  </r>
  <r>
    <x v="18"/>
    <x v="0"/>
    <x v="0"/>
    <x v="8"/>
    <s v="Yay"/>
    <x v="2"/>
    <x v="1"/>
    <x v="4"/>
    <n v="200"/>
    <n v="2400"/>
    <n v="2400"/>
  </r>
  <r>
    <x v="18"/>
    <x v="0"/>
    <x v="0"/>
    <x v="3"/>
    <s v="Yay"/>
    <x v="0"/>
    <x v="0"/>
    <x v="3"/>
    <n v="100"/>
    <n v="1400"/>
    <n v="896"/>
  </r>
  <r>
    <x v="18"/>
    <x v="0"/>
    <x v="0"/>
    <x v="5"/>
    <s v="Yay"/>
    <x v="0"/>
    <x v="0"/>
    <x v="4"/>
    <n v="50"/>
    <n v="600"/>
    <n v="600"/>
  </r>
  <r>
    <x v="18"/>
    <x v="0"/>
    <x v="0"/>
    <x v="5"/>
    <s v="Yay"/>
    <x v="0"/>
    <x v="0"/>
    <x v="4"/>
    <n v="50"/>
    <n v="600"/>
    <n v="600"/>
  </r>
  <r>
    <x v="18"/>
    <x v="0"/>
    <x v="0"/>
    <x v="1"/>
    <s v="Yay"/>
    <x v="0"/>
    <x v="0"/>
    <x v="4"/>
    <n v="100"/>
    <n v="1200"/>
    <n v="1200"/>
  </r>
  <r>
    <x v="18"/>
    <x v="0"/>
    <x v="0"/>
    <x v="3"/>
    <s v="Yay"/>
    <x v="0"/>
    <x v="0"/>
    <x v="3"/>
    <n v="100"/>
    <n v="1400"/>
    <n v="896"/>
  </r>
  <r>
    <x v="18"/>
    <x v="0"/>
    <x v="0"/>
    <x v="3"/>
    <s v="Yay"/>
    <x v="0"/>
    <x v="0"/>
    <x v="4"/>
    <n v="100"/>
    <n v="1200"/>
    <n v="1200"/>
  </r>
  <r>
    <x v="18"/>
    <x v="0"/>
    <x v="0"/>
    <x v="105"/>
    <s v="Yay"/>
    <x v="2"/>
    <x v="0"/>
    <x v="3"/>
    <n v="20"/>
    <n v="280"/>
    <n v="179.20000000000002"/>
  </r>
  <r>
    <x v="18"/>
    <x v="0"/>
    <x v="0"/>
    <x v="105"/>
    <s v="Yay"/>
    <x v="2"/>
    <x v="0"/>
    <x v="4"/>
    <n v="30"/>
    <n v="360"/>
    <n v="360"/>
  </r>
  <r>
    <x v="18"/>
    <x v="0"/>
    <x v="0"/>
    <x v="4"/>
    <s v="Yay"/>
    <x v="0"/>
    <x v="2"/>
    <x v="4"/>
    <n v="100"/>
    <n v="1200"/>
    <n v="1200"/>
  </r>
  <r>
    <x v="18"/>
    <x v="0"/>
    <x v="0"/>
    <x v="106"/>
    <s v="Maw La Myaing"/>
    <x v="3"/>
    <x v="2"/>
    <x v="6"/>
    <n v="10"/>
    <n v="140"/>
    <n v="89.600000000000009"/>
  </r>
  <r>
    <x v="18"/>
    <x v="0"/>
    <x v="0"/>
    <x v="45"/>
    <s v="Maw La Myaing"/>
    <x v="3"/>
    <x v="2"/>
    <x v="6"/>
    <n v="10"/>
    <n v="140"/>
    <n v="89.600000000000009"/>
  </r>
  <r>
    <x v="18"/>
    <x v="0"/>
    <x v="0"/>
    <x v="41"/>
    <s v="Mudon"/>
    <x v="2"/>
    <x v="2"/>
    <x v="1"/>
    <n v="50"/>
    <n v="700"/>
    <n v="448"/>
  </r>
  <r>
    <x v="18"/>
    <x v="0"/>
    <x v="0"/>
    <x v="42"/>
    <s v="Mudon"/>
    <x v="2"/>
    <x v="2"/>
    <x v="1"/>
    <n v="25"/>
    <n v="350"/>
    <n v="224"/>
  </r>
  <r>
    <x v="18"/>
    <x v="0"/>
    <x v="0"/>
    <x v="107"/>
    <s v="Mudon"/>
    <x v="2"/>
    <x v="2"/>
    <x v="1"/>
    <n v="100"/>
    <n v="1400"/>
    <n v="896"/>
  </r>
  <r>
    <x v="18"/>
    <x v="0"/>
    <x v="0"/>
    <x v="34"/>
    <s v="Yay"/>
    <x v="3"/>
    <x v="2"/>
    <x v="4"/>
    <n v="50"/>
    <n v="600"/>
    <n v="600"/>
  </r>
  <r>
    <x v="18"/>
    <x v="0"/>
    <x v="0"/>
    <x v="1"/>
    <s v="Yay"/>
    <x v="0"/>
    <x v="2"/>
    <x v="4"/>
    <n v="100"/>
    <n v="1200"/>
    <n v="1200"/>
  </r>
  <r>
    <x v="18"/>
    <x v="0"/>
    <x v="0"/>
    <x v="108"/>
    <s v="Hpa-an"/>
    <x v="3"/>
    <x v="2"/>
    <x v="2"/>
    <n v="150"/>
    <n v="1800"/>
    <n v="1800"/>
  </r>
  <r>
    <x v="18"/>
    <x v="0"/>
    <x v="0"/>
    <x v="83"/>
    <s v="Maw La Myaing"/>
    <x v="3"/>
    <x v="2"/>
    <x v="5"/>
    <n v="10"/>
    <n v="120"/>
    <n v="120"/>
  </r>
  <r>
    <x v="18"/>
    <x v="0"/>
    <x v="0"/>
    <x v="58"/>
    <s v="Maw La Myaing"/>
    <x v="3"/>
    <x v="2"/>
    <x v="11"/>
    <n v="1"/>
    <n v="12"/>
    <n v="12"/>
  </r>
  <r>
    <x v="18"/>
    <x v="0"/>
    <x v="0"/>
    <x v="58"/>
    <s v="Maw La Myaing"/>
    <x v="3"/>
    <x v="2"/>
    <x v="12"/>
    <n v="2"/>
    <n v="24"/>
    <n v="24"/>
  </r>
  <r>
    <x v="18"/>
    <x v="0"/>
    <x v="0"/>
    <x v="58"/>
    <s v="Maw La Myaing"/>
    <x v="3"/>
    <x v="2"/>
    <x v="12"/>
    <n v="2"/>
    <n v="24"/>
    <n v="24"/>
  </r>
  <r>
    <x v="18"/>
    <x v="0"/>
    <x v="0"/>
    <x v="83"/>
    <s v="Maw La Myaing"/>
    <x v="3"/>
    <x v="2"/>
    <x v="12"/>
    <n v="10"/>
    <n v="120"/>
    <n v="120"/>
  </r>
  <r>
    <x v="18"/>
    <x v="0"/>
    <x v="0"/>
    <x v="109"/>
    <s v="Thein Zayet"/>
    <x v="3"/>
    <x v="0"/>
    <x v="14"/>
    <n v="2"/>
    <n v="28"/>
    <n v="17.920000000000002"/>
  </r>
  <r>
    <x v="18"/>
    <x v="0"/>
    <x v="0"/>
    <x v="109"/>
    <s v="Thein Zayet"/>
    <x v="3"/>
    <x v="3"/>
    <x v="14"/>
    <n v="0.16666666666666666"/>
    <n v="2"/>
    <n v="2"/>
  </r>
  <r>
    <x v="18"/>
    <x v="0"/>
    <x v="0"/>
    <x v="110"/>
    <s v="Thein Zayet"/>
    <x v="2"/>
    <x v="2"/>
    <x v="3"/>
    <n v="50"/>
    <n v="700"/>
    <n v="448"/>
  </r>
  <r>
    <x v="18"/>
    <x v="0"/>
    <x v="0"/>
    <x v="110"/>
    <s v="Thein Zayet"/>
    <x v="2"/>
    <x v="2"/>
    <x v="4"/>
    <n v="50"/>
    <n v="600"/>
    <n v="600"/>
  </r>
  <r>
    <x v="18"/>
    <x v="0"/>
    <x v="0"/>
    <x v="110"/>
    <s v="Thein Zayet"/>
    <x v="2"/>
    <x v="3"/>
    <x v="14"/>
    <n v="0.25"/>
    <n v="3"/>
    <n v="3"/>
  </r>
  <r>
    <x v="18"/>
    <x v="0"/>
    <x v="0"/>
    <x v="110"/>
    <s v="Thein Zayet"/>
    <x v="2"/>
    <x v="3"/>
    <x v="3"/>
    <n v="0.14285714285714285"/>
    <n v="2"/>
    <n v="1.28"/>
  </r>
  <r>
    <x v="18"/>
    <x v="0"/>
    <x v="0"/>
    <x v="87"/>
    <s v="Thein Zayet"/>
    <x v="0"/>
    <x v="2"/>
    <x v="3"/>
    <n v="101"/>
    <n v="1414"/>
    <n v="904.96"/>
  </r>
  <r>
    <x v="18"/>
    <x v="0"/>
    <x v="0"/>
    <x v="87"/>
    <s v="Thein Zayet"/>
    <x v="0"/>
    <x v="3"/>
    <x v="12"/>
    <n v="0.16666666666666666"/>
    <n v="2"/>
    <n v="2"/>
  </r>
  <r>
    <x v="18"/>
    <x v="0"/>
    <x v="0"/>
    <x v="87"/>
    <s v="Thein Zayet"/>
    <x v="0"/>
    <x v="3"/>
    <x v="14"/>
    <n v="0.33333333333333331"/>
    <n v="4"/>
    <n v="4"/>
  </r>
  <r>
    <x v="18"/>
    <x v="0"/>
    <x v="0"/>
    <x v="87"/>
    <s v="Thein Zayet"/>
    <x v="0"/>
    <x v="3"/>
    <x v="3"/>
    <n v="0.14285714285714285"/>
    <n v="2"/>
    <n v="1.28"/>
  </r>
  <r>
    <x v="19"/>
    <x v="0"/>
    <x v="0"/>
    <x v="2"/>
    <s v="Yay"/>
    <x v="0"/>
    <x v="0"/>
    <x v="3"/>
    <n v="150"/>
    <n v="2100"/>
    <n v="1344"/>
  </r>
  <r>
    <x v="19"/>
    <x v="0"/>
    <x v="0"/>
    <x v="2"/>
    <s v="Yay"/>
    <x v="0"/>
    <x v="0"/>
    <x v="4"/>
    <n v="100"/>
    <n v="1200"/>
    <n v="1200"/>
  </r>
  <r>
    <x v="19"/>
    <x v="0"/>
    <x v="0"/>
    <x v="3"/>
    <s v="Yay"/>
    <x v="0"/>
    <x v="0"/>
    <x v="3"/>
    <n v="50"/>
    <n v="700"/>
    <n v="448"/>
  </r>
  <r>
    <x v="19"/>
    <x v="0"/>
    <x v="0"/>
    <x v="3"/>
    <s v="Yay"/>
    <x v="0"/>
    <x v="0"/>
    <x v="4"/>
    <n v="105"/>
    <n v="1260"/>
    <n v="1260"/>
  </r>
  <r>
    <x v="19"/>
    <x v="0"/>
    <x v="0"/>
    <x v="39"/>
    <s v="Maw La Myaing"/>
    <x v="0"/>
    <x v="2"/>
    <x v="6"/>
    <n v="300"/>
    <n v="4200"/>
    <n v="2688"/>
  </r>
  <r>
    <x v="19"/>
    <x v="0"/>
    <x v="0"/>
    <x v="39"/>
    <s v="Maw La Myaing"/>
    <x v="0"/>
    <x v="2"/>
    <x v="4"/>
    <n v="200"/>
    <n v="2400"/>
    <n v="2400"/>
  </r>
  <r>
    <x v="19"/>
    <x v="0"/>
    <x v="0"/>
    <x v="22"/>
    <s v="Yay"/>
    <x v="0"/>
    <x v="2"/>
    <x v="3"/>
    <n v="50"/>
    <n v="700"/>
    <n v="448"/>
  </r>
  <r>
    <x v="19"/>
    <x v="0"/>
    <x v="0"/>
    <x v="22"/>
    <s v="Yay"/>
    <x v="0"/>
    <x v="2"/>
    <x v="4"/>
    <n v="50"/>
    <n v="600"/>
    <n v="600"/>
  </r>
  <r>
    <x v="19"/>
    <x v="0"/>
    <x v="0"/>
    <x v="63"/>
    <s v="Maw La Myaing"/>
    <x v="3"/>
    <x v="2"/>
    <x v="6"/>
    <n v="15"/>
    <n v="210"/>
    <n v="134.4"/>
  </r>
  <r>
    <x v="19"/>
    <x v="0"/>
    <x v="0"/>
    <x v="25"/>
    <s v="Maw La Myaing"/>
    <x v="3"/>
    <x v="2"/>
    <x v="5"/>
    <n v="5"/>
    <n v="60"/>
    <n v="60"/>
  </r>
  <r>
    <x v="19"/>
    <x v="0"/>
    <x v="0"/>
    <x v="111"/>
    <s v="Maw La Myaing"/>
    <x v="3"/>
    <x v="2"/>
    <x v="11"/>
    <n v="2"/>
    <n v="24"/>
    <n v="24"/>
  </r>
  <r>
    <x v="19"/>
    <x v="0"/>
    <x v="0"/>
    <x v="111"/>
    <s v="Maw La Myaing"/>
    <x v="3"/>
    <x v="2"/>
    <x v="12"/>
    <n v="1"/>
    <n v="12"/>
    <n v="12"/>
  </r>
  <r>
    <x v="19"/>
    <x v="0"/>
    <x v="0"/>
    <x v="111"/>
    <s v="Maw La Myaing"/>
    <x v="3"/>
    <x v="2"/>
    <x v="12"/>
    <n v="1"/>
    <n v="12"/>
    <n v="12"/>
  </r>
  <r>
    <x v="19"/>
    <x v="0"/>
    <x v="0"/>
    <x v="111"/>
    <s v="Maw La Myaing"/>
    <x v="3"/>
    <x v="3"/>
    <x v="14"/>
    <n v="7.1428571428571425E-2"/>
    <n v="1"/>
    <n v="0.64"/>
  </r>
  <r>
    <x v="19"/>
    <x v="0"/>
    <x v="0"/>
    <x v="60"/>
    <s v="Maw La Myaing"/>
    <x v="3"/>
    <x v="2"/>
    <x v="12"/>
    <n v="1"/>
    <n v="12"/>
    <n v="12"/>
  </r>
  <r>
    <x v="19"/>
    <x v="0"/>
    <x v="0"/>
    <x v="112"/>
    <s v="Maw La Myaing"/>
    <x v="3"/>
    <x v="2"/>
    <x v="12"/>
    <n v="1"/>
    <n v="12"/>
    <n v="12"/>
  </r>
  <r>
    <x v="19"/>
    <x v="0"/>
    <x v="0"/>
    <x v="112"/>
    <s v="Maw La Myaing"/>
    <x v="3"/>
    <x v="2"/>
    <x v="12"/>
    <n v="1"/>
    <n v="12"/>
    <n v="12"/>
  </r>
  <r>
    <x v="19"/>
    <x v="0"/>
    <x v="0"/>
    <x v="113"/>
    <s v="Maw La Myaing"/>
    <x v="3"/>
    <x v="2"/>
    <x v="14"/>
    <n v="1"/>
    <n v="14"/>
    <n v="8.9600000000000009"/>
  </r>
  <r>
    <x v="19"/>
    <x v="0"/>
    <x v="0"/>
    <x v="113"/>
    <s v="Maw La Myaing"/>
    <x v="3"/>
    <x v="3"/>
    <x v="14"/>
    <n v="7.1428571428571425E-2"/>
    <n v="1"/>
    <n v="0.64"/>
  </r>
  <r>
    <x v="20"/>
    <x v="0"/>
    <x v="0"/>
    <x v="1"/>
    <s v="Yay"/>
    <x v="0"/>
    <x v="0"/>
    <x v="3"/>
    <n v="200"/>
    <n v="2800"/>
    <n v="1792"/>
  </r>
  <r>
    <x v="20"/>
    <x v="0"/>
    <x v="0"/>
    <x v="3"/>
    <s v="Yay"/>
    <x v="0"/>
    <x v="0"/>
    <x v="3"/>
    <n v="100"/>
    <n v="1400"/>
    <n v="896"/>
  </r>
  <r>
    <x v="20"/>
    <x v="0"/>
    <x v="0"/>
    <x v="3"/>
    <s v="Yay"/>
    <x v="0"/>
    <x v="0"/>
    <x v="4"/>
    <n v="150"/>
    <n v="1800"/>
    <n v="1800"/>
  </r>
  <r>
    <x v="20"/>
    <x v="0"/>
    <x v="0"/>
    <x v="6"/>
    <s v="Mudon"/>
    <x v="1"/>
    <x v="0"/>
    <x v="1"/>
    <n v="30"/>
    <n v="420"/>
    <n v="268.8"/>
  </r>
  <r>
    <x v="20"/>
    <x v="0"/>
    <x v="0"/>
    <x v="114"/>
    <s v="Mudon"/>
    <x v="3"/>
    <x v="2"/>
    <x v="1"/>
    <n v="25"/>
    <n v="350"/>
    <n v="224"/>
  </r>
  <r>
    <x v="20"/>
    <x v="0"/>
    <x v="0"/>
    <x v="40"/>
    <s v="Mudon"/>
    <x v="2"/>
    <x v="2"/>
    <x v="1"/>
    <n v="50"/>
    <n v="700"/>
    <n v="448"/>
  </r>
  <r>
    <x v="20"/>
    <x v="0"/>
    <x v="0"/>
    <x v="29"/>
    <s v="Maw La Myaing"/>
    <x v="0"/>
    <x v="2"/>
    <x v="4"/>
    <n v="50"/>
    <n v="600"/>
    <n v="600"/>
  </r>
  <r>
    <x v="20"/>
    <x v="0"/>
    <x v="0"/>
    <x v="115"/>
    <s v="Maw La Myaing"/>
    <x v="3"/>
    <x v="2"/>
    <x v="6"/>
    <n v="2"/>
    <n v="24"/>
    <n v="16.799999999999997"/>
  </r>
  <r>
    <x v="20"/>
    <x v="0"/>
    <x v="0"/>
    <x v="116"/>
    <s v="Maw La Myaing"/>
    <x v="3"/>
    <x v="2"/>
    <x v="6"/>
    <n v="10"/>
    <n v="140"/>
    <n v="89.600000000000009"/>
  </r>
  <r>
    <x v="20"/>
    <x v="0"/>
    <x v="0"/>
    <x v="116"/>
    <s v="Maw La Myaing"/>
    <x v="3"/>
    <x v="3"/>
    <x v="12"/>
    <n v="8.3333333333333329E-2"/>
    <n v="1"/>
    <n v="1"/>
  </r>
  <r>
    <x v="20"/>
    <x v="0"/>
    <x v="0"/>
    <x v="116"/>
    <s v="Maw La Myaing"/>
    <x v="3"/>
    <x v="3"/>
    <x v="14"/>
    <n v="7.1428571428571425E-2"/>
    <n v="1"/>
    <n v="0.64"/>
  </r>
  <r>
    <x v="20"/>
    <x v="0"/>
    <x v="0"/>
    <x v="117"/>
    <s v="Maw La Myaing"/>
    <x v="3"/>
    <x v="2"/>
    <x v="5"/>
    <n v="10"/>
    <n v="120"/>
    <n v="120"/>
  </r>
  <r>
    <x v="20"/>
    <x v="0"/>
    <x v="0"/>
    <x v="61"/>
    <s v="Maw La Myaing"/>
    <x v="3"/>
    <x v="2"/>
    <x v="5"/>
    <n v="10"/>
    <n v="120"/>
    <n v="120"/>
  </r>
  <r>
    <x v="20"/>
    <x v="0"/>
    <x v="0"/>
    <x v="61"/>
    <s v="Maw La Myaing"/>
    <x v="3"/>
    <x v="2"/>
    <x v="12"/>
    <n v="1"/>
    <n v="12"/>
    <n v="12"/>
  </r>
  <r>
    <x v="20"/>
    <x v="0"/>
    <x v="0"/>
    <x v="118"/>
    <s v="Maw La Myaing"/>
    <x v="3"/>
    <x v="2"/>
    <x v="12"/>
    <n v="1"/>
    <n v="12"/>
    <n v="12"/>
  </r>
  <r>
    <x v="20"/>
    <x v="0"/>
    <x v="0"/>
    <x v="118"/>
    <s v="Maw La Myaing"/>
    <x v="3"/>
    <x v="3"/>
    <x v="11"/>
    <n v="8.3333333333333329E-2"/>
    <n v="1"/>
    <n v="1"/>
  </r>
  <r>
    <x v="20"/>
    <x v="0"/>
    <x v="0"/>
    <x v="38"/>
    <s v="Maw La Myaing"/>
    <x v="1"/>
    <x v="2"/>
    <x v="11"/>
    <n v="1"/>
    <n v="12"/>
    <n v="12"/>
  </r>
  <r>
    <x v="20"/>
    <x v="0"/>
    <x v="0"/>
    <x v="67"/>
    <s v="Maw La Myaing"/>
    <x v="3"/>
    <x v="2"/>
    <x v="10"/>
    <n v="0.21428571428571427"/>
    <n v="3"/>
    <n v="1.92"/>
  </r>
  <r>
    <x v="20"/>
    <x v="0"/>
    <x v="0"/>
    <x v="67"/>
    <s v="Maw La Myaing"/>
    <x v="3"/>
    <x v="2"/>
    <x v="11"/>
    <n v="0.5"/>
    <n v="6"/>
    <n v="6"/>
  </r>
  <r>
    <x v="21"/>
    <x v="0"/>
    <x v="0"/>
    <x v="35"/>
    <s v="Hpa-an"/>
    <x v="2"/>
    <x v="2"/>
    <x v="4"/>
    <n v="50"/>
    <n v="600"/>
    <n v="600"/>
  </r>
  <r>
    <x v="21"/>
    <x v="0"/>
    <x v="0"/>
    <x v="36"/>
    <s v="Hpa-an"/>
    <x v="1"/>
    <x v="2"/>
    <x v="5"/>
    <n v="150"/>
    <n v="1800"/>
    <n v="1800"/>
  </r>
  <r>
    <x v="21"/>
    <x v="0"/>
    <x v="0"/>
    <x v="119"/>
    <s v="Hpa-an"/>
    <x v="3"/>
    <x v="2"/>
    <x v="5"/>
    <n v="10"/>
    <n v="120"/>
    <n v="120"/>
  </r>
  <r>
    <x v="21"/>
    <x v="0"/>
    <x v="0"/>
    <x v="29"/>
    <s v="Maw La Myaing"/>
    <x v="0"/>
    <x v="2"/>
    <x v="6"/>
    <n v="10"/>
    <n v="140"/>
    <n v="89.600000000000009"/>
  </r>
  <r>
    <x v="21"/>
    <x v="0"/>
    <x v="0"/>
    <x v="29"/>
    <s v="Maw La Myaing"/>
    <x v="0"/>
    <x v="2"/>
    <x v="9"/>
    <n v="20"/>
    <n v="280"/>
    <n v="179.20000000000002"/>
  </r>
  <r>
    <x v="21"/>
    <x v="0"/>
    <x v="0"/>
    <x v="120"/>
    <s v="Yay"/>
    <x v="1"/>
    <x v="2"/>
    <x v="3"/>
    <n v="20"/>
    <n v="280"/>
    <n v="179.20000000000002"/>
  </r>
  <r>
    <x v="21"/>
    <x v="0"/>
    <x v="0"/>
    <x v="120"/>
    <s v="Yay"/>
    <x v="1"/>
    <x v="2"/>
    <x v="4"/>
    <n v="50"/>
    <n v="600"/>
    <n v="600"/>
  </r>
  <r>
    <x v="21"/>
    <x v="0"/>
    <x v="0"/>
    <x v="121"/>
    <s v="Yay"/>
    <x v="2"/>
    <x v="2"/>
    <x v="4"/>
    <n v="50"/>
    <n v="600"/>
    <n v="600"/>
  </r>
  <r>
    <x v="21"/>
    <x v="0"/>
    <x v="0"/>
    <x v="27"/>
    <s v="Maw La Myaing"/>
    <x v="0"/>
    <x v="2"/>
    <x v="2"/>
    <n v="30"/>
    <n v="720"/>
    <n v="460.8"/>
  </r>
  <r>
    <x v="21"/>
    <x v="0"/>
    <x v="0"/>
    <x v="122"/>
    <s v="Paung"/>
    <x v="3"/>
    <x v="2"/>
    <x v="6"/>
    <n v="100"/>
    <n v="1400"/>
    <n v="896"/>
  </r>
  <r>
    <x v="21"/>
    <x v="0"/>
    <x v="0"/>
    <x v="26"/>
    <s v="Paung"/>
    <x v="3"/>
    <x v="2"/>
    <x v="6"/>
    <n v="10"/>
    <n v="140"/>
    <n v="89.600000000000009"/>
  </r>
  <r>
    <x v="21"/>
    <x v="0"/>
    <x v="0"/>
    <x v="26"/>
    <s v="Paung"/>
    <x v="3"/>
    <x v="2"/>
    <x v="1"/>
    <n v="10"/>
    <n v="140"/>
    <n v="89.600000000000009"/>
  </r>
  <r>
    <x v="21"/>
    <x v="0"/>
    <x v="0"/>
    <x v="123"/>
    <s v="Paung"/>
    <x v="3"/>
    <x v="2"/>
    <x v="6"/>
    <n v="5"/>
    <n v="70"/>
    <n v="44.800000000000004"/>
  </r>
  <r>
    <x v="21"/>
    <x v="0"/>
    <x v="0"/>
    <x v="123"/>
    <s v="Paung"/>
    <x v="3"/>
    <x v="2"/>
    <x v="6"/>
    <n v="3"/>
    <n v="36"/>
    <n v="25.2"/>
  </r>
  <r>
    <x v="21"/>
    <x v="0"/>
    <x v="0"/>
    <x v="124"/>
    <s v="Paung"/>
    <x v="3"/>
    <x v="2"/>
    <x v="6"/>
    <n v="25"/>
    <n v="350"/>
    <n v="224"/>
  </r>
  <r>
    <x v="21"/>
    <x v="0"/>
    <x v="0"/>
    <x v="68"/>
    <s v="Maw La Myaing"/>
    <x v="1"/>
    <x v="2"/>
    <x v="6"/>
    <n v="10"/>
    <n v="140"/>
    <n v="89.600000000000009"/>
  </r>
  <r>
    <x v="21"/>
    <x v="0"/>
    <x v="0"/>
    <x v="3"/>
    <s v="Yay"/>
    <x v="0"/>
    <x v="0"/>
    <x v="3"/>
    <n v="150"/>
    <n v="2100"/>
    <n v="1344"/>
  </r>
  <r>
    <x v="21"/>
    <x v="0"/>
    <x v="0"/>
    <x v="3"/>
    <s v="Yay"/>
    <x v="0"/>
    <x v="0"/>
    <x v="4"/>
    <n v="160"/>
    <n v="1920"/>
    <n v="1920"/>
  </r>
  <r>
    <x v="22"/>
    <x v="0"/>
    <x v="0"/>
    <x v="5"/>
    <s v="Yay"/>
    <x v="0"/>
    <x v="0"/>
    <x v="4"/>
    <n v="50"/>
    <n v="600"/>
    <n v="600"/>
  </r>
  <r>
    <x v="22"/>
    <x v="0"/>
    <x v="0"/>
    <x v="7"/>
    <s v="Yay"/>
    <x v="2"/>
    <x v="0"/>
    <x v="4"/>
    <n v="300"/>
    <n v="3600"/>
    <n v="3600"/>
  </r>
  <r>
    <x v="22"/>
    <x v="0"/>
    <x v="0"/>
    <x v="3"/>
    <s v="Yay"/>
    <x v="0"/>
    <x v="0"/>
    <x v="3"/>
    <n v="50"/>
    <n v="700"/>
    <n v="448"/>
  </r>
  <r>
    <x v="22"/>
    <x v="0"/>
    <x v="0"/>
    <x v="3"/>
    <s v="Yay"/>
    <x v="0"/>
    <x v="0"/>
    <x v="4"/>
    <n v="120"/>
    <n v="1440"/>
    <n v="1440"/>
  </r>
  <r>
    <x v="22"/>
    <x v="0"/>
    <x v="0"/>
    <x v="125"/>
    <s v="Mudon"/>
    <x v="3"/>
    <x v="2"/>
    <x v="1"/>
    <n v="25"/>
    <n v="350"/>
    <n v="224"/>
  </r>
  <r>
    <x v="22"/>
    <x v="0"/>
    <x v="0"/>
    <x v="42"/>
    <s v="Mudon"/>
    <x v="2"/>
    <x v="2"/>
    <x v="1"/>
    <n v="25"/>
    <n v="350"/>
    <n v="224"/>
  </r>
  <r>
    <x v="22"/>
    <x v="0"/>
    <x v="0"/>
    <x v="69"/>
    <s v="Mudon"/>
    <x v="1"/>
    <x v="2"/>
    <x v="1"/>
    <n v="25"/>
    <n v="350"/>
    <n v="224"/>
  </r>
  <r>
    <x v="22"/>
    <x v="0"/>
    <x v="0"/>
    <x v="40"/>
    <s v="Mudon"/>
    <x v="2"/>
    <x v="2"/>
    <x v="1"/>
    <n v="50"/>
    <n v="700"/>
    <n v="448"/>
  </r>
  <r>
    <x v="22"/>
    <x v="0"/>
    <x v="0"/>
    <x v="40"/>
    <s v="Mudon"/>
    <x v="2"/>
    <x v="2"/>
    <x v="4"/>
    <n v="10"/>
    <n v="120"/>
    <n v="120"/>
  </r>
  <r>
    <x v="22"/>
    <x v="0"/>
    <x v="0"/>
    <x v="20"/>
    <s v="Yay"/>
    <x v="3"/>
    <x v="2"/>
    <x v="4"/>
    <n v="20"/>
    <n v="240"/>
    <n v="240"/>
  </r>
  <r>
    <x v="22"/>
    <x v="0"/>
    <x v="0"/>
    <x v="27"/>
    <s v="Maw La Myaing"/>
    <x v="0"/>
    <x v="2"/>
    <x v="2"/>
    <n v="20"/>
    <n v="480"/>
    <n v="307.2"/>
  </r>
  <r>
    <x v="23"/>
    <x v="0"/>
    <x v="0"/>
    <x v="5"/>
    <s v="Yay"/>
    <x v="0"/>
    <x v="0"/>
    <x v="4"/>
    <n v="120"/>
    <n v="1440"/>
    <n v="1440"/>
  </r>
  <r>
    <x v="23"/>
    <x v="0"/>
    <x v="0"/>
    <x v="1"/>
    <s v="Yay"/>
    <x v="0"/>
    <x v="0"/>
    <x v="4"/>
    <n v="100"/>
    <n v="1200"/>
    <n v="1200"/>
  </r>
  <r>
    <x v="23"/>
    <x v="0"/>
    <x v="0"/>
    <x v="27"/>
    <s v="Maw La Myaing"/>
    <x v="0"/>
    <x v="2"/>
    <x v="6"/>
    <n v="20"/>
    <n v="280"/>
    <n v="179.20000000000002"/>
  </r>
  <r>
    <x v="23"/>
    <x v="0"/>
    <x v="0"/>
    <x v="91"/>
    <s v="Maw La Myaing"/>
    <x v="3"/>
    <x v="2"/>
    <x v="6"/>
    <n v="10"/>
    <n v="140"/>
    <n v="89.600000000000009"/>
  </r>
  <r>
    <x v="23"/>
    <x v="0"/>
    <x v="0"/>
    <x v="38"/>
    <s v="Maw La Myaing"/>
    <x v="1"/>
    <x v="2"/>
    <x v="6"/>
    <n v="15"/>
    <n v="210"/>
    <n v="134.4"/>
  </r>
  <r>
    <x v="23"/>
    <x v="0"/>
    <x v="0"/>
    <x v="126"/>
    <s v="Maw La Myaing"/>
    <x v="3"/>
    <x v="2"/>
    <x v="6"/>
    <n v="5"/>
    <n v="70"/>
    <n v="44.800000000000004"/>
  </r>
  <r>
    <x v="23"/>
    <x v="0"/>
    <x v="0"/>
    <x v="126"/>
    <s v="Maw La Myaing"/>
    <x v="3"/>
    <x v="2"/>
    <x v="5"/>
    <n v="5"/>
    <n v="60"/>
    <n v="60"/>
  </r>
  <r>
    <x v="23"/>
    <x v="0"/>
    <x v="0"/>
    <x v="64"/>
    <s v="Maw La Myaing"/>
    <x v="3"/>
    <x v="2"/>
    <x v="5"/>
    <n v="5"/>
    <n v="60"/>
    <n v="60"/>
  </r>
  <r>
    <x v="23"/>
    <x v="0"/>
    <x v="0"/>
    <x v="64"/>
    <s v="Maw La Myaing"/>
    <x v="3"/>
    <x v="2"/>
    <x v="11"/>
    <n v="5"/>
    <n v="60"/>
    <n v="60"/>
  </r>
  <r>
    <x v="23"/>
    <x v="0"/>
    <x v="0"/>
    <x v="58"/>
    <s v="Maw La Myaing"/>
    <x v="3"/>
    <x v="2"/>
    <x v="12"/>
    <n v="5"/>
    <n v="60"/>
    <n v="60"/>
  </r>
  <r>
    <x v="23"/>
    <x v="0"/>
    <x v="0"/>
    <x v="27"/>
    <s v="Maw La Myaing"/>
    <x v="0"/>
    <x v="2"/>
    <x v="12"/>
    <n v="2"/>
    <n v="24"/>
    <n v="24"/>
  </r>
  <r>
    <x v="23"/>
    <x v="0"/>
    <x v="0"/>
    <x v="127"/>
    <s v="Paung"/>
    <x v="3"/>
    <x v="2"/>
    <x v="6"/>
    <n v="25"/>
    <n v="300"/>
    <n v="210"/>
  </r>
  <r>
    <x v="23"/>
    <x v="0"/>
    <x v="0"/>
    <x v="128"/>
    <s v="Kyaikto"/>
    <x v="3"/>
    <x v="2"/>
    <x v="6"/>
    <n v="150"/>
    <n v="1800"/>
    <n v="1260"/>
  </r>
  <r>
    <x v="23"/>
    <x v="0"/>
    <x v="0"/>
    <x v="129"/>
    <s v="Belin"/>
    <x v="3"/>
    <x v="2"/>
    <x v="6"/>
    <n v="15"/>
    <n v="210"/>
    <n v="134.4"/>
  </r>
  <r>
    <x v="23"/>
    <x v="0"/>
    <x v="0"/>
    <x v="129"/>
    <s v="Belin"/>
    <x v="3"/>
    <x v="3"/>
    <x v="6"/>
    <n v="0.21428571428571427"/>
    <n v="3"/>
    <n v="1.92"/>
  </r>
  <r>
    <x v="23"/>
    <x v="0"/>
    <x v="0"/>
    <x v="130"/>
    <s v="Belin"/>
    <x v="3"/>
    <x v="2"/>
    <x v="6"/>
    <n v="10"/>
    <n v="140"/>
    <n v="89.600000000000009"/>
  </r>
  <r>
    <x v="23"/>
    <x v="0"/>
    <x v="0"/>
    <x v="130"/>
    <s v="Belin"/>
    <x v="3"/>
    <x v="2"/>
    <x v="5"/>
    <n v="50"/>
    <n v="600"/>
    <n v="600"/>
  </r>
  <r>
    <x v="23"/>
    <x v="0"/>
    <x v="0"/>
    <x v="130"/>
    <s v="Belin"/>
    <x v="3"/>
    <x v="3"/>
    <x v="6"/>
    <n v="0.21428571428571427"/>
    <n v="3"/>
    <n v="1.92"/>
  </r>
  <r>
    <x v="24"/>
    <x v="0"/>
    <x v="0"/>
    <x v="1"/>
    <s v="Yay"/>
    <x v="0"/>
    <x v="0"/>
    <x v="3"/>
    <n v="300"/>
    <n v="4200"/>
    <n v="2688"/>
  </r>
  <r>
    <x v="24"/>
    <x v="0"/>
    <x v="0"/>
    <x v="19"/>
    <s v="Mudon"/>
    <x v="3"/>
    <x v="0"/>
    <x v="1"/>
    <n v="20"/>
    <n v="280"/>
    <n v="179.20000000000002"/>
  </r>
  <r>
    <x v="24"/>
    <x v="0"/>
    <x v="0"/>
    <x v="3"/>
    <s v="Yay"/>
    <x v="0"/>
    <x v="0"/>
    <x v="3"/>
    <n v="80"/>
    <n v="1120"/>
    <n v="716.80000000000007"/>
  </r>
  <r>
    <x v="24"/>
    <x v="0"/>
    <x v="0"/>
    <x v="3"/>
    <s v="Yay"/>
    <x v="0"/>
    <x v="0"/>
    <x v="4"/>
    <n v="100"/>
    <n v="1200"/>
    <n v="1200"/>
  </r>
  <r>
    <x v="24"/>
    <x v="0"/>
    <x v="0"/>
    <x v="62"/>
    <s v="Maw La Myaing"/>
    <x v="2"/>
    <x v="2"/>
    <x v="6"/>
    <n v="25"/>
    <n v="350"/>
    <n v="224"/>
  </r>
  <r>
    <x v="24"/>
    <x v="0"/>
    <x v="0"/>
    <x v="62"/>
    <s v="Maw La Myaing"/>
    <x v="2"/>
    <x v="2"/>
    <x v="5"/>
    <n v="10"/>
    <n v="120"/>
    <n v="120"/>
  </r>
  <r>
    <x v="24"/>
    <x v="0"/>
    <x v="0"/>
    <x v="0"/>
    <s v="Maw La Myaing"/>
    <x v="0"/>
    <x v="2"/>
    <x v="3"/>
    <n v="50"/>
    <n v="700"/>
    <n v="448"/>
  </r>
  <r>
    <x v="24"/>
    <x v="0"/>
    <x v="0"/>
    <x v="131"/>
    <s v="Mudon"/>
    <x v="3"/>
    <x v="2"/>
    <x v="3"/>
    <n v="40"/>
    <n v="560"/>
    <n v="358.40000000000003"/>
  </r>
  <r>
    <x v="24"/>
    <x v="0"/>
    <x v="0"/>
    <x v="131"/>
    <s v="Mudon"/>
    <x v="3"/>
    <x v="2"/>
    <x v="1"/>
    <n v="10"/>
    <n v="140"/>
    <n v="89.600000000000009"/>
  </r>
  <r>
    <x v="24"/>
    <x v="0"/>
    <x v="0"/>
    <x v="132"/>
    <s v="Mudon"/>
    <x v="3"/>
    <x v="2"/>
    <x v="1"/>
    <n v="50"/>
    <n v="700"/>
    <n v="448"/>
  </r>
  <r>
    <x v="24"/>
    <x v="0"/>
    <x v="0"/>
    <x v="27"/>
    <s v="Maw La Myaing"/>
    <x v="0"/>
    <x v="2"/>
    <x v="2"/>
    <n v="49"/>
    <n v="1176"/>
    <n v="752.64"/>
  </r>
  <r>
    <x v="24"/>
    <x v="0"/>
    <x v="0"/>
    <x v="133"/>
    <s v="Maw La Myaing"/>
    <x v="3"/>
    <x v="2"/>
    <x v="6"/>
    <n v="2"/>
    <n v="28"/>
    <n v="17.920000000000002"/>
  </r>
  <r>
    <x v="24"/>
    <x v="0"/>
    <x v="0"/>
    <x v="133"/>
    <s v="Maw La Myaing"/>
    <x v="3"/>
    <x v="2"/>
    <x v="5"/>
    <n v="10"/>
    <n v="120"/>
    <n v="120"/>
  </r>
  <r>
    <x v="25"/>
    <x v="0"/>
    <x v="0"/>
    <x v="134"/>
    <s v="Mudon"/>
    <x v="3"/>
    <x v="2"/>
    <x v="1"/>
    <n v="7"/>
    <n v="98"/>
    <n v="62.72"/>
  </r>
  <r>
    <x v="25"/>
    <x v="0"/>
    <x v="0"/>
    <x v="29"/>
    <s v="Maw La Myaing"/>
    <x v="0"/>
    <x v="2"/>
    <x v="6"/>
    <n v="20"/>
    <n v="280"/>
    <n v="179.20000000000002"/>
  </r>
  <r>
    <x v="25"/>
    <x v="0"/>
    <x v="0"/>
    <x v="29"/>
    <s v="Maw La Myaing"/>
    <x v="0"/>
    <x v="2"/>
    <x v="4"/>
    <n v="50"/>
    <n v="600"/>
    <n v="600"/>
  </r>
  <r>
    <x v="25"/>
    <x v="0"/>
    <x v="0"/>
    <x v="34"/>
    <s v="Yay"/>
    <x v="3"/>
    <x v="2"/>
    <x v="4"/>
    <n v="50"/>
    <n v="600"/>
    <n v="600"/>
  </r>
  <r>
    <x v="25"/>
    <x v="0"/>
    <x v="0"/>
    <x v="135"/>
    <s v="Maw La Myaing"/>
    <x v="3"/>
    <x v="2"/>
    <x v="5"/>
    <n v="3"/>
    <n v="36"/>
    <n v="36"/>
  </r>
  <r>
    <x v="25"/>
    <x v="0"/>
    <x v="0"/>
    <x v="3"/>
    <s v="Yay"/>
    <x v="0"/>
    <x v="0"/>
    <x v="3"/>
    <n v="150"/>
    <n v="2100"/>
    <n v="1344"/>
  </r>
  <r>
    <x v="25"/>
    <x v="0"/>
    <x v="0"/>
    <x v="3"/>
    <s v="Yay"/>
    <x v="0"/>
    <x v="0"/>
    <x v="4"/>
    <n v="100"/>
    <n v="1200"/>
    <n v="1200"/>
  </r>
  <r>
    <x v="25"/>
    <x v="0"/>
    <x v="0"/>
    <x v="0"/>
    <s v="Maw La Myaing"/>
    <x v="0"/>
    <x v="0"/>
    <x v="2"/>
    <n v="60"/>
    <n v="1440"/>
    <n v="921.6"/>
  </r>
  <r>
    <x v="25"/>
    <x v="0"/>
    <x v="0"/>
    <x v="14"/>
    <s v="Belin"/>
    <x v="2"/>
    <x v="3"/>
    <x v="6"/>
    <n v="0.35714285714285715"/>
    <n v="5"/>
    <n v="3.2"/>
  </r>
  <r>
    <x v="25"/>
    <x v="0"/>
    <x v="0"/>
    <x v="14"/>
    <s v="Belin"/>
    <x v="2"/>
    <x v="0"/>
    <x v="6"/>
    <n v="200"/>
    <n v="2800"/>
    <n v="1792"/>
  </r>
  <r>
    <x v="25"/>
    <x v="0"/>
    <x v="0"/>
    <x v="14"/>
    <s v="Belin"/>
    <x v="2"/>
    <x v="0"/>
    <x v="6"/>
    <n v="10"/>
    <n v="120"/>
    <n v="84"/>
  </r>
  <r>
    <x v="26"/>
    <x v="0"/>
    <x v="0"/>
    <x v="79"/>
    <s v="Maw La Myaing"/>
    <x v="3"/>
    <x v="2"/>
    <x v="6"/>
    <n v="5"/>
    <n v="70"/>
    <n v="44.800000000000004"/>
  </r>
  <r>
    <x v="26"/>
    <x v="0"/>
    <x v="0"/>
    <x v="79"/>
    <s v="Maw La Myaing"/>
    <x v="3"/>
    <x v="2"/>
    <x v="5"/>
    <n v="5"/>
    <n v="60"/>
    <n v="60"/>
  </r>
  <r>
    <x v="26"/>
    <x v="0"/>
    <x v="0"/>
    <x v="25"/>
    <s v="Maw La Myaing"/>
    <x v="3"/>
    <x v="2"/>
    <x v="5"/>
    <n v="5"/>
    <n v="60"/>
    <n v="60"/>
  </r>
  <r>
    <x v="26"/>
    <x v="0"/>
    <x v="0"/>
    <x v="49"/>
    <s v="Yay"/>
    <x v="2"/>
    <x v="2"/>
    <x v="3"/>
    <n v="50"/>
    <n v="700"/>
    <n v="448"/>
  </r>
  <r>
    <x v="26"/>
    <x v="0"/>
    <x v="0"/>
    <x v="0"/>
    <s v="Maw La Myaing"/>
    <x v="0"/>
    <x v="2"/>
    <x v="3"/>
    <n v="50"/>
    <n v="700"/>
    <n v="448"/>
  </r>
  <r>
    <x v="26"/>
    <x v="0"/>
    <x v="0"/>
    <x v="22"/>
    <s v="Yay"/>
    <x v="0"/>
    <x v="2"/>
    <x v="3"/>
    <n v="75"/>
    <n v="1050"/>
    <n v="672"/>
  </r>
  <r>
    <x v="26"/>
    <x v="0"/>
    <x v="0"/>
    <x v="22"/>
    <s v="Yay"/>
    <x v="0"/>
    <x v="2"/>
    <x v="4"/>
    <n v="75"/>
    <n v="900"/>
    <n v="900"/>
  </r>
  <r>
    <x v="26"/>
    <x v="0"/>
    <x v="0"/>
    <x v="40"/>
    <s v="Mudon"/>
    <x v="2"/>
    <x v="2"/>
    <x v="1"/>
    <n v="30"/>
    <n v="420"/>
    <n v="268.8"/>
  </r>
  <r>
    <x v="26"/>
    <x v="0"/>
    <x v="0"/>
    <x v="42"/>
    <s v="Mudon"/>
    <x v="2"/>
    <x v="2"/>
    <x v="1"/>
    <n v="25"/>
    <n v="350"/>
    <n v="224"/>
  </r>
  <r>
    <x v="26"/>
    <x v="0"/>
    <x v="0"/>
    <x v="27"/>
    <s v="Maw La Myaing"/>
    <x v="0"/>
    <x v="2"/>
    <x v="2"/>
    <n v="20"/>
    <n v="480"/>
    <n v="307.2"/>
  </r>
  <r>
    <x v="26"/>
    <x v="0"/>
    <x v="0"/>
    <x v="30"/>
    <s v="Yay"/>
    <x v="3"/>
    <x v="2"/>
    <x v="4"/>
    <n v="300"/>
    <n v="3600"/>
    <n v="3600"/>
  </r>
  <r>
    <x v="26"/>
    <x v="0"/>
    <x v="0"/>
    <x v="1"/>
    <s v="Yay"/>
    <x v="0"/>
    <x v="2"/>
    <x v="4"/>
    <n v="100"/>
    <n v="1200"/>
    <n v="1200"/>
  </r>
  <r>
    <x v="26"/>
    <x v="0"/>
    <x v="0"/>
    <x v="136"/>
    <s v="Yay"/>
    <x v="2"/>
    <x v="0"/>
    <x v="3"/>
    <n v="100"/>
    <n v="1400"/>
    <n v="896"/>
  </r>
  <r>
    <x v="26"/>
    <x v="0"/>
    <x v="0"/>
    <x v="4"/>
    <s v="Yay"/>
    <x v="0"/>
    <x v="0"/>
    <x v="3"/>
    <n v="100"/>
    <n v="1400"/>
    <n v="896"/>
  </r>
  <r>
    <x v="26"/>
    <x v="0"/>
    <x v="0"/>
    <x v="4"/>
    <s v="Yay"/>
    <x v="0"/>
    <x v="0"/>
    <x v="4"/>
    <n v="400"/>
    <n v="4800"/>
    <n v="4800"/>
  </r>
  <r>
    <x v="26"/>
    <x v="0"/>
    <x v="0"/>
    <x v="3"/>
    <s v="Yay"/>
    <x v="0"/>
    <x v="0"/>
    <x v="3"/>
    <n v="250"/>
    <n v="3500"/>
    <n v="2240"/>
  </r>
  <r>
    <x v="26"/>
    <x v="0"/>
    <x v="0"/>
    <x v="3"/>
    <s v="Yay"/>
    <x v="0"/>
    <x v="0"/>
    <x v="4"/>
    <n v="160"/>
    <n v="1920"/>
    <n v="1920"/>
  </r>
  <r>
    <x v="26"/>
    <x v="0"/>
    <x v="0"/>
    <x v="1"/>
    <s v="Yay"/>
    <x v="0"/>
    <x v="0"/>
    <x v="3"/>
    <n v="500"/>
    <n v="7000"/>
    <n v="4480"/>
  </r>
  <r>
    <x v="26"/>
    <x v="0"/>
    <x v="0"/>
    <x v="1"/>
    <s v="Yay"/>
    <x v="0"/>
    <x v="0"/>
    <x v="4"/>
    <n v="100"/>
    <n v="1200"/>
    <n v="1200"/>
  </r>
  <r>
    <x v="26"/>
    <x v="0"/>
    <x v="0"/>
    <x v="9"/>
    <s v="Mudon"/>
    <x v="2"/>
    <x v="0"/>
    <x v="1"/>
    <n v="50"/>
    <n v="700"/>
    <n v="448"/>
  </r>
  <r>
    <x v="27"/>
    <x v="0"/>
    <x v="1"/>
    <x v="3"/>
    <s v="Yay"/>
    <x v="0"/>
    <x v="4"/>
    <x v="3"/>
    <m/>
    <n v="2380"/>
    <n v="1523.2"/>
  </r>
  <r>
    <x v="27"/>
    <x v="0"/>
    <x v="1"/>
    <x v="3"/>
    <s v="Yay"/>
    <x v="0"/>
    <x v="4"/>
    <x v="4"/>
    <m/>
    <n v="1200"/>
    <n v="1200"/>
  </r>
  <r>
    <x v="27"/>
    <x v="0"/>
    <x v="1"/>
    <x v="2"/>
    <s v="Yay"/>
    <x v="0"/>
    <x v="4"/>
    <x v="3"/>
    <m/>
    <n v="4200"/>
    <n v="2688"/>
  </r>
  <r>
    <x v="27"/>
    <x v="0"/>
    <x v="1"/>
    <x v="2"/>
    <s v="Yay"/>
    <x v="0"/>
    <x v="4"/>
    <x v="4"/>
    <m/>
    <n v="1200"/>
    <n v="1200"/>
  </r>
  <r>
    <x v="27"/>
    <x v="0"/>
    <x v="1"/>
    <x v="3"/>
    <s v="Yay"/>
    <x v="0"/>
    <x v="4"/>
    <x v="4"/>
    <m/>
    <n v="1980"/>
    <n v="1980"/>
  </r>
  <r>
    <x v="27"/>
    <x v="0"/>
    <x v="1"/>
    <x v="5"/>
    <s v="Yay"/>
    <x v="0"/>
    <x v="4"/>
    <x v="4"/>
    <m/>
    <n v="600"/>
    <n v="600"/>
  </r>
  <r>
    <x v="27"/>
    <x v="0"/>
    <x v="1"/>
    <x v="68"/>
    <s v="Maw La Myaing"/>
    <x v="1"/>
    <x v="4"/>
    <x v="6"/>
    <m/>
    <n v="140"/>
    <n v="89.600000000000009"/>
  </r>
  <r>
    <x v="27"/>
    <x v="0"/>
    <x v="1"/>
    <x v="83"/>
    <s v="Maw La Myaing"/>
    <x v="3"/>
    <x v="4"/>
    <x v="6"/>
    <m/>
    <n v="140"/>
    <n v="89.600000000000009"/>
  </r>
  <r>
    <x v="27"/>
    <x v="0"/>
    <x v="1"/>
    <x v="43"/>
    <s v="Maw La Myaing"/>
    <x v="3"/>
    <x v="4"/>
    <x v="6"/>
    <m/>
    <n v="350"/>
    <n v="224"/>
  </r>
  <r>
    <x v="27"/>
    <x v="0"/>
    <x v="1"/>
    <x v="27"/>
    <s v="Maw La Myaing"/>
    <x v="0"/>
    <x v="4"/>
    <x v="2"/>
    <m/>
    <n v="480"/>
    <n v="307.2"/>
  </r>
  <r>
    <x v="27"/>
    <x v="0"/>
    <x v="1"/>
    <x v="39"/>
    <s v="Maw La Myaing"/>
    <x v="0"/>
    <x v="4"/>
    <x v="4"/>
    <m/>
    <n v="2400"/>
    <n v="2400"/>
  </r>
  <r>
    <x v="27"/>
    <x v="0"/>
    <x v="1"/>
    <x v="21"/>
    <s v="Maw La Myaing"/>
    <x v="3"/>
    <x v="4"/>
    <x v="4"/>
    <m/>
    <n v="600"/>
    <n v="600"/>
  </r>
  <r>
    <x v="27"/>
    <x v="0"/>
    <x v="1"/>
    <x v="21"/>
    <s v="Maw La Myaing"/>
    <x v="3"/>
    <x v="4"/>
    <x v="6"/>
    <m/>
    <n v="70"/>
    <n v="44.800000000000004"/>
  </r>
  <r>
    <x v="27"/>
    <x v="0"/>
    <x v="1"/>
    <x v="137"/>
    <s v="Mudon"/>
    <x v="3"/>
    <x v="4"/>
    <x v="5"/>
    <m/>
    <n v="120"/>
    <n v="120"/>
  </r>
  <r>
    <x v="27"/>
    <x v="0"/>
    <x v="1"/>
    <x v="99"/>
    <s v="KawKareik"/>
    <x v="3"/>
    <x v="4"/>
    <x v="5"/>
    <m/>
    <n v="60"/>
    <n v="60"/>
  </r>
  <r>
    <x v="28"/>
    <x v="1"/>
    <x v="0"/>
    <x v="5"/>
    <s v="Yay"/>
    <x v="0"/>
    <x v="0"/>
    <x v="4"/>
    <n v="30"/>
    <n v="360"/>
    <n v="360"/>
  </r>
  <r>
    <x v="28"/>
    <x v="1"/>
    <x v="0"/>
    <x v="3"/>
    <s v="Yay"/>
    <x v="0"/>
    <x v="0"/>
    <x v="3"/>
    <n v="200"/>
    <n v="2800"/>
    <n v="1792"/>
  </r>
  <r>
    <x v="28"/>
    <x v="1"/>
    <x v="0"/>
    <x v="29"/>
    <s v="Maw La Myaing"/>
    <x v="0"/>
    <x v="2"/>
    <x v="6"/>
    <n v="20"/>
    <n v="280"/>
    <n v="179.20000000000002"/>
  </r>
  <r>
    <x v="28"/>
    <x v="1"/>
    <x v="0"/>
    <x v="40"/>
    <s v="Mudon"/>
    <x v="2"/>
    <x v="2"/>
    <x v="1"/>
    <n v="50"/>
    <n v="700"/>
    <n v="448"/>
  </r>
  <r>
    <x v="28"/>
    <x v="1"/>
    <x v="0"/>
    <x v="86"/>
    <s v="Mudon"/>
    <x v="3"/>
    <x v="2"/>
    <x v="1"/>
    <n v="25"/>
    <n v="350"/>
    <n v="224"/>
  </r>
  <r>
    <x v="28"/>
    <x v="1"/>
    <x v="0"/>
    <x v="27"/>
    <s v="Maw La Myaing"/>
    <x v="0"/>
    <x v="2"/>
    <x v="2"/>
    <n v="30"/>
    <n v="720"/>
    <n v="460.8"/>
  </r>
  <r>
    <x v="28"/>
    <x v="1"/>
    <x v="0"/>
    <x v="94"/>
    <s v="Mudon"/>
    <x v="3"/>
    <x v="2"/>
    <x v="4"/>
    <n v="50"/>
    <n v="600"/>
    <n v="600"/>
  </r>
  <r>
    <x v="28"/>
    <x v="1"/>
    <x v="0"/>
    <x v="34"/>
    <s v="Yay"/>
    <x v="3"/>
    <x v="2"/>
    <x v="4"/>
    <n v="50"/>
    <n v="600"/>
    <n v="600"/>
  </r>
  <r>
    <x v="28"/>
    <x v="1"/>
    <x v="0"/>
    <x v="106"/>
    <s v="Maw La Myaing"/>
    <x v="3"/>
    <x v="2"/>
    <x v="6"/>
    <n v="10"/>
    <n v="140"/>
    <n v="89.600000000000009"/>
  </r>
  <r>
    <x v="28"/>
    <x v="1"/>
    <x v="0"/>
    <x v="82"/>
    <s v="Maw La Myaing"/>
    <x v="3"/>
    <x v="2"/>
    <x v="5"/>
    <n v="20"/>
    <n v="240"/>
    <n v="240"/>
  </r>
  <r>
    <x v="28"/>
    <x v="1"/>
    <x v="0"/>
    <x v="138"/>
    <s v="Maw La Myaing"/>
    <x v="3"/>
    <x v="2"/>
    <x v="11"/>
    <n v="2"/>
    <n v="24"/>
    <n v="24"/>
  </r>
  <r>
    <x v="28"/>
    <x v="1"/>
    <x v="0"/>
    <x v="138"/>
    <s v="Maw La Myaing"/>
    <x v="3"/>
    <x v="3"/>
    <x v="11"/>
    <n v="0.25"/>
    <n v="3"/>
    <n v="3"/>
  </r>
  <r>
    <x v="28"/>
    <x v="1"/>
    <x v="0"/>
    <x v="68"/>
    <s v="Maw La Myaing"/>
    <x v="1"/>
    <x v="2"/>
    <x v="11"/>
    <n v="1"/>
    <n v="12"/>
    <n v="12"/>
  </r>
  <r>
    <x v="28"/>
    <x v="1"/>
    <x v="0"/>
    <x v="81"/>
    <s v="Maw La Myaing"/>
    <x v="3"/>
    <x v="2"/>
    <x v="11"/>
    <n v="1"/>
    <n v="12"/>
    <n v="12"/>
  </r>
  <r>
    <x v="28"/>
    <x v="1"/>
    <x v="0"/>
    <x v="81"/>
    <s v="Maw La Myaing"/>
    <x v="3"/>
    <x v="2"/>
    <x v="12"/>
    <n v="0.83333333333333337"/>
    <n v="10"/>
    <n v="10"/>
  </r>
  <r>
    <x v="28"/>
    <x v="1"/>
    <x v="0"/>
    <x v="139"/>
    <s v="Maw La Myaing"/>
    <x v="3"/>
    <x v="2"/>
    <x v="12"/>
    <n v="2"/>
    <n v="24"/>
    <n v="24"/>
  </r>
  <r>
    <x v="28"/>
    <x v="1"/>
    <x v="0"/>
    <x v="140"/>
    <s v="Maw La Myaing"/>
    <x v="3"/>
    <x v="2"/>
    <x v="12"/>
    <n v="1"/>
    <n v="12"/>
    <n v="12"/>
  </r>
  <r>
    <x v="28"/>
    <x v="1"/>
    <x v="0"/>
    <x v="140"/>
    <s v="Maw La Myaing"/>
    <x v="3"/>
    <x v="2"/>
    <x v="12"/>
    <n v="0.5"/>
    <n v="6"/>
    <n v="6"/>
  </r>
  <r>
    <x v="28"/>
    <x v="1"/>
    <x v="0"/>
    <x v="80"/>
    <s v="Maw La Myaing"/>
    <x v="3"/>
    <x v="2"/>
    <x v="12"/>
    <n v="0.41666666666666669"/>
    <n v="5"/>
    <n v="5"/>
  </r>
  <r>
    <x v="28"/>
    <x v="1"/>
    <x v="0"/>
    <x v="80"/>
    <s v="Maw La Myaing"/>
    <x v="3"/>
    <x v="2"/>
    <x v="12"/>
    <n v="0.41666666666666669"/>
    <n v="5"/>
    <n v="5"/>
  </r>
  <r>
    <x v="28"/>
    <x v="1"/>
    <x v="0"/>
    <x v="80"/>
    <s v="Maw La Myaing"/>
    <x v="3"/>
    <x v="3"/>
    <x v="11"/>
    <n v="0.25"/>
    <n v="3"/>
    <n v="3"/>
  </r>
  <r>
    <x v="28"/>
    <x v="1"/>
    <x v="0"/>
    <x v="141"/>
    <s v="Maw La Myaing"/>
    <x v="3"/>
    <x v="2"/>
    <x v="12"/>
    <n v="1"/>
    <n v="12"/>
    <n v="12"/>
  </r>
  <r>
    <x v="28"/>
    <x v="1"/>
    <x v="0"/>
    <x v="141"/>
    <s v="Maw La Myaing"/>
    <x v="3"/>
    <x v="2"/>
    <x v="14"/>
    <n v="0.42857142857142855"/>
    <n v="6"/>
    <n v="3.84"/>
  </r>
  <r>
    <x v="29"/>
    <x v="1"/>
    <x v="0"/>
    <x v="17"/>
    <s v="Paung"/>
    <x v="3"/>
    <x v="0"/>
    <x v="6"/>
    <n v="30"/>
    <n v="420"/>
    <n v="268.8"/>
  </r>
  <r>
    <x v="29"/>
    <x v="1"/>
    <x v="0"/>
    <x v="17"/>
    <s v="Paung"/>
    <x v="3"/>
    <x v="0"/>
    <x v="2"/>
    <n v="10"/>
    <n v="240"/>
    <n v="153.6"/>
  </r>
  <r>
    <x v="29"/>
    <x v="1"/>
    <x v="0"/>
    <x v="3"/>
    <s v="Yay"/>
    <x v="0"/>
    <x v="0"/>
    <x v="3"/>
    <n v="120"/>
    <n v="1680"/>
    <n v="1075.2"/>
  </r>
  <r>
    <x v="29"/>
    <x v="1"/>
    <x v="0"/>
    <x v="3"/>
    <s v="Yay"/>
    <x v="0"/>
    <x v="0"/>
    <x v="4"/>
    <n v="100"/>
    <n v="1200"/>
    <n v="1200"/>
  </r>
  <r>
    <x v="29"/>
    <x v="1"/>
    <x v="0"/>
    <x v="1"/>
    <s v="Yay"/>
    <x v="0"/>
    <x v="0"/>
    <x v="4"/>
    <n v="100"/>
    <n v="1200"/>
    <n v="1200"/>
  </r>
  <r>
    <x v="29"/>
    <x v="1"/>
    <x v="0"/>
    <x v="5"/>
    <s v="Yay"/>
    <x v="0"/>
    <x v="0"/>
    <x v="4"/>
    <n v="50"/>
    <n v="600"/>
    <n v="600"/>
  </r>
  <r>
    <x v="29"/>
    <x v="1"/>
    <x v="0"/>
    <x v="47"/>
    <s v="Maw La Myaing"/>
    <x v="0"/>
    <x v="2"/>
    <x v="6"/>
    <n v="100"/>
    <n v="1400"/>
    <n v="896"/>
  </r>
  <r>
    <x v="29"/>
    <x v="1"/>
    <x v="0"/>
    <x v="29"/>
    <s v="Maw La Myaing"/>
    <x v="0"/>
    <x v="2"/>
    <x v="6"/>
    <n v="15"/>
    <n v="210"/>
    <n v="134.4"/>
  </r>
  <r>
    <x v="29"/>
    <x v="1"/>
    <x v="0"/>
    <x v="29"/>
    <s v="Maw La Myaing"/>
    <x v="0"/>
    <x v="2"/>
    <x v="3"/>
    <n v="10"/>
    <n v="140"/>
    <n v="89.600000000000009"/>
  </r>
  <r>
    <x v="29"/>
    <x v="1"/>
    <x v="0"/>
    <x v="29"/>
    <s v="Maw La Myaing"/>
    <x v="0"/>
    <x v="2"/>
    <x v="9"/>
    <n v="10"/>
    <n v="140"/>
    <n v="89.600000000000009"/>
  </r>
  <r>
    <x v="29"/>
    <x v="1"/>
    <x v="0"/>
    <x v="47"/>
    <s v="Maw La Myaing"/>
    <x v="0"/>
    <x v="2"/>
    <x v="6"/>
    <n v="70"/>
    <n v="980"/>
    <n v="627.20000000000005"/>
  </r>
  <r>
    <x v="29"/>
    <x v="1"/>
    <x v="0"/>
    <x v="47"/>
    <s v="Maw La Myaing"/>
    <x v="0"/>
    <x v="2"/>
    <x v="3"/>
    <n v="30"/>
    <n v="420"/>
    <n v="268.8"/>
  </r>
  <r>
    <x v="29"/>
    <x v="1"/>
    <x v="0"/>
    <x v="47"/>
    <s v="Maw La Myaing"/>
    <x v="0"/>
    <x v="2"/>
    <x v="4"/>
    <n v="50"/>
    <n v="600"/>
    <n v="600"/>
  </r>
  <r>
    <x v="29"/>
    <x v="1"/>
    <x v="0"/>
    <x v="31"/>
    <s v="Maw La Myaing"/>
    <x v="3"/>
    <x v="2"/>
    <x v="5"/>
    <n v="5"/>
    <n v="60"/>
    <n v="60"/>
  </r>
  <r>
    <x v="29"/>
    <x v="1"/>
    <x v="0"/>
    <x v="1"/>
    <s v="Yay"/>
    <x v="0"/>
    <x v="2"/>
    <x v="4"/>
    <n v="100"/>
    <n v="1200"/>
    <n v="1200"/>
  </r>
  <r>
    <x v="30"/>
    <x v="1"/>
    <x v="0"/>
    <x v="5"/>
    <s v="Yay"/>
    <x v="0"/>
    <x v="0"/>
    <x v="4"/>
    <n v="100"/>
    <n v="1200"/>
    <n v="1200"/>
  </r>
  <r>
    <x v="30"/>
    <x v="1"/>
    <x v="0"/>
    <x v="3"/>
    <s v="Yay"/>
    <x v="0"/>
    <x v="0"/>
    <x v="3"/>
    <n v="200"/>
    <n v="2800"/>
    <n v="1792"/>
  </r>
  <r>
    <x v="30"/>
    <x v="1"/>
    <x v="0"/>
    <x v="3"/>
    <s v="Yay"/>
    <x v="0"/>
    <x v="0"/>
    <x v="4"/>
    <n v="70"/>
    <n v="840"/>
    <n v="840"/>
  </r>
  <r>
    <x v="30"/>
    <x v="1"/>
    <x v="0"/>
    <x v="0"/>
    <s v="Maw La Myaing"/>
    <x v="0"/>
    <x v="0"/>
    <x v="2"/>
    <n v="60"/>
    <n v="1440"/>
    <n v="921.6"/>
  </r>
  <r>
    <x v="30"/>
    <x v="1"/>
    <x v="0"/>
    <x v="39"/>
    <s v="Maw La Myaing"/>
    <x v="0"/>
    <x v="2"/>
    <x v="6"/>
    <n v="120"/>
    <n v="1680"/>
    <n v="1075.2"/>
  </r>
  <r>
    <x v="30"/>
    <x v="1"/>
    <x v="0"/>
    <x v="39"/>
    <s v="Maw La Myaing"/>
    <x v="0"/>
    <x v="2"/>
    <x v="5"/>
    <n v="30"/>
    <n v="360"/>
    <n v="360"/>
  </r>
  <r>
    <x v="30"/>
    <x v="1"/>
    <x v="0"/>
    <x v="39"/>
    <s v="Maw La Myaing"/>
    <x v="0"/>
    <x v="3"/>
    <x v="6"/>
    <n v="0.21428571428571427"/>
    <n v="3"/>
    <n v="1.92"/>
  </r>
  <r>
    <x v="30"/>
    <x v="1"/>
    <x v="0"/>
    <x v="26"/>
    <s v="Paung"/>
    <x v="3"/>
    <x v="2"/>
    <x v="6"/>
    <n v="10"/>
    <n v="140"/>
    <n v="89.600000000000009"/>
  </r>
  <r>
    <x v="30"/>
    <x v="1"/>
    <x v="0"/>
    <x v="26"/>
    <s v="Paung"/>
    <x v="3"/>
    <x v="2"/>
    <x v="1"/>
    <n v="10"/>
    <n v="140"/>
    <n v="89.600000000000009"/>
  </r>
  <r>
    <x v="30"/>
    <x v="1"/>
    <x v="0"/>
    <x v="26"/>
    <s v="Paung"/>
    <x v="3"/>
    <x v="2"/>
    <x v="10"/>
    <n v="10"/>
    <n v="140"/>
    <n v="89.600000000000009"/>
  </r>
  <r>
    <x v="30"/>
    <x v="1"/>
    <x v="0"/>
    <x v="61"/>
    <s v="Maw La Myaing"/>
    <x v="3"/>
    <x v="2"/>
    <x v="5"/>
    <n v="10"/>
    <n v="120"/>
    <n v="120"/>
  </r>
  <r>
    <x v="30"/>
    <x v="1"/>
    <x v="0"/>
    <x v="0"/>
    <s v="Maw La Myaing"/>
    <x v="0"/>
    <x v="2"/>
    <x v="3"/>
    <n v="50"/>
    <n v="700"/>
    <n v="448"/>
  </r>
  <r>
    <x v="30"/>
    <x v="1"/>
    <x v="0"/>
    <x v="32"/>
    <s v="Maw La Myaing"/>
    <x v="3"/>
    <x v="2"/>
    <x v="12"/>
    <n v="0.75"/>
    <n v="9"/>
    <n v="9"/>
  </r>
  <r>
    <x v="30"/>
    <x v="1"/>
    <x v="0"/>
    <x v="32"/>
    <s v="Maw La Myaing"/>
    <x v="3"/>
    <x v="2"/>
    <x v="8"/>
    <n v="2.625"/>
    <n v="63"/>
    <n v="22.049999999999997"/>
  </r>
  <r>
    <x v="30"/>
    <x v="1"/>
    <x v="0"/>
    <x v="142"/>
    <s v="Thein Zayet"/>
    <x v="2"/>
    <x v="2"/>
    <x v="3"/>
    <n v="150"/>
    <n v="2100"/>
    <n v="1344"/>
  </r>
  <r>
    <x v="30"/>
    <x v="1"/>
    <x v="0"/>
    <x v="142"/>
    <s v="Thein Zayet"/>
    <x v="2"/>
    <x v="2"/>
    <x v="4"/>
    <n v="70"/>
    <n v="840"/>
    <n v="840"/>
  </r>
  <r>
    <x v="30"/>
    <x v="1"/>
    <x v="0"/>
    <x v="142"/>
    <s v="Thein Zayet"/>
    <x v="2"/>
    <x v="3"/>
    <x v="3"/>
    <n v="0.2857142857142857"/>
    <n v="4"/>
    <n v="2.56"/>
  </r>
  <r>
    <x v="31"/>
    <x v="1"/>
    <x v="0"/>
    <x v="87"/>
    <s v="Thein Zayet"/>
    <x v="0"/>
    <x v="2"/>
    <x v="3"/>
    <n v="120"/>
    <n v="1680"/>
    <n v="1075.2"/>
  </r>
  <r>
    <x v="31"/>
    <x v="1"/>
    <x v="0"/>
    <x v="87"/>
    <s v="Thein Zayet"/>
    <x v="0"/>
    <x v="2"/>
    <x v="4"/>
    <n v="100"/>
    <n v="1200"/>
    <n v="1200"/>
  </r>
  <r>
    <x v="31"/>
    <x v="1"/>
    <x v="0"/>
    <x v="87"/>
    <s v="Thein Zayet"/>
    <x v="0"/>
    <x v="3"/>
    <x v="3"/>
    <n v="0.2857142857142857"/>
    <n v="4"/>
    <n v="2.56"/>
  </r>
  <r>
    <x v="31"/>
    <x v="1"/>
    <x v="0"/>
    <x v="115"/>
    <s v="Maw La Myaing"/>
    <x v="3"/>
    <x v="2"/>
    <x v="6"/>
    <n v="2"/>
    <n v="24"/>
    <n v="16.799999999999997"/>
  </r>
  <r>
    <x v="31"/>
    <x v="1"/>
    <x v="0"/>
    <x v="25"/>
    <s v="Maw La Myaing"/>
    <x v="3"/>
    <x v="2"/>
    <x v="5"/>
    <n v="5"/>
    <n v="60"/>
    <n v="60"/>
  </r>
  <r>
    <x v="31"/>
    <x v="1"/>
    <x v="0"/>
    <x v="3"/>
    <s v="Yay"/>
    <x v="0"/>
    <x v="0"/>
    <x v="3"/>
    <n v="100"/>
    <n v="1400"/>
    <n v="896"/>
  </r>
  <r>
    <x v="31"/>
    <x v="1"/>
    <x v="0"/>
    <x v="3"/>
    <s v="Yay"/>
    <x v="0"/>
    <x v="0"/>
    <x v="4"/>
    <n v="150"/>
    <n v="1800"/>
    <n v="1800"/>
  </r>
  <r>
    <x v="31"/>
    <x v="1"/>
    <x v="0"/>
    <x v="89"/>
    <s v="Yay"/>
    <x v="0"/>
    <x v="0"/>
    <x v="3"/>
    <n v="200"/>
    <n v="2800"/>
    <n v="1792"/>
  </r>
  <r>
    <x v="31"/>
    <x v="1"/>
    <x v="0"/>
    <x v="28"/>
    <s v="Yay"/>
    <x v="0"/>
    <x v="0"/>
    <x v="3"/>
    <n v="100"/>
    <n v="1400"/>
    <n v="896"/>
  </r>
  <r>
    <x v="31"/>
    <x v="1"/>
    <x v="0"/>
    <x v="28"/>
    <s v="Yay"/>
    <x v="0"/>
    <x v="0"/>
    <x v="4"/>
    <n v="100"/>
    <n v="1200"/>
    <n v="1200"/>
  </r>
  <r>
    <x v="32"/>
    <x v="1"/>
    <x v="0"/>
    <x v="3"/>
    <s v="Yay"/>
    <x v="0"/>
    <x v="0"/>
    <x v="3"/>
    <n v="100"/>
    <n v="1400"/>
    <n v="896"/>
  </r>
  <r>
    <x v="32"/>
    <x v="1"/>
    <x v="0"/>
    <x v="3"/>
    <s v="Yay"/>
    <x v="0"/>
    <x v="0"/>
    <x v="4"/>
    <n v="50"/>
    <n v="600"/>
    <n v="600"/>
  </r>
  <r>
    <x v="32"/>
    <x v="1"/>
    <x v="0"/>
    <x v="5"/>
    <s v="Yay"/>
    <x v="0"/>
    <x v="0"/>
    <x v="4"/>
    <n v="50"/>
    <n v="600"/>
    <n v="600"/>
  </r>
  <r>
    <x v="32"/>
    <x v="1"/>
    <x v="0"/>
    <x v="63"/>
    <s v="Maw La Myaing"/>
    <x v="3"/>
    <x v="2"/>
    <x v="6"/>
    <n v="10"/>
    <n v="140"/>
    <n v="89.600000000000009"/>
  </r>
  <r>
    <x v="32"/>
    <x v="1"/>
    <x v="0"/>
    <x v="62"/>
    <s v="Maw La Myaing"/>
    <x v="2"/>
    <x v="2"/>
    <x v="6"/>
    <n v="25"/>
    <n v="350"/>
    <n v="224"/>
  </r>
  <r>
    <x v="32"/>
    <x v="1"/>
    <x v="0"/>
    <x v="62"/>
    <s v="Maw La Myaing"/>
    <x v="2"/>
    <x v="2"/>
    <x v="5"/>
    <n v="15"/>
    <n v="180"/>
    <n v="180"/>
  </r>
  <r>
    <x v="32"/>
    <x v="1"/>
    <x v="0"/>
    <x v="27"/>
    <s v="Maw La Myaing"/>
    <x v="0"/>
    <x v="2"/>
    <x v="6"/>
    <n v="20"/>
    <n v="280"/>
    <n v="179.20000000000002"/>
  </r>
  <r>
    <x v="32"/>
    <x v="1"/>
    <x v="0"/>
    <x v="27"/>
    <s v="Maw La Myaing"/>
    <x v="0"/>
    <x v="2"/>
    <x v="2"/>
    <n v="60"/>
    <n v="1440"/>
    <n v="921.6"/>
  </r>
  <r>
    <x v="32"/>
    <x v="1"/>
    <x v="0"/>
    <x v="49"/>
    <s v="Yay"/>
    <x v="2"/>
    <x v="2"/>
    <x v="3"/>
    <n v="50"/>
    <n v="700"/>
    <n v="448"/>
  </r>
  <r>
    <x v="32"/>
    <x v="1"/>
    <x v="0"/>
    <x v="49"/>
    <s v="Yay"/>
    <x v="2"/>
    <x v="2"/>
    <x v="4"/>
    <n v="50"/>
    <n v="600"/>
    <n v="600"/>
  </r>
  <r>
    <x v="32"/>
    <x v="1"/>
    <x v="0"/>
    <x v="29"/>
    <s v="Maw La Myaing"/>
    <x v="0"/>
    <x v="2"/>
    <x v="4"/>
    <n v="20"/>
    <n v="240"/>
    <n v="240"/>
  </r>
  <r>
    <x v="32"/>
    <x v="1"/>
    <x v="0"/>
    <x v="42"/>
    <s v="Mudon"/>
    <x v="2"/>
    <x v="2"/>
    <x v="1"/>
    <n v="50"/>
    <n v="700"/>
    <n v="448"/>
  </r>
  <r>
    <x v="32"/>
    <x v="1"/>
    <x v="0"/>
    <x v="34"/>
    <s v="Yay"/>
    <x v="3"/>
    <x v="2"/>
    <x v="4"/>
    <n v="50"/>
    <n v="600"/>
    <n v="600"/>
  </r>
  <r>
    <x v="32"/>
    <x v="1"/>
    <x v="0"/>
    <x v="84"/>
    <s v="Maw La Myaing"/>
    <x v="2"/>
    <x v="2"/>
    <x v="5"/>
    <n v="4"/>
    <n v="48"/>
    <n v="48"/>
  </r>
  <r>
    <x v="32"/>
    <x v="1"/>
    <x v="0"/>
    <x v="84"/>
    <s v="Maw La Myaing"/>
    <x v="2"/>
    <x v="3"/>
    <x v="5"/>
    <n v="8.3333333333333329E-2"/>
    <n v="1"/>
    <n v="1"/>
  </r>
  <r>
    <x v="33"/>
    <x v="1"/>
    <x v="0"/>
    <x v="143"/>
    <s v="Than Phyu ZaYat"/>
    <x v="3"/>
    <x v="2"/>
    <x v="1"/>
    <n v="50"/>
    <n v="700"/>
    <n v="448"/>
  </r>
  <r>
    <x v="33"/>
    <x v="1"/>
    <x v="0"/>
    <x v="22"/>
    <s v="Yay"/>
    <x v="0"/>
    <x v="2"/>
    <x v="3"/>
    <n v="40"/>
    <n v="560"/>
    <n v="358.40000000000003"/>
  </r>
  <r>
    <x v="33"/>
    <x v="1"/>
    <x v="0"/>
    <x v="22"/>
    <s v="Yay"/>
    <x v="0"/>
    <x v="2"/>
    <x v="4"/>
    <n v="60"/>
    <n v="720"/>
    <n v="720"/>
  </r>
  <r>
    <x v="33"/>
    <x v="1"/>
    <x v="0"/>
    <x v="40"/>
    <s v="Mudon"/>
    <x v="2"/>
    <x v="2"/>
    <x v="1"/>
    <n v="50"/>
    <n v="700"/>
    <n v="448"/>
  </r>
  <r>
    <x v="33"/>
    <x v="1"/>
    <x v="0"/>
    <x v="41"/>
    <s v="Mudon"/>
    <x v="2"/>
    <x v="2"/>
    <x v="1"/>
    <n v="50"/>
    <n v="700"/>
    <n v="448"/>
  </r>
  <r>
    <x v="33"/>
    <x v="1"/>
    <x v="0"/>
    <x v="27"/>
    <s v="Maw La Myaing"/>
    <x v="0"/>
    <x v="2"/>
    <x v="9"/>
    <n v="15"/>
    <n v="210"/>
    <n v="134.4"/>
  </r>
  <r>
    <x v="33"/>
    <x v="1"/>
    <x v="0"/>
    <x v="27"/>
    <s v="Maw La Myaing"/>
    <x v="0"/>
    <x v="2"/>
    <x v="2"/>
    <n v="50"/>
    <n v="1200"/>
    <n v="768"/>
  </r>
  <r>
    <x v="33"/>
    <x v="1"/>
    <x v="0"/>
    <x v="1"/>
    <s v="Yay"/>
    <x v="0"/>
    <x v="2"/>
    <x v="4"/>
    <n v="200"/>
    <n v="2400"/>
    <n v="2400"/>
  </r>
  <r>
    <x v="33"/>
    <x v="1"/>
    <x v="0"/>
    <x v="58"/>
    <s v="Maw La Myaing"/>
    <x v="3"/>
    <x v="2"/>
    <x v="12"/>
    <n v="5"/>
    <n v="60"/>
    <n v="60"/>
  </r>
  <r>
    <x v="33"/>
    <x v="1"/>
    <x v="0"/>
    <x v="58"/>
    <s v="Maw La Myaing"/>
    <x v="3"/>
    <x v="3"/>
    <x v="12"/>
    <n v="0.25"/>
    <n v="3"/>
    <n v="3"/>
  </r>
  <r>
    <x v="33"/>
    <x v="1"/>
    <x v="0"/>
    <x v="3"/>
    <s v="Yay"/>
    <x v="0"/>
    <x v="0"/>
    <x v="3"/>
    <n v="150"/>
    <n v="2100"/>
    <n v="1344"/>
  </r>
  <r>
    <x v="33"/>
    <x v="1"/>
    <x v="0"/>
    <x v="3"/>
    <s v="Yay"/>
    <x v="0"/>
    <x v="0"/>
    <x v="4"/>
    <n v="175"/>
    <n v="2100"/>
    <n v="2100"/>
  </r>
  <r>
    <x v="33"/>
    <x v="1"/>
    <x v="0"/>
    <x v="3"/>
    <s v="Yay"/>
    <x v="0"/>
    <x v="0"/>
    <x v="3"/>
    <n v="100"/>
    <n v="1400"/>
    <n v="896"/>
  </r>
  <r>
    <x v="33"/>
    <x v="1"/>
    <x v="0"/>
    <x v="3"/>
    <s v="Yay"/>
    <x v="0"/>
    <x v="0"/>
    <x v="4"/>
    <n v="100"/>
    <n v="1200"/>
    <n v="1200"/>
  </r>
  <r>
    <x v="33"/>
    <x v="1"/>
    <x v="0"/>
    <x v="1"/>
    <s v="Yay"/>
    <x v="0"/>
    <x v="0"/>
    <x v="4"/>
    <n v="100"/>
    <n v="1200"/>
    <n v="1200"/>
  </r>
  <r>
    <x v="33"/>
    <x v="1"/>
    <x v="0"/>
    <x v="6"/>
    <s v="Mudon"/>
    <x v="1"/>
    <x v="0"/>
    <x v="1"/>
    <n v="30"/>
    <n v="420"/>
    <n v="268.8"/>
  </r>
  <r>
    <x v="34"/>
    <x v="1"/>
    <x v="0"/>
    <x v="84"/>
    <s v="Maw La Myaing"/>
    <x v="2"/>
    <x v="2"/>
    <x v="11"/>
    <n v="10"/>
    <n v="120"/>
    <n v="120"/>
  </r>
  <r>
    <x v="34"/>
    <x v="1"/>
    <x v="0"/>
    <x v="84"/>
    <s v="Maw La Myaing"/>
    <x v="2"/>
    <x v="3"/>
    <x v="11"/>
    <n v="0.83333333333333337"/>
    <n v="10"/>
    <n v="10"/>
  </r>
  <r>
    <x v="34"/>
    <x v="1"/>
    <x v="0"/>
    <x v="144"/>
    <s v="Maw La Myaing"/>
    <x v="3"/>
    <x v="2"/>
    <x v="11"/>
    <n v="1"/>
    <n v="12"/>
    <n v="12"/>
  </r>
  <r>
    <x v="34"/>
    <x v="1"/>
    <x v="0"/>
    <x v="144"/>
    <s v="Maw La Myaing"/>
    <x v="3"/>
    <x v="2"/>
    <x v="12"/>
    <n v="1"/>
    <n v="12"/>
    <n v="12"/>
  </r>
  <r>
    <x v="34"/>
    <x v="1"/>
    <x v="0"/>
    <x v="144"/>
    <s v="Maw La Myaing"/>
    <x v="3"/>
    <x v="2"/>
    <x v="12"/>
    <n v="1"/>
    <n v="12"/>
    <n v="12"/>
  </r>
  <r>
    <x v="34"/>
    <x v="1"/>
    <x v="0"/>
    <x v="144"/>
    <s v="Maw La Myaing"/>
    <x v="3"/>
    <x v="3"/>
    <x v="11"/>
    <n v="8.3333333333333329E-2"/>
    <n v="1"/>
    <n v="1"/>
  </r>
  <r>
    <x v="34"/>
    <x v="1"/>
    <x v="0"/>
    <x v="144"/>
    <s v="Maw La Myaing"/>
    <x v="3"/>
    <x v="3"/>
    <x v="12"/>
    <n v="8.3333333333333329E-2"/>
    <n v="1"/>
    <n v="1"/>
  </r>
  <r>
    <x v="34"/>
    <x v="1"/>
    <x v="0"/>
    <x v="144"/>
    <s v="Maw La Myaing"/>
    <x v="3"/>
    <x v="3"/>
    <x v="12"/>
    <n v="8.3333333333333329E-2"/>
    <n v="1"/>
    <n v="1"/>
  </r>
  <r>
    <x v="34"/>
    <x v="1"/>
    <x v="0"/>
    <x v="54"/>
    <s v="Maw La Myaing"/>
    <x v="3"/>
    <x v="2"/>
    <x v="11"/>
    <n v="1"/>
    <n v="12"/>
    <n v="12"/>
  </r>
  <r>
    <x v="34"/>
    <x v="1"/>
    <x v="0"/>
    <x v="54"/>
    <s v="Maw La Myaing"/>
    <x v="3"/>
    <x v="2"/>
    <x v="12"/>
    <n v="1"/>
    <n v="12"/>
    <n v="12"/>
  </r>
  <r>
    <x v="34"/>
    <x v="1"/>
    <x v="0"/>
    <x v="54"/>
    <s v="Maw La Myaing"/>
    <x v="3"/>
    <x v="3"/>
    <x v="11"/>
    <n v="8.3333333333333329E-2"/>
    <n v="1"/>
    <n v="1"/>
  </r>
  <r>
    <x v="34"/>
    <x v="1"/>
    <x v="0"/>
    <x v="54"/>
    <s v="Maw La Myaing"/>
    <x v="3"/>
    <x v="3"/>
    <x v="12"/>
    <n v="8.3333333333333329E-2"/>
    <n v="1"/>
    <n v="1"/>
  </r>
  <r>
    <x v="34"/>
    <x v="1"/>
    <x v="0"/>
    <x v="145"/>
    <s v="Maw La Myaing"/>
    <x v="3"/>
    <x v="2"/>
    <x v="11"/>
    <n v="1"/>
    <n v="12"/>
    <n v="12"/>
  </r>
  <r>
    <x v="34"/>
    <x v="1"/>
    <x v="0"/>
    <x v="145"/>
    <s v="Maw La Myaing"/>
    <x v="3"/>
    <x v="2"/>
    <x v="12"/>
    <n v="1"/>
    <n v="12"/>
    <n v="12"/>
  </r>
  <r>
    <x v="34"/>
    <x v="1"/>
    <x v="0"/>
    <x v="145"/>
    <s v="Maw La Myaing"/>
    <x v="3"/>
    <x v="3"/>
    <x v="11"/>
    <n v="8.3333333333333329E-2"/>
    <n v="1"/>
    <n v="1"/>
  </r>
  <r>
    <x v="34"/>
    <x v="1"/>
    <x v="0"/>
    <x v="145"/>
    <s v="Maw La Myaing"/>
    <x v="3"/>
    <x v="3"/>
    <x v="12"/>
    <n v="8.3333333333333329E-2"/>
    <n v="1"/>
    <n v="1"/>
  </r>
  <r>
    <x v="34"/>
    <x v="1"/>
    <x v="0"/>
    <x v="145"/>
    <s v="Maw La Myaing"/>
    <x v="3"/>
    <x v="5"/>
    <x v="12"/>
    <n v="8.3333333333333329E-2"/>
    <n v="1"/>
    <n v="1"/>
  </r>
  <r>
    <x v="34"/>
    <x v="1"/>
    <x v="0"/>
    <x v="146"/>
    <s v="Maw La Myaing"/>
    <x v="3"/>
    <x v="2"/>
    <x v="10"/>
    <n v="1"/>
    <n v="14"/>
    <n v="8.9600000000000009"/>
  </r>
  <r>
    <x v="34"/>
    <x v="1"/>
    <x v="0"/>
    <x v="146"/>
    <s v="Maw La Myaing"/>
    <x v="3"/>
    <x v="2"/>
    <x v="12"/>
    <n v="1"/>
    <n v="12"/>
    <n v="12"/>
  </r>
  <r>
    <x v="34"/>
    <x v="1"/>
    <x v="0"/>
    <x v="147"/>
    <s v="Maw La Myaing"/>
    <x v="3"/>
    <x v="2"/>
    <x v="11"/>
    <n v="1"/>
    <n v="12"/>
    <n v="12"/>
  </r>
  <r>
    <x v="34"/>
    <x v="1"/>
    <x v="0"/>
    <x v="147"/>
    <s v="Maw La Myaing"/>
    <x v="3"/>
    <x v="2"/>
    <x v="12"/>
    <n v="0.5"/>
    <n v="6"/>
    <n v="6"/>
  </r>
  <r>
    <x v="34"/>
    <x v="1"/>
    <x v="0"/>
    <x v="147"/>
    <s v="Maw La Myaing"/>
    <x v="3"/>
    <x v="2"/>
    <x v="12"/>
    <n v="0.5"/>
    <n v="6"/>
    <n v="6"/>
  </r>
  <r>
    <x v="34"/>
    <x v="1"/>
    <x v="0"/>
    <x v="25"/>
    <s v="Maw La Myaing"/>
    <x v="3"/>
    <x v="2"/>
    <x v="11"/>
    <n v="0.5"/>
    <n v="6"/>
    <n v="6"/>
  </r>
  <r>
    <x v="34"/>
    <x v="1"/>
    <x v="0"/>
    <x v="25"/>
    <s v="Maw La Myaing"/>
    <x v="3"/>
    <x v="2"/>
    <x v="12"/>
    <n v="0.5"/>
    <n v="6"/>
    <n v="6"/>
  </r>
  <r>
    <x v="34"/>
    <x v="1"/>
    <x v="0"/>
    <x v="148"/>
    <s v="Maw La Myaing"/>
    <x v="1"/>
    <x v="2"/>
    <x v="12"/>
    <n v="5"/>
    <n v="60"/>
    <n v="60"/>
  </r>
  <r>
    <x v="34"/>
    <x v="1"/>
    <x v="0"/>
    <x v="14"/>
    <s v="Belin"/>
    <x v="2"/>
    <x v="2"/>
    <x v="6"/>
    <n v="100"/>
    <n v="1200"/>
    <n v="840"/>
  </r>
  <r>
    <x v="34"/>
    <x v="1"/>
    <x v="0"/>
    <x v="13"/>
    <s v="ThaHtone"/>
    <x v="1"/>
    <x v="2"/>
    <x v="13"/>
    <n v="100"/>
    <n v="1400"/>
    <n v="896"/>
  </r>
  <r>
    <x v="34"/>
    <x v="1"/>
    <x v="0"/>
    <x v="5"/>
    <s v="Yay"/>
    <x v="0"/>
    <x v="0"/>
    <x v="4"/>
    <n v="50"/>
    <n v="600"/>
    <n v="600"/>
  </r>
  <r>
    <x v="34"/>
    <x v="1"/>
    <x v="0"/>
    <x v="143"/>
    <s v="Than Phyu ZaYat"/>
    <x v="3"/>
    <x v="0"/>
    <x v="14"/>
    <n v="1"/>
    <n v="14"/>
    <n v="8.9600000000000009"/>
  </r>
  <r>
    <x v="34"/>
    <x v="1"/>
    <x v="0"/>
    <x v="48"/>
    <s v="Maw La Myaing"/>
    <x v="3"/>
    <x v="2"/>
    <x v="9"/>
    <n v="50"/>
    <n v="700"/>
    <n v="448"/>
  </r>
  <r>
    <x v="34"/>
    <x v="1"/>
    <x v="0"/>
    <x v="26"/>
    <s v="Paung"/>
    <x v="3"/>
    <x v="2"/>
    <x v="1"/>
    <n v="10"/>
    <n v="140"/>
    <n v="89.600000000000009"/>
  </r>
  <r>
    <x v="34"/>
    <x v="1"/>
    <x v="0"/>
    <x v="26"/>
    <s v="Paung"/>
    <x v="3"/>
    <x v="2"/>
    <x v="2"/>
    <n v="5"/>
    <n v="120"/>
    <n v="76.8"/>
  </r>
  <r>
    <x v="35"/>
    <x v="1"/>
    <x v="0"/>
    <x v="105"/>
    <s v="Yay"/>
    <x v="2"/>
    <x v="0"/>
    <x v="3"/>
    <n v="50"/>
    <n v="700"/>
    <n v="448"/>
  </r>
  <r>
    <x v="35"/>
    <x v="1"/>
    <x v="0"/>
    <x v="105"/>
    <s v="Yay"/>
    <x v="2"/>
    <x v="0"/>
    <x v="4"/>
    <n v="20"/>
    <n v="240"/>
    <n v="240"/>
  </r>
  <r>
    <x v="35"/>
    <x v="1"/>
    <x v="0"/>
    <x v="1"/>
    <s v="Yay"/>
    <x v="0"/>
    <x v="0"/>
    <x v="3"/>
    <n v="500"/>
    <n v="7000"/>
    <n v="4480"/>
  </r>
  <r>
    <x v="35"/>
    <x v="1"/>
    <x v="0"/>
    <x v="3"/>
    <s v="Yay"/>
    <x v="0"/>
    <x v="0"/>
    <x v="3"/>
    <n v="130"/>
    <n v="1820"/>
    <n v="1164.8"/>
  </r>
  <r>
    <x v="35"/>
    <x v="1"/>
    <x v="0"/>
    <x v="3"/>
    <s v="Yay"/>
    <x v="0"/>
    <x v="0"/>
    <x v="4"/>
    <n v="150"/>
    <n v="1800"/>
    <n v="1800"/>
  </r>
  <r>
    <x v="35"/>
    <x v="1"/>
    <x v="0"/>
    <x v="135"/>
    <s v="Maw La Myaing"/>
    <x v="3"/>
    <x v="2"/>
    <x v="6"/>
    <n v="5"/>
    <n v="70"/>
    <n v="44.800000000000004"/>
  </r>
  <r>
    <x v="35"/>
    <x v="1"/>
    <x v="0"/>
    <x v="38"/>
    <s v="Maw La Myaing"/>
    <x v="1"/>
    <x v="2"/>
    <x v="6"/>
    <n v="10"/>
    <n v="140"/>
    <n v="89.600000000000009"/>
  </r>
  <r>
    <x v="35"/>
    <x v="1"/>
    <x v="0"/>
    <x v="80"/>
    <s v="Maw La Myaing"/>
    <x v="3"/>
    <x v="2"/>
    <x v="6"/>
    <n v="2"/>
    <n v="28"/>
    <n v="17.920000000000002"/>
  </r>
  <r>
    <x v="35"/>
    <x v="1"/>
    <x v="0"/>
    <x v="80"/>
    <s v="Maw La Myaing"/>
    <x v="3"/>
    <x v="2"/>
    <x v="5"/>
    <n v="5"/>
    <n v="60"/>
    <n v="60"/>
  </r>
  <r>
    <x v="35"/>
    <x v="1"/>
    <x v="0"/>
    <x v="39"/>
    <s v="Maw La Myaing"/>
    <x v="0"/>
    <x v="2"/>
    <x v="6"/>
    <n v="100"/>
    <n v="1400"/>
    <n v="896"/>
  </r>
  <r>
    <x v="35"/>
    <x v="1"/>
    <x v="0"/>
    <x v="39"/>
    <s v="Maw La Myaing"/>
    <x v="0"/>
    <x v="2"/>
    <x v="3"/>
    <n v="100"/>
    <n v="1400"/>
    <n v="896"/>
  </r>
  <r>
    <x v="35"/>
    <x v="1"/>
    <x v="0"/>
    <x v="39"/>
    <s v="Maw La Myaing"/>
    <x v="0"/>
    <x v="2"/>
    <x v="4"/>
    <n v="100"/>
    <n v="1200"/>
    <n v="1200"/>
  </r>
  <r>
    <x v="35"/>
    <x v="1"/>
    <x v="0"/>
    <x v="72"/>
    <s v="Yay"/>
    <x v="2"/>
    <x v="2"/>
    <x v="3"/>
    <n v="30"/>
    <n v="420"/>
    <n v="268.8"/>
  </r>
  <r>
    <x v="35"/>
    <x v="1"/>
    <x v="0"/>
    <x v="72"/>
    <s v="Yay"/>
    <x v="2"/>
    <x v="2"/>
    <x v="4"/>
    <n v="20"/>
    <n v="240"/>
    <n v="240"/>
  </r>
  <r>
    <x v="35"/>
    <x v="1"/>
    <x v="0"/>
    <x v="27"/>
    <s v="Maw La Myaing"/>
    <x v="0"/>
    <x v="2"/>
    <x v="2"/>
    <n v="50"/>
    <n v="1200"/>
    <n v="768"/>
  </r>
  <r>
    <x v="35"/>
    <x v="1"/>
    <x v="0"/>
    <x v="27"/>
    <s v="Maw La Myaing"/>
    <x v="0"/>
    <x v="2"/>
    <x v="12"/>
    <n v="5"/>
    <n v="60"/>
    <n v="60"/>
  </r>
  <r>
    <x v="35"/>
    <x v="1"/>
    <x v="0"/>
    <x v="149"/>
    <s v="Maw La Myaing"/>
    <x v="3"/>
    <x v="2"/>
    <x v="6"/>
    <n v="1"/>
    <n v="14"/>
    <n v="8.9600000000000009"/>
  </r>
  <r>
    <x v="35"/>
    <x v="1"/>
    <x v="0"/>
    <x v="150"/>
    <s v="Maw La Myaing"/>
    <x v="3"/>
    <x v="2"/>
    <x v="6"/>
    <n v="1"/>
    <n v="14"/>
    <n v="8.9600000000000009"/>
  </r>
  <r>
    <x v="35"/>
    <x v="1"/>
    <x v="0"/>
    <x v="150"/>
    <s v="Maw La Myaing"/>
    <x v="3"/>
    <x v="2"/>
    <x v="11"/>
    <n v="1"/>
    <n v="12"/>
    <n v="12"/>
  </r>
  <r>
    <x v="35"/>
    <x v="1"/>
    <x v="0"/>
    <x v="29"/>
    <s v="Maw La Myaing"/>
    <x v="0"/>
    <x v="2"/>
    <x v="11"/>
    <n v="1"/>
    <n v="12"/>
    <n v="12"/>
  </r>
  <r>
    <x v="35"/>
    <x v="1"/>
    <x v="0"/>
    <x v="29"/>
    <s v="Maw La Myaing"/>
    <x v="0"/>
    <x v="2"/>
    <x v="12"/>
    <n v="1"/>
    <n v="12"/>
    <n v="12"/>
  </r>
  <r>
    <x v="35"/>
    <x v="1"/>
    <x v="0"/>
    <x v="29"/>
    <s v="Maw La Myaing"/>
    <x v="0"/>
    <x v="2"/>
    <x v="12"/>
    <n v="1"/>
    <n v="12"/>
    <n v="12"/>
  </r>
  <r>
    <x v="35"/>
    <x v="1"/>
    <x v="0"/>
    <x v="104"/>
    <s v="Maw La Myaing"/>
    <x v="3"/>
    <x v="2"/>
    <x v="12"/>
    <n v="0.41666666666666669"/>
    <n v="5"/>
    <n v="5"/>
  </r>
  <r>
    <x v="35"/>
    <x v="1"/>
    <x v="0"/>
    <x v="151"/>
    <s v="Maw La Myaing"/>
    <x v="3"/>
    <x v="2"/>
    <x v="11"/>
    <n v="2"/>
    <n v="24"/>
    <n v="24"/>
  </r>
  <r>
    <x v="35"/>
    <x v="1"/>
    <x v="0"/>
    <x v="149"/>
    <s v="Maw La Myaing"/>
    <x v="3"/>
    <x v="2"/>
    <x v="11"/>
    <n v="1"/>
    <n v="12"/>
    <n v="12"/>
  </r>
  <r>
    <x v="35"/>
    <x v="1"/>
    <x v="0"/>
    <x v="152"/>
    <s v="Maw La Myaing"/>
    <x v="3"/>
    <x v="2"/>
    <x v="11"/>
    <n v="1"/>
    <n v="12"/>
    <n v="12"/>
  </r>
  <r>
    <x v="35"/>
    <x v="1"/>
    <x v="0"/>
    <x v="153"/>
    <s v="Maw La Myaing"/>
    <x v="3"/>
    <x v="2"/>
    <x v="10"/>
    <n v="1"/>
    <n v="14"/>
    <n v="8.9600000000000009"/>
  </r>
  <r>
    <x v="36"/>
    <x v="1"/>
    <x v="0"/>
    <x v="107"/>
    <s v="Mudon"/>
    <x v="2"/>
    <x v="2"/>
    <x v="1"/>
    <n v="100"/>
    <n v="1400"/>
    <n v="896"/>
  </r>
  <r>
    <x v="36"/>
    <x v="1"/>
    <x v="0"/>
    <x v="84"/>
    <s v="Maw La Myaing"/>
    <x v="2"/>
    <x v="2"/>
    <x v="5"/>
    <n v="150"/>
    <n v="1800"/>
    <n v="1800"/>
  </r>
  <r>
    <x v="36"/>
    <x v="1"/>
    <x v="0"/>
    <x v="20"/>
    <s v="Yay"/>
    <x v="3"/>
    <x v="2"/>
    <x v="4"/>
    <n v="30"/>
    <n v="360"/>
    <n v="360"/>
  </r>
  <r>
    <x v="36"/>
    <x v="1"/>
    <x v="0"/>
    <x v="154"/>
    <s v="Maw La Myaing"/>
    <x v="3"/>
    <x v="2"/>
    <x v="5"/>
    <n v="7"/>
    <n v="84"/>
    <n v="84"/>
  </r>
  <r>
    <x v="36"/>
    <x v="1"/>
    <x v="0"/>
    <x v="155"/>
    <s v="Maw La Myaing"/>
    <x v="3"/>
    <x v="2"/>
    <x v="5"/>
    <n v="8"/>
    <n v="96"/>
    <n v="96"/>
  </r>
  <r>
    <x v="36"/>
    <x v="1"/>
    <x v="0"/>
    <x v="93"/>
    <s v="Maw La Myaing"/>
    <x v="3"/>
    <x v="2"/>
    <x v="11"/>
    <n v="3"/>
    <n v="36"/>
    <n v="36"/>
  </r>
  <r>
    <x v="36"/>
    <x v="1"/>
    <x v="0"/>
    <x v="156"/>
    <s v="Maw La Myaing"/>
    <x v="3"/>
    <x v="2"/>
    <x v="11"/>
    <n v="1"/>
    <n v="12"/>
    <n v="12"/>
  </r>
  <r>
    <x v="36"/>
    <x v="1"/>
    <x v="0"/>
    <x v="157"/>
    <s v="Maw La Myaing"/>
    <x v="3"/>
    <x v="2"/>
    <x v="11"/>
    <n v="2"/>
    <n v="24"/>
    <n v="24"/>
  </r>
  <r>
    <x v="36"/>
    <x v="1"/>
    <x v="0"/>
    <x v="158"/>
    <s v="Maw La Myaing"/>
    <x v="3"/>
    <x v="2"/>
    <x v="12"/>
    <n v="1"/>
    <n v="12"/>
    <n v="12"/>
  </r>
  <r>
    <x v="36"/>
    <x v="1"/>
    <x v="0"/>
    <x v="158"/>
    <s v="Maw La Myaing"/>
    <x v="3"/>
    <x v="2"/>
    <x v="12"/>
    <n v="1"/>
    <n v="12"/>
    <n v="12"/>
  </r>
  <r>
    <x v="36"/>
    <x v="1"/>
    <x v="0"/>
    <x v="159"/>
    <s v="Maw La Myaing"/>
    <x v="3"/>
    <x v="2"/>
    <x v="12"/>
    <n v="0.25"/>
    <n v="3"/>
    <n v="3"/>
  </r>
  <r>
    <x v="36"/>
    <x v="1"/>
    <x v="0"/>
    <x v="159"/>
    <s v="Maw La Myaing"/>
    <x v="3"/>
    <x v="2"/>
    <x v="12"/>
    <n v="0.16666666666666666"/>
    <n v="2"/>
    <n v="2"/>
  </r>
  <r>
    <x v="37"/>
    <x v="1"/>
    <x v="0"/>
    <x v="16"/>
    <s v="Belin"/>
    <x v="3"/>
    <x v="0"/>
    <x v="6"/>
    <n v="50"/>
    <n v="700"/>
    <n v="448"/>
  </r>
  <r>
    <x v="37"/>
    <x v="1"/>
    <x v="0"/>
    <x v="15"/>
    <s v="Belin"/>
    <x v="2"/>
    <x v="2"/>
    <x v="6"/>
    <n v="150"/>
    <n v="2100"/>
    <n v="1344"/>
  </r>
  <r>
    <x v="37"/>
    <x v="1"/>
    <x v="0"/>
    <x v="123"/>
    <s v="Paung"/>
    <x v="3"/>
    <x v="2"/>
    <x v="6"/>
    <n v="10"/>
    <n v="140"/>
    <n v="89.600000000000009"/>
  </r>
  <r>
    <x v="37"/>
    <x v="1"/>
    <x v="0"/>
    <x v="29"/>
    <s v="Maw La Myaing"/>
    <x v="0"/>
    <x v="2"/>
    <x v="6"/>
    <n v="30"/>
    <n v="420"/>
    <n v="268.8"/>
  </r>
  <r>
    <x v="37"/>
    <x v="1"/>
    <x v="0"/>
    <x v="29"/>
    <s v="Maw La Myaing"/>
    <x v="0"/>
    <x v="2"/>
    <x v="4"/>
    <n v="30"/>
    <n v="360"/>
    <n v="360"/>
  </r>
  <r>
    <x v="37"/>
    <x v="1"/>
    <x v="0"/>
    <x v="120"/>
    <s v="Yay"/>
    <x v="1"/>
    <x v="2"/>
    <x v="3"/>
    <n v="150"/>
    <n v="2100"/>
    <n v="1344"/>
  </r>
  <r>
    <x v="37"/>
    <x v="1"/>
    <x v="0"/>
    <x v="120"/>
    <s v="Yay"/>
    <x v="1"/>
    <x v="2"/>
    <x v="4"/>
    <n v="50"/>
    <n v="600"/>
    <n v="600"/>
  </r>
  <r>
    <x v="37"/>
    <x v="1"/>
    <x v="0"/>
    <x v="34"/>
    <s v="Yay"/>
    <x v="3"/>
    <x v="2"/>
    <x v="4"/>
    <n v="50"/>
    <n v="600"/>
    <n v="600"/>
  </r>
  <r>
    <x v="37"/>
    <x v="1"/>
    <x v="0"/>
    <x v="5"/>
    <s v="Yay"/>
    <x v="0"/>
    <x v="0"/>
    <x v="4"/>
    <n v="30"/>
    <n v="360"/>
    <n v="360"/>
  </r>
  <r>
    <x v="37"/>
    <x v="1"/>
    <x v="0"/>
    <x v="3"/>
    <s v="Yay"/>
    <x v="0"/>
    <x v="0"/>
    <x v="3"/>
    <n v="50"/>
    <n v="700"/>
    <n v="448"/>
  </r>
  <r>
    <x v="37"/>
    <x v="1"/>
    <x v="0"/>
    <x v="3"/>
    <s v="Yay"/>
    <x v="0"/>
    <x v="0"/>
    <x v="4"/>
    <n v="150"/>
    <n v="1800"/>
    <n v="1800"/>
  </r>
  <r>
    <x v="37"/>
    <x v="1"/>
    <x v="0"/>
    <x v="3"/>
    <s v="Yay"/>
    <x v="0"/>
    <x v="0"/>
    <x v="3"/>
    <n v="150"/>
    <n v="2100"/>
    <n v="1344"/>
  </r>
  <r>
    <x v="37"/>
    <x v="1"/>
    <x v="0"/>
    <x v="3"/>
    <s v="Yay"/>
    <x v="0"/>
    <x v="0"/>
    <x v="4"/>
    <n v="50"/>
    <n v="600"/>
    <n v="600"/>
  </r>
  <r>
    <x v="37"/>
    <x v="1"/>
    <x v="0"/>
    <x v="0"/>
    <s v="Maw La Myaing"/>
    <x v="0"/>
    <x v="0"/>
    <x v="2"/>
    <n v="60"/>
    <n v="1440"/>
    <n v="921.6"/>
  </r>
  <r>
    <x v="37"/>
    <x v="1"/>
    <x v="0"/>
    <x v="56"/>
    <s v="Maw La Myaing"/>
    <x v="3"/>
    <x v="2"/>
    <x v="6"/>
    <n v="1"/>
    <n v="14"/>
    <n v="8.9600000000000009"/>
  </r>
  <r>
    <x v="37"/>
    <x v="1"/>
    <x v="0"/>
    <x v="111"/>
    <s v="Maw La Myaing"/>
    <x v="3"/>
    <x v="2"/>
    <x v="5"/>
    <n v="1"/>
    <n v="12"/>
    <n v="12"/>
  </r>
  <r>
    <x v="37"/>
    <x v="1"/>
    <x v="0"/>
    <x v="55"/>
    <s v="Maw La Myaing"/>
    <x v="3"/>
    <x v="2"/>
    <x v="5"/>
    <n v="1"/>
    <n v="12"/>
    <n v="12"/>
  </r>
  <r>
    <x v="37"/>
    <x v="1"/>
    <x v="0"/>
    <x v="60"/>
    <s v="Maw La Myaing"/>
    <x v="3"/>
    <x v="2"/>
    <x v="5"/>
    <n v="1"/>
    <n v="12"/>
    <n v="12"/>
  </r>
  <r>
    <x v="37"/>
    <x v="1"/>
    <x v="0"/>
    <x v="60"/>
    <s v="Maw La Myaing"/>
    <x v="3"/>
    <x v="2"/>
    <x v="11"/>
    <n v="1"/>
    <n v="12"/>
    <n v="12"/>
  </r>
  <r>
    <x v="37"/>
    <x v="1"/>
    <x v="0"/>
    <x v="55"/>
    <s v="Maw La Myaing"/>
    <x v="3"/>
    <x v="2"/>
    <x v="11"/>
    <n v="1"/>
    <n v="12"/>
    <n v="12"/>
  </r>
  <r>
    <x v="37"/>
    <x v="1"/>
    <x v="0"/>
    <x v="53"/>
    <s v="Maw La Myaing"/>
    <x v="3"/>
    <x v="2"/>
    <x v="11"/>
    <n v="1"/>
    <n v="12"/>
    <n v="12"/>
  </r>
  <r>
    <x v="37"/>
    <x v="1"/>
    <x v="0"/>
    <x v="154"/>
    <s v="Maw La Myaing"/>
    <x v="3"/>
    <x v="2"/>
    <x v="5"/>
    <n v="4"/>
    <n v="48"/>
    <n v="48"/>
  </r>
  <r>
    <x v="37"/>
    <x v="1"/>
    <x v="0"/>
    <x v="154"/>
    <s v="Maw La Myaing"/>
    <x v="3"/>
    <x v="2"/>
    <x v="11"/>
    <n v="0.25"/>
    <n v="3"/>
    <n v="3"/>
  </r>
  <r>
    <x v="37"/>
    <x v="1"/>
    <x v="0"/>
    <x v="154"/>
    <s v="Maw La Myaing"/>
    <x v="3"/>
    <x v="2"/>
    <x v="12"/>
    <n v="0.25"/>
    <n v="3"/>
    <n v="3"/>
  </r>
  <r>
    <x v="37"/>
    <x v="1"/>
    <x v="0"/>
    <x v="59"/>
    <s v="Maw La Myaing"/>
    <x v="3"/>
    <x v="2"/>
    <x v="11"/>
    <n v="0.16666666666666666"/>
    <n v="2"/>
    <n v="2"/>
  </r>
  <r>
    <x v="37"/>
    <x v="1"/>
    <x v="0"/>
    <x v="59"/>
    <s v="Maw La Myaing"/>
    <x v="3"/>
    <x v="2"/>
    <x v="12"/>
    <n v="0.16666666666666666"/>
    <n v="2"/>
    <n v="2"/>
  </r>
  <r>
    <x v="37"/>
    <x v="1"/>
    <x v="0"/>
    <x v="59"/>
    <s v="Maw La Myaing"/>
    <x v="3"/>
    <x v="2"/>
    <x v="12"/>
    <n v="0.16666666666666666"/>
    <n v="2"/>
    <n v="2"/>
  </r>
  <r>
    <x v="37"/>
    <x v="1"/>
    <x v="0"/>
    <x v="56"/>
    <s v="Maw La Myaing"/>
    <x v="3"/>
    <x v="2"/>
    <x v="11"/>
    <n v="8.3333333333333329E-2"/>
    <n v="1"/>
    <n v="1"/>
  </r>
  <r>
    <x v="37"/>
    <x v="1"/>
    <x v="0"/>
    <x v="56"/>
    <s v="Maw La Myaing"/>
    <x v="3"/>
    <x v="2"/>
    <x v="12"/>
    <n v="8.3333333333333329E-2"/>
    <n v="1"/>
    <n v="1"/>
  </r>
  <r>
    <x v="37"/>
    <x v="1"/>
    <x v="0"/>
    <x v="56"/>
    <s v="Maw La Myaing"/>
    <x v="3"/>
    <x v="2"/>
    <x v="12"/>
    <n v="8.3333333333333329E-2"/>
    <n v="1"/>
    <n v="1"/>
  </r>
  <r>
    <x v="37"/>
    <x v="1"/>
    <x v="0"/>
    <x v="160"/>
    <s v="Maw La Myaing"/>
    <x v="3"/>
    <x v="2"/>
    <x v="5"/>
    <n v="1"/>
    <n v="12"/>
    <n v="12"/>
  </r>
  <r>
    <x v="37"/>
    <x v="1"/>
    <x v="0"/>
    <x v="160"/>
    <s v="Maw La Myaing"/>
    <x v="3"/>
    <x v="2"/>
    <x v="11"/>
    <n v="0.5"/>
    <n v="6"/>
    <n v="6"/>
  </r>
  <r>
    <x v="37"/>
    <x v="1"/>
    <x v="0"/>
    <x v="160"/>
    <s v="Maw La Myaing"/>
    <x v="3"/>
    <x v="2"/>
    <x v="12"/>
    <n v="0.5"/>
    <n v="6"/>
    <n v="6"/>
  </r>
  <r>
    <x v="37"/>
    <x v="1"/>
    <x v="0"/>
    <x v="58"/>
    <s v="Maw La Myaing"/>
    <x v="3"/>
    <x v="2"/>
    <x v="12"/>
    <n v="5"/>
    <n v="60"/>
    <n v="60"/>
  </r>
  <r>
    <x v="37"/>
    <x v="1"/>
    <x v="0"/>
    <x v="161"/>
    <s v="Maw La Myaing"/>
    <x v="3"/>
    <x v="2"/>
    <x v="12"/>
    <n v="1"/>
    <n v="12"/>
    <n v="12"/>
  </r>
  <r>
    <x v="38"/>
    <x v="1"/>
    <x v="0"/>
    <x v="35"/>
    <s v="Hpa-an"/>
    <x v="2"/>
    <x v="0"/>
    <x v="3"/>
    <n v="150"/>
    <n v="2100"/>
    <n v="1344"/>
  </r>
  <r>
    <x v="38"/>
    <x v="1"/>
    <x v="0"/>
    <x v="35"/>
    <s v="Hpa-an"/>
    <x v="2"/>
    <x v="0"/>
    <x v="4"/>
    <n v="50"/>
    <n v="600"/>
    <n v="600"/>
  </r>
  <r>
    <x v="38"/>
    <x v="1"/>
    <x v="0"/>
    <x v="39"/>
    <s v="Maw La Myaing"/>
    <x v="0"/>
    <x v="0"/>
    <x v="6"/>
    <n v="100"/>
    <n v="1400"/>
    <n v="896"/>
  </r>
  <r>
    <x v="38"/>
    <x v="1"/>
    <x v="0"/>
    <x v="39"/>
    <s v="Maw La Myaing"/>
    <x v="0"/>
    <x v="0"/>
    <x v="4"/>
    <n v="100"/>
    <n v="1200"/>
    <n v="1200"/>
  </r>
  <r>
    <x v="38"/>
    <x v="1"/>
    <x v="0"/>
    <x v="39"/>
    <s v="Maw La Myaing"/>
    <x v="0"/>
    <x v="0"/>
    <x v="5"/>
    <n v="50"/>
    <n v="600"/>
    <n v="600"/>
  </r>
  <r>
    <x v="38"/>
    <x v="1"/>
    <x v="0"/>
    <x v="29"/>
    <s v="Maw La Myaing"/>
    <x v="0"/>
    <x v="0"/>
    <x v="6"/>
    <n v="15"/>
    <n v="210"/>
    <n v="134.4"/>
  </r>
  <r>
    <x v="38"/>
    <x v="1"/>
    <x v="0"/>
    <x v="29"/>
    <s v="Maw La Myaing"/>
    <x v="0"/>
    <x v="0"/>
    <x v="9"/>
    <n v="30"/>
    <n v="420"/>
    <n v="268.8"/>
  </r>
  <r>
    <x v="38"/>
    <x v="1"/>
    <x v="0"/>
    <x v="49"/>
    <s v="Yay"/>
    <x v="2"/>
    <x v="0"/>
    <x v="3"/>
    <n v="50"/>
    <n v="700"/>
    <n v="448"/>
  </r>
  <r>
    <x v="38"/>
    <x v="1"/>
    <x v="0"/>
    <x v="49"/>
    <s v="Yay"/>
    <x v="2"/>
    <x v="0"/>
    <x v="4"/>
    <n v="50"/>
    <n v="600"/>
    <n v="600"/>
  </r>
  <r>
    <x v="38"/>
    <x v="1"/>
    <x v="0"/>
    <x v="96"/>
    <s v="Maw La Myaing"/>
    <x v="3"/>
    <x v="0"/>
    <x v="5"/>
    <n v="25"/>
    <n v="300"/>
    <n v="300"/>
  </r>
  <r>
    <x v="38"/>
    <x v="1"/>
    <x v="0"/>
    <x v="162"/>
    <s v="Chang Sone"/>
    <x v="3"/>
    <x v="0"/>
    <x v="9"/>
    <n v="15"/>
    <n v="210"/>
    <n v="134.4"/>
  </r>
  <r>
    <x v="38"/>
    <x v="1"/>
    <x v="0"/>
    <x v="163"/>
    <s v="Chang Sone"/>
    <x v="3"/>
    <x v="0"/>
    <x v="9"/>
    <n v="5"/>
    <n v="70"/>
    <n v="44.800000000000004"/>
  </r>
  <r>
    <x v="38"/>
    <x v="1"/>
    <x v="0"/>
    <x v="76"/>
    <s v="Chang Sone"/>
    <x v="3"/>
    <x v="0"/>
    <x v="9"/>
    <n v="15"/>
    <n v="210"/>
    <n v="134.4"/>
  </r>
  <r>
    <x v="38"/>
    <x v="1"/>
    <x v="0"/>
    <x v="164"/>
    <s v="Chang Sone"/>
    <x v="3"/>
    <x v="0"/>
    <x v="9"/>
    <n v="25"/>
    <n v="350"/>
    <n v="224"/>
  </r>
  <r>
    <x v="38"/>
    <x v="1"/>
    <x v="0"/>
    <x v="2"/>
    <s v="Yay"/>
    <x v="0"/>
    <x v="0"/>
    <x v="9"/>
    <n v="10"/>
    <n v="140"/>
    <n v="89.600000000000009"/>
  </r>
  <r>
    <x v="38"/>
    <x v="1"/>
    <x v="0"/>
    <x v="5"/>
    <s v="Yay"/>
    <x v="0"/>
    <x v="0"/>
    <x v="4"/>
    <n v="50"/>
    <n v="600"/>
    <n v="600"/>
  </r>
  <r>
    <x v="38"/>
    <x v="1"/>
    <x v="0"/>
    <x v="25"/>
    <s v="Maw La Myaing"/>
    <x v="3"/>
    <x v="2"/>
    <x v="5"/>
    <n v="5"/>
    <n v="60"/>
    <n v="60"/>
  </r>
  <r>
    <x v="38"/>
    <x v="1"/>
    <x v="0"/>
    <x v="165"/>
    <s v="Maw La Myaing"/>
    <x v="3"/>
    <x v="2"/>
    <x v="11"/>
    <n v="1"/>
    <n v="12"/>
    <n v="12"/>
  </r>
  <r>
    <x v="38"/>
    <x v="1"/>
    <x v="0"/>
    <x v="166"/>
    <s v="Maw La Myaing"/>
    <x v="3"/>
    <x v="2"/>
    <x v="11"/>
    <n v="0.25"/>
    <n v="3"/>
    <n v="3"/>
  </r>
  <r>
    <x v="38"/>
    <x v="1"/>
    <x v="0"/>
    <x v="166"/>
    <s v="Maw La Myaing"/>
    <x v="3"/>
    <x v="2"/>
    <x v="12"/>
    <n v="0.25"/>
    <n v="3"/>
    <n v="3"/>
  </r>
  <r>
    <x v="38"/>
    <x v="1"/>
    <x v="0"/>
    <x v="166"/>
    <s v="Maw La Myaing"/>
    <x v="3"/>
    <x v="2"/>
    <x v="12"/>
    <n v="0.25"/>
    <n v="3"/>
    <n v="3"/>
  </r>
  <r>
    <x v="39"/>
    <x v="1"/>
    <x v="0"/>
    <x v="11"/>
    <s v="Hpa-an"/>
    <x v="2"/>
    <x v="2"/>
    <x v="6"/>
    <n v="20"/>
    <n v="280"/>
    <n v="179.20000000000002"/>
  </r>
  <r>
    <x v="39"/>
    <x v="1"/>
    <x v="0"/>
    <x v="11"/>
    <s v="Hpa-an"/>
    <x v="2"/>
    <x v="2"/>
    <x v="5"/>
    <n v="100"/>
    <n v="1200"/>
    <n v="1200"/>
  </r>
  <r>
    <x v="39"/>
    <x v="1"/>
    <x v="0"/>
    <x v="11"/>
    <s v="Hpa-an"/>
    <x v="2"/>
    <x v="2"/>
    <x v="7"/>
    <n v="5"/>
    <n v="200"/>
    <n v="70"/>
  </r>
  <r>
    <x v="39"/>
    <x v="1"/>
    <x v="0"/>
    <x v="11"/>
    <s v="Hpa-an"/>
    <x v="2"/>
    <x v="3"/>
    <x v="6"/>
    <n v="7.1428571428571425E-2"/>
    <n v="1"/>
    <n v="0.64"/>
  </r>
  <r>
    <x v="39"/>
    <x v="1"/>
    <x v="0"/>
    <x v="167"/>
    <s v="Hpa-an"/>
    <x v="3"/>
    <x v="2"/>
    <x v="5"/>
    <n v="50"/>
    <n v="600"/>
    <n v="600"/>
  </r>
  <r>
    <x v="39"/>
    <x v="1"/>
    <x v="0"/>
    <x v="167"/>
    <s v="Hpa-an"/>
    <x v="3"/>
    <x v="2"/>
    <x v="7"/>
    <n v="5"/>
    <n v="200"/>
    <n v="70"/>
  </r>
  <r>
    <x v="39"/>
    <x v="1"/>
    <x v="0"/>
    <x v="37"/>
    <s v="Hpa-an"/>
    <x v="3"/>
    <x v="2"/>
    <x v="5"/>
    <n v="20"/>
    <n v="240"/>
    <n v="240"/>
  </r>
  <r>
    <x v="39"/>
    <x v="1"/>
    <x v="0"/>
    <x v="36"/>
    <s v="Hpa-an"/>
    <x v="1"/>
    <x v="2"/>
    <x v="5"/>
    <n v="50"/>
    <n v="600"/>
    <n v="600"/>
  </r>
  <r>
    <x v="39"/>
    <x v="1"/>
    <x v="0"/>
    <x v="39"/>
    <s v="Maw La Myaing"/>
    <x v="0"/>
    <x v="2"/>
    <x v="6"/>
    <n v="100"/>
    <n v="1400"/>
    <n v="896"/>
  </r>
  <r>
    <x v="39"/>
    <x v="1"/>
    <x v="0"/>
    <x v="39"/>
    <s v="Maw La Myaing"/>
    <x v="0"/>
    <x v="2"/>
    <x v="4"/>
    <n v="200"/>
    <n v="2400"/>
    <n v="2400"/>
  </r>
  <r>
    <x v="39"/>
    <x v="1"/>
    <x v="0"/>
    <x v="29"/>
    <s v="Maw La Myaing"/>
    <x v="0"/>
    <x v="2"/>
    <x v="4"/>
    <n v="20"/>
    <n v="240"/>
    <n v="240"/>
  </r>
  <r>
    <x v="39"/>
    <x v="1"/>
    <x v="0"/>
    <x v="115"/>
    <s v="Maw La Myaing"/>
    <x v="3"/>
    <x v="2"/>
    <x v="6"/>
    <n v="2"/>
    <n v="24"/>
    <n v="16.799999999999997"/>
  </r>
  <r>
    <x v="39"/>
    <x v="1"/>
    <x v="0"/>
    <x v="3"/>
    <s v="Yay"/>
    <x v="0"/>
    <x v="0"/>
    <x v="3"/>
    <n v="160"/>
    <n v="2240"/>
    <n v="1433.6000000000001"/>
  </r>
  <r>
    <x v="39"/>
    <x v="1"/>
    <x v="0"/>
    <x v="3"/>
    <s v="Yay"/>
    <x v="0"/>
    <x v="0"/>
    <x v="4"/>
    <n v="160"/>
    <n v="1920"/>
    <n v="1920"/>
  </r>
  <r>
    <x v="40"/>
    <x v="1"/>
    <x v="0"/>
    <x v="5"/>
    <s v="Yay"/>
    <x v="0"/>
    <x v="0"/>
    <x v="4"/>
    <n v="70"/>
    <n v="840"/>
    <n v="840"/>
  </r>
  <r>
    <x v="40"/>
    <x v="1"/>
    <x v="0"/>
    <x v="3"/>
    <s v="Yay"/>
    <x v="0"/>
    <x v="0"/>
    <x v="3"/>
    <n v="225"/>
    <n v="3150"/>
    <n v="2016"/>
  </r>
  <r>
    <x v="40"/>
    <x v="1"/>
    <x v="0"/>
    <x v="3"/>
    <s v="Yay"/>
    <x v="0"/>
    <x v="0"/>
    <x v="3"/>
    <n v="50"/>
    <n v="700"/>
    <n v="448"/>
  </r>
  <r>
    <x v="40"/>
    <x v="1"/>
    <x v="0"/>
    <x v="3"/>
    <s v="Yay"/>
    <x v="0"/>
    <x v="0"/>
    <x v="4"/>
    <n v="150"/>
    <n v="1800"/>
    <n v="1800"/>
  </r>
  <r>
    <x v="40"/>
    <x v="1"/>
    <x v="0"/>
    <x v="63"/>
    <s v="Maw La Myaing"/>
    <x v="3"/>
    <x v="2"/>
    <x v="6"/>
    <n v="5"/>
    <n v="70"/>
    <n v="44.800000000000004"/>
  </r>
  <r>
    <x v="40"/>
    <x v="1"/>
    <x v="0"/>
    <x v="62"/>
    <s v="Maw La Myaing"/>
    <x v="2"/>
    <x v="2"/>
    <x v="6"/>
    <n v="25"/>
    <n v="350"/>
    <n v="224"/>
  </r>
  <r>
    <x v="40"/>
    <x v="1"/>
    <x v="0"/>
    <x v="62"/>
    <s v="Maw La Myaing"/>
    <x v="2"/>
    <x v="2"/>
    <x v="5"/>
    <n v="5"/>
    <n v="60"/>
    <n v="60"/>
  </r>
  <r>
    <x v="40"/>
    <x v="1"/>
    <x v="0"/>
    <x v="22"/>
    <s v="Yay"/>
    <x v="0"/>
    <x v="2"/>
    <x v="3"/>
    <n v="50"/>
    <n v="700"/>
    <n v="448"/>
  </r>
  <r>
    <x v="40"/>
    <x v="1"/>
    <x v="0"/>
    <x v="22"/>
    <s v="Yay"/>
    <x v="0"/>
    <x v="2"/>
    <x v="4"/>
    <n v="50"/>
    <n v="600"/>
    <n v="600"/>
  </r>
  <r>
    <x v="40"/>
    <x v="1"/>
    <x v="0"/>
    <x v="69"/>
    <s v="Mudon"/>
    <x v="1"/>
    <x v="2"/>
    <x v="1"/>
    <n v="25"/>
    <n v="350"/>
    <n v="224"/>
  </r>
  <r>
    <x v="40"/>
    <x v="1"/>
    <x v="0"/>
    <x v="168"/>
    <s v="Mudon"/>
    <x v="3"/>
    <x v="2"/>
    <x v="1"/>
    <n v="30"/>
    <n v="420"/>
    <n v="268.8"/>
  </r>
  <r>
    <x v="40"/>
    <x v="1"/>
    <x v="0"/>
    <x v="22"/>
    <s v="Yay"/>
    <x v="0"/>
    <x v="2"/>
    <x v="1"/>
    <n v="30"/>
    <n v="420"/>
    <n v="268.8"/>
  </r>
  <r>
    <x v="40"/>
    <x v="1"/>
    <x v="0"/>
    <x v="54"/>
    <s v="Maw La Myaing"/>
    <x v="3"/>
    <x v="2"/>
    <x v="11"/>
    <n v="1"/>
    <n v="12"/>
    <n v="12"/>
  </r>
  <r>
    <x v="40"/>
    <x v="1"/>
    <x v="0"/>
    <x v="54"/>
    <s v="Maw La Myaing"/>
    <x v="3"/>
    <x v="2"/>
    <x v="12"/>
    <n v="1"/>
    <n v="12"/>
    <n v="12"/>
  </r>
  <r>
    <x v="40"/>
    <x v="1"/>
    <x v="0"/>
    <x v="54"/>
    <s v="Maw La Myaing"/>
    <x v="3"/>
    <x v="3"/>
    <x v="11"/>
    <n v="8.3333333333333329E-2"/>
    <n v="1"/>
    <n v="1"/>
  </r>
  <r>
    <x v="40"/>
    <x v="1"/>
    <x v="0"/>
    <x v="54"/>
    <s v="Maw La Myaing"/>
    <x v="3"/>
    <x v="3"/>
    <x v="12"/>
    <n v="8.3333333333333329E-2"/>
    <n v="1"/>
    <n v="1"/>
  </r>
  <r>
    <x v="40"/>
    <x v="1"/>
    <x v="0"/>
    <x v="42"/>
    <s v="Mudon"/>
    <x v="2"/>
    <x v="2"/>
    <x v="1"/>
    <n v="50"/>
    <n v="700"/>
    <n v="448"/>
  </r>
  <r>
    <x v="41"/>
    <x v="1"/>
    <x v="0"/>
    <x v="89"/>
    <s v="Yay"/>
    <x v="0"/>
    <x v="1"/>
    <x v="4"/>
    <n v="100"/>
    <n v="1200"/>
    <n v="1200"/>
  </r>
  <r>
    <x v="41"/>
    <x v="1"/>
    <x v="0"/>
    <x v="89"/>
    <s v="Yay"/>
    <x v="0"/>
    <x v="3"/>
    <x v="11"/>
    <n v="0.5"/>
    <n v="6"/>
    <n v="6"/>
  </r>
  <r>
    <x v="41"/>
    <x v="1"/>
    <x v="0"/>
    <x v="89"/>
    <s v="Yay"/>
    <x v="0"/>
    <x v="3"/>
    <x v="12"/>
    <n v="0.25"/>
    <n v="3"/>
    <n v="3"/>
  </r>
  <r>
    <x v="41"/>
    <x v="1"/>
    <x v="0"/>
    <x v="89"/>
    <s v="Yay"/>
    <x v="0"/>
    <x v="3"/>
    <x v="12"/>
    <n v="0.25"/>
    <n v="3"/>
    <n v="3"/>
  </r>
  <r>
    <x v="41"/>
    <x v="1"/>
    <x v="0"/>
    <x v="3"/>
    <s v="Yay"/>
    <x v="0"/>
    <x v="0"/>
    <x v="3"/>
    <n v="100"/>
    <n v="1400"/>
    <n v="896"/>
  </r>
  <r>
    <x v="41"/>
    <x v="1"/>
    <x v="0"/>
    <x v="3"/>
    <s v="Yay"/>
    <x v="0"/>
    <x v="0"/>
    <x v="4"/>
    <n v="50"/>
    <n v="600"/>
    <n v="600"/>
  </r>
  <r>
    <x v="41"/>
    <x v="1"/>
    <x v="0"/>
    <x v="49"/>
    <s v="Yay"/>
    <x v="2"/>
    <x v="2"/>
    <x v="3"/>
    <n v="50"/>
    <n v="700"/>
    <n v="448"/>
  </r>
  <r>
    <x v="41"/>
    <x v="1"/>
    <x v="0"/>
    <x v="100"/>
    <s v="Yay"/>
    <x v="3"/>
    <x v="2"/>
    <x v="3"/>
    <n v="100"/>
    <n v="1400"/>
    <n v="896"/>
  </r>
  <r>
    <x v="41"/>
    <x v="1"/>
    <x v="0"/>
    <x v="100"/>
    <s v="Yay"/>
    <x v="3"/>
    <x v="2"/>
    <x v="4"/>
    <n v="50"/>
    <n v="600"/>
    <n v="600"/>
  </r>
  <r>
    <x v="41"/>
    <x v="1"/>
    <x v="0"/>
    <x v="100"/>
    <s v="Yay"/>
    <x v="3"/>
    <x v="3"/>
    <x v="11"/>
    <n v="0.25"/>
    <n v="3"/>
    <n v="3"/>
  </r>
  <r>
    <x v="41"/>
    <x v="1"/>
    <x v="0"/>
    <x v="100"/>
    <s v="Yay"/>
    <x v="3"/>
    <x v="3"/>
    <x v="12"/>
    <n v="0.25"/>
    <n v="3"/>
    <n v="3"/>
  </r>
  <r>
    <x v="41"/>
    <x v="1"/>
    <x v="0"/>
    <x v="100"/>
    <s v="Yay"/>
    <x v="3"/>
    <x v="3"/>
    <x v="12"/>
    <n v="0.25"/>
    <n v="3"/>
    <n v="3"/>
  </r>
  <r>
    <x v="41"/>
    <x v="1"/>
    <x v="0"/>
    <x v="34"/>
    <s v="Yay"/>
    <x v="3"/>
    <x v="2"/>
    <x v="4"/>
    <n v="50"/>
    <n v="600"/>
    <n v="600"/>
  </r>
  <r>
    <x v="41"/>
    <x v="1"/>
    <x v="0"/>
    <x v="27"/>
    <s v="Maw La Myaing"/>
    <x v="0"/>
    <x v="2"/>
    <x v="2"/>
    <n v="30"/>
    <n v="720"/>
    <n v="460.8"/>
  </r>
  <r>
    <x v="41"/>
    <x v="1"/>
    <x v="0"/>
    <x v="27"/>
    <s v="Maw La Myaing"/>
    <x v="0"/>
    <x v="2"/>
    <x v="2"/>
    <n v="20"/>
    <n v="480"/>
    <n v="307.2"/>
  </r>
  <r>
    <x v="41"/>
    <x v="1"/>
    <x v="0"/>
    <x v="40"/>
    <s v="Mudon"/>
    <x v="2"/>
    <x v="2"/>
    <x v="1"/>
    <n v="50"/>
    <n v="700"/>
    <n v="448"/>
  </r>
  <r>
    <x v="41"/>
    <x v="1"/>
    <x v="0"/>
    <x v="23"/>
    <s v="Mudon"/>
    <x v="3"/>
    <x v="2"/>
    <x v="5"/>
    <n v="1"/>
    <n v="12"/>
    <n v="12"/>
  </r>
  <r>
    <x v="41"/>
    <x v="1"/>
    <x v="0"/>
    <x v="23"/>
    <s v="Mudon"/>
    <x v="3"/>
    <x v="2"/>
    <x v="11"/>
    <n v="1"/>
    <n v="12"/>
    <n v="12"/>
  </r>
  <r>
    <x v="41"/>
    <x v="1"/>
    <x v="0"/>
    <x v="23"/>
    <s v="Mudon"/>
    <x v="3"/>
    <x v="2"/>
    <x v="12"/>
    <n v="1"/>
    <n v="12"/>
    <n v="12"/>
  </r>
  <r>
    <x v="41"/>
    <x v="1"/>
    <x v="0"/>
    <x v="23"/>
    <s v="Mudon"/>
    <x v="3"/>
    <x v="2"/>
    <x v="12"/>
    <n v="1"/>
    <n v="12"/>
    <n v="12"/>
  </r>
  <r>
    <x v="41"/>
    <x v="1"/>
    <x v="0"/>
    <x v="23"/>
    <s v="Mudon"/>
    <x v="3"/>
    <x v="3"/>
    <x v="11"/>
    <n v="8.3333333333333329E-2"/>
    <n v="1"/>
    <n v="1"/>
  </r>
  <r>
    <x v="41"/>
    <x v="1"/>
    <x v="0"/>
    <x v="23"/>
    <s v="Mudon"/>
    <x v="3"/>
    <x v="3"/>
    <x v="12"/>
    <n v="8.3333333333333329E-2"/>
    <n v="1"/>
    <n v="1"/>
  </r>
  <r>
    <x v="41"/>
    <x v="1"/>
    <x v="0"/>
    <x v="23"/>
    <s v="Mudon"/>
    <x v="3"/>
    <x v="3"/>
    <x v="12"/>
    <n v="8.3333333333333329E-2"/>
    <n v="1"/>
    <n v="1"/>
  </r>
  <r>
    <x v="41"/>
    <x v="1"/>
    <x v="0"/>
    <x v="169"/>
    <s v="Maw La Myaing"/>
    <x v="3"/>
    <x v="2"/>
    <x v="5"/>
    <n v="3"/>
    <n v="36"/>
    <n v="36"/>
  </r>
  <r>
    <x v="41"/>
    <x v="1"/>
    <x v="0"/>
    <x v="27"/>
    <s v="Maw La Myaing"/>
    <x v="0"/>
    <x v="2"/>
    <x v="2"/>
    <n v="30"/>
    <n v="720"/>
    <n v="460.8"/>
  </r>
  <r>
    <x v="41"/>
    <x v="1"/>
    <x v="0"/>
    <x v="110"/>
    <s v="Thein Zayet"/>
    <x v="2"/>
    <x v="2"/>
    <x v="3"/>
    <n v="30"/>
    <n v="420"/>
    <n v="268.8"/>
  </r>
  <r>
    <x v="41"/>
    <x v="1"/>
    <x v="0"/>
    <x v="110"/>
    <s v="Thein Zayet"/>
    <x v="2"/>
    <x v="2"/>
    <x v="4"/>
    <n v="70"/>
    <n v="840"/>
    <n v="840"/>
  </r>
  <r>
    <x v="41"/>
    <x v="1"/>
    <x v="0"/>
    <x v="110"/>
    <s v="Thein Zayet"/>
    <x v="2"/>
    <x v="3"/>
    <x v="3"/>
    <n v="0.14285714285714285"/>
    <n v="2"/>
    <n v="1.28"/>
  </r>
  <r>
    <x v="41"/>
    <x v="1"/>
    <x v="0"/>
    <x v="109"/>
    <s v="Thein Zayet"/>
    <x v="3"/>
    <x v="2"/>
    <x v="4"/>
    <n v="25"/>
    <n v="300"/>
    <n v="300"/>
  </r>
  <r>
    <x v="41"/>
    <x v="1"/>
    <x v="0"/>
    <x v="109"/>
    <s v="Thein Zayet"/>
    <x v="3"/>
    <x v="3"/>
    <x v="3"/>
    <n v="0.14285714285714285"/>
    <n v="2"/>
    <n v="1.28"/>
  </r>
  <r>
    <x v="41"/>
    <x v="1"/>
    <x v="0"/>
    <x v="33"/>
    <s v="Thein Zayet"/>
    <x v="1"/>
    <x v="2"/>
    <x v="4"/>
    <n v="100"/>
    <n v="1200"/>
    <n v="1200"/>
  </r>
  <r>
    <x v="41"/>
    <x v="1"/>
    <x v="0"/>
    <x v="33"/>
    <s v="Thein Zayet"/>
    <x v="1"/>
    <x v="3"/>
    <x v="3"/>
    <n v="7.1428571428571425E-2"/>
    <n v="1"/>
    <n v="0.64"/>
  </r>
  <r>
    <x v="42"/>
    <x v="1"/>
    <x v="0"/>
    <x v="55"/>
    <s v="Maw La Myaing"/>
    <x v="3"/>
    <x v="2"/>
    <x v="5"/>
    <n v="2"/>
    <n v="24"/>
    <n v="24"/>
  </r>
  <r>
    <x v="42"/>
    <x v="1"/>
    <x v="0"/>
    <x v="170"/>
    <s v="Maw La Myaing"/>
    <x v="3"/>
    <x v="2"/>
    <x v="5"/>
    <n v="2"/>
    <n v="24"/>
    <n v="24"/>
  </r>
  <r>
    <x v="42"/>
    <x v="1"/>
    <x v="0"/>
    <x v="170"/>
    <s v="Maw La Myaing"/>
    <x v="3"/>
    <x v="2"/>
    <x v="11"/>
    <n v="1"/>
    <n v="12"/>
    <n v="12"/>
  </r>
  <r>
    <x v="42"/>
    <x v="1"/>
    <x v="0"/>
    <x v="170"/>
    <s v="Maw La Myaing"/>
    <x v="3"/>
    <x v="2"/>
    <x v="12"/>
    <n v="1"/>
    <n v="12"/>
    <n v="12"/>
  </r>
  <r>
    <x v="42"/>
    <x v="1"/>
    <x v="0"/>
    <x v="170"/>
    <s v="Maw La Myaing"/>
    <x v="3"/>
    <x v="2"/>
    <x v="12"/>
    <n v="1"/>
    <n v="12"/>
    <n v="12"/>
  </r>
  <r>
    <x v="42"/>
    <x v="1"/>
    <x v="0"/>
    <x v="170"/>
    <s v="Maw La Myaing"/>
    <x v="3"/>
    <x v="3"/>
    <x v="11"/>
    <n v="8.3333333333333329E-2"/>
    <n v="1"/>
    <n v="1"/>
  </r>
  <r>
    <x v="42"/>
    <x v="1"/>
    <x v="0"/>
    <x v="170"/>
    <s v="Maw La Myaing"/>
    <x v="3"/>
    <x v="3"/>
    <x v="12"/>
    <n v="8.3333333333333329E-2"/>
    <n v="1"/>
    <n v="1"/>
  </r>
  <r>
    <x v="42"/>
    <x v="1"/>
    <x v="0"/>
    <x v="170"/>
    <s v="Maw La Myaing"/>
    <x v="3"/>
    <x v="3"/>
    <x v="12"/>
    <n v="8.3333333333333329E-2"/>
    <n v="1"/>
    <n v="1"/>
  </r>
  <r>
    <x v="42"/>
    <x v="1"/>
    <x v="0"/>
    <x v="171"/>
    <s v="Maw La Myaing"/>
    <x v="3"/>
    <x v="2"/>
    <x v="12"/>
    <n v="2"/>
    <n v="24"/>
    <n v="24"/>
  </r>
  <r>
    <x v="42"/>
    <x v="1"/>
    <x v="0"/>
    <x v="156"/>
    <s v="Maw La Myaing"/>
    <x v="3"/>
    <x v="2"/>
    <x v="11"/>
    <n v="1"/>
    <n v="12"/>
    <n v="12"/>
  </r>
  <r>
    <x v="42"/>
    <x v="1"/>
    <x v="0"/>
    <x v="156"/>
    <s v="Maw La Myaing"/>
    <x v="3"/>
    <x v="3"/>
    <x v="12"/>
    <n v="8.3333333333333329E-2"/>
    <n v="1"/>
    <n v="1"/>
  </r>
  <r>
    <x v="42"/>
    <x v="1"/>
    <x v="0"/>
    <x v="156"/>
    <s v="Maw La Myaing"/>
    <x v="3"/>
    <x v="3"/>
    <x v="11"/>
    <n v="8.3333333333333329E-2"/>
    <n v="1"/>
    <n v="1"/>
  </r>
  <r>
    <x v="42"/>
    <x v="1"/>
    <x v="0"/>
    <x v="156"/>
    <s v="Maw La Myaing"/>
    <x v="3"/>
    <x v="3"/>
    <x v="12"/>
    <n v="8.3333333333333329E-2"/>
    <n v="1"/>
    <n v="1"/>
  </r>
  <r>
    <x v="42"/>
    <x v="1"/>
    <x v="0"/>
    <x v="156"/>
    <s v="Maw La Myaing"/>
    <x v="3"/>
    <x v="2"/>
    <x v="12"/>
    <n v="8.3333333333333329E-2"/>
    <n v="1"/>
    <n v="1"/>
  </r>
  <r>
    <x v="42"/>
    <x v="1"/>
    <x v="0"/>
    <x v="53"/>
    <s v="Maw La Myaing"/>
    <x v="3"/>
    <x v="2"/>
    <x v="11"/>
    <n v="5"/>
    <n v="60"/>
    <n v="60"/>
  </r>
  <r>
    <x v="42"/>
    <x v="1"/>
    <x v="0"/>
    <x v="53"/>
    <s v="Maw La Myaing"/>
    <x v="3"/>
    <x v="3"/>
    <x v="11"/>
    <n v="0.25"/>
    <n v="3"/>
    <n v="3"/>
  </r>
  <r>
    <x v="42"/>
    <x v="1"/>
    <x v="0"/>
    <x v="62"/>
    <s v="Maw La Myaing"/>
    <x v="2"/>
    <x v="3"/>
    <x v="11"/>
    <n v="8.3333333333333329E-2"/>
    <n v="1"/>
    <n v="1"/>
  </r>
  <r>
    <x v="42"/>
    <x v="1"/>
    <x v="0"/>
    <x v="62"/>
    <s v="Maw La Myaing"/>
    <x v="2"/>
    <x v="3"/>
    <x v="12"/>
    <n v="8.3333333333333329E-2"/>
    <n v="1"/>
    <n v="1"/>
  </r>
  <r>
    <x v="42"/>
    <x v="1"/>
    <x v="0"/>
    <x v="62"/>
    <s v="Maw La Myaing"/>
    <x v="2"/>
    <x v="3"/>
    <x v="12"/>
    <n v="8.3333333333333329E-2"/>
    <n v="1"/>
    <n v="1"/>
  </r>
  <r>
    <x v="42"/>
    <x v="1"/>
    <x v="0"/>
    <x v="68"/>
    <s v="Maw La Myaing"/>
    <x v="1"/>
    <x v="2"/>
    <x v="6"/>
    <n v="10"/>
    <n v="140"/>
    <n v="89.600000000000009"/>
  </r>
  <r>
    <x v="42"/>
    <x v="1"/>
    <x v="0"/>
    <x v="29"/>
    <s v="Maw La Myaing"/>
    <x v="0"/>
    <x v="2"/>
    <x v="6"/>
    <n v="30"/>
    <n v="420"/>
    <n v="268.8"/>
  </r>
  <r>
    <x v="42"/>
    <x v="1"/>
    <x v="0"/>
    <x v="29"/>
    <s v="Maw La Myaing"/>
    <x v="0"/>
    <x v="2"/>
    <x v="9"/>
    <n v="20"/>
    <n v="280"/>
    <n v="179.20000000000002"/>
  </r>
  <r>
    <x v="42"/>
    <x v="1"/>
    <x v="0"/>
    <x v="47"/>
    <s v="Maw La Myaing"/>
    <x v="0"/>
    <x v="2"/>
    <x v="6"/>
    <n v="100"/>
    <n v="1400"/>
    <n v="896"/>
  </r>
  <r>
    <x v="42"/>
    <x v="1"/>
    <x v="0"/>
    <x v="47"/>
    <s v="Maw La Myaing"/>
    <x v="0"/>
    <x v="2"/>
    <x v="3"/>
    <n v="30"/>
    <n v="420"/>
    <n v="268.8"/>
  </r>
  <r>
    <x v="42"/>
    <x v="1"/>
    <x v="0"/>
    <x v="47"/>
    <s v="Maw La Myaing"/>
    <x v="0"/>
    <x v="2"/>
    <x v="4"/>
    <n v="50"/>
    <n v="600"/>
    <n v="600"/>
  </r>
  <r>
    <x v="42"/>
    <x v="1"/>
    <x v="0"/>
    <x v="47"/>
    <s v="Maw La Myaing"/>
    <x v="0"/>
    <x v="2"/>
    <x v="5"/>
    <n v="20"/>
    <n v="240"/>
    <n v="240"/>
  </r>
  <r>
    <x v="42"/>
    <x v="1"/>
    <x v="0"/>
    <x v="72"/>
    <s v="Yay"/>
    <x v="2"/>
    <x v="2"/>
    <x v="3"/>
    <n v="20"/>
    <n v="280"/>
    <n v="179.20000000000002"/>
  </r>
  <r>
    <x v="42"/>
    <x v="1"/>
    <x v="0"/>
    <x v="72"/>
    <s v="Yay"/>
    <x v="2"/>
    <x v="2"/>
    <x v="4"/>
    <n v="40"/>
    <n v="480"/>
    <n v="480"/>
  </r>
  <r>
    <x v="42"/>
    <x v="1"/>
    <x v="0"/>
    <x v="27"/>
    <s v="Maw La Myaing"/>
    <x v="0"/>
    <x v="2"/>
    <x v="6"/>
    <n v="20"/>
    <n v="280"/>
    <n v="179.20000000000002"/>
  </r>
  <r>
    <x v="42"/>
    <x v="1"/>
    <x v="0"/>
    <x v="27"/>
    <s v="Maw La Myaing"/>
    <x v="0"/>
    <x v="2"/>
    <x v="2"/>
    <n v="30"/>
    <n v="720"/>
    <n v="460.8"/>
  </r>
  <r>
    <x v="42"/>
    <x v="1"/>
    <x v="0"/>
    <x v="48"/>
    <s v="Maw La Myaing"/>
    <x v="3"/>
    <x v="2"/>
    <x v="4"/>
    <n v="50"/>
    <n v="600"/>
    <n v="600"/>
  </r>
  <r>
    <x v="42"/>
    <x v="1"/>
    <x v="0"/>
    <x v="3"/>
    <s v="Yay"/>
    <x v="0"/>
    <x v="0"/>
    <x v="3"/>
    <n v="200"/>
    <n v="2800"/>
    <n v="1792"/>
  </r>
  <r>
    <x v="42"/>
    <x v="1"/>
    <x v="0"/>
    <x v="3"/>
    <s v="Yay"/>
    <x v="0"/>
    <x v="0"/>
    <x v="3"/>
    <n v="50"/>
    <n v="700"/>
    <n v="448"/>
  </r>
  <r>
    <x v="42"/>
    <x v="1"/>
    <x v="0"/>
    <x v="3"/>
    <s v="Yay"/>
    <x v="0"/>
    <x v="0"/>
    <x v="4"/>
    <n v="150"/>
    <n v="1800"/>
    <n v="1800"/>
  </r>
  <r>
    <x v="42"/>
    <x v="1"/>
    <x v="0"/>
    <x v="1"/>
    <s v="Yay"/>
    <x v="0"/>
    <x v="0"/>
    <x v="4"/>
    <n v="100"/>
    <n v="1200"/>
    <n v="1200"/>
  </r>
  <r>
    <x v="42"/>
    <x v="1"/>
    <x v="0"/>
    <x v="9"/>
    <s v="Mudon"/>
    <x v="2"/>
    <x v="0"/>
    <x v="1"/>
    <n v="50"/>
    <n v="700"/>
    <n v="448"/>
  </r>
  <r>
    <x v="42"/>
    <x v="1"/>
    <x v="0"/>
    <x v="0"/>
    <s v="Maw La Myaing"/>
    <x v="0"/>
    <x v="0"/>
    <x v="2"/>
    <n v="60"/>
    <n v="1440"/>
    <n v="921.6"/>
  </r>
  <r>
    <x v="43"/>
    <x v="1"/>
    <x v="0"/>
    <x v="18"/>
    <s v="Paung"/>
    <x v="2"/>
    <x v="0"/>
    <x v="6"/>
    <n v="50"/>
    <n v="700"/>
    <n v="448"/>
  </r>
  <r>
    <x v="43"/>
    <x v="1"/>
    <x v="0"/>
    <x v="18"/>
    <s v="Paung"/>
    <x v="2"/>
    <x v="0"/>
    <x v="2"/>
    <n v="20"/>
    <n v="480"/>
    <n v="307.2"/>
  </r>
  <r>
    <x v="43"/>
    <x v="1"/>
    <x v="0"/>
    <x v="5"/>
    <s v="Yay"/>
    <x v="0"/>
    <x v="0"/>
    <x v="4"/>
    <n v="100"/>
    <n v="1200"/>
    <n v="1200"/>
  </r>
  <r>
    <x v="43"/>
    <x v="1"/>
    <x v="0"/>
    <x v="5"/>
    <s v="Yay"/>
    <x v="0"/>
    <x v="3"/>
    <x v="11"/>
    <n v="0.5"/>
    <n v="6"/>
    <n v="6"/>
  </r>
  <r>
    <x v="43"/>
    <x v="1"/>
    <x v="0"/>
    <x v="5"/>
    <s v="Yay"/>
    <x v="0"/>
    <x v="3"/>
    <x v="12"/>
    <n v="0.25"/>
    <n v="3"/>
    <n v="3"/>
  </r>
  <r>
    <x v="43"/>
    <x v="1"/>
    <x v="0"/>
    <x v="5"/>
    <s v="Yay"/>
    <x v="0"/>
    <x v="3"/>
    <x v="12"/>
    <n v="0.25"/>
    <n v="3"/>
    <n v="3"/>
  </r>
  <r>
    <x v="43"/>
    <x v="1"/>
    <x v="0"/>
    <x v="1"/>
    <s v="Yay"/>
    <x v="0"/>
    <x v="0"/>
    <x v="3"/>
    <n v="200"/>
    <n v="2800"/>
    <n v="1792"/>
  </r>
  <r>
    <x v="43"/>
    <x v="1"/>
    <x v="0"/>
    <x v="5"/>
    <s v="Yay"/>
    <x v="0"/>
    <x v="0"/>
    <x v="4"/>
    <n v="50"/>
    <n v="600"/>
    <n v="600"/>
  </r>
  <r>
    <x v="43"/>
    <x v="1"/>
    <x v="0"/>
    <x v="61"/>
    <s v="Maw La Myaing"/>
    <x v="3"/>
    <x v="2"/>
    <x v="6"/>
    <n v="5"/>
    <n v="70"/>
    <n v="44.800000000000004"/>
  </r>
  <r>
    <x v="43"/>
    <x v="1"/>
    <x v="0"/>
    <x v="61"/>
    <s v="Maw La Myaing"/>
    <x v="3"/>
    <x v="2"/>
    <x v="5"/>
    <n v="10"/>
    <n v="120"/>
    <n v="120"/>
  </r>
  <r>
    <x v="43"/>
    <x v="1"/>
    <x v="0"/>
    <x v="61"/>
    <s v="Maw La Myaing"/>
    <x v="3"/>
    <x v="2"/>
    <x v="12"/>
    <n v="3"/>
    <n v="36"/>
    <n v="36"/>
  </r>
  <r>
    <x v="43"/>
    <x v="1"/>
    <x v="0"/>
    <x v="61"/>
    <s v="Maw La Myaing"/>
    <x v="3"/>
    <x v="3"/>
    <x v="12"/>
    <n v="0.16666666666666666"/>
    <n v="2"/>
    <n v="2"/>
  </r>
  <r>
    <x v="43"/>
    <x v="1"/>
    <x v="0"/>
    <x v="126"/>
    <s v="Maw La Myaing"/>
    <x v="3"/>
    <x v="2"/>
    <x v="6"/>
    <n v="5"/>
    <n v="70"/>
    <n v="44.800000000000004"/>
  </r>
  <r>
    <x v="43"/>
    <x v="1"/>
    <x v="0"/>
    <x v="126"/>
    <s v="Maw La Myaing"/>
    <x v="3"/>
    <x v="2"/>
    <x v="5"/>
    <n v="5"/>
    <n v="60"/>
    <n v="60"/>
  </r>
  <r>
    <x v="43"/>
    <x v="1"/>
    <x v="0"/>
    <x v="26"/>
    <s v="Paung"/>
    <x v="3"/>
    <x v="2"/>
    <x v="1"/>
    <n v="10"/>
    <n v="140"/>
    <n v="89.600000000000009"/>
  </r>
  <r>
    <x v="43"/>
    <x v="1"/>
    <x v="0"/>
    <x v="34"/>
    <s v="Yay"/>
    <x v="3"/>
    <x v="2"/>
    <x v="4"/>
    <n v="50"/>
    <n v="600"/>
    <n v="600"/>
  </r>
  <r>
    <x v="43"/>
    <x v="1"/>
    <x v="0"/>
    <x v="38"/>
    <s v="Maw La Myaing"/>
    <x v="1"/>
    <x v="2"/>
    <x v="6"/>
    <n v="10"/>
    <n v="140"/>
    <n v="89.600000000000009"/>
  </r>
  <r>
    <x v="43"/>
    <x v="1"/>
    <x v="0"/>
    <x v="51"/>
    <s v="Maw La Myaing"/>
    <x v="3"/>
    <x v="2"/>
    <x v="5"/>
    <n v="5"/>
    <n v="60"/>
    <n v="60"/>
  </r>
  <r>
    <x v="43"/>
    <x v="1"/>
    <x v="0"/>
    <x v="52"/>
    <s v="Maw La Myaing"/>
    <x v="3"/>
    <x v="2"/>
    <x v="5"/>
    <n v="2"/>
    <n v="24"/>
    <n v="24"/>
  </r>
  <r>
    <x v="43"/>
    <x v="1"/>
    <x v="0"/>
    <x v="60"/>
    <s v="Maw La Myaing"/>
    <x v="3"/>
    <x v="2"/>
    <x v="11"/>
    <n v="3"/>
    <n v="36"/>
    <n v="36"/>
  </r>
  <r>
    <x v="43"/>
    <x v="1"/>
    <x v="0"/>
    <x v="57"/>
    <s v="Maw La Myaing"/>
    <x v="3"/>
    <x v="2"/>
    <x v="11"/>
    <n v="1"/>
    <n v="12"/>
    <n v="12"/>
  </r>
  <r>
    <x v="43"/>
    <x v="1"/>
    <x v="0"/>
    <x v="60"/>
    <s v="Maw La Myaing"/>
    <x v="3"/>
    <x v="3"/>
    <x v="11"/>
    <n v="0.16666666666666666"/>
    <n v="2"/>
    <n v="2"/>
  </r>
  <r>
    <x v="43"/>
    <x v="1"/>
    <x v="0"/>
    <x v="57"/>
    <s v="Maw La Myaing"/>
    <x v="3"/>
    <x v="3"/>
    <x v="11"/>
    <n v="8.3333333333333329E-2"/>
    <n v="1"/>
    <n v="1"/>
  </r>
  <r>
    <x v="44"/>
    <x v="1"/>
    <x v="0"/>
    <x v="1"/>
    <s v="Yay"/>
    <x v="0"/>
    <x v="0"/>
    <x v="3"/>
    <n v="300"/>
    <n v="4200"/>
    <n v="2688"/>
  </r>
  <r>
    <x v="44"/>
    <x v="1"/>
    <x v="0"/>
    <x v="3"/>
    <s v="Yay"/>
    <x v="0"/>
    <x v="0"/>
    <x v="3"/>
    <n v="150"/>
    <n v="2100"/>
    <n v="1344"/>
  </r>
  <r>
    <x v="44"/>
    <x v="1"/>
    <x v="0"/>
    <x v="3"/>
    <s v="Yay"/>
    <x v="0"/>
    <x v="0"/>
    <x v="4"/>
    <n v="100"/>
    <n v="1200"/>
    <n v="1200"/>
  </r>
  <r>
    <x v="44"/>
    <x v="1"/>
    <x v="0"/>
    <x v="172"/>
    <s v="Maw La Myaing"/>
    <x v="3"/>
    <x v="2"/>
    <x v="6"/>
    <n v="2"/>
    <n v="28"/>
    <n v="17.920000000000002"/>
  </r>
  <r>
    <x v="44"/>
    <x v="1"/>
    <x v="0"/>
    <x v="172"/>
    <s v="Maw La Myaing"/>
    <x v="3"/>
    <x v="2"/>
    <x v="5"/>
    <n v="2"/>
    <n v="24"/>
    <n v="24"/>
  </r>
  <r>
    <x v="44"/>
    <x v="1"/>
    <x v="0"/>
    <x v="29"/>
    <s v="Maw La Myaing"/>
    <x v="0"/>
    <x v="2"/>
    <x v="4"/>
    <n v="30"/>
    <n v="360"/>
    <n v="360"/>
  </r>
  <r>
    <x v="44"/>
    <x v="1"/>
    <x v="0"/>
    <x v="54"/>
    <s v="Maw La Myaing"/>
    <x v="3"/>
    <x v="2"/>
    <x v="11"/>
    <n v="1"/>
    <n v="12"/>
    <n v="12"/>
  </r>
  <r>
    <x v="44"/>
    <x v="1"/>
    <x v="0"/>
    <x v="54"/>
    <s v="Maw La Myaing"/>
    <x v="3"/>
    <x v="2"/>
    <x v="12"/>
    <n v="2"/>
    <n v="24"/>
    <n v="24"/>
  </r>
  <r>
    <x v="44"/>
    <x v="1"/>
    <x v="0"/>
    <x v="54"/>
    <s v="Maw La Myaing"/>
    <x v="3"/>
    <x v="3"/>
    <x v="11"/>
    <n v="8.3333333333333329E-2"/>
    <n v="1"/>
    <n v="1"/>
  </r>
  <r>
    <x v="44"/>
    <x v="1"/>
    <x v="0"/>
    <x v="54"/>
    <s v="Maw La Myaing"/>
    <x v="3"/>
    <x v="3"/>
    <x v="12"/>
    <n v="8.3333333333333329E-2"/>
    <n v="1"/>
    <n v="1"/>
  </r>
  <r>
    <x v="44"/>
    <x v="1"/>
    <x v="0"/>
    <x v="64"/>
    <s v="Maw La Myaing"/>
    <x v="3"/>
    <x v="2"/>
    <x v="5"/>
    <n v="7"/>
    <n v="84"/>
    <n v="84"/>
  </r>
  <r>
    <x v="44"/>
    <x v="1"/>
    <x v="0"/>
    <x v="115"/>
    <s v="Maw La Myaing"/>
    <x v="3"/>
    <x v="2"/>
    <x v="6"/>
    <n v="2"/>
    <n v="24"/>
    <n v="16.799999999999997"/>
  </r>
  <r>
    <x v="44"/>
    <x v="1"/>
    <x v="0"/>
    <x v="40"/>
    <s v="Mudon"/>
    <x v="2"/>
    <x v="2"/>
    <x v="1"/>
    <n v="50"/>
    <n v="700"/>
    <n v="448"/>
  </r>
  <r>
    <x v="45"/>
    <x v="1"/>
    <x v="0"/>
    <x v="3"/>
    <s v="Yay"/>
    <x v="0"/>
    <x v="0"/>
    <x v="3"/>
    <n v="60"/>
    <n v="840"/>
    <n v="537.6"/>
  </r>
  <r>
    <x v="45"/>
    <x v="1"/>
    <x v="0"/>
    <x v="3"/>
    <s v="Yay"/>
    <x v="0"/>
    <x v="0"/>
    <x v="4"/>
    <n v="50"/>
    <n v="600"/>
    <n v="600"/>
  </r>
  <r>
    <x v="45"/>
    <x v="1"/>
    <x v="0"/>
    <x v="5"/>
    <s v="Yay"/>
    <x v="0"/>
    <x v="0"/>
    <x v="4"/>
    <n v="50"/>
    <n v="600"/>
    <n v="600"/>
  </r>
  <r>
    <x v="45"/>
    <x v="1"/>
    <x v="0"/>
    <x v="3"/>
    <s v="Yay"/>
    <x v="0"/>
    <x v="0"/>
    <x v="3"/>
    <n v="100"/>
    <n v="1400"/>
    <n v="896"/>
  </r>
  <r>
    <x v="45"/>
    <x v="1"/>
    <x v="0"/>
    <x v="3"/>
    <s v="Yay"/>
    <x v="0"/>
    <x v="0"/>
    <x v="4"/>
    <n v="100"/>
    <n v="1200"/>
    <n v="1200"/>
  </r>
  <r>
    <x v="45"/>
    <x v="1"/>
    <x v="0"/>
    <x v="1"/>
    <s v="Yay"/>
    <x v="0"/>
    <x v="0"/>
    <x v="4"/>
    <n v="100"/>
    <n v="1200"/>
    <n v="1200"/>
  </r>
  <r>
    <x v="45"/>
    <x v="1"/>
    <x v="0"/>
    <x v="28"/>
    <s v="Yay"/>
    <x v="0"/>
    <x v="0"/>
    <x v="3"/>
    <n v="200"/>
    <n v="2800"/>
    <n v="1792"/>
  </r>
  <r>
    <x v="45"/>
    <x v="1"/>
    <x v="0"/>
    <x v="28"/>
    <s v="Yay"/>
    <x v="0"/>
    <x v="3"/>
    <x v="11"/>
    <n v="0.25"/>
    <n v="3"/>
    <n v="3"/>
  </r>
  <r>
    <x v="45"/>
    <x v="1"/>
    <x v="0"/>
    <x v="28"/>
    <s v="Yay"/>
    <x v="0"/>
    <x v="3"/>
    <x v="12"/>
    <n v="0.25"/>
    <n v="3"/>
    <n v="3"/>
  </r>
  <r>
    <x v="45"/>
    <x v="1"/>
    <x v="0"/>
    <x v="28"/>
    <s v="Yay"/>
    <x v="0"/>
    <x v="3"/>
    <x v="12"/>
    <n v="0.25"/>
    <n v="3"/>
    <n v="3"/>
  </r>
  <r>
    <x v="45"/>
    <x v="1"/>
    <x v="0"/>
    <x v="0"/>
    <s v="Maw La Myaing"/>
    <x v="0"/>
    <x v="0"/>
    <x v="2"/>
    <n v="60"/>
    <n v="1440"/>
    <n v="921.6"/>
  </r>
  <r>
    <x v="45"/>
    <x v="1"/>
    <x v="0"/>
    <x v="39"/>
    <s v="Maw La Myaing"/>
    <x v="0"/>
    <x v="2"/>
    <x v="6"/>
    <n v="100"/>
    <n v="1400"/>
    <n v="896"/>
  </r>
  <r>
    <x v="45"/>
    <x v="1"/>
    <x v="0"/>
    <x v="39"/>
    <s v="Maw La Myaing"/>
    <x v="0"/>
    <x v="2"/>
    <x v="4"/>
    <n v="100"/>
    <n v="1200"/>
    <n v="1200"/>
  </r>
  <r>
    <x v="45"/>
    <x v="1"/>
    <x v="0"/>
    <x v="91"/>
    <s v="Maw La Myaing"/>
    <x v="3"/>
    <x v="2"/>
    <x v="6"/>
    <n v="10"/>
    <n v="140"/>
    <n v="89.600000000000009"/>
  </r>
  <r>
    <x v="45"/>
    <x v="1"/>
    <x v="0"/>
    <x v="0"/>
    <s v="Maw La Myaing"/>
    <x v="0"/>
    <x v="2"/>
    <x v="3"/>
    <n v="50"/>
    <n v="700"/>
    <n v="448"/>
  </r>
  <r>
    <x v="45"/>
    <x v="1"/>
    <x v="0"/>
    <x v="83"/>
    <s v="Maw La Myaing"/>
    <x v="3"/>
    <x v="2"/>
    <x v="6"/>
    <n v="10"/>
    <n v="140"/>
    <n v="89.600000000000009"/>
  </r>
  <r>
    <x v="45"/>
    <x v="1"/>
    <x v="0"/>
    <x v="173"/>
    <s v="Maw La Myaing"/>
    <x v="3"/>
    <x v="2"/>
    <x v="5"/>
    <n v="4"/>
    <n v="48"/>
    <n v="48"/>
  </r>
  <r>
    <x v="45"/>
    <x v="1"/>
    <x v="0"/>
    <x v="70"/>
    <s v="Maw La Myaing"/>
    <x v="3"/>
    <x v="2"/>
    <x v="5"/>
    <n v="3"/>
    <n v="36"/>
    <n v="36"/>
  </r>
  <r>
    <x v="45"/>
    <x v="1"/>
    <x v="0"/>
    <x v="174"/>
    <s v="Maw La Myaing"/>
    <x v="3"/>
    <x v="2"/>
    <x v="11"/>
    <n v="1"/>
    <n v="12"/>
    <n v="12"/>
  </r>
  <r>
    <x v="45"/>
    <x v="1"/>
    <x v="0"/>
    <x v="174"/>
    <s v="Maw La Myaing"/>
    <x v="3"/>
    <x v="3"/>
    <x v="11"/>
    <n v="8.3333333333333329E-2"/>
    <n v="1"/>
    <n v="1"/>
  </r>
  <r>
    <x v="45"/>
    <x v="1"/>
    <x v="0"/>
    <x v="175"/>
    <s v="Maw La Myaing"/>
    <x v="3"/>
    <x v="2"/>
    <x v="11"/>
    <n v="3"/>
    <n v="36"/>
    <n v="36"/>
  </r>
  <r>
    <x v="45"/>
    <x v="1"/>
    <x v="0"/>
    <x v="175"/>
    <s v="Maw La Myaing"/>
    <x v="3"/>
    <x v="3"/>
    <x v="11"/>
    <n v="0.16666666666666666"/>
    <n v="2"/>
    <n v="2"/>
  </r>
  <r>
    <x v="45"/>
    <x v="1"/>
    <x v="0"/>
    <x v="135"/>
    <s v="Maw La Myaing"/>
    <x v="3"/>
    <x v="2"/>
    <x v="12"/>
    <n v="1"/>
    <n v="12"/>
    <n v="12"/>
  </r>
  <r>
    <x v="45"/>
    <x v="1"/>
    <x v="0"/>
    <x v="135"/>
    <s v="Maw La Myaing"/>
    <x v="3"/>
    <x v="3"/>
    <x v="12"/>
    <n v="8.3333333333333329E-2"/>
    <n v="1"/>
    <n v="1"/>
  </r>
  <r>
    <x v="45"/>
    <x v="1"/>
    <x v="0"/>
    <x v="176"/>
    <s v="Maw La Myaing"/>
    <x v="3"/>
    <x v="2"/>
    <x v="12"/>
    <n v="2"/>
    <n v="24"/>
    <n v="24"/>
  </r>
  <r>
    <x v="45"/>
    <x v="1"/>
    <x v="0"/>
    <x v="176"/>
    <s v="Maw La Myaing"/>
    <x v="3"/>
    <x v="3"/>
    <x v="12"/>
    <n v="8.3333333333333329E-2"/>
    <n v="1"/>
    <n v="1"/>
  </r>
  <r>
    <x v="45"/>
    <x v="1"/>
    <x v="0"/>
    <x v="176"/>
    <s v="Maw La Myaing"/>
    <x v="3"/>
    <x v="3"/>
    <x v="12"/>
    <n v="8.3333333333333329E-2"/>
    <n v="1"/>
    <n v="1"/>
  </r>
  <r>
    <x v="45"/>
    <x v="1"/>
    <x v="0"/>
    <x v="176"/>
    <s v="Maw La Myaing"/>
    <x v="3"/>
    <x v="3"/>
    <x v="11"/>
    <n v="8.3333333333333329E-2"/>
    <n v="1"/>
    <n v="1"/>
  </r>
  <r>
    <x v="45"/>
    <x v="1"/>
    <x v="0"/>
    <x v="176"/>
    <s v="Maw La Myaing"/>
    <x v="3"/>
    <x v="3"/>
    <x v="12"/>
    <n v="8.3333333333333329E-2"/>
    <n v="1"/>
    <n v="1"/>
  </r>
  <r>
    <x v="45"/>
    <x v="1"/>
    <x v="0"/>
    <x v="176"/>
    <s v="Maw La Myaing"/>
    <x v="3"/>
    <x v="3"/>
    <x v="12"/>
    <n v="8.3333333333333329E-2"/>
    <n v="1"/>
    <n v="1"/>
  </r>
  <r>
    <x v="45"/>
    <x v="1"/>
    <x v="0"/>
    <x v="177"/>
    <s v="Maw La Myaing"/>
    <x v="3"/>
    <x v="2"/>
    <x v="12"/>
    <n v="1"/>
    <n v="12"/>
    <n v="12"/>
  </r>
  <r>
    <x v="45"/>
    <x v="1"/>
    <x v="0"/>
    <x v="177"/>
    <s v="Maw La Myaing"/>
    <x v="3"/>
    <x v="2"/>
    <x v="12"/>
    <n v="1"/>
    <n v="12"/>
    <n v="12"/>
  </r>
  <r>
    <x v="45"/>
    <x v="1"/>
    <x v="0"/>
    <x v="177"/>
    <s v="Maw La Myaing"/>
    <x v="3"/>
    <x v="3"/>
    <x v="12"/>
    <n v="8.3333333333333329E-2"/>
    <n v="1"/>
    <n v="1"/>
  </r>
  <r>
    <x v="45"/>
    <x v="1"/>
    <x v="0"/>
    <x v="177"/>
    <s v="Maw La Myaing"/>
    <x v="3"/>
    <x v="3"/>
    <x v="12"/>
    <n v="8.3333333333333329E-2"/>
    <n v="1"/>
    <n v="1"/>
  </r>
  <r>
    <x v="45"/>
    <x v="1"/>
    <x v="0"/>
    <x v="91"/>
    <s v="Maw La Myaing"/>
    <x v="3"/>
    <x v="2"/>
    <x v="12"/>
    <n v="1"/>
    <n v="12"/>
    <n v="12"/>
  </r>
  <r>
    <x v="45"/>
    <x v="1"/>
    <x v="0"/>
    <x v="91"/>
    <s v="Maw La Myaing"/>
    <x v="3"/>
    <x v="3"/>
    <x v="11"/>
    <n v="8.3333333333333329E-2"/>
    <n v="1"/>
    <n v="1"/>
  </r>
  <r>
    <x v="46"/>
    <x v="2"/>
    <x v="1"/>
    <x v="178"/>
    <m/>
    <x v="4"/>
    <x v="4"/>
    <x v="16"/>
    <m/>
    <m/>
    <m/>
  </r>
  <r>
    <x v="46"/>
    <x v="2"/>
    <x v="1"/>
    <x v="178"/>
    <m/>
    <x v="4"/>
    <x v="4"/>
    <x v="16"/>
    <m/>
    <m/>
    <m/>
  </r>
  <r>
    <x v="46"/>
    <x v="2"/>
    <x v="1"/>
    <x v="178"/>
    <m/>
    <x v="4"/>
    <x v="4"/>
    <x v="16"/>
    <m/>
    <m/>
    <m/>
  </r>
  <r>
    <x v="46"/>
    <x v="2"/>
    <x v="1"/>
    <x v="178"/>
    <m/>
    <x v="4"/>
    <x v="4"/>
    <x v="16"/>
    <m/>
    <m/>
    <m/>
  </r>
  <r>
    <x v="46"/>
    <x v="2"/>
    <x v="1"/>
    <x v="178"/>
    <m/>
    <x v="4"/>
    <x v="4"/>
    <x v="16"/>
    <m/>
    <m/>
    <m/>
  </r>
  <r>
    <x v="46"/>
    <x v="2"/>
    <x v="1"/>
    <x v="178"/>
    <m/>
    <x v="4"/>
    <x v="4"/>
    <x v="16"/>
    <m/>
    <m/>
    <m/>
  </r>
  <r>
    <x v="46"/>
    <x v="2"/>
    <x v="1"/>
    <x v="178"/>
    <m/>
    <x v="4"/>
    <x v="4"/>
    <x v="16"/>
    <m/>
    <m/>
    <m/>
  </r>
  <r>
    <x v="46"/>
    <x v="2"/>
    <x v="1"/>
    <x v="178"/>
    <m/>
    <x v="4"/>
    <x v="4"/>
    <x v="16"/>
    <m/>
    <m/>
    <m/>
  </r>
  <r>
    <x v="46"/>
    <x v="2"/>
    <x v="1"/>
    <x v="178"/>
    <m/>
    <x v="4"/>
    <x v="4"/>
    <x v="16"/>
    <m/>
    <m/>
    <m/>
  </r>
  <r>
    <x v="46"/>
    <x v="2"/>
    <x v="1"/>
    <x v="178"/>
    <m/>
    <x v="4"/>
    <x v="4"/>
    <x v="16"/>
    <m/>
    <m/>
    <m/>
  </r>
  <r>
    <x v="46"/>
    <x v="2"/>
    <x v="1"/>
    <x v="178"/>
    <m/>
    <x v="4"/>
    <x v="4"/>
    <x v="16"/>
    <m/>
    <m/>
    <m/>
  </r>
  <r>
    <x v="46"/>
    <x v="2"/>
    <x v="1"/>
    <x v="178"/>
    <m/>
    <x v="4"/>
    <x v="4"/>
    <x v="16"/>
    <m/>
    <m/>
    <m/>
  </r>
  <r>
    <x v="46"/>
    <x v="2"/>
    <x v="1"/>
    <x v="178"/>
    <m/>
    <x v="4"/>
    <x v="4"/>
    <x v="16"/>
    <m/>
    <m/>
    <m/>
  </r>
  <r>
    <x v="27"/>
    <x v="2"/>
    <x v="1"/>
    <x v="178"/>
    <m/>
    <x v="4"/>
    <x v="4"/>
    <x v="16"/>
    <m/>
    <n v="508841"/>
    <m/>
  </r>
  <r>
    <x v="27"/>
    <x v="2"/>
    <x v="1"/>
    <x v="178"/>
    <m/>
    <x v="4"/>
    <x v="4"/>
    <x v="16"/>
    <m/>
    <m/>
    <m/>
  </r>
  <r>
    <x v="27"/>
    <x v="2"/>
    <x v="1"/>
    <x v="178"/>
    <m/>
    <x v="4"/>
    <x v="4"/>
    <x v="16"/>
    <m/>
    <m/>
    <m/>
  </r>
  <r>
    <x v="27"/>
    <x v="2"/>
    <x v="1"/>
    <x v="178"/>
    <m/>
    <x v="4"/>
    <x v="4"/>
    <x v="1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BB610-3373-E14B-9E71-33A3373DD9D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8:D140" firstHeaderRow="1" firstDataRow="2" firstDataCol="1" rowPageCount="6" colPageCount="1"/>
  <pivotFields count="11">
    <pivotField axis="axisPage" compact="0" outline="0" multipleItemSelectionAllowed="1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7"/>
        <item x="13"/>
        <item x="14"/>
        <item x="15"/>
        <item x="16"/>
        <item x="17"/>
        <item x="18"/>
        <item x="19"/>
        <item x="20"/>
        <item x="21"/>
        <item x="22"/>
        <item h="1" x="46"/>
        <item x="23"/>
        <item x="24"/>
        <item x="25"/>
        <item x="26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t="default"/>
      </items>
    </pivotField>
    <pivotField axis="axisPage" compact="0" outline="0" multipleItemSelectionAllowed="1" showAll="0">
      <items count="5">
        <item x="0"/>
        <item h="1" x="2"/>
        <item h="1" m="1" x="3"/>
        <item h="1" x="1"/>
        <item t="default"/>
      </items>
    </pivotField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axis="axisRow" compact="0" outline="0" showAll="0">
      <items count="180">
        <item x="53"/>
        <item x="35"/>
        <item x="69"/>
        <item x="62"/>
        <item x="55"/>
        <item x="82"/>
        <item x="46"/>
        <item x="80"/>
        <item x="67"/>
        <item x="84"/>
        <item x="52"/>
        <item x="58"/>
        <item x="64"/>
        <item x="32"/>
        <item x="9"/>
        <item x="24"/>
        <item x="3"/>
        <item x="45"/>
        <item x="12"/>
        <item x="7"/>
        <item x="31"/>
        <item x="40"/>
        <item x="43"/>
        <item x="17"/>
        <item x="47"/>
        <item x="2"/>
        <item x="4"/>
        <item x="10"/>
        <item x="63"/>
        <item x="88"/>
        <item x="44"/>
        <item x="29"/>
        <item x="28"/>
        <item x="49"/>
        <item x="5"/>
        <item x="68"/>
        <item x="34"/>
        <item x="21"/>
        <item x="20"/>
        <item x="79"/>
        <item x="77"/>
        <item x="75"/>
        <item x="51"/>
        <item x="56"/>
        <item x="65"/>
        <item x="37"/>
        <item x="59"/>
        <item x="14"/>
        <item x="74"/>
        <item x="6"/>
        <item x="0"/>
        <item x="1"/>
        <item x="73"/>
        <item x="72"/>
        <item x="19"/>
        <item x="71"/>
        <item x="39"/>
        <item x="83"/>
        <item x="54"/>
        <item x="66"/>
        <item x="8"/>
        <item x="76"/>
        <item x="26"/>
        <item x="61"/>
        <item x="30"/>
        <item x="11"/>
        <item x="25"/>
        <item x="78"/>
        <item x="42"/>
        <item x="87"/>
        <item x="41"/>
        <item x="60"/>
        <item x="50"/>
        <item x="22"/>
        <item x="13"/>
        <item x="57"/>
        <item x="81"/>
        <item x="33"/>
        <item x="38"/>
        <item x="86"/>
        <item x="23"/>
        <item x="48"/>
        <item x="16"/>
        <item x="85"/>
        <item x="18"/>
        <item x="27"/>
        <item x="15"/>
        <item x="36"/>
        <item x="70"/>
        <item x="17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compact="0" outline="0" showAll="0"/>
    <pivotField axis="axisPage" compact="0" outline="0" multipleItemSelectionAllowed="1" showAll="0">
      <items count="8">
        <item x="1"/>
        <item x="2"/>
        <item x="3"/>
        <item x="0"/>
        <item h="1" x="4"/>
        <item h="1" m="1" x="5"/>
        <item h="1" m="1" x="6"/>
        <item t="default"/>
      </items>
    </pivotField>
    <pivotField axis="axisPage" compact="0" outline="0" multipleItemSelectionAllowed="1" showAll="0">
      <items count="8">
        <item x="1"/>
        <item x="2"/>
        <item x="0"/>
        <item h="1" x="3"/>
        <item h="1" x="4"/>
        <item h="1" m="1" x="6"/>
        <item h="1" x="5"/>
        <item t="default"/>
      </items>
    </pivotField>
    <pivotField axis="axisPage" compact="0" outline="0" multipleItemSelectionAllowed="1" showAll="0">
      <items count="20">
        <item x="7"/>
        <item x="5"/>
        <item h="1" x="0"/>
        <item x="8"/>
        <item x="13"/>
        <item x="12"/>
        <item x="6"/>
        <item x="1"/>
        <item x="9"/>
        <item x="3"/>
        <item x="4"/>
        <item x="10"/>
        <item x="11"/>
        <item x="2"/>
        <item x="14"/>
        <item h="1" x="16"/>
        <item x="15"/>
        <item h="1" m="1" x="17"/>
        <item h="1" m="1" x="18"/>
        <item t="default"/>
      </items>
    </pivotField>
    <pivotField dataField="1" compact="0" outline="0" showAll="0"/>
    <pivotField dataField="1" compact="0" outline="0" showAll="0"/>
    <pivotField dataField="1" compact="0" outline="0" showAll="0"/>
  </pivotFields>
  <rowFields count="1">
    <field x="3"/>
  </rowFields>
  <rowItems count="1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2"/>
    </i>
    <i>
      <x v="24"/>
    </i>
    <i>
      <x v="25"/>
    </i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5"/>
    </i>
    <i>
      <x v="76"/>
    </i>
    <i>
      <x v="77"/>
    </i>
    <i>
      <x v="78"/>
    </i>
    <i>
      <x v="79"/>
    </i>
    <i>
      <x v="80"/>
    </i>
    <i>
      <x v="81"/>
    </i>
    <i>
      <x v="83"/>
    </i>
    <i>
      <x v="84"/>
    </i>
    <i>
      <x v="85"/>
    </i>
    <i>
      <x v="87"/>
    </i>
    <i>
      <x v="88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6">
    <pageField fld="5" hier="-1"/>
    <pageField fld="6" hier="-1"/>
    <pageField fld="7" hier="-1"/>
    <pageField fld="1" hier="-1"/>
    <pageField fld="0" hier="-1"/>
    <pageField fld="2" hier="-1"/>
  </pageFields>
  <dataFields count="3">
    <dataField name="Sum of Sales Liter" fld="10" baseField="0" baseItem="0"/>
    <dataField name="Sum of Sales Bot;" fld="9" baseField="0" baseItem="0"/>
    <dataField name="Sum of Sales Ctn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6E9B6-AE2C-4847-A73C-6E99C6AE09F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8:D14" firstHeaderRow="1" firstDataRow="2" firstDataCol="1" rowPageCount="5" colPageCount="1"/>
  <pivotFields count="11">
    <pivotField axis="axisPage" compact="0" outline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7"/>
        <item x="13"/>
        <item x="14"/>
        <item x="15"/>
        <item x="16"/>
        <item x="17"/>
        <item x="18"/>
        <item x="19"/>
        <item x="20"/>
        <item x="21"/>
        <item x="22"/>
        <item x="46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axis="axisPage" compact="0" outline="0" multipleItemSelectionAllowed="1" showAll="0">
      <items count="5">
        <item x="0"/>
        <item h="1" x="2"/>
        <item h="1" m="1" x="3"/>
        <item h="1" x="1"/>
        <item t="default"/>
      </items>
    </pivotField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showAll="0"/>
    <pivotField compact="0" outline="0" showAll="0"/>
    <pivotField axis="axisRow" compact="0" outline="0" multipleItemSelectionAllowed="1" showAll="0">
      <items count="8">
        <item x="1"/>
        <item x="2"/>
        <item x="3"/>
        <item x="0"/>
        <item h="1" x="4"/>
        <item h="1" m="1" x="5"/>
        <item h="1" m="1" x="6"/>
        <item t="default"/>
      </items>
    </pivotField>
    <pivotField axis="axisPage" compact="0" outline="0" multipleItemSelectionAllowed="1" showAll="0">
      <items count="8">
        <item x="1"/>
        <item x="2"/>
        <item x="0"/>
        <item h="1" x="3"/>
        <item h="1" x="4"/>
        <item h="1" m="1" x="6"/>
        <item h="1" x="5"/>
        <item t="default"/>
      </items>
    </pivotField>
    <pivotField axis="axisPage" compact="0" outline="0" multipleItemSelectionAllowed="1" showAll="0">
      <items count="20">
        <item x="7"/>
        <item x="5"/>
        <item h="1" x="0"/>
        <item x="8"/>
        <item x="13"/>
        <item x="12"/>
        <item x="6"/>
        <item x="1"/>
        <item x="9"/>
        <item x="3"/>
        <item x="4"/>
        <item x="10"/>
        <item x="11"/>
        <item x="2"/>
        <item x="14"/>
        <item h="1" x="16"/>
        <item x="15"/>
        <item h="1" m="1" x="17"/>
        <item h="1" m="1" x="18"/>
        <item t="default"/>
      </items>
    </pivotField>
    <pivotField dataField="1" compact="0" outline="0" showAll="0"/>
    <pivotField dataField="1" compact="0" outline="0" showAll="0"/>
    <pivotField dataField="1"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5">
    <pageField fld="6" hier="-1"/>
    <pageField fld="7" hier="-1"/>
    <pageField fld="0" hier="-1"/>
    <pageField fld="1" hier="-1"/>
    <pageField fld="2" hier="-1"/>
  </pageFields>
  <dataFields count="3">
    <dataField name="Sum of Sales Liter" fld="10" baseField="0" baseItem="0"/>
    <dataField name="Sum of Sales Bot;" fld="9" baseField="0" baseItem="0"/>
    <dataField name="Sum of Sales Ctn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0ED9EC-06E0-421E-A1A9-D12A60877CE7}" name="Stock" displayName="Stock" ref="A1:F70" totalsRowShown="0" headerRowDxfId="107" dataDxfId="106">
  <autoFilter ref="A1:F70" xr:uid="{881AD521-DD4E-4C2F-A773-23EC12A59A38}"/>
  <tableColumns count="6">
    <tableColumn id="1" xr3:uid="{87814978-96E5-4CFB-B720-9BB42A0979AC}" name="Stock ID" dataDxfId="105"/>
    <tableColumn id="2" xr3:uid="{98BD7376-EFF0-454F-A490-013FDBBD6A06}" name="Particular" dataDxfId="104"/>
    <tableColumn id="3" xr3:uid="{3C519741-FC67-4D33-8B7D-28071774E14B}" name="ml" dataDxfId="103"/>
    <tableColumn id="5" xr3:uid="{54785331-CDF1-4688-A229-553A32B914F5}" name="Qty" dataDxfId="102"/>
    <tableColumn id="6" xr3:uid="{BA4B6EF1-5429-4C2D-A08A-27AFEFAD8EEF}" name="Column1" dataDxfId="101"/>
    <tableColumn id="4" xr3:uid="{BC33038D-41C2-4F79-A6C8-25DE2556E800}" name="Sales Price" dataDxfId="10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D28D3D-757D-4792-BB63-E5EA0E8A7C91}" name="Table9" displayName="Table9" ref="O1:O11" totalsRowShown="0" headerRowDxfId="99" dataDxfId="97" headerRowBorderDxfId="98" tableBorderDxfId="96" totalsRowBorderDxfId="95">
  <autoFilter ref="O1:O11" xr:uid="{AAD7F7C8-FF68-4943-9FD9-BFD7DA79DF8B}"/>
  <tableColumns count="1">
    <tableColumn id="1" xr3:uid="{334FB659-FA24-4011-9AF7-DC54316CC62C}" name="Particular" dataDxfId="94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E27C7F-1D13-455A-8865-50AF3FAEAD68}" name="Table5" displayName="Table5" ref="Q1:Q5" totalsRowShown="0" headerRowDxfId="93" dataDxfId="92">
  <autoFilter ref="Q1:Q5" xr:uid="{6DB78D06-09E2-4BFF-B541-D72913FA9DAB}"/>
  <tableColumns count="1">
    <tableColumn id="1" xr3:uid="{08425D72-0240-4CE8-ACA5-3E83D83D042C}" name="Car No" dataDxfId="9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4E850E-6D68-469F-9C41-0D071ED80713}" name="Customers" displayName="Customers" ref="I1:M310" totalsRowShown="0" headerRowDxfId="90" dataDxfId="88" headerRowBorderDxfId="89" tableBorderDxfId="87" totalsRowBorderDxfId="86">
  <autoFilter ref="I1:M310" xr:uid="{9B202763-07E4-4C55-9EAE-2F0AF7024D4B}"/>
  <tableColumns count="5">
    <tableColumn id="1" xr3:uid="{2CD5FEEE-039A-40AC-9BEE-A1ADC1FCD806}" name="No" dataDxfId="85"/>
    <tableColumn id="2" xr3:uid="{1D5C645F-CAEA-4F79-8B2E-46EADDE8EF40}" name="ကုန်သည်" dataDxfId="84"/>
    <tableColumn id="5" xr3:uid="{545CB506-5117-411E-8F6C-834104614901}" name="လိပ်စာ" dataDxfId="83"/>
    <tableColumn id="3" xr3:uid="{4E8695E7-6A2C-4BD4-ABBC-C5AE3D210F00}" name="Township" dataDxfId="82"/>
    <tableColumn id="4" xr3:uid="{034E7D68-754F-4A03-900E-BE351761E3FB}" name="Sales" dataDxfId="8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0529DC-D553-4BCB-A4C1-B5BF05593A1F}" name="Table4" displayName="Table4" ref="A1:AF1316" totalsRowCount="1" headerRowDxfId="111" dataDxfId="109" totalsRowDxfId="108" headerRowBorderDxfId="110">
  <autoFilter ref="A1:AF1315" xr:uid="{8E0790A1-0327-4E32-8577-292F7EA21B39}">
    <filterColumn colId="2">
      <filters>
        <dateGroupItem year="2026" month="3" dateTimeGrouping="month"/>
      </filters>
    </filterColumn>
  </autoFilter>
  <tableColumns count="32">
    <tableColumn id="1" xr3:uid="{F70B332C-A639-4711-AAFE-9C6361C0BA95}" name="Year" dataDxfId="62" totalsRowDxfId="31">
      <calculatedColumnFormula>YEAR(C2)</calculatedColumnFormula>
    </tableColumn>
    <tableColumn id="2" xr3:uid="{F322E24D-AC43-4970-8564-9AAA5BC1F4A9}" name="Month" dataDxfId="61" totalsRowDxfId="30">
      <calculatedColumnFormula>MONTH(C2)</calculatedColumnFormula>
    </tableColumn>
    <tableColumn id="3" xr3:uid="{CCEA8DC7-1E14-4074-9480-438C28AA1B45}" name="Date" dataDxfId="60" totalsRowDxfId="29"/>
    <tableColumn id="4" xr3:uid="{40F9BCB9-CD20-4C99-BC80-5CE6092F2E02}" name="Today" dataDxfId="59" totalsRowDxfId="28">
      <calculatedColumnFormula>TODAY()</calculatedColumnFormula>
    </tableColumn>
    <tableColumn id="5" xr3:uid="{0FADA834-935A-4F04-9D6B-7B9C1EC41536}" name="Period" dataDxfId="58" totalsRowDxfId="27">
      <calculatedColumnFormula>DATEDIF(C2,D2,"M")&amp;"-Months"</calculatedColumnFormula>
    </tableColumn>
    <tableColumn id="24" xr3:uid="{FA2CC046-BE37-4902-BDD3-373AACBECBBB}" name="Column1" dataDxfId="57" totalsRowDxfId="26">
      <calculatedColumnFormula>VLOOKUP(N2,Stock[#Data],5,FALSE)</calculatedColumnFormula>
    </tableColumn>
    <tableColumn id="28" xr3:uid="{058C431C-E436-4551-9B24-65257309DB43}" name="VoucherNo" dataDxfId="56" totalsRowDxfId="25"/>
    <tableColumn id="30" xr3:uid="{A335248D-D8F9-4C75-AF56-5AC81BB6D211}" name="CarNo" dataDxfId="55" totalsRowDxfId="24"/>
    <tableColumn id="6" xr3:uid="{CBA83493-F2CE-4188-8E1F-67E3B1082E96}" name="CustomerID" dataDxfId="54" totalsRowDxfId="23"/>
    <tableColumn id="7" xr3:uid="{D3612765-F712-499D-83A7-824C6B351B5A}" name="ကုန်သည်အမည်" dataDxfId="53" totalsRowDxfId="22">
      <calculatedColumnFormula>VLOOKUP(I2,Customers[#Data],2,FALSE)</calculatedColumnFormula>
    </tableColumn>
    <tableColumn id="9" xr3:uid="{8CFECFDC-085C-40F3-A855-320D7E32F6A3}" name="Township" dataDxfId="52" totalsRowDxfId="21">
      <calculatedColumnFormula>VLOOKUP(I2,Customers[#Data],4,FALSE)</calculatedColumnFormula>
    </tableColumn>
    <tableColumn id="29" xr3:uid="{E974CF9A-8C6D-4525-A87A-2FF76559A9EF}" name="WholeSales" dataDxfId="51" totalsRowDxfId="20">
      <calculatedColumnFormula>VLOOKUP(I2,Customers[#Data],5,FALSE)</calculatedColumnFormula>
    </tableColumn>
    <tableColumn id="10" xr3:uid="{C5B1D301-FC7A-4318-8273-06600932D9F3}" name="Particular" dataDxfId="50" totalsRowDxfId="19"/>
    <tableColumn id="11" xr3:uid="{B8AA5D69-6EE8-47B9-AB00-7564BB5F7C6C}" name="StockID" dataDxfId="49" totalsRowDxfId="18" dataCellStyle="Comma"/>
    <tableColumn id="12" xr3:uid="{9B24A591-5924-43BC-89FF-98279188D7C1}" name="StockName" dataDxfId="48" totalsRowDxfId="17">
      <calculatedColumnFormula>VLOOKUP(N2,Stock[#Data],2,FALSE)</calculatedColumnFormula>
    </tableColumn>
    <tableColumn id="13" xr3:uid="{8340A98F-0DA3-4481-A8E7-A6B0A10E0EDA}" name="ML" dataDxfId="47" totalsRowDxfId="16">
      <calculatedColumnFormula>VLOOKUP(N2,Stock[#Data],3,FALSE)</calculatedColumnFormula>
    </tableColumn>
    <tableColumn id="14" xr3:uid="{2FD4672F-02E6-4F37-86FD-7096BAE81BC0}" name="ပါဝင်မှု" dataDxfId="46" totalsRowDxfId="15" dataCellStyle="Comma">
      <calculatedColumnFormula>VLOOKUP(N2,Stock[#Data],4,FALSE)</calculatedColumnFormula>
    </tableColumn>
    <tableColumn id="31" xr3:uid="{94CE951B-F3B2-48DB-865C-C9FF4AF6C58F}" name="Bottle" totalsRowFunction="sum" dataDxfId="45" totalsRowDxfId="14" dataCellStyle="Comma"/>
    <tableColumn id="33" xr3:uid="{206E09DE-D943-4FDF-9298-8D0536A09786}" name="Parking" totalsRowFunction="sum" dataDxfId="44" totalsRowDxfId="13" dataCellStyle="Comma">
      <calculatedColumnFormula>IFERROR(Table4[[#This Row],[Bottle]]/Table4[[#This Row],[ပါဝင်မှု]]+Table4[[#This Row],[SalesPK]],0)</calculatedColumnFormula>
    </tableColumn>
    <tableColumn id="22" xr3:uid="{223A9265-38C2-4FB8-8DDB-35875B7786BD}" name="SalesPK" totalsRowFunction="sum" dataDxfId="43" totalsRowDxfId="12" dataCellStyle="Comma"/>
    <tableColumn id="23" xr3:uid="{CC8E7AF5-DB97-4CD3-8764-6AB1D9D770BB}" name="SalesBot" totalsRowFunction="sum" totalsRowDxfId="11" dataCellStyle="Comma">
      <calculatedColumnFormula>Table4[[#This Row],[ပါဝင်မှု]]*Table4[[#This Row],[SalesPK]]+Table4[[#This Row],[Bottle]]</calculatedColumnFormula>
    </tableColumn>
    <tableColumn id="8" xr3:uid="{C704DD87-18F5-4911-B959-C8EFF3FCFDB5}" name="Liter" totalsRowFunction="sum" dataDxfId="42" totalsRowDxfId="10">
      <calculatedColumnFormula>Table4[[#This Row],[SalesBot]]*Table4[[#This Row],[ML]]</calculatedColumnFormula>
    </tableColumn>
    <tableColumn id="15" xr3:uid="{81FE5F8F-550B-4D2E-9A53-10ED7AF5D2A7}" name="နှုံး" totalsRowFunction="sum" dataDxfId="41" totalsRowDxfId="9" dataCellStyle="Comma">
      <calculatedColumnFormula>VLOOKUP(N2,Stock[#Data],6,FALSE)</calculatedColumnFormula>
    </tableColumn>
    <tableColumn id="16" xr3:uid="{C3D9B023-0F91-4D2C-87A4-EA2282BF926F}" name="သင့်ငွေ" totalsRowFunction="sum" dataDxfId="40" totalsRowDxfId="8" dataCellStyle="Comma">
      <calculatedColumnFormula>+Table4[[#This Row],[SalesBot]]*Table4[[#This Row],[နှုံး]]</calculatedColumnFormula>
    </tableColumn>
    <tableColumn id="25" xr3:uid="{64A6A785-E796-4AC2-8EDA-C1E3355E51A5}" name="စာရင်းဖွင့်" totalsRowFunction="sum" dataDxfId="39" totalsRowDxfId="7" dataCellStyle="Comma"/>
    <tableColumn id="26" xr3:uid="{6F32A03C-EA2F-4203-9003-944655DB9618}" name="ဈေးဟောင်းလျှော့" totalsRowFunction="sum" dataDxfId="38" totalsRowDxfId="6" dataCellStyle="Comma"/>
    <tableColumn id="27" xr3:uid="{55E61A09-BFB1-4110-8528-207FB8BD4280}" name="‌ကော်မရှင်" totalsRowFunction="sum" dataDxfId="37" totalsRowDxfId="5" dataCellStyle="Comma"/>
    <tableColumn id="17" xr3:uid="{0BC1614E-FFD0-4504-9DC1-C85E3015A002}" name="ငွေရသည့်နေ့" dataDxfId="36" totalsRowDxfId="4"/>
    <tableColumn id="18" xr3:uid="{D8231ACB-FC37-4F67-9321-F7A7ED14256A}" name="ကြွေးရငွေ" totalsRowFunction="sum" dataDxfId="35" totalsRowDxfId="3" dataCellStyle="Comma"/>
    <tableColumn id="19" xr3:uid="{6B8FA68C-EF2E-48D3-A517-E4CA81CC9100}" name="ငွေရသည့်နေ့(၂)" dataDxfId="34" totalsRowDxfId="2"/>
    <tableColumn id="20" xr3:uid="{CB70B08C-1F38-451D-9C34-BBE3A34C95D3}" name="ကြွေးရငွေ2" totalsRowFunction="sum" dataDxfId="33" totalsRowDxfId="1" dataCellStyle="Comma"/>
    <tableColumn id="21" xr3:uid="{DF9C8C32-9FEA-456B-B32A-FAC6BDE772B2}" name="အကြွေးကျန်2" totalsRowFunction="sum" dataDxfId="32" totalsRowDxfId="0" dataCellStyle="Comma">
      <calculatedColumnFormula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F398-7475-4D89-8567-D7ADA93BF874}">
  <sheetPr>
    <tabColor rgb="FF92D050"/>
  </sheetPr>
  <dimension ref="A1:S6779"/>
  <sheetViews>
    <sheetView topLeftCell="B1" zoomScaleNormal="100" workbookViewId="0">
      <selection activeCell="J311" sqref="J311"/>
    </sheetView>
  </sheetViews>
  <sheetFormatPr defaultColWidth="9.140625" defaultRowHeight="18" x14ac:dyDescent="0.5"/>
  <cols>
    <col min="1" max="1" width="36.7109375" style="8" customWidth="1"/>
    <col min="2" max="2" width="30.42578125" style="8" customWidth="1"/>
    <col min="3" max="3" width="6.140625" style="8" bestFit="1" customWidth="1"/>
    <col min="4" max="4" width="5.42578125" style="8" customWidth="1"/>
    <col min="5" max="5" width="8.85546875" style="8" bestFit="1" customWidth="1"/>
    <col min="6" max="6" width="13.28515625" style="2" bestFit="1" customWidth="1"/>
    <col min="7" max="7" width="13.28515625" style="2" customWidth="1"/>
    <col min="8" max="8" width="2" style="2" customWidth="1"/>
    <col min="9" max="9" width="24.28515625" style="4" customWidth="1"/>
    <col min="10" max="10" width="26.42578125" style="4" customWidth="1"/>
    <col min="11" max="11" width="20.140625" style="4" customWidth="1"/>
    <col min="12" max="13" width="16.7109375" style="4" customWidth="1"/>
    <col min="14" max="14" width="1.7109375" style="8" customWidth="1"/>
    <col min="15" max="15" width="17.42578125" style="8" bestFit="1" customWidth="1"/>
    <col min="16" max="16" width="1.7109375" style="8" customWidth="1"/>
    <col min="17" max="17" width="9.140625" style="8" customWidth="1"/>
    <col min="18" max="18" width="2" style="8" customWidth="1"/>
    <col min="19" max="19" width="10.42578125" style="8" customWidth="1"/>
    <col min="20" max="20" width="9.140625" style="8"/>
    <col min="21" max="21" width="9.42578125" style="8" customWidth="1"/>
    <col min="22" max="22" width="30.28515625" style="8" bestFit="1" customWidth="1"/>
    <col min="23" max="23" width="5.28515625" style="8" bestFit="1" customWidth="1"/>
    <col min="24" max="24" width="5.85546875" style="8" customWidth="1"/>
    <col min="25" max="25" width="10" style="8" customWidth="1"/>
    <col min="26" max="26" width="11.42578125" style="8" customWidth="1"/>
    <col min="27" max="16384" width="9.140625" style="8"/>
  </cols>
  <sheetData>
    <row r="1" spans="1:19" x14ac:dyDescent="0.5">
      <c r="A1" s="63" t="s">
        <v>451</v>
      </c>
      <c r="B1" s="63" t="s">
        <v>5</v>
      </c>
      <c r="C1" s="8" t="s">
        <v>450</v>
      </c>
      <c r="D1" s="8" t="s">
        <v>449</v>
      </c>
      <c r="E1" s="8" t="s">
        <v>34</v>
      </c>
      <c r="F1" s="2" t="s">
        <v>448</v>
      </c>
      <c r="I1" s="1" t="s">
        <v>1</v>
      </c>
      <c r="J1" s="1" t="s">
        <v>447</v>
      </c>
      <c r="K1" s="1" t="s">
        <v>446</v>
      </c>
      <c r="L1" s="1" t="s">
        <v>2</v>
      </c>
      <c r="M1" s="1" t="s">
        <v>445</v>
      </c>
      <c r="O1" s="64" t="s">
        <v>5</v>
      </c>
      <c r="Q1" s="64" t="s">
        <v>444</v>
      </c>
    </row>
    <row r="2" spans="1:19" ht="18.75" x14ac:dyDescent="0.5">
      <c r="A2" s="65" t="s">
        <v>38</v>
      </c>
      <c r="B2" s="65" t="s">
        <v>39</v>
      </c>
      <c r="C2" s="65">
        <v>0.7</v>
      </c>
      <c r="D2" s="65">
        <v>12</v>
      </c>
      <c r="E2" s="65" t="s">
        <v>397</v>
      </c>
      <c r="F2" s="48">
        <v>1870</v>
      </c>
      <c r="G2"/>
      <c r="I2" s="3" t="s">
        <v>95</v>
      </c>
      <c r="J2" s="3" t="s">
        <v>391</v>
      </c>
      <c r="K2" s="3" t="s">
        <v>228</v>
      </c>
      <c r="L2" s="3" t="s">
        <v>457</v>
      </c>
      <c r="M2" s="3" t="s">
        <v>152</v>
      </c>
      <c r="O2" s="64" t="s">
        <v>6</v>
      </c>
      <c r="Q2" s="8" t="s">
        <v>126</v>
      </c>
    </row>
    <row r="3" spans="1:19" ht="18.75" x14ac:dyDescent="0.5">
      <c r="A3" s="65" t="s">
        <v>515</v>
      </c>
      <c r="B3" s="65" t="s">
        <v>39</v>
      </c>
      <c r="C3" s="65">
        <v>0.7</v>
      </c>
      <c r="D3" s="65">
        <v>12</v>
      </c>
      <c r="E3" s="65" t="s">
        <v>397</v>
      </c>
      <c r="F3" s="48">
        <v>2020</v>
      </c>
      <c r="G3"/>
      <c r="I3" s="3" t="s">
        <v>538</v>
      </c>
      <c r="J3" s="3" t="s">
        <v>396</v>
      </c>
      <c r="K3" s="3" t="s">
        <v>228</v>
      </c>
      <c r="L3" s="3" t="s">
        <v>457</v>
      </c>
      <c r="M3" s="3" t="s">
        <v>152</v>
      </c>
      <c r="O3" s="64" t="s">
        <v>7</v>
      </c>
      <c r="Q3" s="8" t="s">
        <v>144</v>
      </c>
    </row>
    <row r="4" spans="1:19" ht="18.75" x14ac:dyDescent="0.5">
      <c r="A4" s="65" t="s">
        <v>479</v>
      </c>
      <c r="B4" s="65" t="s">
        <v>39</v>
      </c>
      <c r="C4" s="65">
        <v>0.64</v>
      </c>
      <c r="D4" s="65">
        <v>14</v>
      </c>
      <c r="E4" s="65" t="s">
        <v>397</v>
      </c>
      <c r="F4" s="48">
        <v>1250</v>
      </c>
      <c r="G4"/>
      <c r="I4" s="3" t="s">
        <v>110</v>
      </c>
      <c r="J4" s="3" t="s">
        <v>324</v>
      </c>
      <c r="K4" s="3" t="s">
        <v>285</v>
      </c>
      <c r="L4" s="3" t="s">
        <v>454</v>
      </c>
      <c r="M4" s="3" t="s">
        <v>152</v>
      </c>
      <c r="O4" s="64" t="s">
        <v>440</v>
      </c>
      <c r="Q4" s="8" t="s">
        <v>439</v>
      </c>
      <c r="S4" s="8" t="s">
        <v>471</v>
      </c>
    </row>
    <row r="5" spans="1:19" ht="18.75" x14ac:dyDescent="0.5">
      <c r="A5" s="65" t="s">
        <v>516</v>
      </c>
      <c r="B5" s="65" t="s">
        <v>39</v>
      </c>
      <c r="C5" s="65">
        <v>0.64</v>
      </c>
      <c r="D5" s="65">
        <v>14</v>
      </c>
      <c r="E5" s="65" t="s">
        <v>397</v>
      </c>
      <c r="F5" s="48">
        <v>1400</v>
      </c>
      <c r="G5"/>
      <c r="I5" s="3" t="s">
        <v>106</v>
      </c>
      <c r="J5" s="3" t="s">
        <v>328</v>
      </c>
      <c r="K5" s="3" t="s">
        <v>285</v>
      </c>
      <c r="L5" s="3" t="s">
        <v>454</v>
      </c>
      <c r="M5" s="3" t="s">
        <v>152</v>
      </c>
      <c r="O5" s="64" t="s">
        <v>10</v>
      </c>
      <c r="Q5" s="8" t="s">
        <v>127</v>
      </c>
    </row>
    <row r="6" spans="1:19" ht="18.75" x14ac:dyDescent="0.5">
      <c r="A6" s="65" t="s">
        <v>122</v>
      </c>
      <c r="B6" s="65" t="s">
        <v>37</v>
      </c>
      <c r="C6" s="65">
        <v>0.64</v>
      </c>
      <c r="D6" s="65">
        <v>14</v>
      </c>
      <c r="E6" s="65" t="s">
        <v>397</v>
      </c>
      <c r="F6" s="48">
        <v>1150</v>
      </c>
      <c r="G6"/>
      <c r="I6" s="3" t="s">
        <v>98</v>
      </c>
      <c r="J6" s="3" t="s">
        <v>371</v>
      </c>
      <c r="K6" s="3" t="s">
        <v>370</v>
      </c>
      <c r="L6" s="3" t="s">
        <v>457</v>
      </c>
      <c r="M6" s="3" t="s">
        <v>152</v>
      </c>
      <c r="O6" s="64" t="s">
        <v>435</v>
      </c>
    </row>
    <row r="7" spans="1:19" ht="18.75" x14ac:dyDescent="0.5">
      <c r="A7" s="65" t="s">
        <v>119</v>
      </c>
      <c r="B7" s="65" t="s">
        <v>37</v>
      </c>
      <c r="C7" s="65">
        <v>0.64</v>
      </c>
      <c r="D7" s="65">
        <v>14</v>
      </c>
      <c r="E7" s="65" t="s">
        <v>397</v>
      </c>
      <c r="F7" s="48">
        <v>1250</v>
      </c>
      <c r="G7"/>
      <c r="I7" s="3" t="s">
        <v>109</v>
      </c>
      <c r="J7" s="3" t="s">
        <v>326</v>
      </c>
      <c r="K7" s="3" t="s">
        <v>325</v>
      </c>
      <c r="L7" s="3" t="s">
        <v>454</v>
      </c>
      <c r="M7" s="3" t="s">
        <v>152</v>
      </c>
      <c r="O7" s="64" t="s">
        <v>434</v>
      </c>
    </row>
    <row r="8" spans="1:19" ht="18.75" x14ac:dyDescent="0.5">
      <c r="A8" s="65" t="s">
        <v>40</v>
      </c>
      <c r="B8" s="65" t="s">
        <v>41</v>
      </c>
      <c r="C8" s="65">
        <v>0.35</v>
      </c>
      <c r="D8" s="65">
        <v>40</v>
      </c>
      <c r="E8" s="65" t="s">
        <v>397</v>
      </c>
      <c r="F8" s="48">
        <v>750</v>
      </c>
      <c r="G8"/>
      <c r="I8" s="3" t="s">
        <v>94</v>
      </c>
      <c r="J8" s="3" t="s">
        <v>394</v>
      </c>
      <c r="K8" s="3" t="s">
        <v>919</v>
      </c>
      <c r="L8" s="3" t="s">
        <v>457</v>
      </c>
      <c r="M8" s="3" t="s">
        <v>152</v>
      </c>
      <c r="O8" s="64" t="s">
        <v>8</v>
      </c>
    </row>
    <row r="9" spans="1:19" ht="18.75" x14ac:dyDescent="0.5">
      <c r="A9" s="65" t="s">
        <v>527</v>
      </c>
      <c r="B9" s="65" t="s">
        <v>41</v>
      </c>
      <c r="C9" s="65">
        <v>0.35</v>
      </c>
      <c r="D9" s="65">
        <v>40</v>
      </c>
      <c r="E9" s="65" t="s">
        <v>397</v>
      </c>
      <c r="F9" s="48">
        <v>780</v>
      </c>
      <c r="G9"/>
      <c r="I9" s="3" t="s">
        <v>82</v>
      </c>
      <c r="J9" s="3" t="s">
        <v>443</v>
      </c>
      <c r="K9" s="3" t="s">
        <v>285</v>
      </c>
      <c r="L9" s="3" t="s">
        <v>454</v>
      </c>
      <c r="M9" s="3" t="s">
        <v>152</v>
      </c>
      <c r="O9" s="64" t="s">
        <v>9</v>
      </c>
    </row>
    <row r="10" spans="1:19" ht="18.75" x14ac:dyDescent="0.5">
      <c r="A10" s="65" t="s">
        <v>437</v>
      </c>
      <c r="B10" s="65" t="s">
        <v>42</v>
      </c>
      <c r="C10" s="65">
        <v>1</v>
      </c>
      <c r="D10" s="8">
        <v>12</v>
      </c>
      <c r="E10" s="65" t="s">
        <v>397</v>
      </c>
      <c r="F10" s="48">
        <v>1475</v>
      </c>
      <c r="G10"/>
      <c r="I10" s="3" t="s">
        <v>93</v>
      </c>
      <c r="J10" s="3" t="s">
        <v>399</v>
      </c>
      <c r="K10" s="3" t="s">
        <v>370</v>
      </c>
      <c r="L10" s="3" t="s">
        <v>457</v>
      </c>
      <c r="M10" s="3" t="s">
        <v>152</v>
      </c>
      <c r="O10" s="64" t="s">
        <v>430</v>
      </c>
    </row>
    <row r="11" spans="1:19" ht="18.75" x14ac:dyDescent="0.5">
      <c r="A11" s="65" t="s">
        <v>43</v>
      </c>
      <c r="B11" s="65" t="s">
        <v>42</v>
      </c>
      <c r="C11" s="65">
        <v>1</v>
      </c>
      <c r="D11" s="8">
        <v>12</v>
      </c>
      <c r="E11" s="65" t="s">
        <v>397</v>
      </c>
      <c r="F11" s="48">
        <v>1575</v>
      </c>
      <c r="G11"/>
      <c r="I11" s="3" t="s">
        <v>108</v>
      </c>
      <c r="J11" s="3" t="s">
        <v>327</v>
      </c>
      <c r="K11" s="3" t="s">
        <v>285</v>
      </c>
      <c r="L11" s="3" t="s">
        <v>454</v>
      </c>
      <c r="M11" s="3" t="s">
        <v>152</v>
      </c>
      <c r="O11" s="64" t="s">
        <v>120</v>
      </c>
    </row>
    <row r="12" spans="1:19" ht="17.25" customHeight="1" x14ac:dyDescent="0.5">
      <c r="A12" s="65" t="s">
        <v>518</v>
      </c>
      <c r="B12" s="65" t="s">
        <v>42</v>
      </c>
      <c r="C12" s="65">
        <v>1</v>
      </c>
      <c r="D12" s="8">
        <v>12</v>
      </c>
      <c r="E12" s="65" t="s">
        <v>397</v>
      </c>
      <c r="F12" s="48">
        <v>1675</v>
      </c>
      <c r="G12"/>
      <c r="I12" s="3" t="s">
        <v>111</v>
      </c>
      <c r="J12" s="3" t="s">
        <v>323</v>
      </c>
      <c r="K12" s="3" t="s">
        <v>228</v>
      </c>
      <c r="L12" s="3" t="s">
        <v>457</v>
      </c>
      <c r="M12" s="3" t="s">
        <v>152</v>
      </c>
      <c r="O12" s="64"/>
    </row>
    <row r="13" spans="1:19" ht="18.75" x14ac:dyDescent="0.5">
      <c r="A13" s="65" t="s">
        <v>44</v>
      </c>
      <c r="B13" s="65" t="s">
        <v>45</v>
      </c>
      <c r="C13" s="65">
        <v>1</v>
      </c>
      <c r="D13" s="8">
        <v>12</v>
      </c>
      <c r="E13" s="65" t="s">
        <v>397</v>
      </c>
      <c r="F13" s="48">
        <v>1510</v>
      </c>
      <c r="G13"/>
      <c r="I13" s="3" t="s">
        <v>101</v>
      </c>
      <c r="J13" s="3" t="s">
        <v>357</v>
      </c>
      <c r="K13" s="3" t="s">
        <v>238</v>
      </c>
      <c r="L13" s="3" t="s">
        <v>457</v>
      </c>
      <c r="M13" s="3" t="s">
        <v>152</v>
      </c>
      <c r="O13" s="64"/>
    </row>
    <row r="14" spans="1:19" ht="18.75" x14ac:dyDescent="0.5">
      <c r="A14" s="65" t="s">
        <v>46</v>
      </c>
      <c r="B14" s="65" t="s">
        <v>45</v>
      </c>
      <c r="C14" s="65">
        <v>1</v>
      </c>
      <c r="D14" s="8">
        <v>12</v>
      </c>
      <c r="E14" s="65" t="s">
        <v>397</v>
      </c>
      <c r="F14" s="48">
        <v>1610</v>
      </c>
      <c r="G14"/>
      <c r="I14" s="3" t="s">
        <v>827</v>
      </c>
      <c r="J14" s="3" t="s">
        <v>182</v>
      </c>
      <c r="K14" s="3" t="s">
        <v>168</v>
      </c>
      <c r="L14" s="3" t="s">
        <v>537</v>
      </c>
      <c r="M14" s="3" t="s">
        <v>152</v>
      </c>
      <c r="O14" s="64"/>
    </row>
    <row r="15" spans="1:19" ht="18.75" x14ac:dyDescent="0.5">
      <c r="A15" s="65" t="s">
        <v>517</v>
      </c>
      <c r="B15" s="65" t="s">
        <v>45</v>
      </c>
      <c r="C15" s="65">
        <v>1</v>
      </c>
      <c r="D15" s="8">
        <v>12</v>
      </c>
      <c r="E15" s="65" t="s">
        <v>397</v>
      </c>
      <c r="F15" s="48">
        <v>1710</v>
      </c>
      <c r="G15"/>
      <c r="I15" s="3" t="s">
        <v>92</v>
      </c>
      <c r="J15" s="3" t="s">
        <v>401</v>
      </c>
      <c r="K15" s="3" t="s">
        <v>919</v>
      </c>
      <c r="L15" s="3" t="s">
        <v>457</v>
      </c>
      <c r="M15" s="3" t="s">
        <v>152</v>
      </c>
      <c r="O15" s="64"/>
    </row>
    <row r="16" spans="1:19" ht="18.75" x14ac:dyDescent="0.5">
      <c r="A16" s="65" t="s">
        <v>502</v>
      </c>
      <c r="B16" s="65" t="s">
        <v>503</v>
      </c>
      <c r="C16" s="65">
        <v>0.6</v>
      </c>
      <c r="D16" s="8">
        <v>12</v>
      </c>
      <c r="E16" s="65" t="s">
        <v>397</v>
      </c>
      <c r="F16" s="48">
        <v>1100</v>
      </c>
      <c r="G16"/>
      <c r="I16" s="3" t="s">
        <v>539</v>
      </c>
      <c r="J16" s="3" t="s">
        <v>350</v>
      </c>
      <c r="K16" s="3" t="s">
        <v>200</v>
      </c>
      <c r="L16" s="3" t="s">
        <v>458</v>
      </c>
      <c r="M16" s="3" t="s">
        <v>149</v>
      </c>
    </row>
    <row r="17" spans="1:15" ht="18.75" x14ac:dyDescent="0.5">
      <c r="A17" s="65" t="s">
        <v>47</v>
      </c>
      <c r="B17" s="65" t="s">
        <v>48</v>
      </c>
      <c r="C17" s="65">
        <v>1</v>
      </c>
      <c r="D17" s="8">
        <v>12</v>
      </c>
      <c r="E17" s="65" t="s">
        <v>397</v>
      </c>
      <c r="F17" s="48">
        <v>1500</v>
      </c>
      <c r="G17"/>
      <c r="I17" s="3" t="s">
        <v>187</v>
      </c>
      <c r="J17" s="3" t="s">
        <v>186</v>
      </c>
      <c r="K17" s="3" t="s">
        <v>168</v>
      </c>
      <c r="L17" s="3" t="s">
        <v>537</v>
      </c>
      <c r="M17" s="3" t="s">
        <v>149</v>
      </c>
    </row>
    <row r="18" spans="1:15" ht="18.75" x14ac:dyDescent="0.5">
      <c r="A18" s="65" t="s">
        <v>522</v>
      </c>
      <c r="B18" s="65" t="s">
        <v>48</v>
      </c>
      <c r="C18" s="65">
        <v>1</v>
      </c>
      <c r="D18" s="8">
        <v>12</v>
      </c>
      <c r="E18" s="65" t="s">
        <v>397</v>
      </c>
      <c r="F18" s="48">
        <v>1600</v>
      </c>
      <c r="G18"/>
      <c r="I18" s="3" t="s">
        <v>540</v>
      </c>
      <c r="J18" s="3" t="s">
        <v>230</v>
      </c>
      <c r="K18" s="3" t="s">
        <v>228</v>
      </c>
      <c r="L18" s="3" t="s">
        <v>457</v>
      </c>
      <c r="M18" s="3" t="s">
        <v>149</v>
      </c>
    </row>
    <row r="19" spans="1:15" ht="18.75" x14ac:dyDescent="0.5">
      <c r="A19" s="65" t="s">
        <v>123</v>
      </c>
      <c r="B19" s="65" t="s">
        <v>50</v>
      </c>
      <c r="C19" s="65">
        <v>0.64</v>
      </c>
      <c r="D19" s="8">
        <v>14</v>
      </c>
      <c r="E19" s="65" t="s">
        <v>397</v>
      </c>
      <c r="F19" s="48">
        <v>1250</v>
      </c>
      <c r="G19"/>
      <c r="I19" s="3" t="s">
        <v>541</v>
      </c>
      <c r="J19" s="3" t="s">
        <v>310</v>
      </c>
      <c r="K19" s="3" t="s">
        <v>150</v>
      </c>
      <c r="L19" s="3" t="s">
        <v>465</v>
      </c>
      <c r="M19" s="3" t="s">
        <v>149</v>
      </c>
    </row>
    <row r="20" spans="1:15" ht="18.75" x14ac:dyDescent="0.5">
      <c r="A20" s="65" t="s">
        <v>497</v>
      </c>
      <c r="B20" s="65" t="s">
        <v>498</v>
      </c>
      <c r="C20" s="65">
        <v>0.64</v>
      </c>
      <c r="D20" s="8">
        <v>14</v>
      </c>
      <c r="E20" s="65" t="s">
        <v>397</v>
      </c>
      <c r="F20" s="48">
        <v>1270</v>
      </c>
      <c r="G20"/>
      <c r="I20" s="3" t="s">
        <v>542</v>
      </c>
      <c r="J20" s="3" t="s">
        <v>366</v>
      </c>
      <c r="K20" s="3" t="s">
        <v>231</v>
      </c>
      <c r="L20" s="3" t="s">
        <v>457</v>
      </c>
      <c r="M20" s="3" t="s">
        <v>149</v>
      </c>
    </row>
    <row r="21" spans="1:15" ht="18.75" x14ac:dyDescent="0.5">
      <c r="A21" s="65" t="s">
        <v>49</v>
      </c>
      <c r="B21" s="65" t="s">
        <v>50</v>
      </c>
      <c r="C21" s="65">
        <v>0.64</v>
      </c>
      <c r="D21" s="8">
        <v>14</v>
      </c>
      <c r="E21" s="65" t="s">
        <v>397</v>
      </c>
      <c r="F21" s="48">
        <v>1150</v>
      </c>
      <c r="G21"/>
      <c r="I21" s="3" t="s">
        <v>97</v>
      </c>
      <c r="J21" s="3" t="s">
        <v>375</v>
      </c>
      <c r="K21" s="3" t="s">
        <v>200</v>
      </c>
      <c r="L21" s="3" t="s">
        <v>458</v>
      </c>
      <c r="M21" s="3" t="s">
        <v>149</v>
      </c>
    </row>
    <row r="22" spans="1:15" ht="18.75" x14ac:dyDescent="0.5">
      <c r="A22" s="65" t="s">
        <v>499</v>
      </c>
      <c r="B22" s="65" t="s">
        <v>50</v>
      </c>
      <c r="C22" s="65">
        <v>0.64</v>
      </c>
      <c r="D22" s="8">
        <v>14</v>
      </c>
      <c r="E22" s="65" t="s">
        <v>397</v>
      </c>
      <c r="F22" s="48">
        <v>1080</v>
      </c>
      <c r="G22"/>
      <c r="I22" s="3" t="s">
        <v>91</v>
      </c>
      <c r="J22" s="3" t="s">
        <v>411</v>
      </c>
      <c r="K22" s="3" t="s">
        <v>410</v>
      </c>
      <c r="L22" s="3" t="s">
        <v>476</v>
      </c>
      <c r="M22" s="3" t="s">
        <v>149</v>
      </c>
    </row>
    <row r="23" spans="1:15" ht="18.75" x14ac:dyDescent="0.5">
      <c r="A23" s="65" t="s">
        <v>134</v>
      </c>
      <c r="B23" s="65" t="s">
        <v>50</v>
      </c>
      <c r="C23" s="65">
        <v>0.64</v>
      </c>
      <c r="D23" s="8">
        <v>14</v>
      </c>
      <c r="E23" s="65" t="s">
        <v>397</v>
      </c>
      <c r="F23" s="48">
        <v>1270</v>
      </c>
      <c r="G23"/>
      <c r="I23" s="3" t="s">
        <v>104</v>
      </c>
      <c r="J23" s="3" t="s">
        <v>345</v>
      </c>
      <c r="K23" s="3" t="s">
        <v>197</v>
      </c>
      <c r="L23" s="3" t="s">
        <v>458</v>
      </c>
      <c r="M23" s="3" t="s">
        <v>149</v>
      </c>
    </row>
    <row r="24" spans="1:15" ht="18.75" x14ac:dyDescent="0.5">
      <c r="A24" s="65" t="s">
        <v>514</v>
      </c>
      <c r="B24" s="65" t="s">
        <v>50</v>
      </c>
      <c r="C24" s="65">
        <v>0.64</v>
      </c>
      <c r="D24" s="8">
        <v>14</v>
      </c>
      <c r="E24" s="65" t="s">
        <v>397</v>
      </c>
      <c r="F24" s="48">
        <v>1350</v>
      </c>
      <c r="G24"/>
      <c r="I24" s="3" t="s">
        <v>115</v>
      </c>
      <c r="J24" s="3" t="s">
        <v>232</v>
      </c>
      <c r="K24" s="3" t="s">
        <v>231</v>
      </c>
      <c r="L24" s="3" t="s">
        <v>457</v>
      </c>
      <c r="M24" s="3" t="s">
        <v>149</v>
      </c>
    </row>
    <row r="25" spans="1:15" ht="18.75" x14ac:dyDescent="0.5">
      <c r="A25" s="65" t="s">
        <v>523</v>
      </c>
      <c r="B25" s="65" t="s">
        <v>50</v>
      </c>
      <c r="C25" s="65">
        <v>0.64</v>
      </c>
      <c r="D25" s="8">
        <v>14</v>
      </c>
      <c r="E25" s="65" t="s">
        <v>397</v>
      </c>
      <c r="F25" s="48">
        <v>1400</v>
      </c>
      <c r="G25"/>
      <c r="I25" s="3" t="s">
        <v>176</v>
      </c>
      <c r="J25" s="3" t="s">
        <v>175</v>
      </c>
      <c r="K25" s="3" t="s">
        <v>168</v>
      </c>
      <c r="L25" s="3" t="s">
        <v>537</v>
      </c>
      <c r="M25" s="3" t="s">
        <v>149</v>
      </c>
    </row>
    <row r="26" spans="1:15" ht="18.75" x14ac:dyDescent="0.5">
      <c r="A26" s="65" t="s">
        <v>130</v>
      </c>
      <c r="B26" s="65" t="s">
        <v>50</v>
      </c>
      <c r="C26" s="65">
        <v>0.64</v>
      </c>
      <c r="D26" s="8">
        <v>24</v>
      </c>
      <c r="E26" s="65" t="s">
        <v>397</v>
      </c>
      <c r="F26" s="48">
        <v>1250</v>
      </c>
      <c r="G26"/>
      <c r="I26" s="3" t="s">
        <v>99</v>
      </c>
      <c r="J26" s="3" t="s">
        <v>365</v>
      </c>
      <c r="K26" s="3" t="s">
        <v>231</v>
      </c>
      <c r="L26" s="3" t="s">
        <v>457</v>
      </c>
      <c r="M26" s="3" t="s">
        <v>149</v>
      </c>
    </row>
    <row r="27" spans="1:15" ht="18.75" x14ac:dyDescent="0.5">
      <c r="A27" s="65" t="s">
        <v>532</v>
      </c>
      <c r="B27" s="65" t="s">
        <v>50</v>
      </c>
      <c r="C27" s="65">
        <v>0.64</v>
      </c>
      <c r="D27" s="8">
        <v>24</v>
      </c>
      <c r="E27" s="65" t="s">
        <v>397</v>
      </c>
      <c r="F27" s="48">
        <v>1350</v>
      </c>
      <c r="G27"/>
      <c r="I27" s="3" t="s">
        <v>116</v>
      </c>
      <c r="J27" s="3" t="s">
        <v>203</v>
      </c>
      <c r="K27" s="3" t="s">
        <v>202</v>
      </c>
      <c r="L27" s="3" t="s">
        <v>458</v>
      </c>
      <c r="M27" s="3" t="s">
        <v>149</v>
      </c>
    </row>
    <row r="28" spans="1:15" ht="18.75" x14ac:dyDescent="0.5">
      <c r="A28" s="65" t="s">
        <v>425</v>
      </c>
      <c r="B28" s="65" t="s">
        <v>424</v>
      </c>
      <c r="C28" s="65">
        <v>1</v>
      </c>
      <c r="D28" s="8">
        <v>12</v>
      </c>
      <c r="E28" s="65" t="s">
        <v>397</v>
      </c>
      <c r="F28" s="2">
        <v>1500</v>
      </c>
      <c r="G28"/>
      <c r="I28" s="3" t="s">
        <v>543</v>
      </c>
      <c r="J28" s="3" t="s">
        <v>403</v>
      </c>
      <c r="K28" s="3" t="s">
        <v>228</v>
      </c>
      <c r="L28" s="3" t="s">
        <v>457</v>
      </c>
      <c r="M28" s="3" t="s">
        <v>149</v>
      </c>
    </row>
    <row r="29" spans="1:15" ht="18.75" x14ac:dyDescent="0.5">
      <c r="A29" s="65" t="s">
        <v>508</v>
      </c>
      <c r="B29" s="65" t="s">
        <v>424</v>
      </c>
      <c r="C29" s="65">
        <v>1</v>
      </c>
      <c r="D29" s="8">
        <v>12</v>
      </c>
      <c r="E29" s="8" t="s">
        <v>397</v>
      </c>
      <c r="F29" s="2">
        <v>1850</v>
      </c>
      <c r="G29"/>
      <c r="I29" s="3" t="s">
        <v>100</v>
      </c>
      <c r="J29" s="3" t="s">
        <v>364</v>
      </c>
      <c r="K29" s="3" t="s">
        <v>231</v>
      </c>
      <c r="L29" s="3" t="s">
        <v>457</v>
      </c>
      <c r="M29" s="3" t="s">
        <v>149</v>
      </c>
      <c r="O29" s="8" t="s">
        <v>404</v>
      </c>
    </row>
    <row r="30" spans="1:15" ht="18.75" x14ac:dyDescent="0.5">
      <c r="A30" s="8" t="s">
        <v>51</v>
      </c>
      <c r="B30" s="65" t="s">
        <v>52</v>
      </c>
      <c r="C30" s="65">
        <v>0.64</v>
      </c>
      <c r="D30" s="8">
        <v>14</v>
      </c>
      <c r="E30" s="65" t="s">
        <v>397</v>
      </c>
      <c r="F30" s="2">
        <v>1250</v>
      </c>
      <c r="G30"/>
      <c r="I30" s="3" t="s">
        <v>544</v>
      </c>
      <c r="J30" s="3" t="s">
        <v>305</v>
      </c>
      <c r="K30" s="3" t="s">
        <v>200</v>
      </c>
      <c r="L30" s="3" t="s">
        <v>458</v>
      </c>
      <c r="M30" s="3" t="s">
        <v>149</v>
      </c>
    </row>
    <row r="31" spans="1:15" ht="18.75" x14ac:dyDescent="0.5">
      <c r="A31" s="8" t="s">
        <v>525</v>
      </c>
      <c r="B31" s="65" t="s">
        <v>52</v>
      </c>
      <c r="C31" s="65">
        <v>0.64</v>
      </c>
      <c r="D31" s="8">
        <v>14</v>
      </c>
      <c r="E31" s="65" t="s">
        <v>397</v>
      </c>
      <c r="F31" s="2">
        <v>1350</v>
      </c>
      <c r="G31"/>
      <c r="I31" s="3" t="s">
        <v>545</v>
      </c>
      <c r="J31" s="3" t="s">
        <v>312</v>
      </c>
      <c r="K31" s="3" t="s">
        <v>150</v>
      </c>
      <c r="L31" s="3" t="s">
        <v>465</v>
      </c>
      <c r="M31" s="3" t="s">
        <v>149</v>
      </c>
    </row>
    <row r="32" spans="1:15" ht="18.75" x14ac:dyDescent="0.5">
      <c r="A32" s="8" t="s">
        <v>421</v>
      </c>
      <c r="B32" s="65" t="s">
        <v>53</v>
      </c>
      <c r="C32" s="65">
        <v>0.64</v>
      </c>
      <c r="D32" s="8">
        <v>14</v>
      </c>
      <c r="E32" s="65" t="s">
        <v>397</v>
      </c>
      <c r="F32" s="2">
        <v>1600</v>
      </c>
      <c r="G32"/>
      <c r="I32" s="3" t="s">
        <v>102</v>
      </c>
      <c r="J32" s="3" t="s">
        <v>356</v>
      </c>
      <c r="K32" s="3" t="s">
        <v>871</v>
      </c>
      <c r="L32" s="3" t="s">
        <v>459</v>
      </c>
      <c r="M32" s="3" t="s">
        <v>149</v>
      </c>
    </row>
    <row r="33" spans="1:13" ht="18.75" x14ac:dyDescent="0.5">
      <c r="A33" s="8" t="s">
        <v>54</v>
      </c>
      <c r="B33" s="65" t="s">
        <v>55</v>
      </c>
      <c r="C33" s="65">
        <v>0.64</v>
      </c>
      <c r="D33" s="8">
        <v>14</v>
      </c>
      <c r="E33" s="65" t="s">
        <v>397</v>
      </c>
      <c r="F33" s="2">
        <v>1700</v>
      </c>
      <c r="G33"/>
      <c r="I33" s="3" t="s">
        <v>546</v>
      </c>
      <c r="J33" s="3" t="s">
        <v>309</v>
      </c>
      <c r="K33" s="3" t="s">
        <v>150</v>
      </c>
      <c r="L33" s="3" t="s">
        <v>465</v>
      </c>
      <c r="M33" s="3" t="s">
        <v>149</v>
      </c>
    </row>
    <row r="34" spans="1:13" ht="18.75" x14ac:dyDescent="0.5">
      <c r="A34" s="8" t="s">
        <v>520</v>
      </c>
      <c r="B34" s="65" t="s">
        <v>55</v>
      </c>
      <c r="C34" s="65">
        <v>0.64</v>
      </c>
      <c r="D34" s="8">
        <v>14</v>
      </c>
      <c r="E34" s="65" t="s">
        <v>397</v>
      </c>
      <c r="F34" s="2">
        <v>1800</v>
      </c>
      <c r="G34"/>
      <c r="I34" s="3" t="s">
        <v>296</v>
      </c>
      <c r="J34" s="3" t="s">
        <v>296</v>
      </c>
      <c r="K34" s="3" t="s">
        <v>247</v>
      </c>
      <c r="L34" s="3" t="s">
        <v>454</v>
      </c>
      <c r="M34" s="3" t="s">
        <v>149</v>
      </c>
    </row>
    <row r="35" spans="1:13" ht="18.75" x14ac:dyDescent="0.5">
      <c r="A35" s="8" t="s">
        <v>419</v>
      </c>
      <c r="B35" s="65" t="s">
        <v>56</v>
      </c>
      <c r="C35" s="65">
        <v>0.64</v>
      </c>
      <c r="D35" s="8">
        <v>14</v>
      </c>
      <c r="E35" s="65" t="s">
        <v>397</v>
      </c>
      <c r="F35" s="2">
        <v>1150</v>
      </c>
      <c r="G35"/>
      <c r="I35" s="3" t="s">
        <v>77</v>
      </c>
      <c r="J35" s="3" t="s">
        <v>77</v>
      </c>
      <c r="K35" s="3" t="s">
        <v>278</v>
      </c>
      <c r="L35" s="3" t="s">
        <v>454</v>
      </c>
      <c r="M35" s="3" t="s">
        <v>149</v>
      </c>
    </row>
    <row r="36" spans="1:13" ht="18.75" x14ac:dyDescent="0.5">
      <c r="A36" s="8" t="s">
        <v>57</v>
      </c>
      <c r="B36" s="65" t="s">
        <v>56</v>
      </c>
      <c r="C36" s="65">
        <v>0.64</v>
      </c>
      <c r="D36" s="8">
        <v>14</v>
      </c>
      <c r="E36" s="65" t="s">
        <v>397</v>
      </c>
      <c r="F36" s="2">
        <v>1250</v>
      </c>
      <c r="G36"/>
      <c r="I36" s="3" t="s">
        <v>75</v>
      </c>
      <c r="J36" s="3" t="s">
        <v>75</v>
      </c>
      <c r="K36" s="3" t="s">
        <v>228</v>
      </c>
      <c r="L36" s="3" t="s">
        <v>457</v>
      </c>
      <c r="M36" s="3" t="s">
        <v>149</v>
      </c>
    </row>
    <row r="37" spans="1:13" ht="18.75" x14ac:dyDescent="0.5">
      <c r="A37" s="8" t="s">
        <v>526</v>
      </c>
      <c r="B37" s="65" t="s">
        <v>56</v>
      </c>
      <c r="C37" s="65">
        <v>0.64</v>
      </c>
      <c r="D37" s="8">
        <v>14</v>
      </c>
      <c r="E37" s="65" t="s">
        <v>397</v>
      </c>
      <c r="F37" s="2">
        <v>1350</v>
      </c>
      <c r="G37"/>
      <c r="I37" s="3" t="s">
        <v>76</v>
      </c>
      <c r="J37" s="3" t="s">
        <v>76</v>
      </c>
      <c r="K37" s="3" t="s">
        <v>150</v>
      </c>
      <c r="L37" s="3" t="s">
        <v>465</v>
      </c>
      <c r="M37" s="3" t="s">
        <v>149</v>
      </c>
    </row>
    <row r="38" spans="1:13" ht="18.75" x14ac:dyDescent="0.5">
      <c r="A38" s="8" t="s">
        <v>416</v>
      </c>
      <c r="B38" s="65" t="s">
        <v>58</v>
      </c>
      <c r="C38" s="65">
        <v>0.64</v>
      </c>
      <c r="D38" s="8">
        <v>24</v>
      </c>
      <c r="E38" s="65" t="s">
        <v>397</v>
      </c>
      <c r="F38" s="2">
        <v>1150</v>
      </c>
      <c r="G38"/>
      <c r="I38" s="3" t="s">
        <v>117</v>
      </c>
      <c r="J38" s="3" t="s">
        <v>185</v>
      </c>
      <c r="K38" s="3" t="s">
        <v>180</v>
      </c>
      <c r="L38" s="3" t="s">
        <v>476</v>
      </c>
      <c r="M38" s="3" t="s">
        <v>149</v>
      </c>
    </row>
    <row r="39" spans="1:13" ht="18.75" x14ac:dyDescent="0.5">
      <c r="A39" s="8" t="s">
        <v>121</v>
      </c>
      <c r="B39" s="65" t="s">
        <v>58</v>
      </c>
      <c r="C39" s="65">
        <v>0.64</v>
      </c>
      <c r="D39" s="8">
        <v>24</v>
      </c>
      <c r="E39" s="65" t="s">
        <v>397</v>
      </c>
      <c r="F39" s="48">
        <v>1250</v>
      </c>
      <c r="G39"/>
      <c r="I39" s="3" t="s">
        <v>547</v>
      </c>
      <c r="J39" s="3" t="s">
        <v>388</v>
      </c>
      <c r="K39" s="3" t="s">
        <v>228</v>
      </c>
      <c r="L39" s="3" t="s">
        <v>457</v>
      </c>
      <c r="M39" s="3" t="s">
        <v>469</v>
      </c>
    </row>
    <row r="40" spans="1:13" ht="18.75" x14ac:dyDescent="0.5">
      <c r="A40" s="8" t="s">
        <v>1140</v>
      </c>
      <c r="B40" s="65" t="s">
        <v>58</v>
      </c>
      <c r="C40" s="65">
        <v>1</v>
      </c>
      <c r="D40" s="8">
        <v>12</v>
      </c>
      <c r="E40" s="8" t="s">
        <v>397</v>
      </c>
      <c r="F40" s="48">
        <v>1675</v>
      </c>
      <c r="G40"/>
      <c r="I40" s="3" t="s">
        <v>87</v>
      </c>
      <c r="J40" s="3" t="s">
        <v>423</v>
      </c>
      <c r="K40" s="3" t="s">
        <v>872</v>
      </c>
      <c r="L40" s="3" t="s">
        <v>462</v>
      </c>
      <c r="M40" s="3" t="s">
        <v>469</v>
      </c>
    </row>
    <row r="41" spans="1:13" ht="18.75" x14ac:dyDescent="0.5">
      <c r="A41" s="8" t="s">
        <v>533</v>
      </c>
      <c r="B41" s="65" t="s">
        <v>534</v>
      </c>
      <c r="C41" s="65">
        <v>0.64</v>
      </c>
      <c r="D41" s="8">
        <v>14</v>
      </c>
      <c r="E41" s="65" t="s">
        <v>397</v>
      </c>
      <c r="F41" s="48">
        <v>1500</v>
      </c>
      <c r="G41"/>
      <c r="I41" s="3" t="s">
        <v>548</v>
      </c>
      <c r="J41" s="3" t="s">
        <v>259</v>
      </c>
      <c r="K41" s="3" t="s">
        <v>197</v>
      </c>
      <c r="L41" s="3" t="s">
        <v>458</v>
      </c>
      <c r="M41" s="3" t="s">
        <v>469</v>
      </c>
    </row>
    <row r="42" spans="1:13" ht="18.75" x14ac:dyDescent="0.5">
      <c r="A42" s="8" t="s">
        <v>1146</v>
      </c>
      <c r="B42" s="65" t="s">
        <v>534</v>
      </c>
      <c r="C42" s="65">
        <v>1</v>
      </c>
      <c r="D42" s="8">
        <v>12</v>
      </c>
      <c r="E42" s="8" t="s">
        <v>397</v>
      </c>
      <c r="F42" s="48"/>
      <c r="G42"/>
      <c r="I42" s="3" t="s">
        <v>549</v>
      </c>
      <c r="J42" s="3" t="s">
        <v>405</v>
      </c>
      <c r="K42" s="3" t="s">
        <v>278</v>
      </c>
      <c r="L42" s="3" t="s">
        <v>454</v>
      </c>
      <c r="M42" s="3" t="s">
        <v>469</v>
      </c>
    </row>
    <row r="43" spans="1:13" ht="18.75" x14ac:dyDescent="0.5">
      <c r="A43" s="8" t="s">
        <v>521</v>
      </c>
      <c r="B43" s="65" t="s">
        <v>58</v>
      </c>
      <c r="C43" s="65">
        <v>0.64</v>
      </c>
      <c r="D43" s="8">
        <v>24</v>
      </c>
      <c r="E43" s="65" t="s">
        <v>397</v>
      </c>
      <c r="F43" s="48">
        <v>1350</v>
      </c>
      <c r="G43"/>
      <c r="I43" s="3" t="s">
        <v>89</v>
      </c>
      <c r="J43" s="3" t="s">
        <v>418</v>
      </c>
      <c r="K43" s="3" t="s">
        <v>873</v>
      </c>
      <c r="L43" s="3" t="s">
        <v>537</v>
      </c>
      <c r="M43" s="3" t="s">
        <v>469</v>
      </c>
    </row>
    <row r="44" spans="1:13" ht="18.75" x14ac:dyDescent="0.5">
      <c r="A44" s="8" t="s">
        <v>510</v>
      </c>
      <c r="B44" s="65" t="s">
        <v>511</v>
      </c>
      <c r="C44" s="65">
        <v>0.64</v>
      </c>
      <c r="D44" s="8">
        <v>14</v>
      </c>
      <c r="E44" s="8" t="s">
        <v>397</v>
      </c>
      <c r="F44" s="48">
        <v>1500</v>
      </c>
      <c r="G44"/>
      <c r="I44" s="3" t="s">
        <v>550</v>
      </c>
      <c r="J44" s="3" t="s">
        <v>308</v>
      </c>
      <c r="K44" s="3" t="s">
        <v>272</v>
      </c>
      <c r="L44" s="3" t="s">
        <v>454</v>
      </c>
      <c r="M44" s="3" t="s">
        <v>469</v>
      </c>
    </row>
    <row r="45" spans="1:13" ht="18.75" x14ac:dyDescent="0.5">
      <c r="A45" s="8" t="s">
        <v>1095</v>
      </c>
      <c r="B45" s="65" t="s">
        <v>511</v>
      </c>
      <c r="C45" s="65">
        <v>0.64</v>
      </c>
      <c r="D45" s="8">
        <v>14</v>
      </c>
      <c r="E45" s="8" t="s">
        <v>397</v>
      </c>
      <c r="F45" s="48">
        <v>1700</v>
      </c>
      <c r="G45"/>
      <c r="I45" s="3" t="s">
        <v>551</v>
      </c>
      <c r="J45" s="3" t="s">
        <v>183</v>
      </c>
      <c r="K45" s="3" t="s">
        <v>178</v>
      </c>
      <c r="L45" s="3" t="s">
        <v>475</v>
      </c>
      <c r="M45" s="3" t="s">
        <v>469</v>
      </c>
    </row>
    <row r="46" spans="1:13" ht="18.75" x14ac:dyDescent="0.5">
      <c r="A46" s="65" t="s">
        <v>59</v>
      </c>
      <c r="B46" s="65" t="s">
        <v>60</v>
      </c>
      <c r="C46" s="65">
        <v>0.64</v>
      </c>
      <c r="D46" s="8">
        <v>14</v>
      </c>
      <c r="E46" s="65" t="s">
        <v>397</v>
      </c>
      <c r="F46" s="48">
        <v>1250</v>
      </c>
      <c r="G46"/>
      <c r="I46" s="3" t="s">
        <v>90</v>
      </c>
      <c r="J46" s="3" t="s">
        <v>414</v>
      </c>
      <c r="K46" s="3" t="s">
        <v>413</v>
      </c>
      <c r="L46" s="3" t="s">
        <v>460</v>
      </c>
      <c r="M46" s="3" t="s">
        <v>469</v>
      </c>
    </row>
    <row r="47" spans="1:13" ht="18.75" x14ac:dyDescent="0.5">
      <c r="A47" s="65" t="s">
        <v>61</v>
      </c>
      <c r="B47" s="65" t="s">
        <v>60</v>
      </c>
      <c r="C47" s="65">
        <v>0.64</v>
      </c>
      <c r="D47" s="8">
        <v>14</v>
      </c>
      <c r="E47" s="65" t="s">
        <v>397</v>
      </c>
      <c r="F47" s="48">
        <v>1400</v>
      </c>
      <c r="G47"/>
      <c r="I47" s="3" t="s">
        <v>88</v>
      </c>
      <c r="J47" s="3" t="s">
        <v>420</v>
      </c>
      <c r="K47" s="3" t="s">
        <v>188</v>
      </c>
      <c r="L47" s="3" t="s">
        <v>460</v>
      </c>
      <c r="M47" s="3" t="s">
        <v>469</v>
      </c>
    </row>
    <row r="48" spans="1:13" ht="18.75" x14ac:dyDescent="0.5">
      <c r="A48" s="65" t="s">
        <v>133</v>
      </c>
      <c r="B48" s="65" t="s">
        <v>60</v>
      </c>
      <c r="C48" s="65">
        <v>0.64</v>
      </c>
      <c r="D48" s="8">
        <v>14</v>
      </c>
      <c r="E48" s="65" t="s">
        <v>397</v>
      </c>
      <c r="F48" s="48">
        <v>1420</v>
      </c>
      <c r="G48"/>
      <c r="I48" s="3" t="s">
        <v>552</v>
      </c>
      <c r="J48" s="3" t="s">
        <v>254</v>
      </c>
      <c r="K48" s="3" t="s">
        <v>150</v>
      </c>
      <c r="L48" s="3" t="s">
        <v>465</v>
      </c>
      <c r="M48" s="3" t="s">
        <v>469</v>
      </c>
    </row>
    <row r="49" spans="1:13" ht="18.75" x14ac:dyDescent="0.5">
      <c r="A49" s="65" t="s">
        <v>519</v>
      </c>
      <c r="B49" s="65" t="s">
        <v>60</v>
      </c>
      <c r="C49" s="65">
        <v>0.64</v>
      </c>
      <c r="D49" s="8">
        <v>14</v>
      </c>
      <c r="E49" s="65" t="s">
        <v>397</v>
      </c>
      <c r="F49" s="48">
        <v>1500</v>
      </c>
      <c r="G49"/>
      <c r="I49" s="3" t="s">
        <v>553</v>
      </c>
      <c r="J49" s="3" t="s">
        <v>351</v>
      </c>
      <c r="K49" s="3" t="s">
        <v>874</v>
      </c>
      <c r="L49" s="3" t="s">
        <v>454</v>
      </c>
      <c r="M49" s="3" t="s">
        <v>469</v>
      </c>
    </row>
    <row r="50" spans="1:13" ht="18.75" x14ac:dyDescent="0.5">
      <c r="A50" s="65" t="s">
        <v>524</v>
      </c>
      <c r="B50" s="65" t="s">
        <v>60</v>
      </c>
      <c r="C50" s="65">
        <v>0.64</v>
      </c>
      <c r="D50" s="8">
        <v>14</v>
      </c>
      <c r="E50" s="65" t="s">
        <v>397</v>
      </c>
      <c r="F50" s="48">
        <v>1550</v>
      </c>
      <c r="G50"/>
      <c r="I50" s="3" t="s">
        <v>86</v>
      </c>
      <c r="J50" s="3" t="s">
        <v>428</v>
      </c>
      <c r="K50" s="3" t="s">
        <v>150</v>
      </c>
      <c r="L50" s="3" t="s">
        <v>465</v>
      </c>
      <c r="M50" s="3" t="s">
        <v>469</v>
      </c>
    </row>
    <row r="51" spans="1:13" ht="18.75" x14ac:dyDescent="0.5">
      <c r="A51" s="65" t="s">
        <v>62</v>
      </c>
      <c r="B51" s="65" t="s">
        <v>11</v>
      </c>
      <c r="C51" s="65">
        <v>0.7</v>
      </c>
      <c r="D51" s="65">
        <v>12</v>
      </c>
      <c r="E51" s="8" t="s">
        <v>392</v>
      </c>
      <c r="F51" s="48">
        <v>3600</v>
      </c>
      <c r="G51"/>
      <c r="I51" s="3" t="s">
        <v>554</v>
      </c>
      <c r="J51" s="3" t="s">
        <v>297</v>
      </c>
      <c r="K51" s="3" t="s">
        <v>285</v>
      </c>
      <c r="L51" s="3" t="s">
        <v>454</v>
      </c>
      <c r="M51" s="3" t="s">
        <v>469</v>
      </c>
    </row>
    <row r="52" spans="1:13" ht="18.75" x14ac:dyDescent="0.5">
      <c r="A52" s="65" t="s">
        <v>63</v>
      </c>
      <c r="B52" s="65" t="s">
        <v>64</v>
      </c>
      <c r="C52" s="65">
        <v>0.7</v>
      </c>
      <c r="D52" s="65">
        <v>12</v>
      </c>
      <c r="E52" s="65" t="s">
        <v>395</v>
      </c>
      <c r="F52" s="48">
        <v>5200</v>
      </c>
      <c r="G52"/>
      <c r="I52" s="3" t="s">
        <v>555</v>
      </c>
      <c r="J52" s="3" t="s">
        <v>279</v>
      </c>
      <c r="K52" s="3" t="s">
        <v>278</v>
      </c>
      <c r="L52" s="3" t="s">
        <v>454</v>
      </c>
      <c r="M52" s="3" t="s">
        <v>469</v>
      </c>
    </row>
    <row r="53" spans="1:13" ht="18.75" x14ac:dyDescent="0.5">
      <c r="A53" s="65" t="s">
        <v>495</v>
      </c>
      <c r="B53" s="65" t="s">
        <v>496</v>
      </c>
      <c r="C53" s="65">
        <v>0.7</v>
      </c>
      <c r="D53" s="65">
        <v>12</v>
      </c>
      <c r="E53" s="65" t="s">
        <v>395</v>
      </c>
      <c r="F53" s="48">
        <v>4000</v>
      </c>
      <c r="G53"/>
      <c r="I53" s="3" t="s">
        <v>83</v>
      </c>
      <c r="J53" s="3" t="s">
        <v>432</v>
      </c>
      <c r="K53" s="3" t="s">
        <v>875</v>
      </c>
      <c r="L53" s="3" t="s">
        <v>459</v>
      </c>
      <c r="M53" s="3" t="s">
        <v>146</v>
      </c>
    </row>
    <row r="54" spans="1:13" ht="18.75" x14ac:dyDescent="0.5">
      <c r="A54" s="65" t="s">
        <v>504</v>
      </c>
      <c r="B54" s="65" t="s">
        <v>505</v>
      </c>
      <c r="C54" s="65">
        <v>0.7</v>
      </c>
      <c r="D54" s="65">
        <v>12</v>
      </c>
      <c r="E54" s="65" t="s">
        <v>395</v>
      </c>
      <c r="F54" s="48">
        <v>4500</v>
      </c>
      <c r="G54"/>
      <c r="I54" s="3" t="s">
        <v>107</v>
      </c>
      <c r="J54" s="3" t="s">
        <v>330</v>
      </c>
      <c r="K54" s="3" t="s">
        <v>329</v>
      </c>
      <c r="L54" s="3" t="s">
        <v>459</v>
      </c>
      <c r="M54" s="3" t="s">
        <v>146</v>
      </c>
    </row>
    <row r="55" spans="1:13" ht="18.75" x14ac:dyDescent="0.5">
      <c r="A55" s="65" t="s">
        <v>65</v>
      </c>
      <c r="B55" s="65" t="s">
        <v>66</v>
      </c>
      <c r="C55" s="8">
        <v>0.35</v>
      </c>
      <c r="D55" s="8">
        <v>24</v>
      </c>
      <c r="E55" s="65" t="s">
        <v>395</v>
      </c>
      <c r="F55" s="2">
        <v>2300</v>
      </c>
      <c r="G55"/>
      <c r="I55" s="3" t="s">
        <v>556</v>
      </c>
      <c r="J55" s="3" t="s">
        <v>289</v>
      </c>
      <c r="K55" s="3" t="s">
        <v>276</v>
      </c>
      <c r="L55" s="3" t="s">
        <v>459</v>
      </c>
      <c r="M55" s="3" t="s">
        <v>146</v>
      </c>
    </row>
    <row r="56" spans="1:13" ht="18.75" x14ac:dyDescent="0.5">
      <c r="A56" s="65" t="s">
        <v>493</v>
      </c>
      <c r="B56" s="65" t="s">
        <v>494</v>
      </c>
      <c r="C56" s="8">
        <v>0.35</v>
      </c>
      <c r="D56" s="8">
        <v>24</v>
      </c>
      <c r="E56" s="65" t="s">
        <v>395</v>
      </c>
      <c r="F56" s="2">
        <v>2000</v>
      </c>
      <c r="G56"/>
      <c r="I56" s="3" t="s">
        <v>557</v>
      </c>
      <c r="J56" s="3" t="s">
        <v>474</v>
      </c>
      <c r="K56" s="3" t="s">
        <v>178</v>
      </c>
      <c r="L56" s="3" t="s">
        <v>475</v>
      </c>
      <c r="M56" s="3" t="s">
        <v>146</v>
      </c>
    </row>
    <row r="57" spans="1:13" ht="18.75" x14ac:dyDescent="0.5">
      <c r="A57" s="65" t="s">
        <v>67</v>
      </c>
      <c r="B57" s="65" t="s">
        <v>68</v>
      </c>
      <c r="C57" s="8">
        <v>0.35</v>
      </c>
      <c r="D57" s="8">
        <v>24</v>
      </c>
      <c r="E57" s="65" t="s">
        <v>395</v>
      </c>
      <c r="F57" s="2">
        <v>1300</v>
      </c>
      <c r="G57"/>
      <c r="I57" s="3" t="s">
        <v>558</v>
      </c>
      <c r="J57" s="3" t="s">
        <v>417</v>
      </c>
      <c r="K57" s="3" t="s">
        <v>231</v>
      </c>
      <c r="L57" s="3" t="s">
        <v>537</v>
      </c>
      <c r="M57" s="3" t="s">
        <v>146</v>
      </c>
    </row>
    <row r="58" spans="1:13" ht="18.75" x14ac:dyDescent="0.5">
      <c r="A58" s="65" t="s">
        <v>69</v>
      </c>
      <c r="B58" s="65" t="s">
        <v>70</v>
      </c>
      <c r="C58" s="65">
        <v>0.7</v>
      </c>
      <c r="D58" s="8">
        <v>12</v>
      </c>
      <c r="E58" s="65" t="s">
        <v>395</v>
      </c>
      <c r="F58" s="2">
        <v>5200</v>
      </c>
      <c r="G58"/>
      <c r="I58" s="3" t="s">
        <v>559</v>
      </c>
      <c r="J58" s="3" t="s">
        <v>224</v>
      </c>
      <c r="K58" s="3" t="s">
        <v>223</v>
      </c>
      <c r="L58" s="3" t="s">
        <v>464</v>
      </c>
      <c r="M58" s="3" t="s">
        <v>146</v>
      </c>
    </row>
    <row r="59" spans="1:13" ht="18.75" x14ac:dyDescent="0.5">
      <c r="A59" s="65" t="s">
        <v>402</v>
      </c>
      <c r="B59" s="65" t="s">
        <v>71</v>
      </c>
      <c r="C59" s="8">
        <v>0.35</v>
      </c>
      <c r="D59" s="8">
        <v>24</v>
      </c>
      <c r="E59" s="65" t="s">
        <v>395</v>
      </c>
      <c r="F59" s="2">
        <v>2600</v>
      </c>
      <c r="G59"/>
      <c r="I59" s="3" t="s">
        <v>84</v>
      </c>
      <c r="J59" s="3" t="s">
        <v>431</v>
      </c>
      <c r="K59" s="3" t="s">
        <v>276</v>
      </c>
      <c r="L59" s="3" t="s">
        <v>459</v>
      </c>
      <c r="M59" s="3" t="s">
        <v>146</v>
      </c>
    </row>
    <row r="60" spans="1:13" ht="18.75" x14ac:dyDescent="0.5">
      <c r="A60" s="65" t="s">
        <v>455</v>
      </c>
      <c r="B60" s="65" t="s">
        <v>71</v>
      </c>
      <c r="C60" s="8">
        <v>0.35</v>
      </c>
      <c r="D60" s="8">
        <v>24</v>
      </c>
      <c r="E60" s="65" t="s">
        <v>395</v>
      </c>
      <c r="F60" s="2">
        <v>2600</v>
      </c>
      <c r="G60"/>
      <c r="I60" s="3" t="s">
        <v>560</v>
      </c>
      <c r="J60" s="3" t="s">
        <v>284</v>
      </c>
      <c r="K60" s="3" t="s">
        <v>266</v>
      </c>
      <c r="L60" s="3" t="s">
        <v>454</v>
      </c>
      <c r="M60" s="3" t="s">
        <v>146</v>
      </c>
    </row>
    <row r="61" spans="1:13" x14ac:dyDescent="0.5">
      <c r="A61" s="65" t="s">
        <v>400</v>
      </c>
      <c r="B61" s="65" t="s">
        <v>72</v>
      </c>
      <c r="C61" s="65">
        <v>0.35</v>
      </c>
      <c r="D61" s="8">
        <v>48</v>
      </c>
      <c r="E61" s="65" t="s">
        <v>395</v>
      </c>
      <c r="F61" s="48">
        <v>1200</v>
      </c>
      <c r="G61" s="66"/>
      <c r="I61" s="3" t="s">
        <v>561</v>
      </c>
      <c r="J61" s="3" t="s">
        <v>295</v>
      </c>
      <c r="K61" s="3" t="s">
        <v>294</v>
      </c>
      <c r="L61" s="3" t="s">
        <v>458</v>
      </c>
      <c r="M61" s="3" t="s">
        <v>146</v>
      </c>
    </row>
    <row r="62" spans="1:13" x14ac:dyDescent="0.5">
      <c r="A62" s="65" t="s">
        <v>456</v>
      </c>
      <c r="B62" s="65" t="s">
        <v>72</v>
      </c>
      <c r="C62" s="65">
        <v>0.35</v>
      </c>
      <c r="D62" s="8">
        <v>48</v>
      </c>
      <c r="E62" s="65" t="s">
        <v>395</v>
      </c>
      <c r="F62" s="48">
        <v>1450</v>
      </c>
      <c r="I62" s="3" t="s">
        <v>562</v>
      </c>
      <c r="J62" s="3" t="s">
        <v>287</v>
      </c>
      <c r="K62" s="3" t="s">
        <v>876</v>
      </c>
      <c r="L62" s="3" t="s">
        <v>465</v>
      </c>
      <c r="M62" s="3" t="s">
        <v>146</v>
      </c>
    </row>
    <row r="63" spans="1:13" x14ac:dyDescent="0.5">
      <c r="A63" s="65" t="s">
        <v>398</v>
      </c>
      <c r="B63" s="65" t="s">
        <v>12</v>
      </c>
      <c r="C63" s="65">
        <v>0.35</v>
      </c>
      <c r="D63" s="8">
        <v>24</v>
      </c>
      <c r="E63" s="8" t="s">
        <v>392</v>
      </c>
      <c r="F63" s="48">
        <v>1500</v>
      </c>
      <c r="I63" s="3" t="s">
        <v>361</v>
      </c>
      <c r="J63" s="3" t="s">
        <v>360</v>
      </c>
      <c r="K63" s="3" t="s">
        <v>359</v>
      </c>
      <c r="L63" s="3" t="s">
        <v>463</v>
      </c>
      <c r="M63" s="3" t="s">
        <v>146</v>
      </c>
    </row>
    <row r="64" spans="1:13" x14ac:dyDescent="0.5">
      <c r="A64" s="65" t="s">
        <v>530</v>
      </c>
      <c r="B64" s="65" t="s">
        <v>12</v>
      </c>
      <c r="C64" s="65">
        <v>0.35</v>
      </c>
      <c r="D64" s="8">
        <v>24</v>
      </c>
      <c r="E64" s="8" t="s">
        <v>392</v>
      </c>
      <c r="F64" s="48">
        <v>2100</v>
      </c>
      <c r="I64" s="3">
        <v>745</v>
      </c>
      <c r="J64" s="3">
        <v>745</v>
      </c>
      <c r="K64" s="3" t="s">
        <v>150</v>
      </c>
      <c r="L64" s="3" t="s">
        <v>465</v>
      </c>
      <c r="M64" s="3" t="s">
        <v>146</v>
      </c>
    </row>
    <row r="65" spans="1:13" x14ac:dyDescent="0.5">
      <c r="A65" s="8" t="s">
        <v>128</v>
      </c>
      <c r="B65" s="8" t="s">
        <v>397</v>
      </c>
      <c r="E65" s="8" t="s">
        <v>397</v>
      </c>
      <c r="I65" s="3" t="s">
        <v>563</v>
      </c>
      <c r="J65" s="3" t="s">
        <v>283</v>
      </c>
      <c r="K65" s="3" t="s">
        <v>150</v>
      </c>
      <c r="L65" s="3" t="s">
        <v>465</v>
      </c>
      <c r="M65" s="3" t="s">
        <v>146</v>
      </c>
    </row>
    <row r="66" spans="1:13" x14ac:dyDescent="0.5">
      <c r="A66" s="8" t="s">
        <v>129</v>
      </c>
      <c r="B66" s="8" t="s">
        <v>395</v>
      </c>
      <c r="E66" s="8" t="s">
        <v>395</v>
      </c>
      <c r="I66" s="3" t="s">
        <v>564</v>
      </c>
      <c r="J66" s="3" t="s">
        <v>407</v>
      </c>
      <c r="K66" s="3" t="s">
        <v>150</v>
      </c>
      <c r="L66" s="3" t="s">
        <v>465</v>
      </c>
      <c r="M66" s="3" t="s">
        <v>146</v>
      </c>
    </row>
    <row r="67" spans="1:13" x14ac:dyDescent="0.5">
      <c r="A67" s="8" t="s">
        <v>393</v>
      </c>
      <c r="B67" s="8" t="s">
        <v>392</v>
      </c>
      <c r="E67" s="8" t="s">
        <v>392</v>
      </c>
      <c r="I67" s="3" t="s">
        <v>565</v>
      </c>
      <c r="J67" s="3" t="s">
        <v>290</v>
      </c>
      <c r="K67" s="3" t="s">
        <v>278</v>
      </c>
      <c r="L67" s="3" t="s">
        <v>454</v>
      </c>
      <c r="M67" s="3" t="s">
        <v>146</v>
      </c>
    </row>
    <row r="68" spans="1:13" x14ac:dyDescent="0.5">
      <c r="A68" s="8" t="s">
        <v>390</v>
      </c>
      <c r="B68" s="8" t="s">
        <v>389</v>
      </c>
      <c r="E68" s="8" t="s">
        <v>389</v>
      </c>
      <c r="F68" s="48"/>
      <c r="I68" s="3" t="s">
        <v>566</v>
      </c>
      <c r="J68" s="3" t="s">
        <v>427</v>
      </c>
      <c r="K68" s="3" t="s">
        <v>877</v>
      </c>
      <c r="L68" s="3" t="s">
        <v>454</v>
      </c>
      <c r="M68" s="3" t="s">
        <v>146</v>
      </c>
    </row>
    <row r="69" spans="1:13" x14ac:dyDescent="0.5">
      <c r="A69" s="65" t="s">
        <v>508</v>
      </c>
      <c r="B69" s="65" t="s">
        <v>424</v>
      </c>
      <c r="C69" s="8">
        <v>1</v>
      </c>
      <c r="D69" s="8">
        <v>12</v>
      </c>
      <c r="E69" s="8" t="s">
        <v>397</v>
      </c>
      <c r="F69" s="2">
        <v>1500</v>
      </c>
      <c r="I69" s="3" t="s">
        <v>567</v>
      </c>
      <c r="J69" s="3" t="s">
        <v>208</v>
      </c>
      <c r="K69" s="3" t="s">
        <v>207</v>
      </c>
      <c r="L69" s="3" t="s">
        <v>464</v>
      </c>
      <c r="M69" s="3" t="s">
        <v>146</v>
      </c>
    </row>
    <row r="70" spans="1:13" x14ac:dyDescent="0.5">
      <c r="I70" s="3" t="s">
        <v>568</v>
      </c>
      <c r="J70" s="3" t="s">
        <v>206</v>
      </c>
      <c r="K70" s="3" t="s">
        <v>205</v>
      </c>
      <c r="L70" s="3" t="s">
        <v>464</v>
      </c>
      <c r="M70" s="3" t="s">
        <v>146</v>
      </c>
    </row>
    <row r="71" spans="1:13" x14ac:dyDescent="0.5">
      <c r="I71" s="3" t="s">
        <v>85</v>
      </c>
      <c r="J71" s="3" t="s">
        <v>429</v>
      </c>
      <c r="K71" s="3" t="s">
        <v>150</v>
      </c>
      <c r="L71" s="3" t="s">
        <v>465</v>
      </c>
      <c r="M71" s="3" t="s">
        <v>146</v>
      </c>
    </row>
    <row r="72" spans="1:13" x14ac:dyDescent="0.5">
      <c r="A72" s="65"/>
      <c r="B72" s="65"/>
      <c r="C72" s="65"/>
      <c r="F72" s="48"/>
      <c r="I72" s="3" t="s">
        <v>569</v>
      </c>
      <c r="J72" s="3" t="s">
        <v>433</v>
      </c>
      <c r="K72" s="3" t="s">
        <v>278</v>
      </c>
      <c r="L72" s="3" t="s">
        <v>454</v>
      </c>
      <c r="M72" s="3" t="s">
        <v>146</v>
      </c>
    </row>
    <row r="73" spans="1:13" x14ac:dyDescent="0.5">
      <c r="A73" s="65"/>
      <c r="B73" s="65"/>
      <c r="C73" s="65"/>
      <c r="F73" s="48"/>
      <c r="I73" s="3" t="s">
        <v>570</v>
      </c>
      <c r="J73" s="3" t="s">
        <v>181</v>
      </c>
      <c r="K73" s="3" t="s">
        <v>180</v>
      </c>
      <c r="L73" s="3" t="s">
        <v>476</v>
      </c>
      <c r="M73" s="3" t="s">
        <v>146</v>
      </c>
    </row>
    <row r="74" spans="1:13" x14ac:dyDescent="0.5">
      <c r="A74" s="65"/>
      <c r="B74" s="65"/>
      <c r="C74" s="65"/>
      <c r="F74" s="48"/>
      <c r="I74" s="3" t="s">
        <v>79</v>
      </c>
      <c r="J74" s="3" t="s">
        <v>79</v>
      </c>
      <c r="K74" s="3" t="s">
        <v>269</v>
      </c>
      <c r="L74" s="3" t="s">
        <v>454</v>
      </c>
      <c r="M74" s="3" t="s">
        <v>146</v>
      </c>
    </row>
    <row r="75" spans="1:13" x14ac:dyDescent="0.5">
      <c r="A75" s="65"/>
      <c r="B75" s="65"/>
      <c r="C75" s="65"/>
      <c r="F75" s="48"/>
      <c r="I75" s="3" t="s">
        <v>573</v>
      </c>
      <c r="J75" s="3" t="s">
        <v>189</v>
      </c>
      <c r="K75" s="3" t="s">
        <v>188</v>
      </c>
      <c r="L75" s="3" t="s">
        <v>460</v>
      </c>
      <c r="M75" s="3" t="s">
        <v>146</v>
      </c>
    </row>
    <row r="76" spans="1:13" x14ac:dyDescent="0.5">
      <c r="I76" s="3" t="s">
        <v>574</v>
      </c>
      <c r="J76" s="3" t="s">
        <v>482</v>
      </c>
      <c r="K76" s="3" t="s">
        <v>878</v>
      </c>
      <c r="L76" s="3" t="s">
        <v>454</v>
      </c>
      <c r="M76" s="3" t="s">
        <v>146</v>
      </c>
    </row>
    <row r="77" spans="1:13" x14ac:dyDescent="0.5">
      <c r="I77" s="3" t="s">
        <v>118</v>
      </c>
      <c r="J77" s="3" t="s">
        <v>169</v>
      </c>
      <c r="K77" s="3" t="s">
        <v>879</v>
      </c>
      <c r="L77" s="3" t="s">
        <v>537</v>
      </c>
      <c r="M77" s="3" t="s">
        <v>146</v>
      </c>
    </row>
    <row r="78" spans="1:13" x14ac:dyDescent="0.5">
      <c r="I78" s="3" t="s">
        <v>571</v>
      </c>
      <c r="J78" s="3" t="s">
        <v>412</v>
      </c>
      <c r="K78" s="3" t="s">
        <v>410</v>
      </c>
      <c r="L78" s="3" t="s">
        <v>476</v>
      </c>
      <c r="M78" s="3" t="s">
        <v>146</v>
      </c>
    </row>
    <row r="79" spans="1:13" x14ac:dyDescent="0.5">
      <c r="I79" s="3" t="s">
        <v>575</v>
      </c>
      <c r="J79" s="3" t="s">
        <v>286</v>
      </c>
      <c r="K79" s="3" t="s">
        <v>285</v>
      </c>
      <c r="L79" s="3" t="s">
        <v>454</v>
      </c>
      <c r="M79" s="3" t="s">
        <v>146</v>
      </c>
    </row>
    <row r="80" spans="1:13" x14ac:dyDescent="0.5">
      <c r="I80" s="3" t="s">
        <v>576</v>
      </c>
      <c r="J80" s="3" t="s">
        <v>332</v>
      </c>
      <c r="K80" s="3" t="s">
        <v>880</v>
      </c>
      <c r="L80" s="3" t="s">
        <v>459</v>
      </c>
      <c r="M80" s="3" t="s">
        <v>146</v>
      </c>
    </row>
    <row r="81" spans="7:13" x14ac:dyDescent="0.5">
      <c r="I81" s="3" t="s">
        <v>73</v>
      </c>
      <c r="J81" s="3" t="s">
        <v>73</v>
      </c>
      <c r="K81" s="3" t="s">
        <v>871</v>
      </c>
      <c r="L81" s="3" t="s">
        <v>459</v>
      </c>
      <c r="M81" s="3" t="s">
        <v>146</v>
      </c>
    </row>
    <row r="82" spans="7:13" x14ac:dyDescent="0.5">
      <c r="I82" s="3" t="s">
        <v>577</v>
      </c>
      <c r="J82" s="3" t="s">
        <v>250</v>
      </c>
      <c r="K82" s="3" t="s">
        <v>249</v>
      </c>
      <c r="L82" s="3" t="s">
        <v>454</v>
      </c>
      <c r="M82" s="3" t="s">
        <v>146</v>
      </c>
    </row>
    <row r="83" spans="7:13" x14ac:dyDescent="0.5">
      <c r="I83" s="3" t="s">
        <v>578</v>
      </c>
      <c r="J83" s="3" t="s">
        <v>265</v>
      </c>
      <c r="K83" s="3" t="s">
        <v>252</v>
      </c>
      <c r="L83" s="3" t="s">
        <v>454</v>
      </c>
      <c r="M83" s="3" t="s">
        <v>146</v>
      </c>
    </row>
    <row r="84" spans="7:13" x14ac:dyDescent="0.5">
      <c r="I84" s="3" t="s">
        <v>579</v>
      </c>
      <c r="J84" s="3" t="s">
        <v>268</v>
      </c>
      <c r="K84" s="3" t="s">
        <v>266</v>
      </c>
      <c r="L84" s="3" t="s">
        <v>454</v>
      </c>
      <c r="M84" s="3" t="s">
        <v>146</v>
      </c>
    </row>
    <row r="85" spans="7:13" x14ac:dyDescent="0.5">
      <c r="I85" s="3" t="s">
        <v>580</v>
      </c>
      <c r="J85" s="3" t="s">
        <v>204</v>
      </c>
      <c r="K85" s="3" t="s">
        <v>881</v>
      </c>
      <c r="L85" s="3" t="s">
        <v>464</v>
      </c>
      <c r="M85" s="3" t="s">
        <v>146</v>
      </c>
    </row>
    <row r="86" spans="7:13" x14ac:dyDescent="0.5">
      <c r="I86" s="3" t="s">
        <v>581</v>
      </c>
      <c r="J86" s="3" t="s">
        <v>277</v>
      </c>
      <c r="K86" s="3" t="s">
        <v>276</v>
      </c>
      <c r="L86" s="3" t="s">
        <v>459</v>
      </c>
      <c r="M86" s="3" t="s">
        <v>146</v>
      </c>
    </row>
    <row r="87" spans="7:13" x14ac:dyDescent="0.5">
      <c r="I87" s="3" t="s">
        <v>74</v>
      </c>
      <c r="J87" s="3" t="s">
        <v>74</v>
      </c>
      <c r="K87" s="3" t="s">
        <v>261</v>
      </c>
      <c r="L87" s="3" t="s">
        <v>454</v>
      </c>
      <c r="M87" s="3" t="s">
        <v>146</v>
      </c>
    </row>
    <row r="88" spans="7:13" x14ac:dyDescent="0.5">
      <c r="I88" s="3" t="s">
        <v>582</v>
      </c>
      <c r="J88" s="3" t="s">
        <v>273</v>
      </c>
      <c r="K88" s="3" t="s">
        <v>272</v>
      </c>
      <c r="L88" s="3" t="s">
        <v>454</v>
      </c>
      <c r="M88" s="3" t="s">
        <v>146</v>
      </c>
    </row>
    <row r="89" spans="7:13" x14ac:dyDescent="0.5">
      <c r="I89" s="3" t="s">
        <v>583</v>
      </c>
      <c r="J89" s="3" t="s">
        <v>257</v>
      </c>
      <c r="K89" s="3" t="s">
        <v>877</v>
      </c>
      <c r="L89" s="3" t="s">
        <v>454</v>
      </c>
      <c r="M89" s="3" t="s">
        <v>146</v>
      </c>
    </row>
    <row r="90" spans="7:13" x14ac:dyDescent="0.5">
      <c r="I90" s="3" t="s">
        <v>584</v>
      </c>
      <c r="J90" s="3" t="s">
        <v>331</v>
      </c>
      <c r="K90" s="3" t="s">
        <v>278</v>
      </c>
      <c r="L90" s="3" t="s">
        <v>454</v>
      </c>
      <c r="M90" s="3" t="s">
        <v>146</v>
      </c>
    </row>
    <row r="91" spans="7:13" x14ac:dyDescent="0.5">
      <c r="I91" s="3" t="s">
        <v>585</v>
      </c>
      <c r="J91" s="3" t="s">
        <v>220</v>
      </c>
      <c r="K91" s="3" t="s">
        <v>219</v>
      </c>
      <c r="L91" s="3" t="s">
        <v>464</v>
      </c>
      <c r="M91" s="3" t="s">
        <v>146</v>
      </c>
    </row>
    <row r="92" spans="7:13" x14ac:dyDescent="0.5">
      <c r="I92" s="3" t="s">
        <v>78</v>
      </c>
      <c r="J92" s="3" t="s">
        <v>78</v>
      </c>
      <c r="K92" s="3" t="s">
        <v>260</v>
      </c>
      <c r="L92" s="3" t="s">
        <v>454</v>
      </c>
      <c r="M92" s="3" t="s">
        <v>146</v>
      </c>
    </row>
    <row r="93" spans="7:13" x14ac:dyDescent="0.5">
      <c r="I93" s="3" t="s">
        <v>586</v>
      </c>
      <c r="J93" s="3" t="s">
        <v>304</v>
      </c>
      <c r="K93" s="3" t="s">
        <v>746</v>
      </c>
      <c r="L93" s="3" t="s">
        <v>454</v>
      </c>
      <c r="M93" s="3" t="s">
        <v>146</v>
      </c>
    </row>
    <row r="94" spans="7:13" x14ac:dyDescent="0.5">
      <c r="I94" s="3" t="s">
        <v>587</v>
      </c>
      <c r="J94" s="3" t="s">
        <v>262</v>
      </c>
      <c r="K94" s="3" t="s">
        <v>261</v>
      </c>
      <c r="L94" s="3" t="s">
        <v>454</v>
      </c>
      <c r="M94" s="3" t="s">
        <v>146</v>
      </c>
    </row>
    <row r="95" spans="7:13" x14ac:dyDescent="0.5">
      <c r="G95" s="48"/>
      <c r="I95" s="3" t="s">
        <v>588</v>
      </c>
      <c r="J95" s="3" t="s">
        <v>300</v>
      </c>
      <c r="K95" s="3" t="s">
        <v>247</v>
      </c>
      <c r="L95" s="3" t="s">
        <v>454</v>
      </c>
      <c r="M95" s="3" t="s">
        <v>146</v>
      </c>
    </row>
    <row r="96" spans="7:13" x14ac:dyDescent="0.5">
      <c r="G96" s="48"/>
      <c r="I96" s="3" t="s">
        <v>589</v>
      </c>
      <c r="J96" s="3" t="s">
        <v>301</v>
      </c>
      <c r="K96" s="3" t="s">
        <v>278</v>
      </c>
      <c r="L96" s="3" t="s">
        <v>454</v>
      </c>
      <c r="M96" s="3" t="s">
        <v>146</v>
      </c>
    </row>
    <row r="97" spans="7:15" x14ac:dyDescent="0.5">
      <c r="G97" s="48"/>
      <c r="I97" s="3" t="s">
        <v>267</v>
      </c>
      <c r="J97" s="3" t="s">
        <v>267</v>
      </c>
      <c r="K97" s="3" t="s">
        <v>266</v>
      </c>
      <c r="L97" s="3" t="s">
        <v>454</v>
      </c>
      <c r="M97" s="3" t="s">
        <v>146</v>
      </c>
    </row>
    <row r="98" spans="7:15" x14ac:dyDescent="0.5">
      <c r="G98" s="48"/>
      <c r="I98" s="3" t="s">
        <v>81</v>
      </c>
      <c r="J98" s="3" t="s">
        <v>81</v>
      </c>
      <c r="K98" s="3" t="s">
        <v>247</v>
      </c>
      <c r="L98" s="3" t="s">
        <v>454</v>
      </c>
      <c r="M98" s="3" t="s">
        <v>146</v>
      </c>
      <c r="O98" s="67"/>
    </row>
    <row r="99" spans="7:15" x14ac:dyDescent="0.5">
      <c r="G99" s="48"/>
      <c r="I99" s="3" t="s">
        <v>80</v>
      </c>
      <c r="J99" s="3" t="s">
        <v>80</v>
      </c>
      <c r="K99" s="3" t="s">
        <v>252</v>
      </c>
      <c r="L99" s="3" t="s">
        <v>454</v>
      </c>
      <c r="M99" s="3" t="s">
        <v>146</v>
      </c>
    </row>
    <row r="100" spans="7:15" x14ac:dyDescent="0.5">
      <c r="G100" s="48"/>
      <c r="I100" s="3" t="s">
        <v>590</v>
      </c>
      <c r="J100" s="3" t="s">
        <v>291</v>
      </c>
      <c r="K100" s="3" t="s">
        <v>150</v>
      </c>
      <c r="L100" s="3" t="s">
        <v>465</v>
      </c>
      <c r="M100" s="3" t="s">
        <v>146</v>
      </c>
    </row>
    <row r="101" spans="7:15" x14ac:dyDescent="0.5">
      <c r="G101" s="48"/>
      <c r="I101" s="3" t="s">
        <v>591</v>
      </c>
      <c r="J101" s="3" t="s">
        <v>409</v>
      </c>
      <c r="K101" s="3" t="s">
        <v>386</v>
      </c>
      <c r="L101" s="3" t="s">
        <v>459</v>
      </c>
      <c r="M101" s="3" t="s">
        <v>146</v>
      </c>
    </row>
    <row r="102" spans="7:15" x14ac:dyDescent="0.5">
      <c r="G102" s="48"/>
      <c r="I102" s="3" t="s">
        <v>592</v>
      </c>
      <c r="J102" s="3" t="s">
        <v>227</v>
      </c>
      <c r="K102" s="3" t="s">
        <v>226</v>
      </c>
      <c r="L102" s="3" t="s">
        <v>464</v>
      </c>
      <c r="M102" s="3" t="s">
        <v>146</v>
      </c>
    </row>
    <row r="103" spans="7:15" x14ac:dyDescent="0.5">
      <c r="G103" s="48"/>
      <c r="I103" s="3" t="s">
        <v>593</v>
      </c>
      <c r="J103" s="3" t="s">
        <v>422</v>
      </c>
      <c r="K103" s="3" t="s">
        <v>872</v>
      </c>
      <c r="L103" s="3" t="s">
        <v>462</v>
      </c>
      <c r="M103" s="3" t="s">
        <v>146</v>
      </c>
    </row>
    <row r="104" spans="7:15" x14ac:dyDescent="0.5">
      <c r="G104" s="48"/>
      <c r="I104" s="3" t="s">
        <v>594</v>
      </c>
      <c r="J104" s="3" t="s">
        <v>258</v>
      </c>
      <c r="K104" s="3" t="s">
        <v>252</v>
      </c>
      <c r="L104" s="3" t="s">
        <v>454</v>
      </c>
      <c r="M104" s="3" t="s">
        <v>146</v>
      </c>
    </row>
    <row r="105" spans="7:15" x14ac:dyDescent="0.5">
      <c r="G105" s="48"/>
      <c r="I105" s="3" t="s">
        <v>595</v>
      </c>
      <c r="J105" s="3" t="s">
        <v>354</v>
      </c>
      <c r="K105" s="3" t="s">
        <v>353</v>
      </c>
      <c r="L105" s="3" t="s">
        <v>461</v>
      </c>
      <c r="M105" s="3" t="s">
        <v>146</v>
      </c>
    </row>
    <row r="106" spans="7:15" x14ac:dyDescent="0.5">
      <c r="G106" s="48"/>
      <c r="I106" s="3" t="s">
        <v>596</v>
      </c>
      <c r="J106" s="3" t="s">
        <v>292</v>
      </c>
      <c r="K106" s="3" t="s">
        <v>150</v>
      </c>
      <c r="L106" s="3" t="s">
        <v>465</v>
      </c>
      <c r="M106" s="3" t="s">
        <v>146</v>
      </c>
    </row>
    <row r="107" spans="7:15" x14ac:dyDescent="0.5">
      <c r="G107" s="48"/>
      <c r="I107" s="3" t="s">
        <v>597</v>
      </c>
      <c r="J107" s="3" t="s">
        <v>217</v>
      </c>
      <c r="K107" s="3" t="s">
        <v>213</v>
      </c>
      <c r="L107" s="3" t="s">
        <v>464</v>
      </c>
      <c r="M107" s="3" t="s">
        <v>146</v>
      </c>
    </row>
    <row r="108" spans="7:15" x14ac:dyDescent="0.5">
      <c r="G108" s="48"/>
      <c r="I108" s="3" t="s">
        <v>598</v>
      </c>
      <c r="J108" s="3" t="s">
        <v>216</v>
      </c>
      <c r="K108" s="3" t="s">
        <v>882</v>
      </c>
      <c r="L108" s="3" t="s">
        <v>464</v>
      </c>
      <c r="M108" s="3" t="s">
        <v>146</v>
      </c>
    </row>
    <row r="109" spans="7:15" x14ac:dyDescent="0.5">
      <c r="I109" s="3" t="s">
        <v>599</v>
      </c>
      <c r="J109" s="3" t="s">
        <v>218</v>
      </c>
      <c r="K109" s="3" t="s">
        <v>883</v>
      </c>
      <c r="L109" s="3" t="s">
        <v>464</v>
      </c>
      <c r="M109" s="3" t="s">
        <v>146</v>
      </c>
    </row>
    <row r="110" spans="7:15" x14ac:dyDescent="0.5">
      <c r="I110" s="3" t="s">
        <v>600</v>
      </c>
      <c r="J110" s="3" t="s">
        <v>264</v>
      </c>
      <c r="K110" s="3" t="s">
        <v>263</v>
      </c>
      <c r="L110" s="3" t="s">
        <v>454</v>
      </c>
      <c r="M110" s="3" t="s">
        <v>146</v>
      </c>
    </row>
    <row r="111" spans="7:15" x14ac:dyDescent="0.5">
      <c r="I111" s="81">
        <v>155</v>
      </c>
      <c r="J111" s="3">
        <v>155</v>
      </c>
      <c r="K111" s="3" t="s">
        <v>260</v>
      </c>
      <c r="L111" s="3" t="s">
        <v>454</v>
      </c>
      <c r="M111" s="3" t="s">
        <v>146</v>
      </c>
    </row>
    <row r="112" spans="7:15" x14ac:dyDescent="0.5">
      <c r="I112" s="81">
        <v>1948</v>
      </c>
      <c r="J112" s="3">
        <v>1948</v>
      </c>
      <c r="K112" s="3" t="s">
        <v>269</v>
      </c>
      <c r="L112" s="3" t="s">
        <v>454</v>
      </c>
      <c r="M112" s="3" t="s">
        <v>146</v>
      </c>
    </row>
    <row r="113" spans="1:13" x14ac:dyDescent="0.5">
      <c r="I113" s="3" t="s">
        <v>601</v>
      </c>
      <c r="J113" s="3" t="s">
        <v>342</v>
      </c>
      <c r="K113" s="3" t="s">
        <v>341</v>
      </c>
      <c r="L113" s="3" t="s">
        <v>454</v>
      </c>
      <c r="M113" s="3" t="s">
        <v>146</v>
      </c>
    </row>
    <row r="114" spans="1:13" x14ac:dyDescent="0.5">
      <c r="G114" s="48"/>
      <c r="I114" s="3" t="s">
        <v>376</v>
      </c>
      <c r="J114" s="3" t="s">
        <v>376</v>
      </c>
      <c r="K114" s="3" t="s">
        <v>260</v>
      </c>
      <c r="L114" s="3" t="s">
        <v>454</v>
      </c>
      <c r="M114" s="3" t="s">
        <v>146</v>
      </c>
    </row>
    <row r="115" spans="1:13" x14ac:dyDescent="0.5">
      <c r="G115" s="48"/>
      <c r="I115" s="3" t="s">
        <v>322</v>
      </c>
      <c r="J115" s="3" t="s">
        <v>322</v>
      </c>
      <c r="K115" s="3" t="s">
        <v>278</v>
      </c>
      <c r="L115" s="3" t="s">
        <v>454</v>
      </c>
      <c r="M115" s="3" t="s">
        <v>146</v>
      </c>
    </row>
    <row r="116" spans="1:13" x14ac:dyDescent="0.5">
      <c r="G116" s="48"/>
      <c r="I116" s="3" t="s">
        <v>141</v>
      </c>
      <c r="J116" s="3" t="s">
        <v>141</v>
      </c>
      <c r="K116" s="3" t="s">
        <v>147</v>
      </c>
      <c r="L116" s="3" t="s">
        <v>454</v>
      </c>
      <c r="M116" s="3" t="s">
        <v>146</v>
      </c>
    </row>
    <row r="117" spans="1:13" x14ac:dyDescent="0.5">
      <c r="G117" s="48"/>
      <c r="I117" s="3" t="s">
        <v>142</v>
      </c>
      <c r="J117" s="3" t="s">
        <v>142</v>
      </c>
      <c r="K117" s="3" t="s">
        <v>148</v>
      </c>
      <c r="L117" s="3" t="s">
        <v>454</v>
      </c>
      <c r="M117" s="3" t="s">
        <v>146</v>
      </c>
    </row>
    <row r="118" spans="1:13" x14ac:dyDescent="0.5">
      <c r="G118" s="48"/>
      <c r="I118" s="3" t="s">
        <v>602</v>
      </c>
      <c r="J118" s="3" t="s">
        <v>406</v>
      </c>
      <c r="K118" s="3" t="s">
        <v>166</v>
      </c>
      <c r="L118" s="3" t="s">
        <v>458</v>
      </c>
      <c r="M118" s="3" t="s">
        <v>146</v>
      </c>
    </row>
    <row r="119" spans="1:13" x14ac:dyDescent="0.5">
      <c r="G119" s="48"/>
      <c r="I119" s="3" t="s">
        <v>603</v>
      </c>
      <c r="J119" s="3" t="s">
        <v>335</v>
      </c>
      <c r="K119" s="3" t="s">
        <v>334</v>
      </c>
      <c r="L119" s="3" t="s">
        <v>466</v>
      </c>
      <c r="M119" s="3" t="s">
        <v>146</v>
      </c>
    </row>
    <row r="120" spans="1:13" x14ac:dyDescent="0.5">
      <c r="G120" s="48"/>
      <c r="I120" s="3" t="s">
        <v>112</v>
      </c>
      <c r="J120" s="3" t="s">
        <v>280</v>
      </c>
      <c r="K120" s="3" t="s">
        <v>148</v>
      </c>
      <c r="L120" s="3" t="s">
        <v>454</v>
      </c>
      <c r="M120" s="3" t="s">
        <v>146</v>
      </c>
    </row>
    <row r="121" spans="1:13" x14ac:dyDescent="0.5">
      <c r="G121" s="48"/>
      <c r="I121" s="3" t="s">
        <v>604</v>
      </c>
      <c r="J121" s="3" t="s">
        <v>199</v>
      </c>
      <c r="K121" s="3" t="s">
        <v>197</v>
      </c>
      <c r="L121" s="3" t="s">
        <v>458</v>
      </c>
      <c r="M121" s="3" t="s">
        <v>146</v>
      </c>
    </row>
    <row r="122" spans="1:13" x14ac:dyDescent="0.5">
      <c r="G122" s="48"/>
      <c r="I122" s="3" t="s">
        <v>605</v>
      </c>
      <c r="J122" s="3" t="s">
        <v>438</v>
      </c>
      <c r="K122" s="3" t="s">
        <v>252</v>
      </c>
      <c r="L122" s="3" t="s">
        <v>454</v>
      </c>
      <c r="M122" s="3" t="s">
        <v>146</v>
      </c>
    </row>
    <row r="123" spans="1:13" x14ac:dyDescent="0.5">
      <c r="A123" s="65"/>
      <c r="B123" s="65"/>
      <c r="C123" s="65"/>
      <c r="F123" s="48"/>
      <c r="G123" s="48"/>
      <c r="I123" s="3" t="s">
        <v>314</v>
      </c>
      <c r="J123" s="3" t="s">
        <v>313</v>
      </c>
      <c r="K123" s="3" t="s">
        <v>260</v>
      </c>
      <c r="L123" s="3" t="s">
        <v>454</v>
      </c>
      <c r="M123" s="3" t="s">
        <v>146</v>
      </c>
    </row>
    <row r="124" spans="1:13" x14ac:dyDescent="0.5">
      <c r="A124" s="65"/>
      <c r="B124" s="65"/>
      <c r="C124" s="65"/>
      <c r="F124" s="48"/>
      <c r="G124" s="48"/>
      <c r="I124" s="3" t="s">
        <v>606</v>
      </c>
      <c r="J124" s="3" t="s">
        <v>355</v>
      </c>
      <c r="K124" s="3" t="s">
        <v>884</v>
      </c>
      <c r="L124" s="3" t="s">
        <v>461</v>
      </c>
      <c r="M124" s="3" t="s">
        <v>146</v>
      </c>
    </row>
    <row r="125" spans="1:13" x14ac:dyDescent="0.5">
      <c r="A125" s="65"/>
      <c r="B125" s="65"/>
      <c r="C125" s="65"/>
      <c r="F125" s="48"/>
      <c r="G125" s="48"/>
      <c r="I125" s="3" t="s">
        <v>500</v>
      </c>
      <c r="J125" s="3" t="s">
        <v>501</v>
      </c>
      <c r="K125" s="3" t="s">
        <v>150</v>
      </c>
      <c r="L125" s="3" t="s">
        <v>465</v>
      </c>
      <c r="M125" s="3" t="s">
        <v>146</v>
      </c>
    </row>
    <row r="126" spans="1:13" x14ac:dyDescent="0.5">
      <c r="A126" s="65"/>
      <c r="B126" s="65"/>
      <c r="C126" s="65"/>
      <c r="F126" s="48"/>
      <c r="G126" s="48"/>
      <c r="I126" s="3" t="s">
        <v>607</v>
      </c>
      <c r="J126" s="3" t="s">
        <v>245</v>
      </c>
      <c r="K126" s="3" t="s">
        <v>234</v>
      </c>
      <c r="L126" s="3" t="s">
        <v>466</v>
      </c>
      <c r="M126" s="3" t="s">
        <v>146</v>
      </c>
    </row>
    <row r="127" spans="1:13" x14ac:dyDescent="0.5">
      <c r="A127" s="65"/>
      <c r="B127" s="65"/>
      <c r="C127" s="65"/>
      <c r="F127" s="48"/>
      <c r="G127" s="48"/>
      <c r="I127" s="3" t="s">
        <v>132</v>
      </c>
      <c r="J127" s="3" t="s">
        <v>155</v>
      </c>
      <c r="K127" s="3" t="s">
        <v>885</v>
      </c>
      <c r="L127" s="3" t="s">
        <v>458</v>
      </c>
      <c r="M127" s="3" t="s">
        <v>146</v>
      </c>
    </row>
    <row r="128" spans="1:13" x14ac:dyDescent="0.5">
      <c r="A128" s="65"/>
      <c r="B128" s="65"/>
      <c r="C128" s="65"/>
      <c r="F128" s="48"/>
      <c r="G128" s="48"/>
      <c r="I128" s="3" t="s">
        <v>608</v>
      </c>
      <c r="J128" s="3" t="s">
        <v>315</v>
      </c>
      <c r="K128" s="3" t="s">
        <v>150</v>
      </c>
      <c r="L128" s="3" t="s">
        <v>465</v>
      </c>
      <c r="M128" s="3" t="s">
        <v>146</v>
      </c>
    </row>
    <row r="129" spans="1:13" x14ac:dyDescent="0.5">
      <c r="A129" s="65"/>
      <c r="B129" s="65"/>
      <c r="C129" s="65"/>
      <c r="F129" s="48"/>
      <c r="I129" s="3" t="s">
        <v>96</v>
      </c>
      <c r="J129" s="3" t="s">
        <v>377</v>
      </c>
      <c r="K129" s="3" t="s">
        <v>154</v>
      </c>
      <c r="L129" s="3" t="s">
        <v>458</v>
      </c>
      <c r="M129" s="3" t="s">
        <v>146</v>
      </c>
    </row>
    <row r="130" spans="1:13" x14ac:dyDescent="0.5">
      <c r="A130" s="65"/>
      <c r="B130" s="65"/>
      <c r="C130" s="65"/>
      <c r="F130" s="48"/>
      <c r="I130" s="3" t="s">
        <v>491</v>
      </c>
      <c r="J130" s="3" t="s">
        <v>492</v>
      </c>
      <c r="K130" s="3" t="s">
        <v>150</v>
      </c>
      <c r="L130" s="3" t="s">
        <v>465</v>
      </c>
      <c r="M130" s="3" t="s">
        <v>146</v>
      </c>
    </row>
    <row r="131" spans="1:13" x14ac:dyDescent="0.5">
      <c r="A131" s="65"/>
      <c r="B131" s="65"/>
      <c r="C131" s="65"/>
      <c r="F131" s="48"/>
      <c r="I131" s="3" t="s">
        <v>609</v>
      </c>
      <c r="J131" s="3" t="s">
        <v>201</v>
      </c>
      <c r="K131" s="3" t="s">
        <v>200</v>
      </c>
      <c r="L131" s="3" t="s">
        <v>458</v>
      </c>
      <c r="M131" s="3" t="s">
        <v>146</v>
      </c>
    </row>
    <row r="132" spans="1:13" x14ac:dyDescent="0.5">
      <c r="A132" s="65"/>
      <c r="B132" s="65"/>
      <c r="C132" s="65"/>
      <c r="F132" s="48"/>
      <c r="I132" s="3" t="s">
        <v>610</v>
      </c>
      <c r="J132" s="3" t="s">
        <v>344</v>
      </c>
      <c r="K132" s="3" t="s">
        <v>164</v>
      </c>
      <c r="L132" s="3" t="s">
        <v>458</v>
      </c>
      <c r="M132" s="3" t="s">
        <v>146</v>
      </c>
    </row>
    <row r="133" spans="1:13" x14ac:dyDescent="0.5">
      <c r="A133" s="65"/>
      <c r="B133" s="65"/>
      <c r="C133" s="65"/>
      <c r="F133" s="48"/>
      <c r="I133" s="3" t="s">
        <v>215</v>
      </c>
      <c r="J133" s="3" t="s">
        <v>214</v>
      </c>
      <c r="K133" s="3" t="s">
        <v>213</v>
      </c>
      <c r="L133" s="3" t="s">
        <v>464</v>
      </c>
      <c r="M133" s="3" t="s">
        <v>146</v>
      </c>
    </row>
    <row r="134" spans="1:13" x14ac:dyDescent="0.5">
      <c r="A134" s="65"/>
      <c r="B134" s="65"/>
      <c r="C134" s="65"/>
      <c r="F134" s="48"/>
      <c r="I134" s="3" t="s">
        <v>611</v>
      </c>
      <c r="J134" s="3" t="s">
        <v>373</v>
      </c>
      <c r="K134" s="3" t="s">
        <v>886</v>
      </c>
      <c r="L134" s="3" t="s">
        <v>461</v>
      </c>
      <c r="M134" s="3" t="s">
        <v>146</v>
      </c>
    </row>
    <row r="135" spans="1:13" x14ac:dyDescent="0.5">
      <c r="A135" s="65"/>
      <c r="B135" s="65"/>
      <c r="C135" s="65"/>
      <c r="F135" s="48"/>
      <c r="G135" s="48"/>
      <c r="I135" s="3" t="s">
        <v>103</v>
      </c>
      <c r="J135" s="3" t="s">
        <v>348</v>
      </c>
      <c r="K135" s="3" t="s">
        <v>887</v>
      </c>
      <c r="L135" s="3" t="s">
        <v>476</v>
      </c>
      <c r="M135" s="3" t="s">
        <v>146</v>
      </c>
    </row>
    <row r="136" spans="1:13" x14ac:dyDescent="0.5">
      <c r="A136" s="65"/>
      <c r="B136" s="65"/>
      <c r="C136" s="65"/>
      <c r="F136" s="48"/>
      <c r="G136" s="48"/>
      <c r="I136" s="3" t="s">
        <v>113</v>
      </c>
      <c r="J136" s="3" t="s">
        <v>251</v>
      </c>
      <c r="K136" s="3" t="s">
        <v>746</v>
      </c>
      <c r="L136" s="3" t="s">
        <v>454</v>
      </c>
      <c r="M136" s="3" t="s">
        <v>146</v>
      </c>
    </row>
    <row r="137" spans="1:13" x14ac:dyDescent="0.5">
      <c r="G137" s="48"/>
      <c r="I137" s="3" t="s">
        <v>114</v>
      </c>
      <c r="J137" s="3" t="s">
        <v>246</v>
      </c>
      <c r="K137" s="3" t="s">
        <v>888</v>
      </c>
      <c r="L137" s="3" t="s">
        <v>466</v>
      </c>
      <c r="M137" s="3" t="s">
        <v>146</v>
      </c>
    </row>
    <row r="138" spans="1:13" x14ac:dyDescent="0.5">
      <c r="G138" s="48"/>
      <c r="I138" s="3" t="s">
        <v>535</v>
      </c>
      <c r="J138" s="3" t="s">
        <v>531</v>
      </c>
      <c r="K138" s="3" t="s">
        <v>238</v>
      </c>
      <c r="L138" s="3" t="s">
        <v>457</v>
      </c>
      <c r="M138" s="3" t="s">
        <v>146</v>
      </c>
    </row>
    <row r="139" spans="1:13" x14ac:dyDescent="0.5">
      <c r="G139" s="48"/>
      <c r="I139" s="3" t="s">
        <v>612</v>
      </c>
      <c r="J139" s="3" t="s">
        <v>303</v>
      </c>
      <c r="K139" s="3" t="s">
        <v>278</v>
      </c>
      <c r="L139" s="3" t="s">
        <v>454</v>
      </c>
      <c r="M139" s="3" t="s">
        <v>146</v>
      </c>
    </row>
    <row r="140" spans="1:13" x14ac:dyDescent="0.5">
      <c r="G140" s="48"/>
      <c r="I140" s="3" t="s">
        <v>480</v>
      </c>
      <c r="J140" s="3" t="s">
        <v>481</v>
      </c>
      <c r="K140" s="3" t="s">
        <v>889</v>
      </c>
      <c r="L140" s="3" t="s">
        <v>454</v>
      </c>
      <c r="M140" s="3" t="s">
        <v>146</v>
      </c>
    </row>
    <row r="141" spans="1:13" x14ac:dyDescent="0.5">
      <c r="G141" s="48"/>
      <c r="I141" s="3" t="s">
        <v>613</v>
      </c>
      <c r="J141" s="3" t="s">
        <v>387</v>
      </c>
      <c r="K141" s="3" t="s">
        <v>386</v>
      </c>
      <c r="L141" s="3" t="s">
        <v>459</v>
      </c>
      <c r="M141" s="3" t="s">
        <v>146</v>
      </c>
    </row>
    <row r="142" spans="1:13" x14ac:dyDescent="0.5">
      <c r="A142" s="65"/>
      <c r="B142" s="65"/>
      <c r="C142" s="65"/>
      <c r="F142" s="48"/>
      <c r="G142" s="48"/>
      <c r="I142" s="3" t="s">
        <v>145</v>
      </c>
      <c r="J142" s="3" t="s">
        <v>452</v>
      </c>
      <c r="K142" s="3" t="s">
        <v>238</v>
      </c>
      <c r="L142" s="3" t="s">
        <v>467</v>
      </c>
      <c r="M142" s="3" t="s">
        <v>146</v>
      </c>
    </row>
    <row r="143" spans="1:13" x14ac:dyDescent="0.5">
      <c r="A143" s="65"/>
      <c r="B143" s="65"/>
      <c r="C143" s="65"/>
      <c r="F143" s="48"/>
      <c r="G143" s="48"/>
      <c r="I143" s="3" t="s">
        <v>614</v>
      </c>
      <c r="J143" s="3" t="s">
        <v>379</v>
      </c>
      <c r="K143" s="3" t="s">
        <v>378</v>
      </c>
      <c r="L143" s="3" t="s">
        <v>459</v>
      </c>
      <c r="M143" s="3" t="s">
        <v>146</v>
      </c>
    </row>
    <row r="144" spans="1:13" x14ac:dyDescent="0.5">
      <c r="A144" s="65"/>
      <c r="B144" s="65"/>
      <c r="C144" s="65"/>
      <c r="F144" s="48"/>
      <c r="G144" s="48"/>
      <c r="I144" s="3" t="s">
        <v>271</v>
      </c>
      <c r="J144" s="3" t="s">
        <v>270</v>
      </c>
      <c r="K144" s="3" t="s">
        <v>261</v>
      </c>
      <c r="L144" s="3" t="s">
        <v>454</v>
      </c>
      <c r="M144" s="3" t="s">
        <v>146</v>
      </c>
    </row>
    <row r="145" spans="1:13" x14ac:dyDescent="0.5">
      <c r="A145" s="65"/>
      <c r="B145" s="65"/>
      <c r="C145" s="65"/>
      <c r="F145" s="48"/>
      <c r="G145" s="48"/>
      <c r="I145" s="3" t="s">
        <v>615</v>
      </c>
      <c r="J145" s="3" t="s">
        <v>299</v>
      </c>
      <c r="K145" s="3" t="s">
        <v>148</v>
      </c>
      <c r="L145" s="3" t="s">
        <v>454</v>
      </c>
      <c r="M145" s="3" t="s">
        <v>146</v>
      </c>
    </row>
    <row r="146" spans="1:13" x14ac:dyDescent="0.5">
      <c r="A146" s="65"/>
      <c r="B146" s="65"/>
      <c r="C146" s="65"/>
      <c r="F146" s="48"/>
      <c r="G146" s="48"/>
      <c r="I146" s="3" t="s">
        <v>616</v>
      </c>
      <c r="J146" s="3" t="s">
        <v>195</v>
      </c>
      <c r="K146" s="3" t="s">
        <v>890</v>
      </c>
      <c r="L146" s="3" t="s">
        <v>460</v>
      </c>
      <c r="M146" s="3" t="s">
        <v>146</v>
      </c>
    </row>
    <row r="147" spans="1:13" x14ac:dyDescent="0.5">
      <c r="A147" s="65"/>
      <c r="B147" s="65"/>
      <c r="C147" s="65"/>
      <c r="F147" s="48"/>
      <c r="G147" s="48"/>
      <c r="I147" s="3" t="s">
        <v>487</v>
      </c>
      <c r="J147" s="3" t="s">
        <v>488</v>
      </c>
      <c r="K147" s="3" t="s">
        <v>489</v>
      </c>
      <c r="L147" s="3" t="s">
        <v>454</v>
      </c>
      <c r="M147" s="3" t="s">
        <v>146</v>
      </c>
    </row>
    <row r="148" spans="1:13" x14ac:dyDescent="0.5">
      <c r="A148" s="65"/>
      <c r="B148" s="65"/>
      <c r="C148" s="65"/>
      <c r="F148" s="48"/>
      <c r="G148" s="48"/>
      <c r="I148" s="3" t="s">
        <v>33</v>
      </c>
      <c r="J148" s="3" t="s">
        <v>339</v>
      </c>
      <c r="K148" s="3" t="s">
        <v>891</v>
      </c>
      <c r="L148" s="3" t="s">
        <v>463</v>
      </c>
      <c r="M148" s="3" t="s">
        <v>146</v>
      </c>
    </row>
    <row r="149" spans="1:13" x14ac:dyDescent="0.5">
      <c r="A149" s="65"/>
      <c r="B149" s="65"/>
      <c r="C149" s="65"/>
      <c r="F149" s="48"/>
      <c r="G149" s="48"/>
      <c r="I149" s="3" t="s">
        <v>617</v>
      </c>
      <c r="J149" s="3" t="s">
        <v>274</v>
      </c>
      <c r="K149" s="3" t="s">
        <v>200</v>
      </c>
      <c r="L149" s="3" t="s">
        <v>458</v>
      </c>
      <c r="M149" s="3" t="s">
        <v>146</v>
      </c>
    </row>
    <row r="150" spans="1:13" x14ac:dyDescent="0.5">
      <c r="A150" s="65"/>
      <c r="B150" s="65"/>
      <c r="C150" s="65"/>
      <c r="F150" s="48"/>
      <c r="G150" s="48"/>
      <c r="I150" s="3" t="s">
        <v>618</v>
      </c>
      <c r="J150" s="3" t="s">
        <v>222</v>
      </c>
      <c r="K150" s="3" t="s">
        <v>894</v>
      </c>
      <c r="L150" s="3" t="s">
        <v>464</v>
      </c>
      <c r="M150" s="3" t="s">
        <v>146</v>
      </c>
    </row>
    <row r="151" spans="1:13" x14ac:dyDescent="0.5">
      <c r="A151" s="65"/>
      <c r="B151" s="65"/>
      <c r="C151" s="65"/>
      <c r="F151" s="48"/>
      <c r="I151" s="3" t="s">
        <v>472</v>
      </c>
      <c r="J151" s="3" t="s">
        <v>473</v>
      </c>
      <c r="K151" s="3" t="s">
        <v>260</v>
      </c>
      <c r="L151" s="3" t="s">
        <v>454</v>
      </c>
      <c r="M151" s="3" t="s">
        <v>146</v>
      </c>
    </row>
    <row r="152" spans="1:13" x14ac:dyDescent="0.5">
      <c r="A152" s="65"/>
      <c r="B152" s="65"/>
      <c r="C152" s="65"/>
      <c r="F152" s="48"/>
      <c r="I152" s="3" t="s">
        <v>321</v>
      </c>
      <c r="J152" s="3" t="s">
        <v>320</v>
      </c>
      <c r="K152" s="3" t="s">
        <v>150</v>
      </c>
      <c r="L152" s="3" t="s">
        <v>465</v>
      </c>
      <c r="M152" s="3" t="s">
        <v>146</v>
      </c>
    </row>
    <row r="153" spans="1:13" x14ac:dyDescent="0.5">
      <c r="A153" s="65"/>
      <c r="B153" s="65"/>
      <c r="C153" s="65"/>
      <c r="F153" s="48"/>
      <c r="I153" s="3" t="s">
        <v>619</v>
      </c>
      <c r="J153" s="3" t="s">
        <v>311</v>
      </c>
      <c r="K153" s="3" t="s">
        <v>892</v>
      </c>
      <c r="L153" s="3" t="s">
        <v>454</v>
      </c>
      <c r="M153" s="3" t="s">
        <v>146</v>
      </c>
    </row>
    <row r="154" spans="1:13" x14ac:dyDescent="0.5">
      <c r="A154" s="65"/>
      <c r="B154" s="65"/>
      <c r="C154" s="65"/>
      <c r="F154" s="48"/>
      <c r="I154" s="3" t="s">
        <v>620</v>
      </c>
      <c r="J154" s="3" t="s">
        <v>221</v>
      </c>
      <c r="K154" s="3" t="s">
        <v>893</v>
      </c>
      <c r="L154" s="3" t="s">
        <v>464</v>
      </c>
      <c r="M154" s="3" t="s">
        <v>146</v>
      </c>
    </row>
    <row r="155" spans="1:13" x14ac:dyDescent="0.5">
      <c r="A155" s="65"/>
      <c r="B155" s="65"/>
      <c r="C155" s="65"/>
      <c r="F155" s="48"/>
      <c r="I155" s="3" t="s">
        <v>621</v>
      </c>
      <c r="J155" s="3" t="s">
        <v>179</v>
      </c>
      <c r="K155" s="3" t="s">
        <v>178</v>
      </c>
      <c r="L155" s="3" t="s">
        <v>475</v>
      </c>
      <c r="M155" s="3" t="s">
        <v>146</v>
      </c>
    </row>
    <row r="156" spans="1:13" x14ac:dyDescent="0.5">
      <c r="A156" s="65"/>
      <c r="B156" s="65"/>
      <c r="C156" s="65"/>
      <c r="F156" s="48"/>
      <c r="I156" s="3" t="s">
        <v>485</v>
      </c>
      <c r="J156" s="3" t="s">
        <v>486</v>
      </c>
      <c r="K156" s="3" t="s">
        <v>260</v>
      </c>
      <c r="L156" s="3" t="s">
        <v>454</v>
      </c>
      <c r="M156" s="3" t="s">
        <v>146</v>
      </c>
    </row>
    <row r="157" spans="1:13" x14ac:dyDescent="0.5">
      <c r="I157" s="3" t="s">
        <v>622</v>
      </c>
      <c r="J157" s="3" t="s">
        <v>307</v>
      </c>
      <c r="K157" s="3" t="s">
        <v>895</v>
      </c>
      <c r="L157" s="3" t="s">
        <v>458</v>
      </c>
      <c r="M157" s="3" t="s">
        <v>146</v>
      </c>
    </row>
    <row r="158" spans="1:13" x14ac:dyDescent="0.5">
      <c r="G158" s="48"/>
      <c r="I158" s="3" t="s">
        <v>623</v>
      </c>
      <c r="J158" s="3" t="s">
        <v>248</v>
      </c>
      <c r="K158" s="3" t="s">
        <v>197</v>
      </c>
      <c r="L158" s="3" t="s">
        <v>458</v>
      </c>
      <c r="M158" s="3" t="s">
        <v>146</v>
      </c>
    </row>
    <row r="159" spans="1:13" x14ac:dyDescent="0.5">
      <c r="G159" s="48"/>
      <c r="I159" s="3" t="s">
        <v>318</v>
      </c>
      <c r="J159" s="3" t="s">
        <v>317</v>
      </c>
      <c r="K159" s="3" t="s">
        <v>316</v>
      </c>
      <c r="L159" s="3" t="s">
        <v>454</v>
      </c>
      <c r="M159" s="3" t="s">
        <v>146</v>
      </c>
    </row>
    <row r="160" spans="1:13" x14ac:dyDescent="0.5">
      <c r="G160" s="48"/>
      <c r="I160" s="3" t="s">
        <v>624</v>
      </c>
      <c r="J160" s="3" t="s">
        <v>349</v>
      </c>
      <c r="K160" s="3" t="s">
        <v>223</v>
      </c>
      <c r="L160" s="3" t="s">
        <v>464</v>
      </c>
      <c r="M160" s="3" t="s">
        <v>146</v>
      </c>
    </row>
    <row r="161" spans="1:13" x14ac:dyDescent="0.5">
      <c r="G161" s="48"/>
      <c r="I161" s="3" t="s">
        <v>625</v>
      </c>
      <c r="J161" s="3" t="s">
        <v>436</v>
      </c>
      <c r="K161" s="3" t="s">
        <v>164</v>
      </c>
      <c r="L161" s="3" t="s">
        <v>454</v>
      </c>
      <c r="M161" s="3" t="s">
        <v>146</v>
      </c>
    </row>
    <row r="162" spans="1:13" x14ac:dyDescent="0.5">
      <c r="G162" s="48"/>
      <c r="I162" s="3" t="s">
        <v>626</v>
      </c>
      <c r="J162" s="3" t="s">
        <v>368</v>
      </c>
      <c r="K162" s="3" t="s">
        <v>252</v>
      </c>
      <c r="L162" s="3" t="s">
        <v>458</v>
      </c>
      <c r="M162" s="3" t="s">
        <v>146</v>
      </c>
    </row>
    <row r="163" spans="1:13" x14ac:dyDescent="0.5">
      <c r="A163" s="65"/>
      <c r="B163" s="65"/>
      <c r="C163" s="65"/>
      <c r="F163" s="48"/>
      <c r="I163" s="3" t="s">
        <v>627</v>
      </c>
      <c r="J163" s="3" t="s">
        <v>193</v>
      </c>
      <c r="K163" s="3" t="s">
        <v>192</v>
      </c>
      <c r="L163" s="3" t="s">
        <v>460</v>
      </c>
      <c r="M163" s="3" t="s">
        <v>146</v>
      </c>
    </row>
    <row r="164" spans="1:13" x14ac:dyDescent="0.5">
      <c r="A164" s="65"/>
      <c r="B164" s="65"/>
      <c r="C164" s="65"/>
      <c r="F164" s="48"/>
      <c r="I164" s="3" t="s">
        <v>628</v>
      </c>
      <c r="J164" s="3" t="s">
        <v>352</v>
      </c>
      <c r="K164" s="3" t="s">
        <v>197</v>
      </c>
      <c r="L164" s="3" t="s">
        <v>458</v>
      </c>
      <c r="M164" s="3" t="s">
        <v>146</v>
      </c>
    </row>
    <row r="165" spans="1:13" x14ac:dyDescent="0.5">
      <c r="A165" s="65"/>
      <c r="B165" s="65"/>
      <c r="C165" s="65"/>
      <c r="F165" s="48"/>
      <c r="I165" s="3" t="s">
        <v>629</v>
      </c>
      <c r="J165" s="3" t="s">
        <v>381</v>
      </c>
      <c r="K165" s="3" t="s">
        <v>166</v>
      </c>
      <c r="L165" s="3" t="s">
        <v>458</v>
      </c>
      <c r="M165" s="3" t="s">
        <v>146</v>
      </c>
    </row>
    <row r="166" spans="1:13" x14ac:dyDescent="0.5">
      <c r="A166" s="65"/>
      <c r="B166" s="65"/>
      <c r="C166" s="65"/>
      <c r="F166" s="48"/>
      <c r="I166" s="3" t="s">
        <v>630</v>
      </c>
      <c r="J166" s="3" t="s">
        <v>385</v>
      </c>
      <c r="K166" s="3" t="s">
        <v>197</v>
      </c>
      <c r="L166" s="3" t="s">
        <v>458</v>
      </c>
      <c r="M166" s="3" t="s">
        <v>146</v>
      </c>
    </row>
    <row r="167" spans="1:13" x14ac:dyDescent="0.5">
      <c r="A167" s="65"/>
      <c r="B167" s="65"/>
      <c r="C167" s="65"/>
      <c r="F167" s="48"/>
      <c r="G167" s="48"/>
      <c r="I167" s="3" t="s">
        <v>631</v>
      </c>
      <c r="J167" s="3" t="s">
        <v>167</v>
      </c>
      <c r="K167" s="3" t="s">
        <v>166</v>
      </c>
      <c r="L167" s="3" t="s">
        <v>458</v>
      </c>
      <c r="M167" s="3" t="s">
        <v>146</v>
      </c>
    </row>
    <row r="168" spans="1:13" x14ac:dyDescent="0.5">
      <c r="A168" s="65"/>
      <c r="B168" s="65"/>
      <c r="C168" s="65"/>
      <c r="F168" s="48"/>
      <c r="G168" s="48"/>
      <c r="I168" s="3" t="s">
        <v>632</v>
      </c>
      <c r="J168" s="3" t="s">
        <v>198</v>
      </c>
      <c r="K168" s="3" t="s">
        <v>197</v>
      </c>
      <c r="L168" s="3" t="s">
        <v>458</v>
      </c>
      <c r="M168" s="3" t="s">
        <v>146</v>
      </c>
    </row>
    <row r="169" spans="1:13" x14ac:dyDescent="0.5">
      <c r="A169" s="65"/>
      <c r="B169" s="65"/>
      <c r="C169" s="65"/>
      <c r="F169" s="48"/>
      <c r="G169" s="48"/>
      <c r="I169" s="3" t="s">
        <v>633</v>
      </c>
      <c r="J169" s="3" t="s">
        <v>163</v>
      </c>
      <c r="K169" s="3" t="s">
        <v>154</v>
      </c>
      <c r="L169" s="3" t="s">
        <v>458</v>
      </c>
      <c r="M169" s="3" t="s">
        <v>146</v>
      </c>
    </row>
    <row r="170" spans="1:13" x14ac:dyDescent="0.5">
      <c r="A170" s="65"/>
      <c r="B170" s="65"/>
      <c r="C170" s="65"/>
      <c r="F170" s="48"/>
      <c r="G170" s="48"/>
      <c r="I170" s="3" t="s">
        <v>105</v>
      </c>
      <c r="J170" s="3" t="s">
        <v>336</v>
      </c>
      <c r="K170" s="3" t="s">
        <v>896</v>
      </c>
      <c r="L170" s="3" t="s">
        <v>463</v>
      </c>
      <c r="M170" s="3" t="s">
        <v>146</v>
      </c>
    </row>
    <row r="171" spans="1:13" x14ac:dyDescent="0.5">
      <c r="A171" s="65"/>
      <c r="B171" s="65"/>
      <c r="C171" s="65"/>
      <c r="F171" s="48"/>
      <c r="I171" s="3" t="s">
        <v>634</v>
      </c>
      <c r="J171" s="3" t="s">
        <v>343</v>
      </c>
      <c r="K171" s="3" t="s">
        <v>897</v>
      </c>
      <c r="L171" s="3" t="s">
        <v>458</v>
      </c>
      <c r="M171" s="3" t="s">
        <v>146</v>
      </c>
    </row>
    <row r="172" spans="1:13" x14ac:dyDescent="0.5">
      <c r="A172" s="65"/>
      <c r="B172" s="65"/>
      <c r="C172" s="65"/>
      <c r="F172" s="48"/>
      <c r="I172" s="3" t="s">
        <v>635</v>
      </c>
      <c r="J172" s="3" t="s">
        <v>362</v>
      </c>
      <c r="K172" s="3" t="s">
        <v>898</v>
      </c>
      <c r="L172" s="3" t="s">
        <v>475</v>
      </c>
      <c r="M172" s="3" t="s">
        <v>146</v>
      </c>
    </row>
    <row r="173" spans="1:13" x14ac:dyDescent="0.5">
      <c r="A173" s="65"/>
      <c r="B173" s="65"/>
      <c r="C173" s="65"/>
      <c r="F173" s="48"/>
      <c r="I173" s="3" t="s">
        <v>636</v>
      </c>
      <c r="J173" s="3" t="s">
        <v>369</v>
      </c>
      <c r="K173" s="3" t="s">
        <v>899</v>
      </c>
      <c r="L173" s="3" t="s">
        <v>461</v>
      </c>
      <c r="M173" s="3" t="s">
        <v>146</v>
      </c>
    </row>
    <row r="174" spans="1:13" x14ac:dyDescent="0.5">
      <c r="A174" s="65"/>
      <c r="B174" s="65"/>
      <c r="C174" s="65"/>
      <c r="F174" s="48"/>
      <c r="I174" s="3" t="s">
        <v>637</v>
      </c>
      <c r="J174" s="3" t="s">
        <v>367</v>
      </c>
      <c r="K174" s="3" t="s">
        <v>900</v>
      </c>
      <c r="L174" s="3" t="s">
        <v>466</v>
      </c>
      <c r="M174" s="3" t="s">
        <v>146</v>
      </c>
    </row>
    <row r="175" spans="1:13" x14ac:dyDescent="0.5">
      <c r="A175" s="65"/>
      <c r="B175" s="65"/>
      <c r="C175" s="65"/>
      <c r="F175" s="48"/>
      <c r="G175" s="48"/>
      <c r="I175" s="3" t="s">
        <v>638</v>
      </c>
      <c r="J175" s="3" t="s">
        <v>441</v>
      </c>
      <c r="K175" s="3" t="s">
        <v>901</v>
      </c>
      <c r="L175" s="3" t="s">
        <v>454</v>
      </c>
      <c r="M175" s="3" t="s">
        <v>146</v>
      </c>
    </row>
    <row r="176" spans="1:13" x14ac:dyDescent="0.5">
      <c r="A176" s="65"/>
      <c r="B176" s="65"/>
      <c r="C176" s="65"/>
      <c r="F176" s="48"/>
      <c r="G176" s="48"/>
      <c r="I176" s="3" t="s">
        <v>506</v>
      </c>
      <c r="J176" s="3" t="s">
        <v>507</v>
      </c>
      <c r="K176" s="3" t="s">
        <v>150</v>
      </c>
      <c r="L176" s="3" t="s">
        <v>465</v>
      </c>
      <c r="M176" s="3" t="s">
        <v>146</v>
      </c>
    </row>
    <row r="177" spans="1:13" x14ac:dyDescent="0.5">
      <c r="A177" s="65"/>
      <c r="B177" s="65"/>
      <c r="C177" s="65"/>
      <c r="F177" s="48"/>
      <c r="G177" s="48"/>
      <c r="I177" s="3" t="s">
        <v>639</v>
      </c>
      <c r="J177" s="3" t="s">
        <v>372</v>
      </c>
      <c r="K177" s="3" t="s">
        <v>228</v>
      </c>
      <c r="L177" s="3" t="s">
        <v>457</v>
      </c>
      <c r="M177" s="3" t="s">
        <v>146</v>
      </c>
    </row>
    <row r="178" spans="1:13" x14ac:dyDescent="0.5">
      <c r="A178" s="65"/>
      <c r="B178" s="65"/>
      <c r="C178" s="65"/>
      <c r="F178" s="48"/>
      <c r="G178" s="48"/>
      <c r="I178" s="3" t="s">
        <v>640</v>
      </c>
      <c r="J178" s="3" t="s">
        <v>174</v>
      </c>
      <c r="K178" s="3" t="s">
        <v>410</v>
      </c>
      <c r="L178" s="3" t="s">
        <v>476</v>
      </c>
      <c r="M178" s="3" t="s">
        <v>146</v>
      </c>
    </row>
    <row r="179" spans="1:13" x14ac:dyDescent="0.5">
      <c r="I179" s="3" t="s">
        <v>797</v>
      </c>
      <c r="J179" s="3" t="s">
        <v>159</v>
      </c>
      <c r="K179" s="3" t="s">
        <v>158</v>
      </c>
      <c r="L179" s="3" t="s">
        <v>463</v>
      </c>
      <c r="M179" s="3" t="s">
        <v>146</v>
      </c>
    </row>
    <row r="180" spans="1:13" x14ac:dyDescent="0.5">
      <c r="I180" s="3" t="s">
        <v>798</v>
      </c>
      <c r="J180" s="3" t="s">
        <v>161</v>
      </c>
      <c r="K180" s="3" t="s">
        <v>160</v>
      </c>
      <c r="L180" s="3" t="s">
        <v>463</v>
      </c>
      <c r="M180" s="3" t="s">
        <v>146</v>
      </c>
    </row>
    <row r="181" spans="1:13" x14ac:dyDescent="0.5">
      <c r="I181" s="3" t="s">
        <v>799</v>
      </c>
      <c r="J181" s="3" t="s">
        <v>536</v>
      </c>
      <c r="K181" s="3" t="s">
        <v>902</v>
      </c>
      <c r="L181" s="3" t="s">
        <v>454</v>
      </c>
      <c r="M181" s="3" t="s">
        <v>146</v>
      </c>
    </row>
    <row r="182" spans="1:13" x14ac:dyDescent="0.5">
      <c r="I182" s="3" t="s">
        <v>800</v>
      </c>
      <c r="J182" s="3" t="s">
        <v>255</v>
      </c>
      <c r="K182" s="3" t="s">
        <v>150</v>
      </c>
      <c r="L182" s="3" t="s">
        <v>465</v>
      </c>
      <c r="M182" s="3" t="s">
        <v>146</v>
      </c>
    </row>
    <row r="183" spans="1:13" x14ac:dyDescent="0.5">
      <c r="I183" s="3" t="s">
        <v>801</v>
      </c>
      <c r="J183" s="3" t="s">
        <v>380</v>
      </c>
      <c r="K183" s="3" t="s">
        <v>903</v>
      </c>
      <c r="L183" s="3" t="s">
        <v>461</v>
      </c>
      <c r="M183" s="3" t="s">
        <v>146</v>
      </c>
    </row>
    <row r="184" spans="1:13" x14ac:dyDescent="0.5">
      <c r="I184" s="3" t="s">
        <v>802</v>
      </c>
      <c r="J184" s="3" t="s">
        <v>374</v>
      </c>
      <c r="K184" s="3" t="s">
        <v>899</v>
      </c>
      <c r="L184" s="3" t="s">
        <v>461</v>
      </c>
      <c r="M184" s="3" t="s">
        <v>146</v>
      </c>
    </row>
    <row r="185" spans="1:13" x14ac:dyDescent="0.5">
      <c r="I185" s="3" t="s">
        <v>803</v>
      </c>
      <c r="J185" s="3" t="s">
        <v>363</v>
      </c>
      <c r="K185" s="3" t="s">
        <v>180</v>
      </c>
      <c r="L185" s="3" t="s">
        <v>476</v>
      </c>
      <c r="M185" s="3" t="s">
        <v>146</v>
      </c>
    </row>
    <row r="186" spans="1:13" x14ac:dyDescent="0.5">
      <c r="A186" s="65"/>
      <c r="B186" s="65"/>
      <c r="C186" s="65"/>
      <c r="D186" s="65"/>
      <c r="E186" s="65"/>
      <c r="F186" s="48"/>
      <c r="I186" s="3" t="s">
        <v>804</v>
      </c>
      <c r="J186" s="3" t="s">
        <v>196</v>
      </c>
      <c r="K186" s="3" t="s">
        <v>897</v>
      </c>
      <c r="L186" s="3" t="s">
        <v>458</v>
      </c>
      <c r="M186" s="3" t="s">
        <v>146</v>
      </c>
    </row>
    <row r="187" spans="1:13" x14ac:dyDescent="0.5">
      <c r="A187" s="65"/>
      <c r="B187" s="65"/>
      <c r="C187" s="65"/>
      <c r="D187" s="65"/>
      <c r="E187" s="65"/>
      <c r="F187" s="48"/>
      <c r="I187" s="3" t="s">
        <v>805</v>
      </c>
      <c r="J187" s="3" t="s">
        <v>157</v>
      </c>
      <c r="K187" s="3" t="s">
        <v>156</v>
      </c>
      <c r="L187" s="3" t="s">
        <v>463</v>
      </c>
      <c r="M187" s="3" t="s">
        <v>146</v>
      </c>
    </row>
    <row r="188" spans="1:13" x14ac:dyDescent="0.5">
      <c r="A188" s="65"/>
      <c r="B188" s="65"/>
      <c r="C188" s="65"/>
      <c r="D188" s="65"/>
      <c r="E188" s="65"/>
      <c r="F188" s="48"/>
      <c r="I188" s="3" t="s">
        <v>806</v>
      </c>
      <c r="J188" s="3" t="s">
        <v>191</v>
      </c>
      <c r="K188" s="3" t="s">
        <v>190</v>
      </c>
      <c r="L188" s="3" t="s">
        <v>460</v>
      </c>
      <c r="M188" s="3" t="s">
        <v>146</v>
      </c>
    </row>
    <row r="189" spans="1:13" x14ac:dyDescent="0.5">
      <c r="A189" s="65"/>
      <c r="B189" s="65"/>
      <c r="C189" s="65"/>
      <c r="D189" s="65"/>
      <c r="E189" s="65"/>
      <c r="F189" s="48"/>
      <c r="I189" s="3" t="s">
        <v>807</v>
      </c>
      <c r="J189" s="3" t="s">
        <v>306</v>
      </c>
      <c r="K189" s="3" t="s">
        <v>285</v>
      </c>
      <c r="L189" s="3" t="s">
        <v>454</v>
      </c>
      <c r="M189" s="3" t="s">
        <v>146</v>
      </c>
    </row>
    <row r="190" spans="1:13" x14ac:dyDescent="0.5">
      <c r="A190" s="65"/>
      <c r="B190" s="65"/>
      <c r="C190" s="65"/>
      <c r="D190" s="65"/>
      <c r="E190" s="65"/>
      <c r="F190" s="48"/>
      <c r="I190" s="3" t="s">
        <v>808</v>
      </c>
      <c r="J190" s="3" t="s">
        <v>382</v>
      </c>
      <c r="K190" s="3" t="s">
        <v>166</v>
      </c>
      <c r="L190" s="3" t="s">
        <v>458</v>
      </c>
      <c r="M190" s="3" t="s">
        <v>146</v>
      </c>
    </row>
    <row r="191" spans="1:13" x14ac:dyDescent="0.5">
      <c r="I191" s="3" t="s">
        <v>809</v>
      </c>
      <c r="J191" s="3" t="s">
        <v>340</v>
      </c>
      <c r="K191" s="3" t="s">
        <v>904</v>
      </c>
      <c r="L191" s="3" t="s">
        <v>463</v>
      </c>
      <c r="M191" s="3" t="s">
        <v>146</v>
      </c>
    </row>
    <row r="192" spans="1:13" x14ac:dyDescent="0.5">
      <c r="I192" s="3" t="s">
        <v>810</v>
      </c>
      <c r="J192" s="3" t="s">
        <v>235</v>
      </c>
      <c r="K192" s="3" t="s">
        <v>234</v>
      </c>
      <c r="L192" s="3" t="s">
        <v>466</v>
      </c>
      <c r="M192" s="3" t="s">
        <v>146</v>
      </c>
    </row>
    <row r="193" spans="1:13" x14ac:dyDescent="0.5">
      <c r="I193" s="3" t="s">
        <v>811</v>
      </c>
      <c r="J193" s="3" t="s">
        <v>384</v>
      </c>
      <c r="K193" s="3" t="s">
        <v>154</v>
      </c>
      <c r="L193" s="3" t="s">
        <v>458</v>
      </c>
      <c r="M193" s="3" t="s">
        <v>146</v>
      </c>
    </row>
    <row r="194" spans="1:13" x14ac:dyDescent="0.5">
      <c r="I194" s="3" t="s">
        <v>812</v>
      </c>
      <c r="J194" s="3" t="s">
        <v>383</v>
      </c>
      <c r="K194" s="3" t="s">
        <v>154</v>
      </c>
      <c r="L194" s="3" t="s">
        <v>458</v>
      </c>
      <c r="M194" s="3" t="s">
        <v>146</v>
      </c>
    </row>
    <row r="195" spans="1:13" x14ac:dyDescent="0.5">
      <c r="A195" s="65"/>
      <c r="B195" s="65"/>
      <c r="C195" s="65"/>
      <c r="F195" s="48"/>
      <c r="I195" s="3" t="s">
        <v>812</v>
      </c>
      <c r="J195" s="3" t="s">
        <v>229</v>
      </c>
      <c r="K195" s="3" t="s">
        <v>228</v>
      </c>
      <c r="L195" s="3" t="s">
        <v>457</v>
      </c>
      <c r="M195" s="3" t="s">
        <v>146</v>
      </c>
    </row>
    <row r="196" spans="1:13" x14ac:dyDescent="0.5">
      <c r="A196" s="65"/>
      <c r="B196" s="65"/>
      <c r="C196" s="65"/>
      <c r="F196" s="48"/>
      <c r="I196" s="3" t="s">
        <v>813</v>
      </c>
      <c r="J196" s="3" t="s">
        <v>233</v>
      </c>
      <c r="K196" s="3" t="s">
        <v>370</v>
      </c>
      <c r="L196" s="3" t="s">
        <v>457</v>
      </c>
      <c r="M196" s="3" t="s">
        <v>146</v>
      </c>
    </row>
    <row r="197" spans="1:13" x14ac:dyDescent="0.5">
      <c r="A197" s="65"/>
      <c r="B197" s="65"/>
      <c r="C197" s="65"/>
      <c r="F197" s="48"/>
      <c r="I197" s="3" t="s">
        <v>814</v>
      </c>
      <c r="J197" s="3" t="s">
        <v>346</v>
      </c>
      <c r="K197" s="3" t="s">
        <v>905</v>
      </c>
      <c r="L197" s="3" t="s">
        <v>463</v>
      </c>
      <c r="M197" s="3" t="s">
        <v>146</v>
      </c>
    </row>
    <row r="198" spans="1:13" x14ac:dyDescent="0.5">
      <c r="A198" s="65"/>
      <c r="B198" s="65"/>
      <c r="C198" s="65"/>
      <c r="F198" s="48"/>
      <c r="I198" s="3" t="s">
        <v>815</v>
      </c>
      <c r="J198" s="3" t="s">
        <v>426</v>
      </c>
      <c r="K198" s="3" t="s">
        <v>276</v>
      </c>
      <c r="L198" s="3" t="s">
        <v>459</v>
      </c>
      <c r="M198" s="3" t="s">
        <v>146</v>
      </c>
    </row>
    <row r="199" spans="1:13" x14ac:dyDescent="0.5">
      <c r="I199" s="3" t="s">
        <v>816</v>
      </c>
      <c r="J199" s="3" t="s">
        <v>509</v>
      </c>
      <c r="K199" s="3" t="s">
        <v>188</v>
      </c>
      <c r="L199" s="3" t="s">
        <v>460</v>
      </c>
      <c r="M199" s="3" t="s">
        <v>146</v>
      </c>
    </row>
    <row r="200" spans="1:13" x14ac:dyDescent="0.5">
      <c r="I200" s="3" t="s">
        <v>817</v>
      </c>
      <c r="J200" s="3" t="s">
        <v>243</v>
      </c>
      <c r="K200" s="3" t="s">
        <v>242</v>
      </c>
      <c r="L200" s="3" t="s">
        <v>466</v>
      </c>
      <c r="M200" s="3" t="s">
        <v>146</v>
      </c>
    </row>
    <row r="201" spans="1:13" x14ac:dyDescent="0.5">
      <c r="I201" s="3" t="s">
        <v>818</v>
      </c>
      <c r="J201" s="3" t="s">
        <v>241</v>
      </c>
      <c r="K201" s="3" t="s">
        <v>240</v>
      </c>
      <c r="L201" s="3" t="s">
        <v>466</v>
      </c>
      <c r="M201" s="3" t="s">
        <v>146</v>
      </c>
    </row>
    <row r="202" spans="1:13" x14ac:dyDescent="0.5">
      <c r="I202" s="3" t="s">
        <v>819</v>
      </c>
      <c r="J202" s="3" t="s">
        <v>194</v>
      </c>
      <c r="K202" s="3" t="s">
        <v>190</v>
      </c>
      <c r="L202" s="3" t="s">
        <v>460</v>
      </c>
      <c r="M202" s="3" t="s">
        <v>146</v>
      </c>
    </row>
    <row r="203" spans="1:13" x14ac:dyDescent="0.5">
      <c r="A203" s="65"/>
      <c r="B203" s="65"/>
      <c r="C203" s="65"/>
      <c r="F203" s="48"/>
      <c r="I203" s="3" t="s">
        <v>820</v>
      </c>
      <c r="J203" s="3" t="s">
        <v>358</v>
      </c>
      <c r="K203" s="3" t="s">
        <v>906</v>
      </c>
      <c r="L203" s="3" t="s">
        <v>461</v>
      </c>
      <c r="M203" s="3" t="s">
        <v>146</v>
      </c>
    </row>
    <row r="204" spans="1:13" x14ac:dyDescent="0.5">
      <c r="A204" s="65"/>
      <c r="B204" s="65"/>
      <c r="C204" s="65"/>
      <c r="F204" s="48"/>
      <c r="I204" s="3" t="s">
        <v>821</v>
      </c>
      <c r="J204" s="3" t="s">
        <v>153</v>
      </c>
      <c r="K204" s="3" t="s">
        <v>871</v>
      </c>
      <c r="L204" s="3" t="s">
        <v>459</v>
      </c>
      <c r="M204" s="3" t="s">
        <v>146</v>
      </c>
    </row>
    <row r="205" spans="1:13" x14ac:dyDescent="0.5">
      <c r="A205" s="65"/>
      <c r="B205" s="65"/>
      <c r="C205" s="65"/>
      <c r="F205" s="48"/>
      <c r="I205" s="3" t="s">
        <v>822</v>
      </c>
      <c r="J205" s="3" t="s">
        <v>151</v>
      </c>
      <c r="K205" s="3" t="s">
        <v>876</v>
      </c>
      <c r="L205" s="3" t="s">
        <v>465</v>
      </c>
      <c r="M205" s="3" t="s">
        <v>146</v>
      </c>
    </row>
    <row r="206" spans="1:13" x14ac:dyDescent="0.5">
      <c r="A206" s="65"/>
      <c r="B206" s="65"/>
      <c r="C206" s="65"/>
      <c r="F206" s="48"/>
      <c r="I206" s="3" t="s">
        <v>823</v>
      </c>
      <c r="J206" s="3" t="s">
        <v>337</v>
      </c>
      <c r="K206" s="3" t="s">
        <v>920</v>
      </c>
      <c r="L206" s="3" t="s">
        <v>466</v>
      </c>
      <c r="M206" s="3" t="s">
        <v>146</v>
      </c>
    </row>
    <row r="207" spans="1:13" x14ac:dyDescent="0.5">
      <c r="I207" s="3" t="s">
        <v>784</v>
      </c>
      <c r="J207" s="3" t="s">
        <v>453</v>
      </c>
      <c r="K207" s="3" t="s">
        <v>341</v>
      </c>
      <c r="L207" s="3" t="s">
        <v>454</v>
      </c>
      <c r="M207" s="3" t="s">
        <v>146</v>
      </c>
    </row>
    <row r="208" spans="1:13" x14ac:dyDescent="0.5">
      <c r="I208" s="3" t="s">
        <v>824</v>
      </c>
      <c r="J208" s="3" t="s">
        <v>415</v>
      </c>
      <c r="K208" s="3" t="s">
        <v>907</v>
      </c>
      <c r="L208" s="3" t="s">
        <v>460</v>
      </c>
      <c r="M208" s="3" t="s">
        <v>146</v>
      </c>
    </row>
    <row r="209" spans="9:13" x14ac:dyDescent="0.5">
      <c r="I209" s="3" t="s">
        <v>825</v>
      </c>
      <c r="J209" s="3" t="s">
        <v>244</v>
      </c>
      <c r="K209" s="3" t="s">
        <v>242</v>
      </c>
      <c r="L209" s="3" t="s">
        <v>466</v>
      </c>
      <c r="M209" s="3" t="s">
        <v>146</v>
      </c>
    </row>
    <row r="210" spans="9:13" x14ac:dyDescent="0.5">
      <c r="I210" s="3" t="s">
        <v>826</v>
      </c>
      <c r="J210" s="3" t="s">
        <v>442</v>
      </c>
      <c r="K210" s="3" t="s">
        <v>200</v>
      </c>
      <c r="L210" s="3" t="s">
        <v>458</v>
      </c>
      <c r="M210" s="3" t="s">
        <v>146</v>
      </c>
    </row>
    <row r="211" spans="9:13" x14ac:dyDescent="0.5">
      <c r="I211" s="87" t="s">
        <v>922</v>
      </c>
      <c r="J211" s="87" t="s">
        <v>923</v>
      </c>
      <c r="K211" s="87" t="s">
        <v>150</v>
      </c>
      <c r="L211" s="87" t="s">
        <v>465</v>
      </c>
      <c r="M211" s="87" t="s">
        <v>149</v>
      </c>
    </row>
    <row r="212" spans="9:13" x14ac:dyDescent="0.5">
      <c r="I212" s="3" t="s">
        <v>828</v>
      </c>
      <c r="J212" s="3" t="s">
        <v>302</v>
      </c>
      <c r="K212" s="3" t="s">
        <v>285</v>
      </c>
      <c r="L212" s="3" t="s">
        <v>454</v>
      </c>
      <c r="M212" s="3" t="s">
        <v>146</v>
      </c>
    </row>
    <row r="213" spans="9:13" x14ac:dyDescent="0.5">
      <c r="I213" s="3" t="s">
        <v>829</v>
      </c>
      <c r="J213" s="3" t="s">
        <v>288</v>
      </c>
      <c r="K213" s="3" t="s">
        <v>150</v>
      </c>
      <c r="L213" s="3" t="s">
        <v>465</v>
      </c>
      <c r="M213" s="3" t="s">
        <v>146</v>
      </c>
    </row>
    <row r="214" spans="9:13" x14ac:dyDescent="0.5">
      <c r="I214" s="3" t="s">
        <v>597</v>
      </c>
      <c r="J214" s="3" t="s">
        <v>338</v>
      </c>
      <c r="K214" s="3" t="s">
        <v>908</v>
      </c>
      <c r="L214" s="3" t="s">
        <v>463</v>
      </c>
      <c r="M214" s="3" t="s">
        <v>146</v>
      </c>
    </row>
    <row r="215" spans="9:13" x14ac:dyDescent="0.5">
      <c r="I215" s="3" t="s">
        <v>830</v>
      </c>
      <c r="J215" s="3" t="s">
        <v>408</v>
      </c>
      <c r="K215" s="3" t="s">
        <v>150</v>
      </c>
      <c r="L215" s="3" t="s">
        <v>465</v>
      </c>
      <c r="M215" s="3" t="s">
        <v>146</v>
      </c>
    </row>
    <row r="216" spans="9:13" x14ac:dyDescent="0.5">
      <c r="I216" s="3" t="s">
        <v>831</v>
      </c>
      <c r="J216" s="3" t="s">
        <v>319</v>
      </c>
      <c r="K216" s="3" t="s">
        <v>278</v>
      </c>
      <c r="L216" s="3" t="s">
        <v>454</v>
      </c>
      <c r="M216" s="3" t="s">
        <v>146</v>
      </c>
    </row>
    <row r="217" spans="9:13" x14ac:dyDescent="0.5">
      <c r="I217" s="3" t="s">
        <v>832</v>
      </c>
      <c r="J217" s="3" t="s">
        <v>298</v>
      </c>
      <c r="K217" s="3" t="s">
        <v>278</v>
      </c>
      <c r="L217" s="3" t="s">
        <v>454</v>
      </c>
      <c r="M217" s="3" t="s">
        <v>146</v>
      </c>
    </row>
    <row r="218" spans="9:13" x14ac:dyDescent="0.5">
      <c r="I218" s="3" t="s">
        <v>833</v>
      </c>
      <c r="J218" s="3" t="s">
        <v>212</v>
      </c>
      <c r="K218" s="3" t="s">
        <v>211</v>
      </c>
      <c r="L218" s="3" t="s">
        <v>464</v>
      </c>
      <c r="M218" s="3" t="s">
        <v>146</v>
      </c>
    </row>
    <row r="219" spans="9:13" x14ac:dyDescent="0.5">
      <c r="I219" s="3" t="s">
        <v>834</v>
      </c>
      <c r="J219" s="3" t="s">
        <v>513</v>
      </c>
      <c r="K219" s="3" t="s">
        <v>909</v>
      </c>
      <c r="L219" s="3" t="s">
        <v>466</v>
      </c>
      <c r="M219" s="3" t="s">
        <v>146</v>
      </c>
    </row>
    <row r="220" spans="9:13" x14ac:dyDescent="0.5">
      <c r="I220" s="3" t="s">
        <v>835</v>
      </c>
      <c r="J220" s="3" t="s">
        <v>171</v>
      </c>
      <c r="K220" s="3" t="s">
        <v>170</v>
      </c>
      <c r="L220" s="3" t="s">
        <v>476</v>
      </c>
      <c r="M220" s="3" t="s">
        <v>146</v>
      </c>
    </row>
    <row r="221" spans="9:13" x14ac:dyDescent="0.5">
      <c r="I221" s="3" t="s">
        <v>836</v>
      </c>
      <c r="J221" s="3" t="s">
        <v>293</v>
      </c>
      <c r="K221" s="3" t="s">
        <v>910</v>
      </c>
      <c r="L221" s="3" t="s">
        <v>458</v>
      </c>
      <c r="M221" s="3" t="s">
        <v>146</v>
      </c>
    </row>
    <row r="222" spans="9:13" x14ac:dyDescent="0.5">
      <c r="I222" s="3" t="s">
        <v>837</v>
      </c>
      <c r="J222" s="3" t="s">
        <v>184</v>
      </c>
      <c r="K222" s="3" t="s">
        <v>911</v>
      </c>
      <c r="L222" s="3" t="s">
        <v>475</v>
      </c>
      <c r="M222" s="3" t="s">
        <v>146</v>
      </c>
    </row>
    <row r="223" spans="9:13" x14ac:dyDescent="0.5">
      <c r="I223" s="3" t="s">
        <v>838</v>
      </c>
      <c r="J223" s="3" t="s">
        <v>484</v>
      </c>
      <c r="K223" s="3" t="s">
        <v>197</v>
      </c>
      <c r="L223" s="3" t="s">
        <v>458</v>
      </c>
      <c r="M223" s="3" t="s">
        <v>146</v>
      </c>
    </row>
    <row r="224" spans="9:13" x14ac:dyDescent="0.5">
      <c r="I224" s="3" t="s">
        <v>839</v>
      </c>
      <c r="J224" s="3" t="s">
        <v>478</v>
      </c>
      <c r="K224" s="3" t="s">
        <v>180</v>
      </c>
      <c r="L224" s="3" t="s">
        <v>476</v>
      </c>
      <c r="M224" s="3" t="s">
        <v>146</v>
      </c>
    </row>
    <row r="225" spans="9:13" x14ac:dyDescent="0.5">
      <c r="I225" s="3" t="s">
        <v>840</v>
      </c>
      <c r="J225" s="3" t="s">
        <v>282</v>
      </c>
      <c r="K225" s="3" t="s">
        <v>281</v>
      </c>
      <c r="L225" s="3" t="s">
        <v>454</v>
      </c>
      <c r="M225" s="3" t="s">
        <v>146</v>
      </c>
    </row>
    <row r="226" spans="9:13" x14ac:dyDescent="0.5">
      <c r="I226" s="3" t="s">
        <v>841</v>
      </c>
      <c r="J226" s="3" t="s">
        <v>239</v>
      </c>
      <c r="K226" s="3" t="s">
        <v>912</v>
      </c>
      <c r="L226" s="3" t="s">
        <v>466</v>
      </c>
      <c r="M226" s="3" t="s">
        <v>146</v>
      </c>
    </row>
    <row r="227" spans="9:13" x14ac:dyDescent="0.5">
      <c r="I227" s="3" t="s">
        <v>842</v>
      </c>
      <c r="J227" s="3" t="s">
        <v>253</v>
      </c>
      <c r="K227" s="3" t="s">
        <v>252</v>
      </c>
      <c r="L227" s="3" t="s">
        <v>454</v>
      </c>
      <c r="M227" s="3" t="s">
        <v>146</v>
      </c>
    </row>
    <row r="228" spans="9:13" x14ac:dyDescent="0.5">
      <c r="I228" s="3" t="s">
        <v>843</v>
      </c>
      <c r="J228" s="3" t="s">
        <v>477</v>
      </c>
      <c r="K228" s="3" t="s">
        <v>276</v>
      </c>
      <c r="L228" s="3" t="s">
        <v>459</v>
      </c>
      <c r="M228" s="3" t="s">
        <v>146</v>
      </c>
    </row>
    <row r="229" spans="9:13" x14ac:dyDescent="0.5">
      <c r="I229" s="3" t="s">
        <v>844</v>
      </c>
      <c r="J229" s="3" t="s">
        <v>470</v>
      </c>
      <c r="K229" s="3" t="s">
        <v>252</v>
      </c>
      <c r="L229" s="3" t="s">
        <v>454</v>
      </c>
      <c r="M229" s="3" t="s">
        <v>146</v>
      </c>
    </row>
    <row r="230" spans="9:13" x14ac:dyDescent="0.5">
      <c r="I230" s="3" t="s">
        <v>845</v>
      </c>
      <c r="J230" s="3" t="s">
        <v>173</v>
      </c>
      <c r="K230" s="3" t="s">
        <v>913</v>
      </c>
      <c r="L230" s="3" t="s">
        <v>476</v>
      </c>
      <c r="M230" s="3" t="s">
        <v>146</v>
      </c>
    </row>
    <row r="231" spans="9:13" x14ac:dyDescent="0.5">
      <c r="I231" s="3" t="s">
        <v>846</v>
      </c>
      <c r="J231" s="3" t="s">
        <v>528</v>
      </c>
      <c r="K231" s="3" t="s">
        <v>529</v>
      </c>
      <c r="L231" s="3" t="s">
        <v>461</v>
      </c>
      <c r="M231" s="3" t="s">
        <v>146</v>
      </c>
    </row>
    <row r="232" spans="9:13" x14ac:dyDescent="0.5">
      <c r="I232" s="3" t="s">
        <v>847</v>
      </c>
      <c r="J232" s="3" t="s">
        <v>210</v>
      </c>
      <c r="K232" s="3" t="s">
        <v>209</v>
      </c>
      <c r="L232" s="4" t="s">
        <v>464</v>
      </c>
      <c r="M232" s="3" t="s">
        <v>146</v>
      </c>
    </row>
    <row r="233" spans="9:13" x14ac:dyDescent="0.5">
      <c r="I233" s="3" t="s">
        <v>848</v>
      </c>
      <c r="J233" s="3" t="s">
        <v>275</v>
      </c>
      <c r="K233" s="3" t="s">
        <v>914</v>
      </c>
      <c r="L233" s="4" t="s">
        <v>454</v>
      </c>
      <c r="M233" s="3" t="s">
        <v>146</v>
      </c>
    </row>
    <row r="234" spans="9:13" x14ac:dyDescent="0.5">
      <c r="I234" s="3" t="s">
        <v>749</v>
      </c>
      <c r="J234" s="3" t="s">
        <v>333</v>
      </c>
      <c r="K234" s="3" t="s">
        <v>915</v>
      </c>
      <c r="L234" s="4" t="s">
        <v>454</v>
      </c>
      <c r="M234" s="3" t="s">
        <v>146</v>
      </c>
    </row>
    <row r="235" spans="9:13" x14ac:dyDescent="0.5">
      <c r="I235" s="3" t="s">
        <v>849</v>
      </c>
      <c r="J235" s="3" t="s">
        <v>165</v>
      </c>
      <c r="K235" s="3" t="s">
        <v>164</v>
      </c>
      <c r="L235" s="4" t="s">
        <v>458</v>
      </c>
      <c r="M235" s="3" t="s">
        <v>146</v>
      </c>
    </row>
    <row r="236" spans="9:13" x14ac:dyDescent="0.5">
      <c r="I236" s="3" t="s">
        <v>850</v>
      </c>
      <c r="J236" s="3" t="s">
        <v>347</v>
      </c>
      <c r="K236" s="3" t="s">
        <v>897</v>
      </c>
      <c r="L236" s="4" t="s">
        <v>458</v>
      </c>
      <c r="M236" s="3" t="s">
        <v>146</v>
      </c>
    </row>
    <row r="237" spans="9:13" x14ac:dyDescent="0.5">
      <c r="I237" s="3" t="s">
        <v>851</v>
      </c>
      <c r="J237" s="3" t="s">
        <v>225</v>
      </c>
      <c r="K237" s="3" t="s">
        <v>921</v>
      </c>
      <c r="L237" s="3" t="s">
        <v>464</v>
      </c>
      <c r="M237" s="3" t="s">
        <v>146</v>
      </c>
    </row>
    <row r="238" spans="9:13" x14ac:dyDescent="0.5">
      <c r="I238" s="3" t="s">
        <v>852</v>
      </c>
      <c r="J238" s="3" t="s">
        <v>256</v>
      </c>
      <c r="K238" s="3" t="s">
        <v>916</v>
      </c>
      <c r="L238" s="3" t="s">
        <v>454</v>
      </c>
      <c r="M238" s="3" t="s">
        <v>146</v>
      </c>
    </row>
    <row r="239" spans="9:13" x14ac:dyDescent="0.5">
      <c r="I239" s="3" t="s">
        <v>853</v>
      </c>
      <c r="J239" s="3" t="s">
        <v>237</v>
      </c>
      <c r="K239" s="3" t="s">
        <v>236</v>
      </c>
      <c r="L239" s="3" t="s">
        <v>466</v>
      </c>
      <c r="M239" s="3" t="s">
        <v>146</v>
      </c>
    </row>
    <row r="240" spans="9:13" x14ac:dyDescent="0.5">
      <c r="I240" s="3" t="s">
        <v>585</v>
      </c>
      <c r="J240" s="3" t="s">
        <v>162</v>
      </c>
      <c r="K240" s="3" t="s">
        <v>897</v>
      </c>
      <c r="L240" s="3" t="s">
        <v>458</v>
      </c>
      <c r="M240" s="62" t="s">
        <v>146</v>
      </c>
    </row>
    <row r="241" spans="9:13" x14ac:dyDescent="0.5">
      <c r="I241" s="3" t="s">
        <v>854</v>
      </c>
      <c r="J241" s="3" t="s">
        <v>172</v>
      </c>
      <c r="K241" s="3" t="s">
        <v>917</v>
      </c>
      <c r="L241" s="3" t="s">
        <v>460</v>
      </c>
      <c r="M241" s="3" t="s">
        <v>146</v>
      </c>
    </row>
    <row r="242" spans="9:13" x14ac:dyDescent="0.5">
      <c r="I242" s="3" t="s">
        <v>855</v>
      </c>
      <c r="J242" s="3" t="s">
        <v>483</v>
      </c>
      <c r="K242" s="3" t="s">
        <v>238</v>
      </c>
      <c r="L242" s="3" t="s">
        <v>457</v>
      </c>
      <c r="M242" s="3" t="s">
        <v>146</v>
      </c>
    </row>
    <row r="243" spans="9:13" x14ac:dyDescent="0.5">
      <c r="I243" s="3" t="s">
        <v>856</v>
      </c>
      <c r="J243" s="3" t="s">
        <v>177</v>
      </c>
      <c r="K243" s="3" t="s">
        <v>911</v>
      </c>
      <c r="L243" s="3" t="s">
        <v>475</v>
      </c>
      <c r="M243" s="3" t="s">
        <v>146</v>
      </c>
    </row>
    <row r="244" spans="9:13" x14ac:dyDescent="0.5">
      <c r="I244" s="3" t="s">
        <v>647</v>
      </c>
      <c r="J244" s="3" t="s">
        <v>648</v>
      </c>
      <c r="K244" s="3" t="s">
        <v>150</v>
      </c>
      <c r="L244" s="3" t="s">
        <v>465</v>
      </c>
      <c r="M244" s="3" t="s">
        <v>146</v>
      </c>
    </row>
    <row r="245" spans="9:13" x14ac:dyDescent="0.5">
      <c r="I245" s="3" t="s">
        <v>696</v>
      </c>
      <c r="J245" s="3" t="s">
        <v>696</v>
      </c>
      <c r="K245" s="3" t="s">
        <v>278</v>
      </c>
      <c r="L245" s="3" t="s">
        <v>454</v>
      </c>
      <c r="M245" s="3" t="s">
        <v>146</v>
      </c>
    </row>
    <row r="246" spans="9:13" x14ac:dyDescent="0.5">
      <c r="I246" s="3" t="s">
        <v>722</v>
      </c>
      <c r="J246" s="3" t="s">
        <v>722</v>
      </c>
      <c r="K246" s="3" t="s">
        <v>260</v>
      </c>
      <c r="L246" s="3" t="s">
        <v>454</v>
      </c>
      <c r="M246" s="3" t="s">
        <v>146</v>
      </c>
    </row>
    <row r="247" spans="9:13" x14ac:dyDescent="0.5">
      <c r="I247" s="3" t="s">
        <v>731</v>
      </c>
      <c r="J247" s="3" t="s">
        <v>730</v>
      </c>
      <c r="K247" s="3" t="s">
        <v>260</v>
      </c>
      <c r="L247" s="3" t="s">
        <v>454</v>
      </c>
      <c r="M247" s="3" t="s">
        <v>146</v>
      </c>
    </row>
    <row r="248" spans="9:13" x14ac:dyDescent="0.5">
      <c r="I248" s="3" t="s">
        <v>723</v>
      </c>
      <c r="J248" s="3" t="s">
        <v>727</v>
      </c>
      <c r="K248" s="3" t="s">
        <v>260</v>
      </c>
      <c r="L248" s="3" t="s">
        <v>454</v>
      </c>
      <c r="M248" s="3" t="s">
        <v>146</v>
      </c>
    </row>
    <row r="249" spans="9:13" x14ac:dyDescent="0.5">
      <c r="I249" s="3" t="s">
        <v>724</v>
      </c>
      <c r="J249" s="3" t="s">
        <v>728</v>
      </c>
      <c r="K249" s="3" t="s">
        <v>726</v>
      </c>
      <c r="L249" s="3" t="s">
        <v>454</v>
      </c>
      <c r="M249" s="3" t="s">
        <v>146</v>
      </c>
    </row>
    <row r="250" spans="9:13" x14ac:dyDescent="0.5">
      <c r="I250" s="3" t="s">
        <v>725</v>
      </c>
      <c r="J250" s="3" t="s">
        <v>729</v>
      </c>
      <c r="K250" s="3" t="s">
        <v>260</v>
      </c>
      <c r="L250" s="3" t="s">
        <v>454</v>
      </c>
      <c r="M250" s="3" t="s">
        <v>146</v>
      </c>
    </row>
    <row r="251" spans="9:13" x14ac:dyDescent="0.5">
      <c r="I251" s="3" t="s">
        <v>745</v>
      </c>
      <c r="J251" s="3" t="s">
        <v>747</v>
      </c>
      <c r="K251" s="3" t="s">
        <v>746</v>
      </c>
      <c r="L251" s="3" t="s">
        <v>454</v>
      </c>
      <c r="M251" s="3" t="s">
        <v>146</v>
      </c>
    </row>
    <row r="252" spans="9:13" x14ac:dyDescent="0.5">
      <c r="I252" s="3" t="s">
        <v>748</v>
      </c>
      <c r="J252" s="3" t="s">
        <v>748</v>
      </c>
      <c r="K252" s="3" t="s">
        <v>746</v>
      </c>
      <c r="L252" s="3" t="s">
        <v>454</v>
      </c>
      <c r="M252" s="3" t="s">
        <v>146</v>
      </c>
    </row>
    <row r="253" spans="9:13" x14ac:dyDescent="0.5">
      <c r="I253" s="3" t="s">
        <v>763</v>
      </c>
      <c r="J253" s="3" t="s">
        <v>764</v>
      </c>
      <c r="K253" s="3" t="s">
        <v>281</v>
      </c>
      <c r="L253" s="3" t="s">
        <v>454</v>
      </c>
      <c r="M253" s="3" t="s">
        <v>146</v>
      </c>
    </row>
    <row r="254" spans="9:13" x14ac:dyDescent="0.5">
      <c r="I254" s="3" t="s">
        <v>790</v>
      </c>
      <c r="J254" s="3" t="s">
        <v>791</v>
      </c>
      <c r="K254" s="3" t="s">
        <v>266</v>
      </c>
      <c r="L254" s="3" t="s">
        <v>454</v>
      </c>
      <c r="M254" s="3" t="s">
        <v>146</v>
      </c>
    </row>
    <row r="255" spans="9:13" x14ac:dyDescent="0.5">
      <c r="I255" s="3" t="s">
        <v>792</v>
      </c>
      <c r="J255" s="3" t="s">
        <v>792</v>
      </c>
      <c r="K255" s="3" t="s">
        <v>278</v>
      </c>
      <c r="L255" s="3" t="s">
        <v>454</v>
      </c>
      <c r="M255" s="3" t="s">
        <v>146</v>
      </c>
    </row>
    <row r="256" spans="9:13" x14ac:dyDescent="0.5">
      <c r="I256" s="3" t="s">
        <v>793</v>
      </c>
      <c r="J256" s="3" t="s">
        <v>794</v>
      </c>
      <c r="K256" s="3" t="s">
        <v>918</v>
      </c>
      <c r="L256" s="3" t="s">
        <v>454</v>
      </c>
      <c r="M256" s="3" t="s">
        <v>146</v>
      </c>
    </row>
    <row r="257" spans="7:13" x14ac:dyDescent="0.5">
      <c r="I257" s="3" t="s">
        <v>795</v>
      </c>
      <c r="J257" s="3" t="s">
        <v>796</v>
      </c>
      <c r="K257" s="3" t="s">
        <v>278</v>
      </c>
      <c r="L257" s="3" t="s">
        <v>454</v>
      </c>
      <c r="M257" s="3" t="s">
        <v>146</v>
      </c>
    </row>
    <row r="258" spans="7:13" x14ac:dyDescent="0.5">
      <c r="I258" s="3" t="s">
        <v>1092</v>
      </c>
      <c r="J258" s="3" t="s">
        <v>1093</v>
      </c>
      <c r="K258" s="3"/>
      <c r="L258" s="3" t="s">
        <v>465</v>
      </c>
      <c r="M258" s="386" t="s">
        <v>146</v>
      </c>
    </row>
    <row r="259" spans="7:13" x14ac:dyDescent="0.5">
      <c r="G259" s="260"/>
      <c r="I259" s="3" t="s">
        <v>1109</v>
      </c>
      <c r="J259" s="3" t="s">
        <v>1110</v>
      </c>
      <c r="K259" s="3"/>
      <c r="L259" s="3" t="s">
        <v>457</v>
      </c>
      <c r="M259" s="386" t="s">
        <v>146</v>
      </c>
    </row>
    <row r="260" spans="7:13" x14ac:dyDescent="0.5">
      <c r="I260" s="3" t="s">
        <v>1115</v>
      </c>
      <c r="J260" s="3" t="s">
        <v>1116</v>
      </c>
      <c r="K260" s="3" t="s">
        <v>261</v>
      </c>
      <c r="L260" s="3" t="s">
        <v>454</v>
      </c>
      <c r="M260" s="386" t="s">
        <v>146</v>
      </c>
    </row>
    <row r="261" spans="7:13" x14ac:dyDescent="0.5">
      <c r="I261" s="3" t="s">
        <v>1117</v>
      </c>
      <c r="J261" s="3" t="s">
        <v>1118</v>
      </c>
      <c r="K261" s="3" t="s">
        <v>261</v>
      </c>
      <c r="L261" s="3" t="s">
        <v>454</v>
      </c>
      <c r="M261" s="386" t="s">
        <v>146</v>
      </c>
    </row>
    <row r="262" spans="7:13" x14ac:dyDescent="0.5">
      <c r="I262" s="3" t="s">
        <v>1121</v>
      </c>
      <c r="J262" s="3" t="s">
        <v>1121</v>
      </c>
      <c r="K262" s="3" t="s">
        <v>261</v>
      </c>
      <c r="L262" s="3" t="s">
        <v>454</v>
      </c>
      <c r="M262" s="386" t="s">
        <v>146</v>
      </c>
    </row>
    <row r="263" spans="7:13" x14ac:dyDescent="0.5">
      <c r="I263" s="3" t="s">
        <v>1131</v>
      </c>
      <c r="J263" s="3" t="s">
        <v>1133</v>
      </c>
      <c r="K263" s="3" t="s">
        <v>261</v>
      </c>
      <c r="L263" s="3" t="s">
        <v>454</v>
      </c>
      <c r="M263" s="386" t="s">
        <v>146</v>
      </c>
    </row>
    <row r="264" spans="7:13" x14ac:dyDescent="0.5">
      <c r="I264" s="3" t="s">
        <v>793</v>
      </c>
      <c r="J264" s="3" t="s">
        <v>794</v>
      </c>
      <c r="K264" s="3" t="s">
        <v>1141</v>
      </c>
      <c r="L264" s="3" t="s">
        <v>454</v>
      </c>
      <c r="M264" s="386" t="s">
        <v>146</v>
      </c>
    </row>
    <row r="265" spans="7:13" x14ac:dyDescent="0.5">
      <c r="I265" s="3" t="s">
        <v>1155</v>
      </c>
      <c r="J265" s="3" t="s">
        <v>1156</v>
      </c>
      <c r="K265" s="3" t="s">
        <v>325</v>
      </c>
      <c r="L265" s="3" t="s">
        <v>454</v>
      </c>
      <c r="M265" s="386" t="s">
        <v>146</v>
      </c>
    </row>
    <row r="266" spans="7:13" x14ac:dyDescent="0.5">
      <c r="I266" s="3" t="s">
        <v>1160</v>
      </c>
      <c r="J266" s="3" t="s">
        <v>1161</v>
      </c>
      <c r="K266" s="3" t="s">
        <v>726</v>
      </c>
      <c r="L266" s="3" t="s">
        <v>454</v>
      </c>
      <c r="M266" s="386" t="s">
        <v>146</v>
      </c>
    </row>
    <row r="267" spans="7:13" x14ac:dyDescent="0.5">
      <c r="I267" s="3" t="s">
        <v>1171</v>
      </c>
      <c r="J267" s="3" t="s">
        <v>1171</v>
      </c>
      <c r="K267" s="3" t="s">
        <v>281</v>
      </c>
      <c r="L267" s="3" t="s">
        <v>454</v>
      </c>
      <c r="M267" s="386" t="s">
        <v>146</v>
      </c>
    </row>
    <row r="268" spans="7:13" x14ac:dyDescent="0.5">
      <c r="I268" s="3" t="s">
        <v>1176</v>
      </c>
      <c r="J268" s="3" t="s">
        <v>1175</v>
      </c>
      <c r="K268" s="3" t="s">
        <v>1177</v>
      </c>
      <c r="L268" s="3" t="s">
        <v>454</v>
      </c>
      <c r="M268" s="386" t="s">
        <v>146</v>
      </c>
    </row>
    <row r="269" spans="7:13" x14ac:dyDescent="0.5">
      <c r="I269" s="3" t="s">
        <v>1180</v>
      </c>
      <c r="J269" s="3" t="s">
        <v>1181</v>
      </c>
      <c r="K269" s="3" t="s">
        <v>1182</v>
      </c>
      <c r="L269" s="3" t="s">
        <v>458</v>
      </c>
      <c r="M269" s="386" t="s">
        <v>146</v>
      </c>
    </row>
    <row r="270" spans="7:13" x14ac:dyDescent="0.5">
      <c r="I270" s="3" t="s">
        <v>1274</v>
      </c>
      <c r="J270" s="3" t="s">
        <v>1274</v>
      </c>
      <c r="K270" s="3" t="s">
        <v>278</v>
      </c>
      <c r="L270" s="3" t="s">
        <v>454</v>
      </c>
      <c r="M270" s="386" t="s">
        <v>146</v>
      </c>
    </row>
    <row r="271" spans="7:13" x14ac:dyDescent="0.5">
      <c r="I271" s="3" t="s">
        <v>1279</v>
      </c>
      <c r="J271" s="3" t="s">
        <v>1280</v>
      </c>
      <c r="K271" s="3" t="s">
        <v>278</v>
      </c>
      <c r="L271" s="3" t="s">
        <v>454</v>
      </c>
      <c r="M271" s="386" t="s">
        <v>146</v>
      </c>
    </row>
    <row r="272" spans="7:13" x14ac:dyDescent="0.5">
      <c r="I272" s="3" t="s">
        <v>1281</v>
      </c>
      <c r="J272" s="3" t="s">
        <v>1282</v>
      </c>
      <c r="K272" s="3" t="s">
        <v>1283</v>
      </c>
      <c r="L272" s="3" t="s">
        <v>454</v>
      </c>
      <c r="M272" s="386" t="s">
        <v>146</v>
      </c>
    </row>
    <row r="273" spans="9:13" x14ac:dyDescent="0.5">
      <c r="I273" s="3" t="s">
        <v>1333</v>
      </c>
      <c r="J273" s="3" t="s">
        <v>1333</v>
      </c>
      <c r="K273" s="3" t="s">
        <v>278</v>
      </c>
      <c r="L273" s="3" t="s">
        <v>454</v>
      </c>
      <c r="M273" s="386" t="s">
        <v>146</v>
      </c>
    </row>
    <row r="274" spans="9:13" x14ac:dyDescent="0.5">
      <c r="I274" s="3" t="s">
        <v>1334</v>
      </c>
      <c r="J274" s="3" t="s">
        <v>1334</v>
      </c>
      <c r="K274" s="3" t="s">
        <v>1335</v>
      </c>
      <c r="L274" s="3" t="s">
        <v>454</v>
      </c>
      <c r="M274" s="386" t="s">
        <v>146</v>
      </c>
    </row>
    <row r="275" spans="9:13" x14ac:dyDescent="0.5">
      <c r="I275" s="1" t="s">
        <v>1337</v>
      </c>
      <c r="J275" s="417" t="s">
        <v>1338</v>
      </c>
      <c r="K275" s="418" t="s">
        <v>1339</v>
      </c>
      <c r="L275" s="3" t="s">
        <v>454</v>
      </c>
      <c r="M275" s="386" t="s">
        <v>146</v>
      </c>
    </row>
    <row r="276" spans="9:13" x14ac:dyDescent="0.5">
      <c r="I276" s="1" t="s">
        <v>1358</v>
      </c>
      <c r="J276" s="417" t="s">
        <v>1359</v>
      </c>
      <c r="K276" s="418" t="s">
        <v>261</v>
      </c>
      <c r="L276" s="3" t="s">
        <v>454</v>
      </c>
      <c r="M276" s="386" t="s">
        <v>146</v>
      </c>
    </row>
    <row r="277" spans="9:13" x14ac:dyDescent="0.5">
      <c r="I277" s="1" t="s">
        <v>1361</v>
      </c>
      <c r="J277" s="417" t="s">
        <v>1361</v>
      </c>
      <c r="K277" s="418" t="s">
        <v>261</v>
      </c>
      <c r="L277" s="3" t="s">
        <v>454</v>
      </c>
      <c r="M277" s="386" t="s">
        <v>146</v>
      </c>
    </row>
    <row r="278" spans="9:13" x14ac:dyDescent="0.5">
      <c r="I278" s="1" t="s">
        <v>1365</v>
      </c>
      <c r="J278" s="417" t="s">
        <v>1366</v>
      </c>
      <c r="K278" s="418" t="s">
        <v>261</v>
      </c>
      <c r="L278" s="3" t="s">
        <v>454</v>
      </c>
      <c r="M278" s="386" t="s">
        <v>146</v>
      </c>
    </row>
    <row r="279" spans="9:13" x14ac:dyDescent="0.5">
      <c r="I279" s="1" t="s">
        <v>1368</v>
      </c>
      <c r="J279" s="417" t="s">
        <v>1369</v>
      </c>
      <c r="K279" s="418" t="s">
        <v>261</v>
      </c>
      <c r="L279" s="3" t="s">
        <v>454</v>
      </c>
      <c r="M279" s="386" t="s">
        <v>146</v>
      </c>
    </row>
    <row r="280" spans="9:13" x14ac:dyDescent="0.5">
      <c r="I280" s="1" t="s">
        <v>1370</v>
      </c>
      <c r="J280" s="417" t="s">
        <v>1371</v>
      </c>
      <c r="K280" s="418" t="s">
        <v>261</v>
      </c>
      <c r="L280" s="3" t="s">
        <v>454</v>
      </c>
      <c r="M280" s="386" t="s">
        <v>146</v>
      </c>
    </row>
    <row r="281" spans="9:13" x14ac:dyDescent="0.5">
      <c r="I281" s="1" t="s">
        <v>1377</v>
      </c>
      <c r="J281" s="417" t="s">
        <v>1378</v>
      </c>
      <c r="K281" s="418" t="s">
        <v>1379</v>
      </c>
      <c r="L281" s="3" t="s">
        <v>454</v>
      </c>
      <c r="M281" s="386" t="s">
        <v>146</v>
      </c>
    </row>
    <row r="282" spans="9:13" x14ac:dyDescent="0.5">
      <c r="I282" s="1" t="s">
        <v>1381</v>
      </c>
      <c r="J282" s="417" t="s">
        <v>1382</v>
      </c>
      <c r="K282" s="418" t="s">
        <v>1379</v>
      </c>
      <c r="L282" s="3" t="s">
        <v>454</v>
      </c>
      <c r="M282" s="386" t="s">
        <v>146</v>
      </c>
    </row>
    <row r="283" spans="9:13" x14ac:dyDescent="0.5">
      <c r="I283" s="1" t="s">
        <v>1384</v>
      </c>
      <c r="J283" s="417" t="s">
        <v>1385</v>
      </c>
      <c r="K283" s="418" t="s">
        <v>1386</v>
      </c>
      <c r="L283" s="3" t="s">
        <v>454</v>
      </c>
      <c r="M283" s="386" t="s">
        <v>146</v>
      </c>
    </row>
    <row r="284" spans="9:13" x14ac:dyDescent="0.5">
      <c r="I284" s="1" t="s">
        <v>1388</v>
      </c>
      <c r="J284" s="417" t="s">
        <v>1389</v>
      </c>
      <c r="K284" s="418" t="s">
        <v>1379</v>
      </c>
      <c r="L284" s="3" t="s">
        <v>454</v>
      </c>
      <c r="M284" s="386" t="s">
        <v>146</v>
      </c>
    </row>
    <row r="285" spans="9:13" x14ac:dyDescent="0.5">
      <c r="I285" s="1" t="s">
        <v>1392</v>
      </c>
      <c r="J285" s="417" t="s">
        <v>1393</v>
      </c>
      <c r="K285" s="418" t="s">
        <v>261</v>
      </c>
      <c r="L285" s="3" t="s">
        <v>454</v>
      </c>
      <c r="M285" s="386" t="s">
        <v>146</v>
      </c>
    </row>
    <row r="286" spans="9:13" x14ac:dyDescent="0.5">
      <c r="I286" s="1" t="s">
        <v>1415</v>
      </c>
      <c r="J286" s="417" t="s">
        <v>1416</v>
      </c>
      <c r="K286" s="418" t="s">
        <v>1417</v>
      </c>
      <c r="L286" s="3" t="s">
        <v>454</v>
      </c>
      <c r="M286" s="386" t="s">
        <v>146</v>
      </c>
    </row>
    <row r="287" spans="9:13" x14ac:dyDescent="0.5">
      <c r="I287" s="1" t="s">
        <v>1431</v>
      </c>
      <c r="J287" s="417" t="s">
        <v>1433</v>
      </c>
      <c r="K287" s="418" t="s">
        <v>263</v>
      </c>
      <c r="L287" s="3" t="s">
        <v>454</v>
      </c>
      <c r="M287" s="386" t="s">
        <v>146</v>
      </c>
    </row>
    <row r="288" spans="9:13" x14ac:dyDescent="0.5">
      <c r="I288" s="1" t="s">
        <v>1432</v>
      </c>
      <c r="J288" s="1" t="s">
        <v>1432</v>
      </c>
      <c r="K288" s="418" t="s">
        <v>263</v>
      </c>
      <c r="L288" s="3" t="s">
        <v>454</v>
      </c>
      <c r="M288" s="386" t="s">
        <v>146</v>
      </c>
    </row>
    <row r="289" spans="9:13" x14ac:dyDescent="0.5">
      <c r="I289" s="1" t="s">
        <v>1435</v>
      </c>
      <c r="J289" s="417" t="s">
        <v>1436</v>
      </c>
      <c r="K289" s="418" t="s">
        <v>1437</v>
      </c>
      <c r="L289" s="3" t="s">
        <v>454</v>
      </c>
      <c r="M289" s="386" t="s">
        <v>146</v>
      </c>
    </row>
    <row r="290" spans="9:13" x14ac:dyDescent="0.5">
      <c r="I290" s="1" t="s">
        <v>1468</v>
      </c>
      <c r="J290" s="417" t="s">
        <v>1469</v>
      </c>
      <c r="K290" s="418" t="s">
        <v>261</v>
      </c>
      <c r="L290" s="3" t="s">
        <v>454</v>
      </c>
      <c r="M290" s="386" t="s">
        <v>146</v>
      </c>
    </row>
    <row r="291" spans="9:13" x14ac:dyDescent="0.5">
      <c r="I291" s="1" t="s">
        <v>1475</v>
      </c>
      <c r="J291" s="417" t="s">
        <v>1475</v>
      </c>
      <c r="K291" s="418" t="s">
        <v>1379</v>
      </c>
      <c r="L291" s="3" t="s">
        <v>454</v>
      </c>
      <c r="M291" s="386" t="s">
        <v>146</v>
      </c>
    </row>
    <row r="292" spans="9:13" x14ac:dyDescent="0.5">
      <c r="I292" s="1" t="s">
        <v>1476</v>
      </c>
      <c r="J292" s="417" t="s">
        <v>1477</v>
      </c>
      <c r="K292" s="418" t="s">
        <v>1379</v>
      </c>
      <c r="L292" s="3" t="s">
        <v>454</v>
      </c>
      <c r="M292" s="386" t="s">
        <v>146</v>
      </c>
    </row>
    <row r="293" spans="9:13" x14ac:dyDescent="0.5">
      <c r="I293" s="1" t="s">
        <v>1506</v>
      </c>
      <c r="J293" s="417" t="s">
        <v>1507</v>
      </c>
      <c r="K293" s="418" t="s">
        <v>1508</v>
      </c>
      <c r="L293" s="3" t="s">
        <v>454</v>
      </c>
      <c r="M293" s="386" t="s">
        <v>146</v>
      </c>
    </row>
    <row r="294" spans="9:13" x14ac:dyDescent="0.5">
      <c r="I294" s="1" t="s">
        <v>1524</v>
      </c>
      <c r="J294" s="417" t="s">
        <v>1525</v>
      </c>
      <c r="K294" s="418" t="s">
        <v>901</v>
      </c>
      <c r="L294" s="3" t="s">
        <v>454</v>
      </c>
      <c r="M294" s="386" t="s">
        <v>146</v>
      </c>
    </row>
    <row r="295" spans="9:13" x14ac:dyDescent="0.5">
      <c r="I295" s="1" t="s">
        <v>1526</v>
      </c>
      <c r="J295" s="417" t="s">
        <v>1527</v>
      </c>
      <c r="K295" s="418" t="s">
        <v>281</v>
      </c>
      <c r="L295" s="3" t="s">
        <v>454</v>
      </c>
      <c r="M295" s="386" t="s">
        <v>146</v>
      </c>
    </row>
    <row r="296" spans="9:13" x14ac:dyDescent="0.5">
      <c r="I296" s="1" t="s">
        <v>1528</v>
      </c>
      <c r="J296" s="417" t="s">
        <v>1529</v>
      </c>
      <c r="K296" s="418" t="s">
        <v>1530</v>
      </c>
      <c r="L296" s="3" t="s">
        <v>454</v>
      </c>
      <c r="M296" s="386" t="s">
        <v>146</v>
      </c>
    </row>
    <row r="297" spans="9:13" x14ac:dyDescent="0.5">
      <c r="I297" s="1" t="s">
        <v>1531</v>
      </c>
      <c r="J297" s="417" t="s">
        <v>1532</v>
      </c>
      <c r="K297" s="418" t="s">
        <v>901</v>
      </c>
      <c r="L297" s="3" t="s">
        <v>454</v>
      </c>
      <c r="M297" s="386" t="s">
        <v>146</v>
      </c>
    </row>
    <row r="298" spans="9:13" x14ac:dyDescent="0.5">
      <c r="I298" s="1" t="s">
        <v>1533</v>
      </c>
      <c r="J298" s="417" t="s">
        <v>1534</v>
      </c>
      <c r="K298" s="418" t="s">
        <v>489</v>
      </c>
      <c r="L298" s="3" t="s">
        <v>454</v>
      </c>
      <c r="M298" s="386" t="s">
        <v>146</v>
      </c>
    </row>
    <row r="299" spans="9:13" x14ac:dyDescent="0.5">
      <c r="I299" s="1" t="s">
        <v>647</v>
      </c>
      <c r="J299" s="417" t="s">
        <v>648</v>
      </c>
      <c r="K299" s="418" t="s">
        <v>150</v>
      </c>
      <c r="L299" s="1" t="s">
        <v>465</v>
      </c>
      <c r="M299" s="386" t="s">
        <v>146</v>
      </c>
    </row>
    <row r="300" spans="9:13" x14ac:dyDescent="0.5">
      <c r="I300" s="3" t="s">
        <v>1552</v>
      </c>
      <c r="J300" s="3" t="s">
        <v>1552</v>
      </c>
      <c r="K300" s="3" t="s">
        <v>278</v>
      </c>
      <c r="L300" s="3" t="s">
        <v>454</v>
      </c>
      <c r="M300" s="386" t="s">
        <v>146</v>
      </c>
    </row>
    <row r="301" spans="9:13" x14ac:dyDescent="0.5">
      <c r="I301" s="1" t="s">
        <v>1566</v>
      </c>
      <c r="J301" s="417" t="s">
        <v>1567</v>
      </c>
      <c r="K301" s="418" t="s">
        <v>150</v>
      </c>
      <c r="L301" s="1" t="s">
        <v>465</v>
      </c>
      <c r="M301" s="386" t="s">
        <v>146</v>
      </c>
    </row>
    <row r="302" spans="9:13" x14ac:dyDescent="0.5">
      <c r="I302" s="1" t="s">
        <v>1579</v>
      </c>
      <c r="J302" s="417" t="s">
        <v>1579</v>
      </c>
      <c r="K302" s="418" t="s">
        <v>1379</v>
      </c>
      <c r="L302" s="1" t="s">
        <v>454</v>
      </c>
      <c r="M302" s="386" t="s">
        <v>146</v>
      </c>
    </row>
    <row r="303" spans="9:13" x14ac:dyDescent="0.5">
      <c r="I303" s="1" t="s">
        <v>1611</v>
      </c>
      <c r="J303" s="417" t="s">
        <v>1611</v>
      </c>
      <c r="K303" s="418" t="s">
        <v>150</v>
      </c>
      <c r="L303" s="1" t="s">
        <v>465</v>
      </c>
      <c r="M303" s="62" t="s">
        <v>146</v>
      </c>
    </row>
    <row r="304" spans="9:13" x14ac:dyDescent="0.5">
      <c r="I304" s="1" t="s">
        <v>1612</v>
      </c>
      <c r="J304" s="417" t="s">
        <v>1613</v>
      </c>
      <c r="K304" s="418" t="s">
        <v>150</v>
      </c>
      <c r="L304" s="1" t="s">
        <v>465</v>
      </c>
      <c r="M304" s="62" t="s">
        <v>146</v>
      </c>
    </row>
    <row r="305" spans="9:13" x14ac:dyDescent="0.5">
      <c r="I305" s="1" t="s">
        <v>1621</v>
      </c>
      <c r="J305" s="417" t="s">
        <v>328</v>
      </c>
      <c r="K305" s="418" t="s">
        <v>261</v>
      </c>
      <c r="L305" s="1" t="s">
        <v>454</v>
      </c>
      <c r="M305" s="62" t="s">
        <v>146</v>
      </c>
    </row>
    <row r="306" spans="9:13" x14ac:dyDescent="0.5">
      <c r="I306" s="1" t="s">
        <v>1671</v>
      </c>
      <c r="J306" s="417" t="s">
        <v>1672</v>
      </c>
      <c r="K306" s="418" t="s">
        <v>876</v>
      </c>
      <c r="L306" s="1" t="s">
        <v>465</v>
      </c>
      <c r="M306" s="62" t="s">
        <v>146</v>
      </c>
    </row>
    <row r="307" spans="9:13" x14ac:dyDescent="0.5">
      <c r="I307" s="1" t="s">
        <v>1689</v>
      </c>
      <c r="J307" s="417" t="s">
        <v>1690</v>
      </c>
      <c r="K307" s="418" t="s">
        <v>1691</v>
      </c>
      <c r="L307" s="1" t="s">
        <v>454</v>
      </c>
      <c r="M307" s="62" t="s">
        <v>146</v>
      </c>
    </row>
    <row r="308" spans="9:13" x14ac:dyDescent="0.5">
      <c r="I308" s="1" t="s">
        <v>1712</v>
      </c>
      <c r="J308" s="417" t="s">
        <v>1711</v>
      </c>
      <c r="K308" s="418" t="s">
        <v>1713</v>
      </c>
      <c r="L308" s="1" t="s">
        <v>454</v>
      </c>
      <c r="M308" s="62" t="s">
        <v>146</v>
      </c>
    </row>
    <row r="309" spans="9:13" x14ac:dyDescent="0.5">
      <c r="I309" s="1" t="s">
        <v>1727</v>
      </c>
      <c r="J309" s="417" t="s">
        <v>1728</v>
      </c>
      <c r="K309" s="418" t="s">
        <v>261</v>
      </c>
      <c r="L309" s="1" t="s">
        <v>454</v>
      </c>
      <c r="M309" s="62" t="s">
        <v>146</v>
      </c>
    </row>
    <row r="310" spans="9:13" x14ac:dyDescent="0.5">
      <c r="I310" s="1" t="s">
        <v>1733</v>
      </c>
      <c r="J310" s="417" t="s">
        <v>1734</v>
      </c>
      <c r="K310" s="418" t="s">
        <v>261</v>
      </c>
      <c r="L310" s="1" t="s">
        <v>454</v>
      </c>
      <c r="M310" s="62"/>
    </row>
    <row r="311" spans="9:13" x14ac:dyDescent="0.5">
      <c r="I311" s="1"/>
      <c r="J311" s="1"/>
      <c r="M311" s="1"/>
    </row>
    <row r="312" spans="9:13" x14ac:dyDescent="0.5">
      <c r="I312" s="1"/>
      <c r="J312" s="1"/>
      <c r="M312" s="1"/>
    </row>
    <row r="313" spans="9:13" x14ac:dyDescent="0.5">
      <c r="I313" s="1"/>
      <c r="J313" s="1"/>
      <c r="M313" s="1"/>
    </row>
    <row r="314" spans="9:13" x14ac:dyDescent="0.5">
      <c r="I314" s="1"/>
      <c r="J314" s="1"/>
      <c r="M314" s="1"/>
    </row>
    <row r="315" spans="9:13" x14ac:dyDescent="0.5">
      <c r="I315" s="1"/>
      <c r="J315" s="1"/>
      <c r="M315" s="1"/>
    </row>
    <row r="316" spans="9:13" x14ac:dyDescent="0.5">
      <c r="I316" s="1"/>
      <c r="J316" s="1"/>
      <c r="M316" s="1"/>
    </row>
    <row r="317" spans="9:13" x14ac:dyDescent="0.5">
      <c r="I317" s="1"/>
      <c r="J317" s="1"/>
      <c r="M317" s="1"/>
    </row>
    <row r="318" spans="9:13" x14ac:dyDescent="0.5">
      <c r="I318" s="1"/>
      <c r="J318" s="1"/>
      <c r="M318" s="1"/>
    </row>
    <row r="319" spans="9:13" x14ac:dyDescent="0.5">
      <c r="I319" s="1"/>
      <c r="J319" s="1"/>
      <c r="M319" s="1"/>
    </row>
    <row r="320" spans="9:13" x14ac:dyDescent="0.5">
      <c r="I320" s="1"/>
      <c r="J320" s="1"/>
      <c r="M320" s="1"/>
    </row>
    <row r="321" spans="9:13" x14ac:dyDescent="0.5">
      <c r="I321" s="1"/>
      <c r="J321" s="1"/>
      <c r="M321" s="1"/>
    </row>
    <row r="322" spans="9:13" x14ac:dyDescent="0.5">
      <c r="I322" s="1"/>
      <c r="J322" s="1"/>
      <c r="M322" s="1"/>
    </row>
    <row r="323" spans="9:13" x14ac:dyDescent="0.5">
      <c r="I323" s="1"/>
      <c r="J323" s="1"/>
      <c r="M323" s="1"/>
    </row>
    <row r="324" spans="9:13" x14ac:dyDescent="0.5">
      <c r="I324" s="1"/>
      <c r="J324" s="1"/>
      <c r="M324" s="1"/>
    </row>
    <row r="325" spans="9:13" x14ac:dyDescent="0.5">
      <c r="I325" s="1"/>
      <c r="J325" s="1"/>
      <c r="M325" s="1"/>
    </row>
    <row r="326" spans="9:13" x14ac:dyDescent="0.5">
      <c r="I326" s="1"/>
      <c r="J326" s="1"/>
      <c r="M326" s="1"/>
    </row>
    <row r="327" spans="9:13" x14ac:dyDescent="0.5">
      <c r="I327" s="1"/>
      <c r="J327" s="1"/>
      <c r="M327" s="1"/>
    </row>
    <row r="328" spans="9:13" x14ac:dyDescent="0.5">
      <c r="I328" s="1"/>
      <c r="J328" s="1"/>
      <c r="M328" s="1"/>
    </row>
    <row r="329" spans="9:13" x14ac:dyDescent="0.5">
      <c r="I329" s="1"/>
      <c r="J329" s="1"/>
      <c r="M329" s="1"/>
    </row>
    <row r="330" spans="9:13" x14ac:dyDescent="0.5">
      <c r="I330" s="1"/>
      <c r="J330" s="1"/>
      <c r="M330" s="1"/>
    </row>
    <row r="331" spans="9:13" x14ac:dyDescent="0.5">
      <c r="I331" s="1"/>
      <c r="J331" s="1"/>
      <c r="M331" s="1"/>
    </row>
    <row r="332" spans="9:13" x14ac:dyDescent="0.5">
      <c r="I332" s="1"/>
      <c r="J332" s="1"/>
      <c r="M332" s="1"/>
    </row>
    <row r="333" spans="9:13" x14ac:dyDescent="0.5">
      <c r="I333" s="1"/>
      <c r="J333" s="1"/>
      <c r="M333" s="1"/>
    </row>
    <row r="334" spans="9:13" x14ac:dyDescent="0.5">
      <c r="I334" s="1"/>
      <c r="J334" s="1"/>
      <c r="M334" s="1"/>
    </row>
    <row r="335" spans="9:13" x14ac:dyDescent="0.5">
      <c r="I335" s="1"/>
      <c r="J335" s="1"/>
      <c r="M335" s="1"/>
    </row>
    <row r="336" spans="9:13" x14ac:dyDescent="0.5">
      <c r="I336" s="1"/>
      <c r="J336" s="1"/>
      <c r="M336" s="1"/>
    </row>
    <row r="337" spans="9:13" x14ac:dyDescent="0.5">
      <c r="I337" s="1"/>
      <c r="J337" s="1"/>
      <c r="M337" s="1"/>
    </row>
    <row r="338" spans="9:13" x14ac:dyDescent="0.5">
      <c r="I338" s="1"/>
      <c r="J338" s="1"/>
      <c r="M338" s="1"/>
    </row>
    <row r="339" spans="9:13" x14ac:dyDescent="0.5">
      <c r="I339" s="1"/>
      <c r="J339" s="1"/>
      <c r="M339" s="1"/>
    </row>
    <row r="340" spans="9:13" x14ac:dyDescent="0.5">
      <c r="I340" s="1"/>
      <c r="J340" s="1"/>
      <c r="M340" s="1"/>
    </row>
    <row r="341" spans="9:13" x14ac:dyDescent="0.5">
      <c r="I341" s="1"/>
      <c r="J341" s="1"/>
      <c r="M341" s="1"/>
    </row>
    <row r="342" spans="9:13" x14ac:dyDescent="0.5">
      <c r="I342" s="1"/>
      <c r="J342" s="1"/>
      <c r="M342" s="1"/>
    </row>
    <row r="343" spans="9:13" x14ac:dyDescent="0.5">
      <c r="I343" s="1"/>
      <c r="J343" s="1"/>
      <c r="M343" s="1"/>
    </row>
    <row r="344" spans="9:13" x14ac:dyDescent="0.5">
      <c r="I344" s="1"/>
      <c r="J344" s="1"/>
      <c r="M344" s="1"/>
    </row>
    <row r="345" spans="9:13" x14ac:dyDescent="0.5">
      <c r="I345" s="1"/>
      <c r="J345" s="1"/>
      <c r="M345" s="1"/>
    </row>
    <row r="346" spans="9:13" x14ac:dyDescent="0.5">
      <c r="I346" s="1"/>
      <c r="J346" s="1"/>
      <c r="M346" s="1"/>
    </row>
    <row r="347" spans="9:13" x14ac:dyDescent="0.5">
      <c r="I347" s="1"/>
      <c r="J347" s="1"/>
      <c r="M347" s="1"/>
    </row>
    <row r="348" spans="9:13" x14ac:dyDescent="0.5">
      <c r="I348" s="1"/>
      <c r="J348" s="1"/>
      <c r="M348" s="1"/>
    </row>
    <row r="349" spans="9:13" x14ac:dyDescent="0.5">
      <c r="I349" s="1"/>
      <c r="J349" s="1"/>
      <c r="M349" s="1"/>
    </row>
    <row r="350" spans="9:13" x14ac:dyDescent="0.5">
      <c r="I350" s="1"/>
      <c r="J350" s="1"/>
      <c r="M350" s="1"/>
    </row>
    <row r="351" spans="9:13" x14ac:dyDescent="0.5">
      <c r="I351" s="1"/>
      <c r="J351" s="1"/>
      <c r="M351" s="1"/>
    </row>
    <row r="352" spans="9:13" x14ac:dyDescent="0.5">
      <c r="I352" s="1"/>
      <c r="J352" s="1"/>
      <c r="M352" s="1"/>
    </row>
    <row r="353" spans="9:13" x14ac:dyDescent="0.5">
      <c r="I353" s="1"/>
      <c r="J353" s="1"/>
      <c r="M353" s="1"/>
    </row>
    <row r="354" spans="9:13" x14ac:dyDescent="0.5">
      <c r="I354" s="1"/>
      <c r="J354" s="1"/>
      <c r="M354" s="1"/>
    </row>
    <row r="355" spans="9:13" x14ac:dyDescent="0.5">
      <c r="I355" s="1"/>
      <c r="J355" s="1"/>
      <c r="M355" s="1"/>
    </row>
    <row r="356" spans="9:13" x14ac:dyDescent="0.5">
      <c r="I356" s="1"/>
      <c r="J356" s="1"/>
      <c r="M356" s="1"/>
    </row>
    <row r="357" spans="9:13" x14ac:dyDescent="0.5">
      <c r="I357" s="1"/>
      <c r="J357" s="1"/>
      <c r="M357" s="1"/>
    </row>
    <row r="358" spans="9:13" x14ac:dyDescent="0.5">
      <c r="I358" s="1"/>
      <c r="J358" s="1"/>
      <c r="M358" s="1"/>
    </row>
    <row r="359" spans="9:13" x14ac:dyDescent="0.5">
      <c r="I359" s="1"/>
      <c r="J359" s="1"/>
      <c r="M359" s="1"/>
    </row>
    <row r="360" spans="9:13" x14ac:dyDescent="0.5">
      <c r="I360" s="1"/>
      <c r="J360" s="1"/>
      <c r="M360" s="1"/>
    </row>
    <row r="361" spans="9:13" x14ac:dyDescent="0.5">
      <c r="I361" s="1"/>
      <c r="J361" s="1"/>
      <c r="M361" s="1"/>
    </row>
    <row r="362" spans="9:13" x14ac:dyDescent="0.5">
      <c r="I362" s="1"/>
      <c r="J362" s="1"/>
      <c r="M362" s="1"/>
    </row>
    <row r="363" spans="9:13" x14ac:dyDescent="0.5">
      <c r="I363" s="1"/>
      <c r="J363" s="1"/>
      <c r="M363" s="1"/>
    </row>
    <row r="364" spans="9:13" x14ac:dyDescent="0.5">
      <c r="I364" s="1"/>
      <c r="J364" s="1"/>
      <c r="M364" s="1"/>
    </row>
    <row r="365" spans="9:13" x14ac:dyDescent="0.5">
      <c r="I365" s="1"/>
      <c r="J365" s="1"/>
      <c r="M365" s="1"/>
    </row>
    <row r="366" spans="9:13" x14ac:dyDescent="0.5">
      <c r="I366" s="1"/>
      <c r="J366" s="1"/>
      <c r="M366" s="1"/>
    </row>
    <row r="367" spans="9:13" x14ac:dyDescent="0.5">
      <c r="I367" s="1"/>
      <c r="J367" s="1"/>
      <c r="M367" s="1"/>
    </row>
    <row r="368" spans="9:13" x14ac:dyDescent="0.5">
      <c r="I368" s="1"/>
      <c r="J368" s="1"/>
      <c r="M368" s="1"/>
    </row>
    <row r="369" spans="9:13" x14ac:dyDescent="0.5">
      <c r="I369" s="1"/>
      <c r="J369" s="1"/>
      <c r="M369" s="1"/>
    </row>
    <row r="370" spans="9:13" x14ac:dyDescent="0.5">
      <c r="I370" s="1"/>
      <c r="J370" s="1"/>
      <c r="M370" s="1"/>
    </row>
    <row r="371" spans="9:13" x14ac:dyDescent="0.5">
      <c r="I371" s="1"/>
      <c r="J371" s="1"/>
      <c r="M371" s="1"/>
    </row>
    <row r="372" spans="9:13" x14ac:dyDescent="0.5">
      <c r="I372" s="1"/>
      <c r="J372" s="1"/>
      <c r="M372" s="1"/>
    </row>
    <row r="373" spans="9:13" x14ac:dyDescent="0.5">
      <c r="I373" s="1"/>
      <c r="J373" s="1"/>
      <c r="M373" s="1"/>
    </row>
    <row r="374" spans="9:13" x14ac:dyDescent="0.5">
      <c r="I374" s="1"/>
      <c r="J374" s="1"/>
      <c r="M374" s="1"/>
    </row>
    <row r="375" spans="9:13" x14ac:dyDescent="0.5">
      <c r="I375" s="1"/>
      <c r="J375" s="1"/>
      <c r="M375" s="1"/>
    </row>
    <row r="376" spans="9:13" x14ac:dyDescent="0.5">
      <c r="I376" s="1"/>
      <c r="J376" s="1"/>
      <c r="M376" s="1"/>
    </row>
    <row r="377" spans="9:13" x14ac:dyDescent="0.5">
      <c r="I377" s="1"/>
      <c r="J377" s="1"/>
      <c r="M377" s="1"/>
    </row>
    <row r="378" spans="9:13" x14ac:dyDescent="0.5">
      <c r="I378" s="1"/>
      <c r="J378" s="1"/>
      <c r="M378" s="1"/>
    </row>
    <row r="379" spans="9:13" x14ac:dyDescent="0.5">
      <c r="I379" s="1"/>
      <c r="J379" s="1"/>
      <c r="M379" s="1"/>
    </row>
    <row r="380" spans="9:13" x14ac:dyDescent="0.5">
      <c r="I380" s="1"/>
      <c r="J380" s="1"/>
      <c r="M380" s="1"/>
    </row>
    <row r="381" spans="9:13" x14ac:dyDescent="0.5">
      <c r="I381" s="1"/>
      <c r="J381" s="1"/>
      <c r="M381" s="1"/>
    </row>
    <row r="382" spans="9:13" x14ac:dyDescent="0.5">
      <c r="I382" s="1"/>
      <c r="J382" s="1"/>
      <c r="M382" s="1"/>
    </row>
    <row r="383" spans="9:13" x14ac:dyDescent="0.5">
      <c r="I383" s="1"/>
      <c r="J383" s="1"/>
      <c r="M383" s="1"/>
    </row>
    <row r="384" spans="9:13" x14ac:dyDescent="0.5">
      <c r="I384" s="1"/>
      <c r="J384" s="1"/>
      <c r="M384" s="1"/>
    </row>
    <row r="385" spans="9:13" x14ac:dyDescent="0.5">
      <c r="I385" s="1"/>
      <c r="J385" s="1"/>
      <c r="M385" s="1"/>
    </row>
    <row r="386" spans="9:13" x14ac:dyDescent="0.5">
      <c r="I386" s="1"/>
      <c r="J386" s="1"/>
      <c r="M386" s="1"/>
    </row>
    <row r="387" spans="9:13" x14ac:dyDescent="0.5">
      <c r="I387" s="1"/>
      <c r="J387" s="1"/>
      <c r="M387" s="1"/>
    </row>
    <row r="388" spans="9:13" x14ac:dyDescent="0.5">
      <c r="I388" s="1"/>
      <c r="J388" s="1"/>
      <c r="M388" s="1"/>
    </row>
    <row r="389" spans="9:13" x14ac:dyDescent="0.5">
      <c r="I389" s="1"/>
      <c r="J389" s="1"/>
      <c r="M389" s="1"/>
    </row>
    <row r="390" spans="9:13" x14ac:dyDescent="0.5">
      <c r="I390" s="1"/>
      <c r="J390" s="1"/>
      <c r="M390" s="1"/>
    </row>
    <row r="391" spans="9:13" x14ac:dyDescent="0.5">
      <c r="I391" s="1"/>
      <c r="J391" s="1"/>
      <c r="M391" s="1"/>
    </row>
    <row r="392" spans="9:13" x14ac:dyDescent="0.5">
      <c r="I392" s="1"/>
      <c r="J392" s="1"/>
      <c r="M392" s="1"/>
    </row>
    <row r="393" spans="9:13" x14ac:dyDescent="0.5">
      <c r="I393" s="1"/>
      <c r="J393" s="1"/>
      <c r="M393" s="1"/>
    </row>
    <row r="394" spans="9:13" x14ac:dyDescent="0.5">
      <c r="I394" s="1"/>
      <c r="J394" s="1"/>
      <c r="M394" s="1"/>
    </row>
    <row r="395" spans="9:13" x14ac:dyDescent="0.5">
      <c r="I395" s="1"/>
      <c r="J395" s="1"/>
      <c r="M395" s="1"/>
    </row>
    <row r="396" spans="9:13" x14ac:dyDescent="0.5">
      <c r="I396" s="1"/>
      <c r="J396" s="1"/>
      <c r="M396" s="1"/>
    </row>
    <row r="397" spans="9:13" x14ac:dyDescent="0.5">
      <c r="I397" s="1"/>
      <c r="J397" s="1"/>
      <c r="M397" s="1"/>
    </row>
    <row r="398" spans="9:13" x14ac:dyDescent="0.5">
      <c r="I398" s="1"/>
      <c r="J398" s="1"/>
      <c r="M398" s="1"/>
    </row>
    <row r="399" spans="9:13" x14ac:dyDescent="0.5">
      <c r="I399" s="1"/>
      <c r="J399" s="1"/>
      <c r="M399" s="1"/>
    </row>
    <row r="400" spans="9:13" x14ac:dyDescent="0.5">
      <c r="I400" s="1"/>
      <c r="J400" s="1"/>
      <c r="M400" s="1"/>
    </row>
    <row r="401" spans="9:13" x14ac:dyDescent="0.5">
      <c r="I401" s="1"/>
      <c r="J401" s="1"/>
      <c r="M401" s="1"/>
    </row>
    <row r="402" spans="9:13" x14ac:dyDescent="0.5">
      <c r="I402" s="1"/>
      <c r="J402" s="1"/>
      <c r="M402" s="1"/>
    </row>
    <row r="403" spans="9:13" x14ac:dyDescent="0.5">
      <c r="I403" s="1"/>
      <c r="J403" s="1"/>
      <c r="M403" s="1"/>
    </row>
    <row r="404" spans="9:13" x14ac:dyDescent="0.5">
      <c r="I404" s="1"/>
      <c r="J404" s="1"/>
      <c r="M404" s="1"/>
    </row>
    <row r="405" spans="9:13" x14ac:dyDescent="0.5">
      <c r="I405" s="1"/>
      <c r="J405" s="1"/>
      <c r="M405" s="1"/>
    </row>
    <row r="406" spans="9:13" x14ac:dyDescent="0.5">
      <c r="I406" s="1"/>
      <c r="J406" s="1"/>
      <c r="M406" s="1"/>
    </row>
    <row r="407" spans="9:13" x14ac:dyDescent="0.5">
      <c r="I407" s="1"/>
      <c r="J407" s="1"/>
      <c r="M407" s="1"/>
    </row>
    <row r="408" spans="9:13" x14ac:dyDescent="0.5">
      <c r="I408" s="1"/>
      <c r="J408" s="1"/>
      <c r="M408" s="1"/>
    </row>
    <row r="409" spans="9:13" x14ac:dyDescent="0.5">
      <c r="I409" s="1"/>
      <c r="J409" s="1"/>
      <c r="M409" s="1"/>
    </row>
    <row r="410" spans="9:13" x14ac:dyDescent="0.5">
      <c r="I410" s="1"/>
      <c r="J410" s="1"/>
      <c r="M410" s="1"/>
    </row>
    <row r="411" spans="9:13" x14ac:dyDescent="0.5">
      <c r="I411" s="1"/>
      <c r="J411" s="1"/>
      <c r="M411" s="1"/>
    </row>
    <row r="412" spans="9:13" x14ac:dyDescent="0.5">
      <c r="I412" s="1"/>
      <c r="J412" s="1"/>
      <c r="M412" s="1"/>
    </row>
    <row r="413" spans="9:13" x14ac:dyDescent="0.5">
      <c r="I413" s="1"/>
      <c r="J413" s="1"/>
      <c r="M413" s="1"/>
    </row>
    <row r="414" spans="9:13" x14ac:dyDescent="0.5">
      <c r="I414" s="1"/>
      <c r="J414" s="1"/>
      <c r="M414" s="1"/>
    </row>
    <row r="415" spans="9:13" x14ac:dyDescent="0.5">
      <c r="I415" s="1"/>
      <c r="J415" s="1"/>
      <c r="M415" s="1"/>
    </row>
    <row r="416" spans="9:13" x14ac:dyDescent="0.5">
      <c r="I416" s="1"/>
      <c r="J416" s="1"/>
      <c r="M416" s="1"/>
    </row>
    <row r="417" spans="9:13" x14ac:dyDescent="0.5">
      <c r="I417" s="1"/>
      <c r="J417" s="1"/>
      <c r="M417" s="1"/>
    </row>
    <row r="418" spans="9:13" x14ac:dyDescent="0.5">
      <c r="I418" s="1"/>
      <c r="J418" s="1"/>
      <c r="M418" s="1"/>
    </row>
    <row r="419" spans="9:13" x14ac:dyDescent="0.5">
      <c r="I419" s="1"/>
      <c r="J419" s="1"/>
      <c r="M419" s="1"/>
    </row>
    <row r="420" spans="9:13" x14ac:dyDescent="0.5">
      <c r="I420" s="1"/>
      <c r="J420" s="1"/>
      <c r="M420" s="1"/>
    </row>
    <row r="421" spans="9:13" x14ac:dyDescent="0.5">
      <c r="I421" s="1"/>
      <c r="J421" s="1"/>
      <c r="M421" s="1"/>
    </row>
    <row r="422" spans="9:13" x14ac:dyDescent="0.5">
      <c r="I422" s="1"/>
      <c r="J422" s="1"/>
      <c r="M422" s="1"/>
    </row>
    <row r="423" spans="9:13" x14ac:dyDescent="0.5">
      <c r="I423" s="1"/>
      <c r="J423" s="1"/>
      <c r="M423" s="1"/>
    </row>
    <row r="424" spans="9:13" x14ac:dyDescent="0.5">
      <c r="I424" s="1"/>
      <c r="J424" s="1"/>
      <c r="M424" s="1"/>
    </row>
    <row r="425" spans="9:13" x14ac:dyDescent="0.5">
      <c r="I425" s="1"/>
      <c r="J425" s="1"/>
      <c r="M425" s="1"/>
    </row>
    <row r="426" spans="9:13" x14ac:dyDescent="0.5">
      <c r="I426" s="1"/>
      <c r="J426" s="1"/>
      <c r="M426" s="1"/>
    </row>
    <row r="427" spans="9:13" x14ac:dyDescent="0.5">
      <c r="I427" s="1"/>
      <c r="J427" s="1"/>
      <c r="M427" s="1"/>
    </row>
    <row r="428" spans="9:13" x14ac:dyDescent="0.5">
      <c r="I428" s="1"/>
      <c r="J428" s="1"/>
      <c r="M428" s="1"/>
    </row>
    <row r="429" spans="9:13" x14ac:dyDescent="0.5">
      <c r="I429" s="1"/>
      <c r="J429" s="1"/>
      <c r="M429" s="1"/>
    </row>
    <row r="430" spans="9:13" x14ac:dyDescent="0.5">
      <c r="I430" s="1"/>
      <c r="J430" s="1"/>
      <c r="M430" s="1"/>
    </row>
    <row r="431" spans="9:13" x14ac:dyDescent="0.5">
      <c r="I431" s="1"/>
      <c r="J431" s="1"/>
      <c r="M431" s="1"/>
    </row>
    <row r="432" spans="9:13" x14ac:dyDescent="0.5">
      <c r="I432" s="1"/>
      <c r="J432" s="1"/>
      <c r="M432" s="1"/>
    </row>
    <row r="433" spans="9:13" x14ac:dyDescent="0.5">
      <c r="I433" s="1"/>
      <c r="J433" s="1"/>
      <c r="M433" s="1"/>
    </row>
    <row r="434" spans="9:13" x14ac:dyDescent="0.5">
      <c r="I434" s="1"/>
      <c r="J434" s="1"/>
      <c r="M434" s="1"/>
    </row>
    <row r="435" spans="9:13" x14ac:dyDescent="0.5">
      <c r="I435" s="1"/>
      <c r="J435" s="1"/>
      <c r="M435" s="1"/>
    </row>
    <row r="436" spans="9:13" x14ac:dyDescent="0.5">
      <c r="I436" s="1"/>
      <c r="J436" s="1"/>
      <c r="M436" s="1"/>
    </row>
    <row r="437" spans="9:13" x14ac:dyDescent="0.5">
      <c r="I437" s="1"/>
      <c r="J437" s="1"/>
      <c r="M437" s="1"/>
    </row>
    <row r="438" spans="9:13" x14ac:dyDescent="0.5">
      <c r="I438" s="1"/>
      <c r="J438" s="1"/>
      <c r="M438" s="1"/>
    </row>
    <row r="439" spans="9:13" x14ac:dyDescent="0.5">
      <c r="I439" s="1"/>
      <c r="J439" s="1"/>
      <c r="M439" s="1"/>
    </row>
    <row r="440" spans="9:13" x14ac:dyDescent="0.5">
      <c r="I440" s="1"/>
      <c r="J440" s="1"/>
      <c r="M440" s="1"/>
    </row>
    <row r="441" spans="9:13" x14ac:dyDescent="0.5">
      <c r="I441" s="1"/>
      <c r="J441" s="1"/>
      <c r="M441" s="1"/>
    </row>
    <row r="442" spans="9:13" x14ac:dyDescent="0.5">
      <c r="I442" s="1"/>
      <c r="J442" s="1"/>
      <c r="M442" s="1"/>
    </row>
    <row r="443" spans="9:13" x14ac:dyDescent="0.5">
      <c r="I443" s="1"/>
      <c r="J443" s="1"/>
      <c r="M443" s="1"/>
    </row>
    <row r="444" spans="9:13" x14ac:dyDescent="0.5">
      <c r="I444" s="1"/>
      <c r="J444" s="1"/>
      <c r="M444" s="1"/>
    </row>
    <row r="445" spans="9:13" x14ac:dyDescent="0.5">
      <c r="I445" s="1"/>
      <c r="J445" s="1"/>
      <c r="M445" s="1"/>
    </row>
    <row r="446" spans="9:13" x14ac:dyDescent="0.5">
      <c r="I446" s="1"/>
      <c r="J446" s="1"/>
      <c r="M446" s="1"/>
    </row>
    <row r="447" spans="9:13" x14ac:dyDescent="0.5">
      <c r="I447" s="1"/>
      <c r="J447" s="1"/>
      <c r="M447" s="1"/>
    </row>
    <row r="448" spans="9:13" x14ac:dyDescent="0.5">
      <c r="I448" s="1"/>
      <c r="J448" s="1"/>
      <c r="M448" s="1"/>
    </row>
    <row r="449" spans="9:13" x14ac:dyDescent="0.5">
      <c r="I449" s="1"/>
      <c r="J449" s="1"/>
      <c r="M449" s="1"/>
    </row>
    <row r="450" spans="9:13" x14ac:dyDescent="0.5">
      <c r="I450" s="1"/>
      <c r="J450" s="1"/>
      <c r="M450" s="1"/>
    </row>
    <row r="451" spans="9:13" x14ac:dyDescent="0.5">
      <c r="I451" s="1"/>
      <c r="J451" s="1"/>
      <c r="M451" s="1"/>
    </row>
    <row r="452" spans="9:13" x14ac:dyDescent="0.5">
      <c r="I452" s="1"/>
      <c r="J452" s="1"/>
      <c r="M452" s="1"/>
    </row>
    <row r="453" spans="9:13" x14ac:dyDescent="0.5">
      <c r="I453" s="1"/>
      <c r="J453" s="1"/>
      <c r="M453" s="1"/>
    </row>
    <row r="454" spans="9:13" x14ac:dyDescent="0.5">
      <c r="I454" s="1"/>
      <c r="J454" s="1"/>
      <c r="M454" s="1"/>
    </row>
    <row r="455" spans="9:13" x14ac:dyDescent="0.5">
      <c r="I455" s="1"/>
      <c r="J455" s="1"/>
      <c r="M455" s="1"/>
    </row>
    <row r="456" spans="9:13" x14ac:dyDescent="0.5">
      <c r="I456" s="1"/>
      <c r="J456" s="1"/>
      <c r="M456" s="1"/>
    </row>
    <row r="457" spans="9:13" x14ac:dyDescent="0.5">
      <c r="I457" s="1"/>
      <c r="J457" s="1"/>
      <c r="M457" s="1"/>
    </row>
    <row r="458" spans="9:13" x14ac:dyDescent="0.5">
      <c r="I458" s="1"/>
      <c r="J458" s="1"/>
      <c r="M458" s="1"/>
    </row>
    <row r="459" spans="9:13" x14ac:dyDescent="0.5">
      <c r="I459" s="1"/>
      <c r="J459" s="1"/>
      <c r="M459" s="1"/>
    </row>
    <row r="460" spans="9:13" x14ac:dyDescent="0.5">
      <c r="I460" s="1"/>
      <c r="J460" s="1"/>
      <c r="M460" s="1"/>
    </row>
    <row r="461" spans="9:13" x14ac:dyDescent="0.5">
      <c r="I461" s="1"/>
      <c r="J461" s="1"/>
      <c r="M461" s="1"/>
    </row>
    <row r="462" spans="9:13" x14ac:dyDescent="0.5">
      <c r="I462" s="1"/>
      <c r="J462" s="1"/>
      <c r="M462" s="1"/>
    </row>
    <row r="463" spans="9:13" x14ac:dyDescent="0.5">
      <c r="I463" s="1"/>
      <c r="J463" s="1"/>
      <c r="M463" s="1"/>
    </row>
    <row r="464" spans="9:13" x14ac:dyDescent="0.5">
      <c r="I464" s="1"/>
      <c r="J464" s="1"/>
      <c r="M464" s="1"/>
    </row>
    <row r="465" spans="9:13" x14ac:dyDescent="0.5">
      <c r="I465" s="1"/>
      <c r="J465" s="1"/>
      <c r="M465" s="1"/>
    </row>
    <row r="466" spans="9:13" x14ac:dyDescent="0.5">
      <c r="I466" s="1"/>
      <c r="J466" s="1"/>
      <c r="M466" s="1"/>
    </row>
    <row r="467" spans="9:13" x14ac:dyDescent="0.5">
      <c r="I467" s="1"/>
      <c r="J467" s="1"/>
      <c r="M467" s="1"/>
    </row>
    <row r="468" spans="9:13" x14ac:dyDescent="0.5">
      <c r="I468" s="1"/>
      <c r="J468" s="1"/>
      <c r="M468" s="1"/>
    </row>
    <row r="469" spans="9:13" x14ac:dyDescent="0.5">
      <c r="I469" s="1"/>
      <c r="J469" s="1"/>
      <c r="M469" s="1"/>
    </row>
    <row r="470" spans="9:13" x14ac:dyDescent="0.5">
      <c r="I470" s="1"/>
      <c r="J470" s="1"/>
      <c r="M470" s="1"/>
    </row>
    <row r="471" spans="9:13" x14ac:dyDescent="0.5">
      <c r="I471" s="1"/>
      <c r="J471" s="1"/>
      <c r="M471" s="1"/>
    </row>
    <row r="472" spans="9:13" x14ac:dyDescent="0.5">
      <c r="I472" s="1"/>
      <c r="J472" s="1"/>
      <c r="M472" s="1"/>
    </row>
    <row r="473" spans="9:13" x14ac:dyDescent="0.5">
      <c r="I473" s="1"/>
      <c r="J473" s="1"/>
      <c r="M473" s="1"/>
    </row>
    <row r="474" spans="9:13" x14ac:dyDescent="0.5">
      <c r="I474" s="1"/>
      <c r="J474" s="1"/>
      <c r="M474" s="1"/>
    </row>
    <row r="475" spans="9:13" x14ac:dyDescent="0.5">
      <c r="I475" s="1"/>
      <c r="J475" s="1"/>
      <c r="M475" s="1"/>
    </row>
    <row r="476" spans="9:13" x14ac:dyDescent="0.5">
      <c r="I476" s="1"/>
      <c r="J476" s="1"/>
      <c r="M476" s="1"/>
    </row>
    <row r="477" spans="9:13" x14ac:dyDescent="0.5">
      <c r="I477" s="1"/>
      <c r="J477" s="1"/>
      <c r="M477" s="1"/>
    </row>
    <row r="478" spans="9:13" x14ac:dyDescent="0.5">
      <c r="I478" s="1"/>
      <c r="J478" s="1"/>
      <c r="M478" s="1"/>
    </row>
    <row r="479" spans="9:13" x14ac:dyDescent="0.5">
      <c r="I479" s="1"/>
      <c r="J479" s="1"/>
      <c r="M479" s="1"/>
    </row>
    <row r="480" spans="9:13" x14ac:dyDescent="0.5">
      <c r="I480" s="1"/>
      <c r="J480" s="1"/>
      <c r="M480" s="1"/>
    </row>
    <row r="481" spans="9:13" x14ac:dyDescent="0.5">
      <c r="I481" s="1"/>
      <c r="J481" s="1"/>
      <c r="M481" s="1"/>
    </row>
    <row r="482" spans="9:13" x14ac:dyDescent="0.5">
      <c r="I482" s="1"/>
      <c r="J482" s="1"/>
      <c r="M482" s="1"/>
    </row>
    <row r="483" spans="9:13" x14ac:dyDescent="0.5">
      <c r="I483" s="1"/>
      <c r="J483" s="1"/>
      <c r="M483" s="1"/>
    </row>
    <row r="484" spans="9:13" x14ac:dyDescent="0.5">
      <c r="I484" s="1"/>
      <c r="J484" s="1"/>
      <c r="M484" s="1"/>
    </row>
    <row r="485" spans="9:13" x14ac:dyDescent="0.5">
      <c r="I485" s="1"/>
      <c r="J485" s="1"/>
      <c r="M485" s="1"/>
    </row>
    <row r="486" spans="9:13" x14ac:dyDescent="0.5">
      <c r="I486" s="1"/>
      <c r="J486" s="1"/>
      <c r="M486" s="1"/>
    </row>
    <row r="487" spans="9:13" x14ac:dyDescent="0.5">
      <c r="I487" s="1"/>
      <c r="J487" s="1"/>
      <c r="M487" s="1"/>
    </row>
    <row r="488" spans="9:13" x14ac:dyDescent="0.5">
      <c r="I488" s="1"/>
      <c r="J488" s="1"/>
      <c r="M488" s="1"/>
    </row>
    <row r="489" spans="9:13" x14ac:dyDescent="0.5">
      <c r="I489" s="1"/>
      <c r="J489" s="1"/>
      <c r="M489" s="1"/>
    </row>
    <row r="490" spans="9:13" x14ac:dyDescent="0.5">
      <c r="I490" s="1"/>
      <c r="J490" s="1"/>
      <c r="M490" s="1"/>
    </row>
    <row r="491" spans="9:13" x14ac:dyDescent="0.5">
      <c r="I491" s="1"/>
      <c r="J491" s="1"/>
      <c r="M491" s="1"/>
    </row>
    <row r="492" spans="9:13" x14ac:dyDescent="0.5">
      <c r="I492" s="1"/>
      <c r="J492" s="1"/>
      <c r="M492" s="1"/>
    </row>
    <row r="493" spans="9:13" x14ac:dyDescent="0.5">
      <c r="I493" s="1"/>
      <c r="J493" s="1"/>
      <c r="M493" s="1"/>
    </row>
    <row r="494" spans="9:13" x14ac:dyDescent="0.5">
      <c r="I494" s="1"/>
      <c r="J494" s="1"/>
      <c r="M494" s="1"/>
    </row>
    <row r="495" spans="9:13" x14ac:dyDescent="0.5">
      <c r="I495" s="1"/>
      <c r="J495" s="1"/>
      <c r="M495" s="1"/>
    </row>
    <row r="496" spans="9:13" x14ac:dyDescent="0.5">
      <c r="I496" s="1"/>
      <c r="J496" s="1"/>
      <c r="M496" s="1"/>
    </row>
    <row r="497" spans="9:13" x14ac:dyDescent="0.5">
      <c r="I497" s="1"/>
      <c r="J497" s="1"/>
      <c r="M497" s="1"/>
    </row>
    <row r="498" spans="9:13" x14ac:dyDescent="0.5">
      <c r="I498" s="1"/>
      <c r="J498" s="1"/>
      <c r="M498" s="1"/>
    </row>
    <row r="499" spans="9:13" x14ac:dyDescent="0.5">
      <c r="I499" s="1"/>
      <c r="J499" s="1"/>
      <c r="M499" s="1"/>
    </row>
    <row r="500" spans="9:13" x14ac:dyDescent="0.5">
      <c r="I500" s="1"/>
      <c r="J500" s="1"/>
      <c r="M500" s="1"/>
    </row>
    <row r="501" spans="9:13" x14ac:dyDescent="0.5">
      <c r="I501" s="1"/>
      <c r="J501" s="1"/>
      <c r="M501" s="1"/>
    </row>
    <row r="502" spans="9:13" x14ac:dyDescent="0.5">
      <c r="I502" s="1"/>
      <c r="J502" s="1"/>
      <c r="M502" s="1"/>
    </row>
    <row r="503" spans="9:13" x14ac:dyDescent="0.5">
      <c r="I503" s="1"/>
      <c r="J503" s="1"/>
      <c r="M503" s="1"/>
    </row>
    <row r="504" spans="9:13" x14ac:dyDescent="0.5">
      <c r="I504" s="1"/>
      <c r="J504" s="1"/>
      <c r="M504" s="1"/>
    </row>
    <row r="505" spans="9:13" x14ac:dyDescent="0.5">
      <c r="I505" s="1"/>
      <c r="J505" s="1"/>
      <c r="M505" s="1"/>
    </row>
    <row r="506" spans="9:13" x14ac:dyDescent="0.5">
      <c r="I506" s="1"/>
      <c r="J506" s="1"/>
      <c r="M506" s="1"/>
    </row>
    <row r="507" spans="9:13" x14ac:dyDescent="0.5">
      <c r="I507" s="1"/>
      <c r="J507" s="1"/>
      <c r="M507" s="1"/>
    </row>
    <row r="508" spans="9:13" x14ac:dyDescent="0.5">
      <c r="I508" s="1"/>
      <c r="J508" s="1"/>
      <c r="M508" s="1"/>
    </row>
    <row r="509" spans="9:13" x14ac:dyDescent="0.5">
      <c r="I509" s="1"/>
      <c r="J509" s="1"/>
      <c r="M509" s="1"/>
    </row>
    <row r="510" spans="9:13" x14ac:dyDescent="0.5">
      <c r="I510" s="1"/>
      <c r="J510" s="1"/>
      <c r="M510" s="1"/>
    </row>
    <row r="511" spans="9:13" x14ac:dyDescent="0.5">
      <c r="I511" s="1"/>
      <c r="J511" s="1"/>
      <c r="M511" s="1"/>
    </row>
    <row r="512" spans="9:13" x14ac:dyDescent="0.5">
      <c r="I512" s="1"/>
      <c r="J512" s="1"/>
      <c r="M512" s="1"/>
    </row>
    <row r="513" spans="9:13" x14ac:dyDescent="0.5">
      <c r="I513" s="1"/>
      <c r="J513" s="1"/>
      <c r="M513" s="1"/>
    </row>
    <row r="514" spans="9:13" x14ac:dyDescent="0.5">
      <c r="I514" s="1"/>
      <c r="J514" s="1"/>
      <c r="M514" s="1"/>
    </row>
    <row r="515" spans="9:13" x14ac:dyDescent="0.5">
      <c r="I515" s="1"/>
      <c r="J515" s="1"/>
      <c r="M515" s="1"/>
    </row>
    <row r="516" spans="9:13" x14ac:dyDescent="0.5">
      <c r="I516" s="1"/>
      <c r="J516" s="1"/>
      <c r="M516" s="1"/>
    </row>
    <row r="517" spans="9:13" x14ac:dyDescent="0.5">
      <c r="I517" s="1"/>
      <c r="J517" s="1"/>
      <c r="M517" s="1"/>
    </row>
    <row r="518" spans="9:13" x14ac:dyDescent="0.5">
      <c r="I518" s="1"/>
      <c r="J518" s="1"/>
      <c r="M518" s="1"/>
    </row>
    <row r="519" spans="9:13" x14ac:dyDescent="0.5">
      <c r="I519" s="1"/>
      <c r="J519" s="1"/>
      <c r="M519" s="1"/>
    </row>
    <row r="520" spans="9:13" x14ac:dyDescent="0.5">
      <c r="I520" s="1"/>
      <c r="J520" s="1"/>
      <c r="M520" s="1"/>
    </row>
    <row r="521" spans="9:13" x14ac:dyDescent="0.5">
      <c r="I521" s="1"/>
      <c r="J521" s="1"/>
      <c r="M521" s="1"/>
    </row>
    <row r="522" spans="9:13" x14ac:dyDescent="0.5">
      <c r="I522" s="1"/>
      <c r="J522" s="1"/>
      <c r="M522" s="1"/>
    </row>
    <row r="523" spans="9:13" x14ac:dyDescent="0.5">
      <c r="I523" s="1"/>
      <c r="J523" s="1"/>
      <c r="M523" s="1"/>
    </row>
    <row r="524" spans="9:13" x14ac:dyDescent="0.5">
      <c r="I524" s="1"/>
      <c r="J524" s="1"/>
      <c r="M524" s="1"/>
    </row>
    <row r="525" spans="9:13" x14ac:dyDescent="0.5">
      <c r="I525" s="1"/>
      <c r="J525" s="1"/>
      <c r="M525" s="1"/>
    </row>
    <row r="526" spans="9:13" x14ac:dyDescent="0.5">
      <c r="I526" s="1"/>
      <c r="J526" s="1"/>
      <c r="M526" s="1"/>
    </row>
    <row r="527" spans="9:13" x14ac:dyDescent="0.5">
      <c r="I527" s="1"/>
      <c r="J527" s="1"/>
      <c r="M527" s="1"/>
    </row>
    <row r="528" spans="9:13" x14ac:dyDescent="0.5">
      <c r="I528" s="1"/>
      <c r="J528" s="1"/>
      <c r="M528" s="1"/>
    </row>
    <row r="529" spans="9:13" x14ac:dyDescent="0.5">
      <c r="I529" s="1"/>
      <c r="J529" s="1"/>
      <c r="M529" s="1"/>
    </row>
    <row r="530" spans="9:13" x14ac:dyDescent="0.5">
      <c r="I530" s="1"/>
      <c r="J530" s="1"/>
      <c r="M530" s="1"/>
    </row>
    <row r="531" spans="9:13" x14ac:dyDescent="0.5">
      <c r="I531" s="1"/>
      <c r="J531" s="1"/>
      <c r="M531" s="1"/>
    </row>
    <row r="532" spans="9:13" x14ac:dyDescent="0.5">
      <c r="I532" s="1"/>
      <c r="J532" s="1"/>
      <c r="M532" s="1"/>
    </row>
    <row r="533" spans="9:13" x14ac:dyDescent="0.5">
      <c r="I533" s="1"/>
      <c r="J533" s="1"/>
      <c r="M533" s="1"/>
    </row>
    <row r="534" spans="9:13" x14ac:dyDescent="0.5">
      <c r="I534" s="1"/>
      <c r="J534" s="1"/>
      <c r="M534" s="1"/>
    </row>
    <row r="535" spans="9:13" x14ac:dyDescent="0.5">
      <c r="I535" s="1"/>
      <c r="J535" s="1"/>
      <c r="M535" s="1"/>
    </row>
    <row r="536" spans="9:13" x14ac:dyDescent="0.5">
      <c r="I536" s="1"/>
      <c r="J536" s="1"/>
      <c r="M536" s="1"/>
    </row>
    <row r="537" spans="9:13" x14ac:dyDescent="0.5">
      <c r="I537" s="1"/>
      <c r="J537" s="1"/>
      <c r="M537" s="1"/>
    </row>
    <row r="538" spans="9:13" x14ac:dyDescent="0.5">
      <c r="I538" s="1"/>
      <c r="J538" s="1"/>
      <c r="M538" s="1"/>
    </row>
    <row r="539" spans="9:13" x14ac:dyDescent="0.5">
      <c r="I539" s="1"/>
      <c r="J539" s="1"/>
      <c r="M539" s="1"/>
    </row>
    <row r="540" spans="9:13" x14ac:dyDescent="0.5">
      <c r="I540" s="1"/>
      <c r="J540" s="1"/>
      <c r="M540" s="1"/>
    </row>
    <row r="541" spans="9:13" x14ac:dyDescent="0.5">
      <c r="I541" s="1"/>
      <c r="J541" s="1"/>
      <c r="M541" s="1"/>
    </row>
    <row r="542" spans="9:13" x14ac:dyDescent="0.5">
      <c r="I542" s="1"/>
      <c r="J542" s="1"/>
      <c r="M542" s="1"/>
    </row>
    <row r="543" spans="9:13" x14ac:dyDescent="0.5">
      <c r="I543" s="1"/>
      <c r="J543" s="1"/>
      <c r="M543" s="1"/>
    </row>
    <row r="544" spans="9:13" x14ac:dyDescent="0.5">
      <c r="I544" s="1"/>
      <c r="J544" s="1"/>
      <c r="M544" s="1"/>
    </row>
    <row r="545" spans="9:13" x14ac:dyDescent="0.5">
      <c r="I545" s="1"/>
      <c r="J545" s="1"/>
      <c r="M545" s="1"/>
    </row>
    <row r="546" spans="9:13" x14ac:dyDescent="0.5">
      <c r="I546" s="1"/>
      <c r="J546" s="1"/>
      <c r="M546" s="1"/>
    </row>
    <row r="547" spans="9:13" x14ac:dyDescent="0.5">
      <c r="I547" s="1"/>
      <c r="J547" s="1"/>
      <c r="M547" s="1"/>
    </row>
    <row r="548" spans="9:13" x14ac:dyDescent="0.5">
      <c r="I548" s="1"/>
      <c r="J548" s="1"/>
      <c r="M548" s="1"/>
    </row>
    <row r="549" spans="9:13" x14ac:dyDescent="0.5">
      <c r="I549" s="1"/>
      <c r="J549" s="1"/>
      <c r="M549" s="1"/>
    </row>
    <row r="550" spans="9:13" x14ac:dyDescent="0.5">
      <c r="I550" s="1"/>
      <c r="J550" s="1"/>
      <c r="M550" s="1"/>
    </row>
    <row r="551" spans="9:13" x14ac:dyDescent="0.5">
      <c r="I551" s="1"/>
      <c r="J551" s="1"/>
      <c r="M551" s="1"/>
    </row>
    <row r="552" spans="9:13" x14ac:dyDescent="0.5">
      <c r="I552" s="1"/>
      <c r="J552" s="1"/>
      <c r="M552" s="1"/>
    </row>
    <row r="553" spans="9:13" x14ac:dyDescent="0.5">
      <c r="I553" s="1"/>
      <c r="J553" s="1"/>
      <c r="M553" s="1"/>
    </row>
    <row r="554" spans="9:13" x14ac:dyDescent="0.5">
      <c r="I554" s="1"/>
      <c r="J554" s="1"/>
      <c r="M554" s="1"/>
    </row>
    <row r="555" spans="9:13" x14ac:dyDescent="0.5">
      <c r="I555" s="1"/>
      <c r="J555" s="1"/>
      <c r="M555" s="1"/>
    </row>
    <row r="556" spans="9:13" x14ac:dyDescent="0.5">
      <c r="I556" s="1"/>
      <c r="J556" s="1"/>
      <c r="M556" s="1"/>
    </row>
    <row r="557" spans="9:13" x14ac:dyDescent="0.5">
      <c r="I557" s="1"/>
      <c r="J557" s="1"/>
      <c r="M557" s="1"/>
    </row>
    <row r="558" spans="9:13" x14ac:dyDescent="0.5">
      <c r="I558" s="1"/>
      <c r="J558" s="1"/>
      <c r="M558" s="1"/>
    </row>
    <row r="559" spans="9:13" x14ac:dyDescent="0.5">
      <c r="I559" s="1"/>
      <c r="J559" s="1"/>
      <c r="M559" s="1"/>
    </row>
    <row r="560" spans="9:13" x14ac:dyDescent="0.5">
      <c r="I560" s="1"/>
      <c r="J560" s="1"/>
      <c r="M560" s="1"/>
    </row>
    <row r="561" spans="9:13" x14ac:dyDescent="0.5">
      <c r="I561" s="1"/>
      <c r="J561" s="1"/>
      <c r="M561" s="1"/>
    </row>
    <row r="562" spans="9:13" x14ac:dyDescent="0.5">
      <c r="I562" s="1"/>
      <c r="J562" s="1"/>
      <c r="M562" s="1"/>
    </row>
    <row r="563" spans="9:13" x14ac:dyDescent="0.5">
      <c r="I563" s="1"/>
      <c r="J563" s="1"/>
      <c r="M563" s="1"/>
    </row>
    <row r="564" spans="9:13" x14ac:dyDescent="0.5">
      <c r="I564" s="1"/>
      <c r="J564" s="1"/>
      <c r="M564" s="1"/>
    </row>
    <row r="565" spans="9:13" x14ac:dyDescent="0.5">
      <c r="I565" s="1"/>
      <c r="J565" s="1"/>
      <c r="M565" s="1"/>
    </row>
    <row r="566" spans="9:13" x14ac:dyDescent="0.5">
      <c r="I566" s="1"/>
      <c r="J566" s="1"/>
      <c r="M566" s="1"/>
    </row>
    <row r="567" spans="9:13" x14ac:dyDescent="0.5">
      <c r="I567" s="1"/>
      <c r="J567" s="1"/>
      <c r="M567" s="1"/>
    </row>
    <row r="568" spans="9:13" x14ac:dyDescent="0.5">
      <c r="I568" s="1"/>
      <c r="J568" s="1"/>
      <c r="M568" s="1"/>
    </row>
    <row r="569" spans="9:13" x14ac:dyDescent="0.5">
      <c r="I569" s="1"/>
      <c r="J569" s="1"/>
      <c r="M569" s="1"/>
    </row>
    <row r="570" spans="9:13" x14ac:dyDescent="0.5">
      <c r="I570" s="1"/>
      <c r="J570" s="1"/>
      <c r="M570" s="1"/>
    </row>
    <row r="571" spans="9:13" x14ac:dyDescent="0.5">
      <c r="I571" s="1"/>
      <c r="J571" s="1"/>
      <c r="M571" s="1"/>
    </row>
    <row r="572" spans="9:13" x14ac:dyDescent="0.5">
      <c r="I572" s="1"/>
      <c r="J572" s="1"/>
      <c r="M572" s="1"/>
    </row>
    <row r="573" spans="9:13" x14ac:dyDescent="0.5">
      <c r="I573" s="1"/>
      <c r="J573" s="1"/>
      <c r="M573" s="1"/>
    </row>
    <row r="574" spans="9:13" x14ac:dyDescent="0.5">
      <c r="I574" s="1"/>
      <c r="J574" s="1"/>
      <c r="M574" s="1"/>
    </row>
    <row r="575" spans="9:13" x14ac:dyDescent="0.5">
      <c r="I575" s="1"/>
      <c r="J575" s="1"/>
      <c r="M575" s="1"/>
    </row>
    <row r="576" spans="9:13" x14ac:dyDescent="0.5">
      <c r="I576" s="1"/>
      <c r="J576" s="1"/>
      <c r="M576" s="1"/>
    </row>
    <row r="577" spans="9:13" x14ac:dyDescent="0.5">
      <c r="I577" s="1"/>
      <c r="J577" s="1"/>
      <c r="M577" s="1"/>
    </row>
    <row r="578" spans="9:13" x14ac:dyDescent="0.5">
      <c r="I578" s="1"/>
      <c r="J578" s="1"/>
      <c r="M578" s="1"/>
    </row>
    <row r="579" spans="9:13" x14ac:dyDescent="0.5">
      <c r="I579" s="1"/>
      <c r="J579" s="1"/>
      <c r="M579" s="1"/>
    </row>
    <row r="580" spans="9:13" x14ac:dyDescent="0.5">
      <c r="I580" s="1"/>
      <c r="J580" s="1"/>
      <c r="M580" s="1"/>
    </row>
    <row r="581" spans="9:13" x14ac:dyDescent="0.5">
      <c r="I581" s="1"/>
      <c r="J581" s="1"/>
      <c r="M581" s="1"/>
    </row>
    <row r="582" spans="9:13" x14ac:dyDescent="0.5">
      <c r="I582" s="1"/>
      <c r="J582" s="1"/>
      <c r="M582" s="1"/>
    </row>
    <row r="583" spans="9:13" x14ac:dyDescent="0.5">
      <c r="I583" s="1"/>
      <c r="J583" s="1"/>
      <c r="M583" s="1"/>
    </row>
    <row r="584" spans="9:13" x14ac:dyDescent="0.5">
      <c r="I584" s="1"/>
      <c r="J584" s="1"/>
      <c r="M584" s="1"/>
    </row>
    <row r="585" spans="9:13" x14ac:dyDescent="0.5">
      <c r="I585" s="1"/>
      <c r="J585" s="1"/>
      <c r="M585" s="1"/>
    </row>
    <row r="586" spans="9:13" x14ac:dyDescent="0.5">
      <c r="I586" s="1"/>
      <c r="J586" s="1"/>
      <c r="M586" s="1"/>
    </row>
    <row r="587" spans="9:13" x14ac:dyDescent="0.5">
      <c r="I587" s="1"/>
      <c r="J587" s="1"/>
      <c r="M587" s="1"/>
    </row>
    <row r="588" spans="9:13" x14ac:dyDescent="0.5">
      <c r="I588" s="1"/>
      <c r="J588" s="1"/>
      <c r="M588" s="1"/>
    </row>
    <row r="589" spans="9:13" x14ac:dyDescent="0.5">
      <c r="I589" s="1"/>
      <c r="J589" s="1"/>
      <c r="M589" s="1"/>
    </row>
    <row r="590" spans="9:13" x14ac:dyDescent="0.5">
      <c r="I590" s="1"/>
      <c r="J590" s="1"/>
      <c r="M590" s="1"/>
    </row>
    <row r="591" spans="9:13" x14ac:dyDescent="0.5">
      <c r="I591" s="1"/>
      <c r="J591" s="1"/>
      <c r="M591" s="1"/>
    </row>
    <row r="592" spans="9:13" x14ac:dyDescent="0.5">
      <c r="I592" s="1"/>
      <c r="J592" s="1"/>
      <c r="M592" s="1"/>
    </row>
    <row r="593" spans="9:13" x14ac:dyDescent="0.5">
      <c r="I593" s="1"/>
      <c r="J593" s="1"/>
      <c r="M593" s="1"/>
    </row>
    <row r="594" spans="9:13" x14ac:dyDescent="0.5">
      <c r="I594" s="1"/>
      <c r="J594" s="1"/>
      <c r="M594" s="1"/>
    </row>
    <row r="595" spans="9:13" x14ac:dyDescent="0.5">
      <c r="I595" s="1"/>
      <c r="J595" s="1"/>
      <c r="M595" s="1"/>
    </row>
    <row r="596" spans="9:13" x14ac:dyDescent="0.5">
      <c r="I596" s="1"/>
      <c r="J596" s="1"/>
      <c r="M596" s="1"/>
    </row>
    <row r="597" spans="9:13" x14ac:dyDescent="0.5">
      <c r="I597" s="1"/>
      <c r="J597" s="1"/>
      <c r="M597" s="1"/>
    </row>
    <row r="598" spans="9:13" x14ac:dyDescent="0.5">
      <c r="I598" s="1"/>
      <c r="J598" s="1"/>
      <c r="M598" s="1"/>
    </row>
    <row r="599" spans="9:13" x14ac:dyDescent="0.5">
      <c r="I599" s="1"/>
      <c r="J599" s="1"/>
      <c r="M599" s="1"/>
    </row>
    <row r="600" spans="9:13" x14ac:dyDescent="0.5">
      <c r="I600" s="1"/>
      <c r="J600" s="1"/>
      <c r="M600" s="1"/>
    </row>
    <row r="601" spans="9:13" x14ac:dyDescent="0.5">
      <c r="I601" s="1"/>
      <c r="J601" s="1"/>
      <c r="M601" s="1"/>
    </row>
    <row r="602" spans="9:13" x14ac:dyDescent="0.5">
      <c r="I602" s="1"/>
      <c r="J602" s="1"/>
      <c r="M602" s="1"/>
    </row>
    <row r="603" spans="9:13" x14ac:dyDescent="0.5">
      <c r="I603" s="1"/>
      <c r="J603" s="1"/>
      <c r="M603" s="1"/>
    </row>
    <row r="604" spans="9:13" x14ac:dyDescent="0.5">
      <c r="I604" s="1"/>
      <c r="J604" s="1"/>
      <c r="M604" s="1"/>
    </row>
    <row r="605" spans="9:13" x14ac:dyDescent="0.5">
      <c r="I605" s="1"/>
      <c r="J605" s="1"/>
      <c r="M605" s="1"/>
    </row>
    <row r="606" spans="9:13" x14ac:dyDescent="0.5">
      <c r="I606" s="1"/>
      <c r="J606" s="1"/>
      <c r="M606" s="1"/>
    </row>
    <row r="607" spans="9:13" x14ac:dyDescent="0.5">
      <c r="I607" s="1"/>
      <c r="J607" s="1"/>
      <c r="M607" s="1"/>
    </row>
    <row r="608" spans="9:13" x14ac:dyDescent="0.5">
      <c r="I608" s="1"/>
      <c r="J608" s="1"/>
      <c r="M608" s="1"/>
    </row>
    <row r="609" spans="9:13" x14ac:dyDescent="0.5">
      <c r="I609" s="1"/>
      <c r="J609" s="1"/>
      <c r="M609" s="1"/>
    </row>
    <row r="610" spans="9:13" x14ac:dyDescent="0.5">
      <c r="I610" s="1"/>
      <c r="J610" s="1"/>
      <c r="M610" s="1"/>
    </row>
    <row r="611" spans="9:13" x14ac:dyDescent="0.5">
      <c r="I611" s="1"/>
      <c r="J611" s="1"/>
      <c r="M611" s="1"/>
    </row>
    <row r="612" spans="9:13" x14ac:dyDescent="0.5">
      <c r="I612" s="1"/>
      <c r="J612" s="1"/>
      <c r="M612" s="1"/>
    </row>
    <row r="613" spans="9:13" x14ac:dyDescent="0.5">
      <c r="I613" s="1"/>
      <c r="J613" s="1"/>
      <c r="M613" s="1"/>
    </row>
    <row r="614" spans="9:13" x14ac:dyDescent="0.5">
      <c r="I614" s="1"/>
      <c r="J614" s="1"/>
      <c r="M614" s="1"/>
    </row>
    <row r="615" spans="9:13" x14ac:dyDescent="0.5">
      <c r="I615" s="1"/>
      <c r="J615" s="1"/>
      <c r="M615" s="1"/>
    </row>
    <row r="616" spans="9:13" x14ac:dyDescent="0.5">
      <c r="I616" s="1"/>
      <c r="J616" s="1"/>
      <c r="M616" s="1"/>
    </row>
    <row r="617" spans="9:13" x14ac:dyDescent="0.5">
      <c r="I617" s="1"/>
      <c r="J617" s="1"/>
      <c r="M617" s="1"/>
    </row>
    <row r="618" spans="9:13" x14ac:dyDescent="0.5">
      <c r="I618" s="1"/>
      <c r="J618" s="1"/>
      <c r="M618" s="1"/>
    </row>
    <row r="619" spans="9:13" x14ac:dyDescent="0.5">
      <c r="I619" s="1"/>
      <c r="J619" s="1"/>
      <c r="M619" s="1"/>
    </row>
    <row r="620" spans="9:13" x14ac:dyDescent="0.5">
      <c r="I620" s="1"/>
      <c r="J620" s="1"/>
      <c r="M620" s="1"/>
    </row>
    <row r="621" spans="9:13" x14ac:dyDescent="0.5">
      <c r="I621" s="1"/>
      <c r="J621" s="1"/>
      <c r="M621" s="1"/>
    </row>
    <row r="622" spans="9:13" x14ac:dyDescent="0.5">
      <c r="I622" s="1"/>
      <c r="J622" s="1"/>
      <c r="M622" s="1"/>
    </row>
    <row r="623" spans="9:13" x14ac:dyDescent="0.5">
      <c r="I623" s="1"/>
      <c r="J623" s="1"/>
      <c r="M623" s="1"/>
    </row>
    <row r="624" spans="9:13" x14ac:dyDescent="0.5">
      <c r="I624" s="1"/>
      <c r="J624" s="1"/>
      <c r="M624" s="1"/>
    </row>
    <row r="625" spans="9:13" x14ac:dyDescent="0.5">
      <c r="I625" s="1"/>
      <c r="J625" s="1"/>
      <c r="M625" s="1"/>
    </row>
    <row r="626" spans="9:13" x14ac:dyDescent="0.5">
      <c r="I626" s="1"/>
      <c r="J626" s="1"/>
      <c r="M626" s="1"/>
    </row>
    <row r="627" spans="9:13" x14ac:dyDescent="0.5">
      <c r="I627" s="1"/>
      <c r="J627" s="1"/>
      <c r="M627" s="1"/>
    </row>
    <row r="628" spans="9:13" x14ac:dyDescent="0.5">
      <c r="I628" s="1"/>
      <c r="J628" s="1"/>
      <c r="M628" s="1"/>
    </row>
    <row r="629" spans="9:13" x14ac:dyDescent="0.5">
      <c r="I629" s="1"/>
      <c r="J629" s="1"/>
      <c r="M629" s="1"/>
    </row>
    <row r="630" spans="9:13" x14ac:dyDescent="0.5">
      <c r="I630" s="1"/>
      <c r="J630" s="1"/>
      <c r="M630" s="1"/>
    </row>
    <row r="631" spans="9:13" x14ac:dyDescent="0.5">
      <c r="I631" s="1"/>
      <c r="J631" s="1"/>
      <c r="M631" s="1"/>
    </row>
    <row r="632" spans="9:13" x14ac:dyDescent="0.5">
      <c r="I632" s="1"/>
      <c r="J632" s="1"/>
      <c r="M632" s="1"/>
    </row>
    <row r="633" spans="9:13" x14ac:dyDescent="0.5">
      <c r="I633" s="1"/>
      <c r="J633" s="1"/>
      <c r="M633" s="1"/>
    </row>
    <row r="634" spans="9:13" x14ac:dyDescent="0.5">
      <c r="I634" s="1"/>
      <c r="J634" s="1"/>
      <c r="M634" s="1"/>
    </row>
    <row r="635" spans="9:13" x14ac:dyDescent="0.5">
      <c r="I635" s="1"/>
      <c r="J635" s="1"/>
      <c r="M635" s="1"/>
    </row>
    <row r="636" spans="9:13" x14ac:dyDescent="0.5">
      <c r="I636" s="1"/>
      <c r="J636" s="1"/>
      <c r="M636" s="1"/>
    </row>
    <row r="637" spans="9:13" x14ac:dyDescent="0.5">
      <c r="I637" s="1"/>
      <c r="J637" s="1"/>
      <c r="M637" s="1"/>
    </row>
    <row r="638" spans="9:13" x14ac:dyDescent="0.5">
      <c r="I638" s="1"/>
      <c r="J638" s="1"/>
      <c r="M638" s="1"/>
    </row>
    <row r="639" spans="9:13" x14ac:dyDescent="0.5">
      <c r="I639" s="1"/>
      <c r="J639" s="1"/>
      <c r="M639" s="1"/>
    </row>
    <row r="640" spans="9:13" x14ac:dyDescent="0.5">
      <c r="I640" s="1"/>
      <c r="J640" s="1"/>
      <c r="M640" s="1"/>
    </row>
    <row r="641" spans="9:13" x14ac:dyDescent="0.5">
      <c r="I641" s="1"/>
      <c r="J641" s="1"/>
      <c r="M641" s="1"/>
    </row>
    <row r="642" spans="9:13" x14ac:dyDescent="0.5">
      <c r="I642" s="1"/>
      <c r="J642" s="1"/>
      <c r="M642" s="1"/>
    </row>
    <row r="643" spans="9:13" x14ac:dyDescent="0.5">
      <c r="I643" s="1"/>
      <c r="J643" s="1"/>
      <c r="M643" s="1"/>
    </row>
    <row r="644" spans="9:13" x14ac:dyDescent="0.5">
      <c r="I644" s="1"/>
      <c r="J644" s="1"/>
      <c r="M644" s="1"/>
    </row>
    <row r="645" spans="9:13" x14ac:dyDescent="0.5">
      <c r="I645" s="1"/>
      <c r="J645" s="1"/>
      <c r="M645" s="1"/>
    </row>
    <row r="646" spans="9:13" x14ac:dyDescent="0.5">
      <c r="I646" s="1"/>
      <c r="J646" s="1"/>
      <c r="M646" s="1"/>
    </row>
    <row r="647" spans="9:13" x14ac:dyDescent="0.5">
      <c r="I647" s="1"/>
      <c r="J647" s="1"/>
      <c r="M647" s="1"/>
    </row>
    <row r="648" spans="9:13" x14ac:dyDescent="0.5">
      <c r="I648" s="1"/>
      <c r="J648" s="1"/>
      <c r="M648" s="1"/>
    </row>
    <row r="649" spans="9:13" x14ac:dyDescent="0.5">
      <c r="I649" s="1"/>
      <c r="J649" s="1"/>
      <c r="M649" s="1"/>
    </row>
    <row r="650" spans="9:13" x14ac:dyDescent="0.5">
      <c r="I650" s="1"/>
      <c r="J650" s="1"/>
      <c r="M650" s="1"/>
    </row>
    <row r="651" spans="9:13" x14ac:dyDescent="0.5">
      <c r="I651" s="1"/>
      <c r="J651" s="1"/>
      <c r="M651" s="1"/>
    </row>
    <row r="652" spans="9:13" x14ac:dyDescent="0.5">
      <c r="I652" s="1"/>
      <c r="J652" s="1"/>
      <c r="M652" s="1"/>
    </row>
    <row r="653" spans="9:13" x14ac:dyDescent="0.5">
      <c r="I653" s="1"/>
      <c r="J653" s="1"/>
      <c r="M653" s="1"/>
    </row>
    <row r="654" spans="9:13" x14ac:dyDescent="0.5">
      <c r="I654" s="1"/>
      <c r="J654" s="1"/>
      <c r="M654" s="1"/>
    </row>
    <row r="655" spans="9:13" x14ac:dyDescent="0.5">
      <c r="I655" s="1"/>
      <c r="J655" s="1"/>
      <c r="M655" s="1"/>
    </row>
    <row r="656" spans="9:13" x14ac:dyDescent="0.5">
      <c r="I656" s="1"/>
      <c r="J656" s="1"/>
      <c r="M656" s="1"/>
    </row>
    <row r="657" spans="9:13" x14ac:dyDescent="0.5">
      <c r="I657" s="1"/>
      <c r="J657" s="1"/>
      <c r="M657" s="1"/>
    </row>
    <row r="658" spans="9:13" x14ac:dyDescent="0.5">
      <c r="I658" s="1"/>
      <c r="J658" s="1"/>
      <c r="M658" s="1"/>
    </row>
    <row r="659" spans="9:13" x14ac:dyDescent="0.5">
      <c r="I659" s="1"/>
      <c r="J659" s="1"/>
      <c r="M659" s="1"/>
    </row>
    <row r="660" spans="9:13" x14ac:dyDescent="0.5">
      <c r="I660" s="1"/>
      <c r="J660" s="1"/>
      <c r="M660" s="1"/>
    </row>
    <row r="661" spans="9:13" x14ac:dyDescent="0.5">
      <c r="I661" s="1"/>
      <c r="J661" s="1"/>
      <c r="M661" s="1"/>
    </row>
    <row r="662" spans="9:13" x14ac:dyDescent="0.5">
      <c r="I662" s="1"/>
      <c r="J662" s="1"/>
      <c r="M662" s="1"/>
    </row>
    <row r="663" spans="9:13" x14ac:dyDescent="0.5">
      <c r="I663" s="1"/>
      <c r="J663" s="1"/>
      <c r="M663" s="1"/>
    </row>
    <row r="664" spans="9:13" x14ac:dyDescent="0.5">
      <c r="I664" s="1"/>
      <c r="J664" s="1"/>
      <c r="M664" s="1"/>
    </row>
    <row r="665" spans="9:13" x14ac:dyDescent="0.5">
      <c r="I665" s="1"/>
      <c r="J665" s="1"/>
      <c r="M665" s="1"/>
    </row>
    <row r="666" spans="9:13" x14ac:dyDescent="0.5">
      <c r="I666" s="1"/>
      <c r="J666" s="1"/>
      <c r="M666" s="1"/>
    </row>
    <row r="667" spans="9:13" x14ac:dyDescent="0.5">
      <c r="I667" s="1"/>
      <c r="J667" s="1"/>
      <c r="M667" s="1"/>
    </row>
    <row r="668" spans="9:13" x14ac:dyDescent="0.5">
      <c r="I668" s="1"/>
      <c r="J668" s="1"/>
      <c r="M668" s="1"/>
    </row>
    <row r="669" spans="9:13" x14ac:dyDescent="0.5">
      <c r="I669" s="1"/>
      <c r="J669" s="1"/>
      <c r="M669" s="1"/>
    </row>
    <row r="670" spans="9:13" x14ac:dyDescent="0.5">
      <c r="I670" s="1"/>
      <c r="J670" s="1"/>
      <c r="M670" s="1"/>
    </row>
    <row r="671" spans="9:13" x14ac:dyDescent="0.5">
      <c r="I671" s="1"/>
      <c r="J671" s="1"/>
      <c r="M671" s="1"/>
    </row>
    <row r="672" spans="9:13" x14ac:dyDescent="0.5">
      <c r="I672" s="1"/>
      <c r="J672" s="1"/>
      <c r="M672" s="1"/>
    </row>
    <row r="673" spans="9:13" x14ac:dyDescent="0.5">
      <c r="I673" s="1"/>
      <c r="J673" s="1"/>
      <c r="M673" s="1"/>
    </row>
    <row r="674" spans="9:13" x14ac:dyDescent="0.5">
      <c r="I674" s="1"/>
      <c r="J674" s="1"/>
      <c r="M674" s="1"/>
    </row>
    <row r="675" spans="9:13" x14ac:dyDescent="0.5">
      <c r="I675" s="1"/>
      <c r="J675" s="1"/>
      <c r="M675" s="1"/>
    </row>
    <row r="676" spans="9:13" x14ac:dyDescent="0.5">
      <c r="I676" s="1"/>
      <c r="J676" s="1"/>
      <c r="M676" s="1"/>
    </row>
    <row r="677" spans="9:13" x14ac:dyDescent="0.5">
      <c r="I677" s="1"/>
      <c r="J677" s="1"/>
      <c r="M677" s="1"/>
    </row>
    <row r="678" spans="9:13" x14ac:dyDescent="0.5">
      <c r="I678" s="1"/>
      <c r="J678" s="1"/>
      <c r="M678" s="1"/>
    </row>
    <row r="679" spans="9:13" x14ac:dyDescent="0.5">
      <c r="I679" s="1"/>
      <c r="J679" s="1"/>
      <c r="M679" s="1"/>
    </row>
    <row r="680" spans="9:13" x14ac:dyDescent="0.5">
      <c r="I680" s="1"/>
      <c r="J680" s="1"/>
      <c r="M680" s="1"/>
    </row>
    <row r="681" spans="9:13" x14ac:dyDescent="0.5">
      <c r="I681" s="1"/>
      <c r="J681" s="1"/>
      <c r="M681" s="1"/>
    </row>
    <row r="682" spans="9:13" x14ac:dyDescent="0.5">
      <c r="I682" s="1"/>
      <c r="J682" s="1"/>
      <c r="M682" s="1"/>
    </row>
    <row r="683" spans="9:13" x14ac:dyDescent="0.5">
      <c r="I683" s="1"/>
      <c r="J683" s="1"/>
      <c r="M683" s="1"/>
    </row>
    <row r="684" spans="9:13" x14ac:dyDescent="0.5">
      <c r="I684" s="1"/>
      <c r="J684" s="1"/>
      <c r="M684" s="1"/>
    </row>
    <row r="685" spans="9:13" x14ac:dyDescent="0.5">
      <c r="I685" s="1"/>
      <c r="J685" s="1"/>
      <c r="M685" s="1"/>
    </row>
    <row r="686" spans="9:13" x14ac:dyDescent="0.5">
      <c r="I686" s="1"/>
      <c r="J686" s="1"/>
      <c r="M686" s="1"/>
    </row>
    <row r="687" spans="9:13" x14ac:dyDescent="0.5">
      <c r="I687" s="1"/>
      <c r="J687" s="1"/>
      <c r="M687" s="1"/>
    </row>
    <row r="688" spans="9:13" x14ac:dyDescent="0.5">
      <c r="I688" s="1"/>
      <c r="J688" s="1"/>
      <c r="M688" s="1"/>
    </row>
    <row r="689" spans="9:13" x14ac:dyDescent="0.5">
      <c r="I689" s="1"/>
      <c r="J689" s="1"/>
      <c r="M689" s="1"/>
    </row>
    <row r="690" spans="9:13" x14ac:dyDescent="0.5">
      <c r="I690" s="1"/>
      <c r="J690" s="1"/>
      <c r="M690" s="1"/>
    </row>
    <row r="691" spans="9:13" x14ac:dyDescent="0.5">
      <c r="I691" s="1"/>
      <c r="J691" s="1"/>
      <c r="M691" s="1"/>
    </row>
    <row r="692" spans="9:13" x14ac:dyDescent="0.5">
      <c r="I692" s="1"/>
      <c r="J692" s="1"/>
      <c r="M692" s="1"/>
    </row>
    <row r="693" spans="9:13" x14ac:dyDescent="0.5">
      <c r="I693" s="1"/>
      <c r="J693" s="1"/>
      <c r="M693" s="1"/>
    </row>
    <row r="694" spans="9:13" x14ac:dyDescent="0.5">
      <c r="I694" s="1"/>
      <c r="J694" s="1"/>
      <c r="M694" s="1"/>
    </row>
    <row r="695" spans="9:13" x14ac:dyDescent="0.5">
      <c r="I695" s="1"/>
      <c r="J695" s="1"/>
      <c r="M695" s="1"/>
    </row>
    <row r="696" spans="9:13" x14ac:dyDescent="0.5">
      <c r="I696" s="1"/>
      <c r="J696" s="1"/>
      <c r="M696" s="1"/>
    </row>
    <row r="697" spans="9:13" x14ac:dyDescent="0.5">
      <c r="I697" s="1"/>
      <c r="J697" s="1"/>
      <c r="M697" s="1"/>
    </row>
    <row r="698" spans="9:13" x14ac:dyDescent="0.5">
      <c r="I698" s="1"/>
      <c r="J698" s="1"/>
      <c r="M698" s="1"/>
    </row>
    <row r="699" spans="9:13" x14ac:dyDescent="0.5">
      <c r="I699" s="1"/>
      <c r="J699" s="1"/>
      <c r="M699" s="1"/>
    </row>
    <row r="700" spans="9:13" x14ac:dyDescent="0.5">
      <c r="I700" s="1"/>
      <c r="J700" s="1"/>
      <c r="M700" s="1"/>
    </row>
    <row r="701" spans="9:13" x14ac:dyDescent="0.5">
      <c r="I701" s="1"/>
      <c r="J701" s="1"/>
      <c r="M701" s="1"/>
    </row>
    <row r="702" spans="9:13" x14ac:dyDescent="0.5">
      <c r="I702" s="1"/>
      <c r="J702" s="1"/>
      <c r="M702" s="1"/>
    </row>
    <row r="703" spans="9:13" x14ac:dyDescent="0.5">
      <c r="I703" s="1"/>
      <c r="J703" s="1"/>
      <c r="M703" s="1"/>
    </row>
    <row r="704" spans="9:13" x14ac:dyDescent="0.5">
      <c r="I704" s="1"/>
      <c r="J704" s="1"/>
      <c r="M704" s="1"/>
    </row>
    <row r="705" spans="9:13" x14ac:dyDescent="0.5">
      <c r="I705" s="1"/>
      <c r="J705" s="1"/>
      <c r="M705" s="1"/>
    </row>
    <row r="706" spans="9:13" x14ac:dyDescent="0.5">
      <c r="I706" s="1"/>
      <c r="J706" s="1"/>
      <c r="M706" s="1"/>
    </row>
    <row r="707" spans="9:13" x14ac:dyDescent="0.5">
      <c r="I707" s="1"/>
      <c r="J707" s="1"/>
      <c r="M707" s="1"/>
    </row>
    <row r="708" spans="9:13" x14ac:dyDescent="0.5">
      <c r="I708" s="1"/>
      <c r="J708" s="1"/>
      <c r="M708" s="1"/>
    </row>
    <row r="709" spans="9:13" x14ac:dyDescent="0.5">
      <c r="I709" s="1"/>
      <c r="J709" s="1"/>
      <c r="M709" s="1"/>
    </row>
    <row r="710" spans="9:13" x14ac:dyDescent="0.5">
      <c r="I710" s="1"/>
      <c r="J710" s="1"/>
      <c r="M710" s="1"/>
    </row>
    <row r="711" spans="9:13" x14ac:dyDescent="0.5">
      <c r="I711" s="1"/>
      <c r="J711" s="1"/>
      <c r="M711" s="1"/>
    </row>
    <row r="712" spans="9:13" x14ac:dyDescent="0.5">
      <c r="I712" s="1"/>
      <c r="J712" s="1"/>
      <c r="M712" s="1"/>
    </row>
    <row r="713" spans="9:13" x14ac:dyDescent="0.5">
      <c r="I713" s="1"/>
      <c r="J713" s="1"/>
      <c r="M713" s="1"/>
    </row>
    <row r="714" spans="9:13" x14ac:dyDescent="0.5">
      <c r="I714" s="1"/>
      <c r="J714" s="1"/>
      <c r="M714" s="1"/>
    </row>
    <row r="715" spans="9:13" x14ac:dyDescent="0.5">
      <c r="I715" s="1"/>
      <c r="J715" s="1"/>
      <c r="M715" s="1"/>
    </row>
    <row r="716" spans="9:13" x14ac:dyDescent="0.5">
      <c r="I716" s="1"/>
      <c r="J716" s="1"/>
      <c r="M716" s="1"/>
    </row>
    <row r="717" spans="9:13" x14ac:dyDescent="0.5">
      <c r="I717" s="1"/>
      <c r="J717" s="1"/>
      <c r="M717" s="1"/>
    </row>
    <row r="718" spans="9:13" x14ac:dyDescent="0.5">
      <c r="I718" s="1"/>
      <c r="J718" s="1"/>
      <c r="M718" s="1"/>
    </row>
    <row r="719" spans="9:13" x14ac:dyDescent="0.5">
      <c r="I719" s="1"/>
      <c r="J719" s="1"/>
      <c r="M719" s="1"/>
    </row>
    <row r="720" spans="9:13" x14ac:dyDescent="0.5">
      <c r="I720" s="1"/>
      <c r="J720" s="1"/>
      <c r="M720" s="1"/>
    </row>
    <row r="721" spans="9:13" x14ac:dyDescent="0.5">
      <c r="I721" s="1"/>
      <c r="J721" s="1"/>
      <c r="M721" s="1"/>
    </row>
    <row r="722" spans="9:13" x14ac:dyDescent="0.5">
      <c r="I722" s="1"/>
      <c r="J722" s="1"/>
      <c r="M722" s="1"/>
    </row>
    <row r="723" spans="9:13" x14ac:dyDescent="0.5">
      <c r="I723" s="1"/>
      <c r="J723" s="1"/>
      <c r="M723" s="1"/>
    </row>
    <row r="724" spans="9:13" x14ac:dyDescent="0.5">
      <c r="I724" s="1"/>
      <c r="J724" s="1"/>
      <c r="M724" s="1"/>
    </row>
    <row r="725" spans="9:13" x14ac:dyDescent="0.5">
      <c r="I725" s="1"/>
      <c r="J725" s="1"/>
      <c r="M725" s="1"/>
    </row>
    <row r="726" spans="9:13" x14ac:dyDescent="0.5">
      <c r="I726" s="1"/>
      <c r="J726" s="1"/>
      <c r="M726" s="1"/>
    </row>
    <row r="727" spans="9:13" x14ac:dyDescent="0.5">
      <c r="I727" s="1"/>
      <c r="J727" s="1"/>
      <c r="M727" s="1"/>
    </row>
    <row r="728" spans="9:13" x14ac:dyDescent="0.5">
      <c r="I728" s="1"/>
      <c r="J728" s="1"/>
      <c r="M728" s="1"/>
    </row>
    <row r="729" spans="9:13" x14ac:dyDescent="0.5">
      <c r="I729" s="1"/>
      <c r="J729" s="1"/>
      <c r="M729" s="1"/>
    </row>
    <row r="730" spans="9:13" x14ac:dyDescent="0.5">
      <c r="I730" s="1"/>
      <c r="J730" s="1"/>
      <c r="M730" s="1"/>
    </row>
    <row r="731" spans="9:13" x14ac:dyDescent="0.5">
      <c r="I731" s="1"/>
      <c r="J731" s="1"/>
      <c r="M731" s="1"/>
    </row>
    <row r="732" spans="9:13" x14ac:dyDescent="0.5">
      <c r="I732" s="1"/>
      <c r="J732" s="1"/>
      <c r="M732" s="1"/>
    </row>
    <row r="733" spans="9:13" x14ac:dyDescent="0.5">
      <c r="I733" s="1"/>
      <c r="J733" s="1"/>
      <c r="M733" s="1"/>
    </row>
    <row r="734" spans="9:13" x14ac:dyDescent="0.5">
      <c r="I734" s="1"/>
      <c r="J734" s="1"/>
      <c r="M734" s="1"/>
    </row>
    <row r="735" spans="9:13" x14ac:dyDescent="0.5">
      <c r="I735" s="1"/>
      <c r="J735" s="1"/>
      <c r="M735" s="1"/>
    </row>
    <row r="736" spans="9:13" x14ac:dyDescent="0.5">
      <c r="I736" s="1"/>
      <c r="J736" s="1"/>
      <c r="M736" s="1"/>
    </row>
    <row r="737" spans="9:13" x14ac:dyDescent="0.5">
      <c r="I737" s="1"/>
      <c r="J737" s="1"/>
      <c r="M737" s="1"/>
    </row>
    <row r="738" spans="9:13" x14ac:dyDescent="0.5">
      <c r="I738" s="1"/>
      <c r="J738" s="1"/>
      <c r="M738" s="1"/>
    </row>
    <row r="739" spans="9:13" x14ac:dyDescent="0.5">
      <c r="I739" s="1"/>
      <c r="J739" s="1"/>
      <c r="M739" s="1"/>
    </row>
    <row r="740" spans="9:13" x14ac:dyDescent="0.5">
      <c r="I740" s="1"/>
      <c r="J740" s="1"/>
      <c r="M740" s="1"/>
    </row>
    <row r="741" spans="9:13" x14ac:dyDescent="0.5">
      <c r="I741" s="1"/>
      <c r="J741" s="1"/>
      <c r="M741" s="1"/>
    </row>
    <row r="742" spans="9:13" x14ac:dyDescent="0.5">
      <c r="I742" s="1"/>
      <c r="J742" s="1"/>
      <c r="M742" s="1"/>
    </row>
    <row r="743" spans="9:13" x14ac:dyDescent="0.5">
      <c r="I743" s="1"/>
      <c r="J743" s="1"/>
      <c r="M743" s="1"/>
    </row>
    <row r="744" spans="9:13" x14ac:dyDescent="0.5">
      <c r="I744" s="1"/>
      <c r="J744" s="1"/>
      <c r="M744" s="1"/>
    </row>
    <row r="745" spans="9:13" x14ac:dyDescent="0.5">
      <c r="I745" s="1"/>
      <c r="J745" s="1"/>
      <c r="M745" s="1"/>
    </row>
    <row r="746" spans="9:13" x14ac:dyDescent="0.5">
      <c r="I746" s="1"/>
      <c r="J746" s="1"/>
      <c r="M746" s="1"/>
    </row>
    <row r="747" spans="9:13" x14ac:dyDescent="0.5">
      <c r="I747" s="1"/>
      <c r="J747" s="1"/>
      <c r="M747" s="1"/>
    </row>
    <row r="748" spans="9:13" x14ac:dyDescent="0.5">
      <c r="I748" s="1"/>
      <c r="J748" s="1"/>
      <c r="M748" s="1"/>
    </row>
    <row r="749" spans="9:13" x14ac:dyDescent="0.5">
      <c r="I749" s="1"/>
      <c r="J749" s="1"/>
      <c r="M749" s="1"/>
    </row>
    <row r="750" spans="9:13" x14ac:dyDescent="0.5">
      <c r="I750" s="1"/>
      <c r="J750" s="1"/>
      <c r="M750" s="1"/>
    </row>
    <row r="751" spans="9:13" x14ac:dyDescent="0.5">
      <c r="I751" s="1"/>
      <c r="J751" s="1"/>
      <c r="M751" s="1"/>
    </row>
    <row r="752" spans="9:13" x14ac:dyDescent="0.5">
      <c r="I752" s="1"/>
      <c r="J752" s="1"/>
      <c r="M752" s="1"/>
    </row>
    <row r="753" spans="9:13" x14ac:dyDescent="0.5">
      <c r="I753" s="1"/>
      <c r="J753" s="1"/>
      <c r="M753" s="1"/>
    </row>
    <row r="754" spans="9:13" x14ac:dyDescent="0.5">
      <c r="I754" s="1"/>
      <c r="J754" s="1"/>
      <c r="M754" s="1"/>
    </row>
    <row r="755" spans="9:13" x14ac:dyDescent="0.5">
      <c r="I755" s="1"/>
      <c r="J755" s="1"/>
      <c r="M755" s="1"/>
    </row>
    <row r="756" spans="9:13" x14ac:dyDescent="0.5">
      <c r="I756" s="1"/>
      <c r="J756" s="1"/>
      <c r="M756" s="1"/>
    </row>
    <row r="757" spans="9:13" x14ac:dyDescent="0.5">
      <c r="I757" s="1"/>
      <c r="J757" s="1"/>
      <c r="M757" s="1"/>
    </row>
    <row r="758" spans="9:13" x14ac:dyDescent="0.5">
      <c r="I758" s="1"/>
      <c r="J758" s="1"/>
      <c r="M758" s="1"/>
    </row>
    <row r="759" spans="9:13" x14ac:dyDescent="0.5">
      <c r="I759" s="1"/>
      <c r="J759" s="1"/>
      <c r="M759" s="1"/>
    </row>
    <row r="760" spans="9:13" x14ac:dyDescent="0.5">
      <c r="I760" s="1"/>
      <c r="J760" s="1"/>
      <c r="M760" s="1"/>
    </row>
    <row r="761" spans="9:13" x14ac:dyDescent="0.5">
      <c r="I761" s="1"/>
      <c r="J761" s="1"/>
      <c r="M761" s="1"/>
    </row>
    <row r="762" spans="9:13" x14ac:dyDescent="0.5">
      <c r="I762" s="1"/>
      <c r="J762" s="1"/>
      <c r="M762" s="1"/>
    </row>
    <row r="763" spans="9:13" x14ac:dyDescent="0.5">
      <c r="I763" s="1"/>
      <c r="J763" s="1"/>
      <c r="M763" s="1"/>
    </row>
    <row r="764" spans="9:13" x14ac:dyDescent="0.5">
      <c r="I764" s="1"/>
      <c r="J764" s="1"/>
      <c r="M764" s="1"/>
    </row>
    <row r="765" spans="9:13" x14ac:dyDescent="0.5">
      <c r="I765" s="1"/>
      <c r="J765" s="1"/>
      <c r="M765" s="1"/>
    </row>
    <row r="766" spans="9:13" x14ac:dyDescent="0.5">
      <c r="I766" s="1"/>
      <c r="J766" s="1"/>
      <c r="M766" s="1"/>
    </row>
    <row r="767" spans="9:13" x14ac:dyDescent="0.5">
      <c r="I767" s="1"/>
      <c r="J767" s="1"/>
      <c r="M767" s="1"/>
    </row>
    <row r="768" spans="9:13" x14ac:dyDescent="0.5">
      <c r="I768" s="1"/>
      <c r="J768" s="1"/>
      <c r="M768" s="1"/>
    </row>
    <row r="769" spans="9:13" x14ac:dyDescent="0.5">
      <c r="I769" s="1"/>
      <c r="J769" s="1"/>
      <c r="M769" s="1"/>
    </row>
    <row r="770" spans="9:13" x14ac:dyDescent="0.5">
      <c r="I770" s="1"/>
      <c r="J770" s="1"/>
      <c r="M770" s="1"/>
    </row>
    <row r="771" spans="9:13" x14ac:dyDescent="0.5">
      <c r="I771" s="1"/>
      <c r="J771" s="1"/>
      <c r="M771" s="1"/>
    </row>
    <row r="772" spans="9:13" x14ac:dyDescent="0.5">
      <c r="I772" s="1"/>
      <c r="J772" s="1"/>
      <c r="M772" s="1"/>
    </row>
    <row r="773" spans="9:13" x14ac:dyDescent="0.5">
      <c r="I773" s="1"/>
      <c r="J773" s="1"/>
      <c r="M773" s="1"/>
    </row>
    <row r="774" spans="9:13" x14ac:dyDescent="0.5">
      <c r="I774" s="1"/>
      <c r="J774" s="1"/>
      <c r="M774" s="1"/>
    </row>
    <row r="775" spans="9:13" x14ac:dyDescent="0.5">
      <c r="I775" s="1"/>
      <c r="J775" s="1"/>
      <c r="M775" s="1"/>
    </row>
    <row r="776" spans="9:13" x14ac:dyDescent="0.5">
      <c r="I776" s="1"/>
      <c r="J776" s="1"/>
      <c r="M776" s="1"/>
    </row>
    <row r="777" spans="9:13" x14ac:dyDescent="0.5">
      <c r="I777" s="1"/>
      <c r="J777" s="1"/>
      <c r="M777" s="1"/>
    </row>
    <row r="778" spans="9:13" x14ac:dyDescent="0.5">
      <c r="I778" s="1"/>
      <c r="J778" s="1"/>
      <c r="M778" s="1"/>
    </row>
    <row r="779" spans="9:13" x14ac:dyDescent="0.5">
      <c r="I779" s="1"/>
      <c r="J779" s="1"/>
      <c r="M779" s="1"/>
    </row>
    <row r="780" spans="9:13" x14ac:dyDescent="0.5">
      <c r="I780" s="1"/>
      <c r="J780" s="1"/>
      <c r="M780" s="1"/>
    </row>
    <row r="781" spans="9:13" x14ac:dyDescent="0.5">
      <c r="I781" s="1"/>
      <c r="J781" s="1"/>
      <c r="M781" s="1"/>
    </row>
    <row r="782" spans="9:13" x14ac:dyDescent="0.5">
      <c r="I782" s="1"/>
      <c r="J782" s="1"/>
      <c r="M782" s="1"/>
    </row>
    <row r="783" spans="9:13" x14ac:dyDescent="0.5">
      <c r="I783" s="1"/>
      <c r="J783" s="1"/>
      <c r="M783" s="1"/>
    </row>
    <row r="784" spans="9:13" x14ac:dyDescent="0.5">
      <c r="I784" s="1"/>
      <c r="J784" s="1"/>
      <c r="M784" s="1"/>
    </row>
    <row r="785" spans="9:13" x14ac:dyDescent="0.5">
      <c r="I785" s="1"/>
      <c r="J785" s="1"/>
      <c r="M785" s="1"/>
    </row>
    <row r="786" spans="9:13" x14ac:dyDescent="0.5">
      <c r="I786" s="1"/>
      <c r="J786" s="1"/>
      <c r="M786" s="1"/>
    </row>
    <row r="787" spans="9:13" x14ac:dyDescent="0.5">
      <c r="I787" s="1"/>
      <c r="J787" s="1"/>
      <c r="M787" s="1"/>
    </row>
    <row r="788" spans="9:13" x14ac:dyDescent="0.5">
      <c r="I788" s="1"/>
      <c r="J788" s="1"/>
      <c r="M788" s="1"/>
    </row>
    <row r="789" spans="9:13" x14ac:dyDescent="0.5">
      <c r="I789" s="1"/>
      <c r="J789" s="1"/>
      <c r="M789" s="1"/>
    </row>
    <row r="790" spans="9:13" x14ac:dyDescent="0.5">
      <c r="I790" s="1"/>
      <c r="J790" s="1"/>
      <c r="M790" s="1"/>
    </row>
    <row r="791" spans="9:13" x14ac:dyDescent="0.5">
      <c r="I791" s="1"/>
      <c r="J791" s="1"/>
      <c r="M791" s="1"/>
    </row>
    <row r="792" spans="9:13" x14ac:dyDescent="0.5">
      <c r="I792" s="1"/>
      <c r="J792" s="1"/>
      <c r="M792" s="1"/>
    </row>
    <row r="793" spans="9:13" x14ac:dyDescent="0.5">
      <c r="I793" s="1"/>
      <c r="J793" s="1"/>
      <c r="M793" s="1"/>
    </row>
    <row r="794" spans="9:13" x14ac:dyDescent="0.5">
      <c r="I794" s="1"/>
      <c r="J794" s="1"/>
      <c r="M794" s="1"/>
    </row>
    <row r="795" spans="9:13" x14ac:dyDescent="0.5">
      <c r="I795" s="1"/>
      <c r="J795" s="1"/>
      <c r="M795" s="1"/>
    </row>
    <row r="796" spans="9:13" x14ac:dyDescent="0.5">
      <c r="I796" s="1"/>
      <c r="J796" s="1"/>
      <c r="M796" s="1"/>
    </row>
    <row r="797" spans="9:13" x14ac:dyDescent="0.5">
      <c r="I797" s="1"/>
      <c r="J797" s="1"/>
      <c r="M797" s="1"/>
    </row>
    <row r="798" spans="9:13" x14ac:dyDescent="0.5">
      <c r="I798" s="1"/>
      <c r="J798" s="1"/>
      <c r="M798" s="1"/>
    </row>
    <row r="799" spans="9:13" x14ac:dyDescent="0.5">
      <c r="I799" s="1"/>
      <c r="J799" s="1"/>
      <c r="M799" s="1"/>
    </row>
    <row r="800" spans="9:13" x14ac:dyDescent="0.5">
      <c r="I800" s="1"/>
      <c r="J800" s="1"/>
      <c r="M800" s="1"/>
    </row>
    <row r="801" spans="9:13" x14ac:dyDescent="0.5">
      <c r="I801" s="1"/>
      <c r="J801" s="1"/>
      <c r="M801" s="1"/>
    </row>
    <row r="802" spans="9:13" x14ac:dyDescent="0.5">
      <c r="I802" s="1"/>
      <c r="J802" s="1"/>
      <c r="M802" s="1"/>
    </row>
    <row r="803" spans="9:13" x14ac:dyDescent="0.5">
      <c r="I803" s="1"/>
      <c r="J803" s="1"/>
      <c r="M803" s="1"/>
    </row>
    <row r="804" spans="9:13" x14ac:dyDescent="0.5">
      <c r="I804" s="1"/>
      <c r="J804" s="1"/>
      <c r="M804" s="1"/>
    </row>
    <row r="805" spans="9:13" x14ac:dyDescent="0.5">
      <c r="I805" s="1"/>
      <c r="J805" s="1"/>
      <c r="M805" s="1"/>
    </row>
    <row r="806" spans="9:13" x14ac:dyDescent="0.5">
      <c r="I806" s="1"/>
      <c r="J806" s="1"/>
      <c r="M806" s="1"/>
    </row>
    <row r="807" spans="9:13" x14ac:dyDescent="0.5">
      <c r="I807" s="1"/>
      <c r="J807" s="1"/>
      <c r="M807" s="1"/>
    </row>
    <row r="808" spans="9:13" x14ac:dyDescent="0.5">
      <c r="I808" s="1"/>
      <c r="J808" s="1"/>
      <c r="M808" s="1"/>
    </row>
    <row r="809" spans="9:13" x14ac:dyDescent="0.5">
      <c r="I809" s="1"/>
      <c r="J809" s="1"/>
      <c r="M809" s="1"/>
    </row>
    <row r="810" spans="9:13" x14ac:dyDescent="0.5">
      <c r="I810" s="1"/>
      <c r="J810" s="1"/>
      <c r="M810" s="1"/>
    </row>
    <row r="811" spans="9:13" x14ac:dyDescent="0.5">
      <c r="I811" s="1"/>
      <c r="J811" s="1"/>
      <c r="M811" s="1"/>
    </row>
    <row r="812" spans="9:13" x14ac:dyDescent="0.5">
      <c r="I812" s="1"/>
      <c r="J812" s="1"/>
      <c r="M812" s="1"/>
    </row>
    <row r="813" spans="9:13" x14ac:dyDescent="0.5">
      <c r="I813" s="1"/>
      <c r="J813" s="1"/>
      <c r="M813" s="1"/>
    </row>
    <row r="814" spans="9:13" x14ac:dyDescent="0.5">
      <c r="I814" s="1"/>
      <c r="J814" s="1"/>
      <c r="M814" s="1"/>
    </row>
    <row r="815" spans="9:13" x14ac:dyDescent="0.5">
      <c r="I815" s="1"/>
      <c r="J815" s="1"/>
      <c r="M815" s="1"/>
    </row>
    <row r="816" spans="9:13" x14ac:dyDescent="0.5">
      <c r="I816" s="1"/>
      <c r="J816" s="1"/>
      <c r="M816" s="1"/>
    </row>
    <row r="817" spans="9:13" x14ac:dyDescent="0.5">
      <c r="I817" s="1"/>
      <c r="J817" s="1"/>
      <c r="M817" s="1"/>
    </row>
    <row r="818" spans="9:13" x14ac:dyDescent="0.5">
      <c r="I818" s="1"/>
      <c r="J818" s="1"/>
      <c r="M818" s="1"/>
    </row>
    <row r="819" spans="9:13" x14ac:dyDescent="0.5">
      <c r="I819" s="1"/>
      <c r="J819" s="1"/>
      <c r="M819" s="1"/>
    </row>
    <row r="820" spans="9:13" x14ac:dyDescent="0.5">
      <c r="I820" s="1"/>
      <c r="J820" s="1"/>
      <c r="M820" s="1"/>
    </row>
    <row r="821" spans="9:13" x14ac:dyDescent="0.5">
      <c r="I821" s="1"/>
      <c r="J821" s="1"/>
      <c r="M821" s="1"/>
    </row>
    <row r="822" spans="9:13" x14ac:dyDescent="0.5">
      <c r="I822" s="1"/>
      <c r="J822" s="1"/>
      <c r="M822" s="1"/>
    </row>
    <row r="823" spans="9:13" x14ac:dyDescent="0.5">
      <c r="I823" s="1"/>
      <c r="J823" s="1"/>
      <c r="M823" s="1"/>
    </row>
    <row r="824" spans="9:13" x14ac:dyDescent="0.5">
      <c r="I824" s="1"/>
      <c r="J824" s="1"/>
      <c r="M824" s="1"/>
    </row>
    <row r="825" spans="9:13" x14ac:dyDescent="0.5">
      <c r="I825" s="1"/>
      <c r="J825" s="1"/>
      <c r="M825" s="1"/>
    </row>
    <row r="826" spans="9:13" x14ac:dyDescent="0.5">
      <c r="I826" s="1"/>
      <c r="J826" s="1"/>
      <c r="M826" s="1"/>
    </row>
    <row r="827" spans="9:13" x14ac:dyDescent="0.5">
      <c r="I827" s="1"/>
      <c r="J827" s="1"/>
      <c r="M827" s="1"/>
    </row>
    <row r="828" spans="9:13" x14ac:dyDescent="0.5">
      <c r="I828" s="1"/>
      <c r="J828" s="1"/>
      <c r="M828" s="1"/>
    </row>
    <row r="829" spans="9:13" x14ac:dyDescent="0.5">
      <c r="I829" s="1"/>
      <c r="J829" s="1"/>
      <c r="M829" s="1"/>
    </row>
    <row r="830" spans="9:13" x14ac:dyDescent="0.5">
      <c r="I830" s="1"/>
      <c r="J830" s="1"/>
      <c r="M830" s="1"/>
    </row>
    <row r="831" spans="9:13" x14ac:dyDescent="0.5">
      <c r="I831" s="1"/>
      <c r="J831" s="1"/>
      <c r="M831" s="1"/>
    </row>
    <row r="832" spans="9:13" x14ac:dyDescent="0.5">
      <c r="I832" s="1"/>
      <c r="J832" s="1"/>
      <c r="M832" s="1"/>
    </row>
    <row r="833" spans="9:13" x14ac:dyDescent="0.5">
      <c r="I833" s="1"/>
      <c r="J833" s="1"/>
      <c r="M833" s="1"/>
    </row>
    <row r="834" spans="9:13" x14ac:dyDescent="0.5">
      <c r="I834" s="1"/>
      <c r="J834" s="1"/>
      <c r="M834" s="1"/>
    </row>
    <row r="835" spans="9:13" x14ac:dyDescent="0.5">
      <c r="I835" s="1"/>
      <c r="J835" s="1"/>
      <c r="M835" s="1"/>
    </row>
    <row r="836" spans="9:13" x14ac:dyDescent="0.5">
      <c r="I836" s="1"/>
      <c r="J836" s="1"/>
      <c r="M836" s="1"/>
    </row>
    <row r="837" spans="9:13" x14ac:dyDescent="0.5">
      <c r="I837" s="1"/>
      <c r="J837" s="1"/>
      <c r="M837" s="1"/>
    </row>
    <row r="838" spans="9:13" x14ac:dyDescent="0.5">
      <c r="I838" s="1"/>
      <c r="J838" s="1"/>
      <c r="M838" s="1"/>
    </row>
    <row r="839" spans="9:13" x14ac:dyDescent="0.5">
      <c r="I839" s="1"/>
      <c r="J839" s="1"/>
      <c r="M839" s="1"/>
    </row>
    <row r="840" spans="9:13" x14ac:dyDescent="0.5">
      <c r="I840" s="1"/>
      <c r="J840" s="1"/>
      <c r="M840" s="1"/>
    </row>
    <row r="841" spans="9:13" x14ac:dyDescent="0.5">
      <c r="I841" s="1"/>
      <c r="J841" s="1"/>
      <c r="M841" s="1"/>
    </row>
    <row r="842" spans="9:13" x14ac:dyDescent="0.5">
      <c r="I842" s="1"/>
      <c r="J842" s="1"/>
      <c r="M842" s="1"/>
    </row>
    <row r="843" spans="9:13" x14ac:dyDescent="0.5">
      <c r="I843" s="1"/>
      <c r="J843" s="1"/>
      <c r="M843" s="1"/>
    </row>
    <row r="844" spans="9:13" x14ac:dyDescent="0.5">
      <c r="I844" s="1"/>
      <c r="J844" s="1"/>
      <c r="M844" s="1"/>
    </row>
    <row r="845" spans="9:13" x14ac:dyDescent="0.5">
      <c r="I845" s="1"/>
      <c r="J845" s="1"/>
      <c r="M845" s="1"/>
    </row>
    <row r="846" spans="9:13" x14ac:dyDescent="0.5">
      <c r="I846" s="1"/>
      <c r="J846" s="1"/>
      <c r="M846" s="1"/>
    </row>
    <row r="847" spans="9:13" x14ac:dyDescent="0.5">
      <c r="I847" s="1"/>
      <c r="J847" s="1"/>
      <c r="M847" s="1"/>
    </row>
    <row r="848" spans="9:13" x14ac:dyDescent="0.5">
      <c r="I848" s="1"/>
      <c r="J848" s="1"/>
      <c r="M848" s="1"/>
    </row>
    <row r="849" spans="9:13" x14ac:dyDescent="0.5">
      <c r="I849" s="1"/>
      <c r="J849" s="1"/>
      <c r="M849" s="1"/>
    </row>
    <row r="850" spans="9:13" x14ac:dyDescent="0.5">
      <c r="I850" s="1"/>
      <c r="J850" s="1"/>
      <c r="M850" s="1"/>
    </row>
    <row r="851" spans="9:13" x14ac:dyDescent="0.5">
      <c r="I851" s="1"/>
      <c r="J851" s="1"/>
      <c r="M851" s="1"/>
    </row>
    <row r="852" spans="9:13" x14ac:dyDescent="0.5">
      <c r="I852" s="1"/>
      <c r="J852" s="1"/>
      <c r="M852" s="1"/>
    </row>
    <row r="853" spans="9:13" x14ac:dyDescent="0.5">
      <c r="I853" s="1"/>
      <c r="J853" s="1"/>
      <c r="M853" s="1"/>
    </row>
    <row r="854" spans="9:13" x14ac:dyDescent="0.5">
      <c r="I854" s="1"/>
      <c r="J854" s="1"/>
      <c r="M854" s="1"/>
    </row>
    <row r="855" spans="9:13" x14ac:dyDescent="0.5">
      <c r="I855" s="1"/>
      <c r="J855" s="1"/>
      <c r="M855" s="1"/>
    </row>
    <row r="856" spans="9:13" x14ac:dyDescent="0.5">
      <c r="I856" s="1"/>
      <c r="J856" s="1"/>
      <c r="M856" s="1"/>
    </row>
    <row r="857" spans="9:13" x14ac:dyDescent="0.5">
      <c r="I857" s="1"/>
      <c r="J857" s="1"/>
      <c r="M857" s="1"/>
    </row>
    <row r="858" spans="9:13" x14ac:dyDescent="0.5">
      <c r="I858" s="1"/>
      <c r="J858" s="1"/>
      <c r="M858" s="1"/>
    </row>
    <row r="859" spans="9:13" x14ac:dyDescent="0.5">
      <c r="I859" s="1"/>
      <c r="J859" s="1"/>
      <c r="M859" s="1"/>
    </row>
    <row r="860" spans="9:13" x14ac:dyDescent="0.5">
      <c r="I860" s="1"/>
      <c r="J860" s="1"/>
      <c r="M860" s="1"/>
    </row>
    <row r="861" spans="9:13" x14ac:dyDescent="0.5">
      <c r="I861" s="1"/>
      <c r="J861" s="1"/>
      <c r="M861" s="1"/>
    </row>
    <row r="862" spans="9:13" x14ac:dyDescent="0.5">
      <c r="I862" s="1"/>
      <c r="J862" s="1"/>
      <c r="M862" s="1"/>
    </row>
    <row r="863" spans="9:13" x14ac:dyDescent="0.5">
      <c r="I863" s="1"/>
      <c r="J863" s="1"/>
      <c r="M863" s="1"/>
    </row>
    <row r="864" spans="9:13" x14ac:dyDescent="0.5">
      <c r="I864" s="1"/>
      <c r="J864" s="1"/>
      <c r="M864" s="1"/>
    </row>
    <row r="865" spans="9:13" x14ac:dyDescent="0.5">
      <c r="I865" s="1"/>
      <c r="J865" s="1"/>
      <c r="M865" s="1"/>
    </row>
    <row r="866" spans="9:13" x14ac:dyDescent="0.5">
      <c r="I866" s="1"/>
      <c r="J866" s="1"/>
      <c r="M866" s="1"/>
    </row>
    <row r="867" spans="9:13" x14ac:dyDescent="0.5">
      <c r="I867" s="1"/>
      <c r="J867" s="1"/>
      <c r="M867" s="1"/>
    </row>
    <row r="868" spans="9:13" x14ac:dyDescent="0.5">
      <c r="I868" s="1"/>
      <c r="J868" s="1"/>
      <c r="M868" s="1"/>
    </row>
    <row r="869" spans="9:13" x14ac:dyDescent="0.5">
      <c r="I869" s="1"/>
      <c r="J869" s="1"/>
      <c r="M869" s="1"/>
    </row>
    <row r="870" spans="9:13" x14ac:dyDescent="0.5">
      <c r="I870" s="1"/>
      <c r="J870" s="1"/>
      <c r="M870" s="1"/>
    </row>
    <row r="871" spans="9:13" x14ac:dyDescent="0.5">
      <c r="I871" s="1"/>
      <c r="J871" s="1"/>
      <c r="M871" s="1"/>
    </row>
    <row r="872" spans="9:13" x14ac:dyDescent="0.5">
      <c r="I872" s="1"/>
      <c r="J872" s="1"/>
      <c r="M872" s="1"/>
    </row>
    <row r="873" spans="9:13" x14ac:dyDescent="0.5">
      <c r="I873" s="1"/>
      <c r="J873" s="1"/>
      <c r="M873" s="1"/>
    </row>
    <row r="874" spans="9:13" x14ac:dyDescent="0.5">
      <c r="I874" s="1"/>
      <c r="J874" s="1"/>
      <c r="M874" s="1"/>
    </row>
    <row r="875" spans="9:13" x14ac:dyDescent="0.5">
      <c r="I875" s="1"/>
      <c r="J875" s="1"/>
      <c r="M875" s="1"/>
    </row>
    <row r="876" spans="9:13" x14ac:dyDescent="0.5">
      <c r="I876" s="1"/>
      <c r="J876" s="1"/>
      <c r="M876" s="1"/>
    </row>
    <row r="877" spans="9:13" x14ac:dyDescent="0.5">
      <c r="I877" s="1"/>
      <c r="J877" s="1"/>
      <c r="M877" s="1"/>
    </row>
    <row r="878" spans="9:13" x14ac:dyDescent="0.5">
      <c r="I878" s="1"/>
      <c r="J878" s="1"/>
      <c r="M878" s="1"/>
    </row>
    <row r="879" spans="9:13" x14ac:dyDescent="0.5">
      <c r="I879" s="1"/>
      <c r="J879" s="1"/>
      <c r="M879" s="1"/>
    </row>
    <row r="880" spans="9:13" x14ac:dyDescent="0.5">
      <c r="I880" s="1"/>
      <c r="J880" s="1"/>
      <c r="M880" s="1"/>
    </row>
    <row r="881" spans="9:13" x14ac:dyDescent="0.5">
      <c r="I881" s="1"/>
      <c r="J881" s="1"/>
      <c r="M881" s="1"/>
    </row>
    <row r="882" spans="9:13" x14ac:dyDescent="0.5">
      <c r="I882" s="1"/>
      <c r="J882" s="1"/>
      <c r="M882" s="1"/>
    </row>
    <row r="883" spans="9:13" x14ac:dyDescent="0.5">
      <c r="I883" s="1"/>
      <c r="J883" s="1"/>
      <c r="M883" s="1"/>
    </row>
    <row r="884" spans="9:13" x14ac:dyDescent="0.5">
      <c r="I884" s="1"/>
      <c r="J884" s="1"/>
      <c r="M884" s="1"/>
    </row>
    <row r="885" spans="9:13" x14ac:dyDescent="0.5">
      <c r="I885" s="1"/>
      <c r="J885" s="1"/>
      <c r="M885" s="1"/>
    </row>
    <row r="886" spans="9:13" x14ac:dyDescent="0.5">
      <c r="I886" s="1"/>
      <c r="J886" s="1"/>
      <c r="M886" s="1"/>
    </row>
    <row r="887" spans="9:13" x14ac:dyDescent="0.5">
      <c r="I887" s="1"/>
      <c r="J887" s="1"/>
      <c r="M887" s="1"/>
    </row>
    <row r="888" spans="9:13" x14ac:dyDescent="0.5">
      <c r="I888" s="1"/>
      <c r="J888" s="1"/>
      <c r="M888" s="1"/>
    </row>
    <row r="889" spans="9:13" x14ac:dyDescent="0.5">
      <c r="I889" s="1"/>
      <c r="J889" s="1"/>
      <c r="M889" s="1"/>
    </row>
    <row r="890" spans="9:13" x14ac:dyDescent="0.5">
      <c r="I890" s="1"/>
      <c r="J890" s="1"/>
      <c r="M890" s="1"/>
    </row>
    <row r="891" spans="9:13" x14ac:dyDescent="0.5">
      <c r="I891" s="1"/>
      <c r="J891" s="1"/>
      <c r="M891" s="1"/>
    </row>
    <row r="892" spans="9:13" x14ac:dyDescent="0.5">
      <c r="I892" s="1"/>
      <c r="J892" s="1"/>
      <c r="M892" s="1"/>
    </row>
    <row r="893" spans="9:13" x14ac:dyDescent="0.5">
      <c r="I893" s="1"/>
      <c r="J893" s="1"/>
      <c r="M893" s="1"/>
    </row>
    <row r="894" spans="9:13" x14ac:dyDescent="0.5">
      <c r="I894" s="1"/>
      <c r="J894" s="1"/>
      <c r="M894" s="1"/>
    </row>
    <row r="895" spans="9:13" x14ac:dyDescent="0.5">
      <c r="I895" s="1"/>
      <c r="J895" s="1"/>
      <c r="M895" s="1"/>
    </row>
    <row r="896" spans="9:13" x14ac:dyDescent="0.5">
      <c r="I896" s="1"/>
      <c r="J896" s="1"/>
      <c r="M896" s="1"/>
    </row>
    <row r="897" spans="9:13" x14ac:dyDescent="0.5">
      <c r="I897" s="1"/>
      <c r="J897" s="1"/>
      <c r="M897" s="1"/>
    </row>
    <row r="898" spans="9:13" x14ac:dyDescent="0.5">
      <c r="I898" s="1"/>
      <c r="J898" s="1"/>
      <c r="M898" s="1"/>
    </row>
    <row r="899" spans="9:13" x14ac:dyDescent="0.5">
      <c r="I899" s="1"/>
      <c r="J899" s="1"/>
      <c r="M899" s="1"/>
    </row>
    <row r="900" spans="9:13" x14ac:dyDescent="0.5">
      <c r="I900" s="1"/>
      <c r="J900" s="1"/>
      <c r="M900" s="1"/>
    </row>
    <row r="901" spans="9:13" x14ac:dyDescent="0.5">
      <c r="I901" s="1"/>
      <c r="J901" s="1"/>
      <c r="M901" s="1"/>
    </row>
    <row r="902" spans="9:13" x14ac:dyDescent="0.5">
      <c r="I902" s="1"/>
      <c r="J902" s="1"/>
      <c r="M902" s="1"/>
    </row>
    <row r="903" spans="9:13" x14ac:dyDescent="0.5">
      <c r="I903" s="1"/>
      <c r="J903" s="1"/>
      <c r="M903" s="1"/>
    </row>
    <row r="904" spans="9:13" x14ac:dyDescent="0.5">
      <c r="I904" s="1"/>
      <c r="J904" s="1"/>
      <c r="M904" s="1"/>
    </row>
    <row r="905" spans="9:13" x14ac:dyDescent="0.5">
      <c r="I905" s="1"/>
      <c r="J905" s="1"/>
      <c r="M905" s="1"/>
    </row>
    <row r="906" spans="9:13" x14ac:dyDescent="0.5">
      <c r="I906" s="1"/>
      <c r="J906" s="1"/>
      <c r="M906" s="1"/>
    </row>
    <row r="907" spans="9:13" x14ac:dyDescent="0.5">
      <c r="I907" s="1"/>
      <c r="J907" s="1"/>
      <c r="M907" s="1"/>
    </row>
    <row r="908" spans="9:13" x14ac:dyDescent="0.5">
      <c r="I908" s="1"/>
      <c r="J908" s="1"/>
      <c r="M908" s="1"/>
    </row>
    <row r="909" spans="9:13" x14ac:dyDescent="0.5">
      <c r="I909" s="1"/>
      <c r="J909" s="1"/>
      <c r="M909" s="1"/>
    </row>
    <row r="910" spans="9:13" x14ac:dyDescent="0.5">
      <c r="I910" s="1"/>
      <c r="J910" s="1"/>
      <c r="M910" s="1"/>
    </row>
    <row r="911" spans="9:13" x14ac:dyDescent="0.5">
      <c r="I911" s="1"/>
      <c r="J911" s="1"/>
      <c r="M911" s="1"/>
    </row>
    <row r="912" spans="9:13" x14ac:dyDescent="0.5">
      <c r="I912" s="1"/>
      <c r="J912" s="1"/>
      <c r="M912" s="1"/>
    </row>
    <row r="913" spans="9:13" x14ac:dyDescent="0.5">
      <c r="I913" s="1"/>
      <c r="J913" s="1"/>
      <c r="M913" s="1"/>
    </row>
    <row r="914" spans="9:13" x14ac:dyDescent="0.5">
      <c r="I914" s="1"/>
      <c r="J914" s="1"/>
      <c r="M914" s="1"/>
    </row>
    <row r="915" spans="9:13" x14ac:dyDescent="0.5">
      <c r="I915" s="1"/>
      <c r="J915" s="1"/>
      <c r="M915" s="1"/>
    </row>
    <row r="916" spans="9:13" x14ac:dyDescent="0.5">
      <c r="I916" s="1"/>
      <c r="J916" s="1"/>
      <c r="M916" s="1"/>
    </row>
    <row r="917" spans="9:13" x14ac:dyDescent="0.5">
      <c r="I917" s="1"/>
      <c r="J917" s="1"/>
      <c r="M917" s="1"/>
    </row>
    <row r="918" spans="9:13" x14ac:dyDescent="0.5">
      <c r="I918" s="1"/>
      <c r="J918" s="1"/>
      <c r="M918" s="1"/>
    </row>
    <row r="919" spans="9:13" x14ac:dyDescent="0.5">
      <c r="I919" s="1"/>
      <c r="J919" s="1"/>
      <c r="M919" s="1"/>
    </row>
    <row r="920" spans="9:13" x14ac:dyDescent="0.5">
      <c r="I920" s="1"/>
      <c r="J920" s="1"/>
      <c r="M920" s="1"/>
    </row>
    <row r="921" spans="9:13" x14ac:dyDescent="0.5">
      <c r="I921" s="1"/>
      <c r="J921" s="1"/>
      <c r="M921" s="1"/>
    </row>
    <row r="922" spans="9:13" x14ac:dyDescent="0.5">
      <c r="I922" s="1"/>
      <c r="J922" s="1"/>
      <c r="M922" s="1"/>
    </row>
    <row r="923" spans="9:13" x14ac:dyDescent="0.5">
      <c r="I923" s="1"/>
      <c r="J923" s="1"/>
      <c r="M923" s="1"/>
    </row>
    <row r="924" spans="9:13" x14ac:dyDescent="0.5">
      <c r="I924" s="1"/>
      <c r="J924" s="1"/>
      <c r="M924" s="1"/>
    </row>
    <row r="925" spans="9:13" x14ac:dyDescent="0.5">
      <c r="I925" s="1"/>
      <c r="J925" s="1"/>
      <c r="M925" s="1"/>
    </row>
    <row r="926" spans="9:13" x14ac:dyDescent="0.5">
      <c r="I926" s="1"/>
      <c r="J926" s="1"/>
      <c r="M926" s="1"/>
    </row>
    <row r="927" spans="9:13" x14ac:dyDescent="0.5">
      <c r="I927" s="1"/>
      <c r="J927" s="1"/>
      <c r="M927" s="1"/>
    </row>
    <row r="928" spans="9:13" x14ac:dyDescent="0.5">
      <c r="I928" s="1"/>
      <c r="J928" s="1"/>
      <c r="M928" s="1"/>
    </row>
    <row r="929" spans="9:13" x14ac:dyDescent="0.5">
      <c r="I929" s="1"/>
      <c r="J929" s="1"/>
      <c r="M929" s="1"/>
    </row>
    <row r="930" spans="9:13" x14ac:dyDescent="0.5">
      <c r="I930" s="1"/>
      <c r="J930" s="1"/>
      <c r="M930" s="1"/>
    </row>
    <row r="931" spans="9:13" x14ac:dyDescent="0.5">
      <c r="I931" s="1"/>
      <c r="J931" s="1"/>
      <c r="M931" s="1"/>
    </row>
    <row r="932" spans="9:13" x14ac:dyDescent="0.5">
      <c r="I932" s="1"/>
      <c r="J932" s="1"/>
      <c r="M932" s="1"/>
    </row>
    <row r="933" spans="9:13" x14ac:dyDescent="0.5">
      <c r="I933" s="1"/>
      <c r="J933" s="1"/>
      <c r="M933" s="1"/>
    </row>
    <row r="934" spans="9:13" x14ac:dyDescent="0.5">
      <c r="I934" s="1"/>
      <c r="J934" s="1"/>
      <c r="M934" s="1"/>
    </row>
    <row r="935" spans="9:13" x14ac:dyDescent="0.5">
      <c r="I935" s="1"/>
      <c r="J935" s="1"/>
      <c r="M935" s="1"/>
    </row>
    <row r="936" spans="9:13" x14ac:dyDescent="0.5">
      <c r="I936" s="1"/>
      <c r="J936" s="1"/>
      <c r="M936" s="1"/>
    </row>
    <row r="937" spans="9:13" x14ac:dyDescent="0.5">
      <c r="I937" s="1"/>
      <c r="J937" s="1"/>
      <c r="M937" s="1"/>
    </row>
    <row r="938" spans="9:13" x14ac:dyDescent="0.5">
      <c r="I938" s="1"/>
      <c r="J938" s="1"/>
      <c r="M938" s="1"/>
    </row>
    <row r="939" spans="9:13" x14ac:dyDescent="0.5">
      <c r="I939" s="1"/>
      <c r="J939" s="1"/>
      <c r="M939" s="1"/>
    </row>
    <row r="940" spans="9:13" x14ac:dyDescent="0.5">
      <c r="I940" s="1"/>
      <c r="J940" s="1"/>
      <c r="M940" s="1"/>
    </row>
    <row r="941" spans="9:13" x14ac:dyDescent="0.5">
      <c r="I941" s="1"/>
      <c r="J941" s="1"/>
      <c r="M941" s="1"/>
    </row>
    <row r="942" spans="9:13" x14ac:dyDescent="0.5">
      <c r="I942" s="1"/>
      <c r="J942" s="1"/>
      <c r="M942" s="1"/>
    </row>
    <row r="943" spans="9:13" x14ac:dyDescent="0.5">
      <c r="I943" s="1"/>
      <c r="J943" s="1"/>
      <c r="M943" s="1"/>
    </row>
    <row r="944" spans="9:13" x14ac:dyDescent="0.5">
      <c r="I944" s="1"/>
      <c r="J944" s="1"/>
      <c r="M944" s="1"/>
    </row>
    <row r="945" spans="9:13" x14ac:dyDescent="0.5">
      <c r="I945" s="1"/>
      <c r="J945" s="1"/>
      <c r="M945" s="1"/>
    </row>
    <row r="946" spans="9:13" x14ac:dyDescent="0.5">
      <c r="I946" s="1"/>
      <c r="J946" s="1"/>
      <c r="M946" s="1"/>
    </row>
    <row r="947" spans="9:13" x14ac:dyDescent="0.5">
      <c r="I947" s="1"/>
      <c r="J947" s="1"/>
      <c r="M947" s="1"/>
    </row>
    <row r="948" spans="9:13" x14ac:dyDescent="0.5">
      <c r="I948" s="1"/>
      <c r="J948" s="1"/>
      <c r="M948" s="1"/>
    </row>
    <row r="949" spans="9:13" x14ac:dyDescent="0.5">
      <c r="I949" s="1"/>
      <c r="J949" s="1"/>
      <c r="M949" s="1"/>
    </row>
    <row r="950" spans="9:13" x14ac:dyDescent="0.5">
      <c r="I950" s="1"/>
      <c r="J950" s="1"/>
      <c r="M950" s="1"/>
    </row>
    <row r="951" spans="9:13" x14ac:dyDescent="0.5">
      <c r="I951" s="1"/>
      <c r="J951" s="1"/>
      <c r="M951" s="1"/>
    </row>
    <row r="952" spans="9:13" x14ac:dyDescent="0.5">
      <c r="I952" s="1"/>
      <c r="J952" s="1"/>
      <c r="M952" s="1"/>
    </row>
    <row r="953" spans="9:13" x14ac:dyDescent="0.5">
      <c r="I953" s="1"/>
      <c r="J953" s="1"/>
      <c r="M953" s="1"/>
    </row>
    <row r="954" spans="9:13" x14ac:dyDescent="0.5">
      <c r="I954" s="1"/>
      <c r="J954" s="1"/>
      <c r="M954" s="1"/>
    </row>
    <row r="955" spans="9:13" x14ac:dyDescent="0.5">
      <c r="I955" s="1"/>
      <c r="J955" s="1"/>
      <c r="M955" s="1"/>
    </row>
    <row r="956" spans="9:13" x14ac:dyDescent="0.5">
      <c r="I956" s="1"/>
      <c r="J956" s="1"/>
      <c r="M956" s="1"/>
    </row>
    <row r="957" spans="9:13" x14ac:dyDescent="0.5">
      <c r="I957" s="1"/>
      <c r="J957" s="1"/>
      <c r="M957" s="1"/>
    </row>
    <row r="958" spans="9:13" x14ac:dyDescent="0.5">
      <c r="I958" s="1"/>
      <c r="J958" s="1"/>
      <c r="M958" s="1"/>
    </row>
    <row r="959" spans="9:13" x14ac:dyDescent="0.5">
      <c r="I959" s="1"/>
      <c r="J959" s="1"/>
      <c r="M959" s="1"/>
    </row>
    <row r="960" spans="9:13" x14ac:dyDescent="0.5">
      <c r="I960" s="1"/>
      <c r="J960" s="1"/>
      <c r="M960" s="1"/>
    </row>
    <row r="961" spans="9:13" x14ac:dyDescent="0.5">
      <c r="I961" s="1"/>
      <c r="J961" s="1"/>
      <c r="M961" s="1"/>
    </row>
    <row r="962" spans="9:13" x14ac:dyDescent="0.5">
      <c r="I962" s="1"/>
      <c r="J962" s="1"/>
      <c r="M962" s="1"/>
    </row>
    <row r="963" spans="9:13" x14ac:dyDescent="0.5">
      <c r="I963" s="1"/>
      <c r="J963" s="1"/>
      <c r="M963" s="1"/>
    </row>
    <row r="964" spans="9:13" x14ac:dyDescent="0.5">
      <c r="I964" s="1"/>
      <c r="J964" s="1"/>
      <c r="M964" s="1"/>
    </row>
    <row r="965" spans="9:13" x14ac:dyDescent="0.5">
      <c r="I965" s="1"/>
      <c r="J965" s="1"/>
      <c r="M965" s="1"/>
    </row>
    <row r="966" spans="9:13" x14ac:dyDescent="0.5">
      <c r="I966" s="1"/>
      <c r="J966" s="1"/>
      <c r="M966" s="1"/>
    </row>
    <row r="967" spans="9:13" x14ac:dyDescent="0.5">
      <c r="I967" s="1"/>
      <c r="J967" s="1"/>
      <c r="M967" s="1"/>
    </row>
    <row r="968" spans="9:13" x14ac:dyDescent="0.5">
      <c r="I968" s="1"/>
      <c r="J968" s="1"/>
      <c r="M968" s="1"/>
    </row>
    <row r="969" spans="9:13" x14ac:dyDescent="0.5">
      <c r="I969" s="1"/>
      <c r="J969" s="1"/>
      <c r="M969" s="1"/>
    </row>
    <row r="970" spans="9:13" x14ac:dyDescent="0.5">
      <c r="I970" s="1"/>
      <c r="J970" s="1"/>
      <c r="M970" s="1"/>
    </row>
    <row r="971" spans="9:13" x14ac:dyDescent="0.5">
      <c r="I971" s="1"/>
      <c r="J971" s="1"/>
      <c r="M971" s="1"/>
    </row>
    <row r="972" spans="9:13" x14ac:dyDescent="0.5">
      <c r="I972" s="1"/>
      <c r="J972" s="1"/>
      <c r="M972" s="1"/>
    </row>
    <row r="973" spans="9:13" x14ac:dyDescent="0.5">
      <c r="I973" s="1"/>
      <c r="J973" s="1"/>
      <c r="M973" s="1"/>
    </row>
    <row r="974" spans="9:13" x14ac:dyDescent="0.5">
      <c r="I974" s="1"/>
      <c r="J974" s="1"/>
      <c r="M974" s="1"/>
    </row>
    <row r="975" spans="9:13" x14ac:dyDescent="0.5">
      <c r="I975" s="1"/>
      <c r="J975" s="1"/>
      <c r="M975" s="1"/>
    </row>
    <row r="976" spans="9:13" x14ac:dyDescent="0.5">
      <c r="I976" s="1"/>
      <c r="J976" s="1"/>
      <c r="M976" s="1"/>
    </row>
    <row r="977" spans="9:13" x14ac:dyDescent="0.5">
      <c r="I977" s="1"/>
      <c r="J977" s="1"/>
      <c r="M977" s="1"/>
    </row>
    <row r="978" spans="9:13" x14ac:dyDescent="0.5">
      <c r="I978" s="1"/>
      <c r="J978" s="1"/>
      <c r="M978" s="1"/>
    </row>
    <row r="979" spans="9:13" x14ac:dyDescent="0.5">
      <c r="I979" s="1"/>
      <c r="J979" s="1"/>
      <c r="M979" s="1"/>
    </row>
    <row r="980" spans="9:13" x14ac:dyDescent="0.5">
      <c r="I980" s="1"/>
      <c r="J980" s="1"/>
      <c r="M980" s="1"/>
    </row>
    <row r="981" spans="9:13" x14ac:dyDescent="0.5">
      <c r="I981" s="1"/>
      <c r="J981" s="1"/>
      <c r="M981" s="1"/>
    </row>
    <row r="982" spans="9:13" x14ac:dyDescent="0.5">
      <c r="I982" s="1"/>
      <c r="J982" s="1"/>
      <c r="M982" s="1"/>
    </row>
    <row r="983" spans="9:13" x14ac:dyDescent="0.5">
      <c r="I983" s="1"/>
      <c r="J983" s="1"/>
      <c r="M983" s="1"/>
    </row>
    <row r="984" spans="9:13" x14ac:dyDescent="0.5">
      <c r="I984" s="1"/>
      <c r="J984" s="1"/>
      <c r="M984" s="1"/>
    </row>
    <row r="985" spans="9:13" x14ac:dyDescent="0.5">
      <c r="I985" s="1"/>
      <c r="J985" s="1"/>
      <c r="M985" s="1"/>
    </row>
    <row r="986" spans="9:13" x14ac:dyDescent="0.5">
      <c r="I986" s="1"/>
      <c r="J986" s="1"/>
      <c r="M986" s="1"/>
    </row>
    <row r="987" spans="9:13" x14ac:dyDescent="0.5">
      <c r="I987" s="1"/>
      <c r="J987" s="1"/>
      <c r="M987" s="1"/>
    </row>
    <row r="988" spans="9:13" x14ac:dyDescent="0.5">
      <c r="I988" s="1"/>
      <c r="J988" s="1"/>
      <c r="M988" s="1"/>
    </row>
    <row r="989" spans="9:13" x14ac:dyDescent="0.5">
      <c r="I989" s="1"/>
      <c r="J989" s="1"/>
      <c r="M989" s="1"/>
    </row>
    <row r="990" spans="9:13" x14ac:dyDescent="0.5">
      <c r="I990" s="1"/>
      <c r="J990" s="1"/>
      <c r="M990" s="1"/>
    </row>
    <row r="991" spans="9:13" x14ac:dyDescent="0.5">
      <c r="I991" s="1"/>
      <c r="J991" s="1"/>
      <c r="M991" s="1"/>
    </row>
    <row r="992" spans="9:13" x14ac:dyDescent="0.5">
      <c r="I992" s="1"/>
      <c r="J992" s="1"/>
      <c r="M992" s="1"/>
    </row>
    <row r="993" spans="9:13" x14ac:dyDescent="0.5">
      <c r="I993" s="1"/>
      <c r="J993" s="1"/>
      <c r="M993" s="1"/>
    </row>
    <row r="994" spans="9:13" x14ac:dyDescent="0.5">
      <c r="I994" s="1"/>
      <c r="J994" s="1"/>
      <c r="M994" s="1"/>
    </row>
    <row r="995" spans="9:13" x14ac:dyDescent="0.5">
      <c r="I995" s="1"/>
      <c r="J995" s="1"/>
      <c r="M995" s="1"/>
    </row>
    <row r="996" spans="9:13" x14ac:dyDescent="0.5">
      <c r="I996" s="1"/>
      <c r="J996" s="1"/>
      <c r="M996" s="1"/>
    </row>
    <row r="997" spans="9:13" x14ac:dyDescent="0.5">
      <c r="I997" s="1"/>
      <c r="J997" s="1"/>
      <c r="M997" s="1"/>
    </row>
    <row r="998" spans="9:13" x14ac:dyDescent="0.5">
      <c r="I998" s="1"/>
      <c r="J998" s="1"/>
      <c r="M998" s="1"/>
    </row>
    <row r="999" spans="9:13" x14ac:dyDescent="0.5">
      <c r="I999" s="1"/>
      <c r="J999" s="1"/>
      <c r="M999" s="1"/>
    </row>
    <row r="1000" spans="9:13" x14ac:dyDescent="0.5">
      <c r="I1000" s="1"/>
      <c r="J1000" s="1"/>
      <c r="M1000" s="1"/>
    </row>
    <row r="1001" spans="9:13" x14ac:dyDescent="0.5">
      <c r="I1001" s="1"/>
      <c r="J1001" s="1"/>
      <c r="M1001" s="1"/>
    </row>
    <row r="1002" spans="9:13" x14ac:dyDescent="0.5">
      <c r="I1002" s="1"/>
      <c r="J1002" s="1"/>
      <c r="M1002" s="1"/>
    </row>
    <row r="1003" spans="9:13" x14ac:dyDescent="0.5">
      <c r="I1003" s="1"/>
      <c r="J1003" s="1"/>
      <c r="M1003" s="1"/>
    </row>
    <row r="1004" spans="9:13" x14ac:dyDescent="0.5">
      <c r="I1004" s="1"/>
      <c r="J1004" s="1"/>
      <c r="M1004" s="1"/>
    </row>
    <row r="1005" spans="9:13" x14ac:dyDescent="0.5">
      <c r="I1005" s="1"/>
      <c r="J1005" s="1"/>
      <c r="M1005" s="1"/>
    </row>
    <row r="1006" spans="9:13" x14ac:dyDescent="0.5">
      <c r="I1006" s="1"/>
      <c r="J1006" s="1"/>
      <c r="M1006" s="1"/>
    </row>
    <row r="1007" spans="9:13" x14ac:dyDescent="0.5">
      <c r="I1007" s="1"/>
      <c r="J1007" s="1"/>
      <c r="M1007" s="1"/>
    </row>
    <row r="1008" spans="9:13" x14ac:dyDescent="0.5">
      <c r="I1008" s="1"/>
      <c r="J1008" s="1"/>
      <c r="M1008" s="1"/>
    </row>
    <row r="1009" spans="9:13" x14ac:dyDescent="0.5">
      <c r="I1009" s="1"/>
      <c r="J1009" s="1"/>
      <c r="M1009" s="1"/>
    </row>
    <row r="1010" spans="9:13" x14ac:dyDescent="0.5">
      <c r="I1010" s="1"/>
      <c r="J1010" s="1"/>
      <c r="M1010" s="1"/>
    </row>
    <row r="1011" spans="9:13" x14ac:dyDescent="0.5">
      <c r="I1011" s="1"/>
      <c r="J1011" s="1"/>
      <c r="M1011" s="1"/>
    </row>
    <row r="1012" spans="9:13" x14ac:dyDescent="0.5">
      <c r="I1012" s="1"/>
      <c r="J1012" s="1"/>
      <c r="M1012" s="1"/>
    </row>
    <row r="1013" spans="9:13" x14ac:dyDescent="0.5">
      <c r="I1013" s="1"/>
      <c r="J1013" s="1"/>
      <c r="M1013" s="1"/>
    </row>
    <row r="1014" spans="9:13" x14ac:dyDescent="0.5">
      <c r="I1014" s="1"/>
      <c r="J1014" s="1"/>
      <c r="M1014" s="1"/>
    </row>
    <row r="1015" spans="9:13" x14ac:dyDescent="0.5">
      <c r="I1015" s="1"/>
      <c r="J1015" s="1"/>
      <c r="M1015" s="1"/>
    </row>
    <row r="1016" spans="9:13" x14ac:dyDescent="0.5">
      <c r="I1016" s="1"/>
      <c r="J1016" s="1"/>
      <c r="M1016" s="1"/>
    </row>
    <row r="1017" spans="9:13" x14ac:dyDescent="0.5">
      <c r="I1017" s="1"/>
      <c r="J1017" s="1"/>
      <c r="M1017" s="1"/>
    </row>
    <row r="1018" spans="9:13" x14ac:dyDescent="0.5">
      <c r="I1018" s="1"/>
      <c r="J1018" s="1"/>
      <c r="M1018" s="1"/>
    </row>
    <row r="1019" spans="9:13" x14ac:dyDescent="0.5">
      <c r="I1019" s="1"/>
      <c r="J1019" s="1"/>
      <c r="M1019" s="1"/>
    </row>
    <row r="1020" spans="9:13" x14ac:dyDescent="0.5">
      <c r="I1020" s="1"/>
      <c r="J1020" s="1"/>
      <c r="M1020" s="1"/>
    </row>
    <row r="1021" spans="9:13" x14ac:dyDescent="0.5">
      <c r="I1021" s="1"/>
      <c r="J1021" s="1"/>
      <c r="M1021" s="1"/>
    </row>
    <row r="1022" spans="9:13" x14ac:dyDescent="0.5">
      <c r="I1022" s="1"/>
      <c r="J1022" s="1"/>
      <c r="M1022" s="1"/>
    </row>
    <row r="1023" spans="9:13" x14ac:dyDescent="0.5">
      <c r="I1023" s="1"/>
      <c r="J1023" s="1"/>
      <c r="M1023" s="1"/>
    </row>
    <row r="1024" spans="9:13" x14ac:dyDescent="0.5">
      <c r="I1024" s="1"/>
      <c r="J1024" s="1"/>
      <c r="M1024" s="1"/>
    </row>
    <row r="1025" spans="9:13" x14ac:dyDescent="0.5">
      <c r="I1025" s="1"/>
      <c r="J1025" s="1"/>
      <c r="M1025" s="1"/>
    </row>
    <row r="1026" spans="9:13" x14ac:dyDescent="0.5">
      <c r="I1026" s="1"/>
      <c r="J1026" s="1"/>
      <c r="M1026" s="1"/>
    </row>
    <row r="1027" spans="9:13" x14ac:dyDescent="0.5">
      <c r="I1027" s="1"/>
      <c r="J1027" s="1"/>
      <c r="M1027" s="1"/>
    </row>
    <row r="1028" spans="9:13" x14ac:dyDescent="0.5">
      <c r="I1028" s="1"/>
      <c r="J1028" s="1"/>
      <c r="M1028" s="1"/>
    </row>
    <row r="1029" spans="9:13" x14ac:dyDescent="0.5">
      <c r="I1029" s="1"/>
      <c r="J1029" s="1"/>
      <c r="M1029" s="1"/>
    </row>
    <row r="1030" spans="9:13" x14ac:dyDescent="0.5">
      <c r="I1030" s="1"/>
    </row>
    <row r="1031" spans="9:13" x14ac:dyDescent="0.5">
      <c r="I1031" s="1"/>
      <c r="J1031" s="1"/>
      <c r="M1031" s="1"/>
    </row>
    <row r="1032" spans="9:13" x14ac:dyDescent="0.5">
      <c r="I1032" s="1"/>
      <c r="J1032" s="1"/>
      <c r="M1032" s="1"/>
    </row>
    <row r="1033" spans="9:13" x14ac:dyDescent="0.5">
      <c r="I1033" s="1"/>
      <c r="J1033" s="1"/>
      <c r="M1033" s="1"/>
    </row>
    <row r="1034" spans="9:13" x14ac:dyDescent="0.5">
      <c r="I1034" s="1"/>
      <c r="J1034" s="1"/>
      <c r="M1034" s="1"/>
    </row>
    <row r="1035" spans="9:13" x14ac:dyDescent="0.5">
      <c r="I1035" s="1"/>
      <c r="J1035" s="1"/>
      <c r="M1035" s="1"/>
    </row>
    <row r="1036" spans="9:13" x14ac:dyDescent="0.5">
      <c r="I1036" s="1"/>
      <c r="J1036" s="1"/>
      <c r="M1036" s="1"/>
    </row>
    <row r="1037" spans="9:13" x14ac:dyDescent="0.5">
      <c r="I1037" s="1"/>
      <c r="J1037" s="1"/>
      <c r="M1037" s="1"/>
    </row>
    <row r="1038" spans="9:13" x14ac:dyDescent="0.5">
      <c r="I1038" s="1"/>
      <c r="J1038" s="1"/>
      <c r="M1038" s="1"/>
    </row>
    <row r="1039" spans="9:13" x14ac:dyDescent="0.5">
      <c r="I1039" s="1"/>
      <c r="J1039" s="1"/>
      <c r="M1039" s="1"/>
    </row>
    <row r="1040" spans="9:13" x14ac:dyDescent="0.5">
      <c r="I1040" s="1"/>
      <c r="J1040" s="1"/>
      <c r="M1040" s="1"/>
    </row>
    <row r="1041" spans="9:13" x14ac:dyDescent="0.5">
      <c r="I1041" s="1"/>
      <c r="J1041" s="1"/>
      <c r="M1041" s="1"/>
    </row>
    <row r="1042" spans="9:13" x14ac:dyDescent="0.5">
      <c r="I1042" s="1"/>
      <c r="J1042" s="1"/>
      <c r="M1042" s="1"/>
    </row>
    <row r="1043" spans="9:13" x14ac:dyDescent="0.5">
      <c r="I1043" s="1"/>
      <c r="J1043" s="1"/>
      <c r="M1043" s="1"/>
    </row>
    <row r="1044" spans="9:13" x14ac:dyDescent="0.5">
      <c r="I1044" s="1"/>
      <c r="J1044" s="1"/>
      <c r="M1044" s="1"/>
    </row>
    <row r="1045" spans="9:13" x14ac:dyDescent="0.5">
      <c r="I1045" s="1"/>
      <c r="J1045" s="1"/>
      <c r="M1045" s="1"/>
    </row>
    <row r="1046" spans="9:13" x14ac:dyDescent="0.5">
      <c r="I1046" s="1"/>
      <c r="J1046" s="1"/>
      <c r="M1046" s="1"/>
    </row>
    <row r="1047" spans="9:13" x14ac:dyDescent="0.5">
      <c r="I1047" s="1"/>
      <c r="J1047" s="1"/>
      <c r="M1047" s="1"/>
    </row>
    <row r="1048" spans="9:13" x14ac:dyDescent="0.5">
      <c r="I1048" s="1"/>
      <c r="J1048" s="1"/>
      <c r="M1048" s="1"/>
    </row>
    <row r="1049" spans="9:13" x14ac:dyDescent="0.5">
      <c r="I1049" s="1"/>
      <c r="J1049" s="1"/>
      <c r="M1049" s="1"/>
    </row>
    <row r="1050" spans="9:13" x14ac:dyDescent="0.5">
      <c r="I1050" s="1"/>
      <c r="J1050" s="1"/>
      <c r="M1050" s="1"/>
    </row>
    <row r="1051" spans="9:13" x14ac:dyDescent="0.5">
      <c r="I1051" s="1"/>
      <c r="J1051" s="1"/>
      <c r="M1051" s="1"/>
    </row>
    <row r="1052" spans="9:13" x14ac:dyDescent="0.5">
      <c r="I1052" s="1"/>
      <c r="J1052" s="1"/>
      <c r="M1052" s="1"/>
    </row>
    <row r="1053" spans="9:13" x14ac:dyDescent="0.5">
      <c r="I1053" s="1"/>
      <c r="J1053" s="1"/>
      <c r="M1053" s="1"/>
    </row>
    <row r="1054" spans="9:13" x14ac:dyDescent="0.5">
      <c r="I1054" s="1"/>
      <c r="J1054" s="1"/>
      <c r="M1054" s="1"/>
    </row>
    <row r="1055" spans="9:13" x14ac:dyDescent="0.5">
      <c r="I1055" s="1"/>
      <c r="J1055" s="1"/>
      <c r="M1055" s="1"/>
    </row>
    <row r="1056" spans="9:13" x14ac:dyDescent="0.5">
      <c r="I1056" s="1"/>
      <c r="J1056" s="1"/>
      <c r="M1056" s="1"/>
    </row>
    <row r="1057" spans="9:13" x14ac:dyDescent="0.5">
      <c r="I1057" s="1"/>
      <c r="J1057" s="1"/>
      <c r="M1057" s="1"/>
    </row>
    <row r="1058" spans="9:13" x14ac:dyDescent="0.5">
      <c r="I1058" s="1"/>
      <c r="J1058" s="1"/>
      <c r="M1058" s="1"/>
    </row>
    <row r="1059" spans="9:13" x14ac:dyDescent="0.5">
      <c r="I1059" s="1"/>
      <c r="J1059" s="1"/>
      <c r="M1059" s="1"/>
    </row>
    <row r="1060" spans="9:13" x14ac:dyDescent="0.5">
      <c r="I1060" s="1"/>
      <c r="J1060" s="1"/>
      <c r="M1060" s="1"/>
    </row>
    <row r="1061" spans="9:13" x14ac:dyDescent="0.5">
      <c r="I1061" s="1"/>
      <c r="J1061" s="1"/>
      <c r="M1061" s="1"/>
    </row>
    <row r="1062" spans="9:13" x14ac:dyDescent="0.5">
      <c r="I1062" s="1"/>
      <c r="J1062" s="1"/>
      <c r="M1062" s="1"/>
    </row>
    <row r="1063" spans="9:13" x14ac:dyDescent="0.5">
      <c r="I1063" s="1"/>
      <c r="J1063" s="1"/>
      <c r="M1063" s="1"/>
    </row>
    <row r="1064" spans="9:13" x14ac:dyDescent="0.5">
      <c r="I1064" s="1"/>
      <c r="J1064" s="1"/>
      <c r="M1064" s="1"/>
    </row>
    <row r="1065" spans="9:13" x14ac:dyDescent="0.5">
      <c r="I1065" s="1"/>
      <c r="J1065" s="1"/>
      <c r="M1065" s="1"/>
    </row>
    <row r="1066" spans="9:13" x14ac:dyDescent="0.5">
      <c r="I1066" s="1"/>
      <c r="J1066" s="1"/>
      <c r="M1066" s="1"/>
    </row>
    <row r="1067" spans="9:13" x14ac:dyDescent="0.5">
      <c r="I1067" s="1"/>
      <c r="J1067" s="1"/>
      <c r="M1067" s="1"/>
    </row>
    <row r="1068" spans="9:13" x14ac:dyDescent="0.5">
      <c r="I1068" s="1"/>
      <c r="J1068" s="1"/>
      <c r="M1068" s="1"/>
    </row>
    <row r="1069" spans="9:13" x14ac:dyDescent="0.5">
      <c r="I1069" s="1"/>
      <c r="J1069" s="1"/>
      <c r="M1069" s="1"/>
    </row>
    <row r="1070" spans="9:13" x14ac:dyDescent="0.5">
      <c r="I1070" s="1"/>
      <c r="J1070" s="1"/>
      <c r="M1070" s="1"/>
    </row>
    <row r="1071" spans="9:13" x14ac:dyDescent="0.5">
      <c r="I1071" s="1"/>
      <c r="J1071" s="1"/>
      <c r="M1071" s="1"/>
    </row>
    <row r="1072" spans="9:13" x14ac:dyDescent="0.5">
      <c r="I1072" s="1"/>
      <c r="J1072" s="1"/>
      <c r="M1072" s="1"/>
    </row>
    <row r="1073" spans="9:13" x14ac:dyDescent="0.5">
      <c r="I1073" s="1"/>
      <c r="J1073" s="1"/>
      <c r="M1073" s="1"/>
    </row>
    <row r="1074" spans="9:13" x14ac:dyDescent="0.5">
      <c r="I1074" s="1"/>
      <c r="J1074" s="1"/>
      <c r="M1074" s="1"/>
    </row>
    <row r="1075" spans="9:13" x14ac:dyDescent="0.5">
      <c r="I1075" s="1"/>
      <c r="J1075" s="1"/>
      <c r="M1075" s="1"/>
    </row>
    <row r="1076" spans="9:13" x14ac:dyDescent="0.5">
      <c r="I1076" s="1"/>
      <c r="J1076" s="1"/>
      <c r="M1076" s="1"/>
    </row>
    <row r="1077" spans="9:13" x14ac:dyDescent="0.5">
      <c r="I1077" s="1"/>
      <c r="J1077" s="1"/>
      <c r="M1077" s="1"/>
    </row>
    <row r="1078" spans="9:13" x14ac:dyDescent="0.5">
      <c r="I1078" s="1"/>
      <c r="J1078" s="1"/>
      <c r="M1078" s="1"/>
    </row>
    <row r="1079" spans="9:13" x14ac:dyDescent="0.5">
      <c r="I1079" s="1"/>
      <c r="J1079" s="1"/>
      <c r="M1079" s="1"/>
    </row>
    <row r="1080" spans="9:13" x14ac:dyDescent="0.5">
      <c r="I1080" s="1"/>
      <c r="J1080" s="1"/>
      <c r="M1080" s="1"/>
    </row>
    <row r="1081" spans="9:13" x14ac:dyDescent="0.5">
      <c r="I1081" s="1"/>
      <c r="J1081" s="1"/>
      <c r="M1081" s="1"/>
    </row>
    <row r="1082" spans="9:13" x14ac:dyDescent="0.5">
      <c r="I1082" s="1"/>
      <c r="J1082" s="1"/>
      <c r="M1082" s="1"/>
    </row>
    <row r="1083" spans="9:13" x14ac:dyDescent="0.5">
      <c r="I1083" s="1"/>
      <c r="J1083" s="1"/>
      <c r="M1083" s="1"/>
    </row>
    <row r="1084" spans="9:13" x14ac:dyDescent="0.5">
      <c r="I1084" s="1"/>
      <c r="J1084" s="1"/>
      <c r="M1084" s="1"/>
    </row>
    <row r="1085" spans="9:13" x14ac:dyDescent="0.5">
      <c r="I1085" s="1"/>
      <c r="J1085" s="1"/>
      <c r="M1085" s="1"/>
    </row>
    <row r="1086" spans="9:13" x14ac:dyDescent="0.5">
      <c r="I1086" s="1"/>
      <c r="J1086" s="1"/>
      <c r="M1086" s="1"/>
    </row>
    <row r="1087" spans="9:13" x14ac:dyDescent="0.5">
      <c r="I1087" s="1"/>
      <c r="J1087" s="1"/>
      <c r="M1087" s="1"/>
    </row>
    <row r="1088" spans="9:13" x14ac:dyDescent="0.5">
      <c r="I1088" s="1"/>
      <c r="J1088" s="1"/>
      <c r="M1088" s="1"/>
    </row>
    <row r="1089" spans="9:13" x14ac:dyDescent="0.5">
      <c r="I1089" s="1"/>
      <c r="J1089" s="1"/>
      <c r="M1089" s="1"/>
    </row>
    <row r="1090" spans="9:13" x14ac:dyDescent="0.5">
      <c r="I1090" s="1"/>
      <c r="J1090" s="1"/>
      <c r="M1090" s="1"/>
    </row>
    <row r="1091" spans="9:13" x14ac:dyDescent="0.5">
      <c r="I1091" s="1"/>
      <c r="J1091" s="1"/>
      <c r="M1091" s="1"/>
    </row>
    <row r="1092" spans="9:13" x14ac:dyDescent="0.5">
      <c r="I1092" s="1"/>
      <c r="J1092" s="1"/>
      <c r="M1092" s="1"/>
    </row>
    <row r="1093" spans="9:13" x14ac:dyDescent="0.5">
      <c r="I1093" s="1"/>
      <c r="J1093" s="1"/>
      <c r="M1093" s="1"/>
    </row>
    <row r="1094" spans="9:13" x14ac:dyDescent="0.5">
      <c r="I1094" s="1"/>
      <c r="J1094" s="1"/>
      <c r="M1094" s="1"/>
    </row>
    <row r="1095" spans="9:13" x14ac:dyDescent="0.5">
      <c r="I1095" s="1"/>
      <c r="J1095" s="1"/>
      <c r="M1095" s="1"/>
    </row>
    <row r="1096" spans="9:13" x14ac:dyDescent="0.5">
      <c r="I1096" s="1"/>
      <c r="J1096" s="1"/>
      <c r="M1096" s="1"/>
    </row>
    <row r="1097" spans="9:13" x14ac:dyDescent="0.5">
      <c r="I1097" s="1"/>
      <c r="J1097" s="1"/>
      <c r="M1097" s="1"/>
    </row>
    <row r="1098" spans="9:13" x14ac:dyDescent="0.5">
      <c r="I1098" s="1"/>
      <c r="J1098" s="1"/>
      <c r="M1098" s="1"/>
    </row>
    <row r="1099" spans="9:13" x14ac:dyDescent="0.5">
      <c r="I1099" s="1"/>
      <c r="J1099" s="1"/>
      <c r="M1099" s="1"/>
    </row>
    <row r="1100" spans="9:13" x14ac:dyDescent="0.5">
      <c r="I1100" s="1"/>
      <c r="J1100" s="1"/>
      <c r="M1100" s="1"/>
    </row>
    <row r="1101" spans="9:13" x14ac:dyDescent="0.5">
      <c r="I1101" s="1"/>
      <c r="J1101" s="1"/>
      <c r="M1101" s="1"/>
    </row>
    <row r="1102" spans="9:13" x14ac:dyDescent="0.5">
      <c r="I1102" s="1"/>
      <c r="J1102" s="1"/>
      <c r="M1102" s="1"/>
    </row>
    <row r="1103" spans="9:13" x14ac:dyDescent="0.5">
      <c r="I1103" s="1"/>
      <c r="J1103" s="1"/>
      <c r="M1103" s="1"/>
    </row>
    <row r="1104" spans="9:13" x14ac:dyDescent="0.5">
      <c r="I1104" s="1"/>
      <c r="J1104" s="1"/>
      <c r="M1104" s="1"/>
    </row>
    <row r="1105" spans="9:13" x14ac:dyDescent="0.5">
      <c r="I1105" s="1"/>
      <c r="J1105" s="1"/>
      <c r="M1105" s="1"/>
    </row>
    <row r="1106" spans="9:13" x14ac:dyDescent="0.5">
      <c r="I1106" s="1"/>
      <c r="J1106" s="1"/>
      <c r="M1106" s="1"/>
    </row>
    <row r="1107" spans="9:13" x14ac:dyDescent="0.5">
      <c r="I1107" s="1"/>
      <c r="J1107" s="1"/>
      <c r="M1107" s="1"/>
    </row>
    <row r="1108" spans="9:13" x14ac:dyDescent="0.5">
      <c r="I1108" s="1"/>
      <c r="J1108" s="1"/>
      <c r="M1108" s="1"/>
    </row>
    <row r="1109" spans="9:13" x14ac:dyDescent="0.5">
      <c r="I1109" s="1"/>
      <c r="J1109" s="1"/>
      <c r="M1109" s="1"/>
    </row>
    <row r="1110" spans="9:13" x14ac:dyDescent="0.5">
      <c r="I1110" s="1"/>
      <c r="J1110" s="1"/>
      <c r="M1110" s="1"/>
    </row>
    <row r="1111" spans="9:13" x14ac:dyDescent="0.5">
      <c r="I1111" s="1"/>
      <c r="J1111" s="1"/>
      <c r="M1111" s="1"/>
    </row>
    <row r="1112" spans="9:13" x14ac:dyDescent="0.5">
      <c r="I1112" s="1"/>
      <c r="J1112" s="1"/>
      <c r="M1112" s="1"/>
    </row>
    <row r="1113" spans="9:13" x14ac:dyDescent="0.5">
      <c r="I1113" s="1"/>
      <c r="J1113" s="1"/>
      <c r="M1113" s="1"/>
    </row>
    <row r="1114" spans="9:13" x14ac:dyDescent="0.5">
      <c r="I1114" s="1"/>
      <c r="J1114" s="1"/>
      <c r="M1114" s="1"/>
    </row>
    <row r="1115" spans="9:13" x14ac:dyDescent="0.5">
      <c r="I1115" s="1"/>
      <c r="J1115" s="1"/>
      <c r="M1115" s="1"/>
    </row>
    <row r="1116" spans="9:13" x14ac:dyDescent="0.5">
      <c r="I1116" s="1"/>
      <c r="J1116" s="1"/>
      <c r="M1116" s="1"/>
    </row>
    <row r="1117" spans="9:13" x14ac:dyDescent="0.5">
      <c r="I1117" s="1"/>
      <c r="J1117" s="1"/>
      <c r="M1117" s="1"/>
    </row>
    <row r="1118" spans="9:13" x14ac:dyDescent="0.5">
      <c r="I1118" s="1"/>
      <c r="J1118" s="1"/>
      <c r="M1118" s="1"/>
    </row>
    <row r="1119" spans="9:13" x14ac:dyDescent="0.5">
      <c r="I1119" s="1"/>
      <c r="J1119" s="1"/>
      <c r="M1119" s="1"/>
    </row>
    <row r="1120" spans="9:13" x14ac:dyDescent="0.5">
      <c r="I1120" s="1"/>
      <c r="J1120" s="1"/>
      <c r="M1120" s="1"/>
    </row>
    <row r="1121" spans="9:13" x14ac:dyDescent="0.5">
      <c r="I1121" s="1"/>
      <c r="J1121" s="1"/>
      <c r="M1121" s="1"/>
    </row>
    <row r="1122" spans="9:13" x14ac:dyDescent="0.5">
      <c r="I1122" s="1"/>
      <c r="J1122" s="1"/>
      <c r="M1122" s="1"/>
    </row>
    <row r="1123" spans="9:13" x14ac:dyDescent="0.5">
      <c r="I1123" s="1"/>
      <c r="J1123" s="1"/>
      <c r="M1123" s="1"/>
    </row>
    <row r="1124" spans="9:13" x14ac:dyDescent="0.5">
      <c r="I1124" s="1"/>
      <c r="J1124" s="1"/>
      <c r="M1124" s="1"/>
    </row>
    <row r="1125" spans="9:13" x14ac:dyDescent="0.5">
      <c r="I1125" s="1"/>
      <c r="J1125" s="1"/>
      <c r="M1125" s="1"/>
    </row>
    <row r="1126" spans="9:13" x14ac:dyDescent="0.5">
      <c r="I1126" s="1"/>
      <c r="J1126" s="1"/>
      <c r="M1126" s="1"/>
    </row>
    <row r="1127" spans="9:13" x14ac:dyDescent="0.5">
      <c r="I1127" s="1"/>
      <c r="J1127" s="1"/>
      <c r="M1127" s="1"/>
    </row>
    <row r="1128" spans="9:13" x14ac:dyDescent="0.5">
      <c r="I1128" s="1"/>
      <c r="J1128" s="1"/>
      <c r="M1128" s="1"/>
    </row>
    <row r="1129" spans="9:13" x14ac:dyDescent="0.5">
      <c r="I1129" s="1"/>
      <c r="J1129" s="1"/>
      <c r="M1129" s="1"/>
    </row>
    <row r="1130" spans="9:13" x14ac:dyDescent="0.5">
      <c r="I1130" s="1"/>
      <c r="J1130" s="1"/>
      <c r="M1130" s="1"/>
    </row>
    <row r="1131" spans="9:13" x14ac:dyDescent="0.5">
      <c r="I1131" s="1"/>
      <c r="J1131" s="1"/>
      <c r="M1131" s="1"/>
    </row>
    <row r="1132" spans="9:13" x14ac:dyDescent="0.5">
      <c r="I1132" s="1"/>
      <c r="J1132" s="1"/>
      <c r="M1132" s="1"/>
    </row>
    <row r="1133" spans="9:13" x14ac:dyDescent="0.5">
      <c r="I1133" s="1"/>
      <c r="J1133" s="1"/>
      <c r="M1133" s="1"/>
    </row>
    <row r="1134" spans="9:13" x14ac:dyDescent="0.5">
      <c r="I1134" s="1"/>
      <c r="J1134" s="1"/>
      <c r="M1134" s="1"/>
    </row>
    <row r="1135" spans="9:13" x14ac:dyDescent="0.5">
      <c r="I1135" s="1"/>
      <c r="J1135" s="1"/>
      <c r="M1135" s="1"/>
    </row>
    <row r="1136" spans="9:13" x14ac:dyDescent="0.5">
      <c r="I1136" s="1"/>
      <c r="J1136" s="1"/>
      <c r="M1136" s="1"/>
    </row>
    <row r="1137" spans="9:13" x14ac:dyDescent="0.5">
      <c r="I1137" s="1"/>
      <c r="J1137" s="1"/>
      <c r="M1137" s="1"/>
    </row>
    <row r="1138" spans="9:13" x14ac:dyDescent="0.5">
      <c r="I1138" s="1"/>
      <c r="J1138" s="1"/>
      <c r="M1138" s="1"/>
    </row>
    <row r="1139" spans="9:13" x14ac:dyDescent="0.5">
      <c r="I1139" s="1"/>
      <c r="J1139" s="1"/>
      <c r="M1139" s="1"/>
    </row>
    <row r="1140" spans="9:13" x14ac:dyDescent="0.5">
      <c r="I1140" s="1"/>
      <c r="J1140" s="1"/>
      <c r="M1140" s="1"/>
    </row>
    <row r="1141" spans="9:13" x14ac:dyDescent="0.5">
      <c r="I1141" s="1"/>
      <c r="J1141" s="1"/>
      <c r="M1141" s="1"/>
    </row>
    <row r="1142" spans="9:13" x14ac:dyDescent="0.5">
      <c r="I1142" s="1"/>
      <c r="J1142" s="1"/>
      <c r="M1142" s="1"/>
    </row>
    <row r="1143" spans="9:13" x14ac:dyDescent="0.5">
      <c r="I1143" s="1"/>
      <c r="J1143" s="1"/>
      <c r="M1143" s="1"/>
    </row>
    <row r="1144" spans="9:13" x14ac:dyDescent="0.5">
      <c r="I1144" s="1"/>
      <c r="J1144" s="1"/>
      <c r="M1144" s="1"/>
    </row>
    <row r="1145" spans="9:13" x14ac:dyDescent="0.5">
      <c r="I1145" s="1"/>
      <c r="J1145" s="1"/>
      <c r="M1145" s="1"/>
    </row>
    <row r="1146" spans="9:13" x14ac:dyDescent="0.5">
      <c r="I1146" s="1"/>
      <c r="J1146" s="1"/>
      <c r="M1146" s="1"/>
    </row>
    <row r="1147" spans="9:13" x14ac:dyDescent="0.5">
      <c r="I1147" s="1"/>
      <c r="J1147" s="1"/>
      <c r="M1147" s="1"/>
    </row>
    <row r="1148" spans="9:13" x14ac:dyDescent="0.5">
      <c r="I1148" s="1"/>
      <c r="J1148" s="1"/>
      <c r="M1148" s="1"/>
    </row>
    <row r="1149" spans="9:13" x14ac:dyDescent="0.5">
      <c r="I1149" s="1"/>
      <c r="J1149" s="1"/>
      <c r="M1149" s="1"/>
    </row>
    <row r="1150" spans="9:13" x14ac:dyDescent="0.5">
      <c r="I1150" s="1"/>
      <c r="J1150" s="1"/>
      <c r="M1150" s="1"/>
    </row>
    <row r="1151" spans="9:13" x14ac:dyDescent="0.5">
      <c r="I1151" s="1"/>
      <c r="J1151" s="1"/>
      <c r="M1151" s="1"/>
    </row>
    <row r="1152" spans="9:13" x14ac:dyDescent="0.5">
      <c r="I1152" s="1"/>
      <c r="J1152" s="1"/>
      <c r="M1152" s="1"/>
    </row>
    <row r="1153" spans="9:13" x14ac:dyDescent="0.5">
      <c r="I1153" s="1"/>
      <c r="J1153" s="1"/>
      <c r="M1153" s="1"/>
    </row>
    <row r="1154" spans="9:13" x14ac:dyDescent="0.5">
      <c r="I1154" s="1"/>
      <c r="J1154" s="1"/>
      <c r="M1154" s="1"/>
    </row>
    <row r="1155" spans="9:13" x14ac:dyDescent="0.5">
      <c r="I1155" s="1"/>
      <c r="J1155" s="1"/>
      <c r="M1155" s="1"/>
    </row>
    <row r="1156" spans="9:13" x14ac:dyDescent="0.5">
      <c r="I1156" s="1"/>
      <c r="J1156" s="1"/>
      <c r="M1156" s="1"/>
    </row>
    <row r="1157" spans="9:13" x14ac:dyDescent="0.5">
      <c r="I1157" s="1"/>
      <c r="J1157" s="1"/>
      <c r="M1157" s="1"/>
    </row>
    <row r="1158" spans="9:13" x14ac:dyDescent="0.5">
      <c r="I1158" s="1"/>
      <c r="J1158" s="1"/>
      <c r="M1158" s="1"/>
    </row>
    <row r="1159" spans="9:13" x14ac:dyDescent="0.5">
      <c r="I1159" s="1"/>
      <c r="J1159" s="1"/>
      <c r="M1159" s="1"/>
    </row>
    <row r="1160" spans="9:13" x14ac:dyDescent="0.5">
      <c r="I1160" s="1"/>
      <c r="J1160" s="1"/>
      <c r="M1160" s="1"/>
    </row>
    <row r="1161" spans="9:13" x14ac:dyDescent="0.5">
      <c r="I1161" s="1"/>
      <c r="J1161" s="1"/>
      <c r="M1161" s="1"/>
    </row>
    <row r="1162" spans="9:13" x14ac:dyDescent="0.5">
      <c r="I1162" s="1"/>
      <c r="J1162" s="1"/>
      <c r="M1162" s="1"/>
    </row>
    <row r="1163" spans="9:13" x14ac:dyDescent="0.5">
      <c r="I1163" s="1"/>
      <c r="J1163" s="1"/>
      <c r="M1163" s="1"/>
    </row>
    <row r="1164" spans="9:13" x14ac:dyDescent="0.5">
      <c r="I1164" s="1"/>
      <c r="J1164" s="1"/>
      <c r="M1164" s="1"/>
    </row>
    <row r="1165" spans="9:13" x14ac:dyDescent="0.5">
      <c r="I1165" s="1"/>
      <c r="J1165" s="1"/>
      <c r="M1165" s="1"/>
    </row>
    <row r="1166" spans="9:13" x14ac:dyDescent="0.5">
      <c r="I1166" s="1"/>
      <c r="J1166" s="1"/>
      <c r="M1166" s="1"/>
    </row>
    <row r="1167" spans="9:13" x14ac:dyDescent="0.5">
      <c r="I1167" s="1"/>
      <c r="J1167" s="1"/>
      <c r="M1167" s="1"/>
    </row>
    <row r="1168" spans="9:13" x14ac:dyDescent="0.5">
      <c r="I1168" s="1"/>
      <c r="J1168" s="1"/>
      <c r="M1168" s="1"/>
    </row>
    <row r="1169" spans="9:13" x14ac:dyDescent="0.5">
      <c r="I1169" s="1"/>
      <c r="J1169" s="1"/>
      <c r="M1169" s="1"/>
    </row>
    <row r="1170" spans="9:13" x14ac:dyDescent="0.5">
      <c r="I1170" s="1"/>
      <c r="J1170" s="1"/>
      <c r="M1170" s="1"/>
    </row>
    <row r="1171" spans="9:13" x14ac:dyDescent="0.5">
      <c r="I1171" s="1"/>
      <c r="J1171" s="1"/>
      <c r="M1171" s="1"/>
    </row>
    <row r="1172" spans="9:13" x14ac:dyDescent="0.5">
      <c r="I1172" s="1"/>
      <c r="J1172" s="1"/>
      <c r="M1172" s="1"/>
    </row>
    <row r="1173" spans="9:13" x14ac:dyDescent="0.5">
      <c r="I1173" s="1"/>
      <c r="J1173" s="1"/>
      <c r="M1173" s="1"/>
    </row>
    <row r="1174" spans="9:13" x14ac:dyDescent="0.5">
      <c r="I1174" s="1"/>
      <c r="J1174" s="1"/>
      <c r="M1174" s="1"/>
    </row>
    <row r="1175" spans="9:13" x14ac:dyDescent="0.5">
      <c r="I1175" s="1"/>
      <c r="J1175" s="1"/>
      <c r="M1175" s="1"/>
    </row>
    <row r="1176" spans="9:13" x14ac:dyDescent="0.5">
      <c r="I1176" s="1"/>
      <c r="J1176" s="1"/>
      <c r="M1176" s="1"/>
    </row>
    <row r="1177" spans="9:13" x14ac:dyDescent="0.5">
      <c r="I1177" s="1"/>
      <c r="J1177" s="1"/>
      <c r="M1177" s="1"/>
    </row>
    <row r="1178" spans="9:13" x14ac:dyDescent="0.5">
      <c r="I1178" s="1"/>
      <c r="J1178" s="1"/>
      <c r="M1178" s="1"/>
    </row>
    <row r="1179" spans="9:13" x14ac:dyDescent="0.5">
      <c r="I1179" s="1"/>
      <c r="J1179" s="1"/>
      <c r="M1179" s="1"/>
    </row>
    <row r="1180" spans="9:13" x14ac:dyDescent="0.5">
      <c r="I1180" s="1"/>
      <c r="J1180" s="1"/>
      <c r="M1180" s="1"/>
    </row>
    <row r="1181" spans="9:13" x14ac:dyDescent="0.5">
      <c r="I1181" s="1"/>
      <c r="J1181" s="1"/>
      <c r="M1181" s="1"/>
    </row>
    <row r="1182" spans="9:13" x14ac:dyDescent="0.5">
      <c r="I1182" s="1"/>
      <c r="J1182" s="1"/>
      <c r="M1182" s="1"/>
    </row>
    <row r="1183" spans="9:13" x14ac:dyDescent="0.5">
      <c r="I1183" s="1"/>
      <c r="J1183" s="1"/>
      <c r="M1183" s="1"/>
    </row>
    <row r="1184" spans="9:13" x14ac:dyDescent="0.5">
      <c r="I1184" s="1"/>
      <c r="J1184" s="1"/>
      <c r="M1184" s="1"/>
    </row>
    <row r="1185" spans="9:13" x14ac:dyDescent="0.5">
      <c r="I1185" s="1"/>
      <c r="J1185" s="1"/>
      <c r="M1185" s="1"/>
    </row>
    <row r="1186" spans="9:13" x14ac:dyDescent="0.5">
      <c r="I1186" s="1"/>
      <c r="J1186" s="1"/>
      <c r="M1186" s="1"/>
    </row>
    <row r="1187" spans="9:13" x14ac:dyDescent="0.5">
      <c r="I1187" s="1"/>
      <c r="J1187" s="1"/>
      <c r="M1187" s="1"/>
    </row>
    <row r="1188" spans="9:13" x14ac:dyDescent="0.5">
      <c r="I1188" s="1"/>
      <c r="J1188" s="1"/>
      <c r="M1188" s="1"/>
    </row>
    <row r="1189" spans="9:13" x14ac:dyDescent="0.5">
      <c r="I1189" s="1"/>
      <c r="J1189" s="1"/>
      <c r="M1189" s="1"/>
    </row>
    <row r="1190" spans="9:13" x14ac:dyDescent="0.5">
      <c r="I1190" s="1"/>
      <c r="J1190" s="1"/>
      <c r="M1190" s="1"/>
    </row>
    <row r="1191" spans="9:13" x14ac:dyDescent="0.5">
      <c r="I1191" s="1"/>
      <c r="J1191" s="1"/>
      <c r="M1191" s="1"/>
    </row>
    <row r="1192" spans="9:13" x14ac:dyDescent="0.5">
      <c r="I1192" s="1"/>
      <c r="J1192" s="1"/>
      <c r="M1192" s="1"/>
    </row>
    <row r="1193" spans="9:13" x14ac:dyDescent="0.5">
      <c r="I1193" s="1"/>
      <c r="J1193" s="1"/>
      <c r="M1193" s="1"/>
    </row>
    <row r="1194" spans="9:13" x14ac:dyDescent="0.5">
      <c r="I1194" s="1"/>
      <c r="J1194" s="1"/>
      <c r="M1194" s="1"/>
    </row>
    <row r="1195" spans="9:13" x14ac:dyDescent="0.5">
      <c r="I1195" s="1"/>
      <c r="J1195" s="1"/>
      <c r="M1195" s="1"/>
    </row>
    <row r="1196" spans="9:13" x14ac:dyDescent="0.5">
      <c r="I1196" s="1"/>
      <c r="J1196" s="1"/>
      <c r="M1196" s="1"/>
    </row>
    <row r="1197" spans="9:13" x14ac:dyDescent="0.5">
      <c r="I1197" s="1"/>
      <c r="J1197" s="1"/>
      <c r="M1197" s="1"/>
    </row>
    <row r="1198" spans="9:13" x14ac:dyDescent="0.5">
      <c r="I1198" s="1"/>
      <c r="J1198" s="1"/>
      <c r="M1198" s="1"/>
    </row>
    <row r="1199" spans="9:13" x14ac:dyDescent="0.5">
      <c r="I1199" s="1"/>
      <c r="J1199" s="1"/>
      <c r="M1199" s="1"/>
    </row>
    <row r="1200" spans="9:13" x14ac:dyDescent="0.5">
      <c r="I1200" s="1"/>
      <c r="J1200" s="1"/>
      <c r="M1200" s="1"/>
    </row>
    <row r="1201" spans="9:13" x14ac:dyDescent="0.5">
      <c r="I1201" s="1"/>
      <c r="J1201" s="1"/>
      <c r="M1201" s="1"/>
    </row>
    <row r="1202" spans="9:13" x14ac:dyDescent="0.5">
      <c r="I1202" s="1"/>
      <c r="J1202" s="1"/>
      <c r="M1202" s="1"/>
    </row>
    <row r="1203" spans="9:13" x14ac:dyDescent="0.5">
      <c r="I1203" s="1"/>
      <c r="J1203" s="1"/>
      <c r="M1203" s="1"/>
    </row>
    <row r="1204" spans="9:13" x14ac:dyDescent="0.5">
      <c r="I1204" s="1"/>
      <c r="J1204" s="1"/>
      <c r="M1204" s="1"/>
    </row>
    <row r="1205" spans="9:13" x14ac:dyDescent="0.5">
      <c r="I1205" s="1"/>
      <c r="J1205" s="1"/>
      <c r="M1205" s="1"/>
    </row>
    <row r="1206" spans="9:13" x14ac:dyDescent="0.5">
      <c r="I1206" s="1"/>
      <c r="J1206" s="1"/>
      <c r="M1206" s="1"/>
    </row>
    <row r="1207" spans="9:13" x14ac:dyDescent="0.5">
      <c r="I1207" s="1"/>
      <c r="J1207" s="1"/>
      <c r="M1207" s="1"/>
    </row>
    <row r="1208" spans="9:13" x14ac:dyDescent="0.5">
      <c r="I1208" s="1"/>
      <c r="J1208" s="1"/>
      <c r="M1208" s="1"/>
    </row>
    <row r="1209" spans="9:13" x14ac:dyDescent="0.5">
      <c r="I1209" s="1"/>
      <c r="J1209" s="1"/>
      <c r="M1209" s="1"/>
    </row>
    <row r="1210" spans="9:13" x14ac:dyDescent="0.5">
      <c r="I1210" s="1"/>
      <c r="J1210" s="1"/>
      <c r="M1210" s="1"/>
    </row>
    <row r="1211" spans="9:13" x14ac:dyDescent="0.5">
      <c r="I1211" s="1"/>
      <c r="J1211" s="1"/>
      <c r="M1211" s="1"/>
    </row>
    <row r="1212" spans="9:13" x14ac:dyDescent="0.5">
      <c r="I1212" s="1"/>
      <c r="J1212" s="1"/>
      <c r="M1212" s="1"/>
    </row>
    <row r="1213" spans="9:13" x14ac:dyDescent="0.5">
      <c r="I1213" s="1"/>
      <c r="J1213" s="1"/>
      <c r="M1213" s="1"/>
    </row>
    <row r="1214" spans="9:13" x14ac:dyDescent="0.5">
      <c r="I1214" s="1"/>
      <c r="J1214" s="1"/>
      <c r="M1214" s="1"/>
    </row>
    <row r="1215" spans="9:13" x14ac:dyDescent="0.5">
      <c r="I1215" s="1"/>
      <c r="J1215" s="1"/>
      <c r="M1215" s="1"/>
    </row>
    <row r="1216" spans="9:13" x14ac:dyDescent="0.5">
      <c r="I1216" s="1"/>
      <c r="J1216" s="1"/>
      <c r="M1216" s="1"/>
    </row>
    <row r="1217" spans="9:13" x14ac:dyDescent="0.5">
      <c r="I1217" s="1"/>
      <c r="J1217" s="1"/>
      <c r="M1217" s="1"/>
    </row>
    <row r="1218" spans="9:13" x14ac:dyDescent="0.5">
      <c r="I1218" s="1"/>
      <c r="J1218" s="1"/>
      <c r="M1218" s="1"/>
    </row>
    <row r="1219" spans="9:13" x14ac:dyDescent="0.5">
      <c r="I1219" s="1"/>
      <c r="J1219" s="1"/>
      <c r="M1219" s="1"/>
    </row>
    <row r="1220" spans="9:13" x14ac:dyDescent="0.5">
      <c r="I1220" s="1"/>
      <c r="J1220" s="1"/>
      <c r="M1220" s="1"/>
    </row>
    <row r="1221" spans="9:13" x14ac:dyDescent="0.5">
      <c r="I1221" s="1"/>
      <c r="J1221" s="1"/>
      <c r="M1221" s="1"/>
    </row>
    <row r="1222" spans="9:13" x14ac:dyDescent="0.5">
      <c r="I1222" s="1"/>
      <c r="J1222" s="1"/>
      <c r="M1222" s="1"/>
    </row>
    <row r="1223" spans="9:13" x14ac:dyDescent="0.5">
      <c r="I1223" s="1"/>
      <c r="J1223" s="1"/>
      <c r="M1223" s="1"/>
    </row>
    <row r="1224" spans="9:13" x14ac:dyDescent="0.5">
      <c r="I1224" s="1"/>
      <c r="J1224" s="1"/>
      <c r="M1224" s="1"/>
    </row>
    <row r="1225" spans="9:13" x14ac:dyDescent="0.5">
      <c r="I1225" s="1"/>
      <c r="J1225" s="1"/>
      <c r="M1225" s="1"/>
    </row>
    <row r="1226" spans="9:13" x14ac:dyDescent="0.5">
      <c r="I1226" s="1"/>
      <c r="J1226" s="1"/>
      <c r="M1226" s="1"/>
    </row>
    <row r="1227" spans="9:13" x14ac:dyDescent="0.5">
      <c r="I1227" s="1"/>
      <c r="J1227" s="1"/>
      <c r="M1227" s="1"/>
    </row>
    <row r="1228" spans="9:13" x14ac:dyDescent="0.5">
      <c r="I1228" s="1"/>
      <c r="J1228" s="1"/>
      <c r="M1228" s="1"/>
    </row>
    <row r="1229" spans="9:13" x14ac:dyDescent="0.5">
      <c r="I1229" s="1"/>
      <c r="J1229" s="1"/>
      <c r="M1229" s="1"/>
    </row>
    <row r="1230" spans="9:13" x14ac:dyDescent="0.5">
      <c r="I1230" s="1"/>
      <c r="J1230" s="1"/>
      <c r="M1230" s="1"/>
    </row>
    <row r="1231" spans="9:13" x14ac:dyDescent="0.5">
      <c r="I1231" s="1"/>
      <c r="J1231" s="1"/>
      <c r="M1231" s="1"/>
    </row>
    <row r="1232" spans="9:13" x14ac:dyDescent="0.5">
      <c r="I1232" s="1"/>
      <c r="J1232" s="1"/>
      <c r="M1232" s="1"/>
    </row>
    <row r="1233" spans="9:13" x14ac:dyDescent="0.5">
      <c r="I1233" s="1"/>
      <c r="J1233" s="1"/>
      <c r="M1233" s="1"/>
    </row>
    <row r="1234" spans="9:13" x14ac:dyDescent="0.5">
      <c r="I1234" s="1"/>
      <c r="J1234" s="1"/>
      <c r="M1234" s="1"/>
    </row>
    <row r="1235" spans="9:13" x14ac:dyDescent="0.5">
      <c r="I1235" s="1"/>
      <c r="J1235" s="1"/>
      <c r="M1235" s="1"/>
    </row>
    <row r="1236" spans="9:13" x14ac:dyDescent="0.5">
      <c r="I1236" s="1"/>
      <c r="J1236" s="1"/>
      <c r="M1236" s="1"/>
    </row>
    <row r="1237" spans="9:13" x14ac:dyDescent="0.5">
      <c r="I1237" s="1"/>
      <c r="J1237" s="1"/>
      <c r="M1237" s="1"/>
    </row>
    <row r="1238" spans="9:13" x14ac:dyDescent="0.5">
      <c r="I1238" s="1"/>
      <c r="J1238" s="1"/>
      <c r="M1238" s="1"/>
    </row>
    <row r="1239" spans="9:13" x14ac:dyDescent="0.5">
      <c r="I1239" s="1"/>
      <c r="J1239" s="1"/>
      <c r="M1239" s="1"/>
    </row>
    <row r="1240" spans="9:13" x14ac:dyDescent="0.5">
      <c r="I1240" s="1"/>
      <c r="J1240" s="1"/>
      <c r="M1240" s="1"/>
    </row>
    <row r="1241" spans="9:13" x14ac:dyDescent="0.5">
      <c r="I1241" s="1"/>
      <c r="J1241" s="1"/>
      <c r="M1241" s="1"/>
    </row>
    <row r="1242" spans="9:13" x14ac:dyDescent="0.5">
      <c r="I1242" s="1"/>
      <c r="J1242" s="1"/>
      <c r="M1242" s="1"/>
    </row>
    <row r="1243" spans="9:13" x14ac:dyDescent="0.5">
      <c r="I1243" s="1"/>
      <c r="J1243" s="1"/>
      <c r="M1243" s="1"/>
    </row>
    <row r="1244" spans="9:13" x14ac:dyDescent="0.5">
      <c r="I1244" s="1"/>
      <c r="J1244" s="1"/>
      <c r="M1244" s="1"/>
    </row>
    <row r="1245" spans="9:13" x14ac:dyDescent="0.5">
      <c r="I1245" s="1"/>
      <c r="J1245" s="1"/>
      <c r="M1245" s="1"/>
    </row>
    <row r="1246" spans="9:13" x14ac:dyDescent="0.5">
      <c r="I1246" s="1"/>
      <c r="J1246" s="1"/>
      <c r="M1246" s="1"/>
    </row>
    <row r="1247" spans="9:13" x14ac:dyDescent="0.5">
      <c r="I1247" s="1"/>
      <c r="J1247" s="1"/>
      <c r="M1247" s="1"/>
    </row>
    <row r="1248" spans="9:13" x14ac:dyDescent="0.5">
      <c r="I1248" s="1"/>
      <c r="J1248" s="1"/>
      <c r="M1248" s="1"/>
    </row>
    <row r="1249" spans="9:13" x14ac:dyDescent="0.5">
      <c r="I1249" s="1"/>
      <c r="J1249" s="1"/>
      <c r="M1249" s="1"/>
    </row>
    <row r="1250" spans="9:13" x14ac:dyDescent="0.5">
      <c r="I1250" s="1"/>
      <c r="J1250" s="1"/>
      <c r="M1250" s="1"/>
    </row>
    <row r="1251" spans="9:13" x14ac:dyDescent="0.5">
      <c r="I1251" s="1"/>
      <c r="J1251" s="1"/>
      <c r="M1251" s="1"/>
    </row>
    <row r="1252" spans="9:13" x14ac:dyDescent="0.5">
      <c r="I1252" s="1"/>
      <c r="J1252" s="1"/>
      <c r="M1252" s="1"/>
    </row>
    <row r="1253" spans="9:13" x14ac:dyDescent="0.5">
      <c r="I1253" s="1"/>
      <c r="J1253" s="1"/>
      <c r="M1253" s="1"/>
    </row>
    <row r="1254" spans="9:13" x14ac:dyDescent="0.5">
      <c r="I1254" s="1"/>
      <c r="J1254" s="1"/>
      <c r="M1254" s="1"/>
    </row>
    <row r="1255" spans="9:13" x14ac:dyDescent="0.5">
      <c r="I1255" s="1"/>
      <c r="J1255" s="1"/>
      <c r="M1255" s="1"/>
    </row>
    <row r="1256" spans="9:13" x14ac:dyDescent="0.5">
      <c r="I1256" s="1"/>
      <c r="J1256" s="1"/>
      <c r="M1256" s="1"/>
    </row>
    <row r="1257" spans="9:13" x14ac:dyDescent="0.5">
      <c r="I1257" s="1"/>
      <c r="J1257" s="1"/>
      <c r="M1257" s="1"/>
    </row>
    <row r="1258" spans="9:13" x14ac:dyDescent="0.5">
      <c r="I1258" s="1"/>
      <c r="J1258" s="1"/>
      <c r="M1258" s="1"/>
    </row>
    <row r="1259" spans="9:13" x14ac:dyDescent="0.5">
      <c r="I1259" s="1"/>
      <c r="J1259" s="1"/>
      <c r="M1259" s="1"/>
    </row>
    <row r="1260" spans="9:13" x14ac:dyDescent="0.5">
      <c r="I1260" s="1"/>
      <c r="J1260" s="1"/>
      <c r="M1260" s="1"/>
    </row>
    <row r="1261" spans="9:13" x14ac:dyDescent="0.5">
      <c r="I1261" s="1"/>
      <c r="J1261" s="1"/>
      <c r="M1261" s="1"/>
    </row>
    <row r="1262" spans="9:13" x14ac:dyDescent="0.5">
      <c r="I1262" s="1"/>
      <c r="J1262" s="1"/>
      <c r="M1262" s="1"/>
    </row>
    <row r="1263" spans="9:13" x14ac:dyDescent="0.5">
      <c r="I1263" s="1"/>
      <c r="J1263" s="1"/>
      <c r="M1263" s="1"/>
    </row>
    <row r="1264" spans="9:13" x14ac:dyDescent="0.5">
      <c r="I1264" s="1"/>
      <c r="J1264" s="1"/>
      <c r="M1264" s="1"/>
    </row>
    <row r="1265" spans="9:13" x14ac:dyDescent="0.5">
      <c r="I1265" s="1"/>
      <c r="J1265" s="1"/>
      <c r="M1265" s="1"/>
    </row>
    <row r="1266" spans="9:13" x14ac:dyDescent="0.5">
      <c r="I1266" s="1"/>
      <c r="J1266" s="1"/>
      <c r="M1266" s="1"/>
    </row>
    <row r="1267" spans="9:13" x14ac:dyDescent="0.5">
      <c r="I1267" s="1"/>
      <c r="J1267" s="1"/>
      <c r="M1267" s="1"/>
    </row>
    <row r="1268" spans="9:13" x14ac:dyDescent="0.5">
      <c r="I1268" s="1"/>
      <c r="J1268" s="1"/>
      <c r="M1268" s="1"/>
    </row>
    <row r="1269" spans="9:13" x14ac:dyDescent="0.5">
      <c r="I1269" s="1"/>
      <c r="J1269" s="1"/>
      <c r="M1269" s="1"/>
    </row>
    <row r="1270" spans="9:13" x14ac:dyDescent="0.5">
      <c r="I1270" s="1"/>
      <c r="J1270" s="1"/>
      <c r="M1270" s="1"/>
    </row>
    <row r="1271" spans="9:13" x14ac:dyDescent="0.5">
      <c r="I1271" s="1"/>
      <c r="J1271" s="1"/>
      <c r="M1271" s="1"/>
    </row>
    <row r="1272" spans="9:13" x14ac:dyDescent="0.5">
      <c r="I1272" s="1"/>
      <c r="J1272" s="1"/>
      <c r="M1272" s="1"/>
    </row>
    <row r="1273" spans="9:13" x14ac:dyDescent="0.5">
      <c r="I1273" s="1"/>
      <c r="J1273" s="1"/>
      <c r="M1273" s="1"/>
    </row>
    <row r="1274" spans="9:13" x14ac:dyDescent="0.5">
      <c r="I1274" s="1"/>
      <c r="J1274" s="1"/>
      <c r="M1274" s="1"/>
    </row>
    <row r="1275" spans="9:13" x14ac:dyDescent="0.5">
      <c r="I1275" s="1"/>
      <c r="J1275" s="1"/>
      <c r="M1275" s="1"/>
    </row>
    <row r="1276" spans="9:13" x14ac:dyDescent="0.5">
      <c r="I1276" s="1"/>
      <c r="J1276" s="1"/>
      <c r="M1276" s="1"/>
    </row>
    <row r="1277" spans="9:13" x14ac:dyDescent="0.5">
      <c r="I1277" s="1"/>
      <c r="J1277" s="1"/>
      <c r="M1277" s="1"/>
    </row>
    <row r="1278" spans="9:13" x14ac:dyDescent="0.5">
      <c r="I1278" s="1"/>
      <c r="J1278" s="1"/>
      <c r="M1278" s="1"/>
    </row>
    <row r="1279" spans="9:13" x14ac:dyDescent="0.5">
      <c r="I1279" s="1"/>
      <c r="J1279" s="1"/>
      <c r="M1279" s="1"/>
    </row>
    <row r="1280" spans="9:13" x14ac:dyDescent="0.5">
      <c r="I1280" s="1"/>
      <c r="J1280" s="1"/>
      <c r="M1280" s="1"/>
    </row>
    <row r="1281" spans="9:13" x14ac:dyDescent="0.5">
      <c r="I1281" s="1"/>
      <c r="J1281" s="1"/>
      <c r="M1281" s="1"/>
    </row>
    <row r="1282" spans="9:13" x14ac:dyDescent="0.5">
      <c r="I1282" s="1"/>
      <c r="J1282" s="1"/>
      <c r="M1282" s="1"/>
    </row>
    <row r="1283" spans="9:13" x14ac:dyDescent="0.5">
      <c r="I1283" s="1"/>
      <c r="J1283" s="1"/>
      <c r="M1283" s="1"/>
    </row>
    <row r="1284" spans="9:13" x14ac:dyDescent="0.5">
      <c r="I1284" s="1"/>
      <c r="J1284" s="1"/>
      <c r="M1284" s="1"/>
    </row>
    <row r="1285" spans="9:13" x14ac:dyDescent="0.5">
      <c r="I1285" s="1"/>
      <c r="J1285" s="1"/>
      <c r="M1285" s="1"/>
    </row>
    <row r="1286" spans="9:13" x14ac:dyDescent="0.5">
      <c r="I1286" s="1"/>
      <c r="J1286" s="1"/>
      <c r="M1286" s="1"/>
    </row>
    <row r="1287" spans="9:13" x14ac:dyDescent="0.5">
      <c r="I1287" s="1"/>
      <c r="J1287" s="1"/>
      <c r="M1287" s="1"/>
    </row>
    <row r="1288" spans="9:13" x14ac:dyDescent="0.5">
      <c r="I1288" s="1"/>
      <c r="J1288" s="1"/>
      <c r="M1288" s="1"/>
    </row>
    <row r="1289" spans="9:13" x14ac:dyDescent="0.5">
      <c r="I1289" s="1"/>
      <c r="J1289" s="1"/>
      <c r="M1289" s="1"/>
    </row>
    <row r="1290" spans="9:13" x14ac:dyDescent="0.5">
      <c r="I1290" s="1"/>
      <c r="J1290" s="1"/>
      <c r="M1290" s="1"/>
    </row>
    <row r="1291" spans="9:13" x14ac:dyDescent="0.5">
      <c r="I1291" s="1"/>
      <c r="J1291" s="1"/>
      <c r="M1291" s="1"/>
    </row>
    <row r="1292" spans="9:13" x14ac:dyDescent="0.5">
      <c r="I1292" s="1"/>
      <c r="J1292" s="1"/>
      <c r="M1292" s="1"/>
    </row>
    <row r="1293" spans="9:13" x14ac:dyDescent="0.5">
      <c r="I1293" s="1"/>
      <c r="J1293" s="1"/>
      <c r="M1293" s="1"/>
    </row>
    <row r="1294" spans="9:13" x14ac:dyDescent="0.5">
      <c r="I1294" s="1"/>
      <c r="J1294" s="1"/>
      <c r="M1294" s="1"/>
    </row>
    <row r="1295" spans="9:13" x14ac:dyDescent="0.5">
      <c r="I1295" s="1"/>
      <c r="J1295" s="1"/>
      <c r="M1295" s="1"/>
    </row>
    <row r="1296" spans="9:13" x14ac:dyDescent="0.5">
      <c r="I1296" s="1"/>
      <c r="J1296" s="1"/>
      <c r="M1296" s="1"/>
    </row>
    <row r="1297" spans="9:13" x14ac:dyDescent="0.5">
      <c r="I1297" s="1"/>
      <c r="J1297" s="1"/>
      <c r="M1297" s="1"/>
    </row>
    <row r="1298" spans="9:13" x14ac:dyDescent="0.5">
      <c r="I1298" s="1"/>
      <c r="J1298" s="1"/>
      <c r="M1298" s="1"/>
    </row>
    <row r="1299" spans="9:13" x14ac:dyDescent="0.5">
      <c r="I1299" s="1"/>
      <c r="J1299" s="1"/>
      <c r="M1299" s="1"/>
    </row>
    <row r="1300" spans="9:13" x14ac:dyDescent="0.5">
      <c r="I1300" s="1"/>
      <c r="J1300" s="1"/>
      <c r="M1300" s="1"/>
    </row>
    <row r="1301" spans="9:13" x14ac:dyDescent="0.5">
      <c r="I1301" s="1"/>
      <c r="J1301" s="1"/>
      <c r="M1301" s="1"/>
    </row>
    <row r="1302" spans="9:13" x14ac:dyDescent="0.5">
      <c r="I1302" s="1"/>
      <c r="J1302" s="1"/>
      <c r="M1302" s="1"/>
    </row>
    <row r="1303" spans="9:13" x14ac:dyDescent="0.5">
      <c r="I1303" s="1"/>
      <c r="J1303" s="1"/>
      <c r="M1303" s="1"/>
    </row>
    <row r="1304" spans="9:13" x14ac:dyDescent="0.5">
      <c r="I1304" s="1"/>
      <c r="J1304" s="1"/>
      <c r="M1304" s="1"/>
    </row>
    <row r="1305" spans="9:13" x14ac:dyDescent="0.5">
      <c r="I1305" s="1"/>
      <c r="J1305" s="1"/>
      <c r="M1305" s="1"/>
    </row>
    <row r="1306" spans="9:13" x14ac:dyDescent="0.5">
      <c r="I1306" s="1"/>
      <c r="J1306" s="1"/>
      <c r="M1306" s="1"/>
    </row>
    <row r="1307" spans="9:13" x14ac:dyDescent="0.5">
      <c r="I1307" s="1"/>
      <c r="J1307" s="1"/>
      <c r="M1307" s="1"/>
    </row>
    <row r="1308" spans="9:13" x14ac:dyDescent="0.5">
      <c r="I1308" s="1"/>
      <c r="J1308" s="1"/>
      <c r="M1308" s="1"/>
    </row>
    <row r="1309" spans="9:13" x14ac:dyDescent="0.5">
      <c r="I1309" s="1"/>
      <c r="J1309" s="1"/>
      <c r="M1309" s="1"/>
    </row>
    <row r="1310" spans="9:13" x14ac:dyDescent="0.5">
      <c r="I1310" s="1"/>
      <c r="J1310" s="1"/>
      <c r="M1310" s="1"/>
    </row>
    <row r="1311" spans="9:13" x14ac:dyDescent="0.5">
      <c r="I1311" s="1"/>
      <c r="J1311" s="1"/>
      <c r="M1311" s="1"/>
    </row>
    <row r="1312" spans="9:13" x14ac:dyDescent="0.5">
      <c r="I1312" s="1"/>
      <c r="J1312" s="1"/>
      <c r="M1312" s="1"/>
    </row>
    <row r="1313" spans="9:13" x14ac:dyDescent="0.5">
      <c r="I1313" s="1"/>
      <c r="J1313" s="1"/>
      <c r="M1313" s="1"/>
    </row>
    <row r="1314" spans="9:13" x14ac:dyDescent="0.5">
      <c r="I1314" s="1"/>
      <c r="J1314" s="1"/>
      <c r="M1314" s="1"/>
    </row>
    <row r="1315" spans="9:13" x14ac:dyDescent="0.5">
      <c r="I1315" s="1"/>
      <c r="J1315" s="1"/>
      <c r="M1315" s="1"/>
    </row>
    <row r="1316" spans="9:13" x14ac:dyDescent="0.5">
      <c r="I1316" s="1"/>
      <c r="J1316" s="1"/>
      <c r="M1316" s="1"/>
    </row>
    <row r="1317" spans="9:13" x14ac:dyDescent="0.5">
      <c r="I1317" s="1"/>
      <c r="J1317" s="1"/>
      <c r="M1317" s="1"/>
    </row>
    <row r="1318" spans="9:13" x14ac:dyDescent="0.5">
      <c r="I1318" s="1"/>
      <c r="J1318" s="1"/>
      <c r="M1318" s="1"/>
    </row>
    <row r="1319" spans="9:13" x14ac:dyDescent="0.5">
      <c r="I1319" s="1"/>
      <c r="J1319" s="1"/>
      <c r="M1319" s="1"/>
    </row>
    <row r="1320" spans="9:13" x14ac:dyDescent="0.5">
      <c r="I1320" s="1"/>
      <c r="J1320" s="1"/>
      <c r="M1320" s="1"/>
    </row>
    <row r="1321" spans="9:13" x14ac:dyDescent="0.5">
      <c r="I1321" s="1"/>
      <c r="J1321" s="1"/>
      <c r="M1321" s="1"/>
    </row>
    <row r="1322" spans="9:13" x14ac:dyDescent="0.5">
      <c r="I1322" s="1"/>
      <c r="J1322" s="1"/>
      <c r="M1322" s="1"/>
    </row>
    <row r="1323" spans="9:13" x14ac:dyDescent="0.5">
      <c r="I1323" s="1"/>
      <c r="J1323" s="1"/>
      <c r="M1323" s="1"/>
    </row>
    <row r="1324" spans="9:13" x14ac:dyDescent="0.5">
      <c r="I1324" s="1"/>
      <c r="J1324" s="1"/>
      <c r="M1324" s="1"/>
    </row>
    <row r="1325" spans="9:13" x14ac:dyDescent="0.5">
      <c r="I1325" s="1"/>
      <c r="J1325" s="1"/>
      <c r="M1325" s="1"/>
    </row>
    <row r="1326" spans="9:13" x14ac:dyDescent="0.5">
      <c r="I1326" s="1"/>
      <c r="J1326" s="1"/>
      <c r="M1326" s="1"/>
    </row>
    <row r="1327" spans="9:13" x14ac:dyDescent="0.5">
      <c r="I1327" s="1"/>
      <c r="J1327" s="1"/>
      <c r="M1327" s="1"/>
    </row>
    <row r="1328" spans="9:13" x14ac:dyDescent="0.5">
      <c r="I1328" s="1"/>
      <c r="J1328" s="1"/>
      <c r="M1328" s="1"/>
    </row>
    <row r="1329" spans="9:13" x14ac:dyDescent="0.5">
      <c r="I1329" s="1"/>
      <c r="J1329" s="1"/>
      <c r="M1329" s="1"/>
    </row>
    <row r="1330" spans="9:13" x14ac:dyDescent="0.5">
      <c r="I1330" s="1"/>
      <c r="J1330" s="1"/>
      <c r="M1330" s="1"/>
    </row>
    <row r="1331" spans="9:13" x14ac:dyDescent="0.5">
      <c r="I1331" s="1"/>
      <c r="J1331" s="1"/>
      <c r="M1331" s="1"/>
    </row>
    <row r="1332" spans="9:13" x14ac:dyDescent="0.5">
      <c r="I1332" s="1"/>
      <c r="J1332" s="1"/>
      <c r="M1332" s="1"/>
    </row>
    <row r="1333" spans="9:13" x14ac:dyDescent="0.5">
      <c r="I1333" s="1"/>
      <c r="J1333" s="1"/>
      <c r="M1333" s="1"/>
    </row>
    <row r="1334" spans="9:13" x14ac:dyDescent="0.5">
      <c r="I1334" s="1"/>
      <c r="J1334" s="1"/>
      <c r="M1334" s="1"/>
    </row>
    <row r="1335" spans="9:13" x14ac:dyDescent="0.5">
      <c r="I1335" s="1"/>
      <c r="J1335" s="1"/>
      <c r="M1335" s="1"/>
    </row>
    <row r="1336" spans="9:13" x14ac:dyDescent="0.5">
      <c r="I1336" s="1"/>
      <c r="J1336" s="1"/>
      <c r="M1336" s="1"/>
    </row>
    <row r="1337" spans="9:13" x14ac:dyDescent="0.5">
      <c r="I1337" s="1"/>
      <c r="J1337" s="1"/>
      <c r="M1337" s="1"/>
    </row>
    <row r="1338" spans="9:13" x14ac:dyDescent="0.5">
      <c r="I1338" s="1"/>
      <c r="J1338" s="1"/>
      <c r="M1338" s="1"/>
    </row>
    <row r="1339" spans="9:13" x14ac:dyDescent="0.5">
      <c r="I1339" s="1"/>
      <c r="J1339" s="1"/>
      <c r="M1339" s="1"/>
    </row>
    <row r="1340" spans="9:13" x14ac:dyDescent="0.5">
      <c r="I1340" s="1"/>
      <c r="J1340" s="1"/>
      <c r="M1340" s="1"/>
    </row>
    <row r="1341" spans="9:13" x14ac:dyDescent="0.5">
      <c r="I1341" s="1"/>
      <c r="J1341" s="1"/>
      <c r="M1341" s="1"/>
    </row>
    <row r="1342" spans="9:13" x14ac:dyDescent="0.5">
      <c r="I1342" s="1"/>
      <c r="J1342" s="1"/>
      <c r="M1342" s="1"/>
    </row>
    <row r="1343" spans="9:13" x14ac:dyDescent="0.5">
      <c r="I1343" s="1"/>
      <c r="J1343" s="1"/>
      <c r="M1343" s="1"/>
    </row>
    <row r="1344" spans="9:13" x14ac:dyDescent="0.5">
      <c r="I1344" s="1"/>
      <c r="J1344" s="1"/>
      <c r="M1344" s="1"/>
    </row>
    <row r="1345" spans="9:13" x14ac:dyDescent="0.5">
      <c r="I1345" s="1"/>
      <c r="J1345" s="1"/>
      <c r="M1345" s="1"/>
    </row>
    <row r="1346" spans="9:13" x14ac:dyDescent="0.5">
      <c r="I1346" s="1"/>
      <c r="J1346" s="1"/>
      <c r="M1346" s="1"/>
    </row>
    <row r="1347" spans="9:13" x14ac:dyDescent="0.5">
      <c r="I1347" s="1"/>
      <c r="J1347" s="1"/>
      <c r="M1347" s="1"/>
    </row>
    <row r="1348" spans="9:13" x14ac:dyDescent="0.5">
      <c r="I1348" s="1"/>
      <c r="J1348" s="1"/>
      <c r="M1348" s="1"/>
    </row>
    <row r="1349" spans="9:13" x14ac:dyDescent="0.5">
      <c r="I1349" s="1"/>
      <c r="J1349" s="1"/>
      <c r="M1349" s="1"/>
    </row>
    <row r="1350" spans="9:13" x14ac:dyDescent="0.5">
      <c r="I1350" s="1"/>
      <c r="J1350" s="1"/>
      <c r="M1350" s="1"/>
    </row>
    <row r="1351" spans="9:13" x14ac:dyDescent="0.5">
      <c r="I1351" s="1"/>
      <c r="J1351" s="1"/>
      <c r="M1351" s="1"/>
    </row>
    <row r="1352" spans="9:13" x14ac:dyDescent="0.5">
      <c r="I1352" s="1"/>
      <c r="J1352" s="1"/>
      <c r="M1352" s="1"/>
    </row>
    <row r="1353" spans="9:13" x14ac:dyDescent="0.5">
      <c r="I1353" s="1"/>
      <c r="J1353" s="1"/>
      <c r="M1353" s="1"/>
    </row>
    <row r="1354" spans="9:13" x14ac:dyDescent="0.5">
      <c r="I1354" s="1"/>
      <c r="J1354" s="1"/>
      <c r="M1354" s="1"/>
    </row>
    <row r="1355" spans="9:13" x14ac:dyDescent="0.5">
      <c r="I1355" s="1"/>
      <c r="J1355" s="1"/>
      <c r="M1355" s="1"/>
    </row>
    <row r="1356" spans="9:13" x14ac:dyDescent="0.5">
      <c r="I1356" s="1"/>
      <c r="J1356" s="1"/>
      <c r="M1356" s="1"/>
    </row>
    <row r="1357" spans="9:13" x14ac:dyDescent="0.5">
      <c r="I1357" s="1"/>
      <c r="J1357" s="1"/>
      <c r="M1357" s="1"/>
    </row>
    <row r="1358" spans="9:13" x14ac:dyDescent="0.5">
      <c r="I1358" s="1"/>
      <c r="J1358" s="1"/>
      <c r="M1358" s="1"/>
    </row>
    <row r="1359" spans="9:13" x14ac:dyDescent="0.5">
      <c r="I1359" s="1"/>
      <c r="J1359" s="1"/>
      <c r="M1359" s="1"/>
    </row>
    <row r="1360" spans="9:13" x14ac:dyDescent="0.5">
      <c r="I1360" s="1"/>
      <c r="J1360" s="1"/>
      <c r="M1360" s="1"/>
    </row>
    <row r="1361" spans="9:13" x14ac:dyDescent="0.5">
      <c r="I1361" s="1"/>
      <c r="J1361" s="1"/>
      <c r="M1361" s="1"/>
    </row>
    <row r="1362" spans="9:13" x14ac:dyDescent="0.5">
      <c r="I1362" s="1"/>
      <c r="J1362" s="1"/>
      <c r="M1362" s="1"/>
    </row>
    <row r="1363" spans="9:13" x14ac:dyDescent="0.5">
      <c r="I1363" s="1"/>
      <c r="J1363" s="1"/>
      <c r="M1363" s="1"/>
    </row>
    <row r="1364" spans="9:13" x14ac:dyDescent="0.5">
      <c r="I1364" s="1"/>
      <c r="J1364" s="1"/>
      <c r="M1364" s="1"/>
    </row>
    <row r="1365" spans="9:13" x14ac:dyDescent="0.5">
      <c r="I1365" s="1"/>
      <c r="J1365" s="1"/>
      <c r="M1365" s="1"/>
    </row>
    <row r="1366" spans="9:13" x14ac:dyDescent="0.5">
      <c r="I1366" s="1"/>
      <c r="J1366" s="1"/>
      <c r="M1366" s="1"/>
    </row>
    <row r="1367" spans="9:13" x14ac:dyDescent="0.5">
      <c r="I1367" s="1"/>
      <c r="J1367" s="1"/>
      <c r="M1367" s="1"/>
    </row>
    <row r="1368" spans="9:13" x14ac:dyDescent="0.5">
      <c r="I1368" s="1"/>
      <c r="J1368" s="1"/>
      <c r="M1368" s="1"/>
    </row>
    <row r="1369" spans="9:13" x14ac:dyDescent="0.5">
      <c r="I1369" s="1"/>
      <c r="J1369" s="1"/>
      <c r="M1369" s="1"/>
    </row>
    <row r="1370" spans="9:13" x14ac:dyDescent="0.5">
      <c r="I1370" s="1"/>
      <c r="J1370" s="1"/>
      <c r="M1370" s="1"/>
    </row>
    <row r="1371" spans="9:13" x14ac:dyDescent="0.5">
      <c r="I1371" s="1"/>
      <c r="J1371" s="1"/>
      <c r="M1371" s="1"/>
    </row>
    <row r="1372" spans="9:13" x14ac:dyDescent="0.5">
      <c r="I1372" s="1"/>
      <c r="J1372" s="1"/>
      <c r="M1372" s="1"/>
    </row>
    <row r="1373" spans="9:13" x14ac:dyDescent="0.5">
      <c r="I1373" s="1"/>
      <c r="J1373" s="1"/>
      <c r="M1373" s="1"/>
    </row>
    <row r="1374" spans="9:13" x14ac:dyDescent="0.5">
      <c r="I1374" s="1"/>
      <c r="J1374" s="1"/>
      <c r="M1374" s="1"/>
    </row>
    <row r="1375" spans="9:13" x14ac:dyDescent="0.5">
      <c r="I1375" s="1"/>
      <c r="J1375" s="1"/>
      <c r="M1375" s="1"/>
    </row>
    <row r="1376" spans="9:13" x14ac:dyDescent="0.5">
      <c r="I1376" s="1"/>
      <c r="J1376" s="1"/>
      <c r="M1376" s="1"/>
    </row>
    <row r="1377" spans="9:13" x14ac:dyDescent="0.5">
      <c r="I1377" s="1"/>
      <c r="J1377" s="1"/>
      <c r="M1377" s="1"/>
    </row>
    <row r="1378" spans="9:13" x14ac:dyDescent="0.5">
      <c r="I1378" s="1"/>
      <c r="J1378" s="1"/>
      <c r="M1378" s="1"/>
    </row>
    <row r="1379" spans="9:13" x14ac:dyDescent="0.5">
      <c r="I1379" s="1"/>
      <c r="J1379" s="1"/>
      <c r="M1379" s="1"/>
    </row>
    <row r="1380" spans="9:13" x14ac:dyDescent="0.5">
      <c r="I1380" s="1"/>
      <c r="J1380" s="1"/>
      <c r="M1380" s="1"/>
    </row>
    <row r="1381" spans="9:13" x14ac:dyDescent="0.5">
      <c r="I1381" s="1"/>
      <c r="J1381" s="1"/>
      <c r="M1381" s="1"/>
    </row>
    <row r="1382" spans="9:13" x14ac:dyDescent="0.5">
      <c r="I1382" s="1"/>
      <c r="J1382" s="1"/>
      <c r="M1382" s="1"/>
    </row>
    <row r="1383" spans="9:13" x14ac:dyDescent="0.5">
      <c r="I1383" s="1"/>
      <c r="J1383" s="1"/>
      <c r="M1383" s="1"/>
    </row>
    <row r="1384" spans="9:13" x14ac:dyDescent="0.5">
      <c r="I1384" s="1"/>
      <c r="J1384" s="1"/>
      <c r="M1384" s="1"/>
    </row>
    <row r="1385" spans="9:13" x14ac:dyDescent="0.5">
      <c r="I1385" s="1"/>
      <c r="J1385" s="1"/>
      <c r="M1385" s="1"/>
    </row>
    <row r="1386" spans="9:13" x14ac:dyDescent="0.5">
      <c r="I1386" s="1"/>
      <c r="J1386" s="1"/>
      <c r="M1386" s="1"/>
    </row>
    <row r="1387" spans="9:13" x14ac:dyDescent="0.5">
      <c r="I1387" s="1"/>
      <c r="J1387" s="1"/>
      <c r="M1387" s="1"/>
    </row>
    <row r="1388" spans="9:13" x14ac:dyDescent="0.5">
      <c r="I1388" s="1"/>
      <c r="J1388" s="1"/>
      <c r="M1388" s="1"/>
    </row>
    <row r="1389" spans="9:13" x14ac:dyDescent="0.5">
      <c r="I1389" s="1"/>
      <c r="J1389" s="1"/>
      <c r="M1389" s="1"/>
    </row>
    <row r="1390" spans="9:13" x14ac:dyDescent="0.5">
      <c r="I1390" s="1"/>
      <c r="J1390" s="1"/>
      <c r="M1390" s="1"/>
    </row>
    <row r="1391" spans="9:13" x14ac:dyDescent="0.5">
      <c r="I1391" s="1"/>
      <c r="J1391" s="1"/>
      <c r="M1391" s="1"/>
    </row>
    <row r="1392" spans="9:13" x14ac:dyDescent="0.5">
      <c r="I1392" s="1"/>
      <c r="J1392" s="1"/>
      <c r="M1392" s="1"/>
    </row>
    <row r="1393" spans="9:13" x14ac:dyDescent="0.5">
      <c r="I1393" s="1"/>
      <c r="J1393" s="1"/>
      <c r="M1393" s="1"/>
    </row>
    <row r="1394" spans="9:13" x14ac:dyDescent="0.5">
      <c r="I1394" s="1"/>
      <c r="J1394" s="1"/>
      <c r="M1394" s="1"/>
    </row>
    <row r="1395" spans="9:13" x14ac:dyDescent="0.5">
      <c r="I1395" s="1"/>
      <c r="J1395" s="1"/>
      <c r="M1395" s="1"/>
    </row>
    <row r="1396" spans="9:13" x14ac:dyDescent="0.5">
      <c r="I1396" s="1"/>
      <c r="J1396" s="1"/>
      <c r="M1396" s="1"/>
    </row>
    <row r="1397" spans="9:13" x14ac:dyDescent="0.5">
      <c r="I1397" s="1"/>
      <c r="J1397" s="1"/>
      <c r="M1397" s="1"/>
    </row>
    <row r="1398" spans="9:13" x14ac:dyDescent="0.5">
      <c r="I1398" s="1"/>
      <c r="J1398" s="1"/>
      <c r="M1398" s="1"/>
    </row>
    <row r="1399" spans="9:13" x14ac:dyDescent="0.5">
      <c r="I1399" s="1"/>
      <c r="J1399" s="1"/>
      <c r="M1399" s="1"/>
    </row>
    <row r="1400" spans="9:13" x14ac:dyDescent="0.5">
      <c r="I1400" s="1"/>
      <c r="J1400" s="1"/>
      <c r="M1400" s="1"/>
    </row>
    <row r="1401" spans="9:13" x14ac:dyDescent="0.5">
      <c r="I1401" s="1"/>
      <c r="J1401" s="1"/>
      <c r="M1401" s="1"/>
    </row>
    <row r="1402" spans="9:13" x14ac:dyDescent="0.5">
      <c r="I1402" s="1"/>
      <c r="J1402" s="1"/>
      <c r="M1402" s="1"/>
    </row>
    <row r="1403" spans="9:13" x14ac:dyDescent="0.5">
      <c r="I1403" s="1"/>
      <c r="J1403" s="1"/>
      <c r="M1403" s="1"/>
    </row>
    <row r="1404" spans="9:13" x14ac:dyDescent="0.5">
      <c r="I1404" s="1"/>
      <c r="J1404" s="1"/>
      <c r="M1404" s="1"/>
    </row>
    <row r="1405" spans="9:13" x14ac:dyDescent="0.5">
      <c r="I1405" s="1"/>
      <c r="J1405" s="1"/>
      <c r="M1405" s="1"/>
    </row>
    <row r="1406" spans="9:13" x14ac:dyDescent="0.5">
      <c r="I1406" s="1"/>
      <c r="J1406" s="1"/>
      <c r="M1406" s="1"/>
    </row>
    <row r="1407" spans="9:13" x14ac:dyDescent="0.5">
      <c r="I1407" s="1"/>
      <c r="J1407" s="1"/>
      <c r="M1407" s="1"/>
    </row>
    <row r="1408" spans="9:13" x14ac:dyDescent="0.5">
      <c r="I1408" s="1"/>
      <c r="J1408" s="1"/>
      <c r="M1408" s="1"/>
    </row>
    <row r="1409" spans="9:13" x14ac:dyDescent="0.5">
      <c r="I1409" s="1"/>
      <c r="J1409" s="1"/>
      <c r="M1409" s="1"/>
    </row>
    <row r="1410" spans="9:13" x14ac:dyDescent="0.5">
      <c r="I1410" s="1"/>
      <c r="J1410" s="1"/>
      <c r="M1410" s="1"/>
    </row>
    <row r="1411" spans="9:13" x14ac:dyDescent="0.5">
      <c r="I1411" s="1"/>
      <c r="J1411" s="1"/>
      <c r="M1411" s="1"/>
    </row>
    <row r="1412" spans="9:13" x14ac:dyDescent="0.5">
      <c r="I1412" s="1"/>
      <c r="J1412" s="1"/>
      <c r="M1412" s="1"/>
    </row>
    <row r="1413" spans="9:13" x14ac:dyDescent="0.5">
      <c r="I1413" s="1"/>
      <c r="J1413" s="1"/>
      <c r="M1413" s="1"/>
    </row>
    <row r="1414" spans="9:13" x14ac:dyDescent="0.5">
      <c r="I1414" s="1"/>
      <c r="J1414" s="1"/>
      <c r="M1414" s="1"/>
    </row>
    <row r="1415" spans="9:13" x14ac:dyDescent="0.5">
      <c r="I1415" s="1"/>
      <c r="J1415" s="1"/>
      <c r="M1415" s="1"/>
    </row>
    <row r="1416" spans="9:13" x14ac:dyDescent="0.5">
      <c r="I1416" s="1"/>
      <c r="J1416" s="1"/>
      <c r="M1416" s="1"/>
    </row>
    <row r="1417" spans="9:13" x14ac:dyDescent="0.5">
      <c r="I1417" s="1"/>
      <c r="J1417" s="1"/>
      <c r="M1417" s="1"/>
    </row>
    <row r="1418" spans="9:13" x14ac:dyDescent="0.5">
      <c r="I1418" s="1"/>
      <c r="J1418" s="1"/>
      <c r="M1418" s="1"/>
    </row>
    <row r="1419" spans="9:13" x14ac:dyDescent="0.5">
      <c r="I1419" s="1"/>
      <c r="J1419" s="1"/>
      <c r="M1419" s="1"/>
    </row>
    <row r="1420" spans="9:13" x14ac:dyDescent="0.5">
      <c r="I1420" s="1"/>
      <c r="J1420" s="1"/>
      <c r="M1420" s="1"/>
    </row>
    <row r="1421" spans="9:13" x14ac:dyDescent="0.5">
      <c r="I1421" s="1"/>
      <c r="J1421" s="1"/>
      <c r="M1421" s="1"/>
    </row>
    <row r="1422" spans="9:13" x14ac:dyDescent="0.5">
      <c r="I1422" s="1"/>
      <c r="J1422" s="1"/>
      <c r="M1422" s="1"/>
    </row>
    <row r="1423" spans="9:13" x14ac:dyDescent="0.5">
      <c r="I1423" s="1"/>
      <c r="J1423" s="1"/>
      <c r="M1423" s="1"/>
    </row>
    <row r="1424" spans="9:13" x14ac:dyDescent="0.5">
      <c r="I1424" s="1"/>
      <c r="J1424" s="1"/>
      <c r="M1424" s="1"/>
    </row>
    <row r="1425" spans="9:13" x14ac:dyDescent="0.5">
      <c r="I1425" s="1"/>
      <c r="J1425" s="1"/>
      <c r="M1425" s="1"/>
    </row>
    <row r="1426" spans="9:13" x14ac:dyDescent="0.5">
      <c r="I1426" s="1"/>
      <c r="J1426" s="1"/>
      <c r="M1426" s="1"/>
    </row>
    <row r="1427" spans="9:13" x14ac:dyDescent="0.5">
      <c r="I1427" s="1"/>
      <c r="J1427" s="1"/>
      <c r="M1427" s="1"/>
    </row>
    <row r="1428" spans="9:13" x14ac:dyDescent="0.5">
      <c r="I1428" s="1"/>
      <c r="J1428" s="1"/>
      <c r="M1428" s="1"/>
    </row>
    <row r="1429" spans="9:13" x14ac:dyDescent="0.5">
      <c r="I1429" s="1"/>
      <c r="J1429" s="1"/>
      <c r="M1429" s="1"/>
    </row>
    <row r="1430" spans="9:13" x14ac:dyDescent="0.5">
      <c r="I1430" s="1"/>
      <c r="J1430" s="1"/>
      <c r="M1430" s="1"/>
    </row>
    <row r="1431" spans="9:13" x14ac:dyDescent="0.5">
      <c r="I1431" s="1"/>
      <c r="J1431" s="1"/>
      <c r="M1431" s="1"/>
    </row>
    <row r="1432" spans="9:13" x14ac:dyDescent="0.5">
      <c r="I1432" s="1"/>
      <c r="J1432" s="1"/>
      <c r="M1432" s="1"/>
    </row>
    <row r="1433" spans="9:13" x14ac:dyDescent="0.5">
      <c r="I1433" s="1"/>
      <c r="J1433" s="1"/>
      <c r="M1433" s="1"/>
    </row>
    <row r="1434" spans="9:13" x14ac:dyDescent="0.5">
      <c r="I1434" s="1"/>
      <c r="J1434" s="1"/>
      <c r="M1434" s="1"/>
    </row>
    <row r="1435" spans="9:13" x14ac:dyDescent="0.5">
      <c r="I1435" s="1"/>
      <c r="J1435" s="1"/>
      <c r="M1435" s="1"/>
    </row>
    <row r="1436" spans="9:13" x14ac:dyDescent="0.5">
      <c r="I1436" s="1"/>
      <c r="J1436" s="1"/>
      <c r="M1436" s="1"/>
    </row>
    <row r="1437" spans="9:13" x14ac:dyDescent="0.5">
      <c r="I1437" s="1"/>
      <c r="J1437" s="1"/>
      <c r="M1437" s="1"/>
    </row>
    <row r="1438" spans="9:13" x14ac:dyDescent="0.5">
      <c r="I1438" s="1"/>
      <c r="J1438" s="1"/>
      <c r="M1438" s="1"/>
    </row>
    <row r="1439" spans="9:13" x14ac:dyDescent="0.5">
      <c r="I1439" s="1"/>
      <c r="J1439" s="1"/>
      <c r="M1439" s="1"/>
    </row>
    <row r="1440" spans="9:13" x14ac:dyDescent="0.5">
      <c r="I1440" s="1"/>
      <c r="J1440" s="1"/>
      <c r="M1440" s="1"/>
    </row>
    <row r="1441" spans="9:13" x14ac:dyDescent="0.5">
      <c r="I1441" s="1"/>
      <c r="J1441" s="1"/>
      <c r="M1441" s="1"/>
    </row>
    <row r="1442" spans="9:13" x14ac:dyDescent="0.5">
      <c r="I1442" s="1"/>
      <c r="J1442" s="1"/>
      <c r="M1442" s="1"/>
    </row>
    <row r="1443" spans="9:13" x14ac:dyDescent="0.5">
      <c r="I1443" s="1"/>
      <c r="J1443" s="1"/>
      <c r="M1443" s="1"/>
    </row>
    <row r="1444" spans="9:13" x14ac:dyDescent="0.5">
      <c r="I1444" s="1"/>
      <c r="J1444" s="1"/>
      <c r="M1444" s="1"/>
    </row>
    <row r="1445" spans="9:13" x14ac:dyDescent="0.5">
      <c r="I1445" s="1"/>
      <c r="J1445" s="1"/>
      <c r="M1445" s="1"/>
    </row>
    <row r="1446" spans="9:13" x14ac:dyDescent="0.5">
      <c r="I1446" s="1"/>
      <c r="J1446" s="1"/>
      <c r="M1446" s="1"/>
    </row>
    <row r="1447" spans="9:13" x14ac:dyDescent="0.5">
      <c r="I1447" s="1"/>
      <c r="J1447" s="1"/>
      <c r="M1447" s="1"/>
    </row>
    <row r="1448" spans="9:13" x14ac:dyDescent="0.5">
      <c r="I1448" s="1"/>
      <c r="J1448" s="1"/>
      <c r="M1448" s="1"/>
    </row>
    <row r="1449" spans="9:13" x14ac:dyDescent="0.5">
      <c r="I1449" s="1"/>
      <c r="J1449" s="1"/>
      <c r="M1449" s="1"/>
    </row>
    <row r="1450" spans="9:13" x14ac:dyDescent="0.5">
      <c r="I1450" s="1"/>
      <c r="J1450" s="1"/>
      <c r="M1450" s="1"/>
    </row>
    <row r="1451" spans="9:13" x14ac:dyDescent="0.5">
      <c r="I1451" s="1"/>
      <c r="J1451" s="1"/>
      <c r="M1451" s="1"/>
    </row>
    <row r="1452" spans="9:13" x14ac:dyDescent="0.5">
      <c r="I1452" s="1"/>
      <c r="J1452" s="1"/>
      <c r="M1452" s="1"/>
    </row>
    <row r="1453" spans="9:13" x14ac:dyDescent="0.5">
      <c r="I1453" s="1"/>
      <c r="J1453" s="1"/>
      <c r="M1453" s="1"/>
    </row>
    <row r="1454" spans="9:13" x14ac:dyDescent="0.5">
      <c r="I1454" s="1"/>
      <c r="J1454" s="1"/>
      <c r="M1454" s="1"/>
    </row>
    <row r="1455" spans="9:13" x14ac:dyDescent="0.5">
      <c r="I1455" s="1"/>
      <c r="J1455" s="1"/>
      <c r="M1455" s="1"/>
    </row>
    <row r="1456" spans="9:13" x14ac:dyDescent="0.5">
      <c r="I1456" s="1"/>
      <c r="J1456" s="1"/>
      <c r="M1456" s="1"/>
    </row>
    <row r="1457" spans="9:13" x14ac:dyDescent="0.5">
      <c r="I1457" s="1"/>
      <c r="J1457" s="1"/>
      <c r="M1457" s="1"/>
    </row>
    <row r="1458" spans="9:13" x14ac:dyDescent="0.5">
      <c r="I1458" s="1"/>
      <c r="J1458" s="1"/>
      <c r="M1458" s="1"/>
    </row>
    <row r="1459" spans="9:13" x14ac:dyDescent="0.5">
      <c r="I1459" s="1"/>
      <c r="J1459" s="1"/>
      <c r="M1459" s="1"/>
    </row>
    <row r="1460" spans="9:13" x14ac:dyDescent="0.5">
      <c r="I1460" s="1"/>
      <c r="J1460" s="1"/>
      <c r="M1460" s="1"/>
    </row>
    <row r="1461" spans="9:13" x14ac:dyDescent="0.5">
      <c r="I1461" s="1"/>
      <c r="J1461" s="1"/>
      <c r="M1461" s="1"/>
    </row>
    <row r="1462" spans="9:13" x14ac:dyDescent="0.5">
      <c r="I1462" s="1"/>
      <c r="J1462" s="1"/>
      <c r="M1462" s="1"/>
    </row>
    <row r="1463" spans="9:13" x14ac:dyDescent="0.5">
      <c r="I1463" s="1"/>
      <c r="J1463" s="1"/>
      <c r="M1463" s="1"/>
    </row>
    <row r="1464" spans="9:13" x14ac:dyDescent="0.5">
      <c r="I1464" s="1"/>
      <c r="J1464" s="1"/>
      <c r="M1464" s="1"/>
    </row>
    <row r="1465" spans="9:13" x14ac:dyDescent="0.5">
      <c r="I1465" s="1"/>
      <c r="J1465" s="1"/>
      <c r="M1465" s="1"/>
    </row>
    <row r="1466" spans="9:13" x14ac:dyDescent="0.5">
      <c r="I1466" s="1"/>
      <c r="J1466" s="1"/>
      <c r="M1466" s="1"/>
    </row>
    <row r="1467" spans="9:13" x14ac:dyDescent="0.5">
      <c r="I1467" s="1"/>
      <c r="J1467" s="1"/>
      <c r="M1467" s="1"/>
    </row>
    <row r="1468" spans="9:13" x14ac:dyDescent="0.5">
      <c r="I1468" s="1"/>
      <c r="J1468" s="1"/>
      <c r="M1468" s="1"/>
    </row>
    <row r="1469" spans="9:13" x14ac:dyDescent="0.5">
      <c r="I1469" s="1"/>
      <c r="J1469" s="1"/>
      <c r="M1469" s="1"/>
    </row>
    <row r="1470" spans="9:13" x14ac:dyDescent="0.5">
      <c r="I1470" s="1"/>
      <c r="J1470" s="1"/>
      <c r="M1470" s="1"/>
    </row>
    <row r="1471" spans="9:13" x14ac:dyDescent="0.5">
      <c r="I1471" s="1"/>
      <c r="J1471" s="1"/>
      <c r="M1471" s="1"/>
    </row>
    <row r="1472" spans="9:13" x14ac:dyDescent="0.5">
      <c r="I1472" s="1"/>
      <c r="J1472" s="1"/>
      <c r="M1472" s="1"/>
    </row>
    <row r="1473" spans="9:13" x14ac:dyDescent="0.5">
      <c r="I1473" s="1"/>
      <c r="J1473" s="1"/>
      <c r="M1473" s="1"/>
    </row>
    <row r="1474" spans="9:13" x14ac:dyDescent="0.5">
      <c r="I1474" s="1"/>
      <c r="J1474" s="1"/>
      <c r="M1474" s="1"/>
    </row>
    <row r="1475" spans="9:13" x14ac:dyDescent="0.5">
      <c r="I1475" s="1"/>
      <c r="J1475" s="1"/>
      <c r="M1475" s="1"/>
    </row>
    <row r="1476" spans="9:13" x14ac:dyDescent="0.5">
      <c r="I1476" s="1"/>
      <c r="J1476" s="1"/>
      <c r="M1476" s="1"/>
    </row>
    <row r="1477" spans="9:13" x14ac:dyDescent="0.5">
      <c r="I1477" s="1"/>
      <c r="J1477" s="1"/>
      <c r="M1477" s="1"/>
    </row>
    <row r="1478" spans="9:13" x14ac:dyDescent="0.5">
      <c r="I1478" s="1"/>
      <c r="J1478" s="1"/>
      <c r="M1478" s="1"/>
    </row>
    <row r="1479" spans="9:13" x14ac:dyDescent="0.5">
      <c r="I1479" s="1"/>
      <c r="J1479" s="1"/>
      <c r="M1479" s="1"/>
    </row>
    <row r="1480" spans="9:13" x14ac:dyDescent="0.5">
      <c r="I1480" s="1"/>
      <c r="J1480" s="1"/>
      <c r="M1480" s="1"/>
    </row>
    <row r="1481" spans="9:13" x14ac:dyDescent="0.5">
      <c r="I1481" s="1"/>
      <c r="J1481" s="1"/>
      <c r="M1481" s="1"/>
    </row>
    <row r="1482" spans="9:13" x14ac:dyDescent="0.5">
      <c r="I1482" s="1"/>
      <c r="J1482" s="1"/>
      <c r="M1482" s="1"/>
    </row>
    <row r="1483" spans="9:13" x14ac:dyDescent="0.5">
      <c r="I1483" s="1"/>
      <c r="J1483" s="1"/>
      <c r="M1483" s="1"/>
    </row>
    <row r="1484" spans="9:13" x14ac:dyDescent="0.5">
      <c r="I1484" s="1"/>
      <c r="J1484" s="1"/>
      <c r="M1484" s="1"/>
    </row>
    <row r="1485" spans="9:13" x14ac:dyDescent="0.5">
      <c r="I1485" s="1"/>
      <c r="J1485" s="1"/>
      <c r="M1485" s="1"/>
    </row>
    <row r="1486" spans="9:13" x14ac:dyDescent="0.5">
      <c r="I1486" s="1"/>
      <c r="J1486" s="1"/>
      <c r="M1486" s="1"/>
    </row>
    <row r="1487" spans="9:13" x14ac:dyDescent="0.5">
      <c r="I1487" s="1"/>
      <c r="J1487" s="1"/>
      <c r="M1487" s="1"/>
    </row>
    <row r="1488" spans="9:13" x14ac:dyDescent="0.5">
      <c r="I1488" s="1"/>
      <c r="J1488" s="1"/>
      <c r="M1488" s="1"/>
    </row>
    <row r="1489" spans="9:13" x14ac:dyDescent="0.5">
      <c r="I1489" s="1"/>
      <c r="J1489" s="1"/>
      <c r="M1489" s="1"/>
    </row>
    <row r="1490" spans="9:13" x14ac:dyDescent="0.5">
      <c r="I1490" s="1"/>
      <c r="J1490" s="1"/>
      <c r="M1490" s="1"/>
    </row>
    <row r="1491" spans="9:13" x14ac:dyDescent="0.5">
      <c r="I1491" s="1"/>
      <c r="J1491" s="1"/>
      <c r="M1491" s="1"/>
    </row>
    <row r="1492" spans="9:13" x14ac:dyDescent="0.5">
      <c r="I1492" s="1"/>
      <c r="J1492" s="1"/>
      <c r="M1492" s="1"/>
    </row>
    <row r="1493" spans="9:13" x14ac:dyDescent="0.5">
      <c r="I1493" s="1"/>
      <c r="J1493" s="1"/>
      <c r="M1493" s="1"/>
    </row>
    <row r="1494" spans="9:13" x14ac:dyDescent="0.5">
      <c r="I1494" s="1"/>
      <c r="J1494" s="1"/>
      <c r="M1494" s="1"/>
    </row>
    <row r="1495" spans="9:13" x14ac:dyDescent="0.5">
      <c r="I1495" s="1"/>
      <c r="J1495" s="1"/>
      <c r="M1495" s="1"/>
    </row>
    <row r="1496" spans="9:13" x14ac:dyDescent="0.5">
      <c r="I1496" s="1"/>
      <c r="J1496" s="1"/>
      <c r="M1496" s="1"/>
    </row>
    <row r="1497" spans="9:13" x14ac:dyDescent="0.5">
      <c r="I1497" s="1"/>
      <c r="J1497" s="1"/>
      <c r="M1497" s="1"/>
    </row>
    <row r="1498" spans="9:13" x14ac:dyDescent="0.5">
      <c r="I1498" s="1"/>
      <c r="J1498" s="1"/>
      <c r="M1498" s="1"/>
    </row>
    <row r="1499" spans="9:13" x14ac:dyDescent="0.5">
      <c r="I1499" s="1"/>
      <c r="J1499" s="1"/>
      <c r="M1499" s="1"/>
    </row>
    <row r="1500" spans="9:13" x14ac:dyDescent="0.5">
      <c r="I1500" s="1"/>
      <c r="J1500" s="1"/>
      <c r="M1500" s="1"/>
    </row>
    <row r="1501" spans="9:13" x14ac:dyDescent="0.5">
      <c r="I1501" s="1"/>
      <c r="J1501" s="1"/>
      <c r="M1501" s="1"/>
    </row>
    <row r="1502" spans="9:13" x14ac:dyDescent="0.5">
      <c r="I1502" s="1"/>
      <c r="J1502" s="1"/>
      <c r="M1502" s="1"/>
    </row>
    <row r="1503" spans="9:13" x14ac:dyDescent="0.5">
      <c r="I1503" s="1"/>
      <c r="J1503" s="1"/>
      <c r="M1503" s="1"/>
    </row>
    <row r="1504" spans="9:13" x14ac:dyDescent="0.5">
      <c r="I1504" s="1"/>
      <c r="J1504" s="1"/>
      <c r="M1504" s="1"/>
    </row>
    <row r="1505" spans="9:13" x14ac:dyDescent="0.5">
      <c r="I1505" s="1"/>
      <c r="J1505" s="1"/>
      <c r="M1505" s="1"/>
    </row>
    <row r="1506" spans="9:13" x14ac:dyDescent="0.5">
      <c r="I1506" s="1"/>
      <c r="J1506" s="1"/>
      <c r="M1506" s="1"/>
    </row>
    <row r="1507" spans="9:13" x14ac:dyDescent="0.5">
      <c r="I1507" s="1"/>
      <c r="J1507" s="1"/>
      <c r="M1507" s="1"/>
    </row>
    <row r="1508" spans="9:13" x14ac:dyDescent="0.5">
      <c r="I1508" s="1"/>
      <c r="J1508" s="1"/>
      <c r="M1508" s="1"/>
    </row>
    <row r="1509" spans="9:13" x14ac:dyDescent="0.5">
      <c r="I1509" s="1"/>
      <c r="J1509" s="1"/>
      <c r="M1509" s="1"/>
    </row>
    <row r="1510" spans="9:13" x14ac:dyDescent="0.5">
      <c r="I1510" s="1"/>
      <c r="J1510" s="1"/>
      <c r="M1510" s="1"/>
    </row>
    <row r="1511" spans="9:13" x14ac:dyDescent="0.5">
      <c r="I1511" s="1"/>
      <c r="J1511" s="1"/>
      <c r="M1511" s="1"/>
    </row>
    <row r="1512" spans="9:13" x14ac:dyDescent="0.5">
      <c r="I1512" s="1"/>
      <c r="J1512" s="1"/>
      <c r="M1512" s="1"/>
    </row>
    <row r="1513" spans="9:13" x14ac:dyDescent="0.5">
      <c r="I1513" s="1"/>
      <c r="J1513" s="1"/>
      <c r="M1513" s="1"/>
    </row>
    <row r="1514" spans="9:13" x14ac:dyDescent="0.5">
      <c r="I1514" s="1"/>
      <c r="J1514" s="1"/>
      <c r="M1514" s="1"/>
    </row>
    <row r="1515" spans="9:13" x14ac:dyDescent="0.5">
      <c r="I1515" s="1"/>
      <c r="J1515" s="1"/>
      <c r="M1515" s="1"/>
    </row>
    <row r="1516" spans="9:13" x14ac:dyDescent="0.5">
      <c r="I1516" s="1"/>
      <c r="J1516" s="1"/>
      <c r="M1516" s="1"/>
    </row>
    <row r="1517" spans="9:13" x14ac:dyDescent="0.5">
      <c r="I1517" s="1"/>
      <c r="J1517" s="1"/>
      <c r="M1517" s="1"/>
    </row>
    <row r="1518" spans="9:13" x14ac:dyDescent="0.5">
      <c r="I1518" s="1"/>
      <c r="J1518" s="1"/>
      <c r="M1518" s="1"/>
    </row>
    <row r="1519" spans="9:13" x14ac:dyDescent="0.5">
      <c r="I1519" s="1"/>
      <c r="J1519" s="1"/>
      <c r="M1519" s="1"/>
    </row>
    <row r="1520" spans="9:13" x14ac:dyDescent="0.5">
      <c r="I1520" s="1"/>
      <c r="J1520" s="1"/>
      <c r="M1520" s="1"/>
    </row>
    <row r="1521" spans="9:13" x14ac:dyDescent="0.5">
      <c r="I1521" s="1"/>
      <c r="J1521" s="1"/>
      <c r="M1521" s="1"/>
    </row>
    <row r="1522" spans="9:13" x14ac:dyDescent="0.5">
      <c r="I1522" s="1"/>
      <c r="J1522" s="1"/>
      <c r="M1522" s="1"/>
    </row>
    <row r="1523" spans="9:13" x14ac:dyDescent="0.5">
      <c r="I1523" s="1"/>
      <c r="J1523" s="1"/>
      <c r="M1523" s="1"/>
    </row>
    <row r="1524" spans="9:13" x14ac:dyDescent="0.5">
      <c r="I1524" s="1"/>
      <c r="J1524" s="1"/>
      <c r="M1524" s="1"/>
    </row>
    <row r="1525" spans="9:13" x14ac:dyDescent="0.5">
      <c r="I1525" s="1"/>
      <c r="J1525" s="1"/>
      <c r="M1525" s="1"/>
    </row>
    <row r="1526" spans="9:13" x14ac:dyDescent="0.5">
      <c r="I1526" s="1"/>
      <c r="J1526" s="1"/>
      <c r="M1526" s="1"/>
    </row>
    <row r="1527" spans="9:13" x14ac:dyDescent="0.5">
      <c r="I1527" s="1"/>
      <c r="J1527" s="1"/>
      <c r="M1527" s="1"/>
    </row>
    <row r="1528" spans="9:13" x14ac:dyDescent="0.5">
      <c r="I1528" s="1"/>
      <c r="J1528" s="1"/>
      <c r="M1528" s="1"/>
    </row>
    <row r="1529" spans="9:13" x14ac:dyDescent="0.5">
      <c r="I1529" s="1"/>
      <c r="J1529" s="1"/>
      <c r="M1529" s="1"/>
    </row>
    <row r="1530" spans="9:13" x14ac:dyDescent="0.5">
      <c r="I1530" s="1"/>
      <c r="J1530" s="1"/>
      <c r="M1530" s="1"/>
    </row>
    <row r="1531" spans="9:13" x14ac:dyDescent="0.5">
      <c r="I1531" s="1"/>
      <c r="J1531" s="1"/>
      <c r="M1531" s="1"/>
    </row>
    <row r="1532" spans="9:13" x14ac:dyDescent="0.5">
      <c r="I1532" s="1"/>
      <c r="J1532" s="1"/>
      <c r="M1532" s="1"/>
    </row>
    <row r="1533" spans="9:13" x14ac:dyDescent="0.5">
      <c r="I1533" s="1"/>
      <c r="J1533" s="1"/>
      <c r="M1533" s="1"/>
    </row>
    <row r="1534" spans="9:13" x14ac:dyDescent="0.5">
      <c r="I1534" s="1"/>
      <c r="J1534" s="1"/>
      <c r="M1534" s="1"/>
    </row>
    <row r="1535" spans="9:13" x14ac:dyDescent="0.5">
      <c r="I1535" s="1"/>
      <c r="J1535" s="1"/>
      <c r="M1535" s="1"/>
    </row>
    <row r="1536" spans="9:13" x14ac:dyDescent="0.5">
      <c r="I1536" s="1"/>
      <c r="J1536" s="1"/>
      <c r="M1536" s="1"/>
    </row>
    <row r="1537" spans="9:13" x14ac:dyDescent="0.5">
      <c r="I1537" s="1"/>
      <c r="J1537" s="1"/>
      <c r="M1537" s="1"/>
    </row>
    <row r="1538" spans="9:13" x14ac:dyDescent="0.5">
      <c r="I1538" s="1"/>
      <c r="J1538" s="1"/>
      <c r="M1538" s="1"/>
    </row>
    <row r="1539" spans="9:13" x14ac:dyDescent="0.5">
      <c r="I1539" s="1"/>
      <c r="J1539" s="1"/>
      <c r="M1539" s="1"/>
    </row>
    <row r="1540" spans="9:13" ht="17.100000000000001" customHeight="1" x14ac:dyDescent="0.5">
      <c r="I1540" s="1"/>
      <c r="J1540" s="1"/>
      <c r="M1540" s="1"/>
    </row>
    <row r="1541" spans="9:13" x14ac:dyDescent="0.5">
      <c r="I1541" s="1"/>
      <c r="J1541" s="1"/>
      <c r="M1541" s="1"/>
    </row>
    <row r="1542" spans="9:13" x14ac:dyDescent="0.5">
      <c r="I1542" s="1"/>
      <c r="J1542" s="1"/>
      <c r="M1542" s="1"/>
    </row>
    <row r="1543" spans="9:13" x14ac:dyDescent="0.5">
      <c r="I1543" s="1"/>
      <c r="J1543" s="1"/>
      <c r="M1543" s="1"/>
    </row>
    <row r="1544" spans="9:13" x14ac:dyDescent="0.5">
      <c r="I1544" s="1"/>
      <c r="J1544" s="1"/>
      <c r="M1544" s="1"/>
    </row>
    <row r="1545" spans="9:13" x14ac:dyDescent="0.5">
      <c r="I1545" s="1"/>
      <c r="J1545" s="1"/>
      <c r="M1545" s="1"/>
    </row>
    <row r="1546" spans="9:13" x14ac:dyDescent="0.5">
      <c r="I1546" s="1"/>
      <c r="J1546" s="1"/>
      <c r="M1546" s="1"/>
    </row>
    <row r="1547" spans="9:13" x14ac:dyDescent="0.5">
      <c r="I1547" s="1"/>
      <c r="J1547" s="1"/>
      <c r="M1547" s="1"/>
    </row>
    <row r="1548" spans="9:13" x14ac:dyDescent="0.5">
      <c r="I1548" s="1"/>
      <c r="J1548" s="1"/>
      <c r="M1548" s="1"/>
    </row>
    <row r="1549" spans="9:13" x14ac:dyDescent="0.5">
      <c r="I1549" s="1"/>
      <c r="J1549" s="1"/>
      <c r="M1549" s="1"/>
    </row>
    <row r="1550" spans="9:13" x14ac:dyDescent="0.5">
      <c r="I1550" s="1"/>
      <c r="J1550" s="1"/>
      <c r="M1550" s="1"/>
    </row>
    <row r="1551" spans="9:13" x14ac:dyDescent="0.5">
      <c r="I1551" s="1"/>
      <c r="J1551" s="1"/>
      <c r="M1551" s="1"/>
    </row>
    <row r="1552" spans="9:13" x14ac:dyDescent="0.5">
      <c r="I1552" s="1"/>
      <c r="J1552" s="1"/>
      <c r="M1552" s="1"/>
    </row>
    <row r="1553" spans="9:13" x14ac:dyDescent="0.5">
      <c r="I1553" s="1"/>
      <c r="J1553" s="1"/>
      <c r="M1553" s="1"/>
    </row>
    <row r="1554" spans="9:13" x14ac:dyDescent="0.5">
      <c r="I1554" s="1"/>
      <c r="J1554" s="1"/>
      <c r="M1554" s="1"/>
    </row>
    <row r="1555" spans="9:13" x14ac:dyDescent="0.5">
      <c r="I1555" s="1"/>
      <c r="J1555" s="1"/>
      <c r="M1555" s="1"/>
    </row>
    <row r="1556" spans="9:13" x14ac:dyDescent="0.5">
      <c r="I1556" s="1"/>
      <c r="J1556" s="1"/>
      <c r="M1556" s="1"/>
    </row>
    <row r="1557" spans="9:13" x14ac:dyDescent="0.5">
      <c r="I1557" s="1"/>
      <c r="J1557" s="1"/>
      <c r="M1557" s="1"/>
    </row>
    <row r="1558" spans="9:13" x14ac:dyDescent="0.5">
      <c r="I1558" s="1"/>
      <c r="J1558" s="1"/>
      <c r="M1558" s="1"/>
    </row>
    <row r="1559" spans="9:13" x14ac:dyDescent="0.5">
      <c r="I1559" s="1"/>
      <c r="J1559" s="1"/>
      <c r="M1559" s="1"/>
    </row>
    <row r="1560" spans="9:13" x14ac:dyDescent="0.5">
      <c r="I1560" s="1"/>
      <c r="J1560" s="1"/>
      <c r="M1560" s="1"/>
    </row>
    <row r="1561" spans="9:13" x14ac:dyDescent="0.5">
      <c r="I1561" s="1"/>
      <c r="J1561" s="1"/>
      <c r="M1561" s="1"/>
    </row>
    <row r="1562" spans="9:13" x14ac:dyDescent="0.5">
      <c r="I1562" s="1"/>
      <c r="J1562" s="1"/>
      <c r="M1562" s="1"/>
    </row>
    <row r="1563" spans="9:13" x14ac:dyDescent="0.5">
      <c r="I1563" s="1"/>
      <c r="J1563" s="1"/>
      <c r="M1563" s="1"/>
    </row>
    <row r="1564" spans="9:13" x14ac:dyDescent="0.5">
      <c r="I1564" s="1"/>
      <c r="J1564" s="1"/>
      <c r="M1564" s="1"/>
    </row>
    <row r="1565" spans="9:13" x14ac:dyDescent="0.5">
      <c r="I1565" s="1"/>
      <c r="J1565" s="1"/>
      <c r="M1565" s="1"/>
    </row>
    <row r="1566" spans="9:13" x14ac:dyDescent="0.5">
      <c r="I1566" s="1"/>
      <c r="J1566" s="1"/>
      <c r="M1566" s="1"/>
    </row>
    <row r="1567" spans="9:13" x14ac:dyDescent="0.5">
      <c r="I1567" s="1"/>
      <c r="J1567" s="1"/>
      <c r="M1567" s="1"/>
    </row>
    <row r="1568" spans="9:13" x14ac:dyDescent="0.5">
      <c r="I1568" s="1"/>
      <c r="J1568" s="1"/>
      <c r="M1568" s="1"/>
    </row>
    <row r="1569" spans="9:13" x14ac:dyDescent="0.5">
      <c r="I1569" s="1"/>
      <c r="J1569" s="1"/>
      <c r="M1569" s="1"/>
    </row>
    <row r="1570" spans="9:13" x14ac:dyDescent="0.5">
      <c r="I1570" s="1"/>
      <c r="J1570" s="1"/>
      <c r="M1570" s="1"/>
    </row>
    <row r="1571" spans="9:13" x14ac:dyDescent="0.5">
      <c r="I1571" s="1"/>
      <c r="J1571" s="1"/>
      <c r="M1571" s="1"/>
    </row>
    <row r="1572" spans="9:13" x14ac:dyDescent="0.5">
      <c r="I1572" s="1"/>
      <c r="J1572" s="1"/>
      <c r="M1572" s="1"/>
    </row>
    <row r="1573" spans="9:13" x14ac:dyDescent="0.5">
      <c r="I1573" s="1"/>
      <c r="J1573" s="1"/>
      <c r="M1573" s="1"/>
    </row>
    <row r="1574" spans="9:13" x14ac:dyDescent="0.5">
      <c r="I1574" s="1"/>
      <c r="J1574" s="1"/>
      <c r="M1574" s="1"/>
    </row>
    <row r="1575" spans="9:13" x14ac:dyDescent="0.5">
      <c r="I1575" s="1"/>
      <c r="J1575" s="1"/>
      <c r="M1575" s="1"/>
    </row>
    <row r="1576" spans="9:13" x14ac:dyDescent="0.5">
      <c r="I1576" s="1"/>
      <c r="J1576" s="1"/>
      <c r="M1576" s="1"/>
    </row>
    <row r="1577" spans="9:13" x14ac:dyDescent="0.5">
      <c r="I1577" s="1"/>
      <c r="J1577" s="1"/>
      <c r="M1577" s="1"/>
    </row>
    <row r="1578" spans="9:13" x14ac:dyDescent="0.5">
      <c r="I1578" s="1"/>
      <c r="J1578" s="1"/>
      <c r="M1578" s="1"/>
    </row>
    <row r="1579" spans="9:13" x14ac:dyDescent="0.5">
      <c r="I1579" s="1"/>
      <c r="J1579" s="1"/>
      <c r="M1579" s="1"/>
    </row>
    <row r="1580" spans="9:13" x14ac:dyDescent="0.5">
      <c r="I1580" s="1"/>
      <c r="J1580" s="1"/>
      <c r="M1580" s="1"/>
    </row>
    <row r="1581" spans="9:13" x14ac:dyDescent="0.5">
      <c r="I1581" s="1"/>
      <c r="J1581" s="1"/>
      <c r="M1581" s="1"/>
    </row>
    <row r="1582" spans="9:13" x14ac:dyDescent="0.5">
      <c r="I1582" s="1"/>
      <c r="J1582" s="1"/>
      <c r="M1582" s="1"/>
    </row>
    <row r="1583" spans="9:13" x14ac:dyDescent="0.5">
      <c r="I1583" s="1"/>
      <c r="J1583" s="1"/>
      <c r="M1583" s="1"/>
    </row>
    <row r="1584" spans="9:13" x14ac:dyDescent="0.5">
      <c r="I1584" s="1"/>
      <c r="J1584" s="1"/>
      <c r="M1584" s="1"/>
    </row>
    <row r="1585" spans="9:13" x14ac:dyDescent="0.5">
      <c r="I1585" s="1"/>
      <c r="J1585" s="1"/>
      <c r="M1585" s="1"/>
    </row>
    <row r="1586" spans="9:13" x14ac:dyDescent="0.5">
      <c r="I1586" s="1"/>
      <c r="J1586" s="1"/>
      <c r="M1586" s="1"/>
    </row>
    <row r="1587" spans="9:13" x14ac:dyDescent="0.5">
      <c r="I1587" s="1"/>
      <c r="J1587" s="1"/>
      <c r="M1587" s="1"/>
    </row>
    <row r="1588" spans="9:13" x14ac:dyDescent="0.5">
      <c r="I1588" s="1"/>
      <c r="J1588" s="1"/>
      <c r="M1588" s="1"/>
    </row>
    <row r="1589" spans="9:13" x14ac:dyDescent="0.5">
      <c r="I1589" s="1"/>
      <c r="J1589" s="1"/>
      <c r="M1589" s="1"/>
    </row>
    <row r="1590" spans="9:13" x14ac:dyDescent="0.5">
      <c r="I1590" s="1"/>
      <c r="J1590" s="1"/>
      <c r="M1590" s="1"/>
    </row>
    <row r="1591" spans="9:13" x14ac:dyDescent="0.5">
      <c r="I1591" s="1"/>
      <c r="J1591" s="1"/>
      <c r="M1591" s="1"/>
    </row>
    <row r="1592" spans="9:13" x14ac:dyDescent="0.5">
      <c r="I1592" s="1"/>
      <c r="J1592" s="1"/>
      <c r="M1592" s="1"/>
    </row>
    <row r="1593" spans="9:13" x14ac:dyDescent="0.5">
      <c r="I1593" s="1"/>
      <c r="J1593" s="1"/>
      <c r="M1593" s="1"/>
    </row>
    <row r="1594" spans="9:13" x14ac:dyDescent="0.5">
      <c r="I1594" s="1"/>
      <c r="J1594" s="1"/>
      <c r="M1594" s="1"/>
    </row>
    <row r="1595" spans="9:13" x14ac:dyDescent="0.5">
      <c r="I1595" s="1"/>
      <c r="J1595" s="1"/>
      <c r="M1595" s="1"/>
    </row>
    <row r="1596" spans="9:13" x14ac:dyDescent="0.5">
      <c r="I1596" s="1"/>
      <c r="J1596" s="1"/>
      <c r="M1596" s="1"/>
    </row>
    <row r="1597" spans="9:13" x14ac:dyDescent="0.5">
      <c r="I1597" s="1"/>
      <c r="J1597" s="1"/>
      <c r="M1597" s="1"/>
    </row>
    <row r="1598" spans="9:13" x14ac:dyDescent="0.5">
      <c r="I1598" s="1"/>
      <c r="J1598" s="1"/>
      <c r="M1598" s="1"/>
    </row>
    <row r="1599" spans="9:13" x14ac:dyDescent="0.5">
      <c r="I1599" s="1"/>
      <c r="J1599" s="1"/>
      <c r="M1599" s="1"/>
    </row>
    <row r="1600" spans="9:13" x14ac:dyDescent="0.5">
      <c r="I1600" s="1"/>
      <c r="J1600" s="1"/>
      <c r="M1600" s="1"/>
    </row>
    <row r="1601" spans="9:13" x14ac:dyDescent="0.5">
      <c r="I1601" s="1"/>
      <c r="J1601" s="1"/>
      <c r="M1601" s="1"/>
    </row>
    <row r="1602" spans="9:13" x14ac:dyDescent="0.5">
      <c r="I1602" s="1"/>
      <c r="J1602" s="1"/>
      <c r="M1602" s="1"/>
    </row>
    <row r="1603" spans="9:13" x14ac:dyDescent="0.5">
      <c r="I1603" s="1"/>
      <c r="J1603" s="1"/>
      <c r="M1603" s="1"/>
    </row>
    <row r="1604" spans="9:13" x14ac:dyDescent="0.5">
      <c r="I1604" s="1"/>
      <c r="J1604" s="1"/>
      <c r="M1604" s="1"/>
    </row>
    <row r="1605" spans="9:13" x14ac:dyDescent="0.5">
      <c r="I1605" s="1"/>
      <c r="J1605" s="1"/>
      <c r="M1605" s="1"/>
    </row>
    <row r="1606" spans="9:13" x14ac:dyDescent="0.5">
      <c r="I1606" s="1"/>
      <c r="J1606" s="1"/>
      <c r="M1606" s="1"/>
    </row>
    <row r="1607" spans="9:13" x14ac:dyDescent="0.5">
      <c r="I1607" s="1"/>
      <c r="J1607" s="1"/>
      <c r="M1607" s="1"/>
    </row>
    <row r="1608" spans="9:13" x14ac:dyDescent="0.5">
      <c r="I1608" s="1"/>
      <c r="J1608" s="1"/>
      <c r="M1608" s="1"/>
    </row>
    <row r="1609" spans="9:13" x14ac:dyDescent="0.5">
      <c r="I1609" s="1"/>
      <c r="J1609" s="1"/>
      <c r="M1609" s="1"/>
    </row>
    <row r="1610" spans="9:13" x14ac:dyDescent="0.5">
      <c r="I1610" s="1"/>
      <c r="J1610" s="1"/>
      <c r="M1610" s="1"/>
    </row>
    <row r="1611" spans="9:13" x14ac:dyDescent="0.5">
      <c r="I1611" s="1"/>
      <c r="J1611" s="1"/>
      <c r="M1611" s="1"/>
    </row>
    <row r="1612" spans="9:13" x14ac:dyDescent="0.5">
      <c r="I1612" s="1"/>
      <c r="J1612" s="1"/>
      <c r="M1612" s="1"/>
    </row>
    <row r="1613" spans="9:13" x14ac:dyDescent="0.5">
      <c r="I1613" s="1"/>
      <c r="J1613" s="1"/>
      <c r="M1613" s="1"/>
    </row>
    <row r="1614" spans="9:13" x14ac:dyDescent="0.5">
      <c r="I1614" s="1"/>
      <c r="J1614" s="1"/>
      <c r="M1614" s="1"/>
    </row>
    <row r="1615" spans="9:13" x14ac:dyDescent="0.5">
      <c r="I1615" s="1"/>
      <c r="J1615" s="1"/>
      <c r="M1615" s="1"/>
    </row>
    <row r="1616" spans="9:13" x14ac:dyDescent="0.5">
      <c r="I1616" s="1"/>
      <c r="J1616" s="1"/>
      <c r="M1616" s="1"/>
    </row>
    <row r="1617" spans="9:13" x14ac:dyDescent="0.5">
      <c r="I1617" s="1"/>
      <c r="J1617" s="1"/>
      <c r="M1617" s="1"/>
    </row>
    <row r="1618" spans="9:13" x14ac:dyDescent="0.5">
      <c r="I1618" s="1"/>
      <c r="J1618" s="1"/>
      <c r="M1618" s="1"/>
    </row>
    <row r="1619" spans="9:13" x14ac:dyDescent="0.5">
      <c r="I1619" s="1"/>
      <c r="J1619" s="1"/>
      <c r="M1619" s="1"/>
    </row>
    <row r="1620" spans="9:13" x14ac:dyDescent="0.5">
      <c r="I1620" s="1"/>
      <c r="J1620" s="1"/>
      <c r="M1620" s="1"/>
    </row>
    <row r="1621" spans="9:13" x14ac:dyDescent="0.5">
      <c r="I1621" s="1"/>
      <c r="J1621" s="1"/>
      <c r="M1621" s="1"/>
    </row>
    <row r="1622" spans="9:13" x14ac:dyDescent="0.5">
      <c r="I1622" s="1"/>
      <c r="J1622" s="1"/>
      <c r="M1622" s="1"/>
    </row>
    <row r="1623" spans="9:13" x14ac:dyDescent="0.5">
      <c r="I1623" s="1"/>
      <c r="J1623" s="1"/>
      <c r="M1623" s="1"/>
    </row>
    <row r="1624" spans="9:13" x14ac:dyDescent="0.5">
      <c r="I1624" s="1"/>
      <c r="J1624" s="1"/>
      <c r="M1624" s="1"/>
    </row>
    <row r="1625" spans="9:13" x14ac:dyDescent="0.5">
      <c r="I1625" s="1"/>
      <c r="J1625" s="1"/>
      <c r="M1625" s="1"/>
    </row>
    <row r="1626" spans="9:13" x14ac:dyDescent="0.5">
      <c r="I1626" s="1"/>
      <c r="J1626" s="1"/>
      <c r="M1626" s="1"/>
    </row>
    <row r="1627" spans="9:13" x14ac:dyDescent="0.5">
      <c r="I1627" s="1"/>
      <c r="J1627" s="1"/>
      <c r="M1627" s="1"/>
    </row>
    <row r="1628" spans="9:13" x14ac:dyDescent="0.5">
      <c r="I1628" s="1"/>
      <c r="J1628" s="1"/>
      <c r="M1628" s="1"/>
    </row>
    <row r="1629" spans="9:13" x14ac:dyDescent="0.5">
      <c r="I1629" s="1"/>
      <c r="J1629" s="1"/>
      <c r="M1629" s="1"/>
    </row>
    <row r="1630" spans="9:13" x14ac:dyDescent="0.5">
      <c r="I1630" s="1"/>
      <c r="J1630" s="1"/>
      <c r="M1630" s="1"/>
    </row>
    <row r="1631" spans="9:13" x14ac:dyDescent="0.5">
      <c r="I1631" s="1"/>
      <c r="J1631" s="1"/>
      <c r="M1631" s="1"/>
    </row>
    <row r="1632" spans="9:13" x14ac:dyDescent="0.5">
      <c r="I1632" s="1"/>
      <c r="J1632" s="1"/>
      <c r="M1632" s="1"/>
    </row>
    <row r="1633" spans="9:13" x14ac:dyDescent="0.5">
      <c r="I1633" s="1"/>
      <c r="J1633" s="1"/>
      <c r="M1633" s="1"/>
    </row>
    <row r="1634" spans="9:13" x14ac:dyDescent="0.5">
      <c r="I1634" s="1"/>
      <c r="J1634" s="1"/>
      <c r="M1634" s="1"/>
    </row>
    <row r="1635" spans="9:13" x14ac:dyDescent="0.5">
      <c r="I1635" s="1"/>
      <c r="J1635" s="1"/>
      <c r="M1635" s="1"/>
    </row>
    <row r="1636" spans="9:13" x14ac:dyDescent="0.5">
      <c r="I1636" s="1"/>
      <c r="J1636" s="1"/>
      <c r="M1636" s="1"/>
    </row>
    <row r="1637" spans="9:13" x14ac:dyDescent="0.5">
      <c r="I1637" s="1"/>
      <c r="J1637" s="1"/>
      <c r="M1637" s="1"/>
    </row>
    <row r="1638" spans="9:13" x14ac:dyDescent="0.5">
      <c r="I1638" s="1"/>
      <c r="J1638" s="1"/>
      <c r="M1638" s="1"/>
    </row>
    <row r="1639" spans="9:13" x14ac:dyDescent="0.5">
      <c r="I1639" s="1"/>
      <c r="J1639" s="1"/>
      <c r="M1639" s="1"/>
    </row>
    <row r="1640" spans="9:13" x14ac:dyDescent="0.5">
      <c r="I1640" s="1"/>
      <c r="J1640" s="1"/>
      <c r="M1640" s="1"/>
    </row>
    <row r="1641" spans="9:13" x14ac:dyDescent="0.5">
      <c r="I1641" s="1"/>
      <c r="J1641" s="1"/>
      <c r="M1641" s="1"/>
    </row>
    <row r="1642" spans="9:13" x14ac:dyDescent="0.5">
      <c r="I1642" s="1"/>
      <c r="J1642" s="1"/>
      <c r="M1642" s="1"/>
    </row>
    <row r="1643" spans="9:13" x14ac:dyDescent="0.5">
      <c r="I1643" s="1"/>
      <c r="J1643" s="1"/>
      <c r="M1643" s="1"/>
    </row>
    <row r="1644" spans="9:13" x14ac:dyDescent="0.5">
      <c r="I1644" s="1"/>
      <c r="J1644" s="1"/>
      <c r="M1644" s="1"/>
    </row>
    <row r="1645" spans="9:13" x14ac:dyDescent="0.5">
      <c r="I1645" s="1"/>
      <c r="J1645" s="1"/>
      <c r="M1645" s="1"/>
    </row>
    <row r="1646" spans="9:13" x14ac:dyDescent="0.5">
      <c r="I1646" s="1"/>
      <c r="J1646" s="1"/>
      <c r="M1646" s="1"/>
    </row>
    <row r="1647" spans="9:13" x14ac:dyDescent="0.5">
      <c r="I1647" s="1"/>
      <c r="J1647" s="1"/>
      <c r="M1647" s="1"/>
    </row>
    <row r="1648" spans="9:13" x14ac:dyDescent="0.5">
      <c r="I1648" s="1"/>
      <c r="J1648" s="1"/>
      <c r="M1648" s="1"/>
    </row>
    <row r="1649" spans="9:13" x14ac:dyDescent="0.5">
      <c r="I1649" s="1"/>
      <c r="J1649" s="1"/>
      <c r="M1649" s="1"/>
    </row>
    <row r="1650" spans="9:13" x14ac:dyDescent="0.5">
      <c r="I1650" s="1"/>
      <c r="J1650" s="1"/>
      <c r="M1650" s="1"/>
    </row>
    <row r="1651" spans="9:13" x14ac:dyDescent="0.5">
      <c r="I1651" s="1"/>
      <c r="J1651" s="1"/>
      <c r="M1651" s="1"/>
    </row>
    <row r="1652" spans="9:13" x14ac:dyDescent="0.5">
      <c r="I1652" s="1"/>
      <c r="J1652" s="1"/>
      <c r="M1652" s="1"/>
    </row>
    <row r="1653" spans="9:13" x14ac:dyDescent="0.5">
      <c r="I1653" s="1"/>
      <c r="J1653" s="1"/>
      <c r="M1653" s="1"/>
    </row>
    <row r="1654" spans="9:13" x14ac:dyDescent="0.5">
      <c r="I1654" s="1"/>
      <c r="J1654" s="1"/>
      <c r="M1654" s="1"/>
    </row>
    <row r="1655" spans="9:13" x14ac:dyDescent="0.5">
      <c r="I1655" s="1"/>
      <c r="J1655" s="1"/>
      <c r="M1655" s="1"/>
    </row>
    <row r="1656" spans="9:13" x14ac:dyDescent="0.5">
      <c r="I1656" s="1"/>
      <c r="J1656" s="1"/>
      <c r="M1656" s="1"/>
    </row>
    <row r="1657" spans="9:13" x14ac:dyDescent="0.5">
      <c r="I1657" s="1"/>
      <c r="J1657" s="1"/>
      <c r="M1657" s="1"/>
    </row>
    <row r="1658" spans="9:13" x14ac:dyDescent="0.5">
      <c r="I1658" s="1"/>
      <c r="J1658" s="1"/>
      <c r="M1658" s="1"/>
    </row>
    <row r="1659" spans="9:13" x14ac:dyDescent="0.5">
      <c r="I1659" s="1"/>
      <c r="J1659" s="1"/>
      <c r="M1659" s="1"/>
    </row>
    <row r="1660" spans="9:13" x14ac:dyDescent="0.5">
      <c r="I1660" s="1"/>
      <c r="J1660" s="1"/>
      <c r="M1660" s="1"/>
    </row>
    <row r="1661" spans="9:13" x14ac:dyDescent="0.5">
      <c r="I1661" s="1"/>
      <c r="J1661" s="1"/>
      <c r="M1661" s="1"/>
    </row>
    <row r="1662" spans="9:13" x14ac:dyDescent="0.5">
      <c r="I1662" s="1"/>
      <c r="J1662" s="1"/>
      <c r="M1662" s="1"/>
    </row>
    <row r="1663" spans="9:13" x14ac:dyDescent="0.5">
      <c r="I1663" s="1"/>
      <c r="J1663" s="1"/>
      <c r="M1663" s="1"/>
    </row>
    <row r="1664" spans="9:13" x14ac:dyDescent="0.5">
      <c r="I1664" s="1"/>
      <c r="J1664" s="1"/>
      <c r="M1664" s="1"/>
    </row>
    <row r="1665" spans="9:13" x14ac:dyDescent="0.5">
      <c r="I1665" s="1"/>
      <c r="J1665" s="1"/>
      <c r="M1665" s="1"/>
    </row>
    <row r="1666" spans="9:13" x14ac:dyDescent="0.5">
      <c r="I1666" s="1"/>
      <c r="J1666" s="1"/>
      <c r="M1666" s="1"/>
    </row>
    <row r="1667" spans="9:13" x14ac:dyDescent="0.5">
      <c r="I1667" s="1"/>
      <c r="J1667" s="1"/>
      <c r="M1667" s="1"/>
    </row>
    <row r="1668" spans="9:13" x14ac:dyDescent="0.5">
      <c r="I1668" s="1"/>
      <c r="J1668" s="1"/>
      <c r="M1668" s="1"/>
    </row>
    <row r="1669" spans="9:13" x14ac:dyDescent="0.5">
      <c r="I1669" s="1"/>
      <c r="J1669" s="1"/>
      <c r="M1669" s="1"/>
    </row>
    <row r="1670" spans="9:13" x14ac:dyDescent="0.5">
      <c r="I1670" s="1"/>
      <c r="J1670" s="1"/>
      <c r="M1670" s="1"/>
    </row>
    <row r="1671" spans="9:13" x14ac:dyDescent="0.5">
      <c r="I1671" s="1"/>
      <c r="J1671" s="1"/>
      <c r="M1671" s="1"/>
    </row>
    <row r="1672" spans="9:13" x14ac:dyDescent="0.5">
      <c r="I1672" s="1"/>
      <c r="J1672" s="1"/>
      <c r="M1672" s="1"/>
    </row>
    <row r="1673" spans="9:13" x14ac:dyDescent="0.5">
      <c r="I1673" s="1"/>
      <c r="J1673" s="1"/>
      <c r="M1673" s="1"/>
    </row>
    <row r="1674" spans="9:13" x14ac:dyDescent="0.5">
      <c r="I1674" s="1"/>
      <c r="J1674" s="1"/>
      <c r="M1674" s="1"/>
    </row>
    <row r="1675" spans="9:13" x14ac:dyDescent="0.5">
      <c r="I1675" s="1"/>
      <c r="J1675" s="1"/>
      <c r="M1675" s="1"/>
    </row>
    <row r="1676" spans="9:13" x14ac:dyDescent="0.5">
      <c r="I1676" s="1"/>
      <c r="J1676" s="1"/>
      <c r="M1676" s="1"/>
    </row>
    <row r="1677" spans="9:13" x14ac:dyDescent="0.5">
      <c r="I1677" s="1"/>
      <c r="J1677" s="1"/>
      <c r="M1677" s="1"/>
    </row>
    <row r="1678" spans="9:13" x14ac:dyDescent="0.5">
      <c r="I1678" s="1"/>
      <c r="J1678" s="1"/>
      <c r="M1678" s="1"/>
    </row>
    <row r="1679" spans="9:13" x14ac:dyDescent="0.5">
      <c r="I1679" s="1"/>
      <c r="J1679" s="1"/>
      <c r="M1679" s="1"/>
    </row>
    <row r="1680" spans="9:13" x14ac:dyDescent="0.5">
      <c r="I1680" s="1"/>
      <c r="J1680" s="1"/>
      <c r="M1680" s="1"/>
    </row>
    <row r="1681" spans="9:13" x14ac:dyDescent="0.5">
      <c r="I1681" s="1"/>
      <c r="J1681" s="1"/>
      <c r="M1681" s="1"/>
    </row>
    <row r="1682" spans="9:13" x14ac:dyDescent="0.5">
      <c r="I1682" s="1"/>
      <c r="J1682" s="1"/>
      <c r="M1682" s="1"/>
    </row>
    <row r="1683" spans="9:13" x14ac:dyDescent="0.5">
      <c r="I1683" s="1"/>
      <c r="J1683" s="1"/>
      <c r="M1683" s="1"/>
    </row>
    <row r="1684" spans="9:13" x14ac:dyDescent="0.5">
      <c r="I1684" s="1"/>
      <c r="J1684" s="1"/>
      <c r="M1684" s="1"/>
    </row>
    <row r="1685" spans="9:13" x14ac:dyDescent="0.5">
      <c r="I1685" s="1"/>
      <c r="J1685" s="1"/>
      <c r="M1685" s="1"/>
    </row>
    <row r="1686" spans="9:13" x14ac:dyDescent="0.5">
      <c r="I1686" s="1"/>
      <c r="J1686" s="1"/>
      <c r="M1686" s="1"/>
    </row>
    <row r="1687" spans="9:13" x14ac:dyDescent="0.5">
      <c r="I1687" s="1"/>
      <c r="J1687" s="1"/>
      <c r="M1687" s="1"/>
    </row>
    <row r="1688" spans="9:13" x14ac:dyDescent="0.5">
      <c r="I1688" s="1"/>
      <c r="J1688" s="1"/>
      <c r="M1688" s="1"/>
    </row>
    <row r="1689" spans="9:13" x14ac:dyDescent="0.5">
      <c r="I1689" s="1"/>
      <c r="J1689" s="1"/>
      <c r="M1689" s="1"/>
    </row>
    <row r="1690" spans="9:13" x14ac:dyDescent="0.5">
      <c r="I1690" s="1"/>
      <c r="J1690" s="1"/>
      <c r="M1690" s="1"/>
    </row>
    <row r="1691" spans="9:13" x14ac:dyDescent="0.5">
      <c r="I1691" s="1"/>
      <c r="J1691" s="1"/>
      <c r="M1691" s="1"/>
    </row>
    <row r="1692" spans="9:13" x14ac:dyDescent="0.5">
      <c r="I1692" s="1"/>
      <c r="J1692" s="1"/>
      <c r="M1692" s="1"/>
    </row>
    <row r="1693" spans="9:13" x14ac:dyDescent="0.5">
      <c r="I1693" s="1"/>
      <c r="J1693" s="1"/>
      <c r="M1693" s="1"/>
    </row>
    <row r="1694" spans="9:13" x14ac:dyDescent="0.5">
      <c r="I1694" s="1"/>
      <c r="J1694" s="1"/>
      <c r="M1694" s="1"/>
    </row>
    <row r="1695" spans="9:13" x14ac:dyDescent="0.5">
      <c r="I1695" s="1"/>
      <c r="J1695" s="1"/>
      <c r="M1695" s="1"/>
    </row>
    <row r="1696" spans="9:13" x14ac:dyDescent="0.5">
      <c r="I1696" s="1"/>
      <c r="J1696" s="1"/>
      <c r="M1696" s="1"/>
    </row>
    <row r="1697" spans="9:13" x14ac:dyDescent="0.5">
      <c r="I1697" s="1"/>
      <c r="J1697" s="1"/>
      <c r="M1697" s="1"/>
    </row>
    <row r="1698" spans="9:13" x14ac:dyDescent="0.5">
      <c r="I1698" s="1"/>
      <c r="J1698" s="1"/>
      <c r="M1698" s="1"/>
    </row>
    <row r="1699" spans="9:13" x14ac:dyDescent="0.5">
      <c r="I1699" s="1"/>
      <c r="J1699" s="1"/>
      <c r="M1699" s="1"/>
    </row>
    <row r="1700" spans="9:13" x14ac:dyDescent="0.5">
      <c r="I1700" s="1"/>
      <c r="J1700" s="1"/>
      <c r="M1700" s="1"/>
    </row>
    <row r="1701" spans="9:13" x14ac:dyDescent="0.5">
      <c r="I1701" s="1"/>
      <c r="J1701" s="1"/>
      <c r="M1701" s="1"/>
    </row>
    <row r="1702" spans="9:13" x14ac:dyDescent="0.5">
      <c r="I1702" s="1"/>
      <c r="J1702" s="1"/>
      <c r="M1702" s="1"/>
    </row>
    <row r="1703" spans="9:13" x14ac:dyDescent="0.5">
      <c r="I1703" s="1"/>
      <c r="J1703" s="1"/>
      <c r="M1703" s="1"/>
    </row>
    <row r="1704" spans="9:13" x14ac:dyDescent="0.5">
      <c r="I1704" s="1"/>
      <c r="J1704" s="1"/>
      <c r="M1704" s="1"/>
    </row>
    <row r="1705" spans="9:13" x14ac:dyDescent="0.5">
      <c r="I1705" s="1"/>
      <c r="J1705" s="1"/>
      <c r="M1705" s="1"/>
    </row>
    <row r="1706" spans="9:13" x14ac:dyDescent="0.5">
      <c r="I1706" s="1"/>
      <c r="J1706" s="1"/>
      <c r="M1706" s="1"/>
    </row>
    <row r="1707" spans="9:13" x14ac:dyDescent="0.5">
      <c r="I1707" s="1"/>
      <c r="J1707" s="1"/>
      <c r="M1707" s="1"/>
    </row>
    <row r="1708" spans="9:13" x14ac:dyDescent="0.5">
      <c r="I1708" s="1"/>
      <c r="J1708" s="1"/>
      <c r="M1708" s="1"/>
    </row>
    <row r="1709" spans="9:13" x14ac:dyDescent="0.5">
      <c r="I1709" s="1"/>
      <c r="J1709" s="1"/>
      <c r="M1709" s="1"/>
    </row>
    <row r="1710" spans="9:13" x14ac:dyDescent="0.5">
      <c r="I1710" s="1"/>
      <c r="J1710" s="1"/>
      <c r="M1710" s="1"/>
    </row>
    <row r="1711" spans="9:13" x14ac:dyDescent="0.5">
      <c r="I1711" s="1"/>
      <c r="J1711" s="1"/>
      <c r="M1711" s="1"/>
    </row>
    <row r="1712" spans="9:13" x14ac:dyDescent="0.5">
      <c r="I1712" s="1"/>
      <c r="J1712" s="1"/>
      <c r="M1712" s="1"/>
    </row>
    <row r="1713" spans="9:13" x14ac:dyDescent="0.5">
      <c r="I1713" s="1"/>
      <c r="J1713" s="1"/>
      <c r="M1713" s="1"/>
    </row>
    <row r="1714" spans="9:13" x14ac:dyDescent="0.5">
      <c r="I1714" s="1"/>
      <c r="J1714" s="1"/>
      <c r="M1714" s="1"/>
    </row>
    <row r="1715" spans="9:13" x14ac:dyDescent="0.5">
      <c r="I1715" s="1"/>
      <c r="J1715" s="1"/>
      <c r="M1715" s="1"/>
    </row>
    <row r="1716" spans="9:13" x14ac:dyDescent="0.5">
      <c r="I1716" s="1"/>
      <c r="J1716" s="1"/>
      <c r="M1716" s="1"/>
    </row>
    <row r="1717" spans="9:13" x14ac:dyDescent="0.5">
      <c r="I1717" s="1"/>
      <c r="J1717" s="1"/>
      <c r="M1717" s="1"/>
    </row>
    <row r="1718" spans="9:13" x14ac:dyDescent="0.5">
      <c r="I1718" s="1"/>
      <c r="J1718" s="1"/>
      <c r="M1718" s="1"/>
    </row>
    <row r="1719" spans="9:13" x14ac:dyDescent="0.5">
      <c r="I1719" s="1"/>
      <c r="J1719" s="1"/>
      <c r="M1719" s="1"/>
    </row>
    <row r="1720" spans="9:13" x14ac:dyDescent="0.5">
      <c r="I1720" s="1"/>
      <c r="J1720" s="1"/>
      <c r="M1720" s="1"/>
    </row>
    <row r="1721" spans="9:13" x14ac:dyDescent="0.5">
      <c r="I1721" s="1"/>
      <c r="J1721" s="1"/>
      <c r="M1721" s="1"/>
    </row>
    <row r="1722" spans="9:13" x14ac:dyDescent="0.5">
      <c r="I1722" s="1"/>
      <c r="J1722" s="1"/>
      <c r="M1722" s="1"/>
    </row>
    <row r="1723" spans="9:13" x14ac:dyDescent="0.5">
      <c r="I1723" s="1"/>
      <c r="J1723" s="1"/>
      <c r="M1723" s="1"/>
    </row>
    <row r="1724" spans="9:13" x14ac:dyDescent="0.5">
      <c r="I1724" s="1"/>
      <c r="J1724" s="1"/>
      <c r="M1724" s="1"/>
    </row>
    <row r="1725" spans="9:13" x14ac:dyDescent="0.5">
      <c r="I1725" s="1"/>
      <c r="J1725" s="1"/>
      <c r="M1725" s="1"/>
    </row>
    <row r="1726" spans="9:13" x14ac:dyDescent="0.5">
      <c r="I1726" s="1"/>
      <c r="J1726" s="1"/>
      <c r="M1726" s="1"/>
    </row>
    <row r="1727" spans="9:13" x14ac:dyDescent="0.5">
      <c r="I1727" s="1"/>
      <c r="J1727" s="1"/>
      <c r="M1727" s="1"/>
    </row>
    <row r="1728" spans="9:13" x14ac:dyDescent="0.5">
      <c r="I1728" s="1"/>
      <c r="J1728" s="1"/>
      <c r="M1728" s="1"/>
    </row>
    <row r="1729" spans="9:13" x14ac:dyDescent="0.5">
      <c r="I1729" s="1"/>
      <c r="J1729" s="1"/>
      <c r="M1729" s="1"/>
    </row>
    <row r="1730" spans="9:13" x14ac:dyDescent="0.5">
      <c r="I1730" s="1"/>
      <c r="J1730" s="1"/>
      <c r="M1730" s="1"/>
    </row>
    <row r="1731" spans="9:13" x14ac:dyDescent="0.5">
      <c r="I1731" s="1"/>
      <c r="J1731" s="1"/>
      <c r="M1731" s="1"/>
    </row>
    <row r="1732" spans="9:13" x14ac:dyDescent="0.5">
      <c r="I1732" s="1"/>
      <c r="J1732" s="1"/>
      <c r="M1732" s="1"/>
    </row>
    <row r="1733" spans="9:13" x14ac:dyDescent="0.5">
      <c r="I1733" s="1"/>
      <c r="J1733" s="1"/>
      <c r="M1733" s="1"/>
    </row>
    <row r="1734" spans="9:13" x14ac:dyDescent="0.5">
      <c r="I1734" s="1"/>
      <c r="J1734" s="1"/>
      <c r="M1734" s="1"/>
    </row>
    <row r="1735" spans="9:13" x14ac:dyDescent="0.5">
      <c r="I1735" s="1"/>
      <c r="J1735" s="1"/>
      <c r="M1735" s="1"/>
    </row>
    <row r="1736" spans="9:13" x14ac:dyDescent="0.5">
      <c r="I1736" s="1"/>
      <c r="J1736" s="1"/>
      <c r="M1736" s="1"/>
    </row>
    <row r="1737" spans="9:13" x14ac:dyDescent="0.5">
      <c r="I1737" s="1"/>
      <c r="J1737" s="1"/>
      <c r="M1737" s="1"/>
    </row>
    <row r="1738" spans="9:13" x14ac:dyDescent="0.5">
      <c r="I1738" s="1"/>
      <c r="J1738" s="1"/>
      <c r="M1738" s="1"/>
    </row>
    <row r="1739" spans="9:13" x14ac:dyDescent="0.5">
      <c r="I1739" s="1"/>
      <c r="J1739" s="1"/>
      <c r="M1739" s="1"/>
    </row>
    <row r="1740" spans="9:13" x14ac:dyDescent="0.5">
      <c r="I1740" s="1"/>
      <c r="J1740" s="1"/>
      <c r="M1740" s="1"/>
    </row>
    <row r="1741" spans="9:13" x14ac:dyDescent="0.5">
      <c r="I1741" s="1"/>
      <c r="J1741" s="1"/>
      <c r="M1741" s="1"/>
    </row>
    <row r="1742" spans="9:13" x14ac:dyDescent="0.5">
      <c r="I1742" s="1"/>
      <c r="J1742" s="1"/>
      <c r="M1742" s="1"/>
    </row>
    <row r="1743" spans="9:13" x14ac:dyDescent="0.5">
      <c r="I1743" s="1"/>
      <c r="J1743" s="1"/>
      <c r="M1743" s="1"/>
    </row>
    <row r="1744" spans="9:13" x14ac:dyDescent="0.5">
      <c r="I1744" s="1"/>
      <c r="J1744" s="1"/>
      <c r="M1744" s="1"/>
    </row>
    <row r="1745" spans="9:13" x14ac:dyDescent="0.5">
      <c r="I1745" s="1"/>
      <c r="J1745" s="1"/>
      <c r="M1745" s="1"/>
    </row>
    <row r="1746" spans="9:13" x14ac:dyDescent="0.5">
      <c r="I1746" s="1"/>
      <c r="J1746" s="1"/>
      <c r="M1746" s="1"/>
    </row>
    <row r="1747" spans="9:13" x14ac:dyDescent="0.5">
      <c r="I1747" s="1"/>
      <c r="J1747" s="1"/>
      <c r="M1747" s="1"/>
    </row>
    <row r="1748" spans="9:13" x14ac:dyDescent="0.5">
      <c r="I1748" s="1"/>
      <c r="J1748" s="1"/>
      <c r="M1748" s="1"/>
    </row>
    <row r="1749" spans="9:13" x14ac:dyDescent="0.5">
      <c r="I1749" s="1"/>
      <c r="J1749" s="1"/>
      <c r="M1749" s="1"/>
    </row>
    <row r="1750" spans="9:13" x14ac:dyDescent="0.5">
      <c r="I1750" s="1"/>
      <c r="J1750" s="1"/>
      <c r="M1750" s="1"/>
    </row>
    <row r="1751" spans="9:13" x14ac:dyDescent="0.5">
      <c r="I1751" s="1"/>
      <c r="J1751" s="1"/>
      <c r="M1751" s="1"/>
    </row>
    <row r="1752" spans="9:13" x14ac:dyDescent="0.5">
      <c r="I1752" s="1"/>
      <c r="J1752" s="1"/>
      <c r="M1752" s="1"/>
    </row>
    <row r="1753" spans="9:13" x14ac:dyDescent="0.5">
      <c r="I1753" s="1"/>
      <c r="J1753" s="1"/>
      <c r="M1753" s="1"/>
    </row>
    <row r="1754" spans="9:13" x14ac:dyDescent="0.5">
      <c r="I1754" s="1"/>
      <c r="J1754" s="1"/>
      <c r="M1754" s="1"/>
    </row>
    <row r="1755" spans="9:13" x14ac:dyDescent="0.5">
      <c r="I1755" s="1"/>
      <c r="J1755" s="1"/>
      <c r="M1755" s="1"/>
    </row>
    <row r="1756" spans="9:13" x14ac:dyDescent="0.5">
      <c r="I1756" s="1"/>
      <c r="J1756" s="1"/>
      <c r="M1756" s="1"/>
    </row>
    <row r="1757" spans="9:13" x14ac:dyDescent="0.5">
      <c r="I1757" s="1"/>
      <c r="J1757" s="1"/>
      <c r="M1757" s="1"/>
    </row>
    <row r="1758" spans="9:13" x14ac:dyDescent="0.5">
      <c r="I1758" s="1"/>
      <c r="J1758" s="1"/>
      <c r="M1758" s="1"/>
    </row>
    <row r="1759" spans="9:13" x14ac:dyDescent="0.5">
      <c r="I1759" s="1"/>
      <c r="J1759" s="1"/>
      <c r="M1759" s="1"/>
    </row>
    <row r="1760" spans="9:13" x14ac:dyDescent="0.5">
      <c r="I1760" s="1"/>
      <c r="J1760" s="1"/>
      <c r="M1760" s="1"/>
    </row>
    <row r="1761" spans="9:13" x14ac:dyDescent="0.5">
      <c r="I1761" s="1"/>
      <c r="J1761" s="1"/>
      <c r="M1761" s="1"/>
    </row>
    <row r="1762" spans="9:13" x14ac:dyDescent="0.5">
      <c r="I1762" s="1"/>
      <c r="J1762" s="1"/>
      <c r="M1762" s="1"/>
    </row>
    <row r="1763" spans="9:13" x14ac:dyDescent="0.5">
      <c r="I1763" s="1"/>
      <c r="J1763" s="1"/>
      <c r="M1763" s="1"/>
    </row>
    <row r="1764" spans="9:13" x14ac:dyDescent="0.5">
      <c r="I1764" s="1"/>
      <c r="J1764" s="1"/>
      <c r="M1764" s="1"/>
    </row>
    <row r="1765" spans="9:13" x14ac:dyDescent="0.5">
      <c r="I1765" s="1"/>
      <c r="J1765" s="1"/>
      <c r="M1765" s="1"/>
    </row>
    <row r="1766" spans="9:13" x14ac:dyDescent="0.5">
      <c r="I1766" s="1"/>
      <c r="J1766" s="1"/>
      <c r="M1766" s="1"/>
    </row>
    <row r="1767" spans="9:13" x14ac:dyDescent="0.5">
      <c r="I1767" s="1"/>
      <c r="J1767" s="1"/>
      <c r="M1767" s="1"/>
    </row>
    <row r="1768" spans="9:13" x14ac:dyDescent="0.5">
      <c r="I1768" s="1"/>
      <c r="J1768" s="1"/>
      <c r="M1768" s="1"/>
    </row>
    <row r="1769" spans="9:13" x14ac:dyDescent="0.5">
      <c r="I1769" s="1"/>
      <c r="J1769" s="1"/>
      <c r="M1769" s="1"/>
    </row>
    <row r="1770" spans="9:13" x14ac:dyDescent="0.5">
      <c r="I1770" s="1"/>
      <c r="J1770" s="1"/>
      <c r="M1770" s="1"/>
    </row>
    <row r="1771" spans="9:13" x14ac:dyDescent="0.5">
      <c r="I1771" s="1"/>
      <c r="J1771" s="1"/>
      <c r="M1771" s="1"/>
    </row>
    <row r="1772" spans="9:13" x14ac:dyDescent="0.5">
      <c r="I1772" s="1"/>
      <c r="J1772" s="1"/>
      <c r="M1772" s="1"/>
    </row>
    <row r="1773" spans="9:13" x14ac:dyDescent="0.5">
      <c r="I1773" s="1"/>
      <c r="J1773" s="1"/>
      <c r="M1773" s="1"/>
    </row>
    <row r="1774" spans="9:13" x14ac:dyDescent="0.5">
      <c r="I1774" s="1"/>
      <c r="J1774" s="1"/>
      <c r="M1774" s="1"/>
    </row>
    <row r="1775" spans="9:13" x14ac:dyDescent="0.5">
      <c r="I1775" s="1"/>
      <c r="J1775" s="1"/>
      <c r="M1775" s="1"/>
    </row>
    <row r="1776" spans="9:13" x14ac:dyDescent="0.5">
      <c r="I1776" s="1"/>
      <c r="J1776" s="1"/>
      <c r="M1776" s="1"/>
    </row>
    <row r="1777" spans="9:13" x14ac:dyDescent="0.5">
      <c r="I1777" s="1"/>
      <c r="J1777" s="1"/>
      <c r="M1777" s="1"/>
    </row>
    <row r="1778" spans="9:13" x14ac:dyDescent="0.5">
      <c r="I1778" s="1"/>
      <c r="J1778" s="1"/>
      <c r="M1778" s="1"/>
    </row>
    <row r="1779" spans="9:13" x14ac:dyDescent="0.5">
      <c r="I1779" s="1"/>
      <c r="J1779" s="1"/>
      <c r="M1779" s="1"/>
    </row>
    <row r="1780" spans="9:13" x14ac:dyDescent="0.5">
      <c r="I1780" s="1"/>
      <c r="J1780" s="1"/>
      <c r="M1780" s="1"/>
    </row>
    <row r="1781" spans="9:13" x14ac:dyDescent="0.5">
      <c r="I1781" s="1"/>
      <c r="J1781" s="1"/>
      <c r="M1781" s="1"/>
    </row>
    <row r="1782" spans="9:13" x14ac:dyDescent="0.5">
      <c r="I1782" s="1"/>
      <c r="J1782" s="1"/>
      <c r="M1782" s="1"/>
    </row>
    <row r="1783" spans="9:13" x14ac:dyDescent="0.5">
      <c r="I1783" s="1"/>
      <c r="J1783" s="1"/>
      <c r="M1783" s="1"/>
    </row>
    <row r="1784" spans="9:13" x14ac:dyDescent="0.5">
      <c r="I1784" s="1"/>
      <c r="J1784" s="1"/>
      <c r="M1784" s="1"/>
    </row>
    <row r="1785" spans="9:13" x14ac:dyDescent="0.5">
      <c r="I1785" s="1"/>
      <c r="J1785" s="1"/>
      <c r="M1785" s="1"/>
    </row>
    <row r="1786" spans="9:13" x14ac:dyDescent="0.5">
      <c r="I1786" s="1"/>
      <c r="J1786" s="1"/>
      <c r="M1786" s="1"/>
    </row>
    <row r="1787" spans="9:13" x14ac:dyDescent="0.5">
      <c r="I1787" s="1"/>
      <c r="J1787" s="1"/>
      <c r="M1787" s="1"/>
    </row>
    <row r="1788" spans="9:13" x14ac:dyDescent="0.5">
      <c r="I1788" s="1"/>
      <c r="J1788" s="1"/>
      <c r="M1788" s="1"/>
    </row>
    <row r="1789" spans="9:13" x14ac:dyDescent="0.5">
      <c r="I1789" s="1"/>
      <c r="J1789" s="1"/>
      <c r="M1789" s="1"/>
    </row>
    <row r="1790" spans="9:13" x14ac:dyDescent="0.5">
      <c r="I1790" s="1"/>
      <c r="J1790" s="1"/>
      <c r="M1790" s="1"/>
    </row>
    <row r="1791" spans="9:13" x14ac:dyDescent="0.5">
      <c r="I1791" s="1"/>
      <c r="J1791" s="1"/>
      <c r="M1791" s="1"/>
    </row>
    <row r="1792" spans="9:13" x14ac:dyDescent="0.5">
      <c r="I1792" s="1"/>
      <c r="J1792" s="1"/>
      <c r="M1792" s="1"/>
    </row>
    <row r="1793" spans="9:13" x14ac:dyDescent="0.5">
      <c r="I1793" s="1"/>
      <c r="J1793" s="1"/>
      <c r="M1793" s="1"/>
    </row>
    <row r="1794" spans="9:13" x14ac:dyDescent="0.5">
      <c r="I1794" s="1"/>
      <c r="J1794" s="1"/>
      <c r="M1794" s="1"/>
    </row>
    <row r="1795" spans="9:13" x14ac:dyDescent="0.5">
      <c r="I1795" s="1"/>
      <c r="J1795" s="1"/>
      <c r="M1795" s="1"/>
    </row>
    <row r="1796" spans="9:13" x14ac:dyDescent="0.5">
      <c r="I1796" s="1"/>
      <c r="J1796" s="1"/>
      <c r="M1796" s="1"/>
    </row>
    <row r="1797" spans="9:13" x14ac:dyDescent="0.5">
      <c r="I1797" s="1"/>
      <c r="J1797" s="1"/>
      <c r="M1797" s="1"/>
    </row>
    <row r="1798" spans="9:13" x14ac:dyDescent="0.5">
      <c r="I1798" s="1"/>
      <c r="J1798" s="1"/>
      <c r="M1798" s="1"/>
    </row>
    <row r="1799" spans="9:13" x14ac:dyDescent="0.5">
      <c r="I1799" s="1"/>
      <c r="J1799" s="1"/>
      <c r="M1799" s="1"/>
    </row>
    <row r="1800" spans="9:13" x14ac:dyDescent="0.5">
      <c r="I1800" s="1"/>
      <c r="J1800" s="1"/>
      <c r="M1800" s="1"/>
    </row>
    <row r="1801" spans="9:13" x14ac:dyDescent="0.5">
      <c r="I1801" s="1"/>
      <c r="J1801" s="1"/>
      <c r="M1801" s="1"/>
    </row>
    <row r="1802" spans="9:13" x14ac:dyDescent="0.5">
      <c r="I1802" s="1"/>
      <c r="J1802" s="1"/>
      <c r="M1802" s="1"/>
    </row>
    <row r="1803" spans="9:13" x14ac:dyDescent="0.5">
      <c r="I1803" s="1"/>
      <c r="J1803" s="1"/>
      <c r="M1803" s="1"/>
    </row>
    <row r="1804" spans="9:13" x14ac:dyDescent="0.5">
      <c r="I1804" s="1"/>
      <c r="J1804" s="1"/>
      <c r="M1804" s="1"/>
    </row>
    <row r="1805" spans="9:13" x14ac:dyDescent="0.5">
      <c r="I1805" s="1"/>
      <c r="J1805" s="1"/>
      <c r="M1805" s="1"/>
    </row>
    <row r="1806" spans="9:13" x14ac:dyDescent="0.5">
      <c r="I1806" s="1"/>
      <c r="J1806" s="1"/>
      <c r="M1806" s="1"/>
    </row>
    <row r="1807" spans="9:13" x14ac:dyDescent="0.5">
      <c r="I1807" s="1"/>
      <c r="J1807" s="1"/>
      <c r="M1807" s="1"/>
    </row>
    <row r="1808" spans="9:13" x14ac:dyDescent="0.5">
      <c r="I1808" s="1"/>
      <c r="J1808" s="1"/>
      <c r="M1808" s="1"/>
    </row>
    <row r="1809" spans="9:13" x14ac:dyDescent="0.5">
      <c r="I1809" s="1"/>
      <c r="J1809" s="1"/>
      <c r="M1809" s="1"/>
    </row>
    <row r="1810" spans="9:13" x14ac:dyDescent="0.5">
      <c r="I1810" s="1"/>
      <c r="J1810" s="1"/>
      <c r="K1810" s="1"/>
      <c r="L1810" s="1"/>
      <c r="M1810" s="1"/>
    </row>
    <row r="1811" spans="9:13" x14ac:dyDescent="0.5">
      <c r="I1811" s="1"/>
      <c r="J1811" s="1"/>
      <c r="M1811" s="1"/>
    </row>
    <row r="1812" spans="9:13" x14ac:dyDescent="0.5">
      <c r="I1812" s="1"/>
      <c r="J1812" s="1"/>
      <c r="M1812" s="1"/>
    </row>
    <row r="1813" spans="9:13" x14ac:dyDescent="0.5">
      <c r="I1813" s="1"/>
      <c r="J1813" s="1"/>
      <c r="M1813" s="1"/>
    </row>
    <row r="1814" spans="9:13" x14ac:dyDescent="0.5">
      <c r="I1814" s="1"/>
      <c r="J1814" s="1"/>
      <c r="M1814" s="1"/>
    </row>
    <row r="1815" spans="9:13" x14ac:dyDescent="0.5">
      <c r="I1815" s="1"/>
      <c r="J1815" s="1"/>
      <c r="M1815" s="1"/>
    </row>
    <row r="1816" spans="9:13" x14ac:dyDescent="0.5">
      <c r="I1816" s="1"/>
      <c r="J1816" s="1"/>
      <c r="M1816" s="1"/>
    </row>
    <row r="1817" spans="9:13" x14ac:dyDescent="0.5">
      <c r="I1817" s="1"/>
      <c r="J1817" s="1"/>
      <c r="M1817" s="1"/>
    </row>
    <row r="1818" spans="9:13" x14ac:dyDescent="0.5">
      <c r="I1818" s="1"/>
      <c r="J1818" s="1"/>
      <c r="M1818" s="1"/>
    </row>
    <row r="1819" spans="9:13" x14ac:dyDescent="0.5">
      <c r="I1819" s="1"/>
      <c r="J1819" s="1"/>
      <c r="M1819" s="1"/>
    </row>
    <row r="1820" spans="9:13" x14ac:dyDescent="0.5">
      <c r="I1820" s="1"/>
      <c r="J1820" s="1"/>
      <c r="M1820" s="1"/>
    </row>
    <row r="1821" spans="9:13" x14ac:dyDescent="0.5">
      <c r="I1821" s="1"/>
      <c r="J1821" s="1"/>
      <c r="M1821" s="1"/>
    </row>
    <row r="1822" spans="9:13" x14ac:dyDescent="0.5">
      <c r="I1822" s="1"/>
      <c r="J1822" s="1"/>
      <c r="M1822" s="1"/>
    </row>
    <row r="1823" spans="9:13" x14ac:dyDescent="0.5">
      <c r="I1823" s="1"/>
      <c r="J1823" s="1"/>
      <c r="M1823" s="1"/>
    </row>
    <row r="1824" spans="9:13" x14ac:dyDescent="0.5">
      <c r="I1824" s="1"/>
      <c r="J1824" s="1"/>
      <c r="M1824" s="1"/>
    </row>
    <row r="1825" spans="9:13" x14ac:dyDescent="0.5">
      <c r="I1825" s="1"/>
      <c r="J1825" s="1"/>
      <c r="M1825" s="1"/>
    </row>
    <row r="1826" spans="9:13" x14ac:dyDescent="0.5">
      <c r="I1826" s="1"/>
      <c r="J1826" s="1"/>
      <c r="M1826" s="1"/>
    </row>
    <row r="1827" spans="9:13" x14ac:dyDescent="0.5">
      <c r="I1827" s="1"/>
      <c r="J1827" s="1"/>
      <c r="M1827" s="1"/>
    </row>
    <row r="1828" spans="9:13" x14ac:dyDescent="0.5">
      <c r="I1828" s="1"/>
      <c r="J1828" s="1"/>
      <c r="M1828" s="1"/>
    </row>
    <row r="1829" spans="9:13" x14ac:dyDescent="0.5">
      <c r="I1829" s="1"/>
      <c r="J1829" s="1"/>
      <c r="M1829" s="1"/>
    </row>
    <row r="1830" spans="9:13" x14ac:dyDescent="0.5">
      <c r="I1830" s="1"/>
      <c r="J1830" s="1"/>
      <c r="M1830" s="1"/>
    </row>
    <row r="1831" spans="9:13" x14ac:dyDescent="0.5">
      <c r="I1831" s="1"/>
      <c r="J1831" s="1"/>
      <c r="M1831" s="1"/>
    </row>
    <row r="1832" spans="9:13" x14ac:dyDescent="0.5">
      <c r="I1832" s="1"/>
      <c r="J1832" s="1"/>
      <c r="M1832" s="1"/>
    </row>
    <row r="1833" spans="9:13" x14ac:dyDescent="0.5">
      <c r="I1833" s="1"/>
      <c r="J1833" s="1"/>
      <c r="M1833" s="1"/>
    </row>
    <row r="1834" spans="9:13" x14ac:dyDescent="0.5">
      <c r="I1834" s="1"/>
      <c r="J1834" s="1"/>
      <c r="M1834" s="1"/>
    </row>
    <row r="1835" spans="9:13" x14ac:dyDescent="0.5">
      <c r="I1835" s="1"/>
      <c r="J1835" s="1"/>
      <c r="M1835" s="1"/>
    </row>
    <row r="1836" spans="9:13" x14ac:dyDescent="0.5">
      <c r="I1836" s="1"/>
      <c r="J1836" s="1"/>
      <c r="M1836" s="1"/>
    </row>
    <row r="1837" spans="9:13" x14ac:dyDescent="0.5">
      <c r="I1837" s="1"/>
      <c r="J1837" s="1"/>
      <c r="M1837" s="1"/>
    </row>
    <row r="1838" spans="9:13" x14ac:dyDescent="0.5">
      <c r="I1838" s="1"/>
      <c r="J1838" s="1"/>
      <c r="M1838" s="1"/>
    </row>
    <row r="1839" spans="9:13" x14ac:dyDescent="0.5">
      <c r="I1839" s="1"/>
      <c r="J1839" s="1"/>
      <c r="M1839" s="1"/>
    </row>
    <row r="1840" spans="9:13" x14ac:dyDescent="0.5">
      <c r="I1840" s="1"/>
      <c r="J1840" s="1"/>
      <c r="M1840" s="1"/>
    </row>
    <row r="1841" spans="9:13" x14ac:dyDescent="0.5">
      <c r="I1841" s="1"/>
      <c r="J1841" s="1"/>
      <c r="M1841" s="1"/>
    </row>
    <row r="1842" spans="9:13" x14ac:dyDescent="0.5">
      <c r="I1842" s="1"/>
      <c r="J1842" s="1"/>
      <c r="M1842" s="1"/>
    </row>
    <row r="1843" spans="9:13" x14ac:dyDescent="0.5">
      <c r="I1843" s="1"/>
      <c r="J1843" s="1"/>
      <c r="M1843" s="1"/>
    </row>
    <row r="1844" spans="9:13" x14ac:dyDescent="0.5">
      <c r="I1844" s="1"/>
      <c r="J1844" s="1"/>
      <c r="M1844" s="1"/>
    </row>
    <row r="1845" spans="9:13" x14ac:dyDescent="0.5">
      <c r="I1845" s="1"/>
      <c r="J1845" s="1"/>
      <c r="M1845" s="1"/>
    </row>
    <row r="1846" spans="9:13" x14ac:dyDescent="0.5">
      <c r="I1846" s="1"/>
      <c r="J1846" s="1"/>
      <c r="M1846" s="1"/>
    </row>
    <row r="1847" spans="9:13" x14ac:dyDescent="0.5">
      <c r="I1847" s="1"/>
      <c r="J1847" s="1"/>
      <c r="M1847" s="1"/>
    </row>
    <row r="1848" spans="9:13" x14ac:dyDescent="0.5">
      <c r="I1848" s="1"/>
      <c r="J1848" s="1"/>
      <c r="M1848" s="1"/>
    </row>
    <row r="1849" spans="9:13" x14ac:dyDescent="0.5">
      <c r="I1849" s="1"/>
      <c r="J1849" s="1"/>
      <c r="M1849" s="1"/>
    </row>
    <row r="1850" spans="9:13" x14ac:dyDescent="0.5">
      <c r="I1850" s="1"/>
      <c r="J1850" s="1"/>
      <c r="M1850" s="1"/>
    </row>
    <row r="1851" spans="9:13" x14ac:dyDescent="0.5">
      <c r="I1851" s="1"/>
      <c r="J1851" s="1"/>
      <c r="M1851" s="1"/>
    </row>
    <row r="1852" spans="9:13" x14ac:dyDescent="0.5">
      <c r="I1852" s="1"/>
      <c r="J1852" s="1"/>
      <c r="M1852" s="1"/>
    </row>
    <row r="1853" spans="9:13" x14ac:dyDescent="0.5">
      <c r="I1853" s="1"/>
      <c r="J1853" s="1"/>
      <c r="M1853" s="1"/>
    </row>
    <row r="1854" spans="9:13" x14ac:dyDescent="0.5">
      <c r="I1854" s="1"/>
      <c r="J1854" s="1"/>
      <c r="M1854" s="1"/>
    </row>
    <row r="1855" spans="9:13" x14ac:dyDescent="0.5">
      <c r="I1855" s="1"/>
      <c r="J1855" s="1"/>
      <c r="M1855" s="1"/>
    </row>
    <row r="1856" spans="9:13" x14ac:dyDescent="0.5">
      <c r="I1856" s="1"/>
      <c r="J1856" s="1"/>
      <c r="M1856" s="1"/>
    </row>
    <row r="1857" spans="9:13" x14ac:dyDescent="0.5">
      <c r="I1857" s="1"/>
      <c r="J1857" s="1"/>
      <c r="M1857" s="1"/>
    </row>
    <row r="1858" spans="9:13" x14ac:dyDescent="0.5">
      <c r="I1858" s="1"/>
      <c r="J1858" s="1"/>
      <c r="M1858" s="1"/>
    </row>
    <row r="1859" spans="9:13" x14ac:dyDescent="0.5">
      <c r="I1859" s="1"/>
      <c r="J1859" s="1"/>
      <c r="M1859" s="1"/>
    </row>
    <row r="1860" spans="9:13" x14ac:dyDescent="0.5">
      <c r="I1860" s="1"/>
      <c r="J1860" s="1"/>
      <c r="M1860" s="1"/>
    </row>
    <row r="1861" spans="9:13" x14ac:dyDescent="0.5">
      <c r="I1861" s="1"/>
      <c r="J1861" s="1"/>
      <c r="M1861" s="1"/>
    </row>
    <row r="1862" spans="9:13" x14ac:dyDescent="0.5">
      <c r="I1862" s="1"/>
      <c r="J1862" s="1"/>
      <c r="M1862" s="1"/>
    </row>
    <row r="1863" spans="9:13" x14ac:dyDescent="0.5">
      <c r="I1863" s="1"/>
      <c r="J1863" s="1"/>
      <c r="M1863" s="1"/>
    </row>
    <row r="1864" spans="9:13" x14ac:dyDescent="0.5">
      <c r="I1864" s="1"/>
      <c r="J1864" s="1"/>
      <c r="M1864" s="1"/>
    </row>
    <row r="1865" spans="9:13" x14ac:dyDescent="0.5">
      <c r="I1865" s="1"/>
      <c r="J1865" s="1"/>
      <c r="M1865" s="1"/>
    </row>
    <row r="1866" spans="9:13" x14ac:dyDescent="0.5">
      <c r="I1866" s="1"/>
      <c r="J1866" s="1"/>
      <c r="M1866" s="1"/>
    </row>
    <row r="1867" spans="9:13" x14ac:dyDescent="0.5">
      <c r="I1867" s="1"/>
      <c r="J1867" s="1"/>
      <c r="M1867" s="1"/>
    </row>
    <row r="1868" spans="9:13" x14ac:dyDescent="0.5">
      <c r="I1868" s="1"/>
      <c r="J1868" s="1"/>
      <c r="M1868" s="1"/>
    </row>
    <row r="1869" spans="9:13" x14ac:dyDescent="0.5">
      <c r="I1869" s="1"/>
      <c r="J1869" s="1"/>
      <c r="M1869" s="1"/>
    </row>
    <row r="1870" spans="9:13" x14ac:dyDescent="0.5">
      <c r="I1870" s="1"/>
      <c r="J1870" s="1"/>
      <c r="M1870" s="1"/>
    </row>
    <row r="1871" spans="9:13" x14ac:dyDescent="0.5">
      <c r="I1871" s="1"/>
      <c r="J1871" s="1"/>
      <c r="M1871" s="1"/>
    </row>
    <row r="1872" spans="9:13" x14ac:dyDescent="0.5">
      <c r="I1872" s="1"/>
      <c r="J1872" s="1"/>
      <c r="M1872" s="1"/>
    </row>
    <row r="1873" spans="9:13" x14ac:dyDescent="0.5">
      <c r="I1873" s="1"/>
      <c r="J1873" s="1"/>
      <c r="M1873" s="1"/>
    </row>
    <row r="1874" spans="9:13" x14ac:dyDescent="0.5">
      <c r="I1874" s="1"/>
      <c r="J1874" s="1"/>
      <c r="M1874" s="1"/>
    </row>
    <row r="1875" spans="9:13" x14ac:dyDescent="0.5">
      <c r="I1875" s="1"/>
      <c r="J1875" s="1"/>
      <c r="M1875" s="1"/>
    </row>
    <row r="1876" spans="9:13" x14ac:dyDescent="0.5">
      <c r="I1876" s="1"/>
      <c r="J1876" s="1"/>
      <c r="M1876" s="1"/>
    </row>
    <row r="1877" spans="9:13" x14ac:dyDescent="0.5">
      <c r="I1877" s="1"/>
      <c r="J1877" s="1"/>
      <c r="M1877" s="1"/>
    </row>
    <row r="1878" spans="9:13" x14ac:dyDescent="0.5">
      <c r="I1878" s="1"/>
      <c r="J1878" s="1"/>
      <c r="M1878" s="1"/>
    </row>
    <row r="1879" spans="9:13" x14ac:dyDescent="0.5">
      <c r="I1879" s="1"/>
      <c r="J1879" s="1"/>
      <c r="M1879" s="1"/>
    </row>
    <row r="1880" spans="9:13" x14ac:dyDescent="0.5">
      <c r="I1880" s="1"/>
      <c r="J1880" s="1"/>
      <c r="M1880" s="1"/>
    </row>
    <row r="1881" spans="9:13" x14ac:dyDescent="0.5">
      <c r="I1881" s="1"/>
      <c r="J1881" s="1"/>
      <c r="M1881" s="1"/>
    </row>
    <row r="1882" spans="9:13" x14ac:dyDescent="0.5">
      <c r="I1882" s="1"/>
      <c r="J1882" s="1"/>
      <c r="M1882" s="1"/>
    </row>
    <row r="1883" spans="9:13" x14ac:dyDescent="0.5">
      <c r="I1883" s="1"/>
      <c r="J1883" s="1"/>
      <c r="M1883" s="1"/>
    </row>
    <row r="1884" spans="9:13" x14ac:dyDescent="0.5">
      <c r="I1884" s="1"/>
      <c r="J1884" s="1"/>
      <c r="M1884" s="1"/>
    </row>
    <row r="1885" spans="9:13" x14ac:dyDescent="0.5">
      <c r="I1885" s="1"/>
      <c r="J1885" s="1"/>
      <c r="M1885" s="1"/>
    </row>
    <row r="1886" spans="9:13" x14ac:dyDescent="0.5">
      <c r="I1886" s="1"/>
      <c r="J1886" s="1"/>
      <c r="M1886" s="1"/>
    </row>
    <row r="1887" spans="9:13" x14ac:dyDescent="0.5">
      <c r="I1887" s="1"/>
      <c r="J1887" s="1"/>
      <c r="M1887" s="1"/>
    </row>
    <row r="1888" spans="9:13" x14ac:dyDescent="0.5">
      <c r="I1888" s="1"/>
      <c r="J1888" s="1"/>
      <c r="M1888" s="1"/>
    </row>
    <row r="1889" spans="9:13" x14ac:dyDescent="0.5">
      <c r="I1889" s="1"/>
      <c r="J1889" s="1"/>
      <c r="M1889" s="1"/>
    </row>
    <row r="1890" spans="9:13" x14ac:dyDescent="0.5">
      <c r="I1890" s="1"/>
      <c r="J1890" s="1"/>
      <c r="M1890" s="1"/>
    </row>
    <row r="1891" spans="9:13" x14ac:dyDescent="0.5">
      <c r="I1891" s="1"/>
      <c r="J1891" s="1"/>
      <c r="M1891" s="1"/>
    </row>
    <row r="1892" spans="9:13" x14ac:dyDescent="0.5">
      <c r="I1892" s="1"/>
      <c r="J1892" s="1"/>
      <c r="M1892" s="1"/>
    </row>
    <row r="1893" spans="9:13" x14ac:dyDescent="0.5">
      <c r="I1893" s="1"/>
      <c r="J1893" s="1"/>
      <c r="M1893" s="1"/>
    </row>
    <row r="1894" spans="9:13" x14ac:dyDescent="0.5">
      <c r="I1894" s="1"/>
      <c r="J1894" s="1"/>
      <c r="M1894" s="1"/>
    </row>
    <row r="1895" spans="9:13" x14ac:dyDescent="0.5">
      <c r="I1895" s="1"/>
      <c r="J1895" s="1"/>
      <c r="M1895" s="1"/>
    </row>
    <row r="1896" spans="9:13" x14ac:dyDescent="0.5">
      <c r="I1896" s="1"/>
      <c r="J1896" s="1"/>
      <c r="M1896" s="1"/>
    </row>
    <row r="1897" spans="9:13" x14ac:dyDescent="0.5">
      <c r="I1897" s="1"/>
      <c r="J1897" s="1"/>
      <c r="M1897" s="1"/>
    </row>
    <row r="1898" spans="9:13" x14ac:dyDescent="0.5">
      <c r="I1898" s="1"/>
      <c r="J1898" s="1"/>
      <c r="M1898" s="1"/>
    </row>
    <row r="1899" spans="9:13" x14ac:dyDescent="0.5">
      <c r="I1899" s="1"/>
      <c r="J1899" s="1"/>
      <c r="M1899" s="1"/>
    </row>
    <row r="1900" spans="9:13" x14ac:dyDescent="0.5">
      <c r="I1900" s="1"/>
      <c r="J1900" s="1"/>
      <c r="M1900" s="1"/>
    </row>
    <row r="1901" spans="9:13" x14ac:dyDescent="0.5">
      <c r="I1901" s="1"/>
      <c r="J1901" s="1"/>
      <c r="M1901" s="1"/>
    </row>
    <row r="1902" spans="9:13" x14ac:dyDescent="0.5">
      <c r="I1902" s="1"/>
      <c r="J1902" s="1"/>
      <c r="M1902" s="1"/>
    </row>
    <row r="1903" spans="9:13" x14ac:dyDescent="0.5">
      <c r="I1903" s="1"/>
      <c r="J1903" s="1"/>
      <c r="M1903" s="1"/>
    </row>
    <row r="1904" spans="9:13" x14ac:dyDescent="0.5">
      <c r="I1904" s="1"/>
      <c r="J1904" s="1"/>
      <c r="M1904" s="1"/>
    </row>
    <row r="1905" spans="9:13" x14ac:dyDescent="0.5">
      <c r="I1905" s="1"/>
      <c r="J1905" s="1"/>
      <c r="M1905" s="1"/>
    </row>
    <row r="1906" spans="9:13" x14ac:dyDescent="0.5">
      <c r="I1906" s="1"/>
      <c r="J1906" s="1"/>
      <c r="M1906" s="1"/>
    </row>
    <row r="1907" spans="9:13" x14ac:dyDescent="0.5">
      <c r="I1907" s="1"/>
      <c r="J1907" s="1"/>
      <c r="M1907" s="1"/>
    </row>
    <row r="1908" spans="9:13" x14ac:dyDescent="0.5">
      <c r="I1908" s="1"/>
      <c r="J1908" s="1"/>
      <c r="M1908" s="1"/>
    </row>
    <row r="1909" spans="9:13" x14ac:dyDescent="0.5">
      <c r="I1909" s="1"/>
      <c r="J1909" s="1"/>
      <c r="M1909" s="1"/>
    </row>
    <row r="1910" spans="9:13" x14ac:dyDescent="0.5">
      <c r="I1910" s="1"/>
      <c r="J1910" s="1"/>
      <c r="M1910" s="1"/>
    </row>
    <row r="1911" spans="9:13" x14ac:dyDescent="0.5">
      <c r="I1911" s="1"/>
      <c r="J1911" s="1"/>
      <c r="M1911" s="1"/>
    </row>
    <row r="1912" spans="9:13" x14ac:dyDescent="0.5">
      <c r="I1912" s="1"/>
      <c r="J1912" s="1"/>
      <c r="M1912" s="1"/>
    </row>
    <row r="1913" spans="9:13" x14ac:dyDescent="0.5">
      <c r="I1913" s="1"/>
      <c r="J1913" s="1"/>
      <c r="M1913" s="1"/>
    </row>
    <row r="1914" spans="9:13" x14ac:dyDescent="0.5">
      <c r="I1914" s="1"/>
      <c r="J1914" s="1"/>
      <c r="M1914" s="1"/>
    </row>
    <row r="1915" spans="9:13" x14ac:dyDescent="0.5">
      <c r="I1915" s="1"/>
      <c r="J1915" s="1"/>
      <c r="M1915" s="1"/>
    </row>
    <row r="1916" spans="9:13" x14ac:dyDescent="0.5">
      <c r="I1916" s="1"/>
      <c r="J1916" s="1"/>
      <c r="M1916" s="1"/>
    </row>
    <row r="1917" spans="9:13" x14ac:dyDescent="0.5">
      <c r="I1917" s="1"/>
      <c r="J1917" s="1"/>
      <c r="M1917" s="1"/>
    </row>
    <row r="1918" spans="9:13" x14ac:dyDescent="0.5">
      <c r="I1918" s="1"/>
      <c r="J1918" s="1"/>
      <c r="M1918" s="1"/>
    </row>
    <row r="1919" spans="9:13" x14ac:dyDescent="0.5">
      <c r="I1919" s="1"/>
      <c r="J1919" s="1"/>
      <c r="M1919" s="1"/>
    </row>
    <row r="1920" spans="9:13" x14ac:dyDescent="0.5">
      <c r="I1920" s="1"/>
      <c r="J1920" s="1"/>
      <c r="M1920" s="1"/>
    </row>
    <row r="1921" spans="9:13" x14ac:dyDescent="0.5">
      <c r="I1921" s="1"/>
      <c r="J1921" s="1"/>
      <c r="M1921" s="1"/>
    </row>
    <row r="1922" spans="9:13" x14ac:dyDescent="0.5">
      <c r="I1922" s="1"/>
      <c r="J1922" s="1"/>
      <c r="M1922" s="1"/>
    </row>
    <row r="1923" spans="9:13" x14ac:dyDescent="0.5">
      <c r="I1923" s="1"/>
      <c r="J1923" s="1"/>
      <c r="M1923" s="1"/>
    </row>
    <row r="1924" spans="9:13" x14ac:dyDescent="0.5">
      <c r="I1924" s="1"/>
      <c r="J1924" s="1"/>
      <c r="M1924" s="1"/>
    </row>
    <row r="1925" spans="9:13" x14ac:dyDescent="0.5">
      <c r="I1925" s="1"/>
      <c r="J1925" s="1"/>
      <c r="M1925" s="1"/>
    </row>
    <row r="1926" spans="9:13" x14ac:dyDescent="0.5">
      <c r="I1926" s="1"/>
      <c r="J1926" s="1"/>
      <c r="M1926" s="1"/>
    </row>
    <row r="1927" spans="9:13" x14ac:dyDescent="0.5">
      <c r="I1927" s="1"/>
      <c r="J1927" s="1"/>
      <c r="M1927" s="1"/>
    </row>
    <row r="1928" spans="9:13" x14ac:dyDescent="0.5">
      <c r="I1928" s="1"/>
      <c r="J1928" s="1"/>
      <c r="M1928" s="1"/>
    </row>
    <row r="1929" spans="9:13" x14ac:dyDescent="0.5">
      <c r="I1929" s="1"/>
      <c r="J1929" s="1"/>
      <c r="M1929" s="1"/>
    </row>
    <row r="1930" spans="9:13" x14ac:dyDescent="0.5">
      <c r="I1930" s="1"/>
      <c r="J1930" s="1"/>
      <c r="M1930" s="1"/>
    </row>
    <row r="1931" spans="9:13" x14ac:dyDescent="0.5">
      <c r="I1931" s="1"/>
      <c r="J1931" s="1"/>
      <c r="M1931" s="1"/>
    </row>
    <row r="1932" spans="9:13" x14ac:dyDescent="0.5">
      <c r="I1932" s="1"/>
      <c r="J1932" s="1"/>
      <c r="M1932" s="1"/>
    </row>
    <row r="1933" spans="9:13" x14ac:dyDescent="0.5">
      <c r="I1933" s="1"/>
      <c r="J1933" s="1"/>
      <c r="M1933" s="1"/>
    </row>
    <row r="1934" spans="9:13" x14ac:dyDescent="0.5">
      <c r="I1934" s="1"/>
      <c r="J1934" s="1"/>
      <c r="M1934" s="1"/>
    </row>
    <row r="1935" spans="9:13" x14ac:dyDescent="0.5">
      <c r="I1935" s="1"/>
      <c r="J1935" s="1"/>
      <c r="M1935" s="1"/>
    </row>
    <row r="1936" spans="9:13" x14ac:dyDescent="0.5">
      <c r="I1936" s="1"/>
      <c r="J1936" s="1"/>
      <c r="M1936" s="1"/>
    </row>
    <row r="1937" spans="9:13" x14ac:dyDescent="0.5">
      <c r="I1937" s="1"/>
      <c r="J1937" s="1"/>
      <c r="M1937" s="1"/>
    </row>
    <row r="1938" spans="9:13" x14ac:dyDescent="0.5">
      <c r="I1938" s="1"/>
      <c r="J1938" s="1"/>
      <c r="M1938" s="1"/>
    </row>
    <row r="1939" spans="9:13" x14ac:dyDescent="0.5">
      <c r="I1939" s="1"/>
      <c r="J1939" s="1"/>
      <c r="M1939" s="1"/>
    </row>
    <row r="1940" spans="9:13" x14ac:dyDescent="0.5">
      <c r="I1940" s="1"/>
      <c r="J1940" s="1"/>
      <c r="M1940" s="1"/>
    </row>
    <row r="1941" spans="9:13" x14ac:dyDescent="0.5">
      <c r="I1941" s="1"/>
      <c r="J1941" s="1"/>
      <c r="M1941" s="1"/>
    </row>
    <row r="1942" spans="9:13" x14ac:dyDescent="0.5">
      <c r="I1942" s="1"/>
      <c r="J1942" s="1"/>
      <c r="M1942" s="1"/>
    </row>
    <row r="1943" spans="9:13" x14ac:dyDescent="0.5">
      <c r="I1943" s="1"/>
      <c r="J1943" s="1"/>
      <c r="M1943" s="1"/>
    </row>
    <row r="1944" spans="9:13" x14ac:dyDescent="0.5">
      <c r="I1944" s="1"/>
      <c r="J1944" s="1"/>
      <c r="M1944" s="1"/>
    </row>
    <row r="1945" spans="9:13" x14ac:dyDescent="0.5">
      <c r="I1945" s="1"/>
      <c r="J1945" s="1"/>
      <c r="M1945" s="1"/>
    </row>
    <row r="1946" spans="9:13" x14ac:dyDescent="0.5">
      <c r="I1946" s="1"/>
      <c r="J1946" s="1"/>
      <c r="M1946" s="1"/>
    </row>
    <row r="1947" spans="9:13" x14ac:dyDescent="0.5">
      <c r="I1947" s="1"/>
      <c r="J1947" s="1"/>
      <c r="M1947" s="1"/>
    </row>
    <row r="1948" spans="9:13" x14ac:dyDescent="0.5">
      <c r="I1948" s="1"/>
      <c r="J1948" s="1"/>
      <c r="M1948" s="1"/>
    </row>
    <row r="1949" spans="9:13" x14ac:dyDescent="0.5">
      <c r="I1949" s="1"/>
      <c r="J1949" s="1"/>
      <c r="M1949" s="1"/>
    </row>
    <row r="1950" spans="9:13" x14ac:dyDescent="0.5">
      <c r="I1950" s="1"/>
      <c r="J1950" s="1"/>
      <c r="M1950" s="1"/>
    </row>
    <row r="1951" spans="9:13" x14ac:dyDescent="0.5">
      <c r="I1951" s="1"/>
      <c r="J1951" s="1"/>
      <c r="M1951" s="1"/>
    </row>
    <row r="1952" spans="9:13" x14ac:dyDescent="0.5">
      <c r="I1952" s="1"/>
      <c r="J1952" s="1"/>
      <c r="M1952" s="1"/>
    </row>
    <row r="1953" spans="9:13" x14ac:dyDescent="0.5">
      <c r="I1953" s="1"/>
      <c r="J1953" s="1"/>
      <c r="M1953" s="1"/>
    </row>
    <row r="1954" spans="9:13" x14ac:dyDescent="0.5">
      <c r="I1954" s="1"/>
      <c r="J1954" s="1"/>
      <c r="M1954" s="1"/>
    </row>
    <row r="1955" spans="9:13" x14ac:dyDescent="0.5">
      <c r="I1955" s="1"/>
      <c r="J1955" s="1"/>
      <c r="M1955" s="1"/>
    </row>
    <row r="1956" spans="9:13" x14ac:dyDescent="0.5">
      <c r="I1956" s="1"/>
      <c r="J1956" s="1"/>
      <c r="M1956" s="1"/>
    </row>
    <row r="1957" spans="9:13" x14ac:dyDescent="0.5">
      <c r="I1957" s="1"/>
      <c r="J1957" s="1"/>
      <c r="M1957" s="1"/>
    </row>
    <row r="1958" spans="9:13" x14ac:dyDescent="0.5">
      <c r="I1958" s="1"/>
      <c r="J1958" s="1"/>
      <c r="M1958" s="1"/>
    </row>
    <row r="1959" spans="9:13" x14ac:dyDescent="0.5">
      <c r="I1959" s="1"/>
      <c r="J1959" s="1"/>
      <c r="M1959" s="1"/>
    </row>
    <row r="1960" spans="9:13" x14ac:dyDescent="0.5">
      <c r="I1960" s="1"/>
      <c r="J1960" s="1"/>
      <c r="M1960" s="1"/>
    </row>
    <row r="1961" spans="9:13" x14ac:dyDescent="0.5">
      <c r="I1961" s="1"/>
      <c r="J1961" s="1"/>
      <c r="M1961" s="1"/>
    </row>
    <row r="1962" spans="9:13" x14ac:dyDescent="0.5">
      <c r="I1962" s="1"/>
      <c r="J1962" s="1"/>
      <c r="M1962" s="1"/>
    </row>
    <row r="1963" spans="9:13" x14ac:dyDescent="0.5">
      <c r="I1963" s="1"/>
      <c r="J1963" s="1"/>
      <c r="M1963" s="1"/>
    </row>
    <row r="1964" spans="9:13" x14ac:dyDescent="0.5">
      <c r="I1964" s="1"/>
      <c r="J1964" s="1"/>
      <c r="M1964" s="1"/>
    </row>
    <row r="1965" spans="9:13" x14ac:dyDescent="0.5">
      <c r="I1965" s="1"/>
      <c r="J1965" s="1"/>
      <c r="M1965" s="1"/>
    </row>
    <row r="1966" spans="9:13" x14ac:dyDescent="0.5">
      <c r="I1966" s="1"/>
      <c r="J1966" s="1"/>
      <c r="M1966" s="1"/>
    </row>
    <row r="1967" spans="9:13" x14ac:dyDescent="0.5">
      <c r="I1967" s="1"/>
      <c r="J1967" s="1"/>
      <c r="M1967" s="1"/>
    </row>
    <row r="1968" spans="9:13" x14ac:dyDescent="0.5">
      <c r="I1968" s="1"/>
      <c r="J1968" s="1"/>
      <c r="M1968" s="1"/>
    </row>
    <row r="1969" spans="9:13" x14ac:dyDescent="0.5">
      <c r="I1969" s="1"/>
      <c r="J1969" s="1"/>
      <c r="M1969" s="1"/>
    </row>
    <row r="1970" spans="9:13" x14ac:dyDescent="0.5">
      <c r="I1970" s="1"/>
      <c r="J1970" s="1"/>
      <c r="M1970" s="1"/>
    </row>
    <row r="1971" spans="9:13" x14ac:dyDescent="0.5">
      <c r="I1971" s="1"/>
      <c r="J1971" s="1"/>
      <c r="M1971" s="1"/>
    </row>
    <row r="1972" spans="9:13" x14ac:dyDescent="0.5">
      <c r="I1972" s="1"/>
      <c r="J1972" s="1"/>
      <c r="M1972" s="1"/>
    </row>
    <row r="1973" spans="9:13" x14ac:dyDescent="0.5">
      <c r="I1973" s="1"/>
      <c r="J1973" s="1"/>
      <c r="M1973" s="1"/>
    </row>
    <row r="1974" spans="9:13" x14ac:dyDescent="0.5">
      <c r="I1974" s="1"/>
      <c r="J1974" s="1"/>
      <c r="M1974" s="1"/>
    </row>
    <row r="1975" spans="9:13" x14ac:dyDescent="0.5">
      <c r="I1975" s="1"/>
      <c r="J1975" s="1"/>
      <c r="M1975" s="1"/>
    </row>
    <row r="1976" spans="9:13" x14ac:dyDescent="0.5">
      <c r="I1976" s="1"/>
      <c r="J1976" s="1"/>
      <c r="M1976" s="1"/>
    </row>
    <row r="1977" spans="9:13" x14ac:dyDescent="0.5">
      <c r="I1977" s="1"/>
      <c r="J1977" s="1"/>
      <c r="M1977" s="1"/>
    </row>
    <row r="1978" spans="9:13" x14ac:dyDescent="0.5">
      <c r="I1978" s="1"/>
      <c r="J1978" s="1"/>
      <c r="M1978" s="1"/>
    </row>
    <row r="1979" spans="9:13" x14ac:dyDescent="0.5">
      <c r="I1979" s="1"/>
      <c r="J1979" s="1"/>
      <c r="M1979" s="1"/>
    </row>
    <row r="1980" spans="9:13" x14ac:dyDescent="0.5">
      <c r="I1980" s="1"/>
      <c r="J1980" s="1"/>
      <c r="M1980" s="1"/>
    </row>
    <row r="1981" spans="9:13" x14ac:dyDescent="0.5">
      <c r="I1981" s="1"/>
      <c r="J1981" s="1"/>
      <c r="M1981" s="1"/>
    </row>
    <row r="1982" spans="9:13" x14ac:dyDescent="0.5">
      <c r="I1982" s="1"/>
      <c r="J1982" s="1"/>
      <c r="M1982" s="1"/>
    </row>
    <row r="1983" spans="9:13" x14ac:dyDescent="0.5">
      <c r="I1983" s="1"/>
      <c r="J1983" s="1"/>
      <c r="M1983" s="1"/>
    </row>
    <row r="1984" spans="9:13" x14ac:dyDescent="0.5">
      <c r="I1984" s="1"/>
      <c r="J1984" s="1"/>
      <c r="M1984" s="1"/>
    </row>
    <row r="1985" spans="9:13" x14ac:dyDescent="0.5">
      <c r="I1985" s="1"/>
      <c r="J1985" s="1"/>
      <c r="M1985" s="1"/>
    </row>
    <row r="1986" spans="9:13" x14ac:dyDescent="0.5">
      <c r="I1986" s="1"/>
      <c r="J1986" s="1"/>
      <c r="M1986" s="1"/>
    </row>
    <row r="1987" spans="9:13" x14ac:dyDescent="0.5">
      <c r="I1987" s="1"/>
      <c r="J1987" s="1"/>
      <c r="M1987" s="1"/>
    </row>
    <row r="1988" spans="9:13" x14ac:dyDescent="0.5">
      <c r="I1988" s="1"/>
      <c r="J1988" s="1"/>
      <c r="M1988" s="1"/>
    </row>
    <row r="1989" spans="9:13" x14ac:dyDescent="0.5">
      <c r="I1989" s="1"/>
      <c r="J1989" s="1"/>
      <c r="M1989" s="1"/>
    </row>
    <row r="1990" spans="9:13" x14ac:dyDescent="0.5">
      <c r="I1990" s="1"/>
      <c r="J1990" s="1"/>
      <c r="M1990" s="1"/>
    </row>
    <row r="1991" spans="9:13" x14ac:dyDescent="0.5">
      <c r="I1991" s="1"/>
      <c r="J1991" s="1"/>
      <c r="M1991" s="1"/>
    </row>
    <row r="1992" spans="9:13" x14ac:dyDescent="0.5">
      <c r="I1992" s="1"/>
      <c r="J1992" s="1"/>
      <c r="M1992" s="1"/>
    </row>
    <row r="1993" spans="9:13" x14ac:dyDescent="0.5">
      <c r="I1993" s="1"/>
      <c r="J1993" s="1"/>
      <c r="M1993" s="1"/>
    </row>
    <row r="1994" spans="9:13" x14ac:dyDescent="0.5">
      <c r="I1994" s="1"/>
      <c r="J1994" s="1"/>
      <c r="M1994" s="1"/>
    </row>
    <row r="1995" spans="9:13" x14ac:dyDescent="0.5">
      <c r="I1995" s="1"/>
      <c r="J1995" s="1"/>
      <c r="M1995" s="1"/>
    </row>
    <row r="1996" spans="9:13" x14ac:dyDescent="0.5">
      <c r="I1996" s="1"/>
      <c r="J1996" s="1"/>
      <c r="M1996" s="1"/>
    </row>
    <row r="1997" spans="9:13" x14ac:dyDescent="0.5">
      <c r="I1997" s="1"/>
      <c r="J1997" s="1"/>
      <c r="M1997" s="1"/>
    </row>
    <row r="1998" spans="9:13" x14ac:dyDescent="0.5">
      <c r="I1998" s="1"/>
      <c r="J1998" s="1"/>
      <c r="M1998" s="1"/>
    </row>
    <row r="1999" spans="9:13" x14ac:dyDescent="0.5">
      <c r="I1999" s="1"/>
      <c r="J1999" s="1"/>
      <c r="M1999" s="1"/>
    </row>
    <row r="2000" spans="9:13" x14ac:dyDescent="0.5">
      <c r="I2000" s="1"/>
      <c r="J2000" s="1"/>
      <c r="M2000" s="1"/>
    </row>
    <row r="2001" spans="9:13" x14ac:dyDescent="0.5">
      <c r="I2001" s="1"/>
      <c r="J2001" s="1"/>
      <c r="M2001" s="1"/>
    </row>
    <row r="2002" spans="9:13" x14ac:dyDescent="0.5">
      <c r="I2002" s="1"/>
      <c r="J2002" s="1"/>
      <c r="M2002" s="1"/>
    </row>
    <row r="2003" spans="9:13" x14ac:dyDescent="0.5">
      <c r="I2003" s="1"/>
      <c r="J2003" s="1"/>
      <c r="M2003" s="1"/>
    </row>
    <row r="2004" spans="9:13" x14ac:dyDescent="0.5">
      <c r="I2004" s="1"/>
      <c r="J2004" s="1"/>
      <c r="M2004" s="1"/>
    </row>
    <row r="2005" spans="9:13" x14ac:dyDescent="0.5">
      <c r="I2005" s="1"/>
      <c r="J2005" s="1"/>
      <c r="M2005" s="1"/>
    </row>
    <row r="2006" spans="9:13" x14ac:dyDescent="0.5">
      <c r="I2006" s="1"/>
      <c r="J2006" s="1"/>
      <c r="M2006" s="1"/>
    </row>
    <row r="2007" spans="9:13" x14ac:dyDescent="0.5">
      <c r="I2007" s="1"/>
      <c r="J2007" s="1"/>
      <c r="M2007" s="1"/>
    </row>
    <row r="2008" spans="9:13" x14ac:dyDescent="0.5">
      <c r="I2008" s="1"/>
      <c r="J2008" s="1"/>
      <c r="M2008" s="1"/>
    </row>
    <row r="2009" spans="9:13" x14ac:dyDescent="0.5">
      <c r="I2009" s="1"/>
      <c r="J2009" s="1"/>
      <c r="M2009" s="1"/>
    </row>
    <row r="2010" spans="9:13" x14ac:dyDescent="0.5">
      <c r="I2010" s="1"/>
      <c r="J2010" s="1"/>
      <c r="M2010" s="1"/>
    </row>
    <row r="2011" spans="9:13" x14ac:dyDescent="0.5">
      <c r="I2011" s="1"/>
      <c r="J2011" s="1"/>
      <c r="M2011" s="1"/>
    </row>
    <row r="2012" spans="9:13" x14ac:dyDescent="0.5">
      <c r="I2012" s="1"/>
      <c r="J2012" s="1"/>
      <c r="M2012" s="1"/>
    </row>
    <row r="2013" spans="9:13" x14ac:dyDescent="0.5">
      <c r="I2013" s="1"/>
      <c r="J2013" s="1"/>
      <c r="M2013" s="1"/>
    </row>
    <row r="2014" spans="9:13" x14ac:dyDescent="0.5">
      <c r="I2014" s="1"/>
      <c r="J2014" s="1"/>
      <c r="M2014" s="1"/>
    </row>
    <row r="2015" spans="9:13" x14ac:dyDescent="0.5">
      <c r="I2015" s="1"/>
      <c r="J2015" s="1"/>
      <c r="M2015" s="1"/>
    </row>
    <row r="2016" spans="9:13" x14ac:dyDescent="0.5">
      <c r="I2016" s="1"/>
      <c r="J2016" s="1"/>
      <c r="M2016" s="1"/>
    </row>
    <row r="2017" spans="9:13" x14ac:dyDescent="0.5">
      <c r="I2017" s="1"/>
      <c r="J2017" s="1"/>
      <c r="M2017" s="1"/>
    </row>
    <row r="2018" spans="9:13" x14ac:dyDescent="0.5">
      <c r="I2018" s="1"/>
      <c r="J2018" s="1"/>
      <c r="M2018" s="1"/>
    </row>
    <row r="2019" spans="9:13" x14ac:dyDescent="0.5">
      <c r="I2019" s="1"/>
      <c r="J2019" s="1"/>
      <c r="M2019" s="1"/>
    </row>
    <row r="2020" spans="9:13" x14ac:dyDescent="0.5">
      <c r="I2020" s="1"/>
      <c r="J2020" s="1"/>
      <c r="M2020" s="1"/>
    </row>
    <row r="2021" spans="9:13" x14ac:dyDescent="0.5">
      <c r="I2021" s="1"/>
      <c r="J2021" s="1"/>
      <c r="M2021" s="1"/>
    </row>
    <row r="2022" spans="9:13" x14ac:dyDescent="0.5">
      <c r="I2022" s="1"/>
      <c r="J2022" s="1"/>
      <c r="M2022" s="1"/>
    </row>
    <row r="2023" spans="9:13" x14ac:dyDescent="0.5">
      <c r="I2023" s="1"/>
      <c r="J2023" s="1"/>
      <c r="M2023" s="1"/>
    </row>
    <row r="2024" spans="9:13" x14ac:dyDescent="0.5">
      <c r="I2024" s="1"/>
      <c r="J2024" s="1"/>
      <c r="M2024" s="1"/>
    </row>
    <row r="2025" spans="9:13" x14ac:dyDescent="0.5">
      <c r="I2025" s="1"/>
      <c r="J2025" s="1"/>
      <c r="M2025" s="1"/>
    </row>
    <row r="2026" spans="9:13" x14ac:dyDescent="0.5">
      <c r="I2026" s="1"/>
      <c r="J2026" s="1"/>
      <c r="M2026" s="1"/>
    </row>
    <row r="2027" spans="9:13" x14ac:dyDescent="0.5">
      <c r="I2027" s="1"/>
      <c r="J2027" s="1"/>
      <c r="M2027" s="1"/>
    </row>
    <row r="2028" spans="9:13" x14ac:dyDescent="0.5">
      <c r="I2028" s="1"/>
      <c r="J2028" s="1"/>
      <c r="M2028" s="1"/>
    </row>
    <row r="2029" spans="9:13" x14ac:dyDescent="0.5">
      <c r="I2029" s="1"/>
      <c r="J2029" s="1"/>
      <c r="M2029" s="1"/>
    </row>
    <row r="2030" spans="9:13" x14ac:dyDescent="0.5">
      <c r="I2030" s="1"/>
      <c r="J2030" s="1"/>
      <c r="M2030" s="1"/>
    </row>
    <row r="2031" spans="9:13" x14ac:dyDescent="0.5">
      <c r="I2031" s="1"/>
      <c r="J2031" s="1"/>
      <c r="M2031" s="1"/>
    </row>
    <row r="2032" spans="9:13" x14ac:dyDescent="0.5">
      <c r="I2032" s="1"/>
      <c r="J2032" s="1"/>
      <c r="M2032" s="1"/>
    </row>
    <row r="2033" spans="9:13" x14ac:dyDescent="0.5">
      <c r="I2033" s="1"/>
      <c r="J2033" s="1"/>
      <c r="M2033" s="1"/>
    </row>
    <row r="2034" spans="9:13" x14ac:dyDescent="0.5">
      <c r="I2034" s="1"/>
      <c r="J2034" s="1"/>
      <c r="M2034" s="1"/>
    </row>
    <row r="2035" spans="9:13" x14ac:dyDescent="0.5">
      <c r="I2035" s="1"/>
      <c r="J2035" s="1"/>
      <c r="M2035" s="1"/>
    </row>
    <row r="2036" spans="9:13" x14ac:dyDescent="0.5">
      <c r="I2036" s="1"/>
      <c r="J2036" s="1"/>
      <c r="M2036" s="1"/>
    </row>
    <row r="2037" spans="9:13" x14ac:dyDescent="0.5">
      <c r="I2037" s="1"/>
      <c r="J2037" s="1"/>
      <c r="M2037" s="1"/>
    </row>
    <row r="2038" spans="9:13" x14ac:dyDescent="0.5">
      <c r="I2038" s="1"/>
      <c r="J2038" s="1"/>
      <c r="M2038" s="1"/>
    </row>
    <row r="2039" spans="9:13" x14ac:dyDescent="0.5">
      <c r="I2039" s="1"/>
      <c r="J2039" s="1"/>
      <c r="M2039" s="1"/>
    </row>
    <row r="2040" spans="9:13" x14ac:dyDescent="0.5">
      <c r="I2040" s="1"/>
      <c r="J2040" s="1"/>
      <c r="M2040" s="1"/>
    </row>
    <row r="2041" spans="9:13" x14ac:dyDescent="0.5">
      <c r="I2041" s="1"/>
      <c r="J2041" s="1"/>
      <c r="M2041" s="1"/>
    </row>
    <row r="2042" spans="9:13" x14ac:dyDescent="0.5">
      <c r="I2042" s="1"/>
      <c r="J2042" s="1"/>
      <c r="M2042" s="1"/>
    </row>
    <row r="2043" spans="9:13" x14ac:dyDescent="0.5">
      <c r="I2043" s="1"/>
      <c r="J2043" s="1"/>
      <c r="M2043" s="1"/>
    </row>
    <row r="2044" spans="9:13" x14ac:dyDescent="0.5">
      <c r="I2044" s="1"/>
      <c r="J2044" s="1"/>
      <c r="M2044" s="1"/>
    </row>
    <row r="2045" spans="9:13" x14ac:dyDescent="0.5">
      <c r="I2045" s="1"/>
      <c r="J2045" s="1"/>
      <c r="M2045" s="1"/>
    </row>
    <row r="2046" spans="9:13" x14ac:dyDescent="0.5">
      <c r="I2046" s="1"/>
      <c r="J2046" s="1"/>
      <c r="M2046" s="1"/>
    </row>
    <row r="2047" spans="9:13" x14ac:dyDescent="0.5">
      <c r="I2047" s="1"/>
      <c r="J2047" s="1"/>
      <c r="M2047" s="1"/>
    </row>
    <row r="2048" spans="9:13" x14ac:dyDescent="0.5">
      <c r="I2048" s="1"/>
      <c r="J2048" s="1"/>
      <c r="M2048" s="1"/>
    </row>
    <row r="2049" spans="9:13" x14ac:dyDescent="0.5">
      <c r="I2049" s="1"/>
      <c r="J2049" s="1"/>
      <c r="M2049" s="1"/>
    </row>
    <row r="2050" spans="9:13" x14ac:dyDescent="0.5">
      <c r="I2050" s="1"/>
      <c r="J2050" s="1"/>
      <c r="M2050" s="1"/>
    </row>
    <row r="2051" spans="9:13" x14ac:dyDescent="0.5">
      <c r="I2051" s="1"/>
      <c r="J2051" s="1"/>
      <c r="M2051" s="1"/>
    </row>
    <row r="2052" spans="9:13" x14ac:dyDescent="0.5">
      <c r="I2052" s="1"/>
      <c r="J2052" s="1"/>
      <c r="M2052" s="1"/>
    </row>
    <row r="2053" spans="9:13" x14ac:dyDescent="0.5">
      <c r="I2053" s="1"/>
      <c r="J2053" s="1"/>
      <c r="M2053" s="1"/>
    </row>
    <row r="2054" spans="9:13" x14ac:dyDescent="0.5">
      <c r="I2054" s="1"/>
      <c r="J2054" s="1"/>
      <c r="M2054" s="1"/>
    </row>
    <row r="2055" spans="9:13" x14ac:dyDescent="0.5">
      <c r="I2055" s="1"/>
      <c r="J2055" s="1"/>
      <c r="M2055" s="1"/>
    </row>
    <row r="2056" spans="9:13" x14ac:dyDescent="0.5">
      <c r="I2056" s="1"/>
      <c r="J2056" s="1"/>
      <c r="M2056" s="1"/>
    </row>
    <row r="2057" spans="9:13" x14ac:dyDescent="0.5">
      <c r="I2057" s="1"/>
      <c r="J2057" s="1"/>
      <c r="M2057" s="1"/>
    </row>
    <row r="2058" spans="9:13" x14ac:dyDescent="0.5">
      <c r="I2058" s="1"/>
      <c r="J2058" s="1"/>
      <c r="M2058" s="1"/>
    </row>
    <row r="2059" spans="9:13" x14ac:dyDescent="0.5">
      <c r="I2059" s="1"/>
      <c r="J2059" s="1"/>
      <c r="M2059" s="1"/>
    </row>
    <row r="2060" spans="9:13" x14ac:dyDescent="0.5">
      <c r="I2060" s="1"/>
      <c r="J2060" s="1"/>
      <c r="M2060" s="1"/>
    </row>
    <row r="2061" spans="9:13" x14ac:dyDescent="0.5">
      <c r="I2061" s="1"/>
      <c r="J2061" s="1"/>
      <c r="M2061" s="1"/>
    </row>
    <row r="2062" spans="9:13" x14ac:dyDescent="0.5">
      <c r="I2062" s="1"/>
      <c r="J2062" s="1"/>
      <c r="M2062" s="1"/>
    </row>
    <row r="2063" spans="9:13" x14ac:dyDescent="0.5">
      <c r="I2063" s="1"/>
      <c r="J2063" s="1"/>
      <c r="M2063" s="1"/>
    </row>
    <row r="2064" spans="9:13" x14ac:dyDescent="0.5">
      <c r="I2064" s="1"/>
      <c r="J2064" s="1"/>
      <c r="M2064" s="1"/>
    </row>
    <row r="2065" spans="9:13" x14ac:dyDescent="0.5">
      <c r="I2065" s="1"/>
      <c r="J2065" s="1"/>
      <c r="M2065" s="1"/>
    </row>
    <row r="2066" spans="9:13" x14ac:dyDescent="0.5">
      <c r="I2066" s="1"/>
      <c r="J2066" s="1"/>
      <c r="M2066" s="1"/>
    </row>
    <row r="2067" spans="9:13" x14ac:dyDescent="0.5">
      <c r="I2067" s="1"/>
      <c r="J2067" s="1"/>
      <c r="M2067" s="1"/>
    </row>
    <row r="2068" spans="9:13" x14ac:dyDescent="0.5">
      <c r="I2068" s="1"/>
      <c r="J2068" s="1"/>
      <c r="M2068" s="1"/>
    </row>
    <row r="2069" spans="9:13" x14ac:dyDescent="0.5">
      <c r="I2069" s="1"/>
      <c r="J2069" s="1"/>
      <c r="M2069" s="1"/>
    </row>
    <row r="2070" spans="9:13" x14ac:dyDescent="0.5">
      <c r="I2070" s="1"/>
      <c r="J2070" s="1"/>
      <c r="M2070" s="1"/>
    </row>
    <row r="2071" spans="9:13" x14ac:dyDescent="0.5">
      <c r="I2071" s="1"/>
      <c r="J2071" s="1"/>
      <c r="M2071" s="1"/>
    </row>
    <row r="2072" spans="9:13" x14ac:dyDescent="0.5">
      <c r="I2072" s="1"/>
      <c r="J2072" s="1"/>
      <c r="M2072" s="1"/>
    </row>
    <row r="2073" spans="9:13" x14ac:dyDescent="0.5">
      <c r="I2073" s="1"/>
      <c r="J2073" s="1"/>
      <c r="M2073" s="1"/>
    </row>
    <row r="2074" spans="9:13" x14ac:dyDescent="0.5">
      <c r="I2074" s="1"/>
      <c r="J2074" s="1"/>
      <c r="M2074" s="1"/>
    </row>
    <row r="2075" spans="9:13" x14ac:dyDescent="0.5">
      <c r="I2075" s="1"/>
      <c r="J2075" s="1"/>
      <c r="M2075" s="1"/>
    </row>
    <row r="2076" spans="9:13" x14ac:dyDescent="0.5">
      <c r="I2076" s="1"/>
      <c r="J2076" s="1"/>
      <c r="M2076" s="1"/>
    </row>
    <row r="2077" spans="9:13" x14ac:dyDescent="0.5">
      <c r="I2077" s="1"/>
      <c r="J2077" s="1"/>
      <c r="M2077" s="1"/>
    </row>
    <row r="2078" spans="9:13" x14ac:dyDescent="0.5">
      <c r="I2078" s="1"/>
      <c r="J2078" s="1"/>
      <c r="M2078" s="1"/>
    </row>
    <row r="6753" spans="9:9" x14ac:dyDescent="0.5">
      <c r="I6753" s="10"/>
    </row>
    <row r="6754" spans="9:9" x14ac:dyDescent="0.5">
      <c r="I6754" s="10"/>
    </row>
    <row r="6755" spans="9:9" x14ac:dyDescent="0.5">
      <c r="I6755" s="10"/>
    </row>
    <row r="6756" spans="9:9" x14ac:dyDescent="0.5">
      <c r="I6756" s="10"/>
    </row>
    <row r="6757" spans="9:9" x14ac:dyDescent="0.5">
      <c r="I6757" s="10"/>
    </row>
    <row r="6758" spans="9:9" x14ac:dyDescent="0.5">
      <c r="I6758" s="10"/>
    </row>
    <row r="6759" spans="9:9" x14ac:dyDescent="0.5">
      <c r="I6759" s="10"/>
    </row>
    <row r="6760" spans="9:9" x14ac:dyDescent="0.5">
      <c r="I6760" s="10"/>
    </row>
    <row r="6761" spans="9:9" x14ac:dyDescent="0.5">
      <c r="I6761" s="10"/>
    </row>
    <row r="6762" spans="9:9" x14ac:dyDescent="0.5">
      <c r="I6762" s="10"/>
    </row>
    <row r="6763" spans="9:9" x14ac:dyDescent="0.5">
      <c r="I6763" s="10"/>
    </row>
    <row r="6764" spans="9:9" x14ac:dyDescent="0.5">
      <c r="I6764" s="10"/>
    </row>
    <row r="6765" spans="9:9" x14ac:dyDescent="0.5">
      <c r="I6765" s="10"/>
    </row>
    <row r="6766" spans="9:9" x14ac:dyDescent="0.5">
      <c r="I6766" s="10"/>
    </row>
    <row r="6767" spans="9:9" x14ac:dyDescent="0.5">
      <c r="I6767" s="10"/>
    </row>
    <row r="6768" spans="9:9" x14ac:dyDescent="0.5">
      <c r="I6768" s="10"/>
    </row>
    <row r="6769" spans="9:9" x14ac:dyDescent="0.5">
      <c r="I6769" s="10"/>
    </row>
    <row r="6770" spans="9:9" x14ac:dyDescent="0.5">
      <c r="I6770" s="10"/>
    </row>
    <row r="6771" spans="9:9" x14ac:dyDescent="0.5">
      <c r="I6771" s="10"/>
    </row>
    <row r="6772" spans="9:9" x14ac:dyDescent="0.5">
      <c r="I6772" s="10"/>
    </row>
    <row r="6773" spans="9:9" x14ac:dyDescent="0.5">
      <c r="I6773" s="10"/>
    </row>
    <row r="6774" spans="9:9" x14ac:dyDescent="0.5">
      <c r="I6774" s="10"/>
    </row>
    <row r="6775" spans="9:9" x14ac:dyDescent="0.5">
      <c r="I6775" s="10"/>
    </row>
    <row r="6776" spans="9:9" x14ac:dyDescent="0.5">
      <c r="I6776" s="10"/>
    </row>
    <row r="6777" spans="9:9" x14ac:dyDescent="0.5">
      <c r="I6777" s="10"/>
    </row>
    <row r="6778" spans="9:9" x14ac:dyDescent="0.5">
      <c r="I6778" s="10"/>
    </row>
    <row r="6779" spans="9:9" x14ac:dyDescent="0.5">
      <c r="I6779" s="10"/>
    </row>
  </sheetData>
  <dataValidations disablePrompts="1" count="2">
    <dataValidation type="list" allowBlank="1" showInputMessage="1" showErrorMessage="1" sqref="A250:A257" xr:uid="{B684435F-57BA-4692-BD1A-9893D9471EDE}">
      <formula1>$I$226:$I$227</formula1>
    </dataValidation>
    <dataValidation type="list" allowBlank="1" showInputMessage="1" showErrorMessage="1" sqref="I49" xr:uid="{8E956D2F-623C-4B73-850D-1BC2EC584235}">
      <formula1>$I$2:$I$1547</formula1>
    </dataValidation>
  </dataValidations>
  <pageMargins left="0.7" right="0.7" top="0.75" bottom="0.75" header="0.3" footer="0.3"/>
  <pageSetup paperSize="9" orientation="portrait" verticalDpi="1200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4E7B-52AF-437F-8B27-DD7521F6204D}">
  <sheetPr>
    <tabColor rgb="FF00B050"/>
  </sheetPr>
  <dimension ref="A1:AR1328"/>
  <sheetViews>
    <sheetView tabSelected="1" zoomScaleNormal="100" workbookViewId="0">
      <pane ySplit="1" topLeftCell="A1049" activePane="bottomLeft" state="frozen"/>
      <selection activeCell="M271" sqref="M271"/>
      <selection pane="bottomLeft" activeCell="AB266" sqref="AB266"/>
    </sheetView>
  </sheetViews>
  <sheetFormatPr defaultColWidth="9" defaultRowHeight="19.5" x14ac:dyDescent="0.5"/>
  <cols>
    <col min="1" max="1" width="9" style="3" customWidth="1"/>
    <col min="2" max="2" width="11.28515625" style="13" customWidth="1"/>
    <col min="3" max="3" width="12" style="13" customWidth="1"/>
    <col min="4" max="5" width="10.42578125" style="13" customWidth="1"/>
    <col min="6" max="6" width="12.42578125" style="13" customWidth="1"/>
    <col min="7" max="7" width="12.42578125" style="12" customWidth="1"/>
    <col min="8" max="8" width="9.42578125" style="13" customWidth="1"/>
    <col min="9" max="9" width="20" style="13" customWidth="1"/>
    <col min="10" max="10" width="24.42578125" style="13" customWidth="1"/>
    <col min="11" max="11" width="14.7109375" style="13" customWidth="1"/>
    <col min="12" max="12" width="14.28515625" style="13" customWidth="1"/>
    <col min="13" max="14" width="24" style="13" customWidth="1"/>
    <col min="15" max="15" width="24.42578125" style="13" customWidth="1"/>
    <col min="16" max="16" width="10.7109375" style="59" bestFit="1" customWidth="1"/>
    <col min="17" max="17" width="9.140625" style="60" customWidth="1"/>
    <col min="18" max="18" width="11.42578125" style="60" customWidth="1"/>
    <col min="19" max="19" width="17.7109375" style="60" customWidth="1"/>
    <col min="20" max="20" width="12.42578125" style="13" customWidth="1"/>
    <col min="21" max="21" width="17.28515625" style="11" customWidth="1"/>
    <col min="22" max="22" width="12.28515625" style="11" customWidth="1"/>
    <col min="23" max="23" width="9.28515625" style="13" bestFit="1" customWidth="1"/>
    <col min="24" max="24" width="13.28515625" style="13" customWidth="1"/>
    <col min="25" max="25" width="12.7109375" style="12" customWidth="1"/>
    <col min="26" max="26" width="18.42578125" style="12" customWidth="1"/>
    <col min="27" max="27" width="12.85546875" style="12" customWidth="1"/>
    <col min="28" max="28" width="14.7109375" style="12" customWidth="1"/>
    <col min="29" max="29" width="14.140625" style="12" customWidth="1"/>
    <col min="30" max="30" width="17.140625" style="12" customWidth="1"/>
    <col min="31" max="31" width="13.85546875" style="12" customWidth="1"/>
    <col min="32" max="32" width="16" style="13" customWidth="1"/>
    <col min="33" max="33" width="9" style="13" customWidth="1"/>
    <col min="34" max="34" width="10.7109375" style="265" bestFit="1" customWidth="1"/>
    <col min="35" max="35" width="8.28515625" style="265" bestFit="1" customWidth="1"/>
    <col min="36" max="36" width="6.85546875" style="265" bestFit="1" customWidth="1"/>
    <col min="37" max="37" width="27.85546875" style="274" bestFit="1" customWidth="1"/>
    <col min="38" max="38" width="15.85546875" style="274" bestFit="1" customWidth="1"/>
    <col min="39" max="39" width="15.7109375" style="274" bestFit="1" customWidth="1"/>
    <col min="40" max="40" width="19.140625" style="274" bestFit="1" customWidth="1"/>
    <col min="41" max="41" width="26.7109375" style="274" bestFit="1" customWidth="1"/>
    <col min="42" max="42" width="10.85546875" style="269" bestFit="1" customWidth="1"/>
    <col min="43" max="43" width="10.42578125" style="269" bestFit="1" customWidth="1"/>
    <col min="44" max="44" width="11" style="269" bestFit="1" customWidth="1"/>
    <col min="45" max="16384" width="9" style="13"/>
  </cols>
  <sheetData>
    <row r="1" spans="1:44" s="11" customFormat="1" x14ac:dyDescent="0.5">
      <c r="A1" s="5" t="s">
        <v>14</v>
      </c>
      <c r="B1" s="51" t="s">
        <v>15</v>
      </c>
      <c r="C1" s="52" t="s">
        <v>0</v>
      </c>
      <c r="D1" s="51" t="s">
        <v>13</v>
      </c>
      <c r="E1" s="51" t="s">
        <v>16</v>
      </c>
      <c r="F1" s="51" t="s">
        <v>34</v>
      </c>
      <c r="G1" s="12" t="s">
        <v>124</v>
      </c>
      <c r="H1" s="12" t="s">
        <v>125</v>
      </c>
      <c r="I1" s="12" t="s">
        <v>17</v>
      </c>
      <c r="J1" s="53" t="s">
        <v>18</v>
      </c>
      <c r="K1" s="53" t="s">
        <v>2</v>
      </c>
      <c r="L1" s="15" t="s">
        <v>152</v>
      </c>
      <c r="M1" s="12" t="s">
        <v>5</v>
      </c>
      <c r="N1" s="12" t="s">
        <v>19</v>
      </c>
      <c r="O1" s="54" t="s">
        <v>20</v>
      </c>
      <c r="P1" s="55" t="s">
        <v>21</v>
      </c>
      <c r="Q1" s="56" t="s">
        <v>29</v>
      </c>
      <c r="R1" s="57" t="s">
        <v>32</v>
      </c>
      <c r="S1" s="58" t="s">
        <v>131</v>
      </c>
      <c r="T1" s="12" t="s">
        <v>30</v>
      </c>
      <c r="U1" s="11" t="s">
        <v>31</v>
      </c>
      <c r="V1" s="11" t="s">
        <v>468</v>
      </c>
      <c r="W1" s="51" t="s">
        <v>22</v>
      </c>
      <c r="X1" s="51" t="s">
        <v>23</v>
      </c>
      <c r="Y1" s="12" t="s">
        <v>35</v>
      </c>
      <c r="Z1" s="12" t="s">
        <v>10</v>
      </c>
      <c r="AA1" s="12" t="s">
        <v>36</v>
      </c>
      <c r="AB1" s="12" t="s">
        <v>24</v>
      </c>
      <c r="AC1" s="12" t="s">
        <v>25</v>
      </c>
      <c r="AD1" s="12" t="s">
        <v>26</v>
      </c>
      <c r="AE1" s="12" t="s">
        <v>27</v>
      </c>
      <c r="AF1" s="51" t="s">
        <v>28</v>
      </c>
      <c r="AG1" s="51"/>
      <c r="AH1" s="261" t="s">
        <v>0</v>
      </c>
      <c r="AI1" s="261" t="s">
        <v>15</v>
      </c>
      <c r="AJ1" s="261" t="s">
        <v>14</v>
      </c>
      <c r="AK1" s="261" t="s">
        <v>966</v>
      </c>
      <c r="AL1" s="261" t="s">
        <v>2</v>
      </c>
      <c r="AM1" s="262" t="s">
        <v>1012</v>
      </c>
      <c r="AN1" s="263" t="s">
        <v>5</v>
      </c>
      <c r="AO1" s="263" t="s">
        <v>1013</v>
      </c>
      <c r="AP1" s="267" t="s">
        <v>1014</v>
      </c>
      <c r="AQ1" s="267" t="s">
        <v>1015</v>
      </c>
      <c r="AR1" s="267" t="s">
        <v>1016</v>
      </c>
    </row>
    <row r="2" spans="1:44" s="16" customFormat="1" ht="16.5" hidden="1" customHeight="1" x14ac:dyDescent="0.5">
      <c r="A2" s="3">
        <f t="shared" ref="A2:A1314" si="0">YEAR(C2)</f>
        <v>2026</v>
      </c>
      <c r="B2" s="8">
        <f t="shared" ref="B2:B1314" si="1">MONTH(C2)</f>
        <v>1</v>
      </c>
      <c r="C2" s="6">
        <v>46023</v>
      </c>
      <c r="D2" s="15">
        <f t="shared" ref="D2:D1314" ca="1" si="2">TODAY()</f>
        <v>46097</v>
      </c>
      <c r="E2" s="8" t="str">
        <f t="shared" ref="E2:E1314" ca="1" si="3">DATEDIF(C2,D2,"M")&amp;"-Months"</f>
        <v>2-Months</v>
      </c>
      <c r="F2" s="8" t="str">
        <f>VLOOKUP(N2,Stock[#Data],5,FALSE)</f>
        <v>BE</v>
      </c>
      <c r="G2" s="61"/>
      <c r="H2" s="15"/>
      <c r="I2" s="49" t="s">
        <v>82</v>
      </c>
      <c r="J2" s="8" t="str">
        <f>VLOOKUP(I2,Customers[#Data],2,FALSE)</f>
        <v>ဒေါ်ထွန်းမေ</v>
      </c>
      <c r="K2" s="15" t="str">
        <f>VLOOKUP(I2,Customers[#Data],4,FALSE)</f>
        <v>Maw La Myaing</v>
      </c>
      <c r="L2" s="15" t="str">
        <f>VLOOKUP(I2,Customers[#Data],5,FALSE)</f>
        <v>WholeSales</v>
      </c>
      <c r="M2" s="7" t="s">
        <v>7</v>
      </c>
      <c r="N2" s="7" t="s">
        <v>128</v>
      </c>
      <c r="O2" s="14" t="str">
        <f>VLOOKUP(N2,Stock[#Data],2,FALSE)</f>
        <v>BE</v>
      </c>
      <c r="P2" s="44">
        <f>VLOOKUP(N2,Stock[#Data],3,FALSE)</f>
        <v>0</v>
      </c>
      <c r="Q2" s="3">
        <f>VLOOKUP(N2,Stock[#Data],4,FALSE)</f>
        <v>0</v>
      </c>
      <c r="R2" s="3"/>
      <c r="S2" s="8">
        <f>IFERROR(Table4[[#This Row],[Bottle]]/Table4[[#This Row],[ပါဝင်မှု]]+Table4[[#This Row],[SalesPK]],0)</f>
        <v>0</v>
      </c>
      <c r="T2" s="8"/>
      <c r="U2" s="10">
        <f>Table4[[#This Row],[ပါဝင်မှု]]*Table4[[#This Row],[SalesPK]]+Table4[[#This Row],[Bottle]]</f>
        <v>0</v>
      </c>
      <c r="V2" s="10">
        <f>Table4[[#This Row],[SalesBot]]*Table4[[#This Row],[ML]]</f>
        <v>0</v>
      </c>
      <c r="W2" s="1">
        <f>VLOOKUP(N2,Stock[#Data],6,FALSE)</f>
        <v>0</v>
      </c>
      <c r="X2" s="8">
        <f>+Table4[[#This Row],[SalesBot]]*Table4[[#This Row],[နှုံး]]</f>
        <v>0</v>
      </c>
      <c r="Y2" s="7">
        <v>1944000</v>
      </c>
      <c r="Z2" s="8"/>
      <c r="AA2" s="8"/>
      <c r="AB2" s="9">
        <v>46024</v>
      </c>
      <c r="AC2" s="7">
        <v>1944000</v>
      </c>
      <c r="AD2" s="8"/>
      <c r="AE2" s="8"/>
      <c r="AF2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" s="24"/>
      <c r="AH2" s="266">
        <f>Table4[[#This Row],[Date]]</f>
        <v>46023</v>
      </c>
      <c r="AI2" s="264" t="str">
        <f>TEXT(AH2,"mmm")</f>
        <v>Jan</v>
      </c>
      <c r="AJ2" s="264" t="str">
        <f>TEXT(AH2,"yyyy")</f>
        <v>2026</v>
      </c>
      <c r="AK2" s="270" t="str">
        <f>Table4[[#This Row],[ကုန်သည်အမည်]]</f>
        <v>ဒေါ်ထွန်းမေ</v>
      </c>
      <c r="AL2" s="270" t="str">
        <f>Table4[[#This Row],[Township]]</f>
        <v>Maw La Myaing</v>
      </c>
      <c r="AM2" s="271" t="str">
        <f>Table4[[#This Row],[WholeSales]]</f>
        <v>WholeSales</v>
      </c>
      <c r="AN2" s="272" t="str">
        <f>Table4[[#This Row],[Particular]]</f>
        <v>ကုန်ရောင်း(အကြွေး)</v>
      </c>
      <c r="AO2" s="273" t="str">
        <f>Table4[[#This Row],[StockName]]</f>
        <v>BE</v>
      </c>
      <c r="AP2" s="268">
        <f>Table4[[#This Row],[Parking]]</f>
        <v>0</v>
      </c>
      <c r="AQ2" s="268">
        <f>Table4[[#This Row],[SalesBot]]</f>
        <v>0</v>
      </c>
      <c r="AR2" s="268">
        <f>Table4[[#This Row],[Liter]]</f>
        <v>0</v>
      </c>
    </row>
    <row r="3" spans="1:44" s="16" customFormat="1" ht="18.75" hidden="1" customHeight="1" x14ac:dyDescent="0.5">
      <c r="A3" s="3">
        <f t="shared" si="0"/>
        <v>2026</v>
      </c>
      <c r="B3" s="8">
        <f t="shared" si="1"/>
        <v>1</v>
      </c>
      <c r="C3" s="6">
        <v>46023</v>
      </c>
      <c r="D3" s="15">
        <f t="shared" ca="1" si="2"/>
        <v>46097</v>
      </c>
      <c r="E3" s="8" t="str">
        <f t="shared" ca="1" si="3"/>
        <v>2-Months</v>
      </c>
      <c r="F3" s="8" t="str">
        <f>VLOOKUP(N3,Stock[#Data],5,FALSE)</f>
        <v>BE</v>
      </c>
      <c r="G3" s="61"/>
      <c r="H3" s="15"/>
      <c r="I3" s="49" t="s">
        <v>538</v>
      </c>
      <c r="J3" s="8" t="str">
        <f>VLOOKUP(I3,Customers[#Data],2,FALSE)</f>
        <v>ဒေါ်နွယ်နွယ်ရီ(ရွှေတောင်ကြား)</v>
      </c>
      <c r="K3" s="15" t="str">
        <f>VLOOKUP(I3,Customers[#Data],4,FALSE)</f>
        <v>Yay</v>
      </c>
      <c r="L3" s="15" t="str">
        <f>VLOOKUP(I3,Customers[#Data],5,FALSE)</f>
        <v>WholeSales</v>
      </c>
      <c r="M3" s="7" t="s">
        <v>7</v>
      </c>
      <c r="N3" s="7" t="s">
        <v>128</v>
      </c>
      <c r="O3" s="14" t="str">
        <f>VLOOKUP(N3,Stock[#Data],2,FALSE)</f>
        <v>BE</v>
      </c>
      <c r="P3" s="44">
        <f>VLOOKUP(N3,Stock[#Data],3,FALSE)</f>
        <v>0</v>
      </c>
      <c r="Q3" s="3">
        <f>VLOOKUP(N3,Stock[#Data],4,FALSE)</f>
        <v>0</v>
      </c>
      <c r="R3" s="3"/>
      <c r="S3" s="8">
        <f>IFERROR(Table4[[#This Row],[Bottle]]/Table4[[#This Row],[ပါဝင်မှု]]+Table4[[#This Row],[SalesPK]],0)</f>
        <v>0</v>
      </c>
      <c r="T3" s="8"/>
      <c r="U3" s="10">
        <f>Table4[[#This Row],[ပါဝင်မှု]]*Table4[[#This Row],[SalesPK]]+Table4[[#This Row],[Bottle]]</f>
        <v>0</v>
      </c>
      <c r="V3" s="10">
        <f>Table4[[#This Row],[SalesBot]]*Table4[[#This Row],[ML]]</f>
        <v>0</v>
      </c>
      <c r="W3" s="1">
        <f>VLOOKUP(N3,Stock[#Data],6,FALSE)</f>
        <v>0</v>
      </c>
      <c r="X3" s="8">
        <f>+Table4[[#This Row],[SalesBot]]*Table4[[#This Row],[နှုံး]]</f>
        <v>0</v>
      </c>
      <c r="Y3" s="387">
        <v>9450000</v>
      </c>
      <c r="Z3" s="8"/>
      <c r="AA3" s="8"/>
      <c r="AB3" s="9">
        <v>46028</v>
      </c>
      <c r="AC3" s="7">
        <v>2052000</v>
      </c>
      <c r="AD3" s="25">
        <v>46031</v>
      </c>
      <c r="AE3" s="8">
        <f>5752000+1646000</f>
        <v>7398000</v>
      </c>
      <c r="AF3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" s="24"/>
      <c r="AH3" s="266">
        <f>Table4[[#This Row],[Date]]</f>
        <v>46023</v>
      </c>
      <c r="AI3" s="264" t="str">
        <f t="shared" ref="AI3:AI66" si="4">TEXT(AH3,"mmm")</f>
        <v>Jan</v>
      </c>
      <c r="AJ3" s="264" t="str">
        <f t="shared" ref="AJ3:AJ66" si="5">TEXT(AH3,"yyyy")</f>
        <v>2026</v>
      </c>
      <c r="AK3" s="270" t="str">
        <f>Table4[[#This Row],[ကုန်သည်အမည်]]</f>
        <v>ဒေါ်နွယ်နွယ်ရီ(ရွှေတောင်ကြား)</v>
      </c>
      <c r="AL3" s="270" t="str">
        <f>Table4[[#This Row],[Township]]</f>
        <v>Yay</v>
      </c>
      <c r="AM3" s="271" t="str">
        <f>Table4[[#This Row],[WholeSales]]</f>
        <v>WholeSales</v>
      </c>
      <c r="AN3" s="272" t="str">
        <f>Table4[[#This Row],[Particular]]</f>
        <v>ကုန်ရောင်း(အကြွေး)</v>
      </c>
      <c r="AO3" s="273" t="str">
        <f>Table4[[#This Row],[StockName]]</f>
        <v>BE</v>
      </c>
      <c r="AP3" s="268">
        <f>Table4[[#This Row],[Parking]]</f>
        <v>0</v>
      </c>
      <c r="AQ3" s="268">
        <f>Table4[[#This Row],[SalesBot]]</f>
        <v>0</v>
      </c>
      <c r="AR3" s="268">
        <f>Table4[[#This Row],[Liter]]</f>
        <v>0</v>
      </c>
    </row>
    <row r="4" spans="1:44" s="16" customFormat="1" hidden="1" x14ac:dyDescent="0.5">
      <c r="A4" s="3">
        <f t="shared" si="0"/>
        <v>2026</v>
      </c>
      <c r="B4" s="8">
        <f t="shared" si="1"/>
        <v>1</v>
      </c>
      <c r="C4" s="6">
        <v>46023</v>
      </c>
      <c r="D4" s="15">
        <f t="shared" ca="1" si="2"/>
        <v>46097</v>
      </c>
      <c r="E4" s="8" t="str">
        <f t="shared" ca="1" si="3"/>
        <v>2-Months</v>
      </c>
      <c r="F4" s="8" t="str">
        <f>VLOOKUP(N4,Stock[#Data],5,FALSE)</f>
        <v>BE</v>
      </c>
      <c r="G4" s="61"/>
      <c r="H4" s="15"/>
      <c r="I4" s="7" t="s">
        <v>538</v>
      </c>
      <c r="J4" s="8" t="str">
        <f>VLOOKUP(I4,Customers[#Data],2,FALSE)</f>
        <v>ဒေါ်နွယ်နွယ်ရီ(ရွှေတောင်ကြား)</v>
      </c>
      <c r="K4" s="15" t="str">
        <f>VLOOKUP(I4,Customers[#Data],4,FALSE)</f>
        <v>Yay</v>
      </c>
      <c r="L4" s="15" t="str">
        <f>VLOOKUP(I4,Customers[#Data],5,FALSE)</f>
        <v>WholeSales</v>
      </c>
      <c r="M4" s="7" t="s">
        <v>7</v>
      </c>
      <c r="N4" s="7" t="s">
        <v>128</v>
      </c>
      <c r="O4" s="14" t="str">
        <f>VLOOKUP(N4,Stock[#Data],2,FALSE)</f>
        <v>BE</v>
      </c>
      <c r="P4" s="44">
        <f>VLOOKUP(N4,Stock[#Data],3,FALSE)</f>
        <v>0</v>
      </c>
      <c r="Q4" s="3">
        <f>VLOOKUP(N4,Stock[#Data],4,FALSE)</f>
        <v>0</v>
      </c>
      <c r="R4" s="3"/>
      <c r="S4" s="8">
        <f>IFERROR(Table4[[#This Row],[Bottle]]/Table4[[#This Row],[ပါဝင်မှု]]+Table4[[#This Row],[SalesPK]],0)</f>
        <v>0</v>
      </c>
      <c r="T4" s="8"/>
      <c r="U4" s="10">
        <f>Table4[[#This Row],[ပါဝင်မှု]]*Table4[[#This Row],[SalesPK]]+Table4[[#This Row],[Bottle]]</f>
        <v>0</v>
      </c>
      <c r="V4" s="10">
        <f>Table4[[#This Row],[SalesBot]]*Table4[[#This Row],[ML]]</f>
        <v>0</v>
      </c>
      <c r="W4" s="1">
        <f>VLOOKUP(N4,Stock[#Data],6,FALSE)</f>
        <v>0</v>
      </c>
      <c r="X4" s="8">
        <f>+Table4[[#This Row],[SalesBot]]*Table4[[#This Row],[နှုံး]]</f>
        <v>0</v>
      </c>
      <c r="Y4" s="387">
        <v>9450000</v>
      </c>
      <c r="Z4" s="8"/>
      <c r="AA4" s="8"/>
      <c r="AB4" s="9">
        <v>46034</v>
      </c>
      <c r="AC4" s="7">
        <v>6156000</v>
      </c>
      <c r="AD4" s="25">
        <v>46037</v>
      </c>
      <c r="AE4" s="8">
        <f>2052000+1242000</f>
        <v>3294000</v>
      </c>
      <c r="AF4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4" s="24"/>
      <c r="AH4" s="266">
        <f>Table4[[#This Row],[Date]]</f>
        <v>46023</v>
      </c>
      <c r="AI4" s="264" t="str">
        <f t="shared" si="4"/>
        <v>Jan</v>
      </c>
      <c r="AJ4" s="264" t="str">
        <f t="shared" si="5"/>
        <v>2026</v>
      </c>
      <c r="AK4" s="270" t="str">
        <f>Table4[[#This Row],[ကုန်သည်အမည်]]</f>
        <v>ဒေါ်နွယ်နွယ်ရီ(ရွှေတောင်ကြား)</v>
      </c>
      <c r="AL4" s="270" t="str">
        <f>Table4[[#This Row],[Township]]</f>
        <v>Yay</v>
      </c>
      <c r="AM4" s="271" t="str">
        <f>Table4[[#This Row],[WholeSales]]</f>
        <v>WholeSales</v>
      </c>
      <c r="AN4" s="272" t="str">
        <f>Table4[[#This Row],[Particular]]</f>
        <v>ကုန်ရောင်း(အကြွေး)</v>
      </c>
      <c r="AO4" s="273" t="str">
        <f>Table4[[#This Row],[StockName]]</f>
        <v>BE</v>
      </c>
      <c r="AP4" s="268">
        <f>Table4[[#This Row],[Parking]]</f>
        <v>0</v>
      </c>
      <c r="AQ4" s="268">
        <f>Table4[[#This Row],[SalesBot]]</f>
        <v>0</v>
      </c>
      <c r="AR4" s="268">
        <f>Table4[[#This Row],[Liter]]</f>
        <v>0</v>
      </c>
    </row>
    <row r="5" spans="1:44" s="16" customFormat="1" hidden="1" x14ac:dyDescent="0.5">
      <c r="A5" s="3">
        <f t="shared" si="0"/>
        <v>2026</v>
      </c>
      <c r="B5" s="8">
        <f t="shared" si="1"/>
        <v>1</v>
      </c>
      <c r="C5" s="6">
        <v>46023</v>
      </c>
      <c r="D5" s="15">
        <f t="shared" ca="1" si="2"/>
        <v>46097</v>
      </c>
      <c r="E5" s="8" t="str">
        <f t="shared" ca="1" si="3"/>
        <v>2-Months</v>
      </c>
      <c r="F5" s="8" t="str">
        <f>VLOOKUP(N5,Stock[#Data],5,FALSE)</f>
        <v>BE</v>
      </c>
      <c r="G5" s="61"/>
      <c r="H5" s="15"/>
      <c r="I5" s="7" t="s">
        <v>538</v>
      </c>
      <c r="J5" s="8" t="str">
        <f>VLOOKUP(I5,Customers[#Data],2,FALSE)</f>
        <v>ဒေါ်နွယ်နွယ်ရီ(ရွှေတောင်ကြား)</v>
      </c>
      <c r="K5" s="15" t="str">
        <f>VLOOKUP(I5,Customers[#Data],4,FALSE)</f>
        <v>Yay</v>
      </c>
      <c r="L5" s="15" t="str">
        <f>VLOOKUP(I5,Customers[#Data],5,FALSE)</f>
        <v>WholeSales</v>
      </c>
      <c r="M5" s="7" t="s">
        <v>7</v>
      </c>
      <c r="N5" s="7" t="s">
        <v>128</v>
      </c>
      <c r="O5" s="14" t="str">
        <f>VLOOKUP(N5,Stock[#Data],2,FALSE)</f>
        <v>BE</v>
      </c>
      <c r="P5" s="44">
        <f>VLOOKUP(N5,Stock[#Data],3,FALSE)</f>
        <v>0</v>
      </c>
      <c r="Q5" s="3">
        <f>VLOOKUP(N5,Stock[#Data],4,FALSE)</f>
        <v>0</v>
      </c>
      <c r="R5" s="3"/>
      <c r="S5" s="8">
        <f>IFERROR(Table4[[#This Row],[Bottle]]/Table4[[#This Row],[ပါဝင်မှု]]+Table4[[#This Row],[SalesPK]],0)</f>
        <v>0</v>
      </c>
      <c r="T5" s="8"/>
      <c r="U5" s="10">
        <f>Table4[[#This Row],[ပါဝင်မှု]]*Table4[[#This Row],[SalesPK]]+Table4[[#This Row],[Bottle]]</f>
        <v>0</v>
      </c>
      <c r="V5" s="10">
        <f>Table4[[#This Row],[SalesBot]]*Table4[[#This Row],[ML]]</f>
        <v>0</v>
      </c>
      <c r="W5" s="1">
        <f>VLOOKUP(N5,Stock[#Data],6,FALSE)</f>
        <v>0</v>
      </c>
      <c r="X5" s="8">
        <f>+Table4[[#This Row],[SalesBot]]*Table4[[#This Row],[နှုံး]]</f>
        <v>0</v>
      </c>
      <c r="Y5" s="387">
        <v>1890000</v>
      </c>
      <c r="Z5" s="8"/>
      <c r="AA5" s="8"/>
      <c r="AB5" s="9">
        <v>46039</v>
      </c>
      <c r="AC5" s="7">
        <v>1890000</v>
      </c>
      <c r="AD5" s="25"/>
      <c r="AE5" s="8"/>
      <c r="AF5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5" s="24"/>
      <c r="AH5" s="266">
        <f>Table4[[#This Row],[Date]]</f>
        <v>46023</v>
      </c>
      <c r="AI5" s="264" t="str">
        <f t="shared" si="4"/>
        <v>Jan</v>
      </c>
      <c r="AJ5" s="264" t="str">
        <f t="shared" si="5"/>
        <v>2026</v>
      </c>
      <c r="AK5" s="270" t="str">
        <f>Table4[[#This Row],[ကုန်သည်အမည်]]</f>
        <v>ဒေါ်နွယ်နွယ်ရီ(ရွှေတောင်ကြား)</v>
      </c>
      <c r="AL5" s="270" t="str">
        <f>Table4[[#This Row],[Township]]</f>
        <v>Yay</v>
      </c>
      <c r="AM5" s="271" t="str">
        <f>Table4[[#This Row],[WholeSales]]</f>
        <v>WholeSales</v>
      </c>
      <c r="AN5" s="272" t="str">
        <f>Table4[[#This Row],[Particular]]</f>
        <v>ကုန်ရောင်း(အကြွေး)</v>
      </c>
      <c r="AO5" s="273" t="str">
        <f>Table4[[#This Row],[StockName]]</f>
        <v>BE</v>
      </c>
      <c r="AP5" s="268">
        <f>Table4[[#This Row],[Parking]]</f>
        <v>0</v>
      </c>
      <c r="AQ5" s="268">
        <f>Table4[[#This Row],[SalesBot]]</f>
        <v>0</v>
      </c>
      <c r="AR5" s="268">
        <f>Table4[[#This Row],[Liter]]</f>
        <v>0</v>
      </c>
    </row>
    <row r="6" spans="1:44" s="16" customFormat="1" hidden="1" x14ac:dyDescent="0.5">
      <c r="A6" s="3">
        <f t="shared" si="0"/>
        <v>2026</v>
      </c>
      <c r="B6" s="8">
        <f t="shared" si="1"/>
        <v>1</v>
      </c>
      <c r="C6" s="6">
        <v>46023</v>
      </c>
      <c r="D6" s="15">
        <f t="shared" ca="1" si="2"/>
        <v>46097</v>
      </c>
      <c r="E6" s="8" t="str">
        <f t="shared" ca="1" si="3"/>
        <v>2-Months</v>
      </c>
      <c r="F6" s="8" t="str">
        <f>VLOOKUP(N6,Stock[#Data],5,FALSE)</f>
        <v>BE</v>
      </c>
      <c r="G6" s="61"/>
      <c r="H6" s="15"/>
      <c r="I6" s="7" t="s">
        <v>538</v>
      </c>
      <c r="J6" s="8" t="str">
        <f>VLOOKUP(I6,Customers[#Data],2,FALSE)</f>
        <v>ဒေါ်နွယ်နွယ်ရီ(ရွှေတောင်ကြား)</v>
      </c>
      <c r="K6" s="15" t="str">
        <f>VLOOKUP(I6,Customers[#Data],4,FALSE)</f>
        <v>Yay</v>
      </c>
      <c r="L6" s="15" t="str">
        <f>VLOOKUP(I6,Customers[#Data],5,FALSE)</f>
        <v>WholeSales</v>
      </c>
      <c r="M6" s="7" t="s">
        <v>7</v>
      </c>
      <c r="N6" s="7" t="s">
        <v>128</v>
      </c>
      <c r="O6" s="14" t="str">
        <f>VLOOKUP(N6,Stock[#Data],2,FALSE)</f>
        <v>BE</v>
      </c>
      <c r="P6" s="44">
        <f>VLOOKUP(N6,Stock[#Data],3,FALSE)</f>
        <v>0</v>
      </c>
      <c r="Q6" s="3">
        <f>VLOOKUP(N6,Stock[#Data],4,FALSE)</f>
        <v>0</v>
      </c>
      <c r="R6" s="3"/>
      <c r="S6" s="8">
        <f>IFERROR(Table4[[#This Row],[Bottle]]/Table4[[#This Row],[ပါဝင်မှု]]+Table4[[#This Row],[SalesPK]],0)</f>
        <v>0</v>
      </c>
      <c r="T6" s="8"/>
      <c r="U6" s="10">
        <f>Table4[[#This Row],[ပါဝင်မှု]]*Table4[[#This Row],[SalesPK]]+Table4[[#This Row],[Bottle]]</f>
        <v>0</v>
      </c>
      <c r="V6" s="10">
        <f>Table4[[#This Row],[SalesBot]]*Table4[[#This Row],[ML]]</f>
        <v>0</v>
      </c>
      <c r="W6" s="1">
        <f>VLOOKUP(N6,Stock[#Data],6,FALSE)</f>
        <v>0</v>
      </c>
      <c r="X6" s="8">
        <f>+Table4[[#This Row],[SalesBot]]*Table4[[#This Row],[နှုံး]]</f>
        <v>0</v>
      </c>
      <c r="Y6" s="387">
        <v>7560000</v>
      </c>
      <c r="Z6" s="8"/>
      <c r="AA6" s="8"/>
      <c r="AB6" s="9">
        <v>46039</v>
      </c>
      <c r="AC6" s="7">
        <v>7560000</v>
      </c>
      <c r="AD6" s="8"/>
      <c r="AE6" s="8"/>
      <c r="AF6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6" s="24"/>
      <c r="AH6" s="266">
        <f>Table4[[#This Row],[Date]]</f>
        <v>46023</v>
      </c>
      <c r="AI6" s="264" t="str">
        <f t="shared" si="4"/>
        <v>Jan</v>
      </c>
      <c r="AJ6" s="264" t="str">
        <f t="shared" si="5"/>
        <v>2026</v>
      </c>
      <c r="AK6" s="270" t="str">
        <f>Table4[[#This Row],[ကုန်သည်အမည်]]</f>
        <v>ဒေါ်နွယ်နွယ်ရီ(ရွှေတောင်ကြား)</v>
      </c>
      <c r="AL6" s="270" t="str">
        <f>Table4[[#This Row],[Township]]</f>
        <v>Yay</v>
      </c>
      <c r="AM6" s="271" t="str">
        <f>Table4[[#This Row],[WholeSales]]</f>
        <v>WholeSales</v>
      </c>
      <c r="AN6" s="272" t="str">
        <f>Table4[[#This Row],[Particular]]</f>
        <v>ကုန်ရောင်း(အကြွေး)</v>
      </c>
      <c r="AO6" s="273" t="str">
        <f>Table4[[#This Row],[StockName]]</f>
        <v>BE</v>
      </c>
      <c r="AP6" s="268">
        <f>Table4[[#This Row],[Parking]]</f>
        <v>0</v>
      </c>
      <c r="AQ6" s="268">
        <f>Table4[[#This Row],[SalesBot]]</f>
        <v>0</v>
      </c>
      <c r="AR6" s="268">
        <f>Table4[[#This Row],[Liter]]</f>
        <v>0</v>
      </c>
    </row>
    <row r="7" spans="1:44" s="16" customFormat="1" hidden="1" x14ac:dyDescent="0.5">
      <c r="A7" s="3">
        <f t="shared" si="0"/>
        <v>2026</v>
      </c>
      <c r="B7" s="8">
        <f t="shared" si="1"/>
        <v>1</v>
      </c>
      <c r="C7" s="6">
        <v>46023</v>
      </c>
      <c r="D7" s="15">
        <f t="shared" ca="1" si="2"/>
        <v>46097</v>
      </c>
      <c r="E7" s="8" t="str">
        <f t="shared" ca="1" si="3"/>
        <v>2-Months</v>
      </c>
      <c r="F7" s="8" t="str">
        <f>VLOOKUP(N7,Stock[#Data],5,FALSE)</f>
        <v>BE</v>
      </c>
      <c r="G7" s="61"/>
      <c r="H7" s="15"/>
      <c r="I7" s="7" t="s">
        <v>538</v>
      </c>
      <c r="J7" s="8" t="str">
        <f>VLOOKUP(I7,Customers[#Data],2,FALSE)</f>
        <v>ဒေါ်နွယ်နွယ်ရီ(ရွှေတောင်ကြား)</v>
      </c>
      <c r="K7" s="15" t="str">
        <f>VLOOKUP(I7,Customers[#Data],4,FALSE)</f>
        <v>Yay</v>
      </c>
      <c r="L7" s="15" t="str">
        <f>VLOOKUP(I7,Customers[#Data],5,FALSE)</f>
        <v>WholeSales</v>
      </c>
      <c r="M7" s="7" t="s">
        <v>7</v>
      </c>
      <c r="N7" s="7" t="s">
        <v>128</v>
      </c>
      <c r="O7" s="14" t="str">
        <f>VLOOKUP(N7,Stock[#Data],2,FALSE)</f>
        <v>BE</v>
      </c>
      <c r="P7" s="44">
        <f>VLOOKUP(N7,Stock[#Data],3,FALSE)</f>
        <v>0</v>
      </c>
      <c r="Q7" s="3">
        <f>VLOOKUP(N7,Stock[#Data],4,FALSE)</f>
        <v>0</v>
      </c>
      <c r="R7" s="3"/>
      <c r="S7" s="8">
        <f>IFERROR(Table4[[#This Row],[Bottle]]/Table4[[#This Row],[ပါဝင်မှု]]+Table4[[#This Row],[SalesPK]],0)</f>
        <v>0</v>
      </c>
      <c r="T7" s="8"/>
      <c r="U7" s="10">
        <f>Table4[[#This Row],[ပါဝင်မှု]]*Table4[[#This Row],[SalesPK]]+Table4[[#This Row],[Bottle]]</f>
        <v>0</v>
      </c>
      <c r="V7" s="10">
        <f>Table4[[#This Row],[SalesBot]]*Table4[[#This Row],[ML]]</f>
        <v>0</v>
      </c>
      <c r="W7" s="1">
        <f>VLOOKUP(N7,Stock[#Data],6,FALSE)</f>
        <v>0</v>
      </c>
      <c r="X7" s="8">
        <f>+Table4[[#This Row],[SalesBot]]*Table4[[#This Row],[နှုံး]]</f>
        <v>0</v>
      </c>
      <c r="Y7" s="387">
        <v>9450000</v>
      </c>
      <c r="Z7" s="8"/>
      <c r="AA7" s="8"/>
      <c r="AB7" s="9">
        <v>46039</v>
      </c>
      <c r="AC7" s="7">
        <v>810000</v>
      </c>
      <c r="AD7" s="25">
        <v>46043</v>
      </c>
      <c r="AE7" s="8">
        <v>3740000</v>
      </c>
      <c r="AF7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4900000</v>
      </c>
      <c r="AG7" s="24"/>
      <c r="AH7" s="266">
        <f>Table4[[#This Row],[Date]]</f>
        <v>46023</v>
      </c>
      <c r="AI7" s="264" t="str">
        <f t="shared" si="4"/>
        <v>Jan</v>
      </c>
      <c r="AJ7" s="264" t="str">
        <f t="shared" si="5"/>
        <v>2026</v>
      </c>
      <c r="AK7" s="270" t="str">
        <f>Table4[[#This Row],[ကုန်သည်အမည်]]</f>
        <v>ဒေါ်နွယ်နွယ်ရီ(ရွှေတောင်ကြား)</v>
      </c>
      <c r="AL7" s="270" t="str">
        <f>Table4[[#This Row],[Township]]</f>
        <v>Yay</v>
      </c>
      <c r="AM7" s="271" t="str">
        <f>Table4[[#This Row],[WholeSales]]</f>
        <v>WholeSales</v>
      </c>
      <c r="AN7" s="272" t="str">
        <f>Table4[[#This Row],[Particular]]</f>
        <v>ကုန်ရောင်း(အကြွေး)</v>
      </c>
      <c r="AO7" s="273" t="str">
        <f>Table4[[#This Row],[StockName]]</f>
        <v>BE</v>
      </c>
      <c r="AP7" s="268">
        <f>Table4[[#This Row],[Parking]]</f>
        <v>0</v>
      </c>
      <c r="AQ7" s="268">
        <f>Table4[[#This Row],[SalesBot]]</f>
        <v>0</v>
      </c>
      <c r="AR7" s="268">
        <f>Table4[[#This Row],[Liter]]</f>
        <v>0</v>
      </c>
    </row>
    <row r="8" spans="1:44" s="16" customFormat="1" hidden="1" x14ac:dyDescent="0.5">
      <c r="A8" s="3">
        <f t="shared" si="0"/>
        <v>2026</v>
      </c>
      <c r="B8" s="8">
        <f t="shared" si="1"/>
        <v>1</v>
      </c>
      <c r="C8" s="6">
        <v>46023</v>
      </c>
      <c r="D8" s="15">
        <f t="shared" ca="1" si="2"/>
        <v>46097</v>
      </c>
      <c r="E8" s="8" t="str">
        <f t="shared" ca="1" si="3"/>
        <v>2-Months</v>
      </c>
      <c r="F8" s="8" t="str">
        <f>VLOOKUP(N8,Stock[#Data],5,FALSE)</f>
        <v>BE</v>
      </c>
      <c r="G8" s="61"/>
      <c r="H8" s="15"/>
      <c r="I8" s="7" t="s">
        <v>538</v>
      </c>
      <c r="J8" s="8" t="str">
        <f>VLOOKUP(I8,Customers[#Data],2,FALSE)</f>
        <v>ဒေါ်နွယ်နွယ်ရီ(ရွှေတောင်ကြား)</v>
      </c>
      <c r="K8" s="15" t="str">
        <f>VLOOKUP(I8,Customers[#Data],4,FALSE)</f>
        <v>Yay</v>
      </c>
      <c r="L8" s="15" t="str">
        <f>VLOOKUP(I8,Customers[#Data],5,FALSE)</f>
        <v>WholeSales</v>
      </c>
      <c r="M8" s="7" t="s">
        <v>7</v>
      </c>
      <c r="N8" s="7" t="s">
        <v>128</v>
      </c>
      <c r="O8" s="14" t="str">
        <f>VLOOKUP(N8,Stock[#Data],2,FALSE)</f>
        <v>BE</v>
      </c>
      <c r="P8" s="44">
        <f>VLOOKUP(N8,Stock[#Data],3,FALSE)</f>
        <v>0</v>
      </c>
      <c r="Q8" s="3">
        <f>VLOOKUP(N8,Stock[#Data],4,FALSE)</f>
        <v>0</v>
      </c>
      <c r="R8" s="3"/>
      <c r="S8" s="8">
        <f>IFERROR(Table4[[#This Row],[Bottle]]/Table4[[#This Row],[ပါဝင်မှု]]+Table4[[#This Row],[SalesPK]],0)</f>
        <v>0</v>
      </c>
      <c r="T8" s="8"/>
      <c r="U8" s="10">
        <f>Table4[[#This Row],[ပါဝင်မှု]]*Table4[[#This Row],[SalesPK]]+Table4[[#This Row],[Bottle]]</f>
        <v>0</v>
      </c>
      <c r="V8" s="10">
        <f>Table4[[#This Row],[SalesBot]]*Table4[[#This Row],[ML]]</f>
        <v>0</v>
      </c>
      <c r="W8" s="1">
        <f>VLOOKUP(N8,Stock[#Data],6,FALSE)</f>
        <v>0</v>
      </c>
      <c r="X8" s="8">
        <f>+Table4[[#This Row],[SalesBot]]*Table4[[#This Row],[နှုံး]]</f>
        <v>0</v>
      </c>
      <c r="Y8" s="387">
        <v>2052000</v>
      </c>
      <c r="Z8" s="8"/>
      <c r="AA8" s="8"/>
      <c r="AB8" s="9">
        <v>46043</v>
      </c>
      <c r="AC8" s="7">
        <v>2052000</v>
      </c>
      <c r="AD8" s="8"/>
      <c r="AE8" s="8"/>
      <c r="AF8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8" s="24"/>
      <c r="AH8" s="266">
        <f>Table4[[#This Row],[Date]]</f>
        <v>46023</v>
      </c>
      <c r="AI8" s="264" t="str">
        <f t="shared" si="4"/>
        <v>Jan</v>
      </c>
      <c r="AJ8" s="264" t="str">
        <f t="shared" si="5"/>
        <v>2026</v>
      </c>
      <c r="AK8" s="270" t="str">
        <f>Table4[[#This Row],[ကုန်သည်အမည်]]</f>
        <v>ဒေါ်နွယ်နွယ်ရီ(ရွှေတောင်ကြား)</v>
      </c>
      <c r="AL8" s="270" t="str">
        <f>Table4[[#This Row],[Township]]</f>
        <v>Yay</v>
      </c>
      <c r="AM8" s="271" t="str">
        <f>Table4[[#This Row],[WholeSales]]</f>
        <v>WholeSales</v>
      </c>
      <c r="AN8" s="272" t="str">
        <f>Table4[[#This Row],[Particular]]</f>
        <v>ကုန်ရောင်း(အကြွေး)</v>
      </c>
      <c r="AO8" s="273" t="str">
        <f>Table4[[#This Row],[StockName]]</f>
        <v>BE</v>
      </c>
      <c r="AP8" s="268">
        <f>Table4[[#This Row],[Parking]]</f>
        <v>0</v>
      </c>
      <c r="AQ8" s="268">
        <f>Table4[[#This Row],[SalesBot]]</f>
        <v>0</v>
      </c>
      <c r="AR8" s="268">
        <f>Table4[[#This Row],[Liter]]</f>
        <v>0</v>
      </c>
    </row>
    <row r="9" spans="1:44" s="16" customFormat="1" hidden="1" x14ac:dyDescent="0.5">
      <c r="A9" s="3">
        <f t="shared" si="0"/>
        <v>2026</v>
      </c>
      <c r="B9" s="8">
        <f t="shared" si="1"/>
        <v>1</v>
      </c>
      <c r="C9" s="6">
        <v>46023</v>
      </c>
      <c r="D9" s="15">
        <f t="shared" ca="1" si="2"/>
        <v>46097</v>
      </c>
      <c r="E9" s="8" t="str">
        <f t="shared" ca="1" si="3"/>
        <v>2-Months</v>
      </c>
      <c r="F9" s="8" t="str">
        <f>VLOOKUP(N9,Stock[#Data],5,FALSE)</f>
        <v>BE</v>
      </c>
      <c r="G9" s="61"/>
      <c r="H9" s="15"/>
      <c r="I9" s="49" t="s">
        <v>94</v>
      </c>
      <c r="J9" s="8" t="str">
        <f>VLOOKUP(I9,Customers[#Data],2,FALSE)</f>
        <v>ကိုထွန်းနိုင်</v>
      </c>
      <c r="K9" s="15" t="str">
        <f>VLOOKUP(I9,Customers[#Data],4,FALSE)</f>
        <v>Yay</v>
      </c>
      <c r="L9" s="15" t="str">
        <f>VLOOKUP(I9,Customers[#Data],5,FALSE)</f>
        <v>WholeSales</v>
      </c>
      <c r="M9" s="7" t="s">
        <v>7</v>
      </c>
      <c r="N9" s="7" t="s">
        <v>128</v>
      </c>
      <c r="O9" s="14" t="str">
        <f>VLOOKUP(N9,Stock[#Data],2,FALSE)</f>
        <v>BE</v>
      </c>
      <c r="P9" s="44">
        <f>VLOOKUP(N9,Stock[#Data],3,FALSE)</f>
        <v>0</v>
      </c>
      <c r="Q9" s="3">
        <f>VLOOKUP(N9,Stock[#Data],4,FALSE)</f>
        <v>0</v>
      </c>
      <c r="R9" s="3"/>
      <c r="S9" s="8">
        <f>IFERROR(Table4[[#This Row],[Bottle]]/Table4[[#This Row],[ပါဝင်မှု]]+Table4[[#This Row],[SalesPK]],0)</f>
        <v>0</v>
      </c>
      <c r="T9" s="8"/>
      <c r="U9" s="10">
        <f>Table4[[#This Row],[ပါဝင်မှု]]*Table4[[#This Row],[SalesPK]]+Table4[[#This Row],[Bottle]]</f>
        <v>0</v>
      </c>
      <c r="V9" s="10">
        <f>Table4[[#This Row],[SalesBot]]*Table4[[#This Row],[ML]]</f>
        <v>0</v>
      </c>
      <c r="W9" s="1">
        <f>VLOOKUP(N9,Stock[#Data],6,FALSE)</f>
        <v>0</v>
      </c>
      <c r="X9" s="8">
        <f>+Table4[[#This Row],[SalesBot]]*Table4[[#This Row],[နှုံး]]</f>
        <v>0</v>
      </c>
      <c r="Y9" s="7">
        <v>3861000</v>
      </c>
      <c r="Z9" s="8"/>
      <c r="AA9" s="8"/>
      <c r="AB9" s="9">
        <v>46028</v>
      </c>
      <c r="AC9" s="7">
        <v>3861000</v>
      </c>
      <c r="AD9" s="25"/>
      <c r="AE9" s="8"/>
      <c r="AF9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9" s="24"/>
      <c r="AH9" s="266">
        <f>Table4[[#This Row],[Date]]</f>
        <v>46023</v>
      </c>
      <c r="AI9" s="264" t="str">
        <f t="shared" si="4"/>
        <v>Jan</v>
      </c>
      <c r="AJ9" s="264" t="str">
        <f t="shared" si="5"/>
        <v>2026</v>
      </c>
      <c r="AK9" s="270" t="str">
        <f>Table4[[#This Row],[ကုန်သည်အမည်]]</f>
        <v>ကိုထွန်းနိုင်</v>
      </c>
      <c r="AL9" s="270" t="str">
        <f>Table4[[#This Row],[Township]]</f>
        <v>Yay</v>
      </c>
      <c r="AM9" s="271" t="str">
        <f>Table4[[#This Row],[WholeSales]]</f>
        <v>WholeSales</v>
      </c>
      <c r="AN9" s="272" t="str">
        <f>Table4[[#This Row],[Particular]]</f>
        <v>ကုန်ရောင်း(အကြွေး)</v>
      </c>
      <c r="AO9" s="273" t="str">
        <f>Table4[[#This Row],[StockName]]</f>
        <v>BE</v>
      </c>
      <c r="AP9" s="268">
        <f>Table4[[#This Row],[Parking]]</f>
        <v>0</v>
      </c>
      <c r="AQ9" s="268">
        <f>Table4[[#This Row],[SalesBot]]</f>
        <v>0</v>
      </c>
      <c r="AR9" s="268">
        <f>Table4[[#This Row],[Liter]]</f>
        <v>0</v>
      </c>
    </row>
    <row r="10" spans="1:44" s="16" customFormat="1" hidden="1" x14ac:dyDescent="0.5">
      <c r="A10" s="3">
        <f t="shared" si="0"/>
        <v>2026</v>
      </c>
      <c r="B10" s="8">
        <f t="shared" si="1"/>
        <v>1</v>
      </c>
      <c r="C10" s="6">
        <v>46023</v>
      </c>
      <c r="D10" s="15">
        <f t="shared" ca="1" si="2"/>
        <v>46097</v>
      </c>
      <c r="E10" s="8" t="str">
        <f t="shared" ca="1" si="3"/>
        <v>2-Months</v>
      </c>
      <c r="F10" s="8" t="str">
        <f>VLOOKUP(N10,Stock[#Data],5,FALSE)</f>
        <v>BE</v>
      </c>
      <c r="G10" s="61"/>
      <c r="H10" s="15"/>
      <c r="I10" s="7" t="s">
        <v>95</v>
      </c>
      <c r="J10" s="8" t="str">
        <f>VLOOKUP(I10,Customers[#Data],2,FALSE)</f>
        <v>ကျော်စတား</v>
      </c>
      <c r="K10" s="15" t="str">
        <f>VLOOKUP(I10,Customers[#Data],4,FALSE)</f>
        <v>Yay</v>
      </c>
      <c r="L10" s="15" t="str">
        <f>VLOOKUP(I10,Customers[#Data],5,FALSE)</f>
        <v>WholeSales</v>
      </c>
      <c r="M10" s="7" t="s">
        <v>7</v>
      </c>
      <c r="N10" s="7" t="s">
        <v>128</v>
      </c>
      <c r="O10" s="14" t="str">
        <f>VLOOKUP(N10,Stock[#Data],2,FALSE)</f>
        <v>BE</v>
      </c>
      <c r="P10" s="44">
        <f>VLOOKUP(N10,Stock[#Data],3,FALSE)</f>
        <v>0</v>
      </c>
      <c r="Q10" s="3">
        <f>VLOOKUP(N10,Stock[#Data],4,FALSE)</f>
        <v>0</v>
      </c>
      <c r="R10" s="3"/>
      <c r="S10" s="8">
        <f>IFERROR(Table4[[#This Row],[Bottle]]/Table4[[#This Row],[ပါဝင်မှု]]+Table4[[#This Row],[SalesPK]],0)</f>
        <v>0</v>
      </c>
      <c r="T10" s="8"/>
      <c r="U10" s="10">
        <f>Table4[[#This Row],[ပါဝင်မှု]]*Table4[[#This Row],[SalesPK]]+Table4[[#This Row],[Bottle]]</f>
        <v>0</v>
      </c>
      <c r="V10" s="10">
        <f>Table4[[#This Row],[SalesBot]]*Table4[[#This Row],[ML]]</f>
        <v>0</v>
      </c>
      <c r="W10" s="1">
        <f>VLOOKUP(N10,Stock[#Data],6,FALSE)</f>
        <v>0</v>
      </c>
      <c r="X10" s="8">
        <f>+Table4[[#This Row],[SalesBot]]*Table4[[#This Row],[နှုံး]]</f>
        <v>0</v>
      </c>
      <c r="Y10" s="7">
        <v>4509000</v>
      </c>
      <c r="Z10" s="8"/>
      <c r="AA10" s="8"/>
      <c r="AB10" s="9">
        <v>46025</v>
      </c>
      <c r="AC10" s="7">
        <v>4509000</v>
      </c>
      <c r="AD10" s="8"/>
      <c r="AE10" s="8"/>
      <c r="AF10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0" s="24"/>
      <c r="AH10" s="266">
        <f>Table4[[#This Row],[Date]]</f>
        <v>46023</v>
      </c>
      <c r="AI10" s="264" t="str">
        <f t="shared" si="4"/>
        <v>Jan</v>
      </c>
      <c r="AJ10" s="264" t="str">
        <f t="shared" si="5"/>
        <v>2026</v>
      </c>
      <c r="AK10" s="270" t="str">
        <f>Table4[[#This Row],[ကုန်သည်အမည်]]</f>
        <v>ကျော်စတား</v>
      </c>
      <c r="AL10" s="270" t="str">
        <f>Table4[[#This Row],[Township]]</f>
        <v>Yay</v>
      </c>
      <c r="AM10" s="271" t="str">
        <f>Table4[[#This Row],[WholeSales]]</f>
        <v>WholeSales</v>
      </c>
      <c r="AN10" s="272" t="str">
        <f>Table4[[#This Row],[Particular]]</f>
        <v>ကုန်ရောင်း(အကြွေး)</v>
      </c>
      <c r="AO10" s="273" t="str">
        <f>Table4[[#This Row],[StockName]]</f>
        <v>BE</v>
      </c>
      <c r="AP10" s="268">
        <f>Table4[[#This Row],[Parking]]</f>
        <v>0</v>
      </c>
      <c r="AQ10" s="268">
        <f>Table4[[#This Row],[SalesBot]]</f>
        <v>0</v>
      </c>
      <c r="AR10" s="268">
        <f>Table4[[#This Row],[Liter]]</f>
        <v>0</v>
      </c>
    </row>
    <row r="11" spans="1:44" s="16" customFormat="1" hidden="1" x14ac:dyDescent="0.5">
      <c r="A11" s="3">
        <f t="shared" si="0"/>
        <v>2026</v>
      </c>
      <c r="B11" s="8">
        <f t="shared" si="1"/>
        <v>1</v>
      </c>
      <c r="C11" s="6">
        <v>46023</v>
      </c>
      <c r="D11" s="15">
        <f t="shared" ca="1" si="2"/>
        <v>46097</v>
      </c>
      <c r="E11" s="8" t="str">
        <f t="shared" ca="1" si="3"/>
        <v>2-Months</v>
      </c>
      <c r="F11" s="8" t="str">
        <f>VLOOKUP(N11,Stock[#Data],5,FALSE)</f>
        <v>BE</v>
      </c>
      <c r="G11" s="61"/>
      <c r="H11" s="15"/>
      <c r="I11" s="7" t="s">
        <v>95</v>
      </c>
      <c r="J11" s="8" t="str">
        <f>VLOOKUP(I11,Customers[#Data],2,FALSE)</f>
        <v>ကျော်စတား</v>
      </c>
      <c r="K11" s="15" t="str">
        <f>VLOOKUP(I11,Customers[#Data],4,FALSE)</f>
        <v>Yay</v>
      </c>
      <c r="L11" s="15" t="str">
        <f>VLOOKUP(I11,Customers[#Data],5,FALSE)</f>
        <v>WholeSales</v>
      </c>
      <c r="M11" s="7" t="s">
        <v>7</v>
      </c>
      <c r="N11" s="7" t="s">
        <v>128</v>
      </c>
      <c r="O11" s="14" t="str">
        <f>VLOOKUP(N11,Stock[#Data],2,FALSE)</f>
        <v>BE</v>
      </c>
      <c r="P11" s="44">
        <f>VLOOKUP(N11,Stock[#Data],3,FALSE)</f>
        <v>0</v>
      </c>
      <c r="Q11" s="3">
        <f>VLOOKUP(N11,Stock[#Data],4,FALSE)</f>
        <v>0</v>
      </c>
      <c r="R11" s="3"/>
      <c r="S11" s="8">
        <f>IFERROR(Table4[[#This Row],[Bottle]]/Table4[[#This Row],[ပါဝင်မှု]]+Table4[[#This Row],[SalesPK]],0)</f>
        <v>0</v>
      </c>
      <c r="T11" s="8"/>
      <c r="U11" s="10">
        <f>Table4[[#This Row],[ပါဝင်မှု]]*Table4[[#This Row],[SalesPK]]+Table4[[#This Row],[Bottle]]</f>
        <v>0</v>
      </c>
      <c r="V11" s="10">
        <f>Table4[[#This Row],[SalesBot]]*Table4[[#This Row],[ML]]</f>
        <v>0</v>
      </c>
      <c r="W11" s="1">
        <f>VLOOKUP(N11,Stock[#Data],6,FALSE)</f>
        <v>0</v>
      </c>
      <c r="X11" s="8">
        <f>+Table4[[#This Row],[SalesBot]]*Table4[[#This Row],[နှုံး]]</f>
        <v>0</v>
      </c>
      <c r="Y11" s="7">
        <v>5076000</v>
      </c>
      <c r="Z11" s="8"/>
      <c r="AA11" s="8"/>
      <c r="AB11" s="9">
        <v>46025</v>
      </c>
      <c r="AC11" s="7">
        <v>5076000</v>
      </c>
      <c r="AD11" s="8"/>
      <c r="AE11" s="8"/>
      <c r="AF11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1" s="24"/>
      <c r="AH11" s="266">
        <f>Table4[[#This Row],[Date]]</f>
        <v>46023</v>
      </c>
      <c r="AI11" s="264" t="str">
        <f t="shared" si="4"/>
        <v>Jan</v>
      </c>
      <c r="AJ11" s="264" t="str">
        <f t="shared" si="5"/>
        <v>2026</v>
      </c>
      <c r="AK11" s="270" t="str">
        <f>Table4[[#This Row],[ကုန်သည်အမည်]]</f>
        <v>ကျော်စတား</v>
      </c>
      <c r="AL11" s="270" t="str">
        <f>Table4[[#This Row],[Township]]</f>
        <v>Yay</v>
      </c>
      <c r="AM11" s="271" t="str">
        <f>Table4[[#This Row],[WholeSales]]</f>
        <v>WholeSales</v>
      </c>
      <c r="AN11" s="272" t="str">
        <f>Table4[[#This Row],[Particular]]</f>
        <v>ကုန်ရောင်း(အကြွေး)</v>
      </c>
      <c r="AO11" s="273" t="str">
        <f>Table4[[#This Row],[StockName]]</f>
        <v>BE</v>
      </c>
      <c r="AP11" s="268">
        <f>Table4[[#This Row],[Parking]]</f>
        <v>0</v>
      </c>
      <c r="AQ11" s="268">
        <f>Table4[[#This Row],[SalesBot]]</f>
        <v>0</v>
      </c>
      <c r="AR11" s="268">
        <f>Table4[[#This Row],[Liter]]</f>
        <v>0</v>
      </c>
    </row>
    <row r="12" spans="1:44" s="16" customFormat="1" hidden="1" x14ac:dyDescent="0.5">
      <c r="A12" s="3">
        <f t="shared" si="0"/>
        <v>2026</v>
      </c>
      <c r="B12" s="8">
        <f t="shared" si="1"/>
        <v>1</v>
      </c>
      <c r="C12" s="6">
        <v>46023</v>
      </c>
      <c r="D12" s="15">
        <f t="shared" ca="1" si="2"/>
        <v>46097</v>
      </c>
      <c r="E12" s="8" t="str">
        <f t="shared" ca="1" si="3"/>
        <v>2-Months</v>
      </c>
      <c r="F12" s="8" t="str">
        <f>VLOOKUP(N12,Stock[#Data],5,FALSE)</f>
        <v>BE</v>
      </c>
      <c r="G12" s="61"/>
      <c r="H12" s="15"/>
      <c r="I12" s="7" t="s">
        <v>95</v>
      </c>
      <c r="J12" s="8" t="str">
        <f>VLOOKUP(I12,Customers[#Data],2,FALSE)</f>
        <v>ကျော်စတား</v>
      </c>
      <c r="K12" s="15" t="str">
        <f>VLOOKUP(I12,Customers[#Data],4,FALSE)</f>
        <v>Yay</v>
      </c>
      <c r="L12" s="15" t="str">
        <f>VLOOKUP(I12,Customers[#Data],5,FALSE)</f>
        <v>WholeSales</v>
      </c>
      <c r="M12" s="7" t="s">
        <v>7</v>
      </c>
      <c r="N12" s="7" t="s">
        <v>128</v>
      </c>
      <c r="O12" s="14" t="str">
        <f>VLOOKUP(N12,Stock[#Data],2,FALSE)</f>
        <v>BE</v>
      </c>
      <c r="P12" s="44">
        <f>VLOOKUP(N12,Stock[#Data],3,FALSE)</f>
        <v>0</v>
      </c>
      <c r="Q12" s="3">
        <f>VLOOKUP(N12,Stock[#Data],4,FALSE)</f>
        <v>0</v>
      </c>
      <c r="R12" s="3"/>
      <c r="S12" s="8">
        <f>IFERROR(Table4[[#This Row],[Bottle]]/Table4[[#This Row],[ပါဝင်မှု]]+Table4[[#This Row],[SalesPK]],0)</f>
        <v>0</v>
      </c>
      <c r="T12" s="8"/>
      <c r="U12" s="10">
        <f>Table4[[#This Row],[ပါဝင်မှု]]*Table4[[#This Row],[SalesPK]]+Table4[[#This Row],[Bottle]]</f>
        <v>0</v>
      </c>
      <c r="V12" s="10">
        <f>Table4[[#This Row],[SalesBot]]*Table4[[#This Row],[ML]]</f>
        <v>0</v>
      </c>
      <c r="W12" s="1">
        <f>VLOOKUP(N12,Stock[#Data],6,FALSE)</f>
        <v>0</v>
      </c>
      <c r="X12" s="8">
        <f>+Table4[[#This Row],[SalesBot]]*Table4[[#This Row],[နှုံး]]</f>
        <v>0</v>
      </c>
      <c r="Y12" s="7">
        <v>3942000</v>
      </c>
      <c r="Z12" s="8"/>
      <c r="AA12" s="8"/>
      <c r="AB12" s="9">
        <v>46028</v>
      </c>
      <c r="AC12" s="7">
        <v>3942000</v>
      </c>
      <c r="AD12" s="8"/>
      <c r="AE12" s="8"/>
      <c r="AF12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2" s="24"/>
      <c r="AH12" s="266">
        <f>Table4[[#This Row],[Date]]</f>
        <v>46023</v>
      </c>
      <c r="AI12" s="264" t="str">
        <f t="shared" si="4"/>
        <v>Jan</v>
      </c>
      <c r="AJ12" s="264" t="str">
        <f t="shared" si="5"/>
        <v>2026</v>
      </c>
      <c r="AK12" s="270" t="str">
        <f>Table4[[#This Row],[ကုန်သည်အမည်]]</f>
        <v>ကျော်စတား</v>
      </c>
      <c r="AL12" s="270" t="str">
        <f>Table4[[#This Row],[Township]]</f>
        <v>Yay</v>
      </c>
      <c r="AM12" s="271" t="str">
        <f>Table4[[#This Row],[WholeSales]]</f>
        <v>WholeSales</v>
      </c>
      <c r="AN12" s="272" t="str">
        <f>Table4[[#This Row],[Particular]]</f>
        <v>ကုန်ရောင်း(အကြွေး)</v>
      </c>
      <c r="AO12" s="273" t="str">
        <f>Table4[[#This Row],[StockName]]</f>
        <v>BE</v>
      </c>
      <c r="AP12" s="268">
        <f>Table4[[#This Row],[Parking]]</f>
        <v>0</v>
      </c>
      <c r="AQ12" s="268">
        <f>Table4[[#This Row],[SalesBot]]</f>
        <v>0</v>
      </c>
      <c r="AR12" s="268">
        <f>Table4[[#This Row],[Liter]]</f>
        <v>0</v>
      </c>
    </row>
    <row r="13" spans="1:44" s="16" customFormat="1" hidden="1" x14ac:dyDescent="0.5">
      <c r="A13" s="3">
        <f t="shared" si="0"/>
        <v>2026</v>
      </c>
      <c r="B13" s="8">
        <f t="shared" si="1"/>
        <v>1</v>
      </c>
      <c r="C13" s="6">
        <v>46023</v>
      </c>
      <c r="D13" s="15">
        <f t="shared" ca="1" si="2"/>
        <v>46097</v>
      </c>
      <c r="E13" s="8" t="str">
        <f t="shared" ca="1" si="3"/>
        <v>2-Months</v>
      </c>
      <c r="F13" s="8" t="str">
        <f>VLOOKUP(N13,Stock[#Data],5,FALSE)</f>
        <v>BE</v>
      </c>
      <c r="G13" s="61"/>
      <c r="H13" s="15"/>
      <c r="I13" s="7" t="s">
        <v>95</v>
      </c>
      <c r="J13" s="8" t="str">
        <f>VLOOKUP(I13,Customers[#Data],2,FALSE)</f>
        <v>ကျော်စတား</v>
      </c>
      <c r="K13" s="15" t="str">
        <f>VLOOKUP(I13,Customers[#Data],4,FALSE)</f>
        <v>Yay</v>
      </c>
      <c r="L13" s="15" t="str">
        <f>VLOOKUP(I13,Customers[#Data],5,FALSE)</f>
        <v>WholeSales</v>
      </c>
      <c r="M13" s="7" t="s">
        <v>7</v>
      </c>
      <c r="N13" s="7" t="s">
        <v>128</v>
      </c>
      <c r="O13" s="14" t="str">
        <f>VLOOKUP(N13,Stock[#Data],2,FALSE)</f>
        <v>BE</v>
      </c>
      <c r="P13" s="44">
        <f>VLOOKUP(N13,Stock[#Data],3,FALSE)</f>
        <v>0</v>
      </c>
      <c r="Q13" s="3">
        <f>VLOOKUP(N13,Stock[#Data],4,FALSE)</f>
        <v>0</v>
      </c>
      <c r="R13" s="3"/>
      <c r="S13" s="8">
        <f>IFERROR(Table4[[#This Row],[Bottle]]/Table4[[#This Row],[ပါဝင်မှု]]+Table4[[#This Row],[SalesPK]],0)</f>
        <v>0</v>
      </c>
      <c r="T13" s="8"/>
      <c r="U13" s="10">
        <f>Table4[[#This Row],[ပါဝင်မှု]]*Table4[[#This Row],[SalesPK]]+Table4[[#This Row],[Bottle]]</f>
        <v>0</v>
      </c>
      <c r="V13" s="10">
        <f>Table4[[#This Row],[SalesBot]]*Table4[[#This Row],[ML]]</f>
        <v>0</v>
      </c>
      <c r="W13" s="1">
        <f>VLOOKUP(N13,Stock[#Data],6,FALSE)</f>
        <v>0</v>
      </c>
      <c r="X13" s="8">
        <f>+Table4[[#This Row],[SalesBot]]*Table4[[#This Row],[နှုံး]]</f>
        <v>0</v>
      </c>
      <c r="Y13" s="7">
        <v>6763500</v>
      </c>
      <c r="Z13" s="8"/>
      <c r="AA13" s="8"/>
      <c r="AB13" s="9">
        <v>46028</v>
      </c>
      <c r="AC13" s="7">
        <v>6763500</v>
      </c>
      <c r="AD13" s="25"/>
      <c r="AE13" s="8"/>
      <c r="AF13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3" s="24"/>
      <c r="AH13" s="266">
        <f>Table4[[#This Row],[Date]]</f>
        <v>46023</v>
      </c>
      <c r="AI13" s="264" t="str">
        <f t="shared" si="4"/>
        <v>Jan</v>
      </c>
      <c r="AJ13" s="264" t="str">
        <f t="shared" si="5"/>
        <v>2026</v>
      </c>
      <c r="AK13" s="270" t="str">
        <f>Table4[[#This Row],[ကုန်သည်အမည်]]</f>
        <v>ကျော်စတား</v>
      </c>
      <c r="AL13" s="270" t="str">
        <f>Table4[[#This Row],[Township]]</f>
        <v>Yay</v>
      </c>
      <c r="AM13" s="271" t="str">
        <f>Table4[[#This Row],[WholeSales]]</f>
        <v>WholeSales</v>
      </c>
      <c r="AN13" s="272" t="str">
        <f>Table4[[#This Row],[Particular]]</f>
        <v>ကုန်ရောင်း(အကြွေး)</v>
      </c>
      <c r="AO13" s="273" t="str">
        <f>Table4[[#This Row],[StockName]]</f>
        <v>BE</v>
      </c>
      <c r="AP13" s="268">
        <f>Table4[[#This Row],[Parking]]</f>
        <v>0</v>
      </c>
      <c r="AQ13" s="268">
        <f>Table4[[#This Row],[SalesBot]]</f>
        <v>0</v>
      </c>
      <c r="AR13" s="268">
        <f>Table4[[#This Row],[Liter]]</f>
        <v>0</v>
      </c>
    </row>
    <row r="14" spans="1:44" s="16" customFormat="1" hidden="1" x14ac:dyDescent="0.5">
      <c r="A14" s="3">
        <f t="shared" si="0"/>
        <v>2026</v>
      </c>
      <c r="B14" s="8">
        <f t="shared" si="1"/>
        <v>1</v>
      </c>
      <c r="C14" s="6">
        <v>46023</v>
      </c>
      <c r="D14" s="15">
        <f t="shared" ca="1" si="2"/>
        <v>46097</v>
      </c>
      <c r="E14" s="8" t="str">
        <f t="shared" ca="1" si="3"/>
        <v>2-Months</v>
      </c>
      <c r="F14" s="8" t="str">
        <f>VLOOKUP(N14,Stock[#Data],5,FALSE)</f>
        <v>BE</v>
      </c>
      <c r="G14" s="61"/>
      <c r="H14" s="15"/>
      <c r="I14" s="7" t="s">
        <v>95</v>
      </c>
      <c r="J14" s="8" t="str">
        <f>VLOOKUP(I14,Customers[#Data],2,FALSE)</f>
        <v>ကျော်စတား</v>
      </c>
      <c r="K14" s="15" t="str">
        <f>VLOOKUP(I14,Customers[#Data],4,FALSE)</f>
        <v>Yay</v>
      </c>
      <c r="L14" s="15" t="str">
        <f>VLOOKUP(I14,Customers[#Data],5,FALSE)</f>
        <v>WholeSales</v>
      </c>
      <c r="M14" s="7" t="s">
        <v>7</v>
      </c>
      <c r="N14" s="7" t="s">
        <v>128</v>
      </c>
      <c r="O14" s="14" t="str">
        <f>VLOOKUP(N14,Stock[#Data],2,FALSE)</f>
        <v>BE</v>
      </c>
      <c r="P14" s="44">
        <f>VLOOKUP(N14,Stock[#Data],3,FALSE)</f>
        <v>0</v>
      </c>
      <c r="Q14" s="3">
        <f>VLOOKUP(N14,Stock[#Data],4,FALSE)</f>
        <v>0</v>
      </c>
      <c r="R14" s="3"/>
      <c r="S14" s="8">
        <f>IFERROR(Table4[[#This Row],[Bottle]]/Table4[[#This Row],[ပါဝင်မှု]]+Table4[[#This Row],[SalesPK]],0)</f>
        <v>0</v>
      </c>
      <c r="T14" s="8"/>
      <c r="U14" s="10">
        <f>Table4[[#This Row],[ပါဝင်မှု]]*Table4[[#This Row],[SalesPK]]+Table4[[#This Row],[Bottle]]</f>
        <v>0</v>
      </c>
      <c r="V14" s="10">
        <f>Table4[[#This Row],[SalesBot]]*Table4[[#This Row],[ML]]</f>
        <v>0</v>
      </c>
      <c r="W14" s="1">
        <f>VLOOKUP(N14,Stock[#Data],6,FALSE)</f>
        <v>0</v>
      </c>
      <c r="X14" s="8">
        <f>+Table4[[#This Row],[SalesBot]]*Table4[[#This Row],[နှုံး]]</f>
        <v>0</v>
      </c>
      <c r="Y14" s="7">
        <v>4225500</v>
      </c>
      <c r="Z14" s="8"/>
      <c r="AA14" s="8"/>
      <c r="AB14" s="9">
        <v>46030</v>
      </c>
      <c r="AC14" s="7">
        <v>4225500</v>
      </c>
      <c r="AD14" s="8"/>
      <c r="AE14" s="8"/>
      <c r="AF14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4" s="24"/>
      <c r="AH14" s="266">
        <f>Table4[[#This Row],[Date]]</f>
        <v>46023</v>
      </c>
      <c r="AI14" s="264" t="str">
        <f t="shared" si="4"/>
        <v>Jan</v>
      </c>
      <c r="AJ14" s="264" t="str">
        <f t="shared" si="5"/>
        <v>2026</v>
      </c>
      <c r="AK14" s="270" t="str">
        <f>Table4[[#This Row],[ကုန်သည်အမည်]]</f>
        <v>ကျော်စတား</v>
      </c>
      <c r="AL14" s="270" t="str">
        <f>Table4[[#This Row],[Township]]</f>
        <v>Yay</v>
      </c>
      <c r="AM14" s="271" t="str">
        <f>Table4[[#This Row],[WholeSales]]</f>
        <v>WholeSales</v>
      </c>
      <c r="AN14" s="272" t="str">
        <f>Table4[[#This Row],[Particular]]</f>
        <v>ကုန်ရောင်း(အကြွေး)</v>
      </c>
      <c r="AO14" s="273" t="str">
        <f>Table4[[#This Row],[StockName]]</f>
        <v>BE</v>
      </c>
      <c r="AP14" s="268">
        <f>Table4[[#This Row],[Parking]]</f>
        <v>0</v>
      </c>
      <c r="AQ14" s="268">
        <f>Table4[[#This Row],[SalesBot]]</f>
        <v>0</v>
      </c>
      <c r="AR14" s="268">
        <f>Table4[[#This Row],[Liter]]</f>
        <v>0</v>
      </c>
    </row>
    <row r="15" spans="1:44" s="16" customFormat="1" hidden="1" x14ac:dyDescent="0.5">
      <c r="A15" s="3">
        <f t="shared" si="0"/>
        <v>2026</v>
      </c>
      <c r="B15" s="8">
        <f t="shared" si="1"/>
        <v>1</v>
      </c>
      <c r="C15" s="6">
        <v>46023</v>
      </c>
      <c r="D15" s="15">
        <f t="shared" ca="1" si="2"/>
        <v>46097</v>
      </c>
      <c r="E15" s="8" t="str">
        <f t="shared" ca="1" si="3"/>
        <v>2-Months</v>
      </c>
      <c r="F15" s="8" t="str">
        <f>VLOOKUP(N15,Stock[#Data],5,FALSE)</f>
        <v>BE</v>
      </c>
      <c r="G15" s="61"/>
      <c r="H15" s="15"/>
      <c r="I15" s="7" t="s">
        <v>95</v>
      </c>
      <c r="J15" s="8" t="str">
        <f>VLOOKUP(I15,Customers[#Data],2,FALSE)</f>
        <v>ကျော်စတား</v>
      </c>
      <c r="K15" s="15" t="str">
        <f>VLOOKUP(I15,Customers[#Data],4,FALSE)</f>
        <v>Yay</v>
      </c>
      <c r="L15" s="15" t="str">
        <f>VLOOKUP(I15,Customers[#Data],5,FALSE)</f>
        <v>WholeSales</v>
      </c>
      <c r="M15" s="7" t="s">
        <v>7</v>
      </c>
      <c r="N15" s="7" t="s">
        <v>128</v>
      </c>
      <c r="O15" s="14" t="str">
        <f>VLOOKUP(N15,Stock[#Data],2,FALSE)</f>
        <v>BE</v>
      </c>
      <c r="P15" s="44">
        <f>VLOOKUP(N15,Stock[#Data],3,FALSE)</f>
        <v>0</v>
      </c>
      <c r="Q15" s="3">
        <f>VLOOKUP(N15,Stock[#Data],4,FALSE)</f>
        <v>0</v>
      </c>
      <c r="R15" s="3"/>
      <c r="S15" s="8">
        <f>IFERROR(Table4[[#This Row],[Bottle]]/Table4[[#This Row],[ပါဝင်မှု]]+Table4[[#This Row],[SalesPK]],0)</f>
        <v>0</v>
      </c>
      <c r="T15" s="8"/>
      <c r="U15" s="10">
        <f>Table4[[#This Row],[ပါဝင်မှု]]*Table4[[#This Row],[SalesPK]]+Table4[[#This Row],[Bottle]]</f>
        <v>0</v>
      </c>
      <c r="V15" s="10">
        <f>Table4[[#This Row],[SalesBot]]*Table4[[#This Row],[ML]]</f>
        <v>0</v>
      </c>
      <c r="W15" s="1">
        <f>VLOOKUP(N15,Stock[#Data],6,FALSE)</f>
        <v>0</v>
      </c>
      <c r="X15" s="8">
        <f>+Table4[[#This Row],[SalesBot]]*Table4[[#This Row],[နှုံး]]</f>
        <v>0</v>
      </c>
      <c r="Y15" s="7">
        <v>2835000</v>
      </c>
      <c r="Z15" s="8"/>
      <c r="AA15" s="8"/>
      <c r="AB15" s="9">
        <v>46030</v>
      </c>
      <c r="AC15" s="7">
        <v>2835000</v>
      </c>
      <c r="AD15" s="8"/>
      <c r="AE15" s="8"/>
      <c r="AF15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5" s="24"/>
      <c r="AH15" s="266">
        <f>Table4[[#This Row],[Date]]</f>
        <v>46023</v>
      </c>
      <c r="AI15" s="264" t="str">
        <f t="shared" si="4"/>
        <v>Jan</v>
      </c>
      <c r="AJ15" s="264" t="str">
        <f t="shared" si="5"/>
        <v>2026</v>
      </c>
      <c r="AK15" s="270" t="str">
        <f>Table4[[#This Row],[ကုန်သည်အမည်]]</f>
        <v>ကျော်စတား</v>
      </c>
      <c r="AL15" s="270" t="str">
        <f>Table4[[#This Row],[Township]]</f>
        <v>Yay</v>
      </c>
      <c r="AM15" s="271" t="str">
        <f>Table4[[#This Row],[WholeSales]]</f>
        <v>WholeSales</v>
      </c>
      <c r="AN15" s="272" t="str">
        <f>Table4[[#This Row],[Particular]]</f>
        <v>ကုန်ရောင်း(အကြွေး)</v>
      </c>
      <c r="AO15" s="273" t="str">
        <f>Table4[[#This Row],[StockName]]</f>
        <v>BE</v>
      </c>
      <c r="AP15" s="268">
        <f>Table4[[#This Row],[Parking]]</f>
        <v>0</v>
      </c>
      <c r="AQ15" s="268">
        <f>Table4[[#This Row],[SalesBot]]</f>
        <v>0</v>
      </c>
      <c r="AR15" s="268">
        <f>Table4[[#This Row],[Liter]]</f>
        <v>0</v>
      </c>
    </row>
    <row r="16" spans="1:44" s="16" customFormat="1" hidden="1" x14ac:dyDescent="0.5">
      <c r="A16" s="3">
        <f t="shared" si="0"/>
        <v>2026</v>
      </c>
      <c r="B16" s="8">
        <f t="shared" si="1"/>
        <v>1</v>
      </c>
      <c r="C16" s="6">
        <v>46023</v>
      </c>
      <c r="D16" s="15">
        <f t="shared" ca="1" si="2"/>
        <v>46097</v>
      </c>
      <c r="E16" s="8" t="str">
        <f t="shared" ca="1" si="3"/>
        <v>2-Months</v>
      </c>
      <c r="F16" s="8" t="str">
        <f>VLOOKUP(N16,Stock[#Data],5,FALSE)</f>
        <v>BE</v>
      </c>
      <c r="G16" s="61"/>
      <c r="H16" s="15"/>
      <c r="I16" s="7" t="s">
        <v>95</v>
      </c>
      <c r="J16" s="8" t="str">
        <f>VLOOKUP(I16,Customers[#Data],2,FALSE)</f>
        <v>ကျော်စတား</v>
      </c>
      <c r="K16" s="15" t="str">
        <f>VLOOKUP(I16,Customers[#Data],4,FALSE)</f>
        <v>Yay</v>
      </c>
      <c r="L16" s="15" t="str">
        <f>VLOOKUP(I16,Customers[#Data],5,FALSE)</f>
        <v>WholeSales</v>
      </c>
      <c r="M16" s="7" t="s">
        <v>7</v>
      </c>
      <c r="N16" s="7" t="s">
        <v>128</v>
      </c>
      <c r="O16" s="14" t="str">
        <f>VLOOKUP(N16,Stock[#Data],2,FALSE)</f>
        <v>BE</v>
      </c>
      <c r="P16" s="44">
        <f>VLOOKUP(N16,Stock[#Data],3,FALSE)</f>
        <v>0</v>
      </c>
      <c r="Q16" s="3">
        <f>VLOOKUP(N16,Stock[#Data],4,FALSE)</f>
        <v>0</v>
      </c>
      <c r="R16" s="3"/>
      <c r="S16" s="8">
        <f>IFERROR(Table4[[#This Row],[Bottle]]/Table4[[#This Row],[ပါဝင်မှု]]+Table4[[#This Row],[SalesPK]],0)</f>
        <v>0</v>
      </c>
      <c r="T16" s="8"/>
      <c r="U16" s="10">
        <f>Table4[[#This Row],[ပါဝင်မှု]]*Table4[[#This Row],[SalesPK]]+Table4[[#This Row],[Bottle]]</f>
        <v>0</v>
      </c>
      <c r="V16" s="10">
        <f>Table4[[#This Row],[SalesBot]]*Table4[[#This Row],[ML]]</f>
        <v>0</v>
      </c>
      <c r="W16" s="1">
        <f>VLOOKUP(N16,Stock[#Data],6,FALSE)</f>
        <v>0</v>
      </c>
      <c r="X16" s="8">
        <f>+Table4[[#This Row],[SalesBot]]*Table4[[#This Row],[နှုံး]]</f>
        <v>0</v>
      </c>
      <c r="Y16" s="7">
        <v>3942000</v>
      </c>
      <c r="Z16" s="8"/>
      <c r="AA16" s="8"/>
      <c r="AB16" s="9">
        <v>46034</v>
      </c>
      <c r="AC16" s="7">
        <v>3942000</v>
      </c>
      <c r="AD16" s="25"/>
      <c r="AE16" s="8"/>
      <c r="AF16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6" s="24"/>
      <c r="AH16" s="266">
        <f>Table4[[#This Row],[Date]]</f>
        <v>46023</v>
      </c>
      <c r="AI16" s="264" t="str">
        <f t="shared" si="4"/>
        <v>Jan</v>
      </c>
      <c r="AJ16" s="264" t="str">
        <f t="shared" si="5"/>
        <v>2026</v>
      </c>
      <c r="AK16" s="270" t="str">
        <f>Table4[[#This Row],[ကုန်သည်အမည်]]</f>
        <v>ကျော်စတား</v>
      </c>
      <c r="AL16" s="270" t="str">
        <f>Table4[[#This Row],[Township]]</f>
        <v>Yay</v>
      </c>
      <c r="AM16" s="271" t="str">
        <f>Table4[[#This Row],[WholeSales]]</f>
        <v>WholeSales</v>
      </c>
      <c r="AN16" s="272" t="str">
        <f>Table4[[#This Row],[Particular]]</f>
        <v>ကုန်ရောင်း(အကြွေး)</v>
      </c>
      <c r="AO16" s="273" t="str">
        <f>Table4[[#This Row],[StockName]]</f>
        <v>BE</v>
      </c>
      <c r="AP16" s="268">
        <f>Table4[[#This Row],[Parking]]</f>
        <v>0</v>
      </c>
      <c r="AQ16" s="268">
        <f>Table4[[#This Row],[SalesBot]]</f>
        <v>0</v>
      </c>
      <c r="AR16" s="268">
        <f>Table4[[#This Row],[Liter]]</f>
        <v>0</v>
      </c>
    </row>
    <row r="17" spans="1:44" s="16" customFormat="1" hidden="1" x14ac:dyDescent="0.5">
      <c r="A17" s="3">
        <f t="shared" si="0"/>
        <v>2026</v>
      </c>
      <c r="B17" s="8">
        <f t="shared" si="1"/>
        <v>1</v>
      </c>
      <c r="C17" s="6">
        <v>46023</v>
      </c>
      <c r="D17" s="15">
        <f t="shared" ca="1" si="2"/>
        <v>46097</v>
      </c>
      <c r="E17" s="8" t="str">
        <f t="shared" ca="1" si="3"/>
        <v>2-Months</v>
      </c>
      <c r="F17" s="8" t="str">
        <f>VLOOKUP(N17,Stock[#Data],5,FALSE)</f>
        <v>BE</v>
      </c>
      <c r="G17" s="61"/>
      <c r="H17" s="15"/>
      <c r="I17" s="7" t="s">
        <v>95</v>
      </c>
      <c r="J17" s="8" t="str">
        <f>VLOOKUP(I17,Customers[#Data],2,FALSE)</f>
        <v>ကျော်စတား</v>
      </c>
      <c r="K17" s="15" t="str">
        <f>VLOOKUP(I17,Customers[#Data],4,FALSE)</f>
        <v>Yay</v>
      </c>
      <c r="L17" s="15" t="str">
        <f>VLOOKUP(I17,Customers[#Data],5,FALSE)</f>
        <v>WholeSales</v>
      </c>
      <c r="M17" s="7" t="s">
        <v>7</v>
      </c>
      <c r="N17" s="7" t="s">
        <v>128</v>
      </c>
      <c r="O17" s="14" t="str">
        <f>VLOOKUP(N17,Stock[#Data],2,FALSE)</f>
        <v>BE</v>
      </c>
      <c r="P17" s="44">
        <f>VLOOKUP(N17,Stock[#Data],3,FALSE)</f>
        <v>0</v>
      </c>
      <c r="Q17" s="3">
        <f>VLOOKUP(N17,Stock[#Data],4,FALSE)</f>
        <v>0</v>
      </c>
      <c r="R17" s="3"/>
      <c r="S17" s="8">
        <f>IFERROR(Table4[[#This Row],[Bottle]]/Table4[[#This Row],[ပါဝင်မှု]]+Table4[[#This Row],[SalesPK]],0)</f>
        <v>0</v>
      </c>
      <c r="T17" s="8"/>
      <c r="U17" s="10">
        <f>Table4[[#This Row],[ပါဝင်မှု]]*Table4[[#This Row],[SalesPK]]+Table4[[#This Row],[Bottle]]</f>
        <v>0</v>
      </c>
      <c r="V17" s="10">
        <f>Table4[[#This Row],[SalesBot]]*Table4[[#This Row],[ML]]</f>
        <v>0</v>
      </c>
      <c r="W17" s="1">
        <f>VLOOKUP(N17,Stock[#Data],6,FALSE)</f>
        <v>0</v>
      </c>
      <c r="X17" s="8">
        <f>+Table4[[#This Row],[SalesBot]]*Table4[[#This Row],[နှုံး]]</f>
        <v>0</v>
      </c>
      <c r="Y17" s="7">
        <v>3564000</v>
      </c>
      <c r="Z17" s="8"/>
      <c r="AA17" s="8"/>
      <c r="AB17" s="9">
        <v>46034</v>
      </c>
      <c r="AC17" s="7">
        <v>3564000</v>
      </c>
      <c r="AD17" s="25"/>
      <c r="AE17" s="8"/>
      <c r="AF17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7" s="24"/>
      <c r="AH17" s="266">
        <f>Table4[[#This Row],[Date]]</f>
        <v>46023</v>
      </c>
      <c r="AI17" s="264" t="str">
        <f t="shared" si="4"/>
        <v>Jan</v>
      </c>
      <c r="AJ17" s="264" t="str">
        <f t="shared" si="5"/>
        <v>2026</v>
      </c>
      <c r="AK17" s="270" t="str">
        <f>Table4[[#This Row],[ကုန်သည်အမည်]]</f>
        <v>ကျော်စတား</v>
      </c>
      <c r="AL17" s="270" t="str">
        <f>Table4[[#This Row],[Township]]</f>
        <v>Yay</v>
      </c>
      <c r="AM17" s="271" t="str">
        <f>Table4[[#This Row],[WholeSales]]</f>
        <v>WholeSales</v>
      </c>
      <c r="AN17" s="272" t="str">
        <f>Table4[[#This Row],[Particular]]</f>
        <v>ကုန်ရောင်း(အကြွေး)</v>
      </c>
      <c r="AO17" s="273" t="str">
        <f>Table4[[#This Row],[StockName]]</f>
        <v>BE</v>
      </c>
      <c r="AP17" s="268">
        <f>Table4[[#This Row],[Parking]]</f>
        <v>0</v>
      </c>
      <c r="AQ17" s="268">
        <f>Table4[[#This Row],[SalesBot]]</f>
        <v>0</v>
      </c>
      <c r="AR17" s="268">
        <f>Table4[[#This Row],[Liter]]</f>
        <v>0</v>
      </c>
    </row>
    <row r="18" spans="1:44" s="16" customFormat="1" hidden="1" x14ac:dyDescent="0.5">
      <c r="A18" s="3">
        <f t="shared" si="0"/>
        <v>2026</v>
      </c>
      <c r="B18" s="8">
        <f t="shared" si="1"/>
        <v>1</v>
      </c>
      <c r="C18" s="6">
        <v>46023</v>
      </c>
      <c r="D18" s="15">
        <f t="shared" ca="1" si="2"/>
        <v>46097</v>
      </c>
      <c r="E18" s="8" t="str">
        <f t="shared" ca="1" si="3"/>
        <v>2-Months</v>
      </c>
      <c r="F18" s="8" t="str">
        <f>VLOOKUP(N18,Stock[#Data],5,FALSE)</f>
        <v>BE</v>
      </c>
      <c r="G18" s="61"/>
      <c r="H18" s="15"/>
      <c r="I18" s="7" t="s">
        <v>95</v>
      </c>
      <c r="J18" s="8" t="str">
        <f>VLOOKUP(I18,Customers[#Data],2,FALSE)</f>
        <v>ကျော်စတား</v>
      </c>
      <c r="K18" s="15" t="str">
        <f>VLOOKUP(I18,Customers[#Data],4,FALSE)</f>
        <v>Yay</v>
      </c>
      <c r="L18" s="15" t="str">
        <f>VLOOKUP(I18,Customers[#Data],5,FALSE)</f>
        <v>WholeSales</v>
      </c>
      <c r="M18" s="7" t="s">
        <v>7</v>
      </c>
      <c r="N18" s="7" t="s">
        <v>128</v>
      </c>
      <c r="O18" s="14" t="str">
        <f>VLOOKUP(N18,Stock[#Data],2,FALSE)</f>
        <v>BE</v>
      </c>
      <c r="P18" s="44">
        <f>VLOOKUP(N18,Stock[#Data],3,FALSE)</f>
        <v>0</v>
      </c>
      <c r="Q18" s="3">
        <f>VLOOKUP(N18,Stock[#Data],4,FALSE)</f>
        <v>0</v>
      </c>
      <c r="R18" s="3"/>
      <c r="S18" s="8">
        <f>IFERROR(Table4[[#This Row],[Bottle]]/Table4[[#This Row],[ပါဝင်မှု]]+Table4[[#This Row],[SalesPK]],0)</f>
        <v>0</v>
      </c>
      <c r="T18" s="8"/>
      <c r="U18" s="10">
        <f>Table4[[#This Row],[ပါဝင်မှု]]*Table4[[#This Row],[SalesPK]]+Table4[[#This Row],[Bottle]]</f>
        <v>0</v>
      </c>
      <c r="V18" s="10">
        <f>Table4[[#This Row],[SalesBot]]*Table4[[#This Row],[ML]]</f>
        <v>0</v>
      </c>
      <c r="W18" s="1">
        <f>VLOOKUP(N18,Stock[#Data],6,FALSE)</f>
        <v>0</v>
      </c>
      <c r="X18" s="8">
        <f>+Table4[[#This Row],[SalesBot]]*Table4[[#This Row],[နှုံး]]</f>
        <v>0</v>
      </c>
      <c r="Y18" s="7">
        <v>1890000</v>
      </c>
      <c r="Z18" s="8"/>
      <c r="AA18" s="8"/>
      <c r="AB18" s="9">
        <v>46035</v>
      </c>
      <c r="AC18" s="7">
        <v>1890000</v>
      </c>
      <c r="AD18" s="8"/>
      <c r="AE18" s="8"/>
      <c r="AF18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8" s="24"/>
      <c r="AH18" s="266">
        <f>Table4[[#This Row],[Date]]</f>
        <v>46023</v>
      </c>
      <c r="AI18" s="264" t="str">
        <f t="shared" si="4"/>
        <v>Jan</v>
      </c>
      <c r="AJ18" s="264" t="str">
        <f t="shared" si="5"/>
        <v>2026</v>
      </c>
      <c r="AK18" s="270" t="str">
        <f>Table4[[#This Row],[ကုန်သည်အမည်]]</f>
        <v>ကျော်စတား</v>
      </c>
      <c r="AL18" s="270" t="str">
        <f>Table4[[#This Row],[Township]]</f>
        <v>Yay</v>
      </c>
      <c r="AM18" s="271" t="str">
        <f>Table4[[#This Row],[WholeSales]]</f>
        <v>WholeSales</v>
      </c>
      <c r="AN18" s="272" t="str">
        <f>Table4[[#This Row],[Particular]]</f>
        <v>ကုန်ရောင်း(အကြွေး)</v>
      </c>
      <c r="AO18" s="273" t="str">
        <f>Table4[[#This Row],[StockName]]</f>
        <v>BE</v>
      </c>
      <c r="AP18" s="268">
        <f>Table4[[#This Row],[Parking]]</f>
        <v>0</v>
      </c>
      <c r="AQ18" s="268">
        <f>Table4[[#This Row],[SalesBot]]</f>
        <v>0</v>
      </c>
      <c r="AR18" s="268">
        <f>Table4[[#This Row],[Liter]]</f>
        <v>0</v>
      </c>
    </row>
    <row r="19" spans="1:44" s="16" customFormat="1" hidden="1" x14ac:dyDescent="0.5">
      <c r="A19" s="3">
        <f t="shared" si="0"/>
        <v>2026</v>
      </c>
      <c r="B19" s="8">
        <f t="shared" si="1"/>
        <v>1</v>
      </c>
      <c r="C19" s="6">
        <v>46023</v>
      </c>
      <c r="D19" s="15">
        <f t="shared" ca="1" si="2"/>
        <v>46097</v>
      </c>
      <c r="E19" s="8" t="str">
        <f t="shared" ca="1" si="3"/>
        <v>2-Months</v>
      </c>
      <c r="F19" s="8" t="str">
        <f>VLOOKUP(N19,Stock[#Data],5,FALSE)</f>
        <v>BE</v>
      </c>
      <c r="G19" s="61"/>
      <c r="H19" s="15"/>
      <c r="I19" s="7" t="s">
        <v>95</v>
      </c>
      <c r="J19" s="8" t="str">
        <f>VLOOKUP(I19,Customers[#Data],2,FALSE)</f>
        <v>ကျော်စတား</v>
      </c>
      <c r="K19" s="15" t="str">
        <f>VLOOKUP(I19,Customers[#Data],4,FALSE)</f>
        <v>Yay</v>
      </c>
      <c r="L19" s="15" t="str">
        <f>VLOOKUP(I19,Customers[#Data],5,FALSE)</f>
        <v>WholeSales</v>
      </c>
      <c r="M19" s="7" t="s">
        <v>7</v>
      </c>
      <c r="N19" s="7" t="s">
        <v>128</v>
      </c>
      <c r="O19" s="14" t="str">
        <f>VLOOKUP(N19,Stock[#Data],2,FALSE)</f>
        <v>BE</v>
      </c>
      <c r="P19" s="44">
        <f>VLOOKUP(N19,Stock[#Data],3,FALSE)</f>
        <v>0</v>
      </c>
      <c r="Q19" s="3">
        <f>VLOOKUP(N19,Stock[#Data],4,FALSE)</f>
        <v>0</v>
      </c>
      <c r="R19" s="3"/>
      <c r="S19" s="8">
        <f>IFERROR(Table4[[#This Row],[Bottle]]/Table4[[#This Row],[ပါဝင်မှု]]+Table4[[#This Row],[SalesPK]],0)</f>
        <v>0</v>
      </c>
      <c r="T19" s="8"/>
      <c r="U19" s="10">
        <f>Table4[[#This Row],[ပါဝင်မှု]]*Table4[[#This Row],[SalesPK]]+Table4[[#This Row],[Bottle]]</f>
        <v>0</v>
      </c>
      <c r="V19" s="10">
        <f>Table4[[#This Row],[SalesBot]]*Table4[[#This Row],[ML]]</f>
        <v>0</v>
      </c>
      <c r="W19" s="1">
        <f>VLOOKUP(N19,Stock[#Data],6,FALSE)</f>
        <v>0</v>
      </c>
      <c r="X19" s="8">
        <f>+Table4[[#This Row],[SalesBot]]*Table4[[#This Row],[နှုံး]]</f>
        <v>0</v>
      </c>
      <c r="Y19" s="7">
        <v>4806000</v>
      </c>
      <c r="Z19" s="8"/>
      <c r="AA19" s="8"/>
      <c r="AB19" s="9">
        <v>46035</v>
      </c>
      <c r="AC19" s="7">
        <v>4806000</v>
      </c>
      <c r="AD19" s="25"/>
      <c r="AE19" s="8"/>
      <c r="AF19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9" s="24"/>
      <c r="AH19" s="266">
        <f>Table4[[#This Row],[Date]]</f>
        <v>46023</v>
      </c>
      <c r="AI19" s="264" t="str">
        <f t="shared" si="4"/>
        <v>Jan</v>
      </c>
      <c r="AJ19" s="264" t="str">
        <f t="shared" si="5"/>
        <v>2026</v>
      </c>
      <c r="AK19" s="270" t="str">
        <f>Table4[[#This Row],[ကုန်သည်အမည်]]</f>
        <v>ကျော်စတား</v>
      </c>
      <c r="AL19" s="270" t="str">
        <f>Table4[[#This Row],[Township]]</f>
        <v>Yay</v>
      </c>
      <c r="AM19" s="271" t="str">
        <f>Table4[[#This Row],[WholeSales]]</f>
        <v>WholeSales</v>
      </c>
      <c r="AN19" s="272" t="str">
        <f>Table4[[#This Row],[Particular]]</f>
        <v>ကုန်ရောင်း(အကြွေး)</v>
      </c>
      <c r="AO19" s="273" t="str">
        <f>Table4[[#This Row],[StockName]]</f>
        <v>BE</v>
      </c>
      <c r="AP19" s="268">
        <f>Table4[[#This Row],[Parking]]</f>
        <v>0</v>
      </c>
      <c r="AQ19" s="268">
        <f>Table4[[#This Row],[SalesBot]]</f>
        <v>0</v>
      </c>
      <c r="AR19" s="268">
        <f>Table4[[#This Row],[Liter]]</f>
        <v>0</v>
      </c>
    </row>
    <row r="20" spans="1:44" s="16" customFormat="1" hidden="1" x14ac:dyDescent="0.5">
      <c r="A20" s="3">
        <f t="shared" si="0"/>
        <v>2026</v>
      </c>
      <c r="B20" s="8">
        <f t="shared" si="1"/>
        <v>1</v>
      </c>
      <c r="C20" s="6">
        <v>46023</v>
      </c>
      <c r="D20" s="15">
        <f t="shared" ca="1" si="2"/>
        <v>46097</v>
      </c>
      <c r="E20" s="8" t="str">
        <f t="shared" ca="1" si="3"/>
        <v>2-Months</v>
      </c>
      <c r="F20" s="8" t="str">
        <f>VLOOKUP(N20,Stock[#Data],5,FALSE)</f>
        <v>BE</v>
      </c>
      <c r="G20" s="61"/>
      <c r="H20" s="15"/>
      <c r="I20" s="49" t="s">
        <v>98</v>
      </c>
      <c r="J20" s="8" t="str">
        <f>VLOOKUP(I20,Customers[#Data],2,FALSE)</f>
        <v>ကိုထိုက်စိုး</v>
      </c>
      <c r="K20" s="15" t="str">
        <f>VLOOKUP(I20,Customers[#Data],4,FALSE)</f>
        <v>Yay</v>
      </c>
      <c r="L20" s="15" t="str">
        <f>VLOOKUP(I20,Customers[#Data],5,FALSE)</f>
        <v>WholeSales</v>
      </c>
      <c r="M20" s="7" t="s">
        <v>7</v>
      </c>
      <c r="N20" s="7" t="s">
        <v>128</v>
      </c>
      <c r="O20" s="14" t="str">
        <f>VLOOKUP(N20,Stock[#Data],2,FALSE)</f>
        <v>BE</v>
      </c>
      <c r="P20" s="44">
        <f>VLOOKUP(N20,Stock[#Data],3,FALSE)</f>
        <v>0</v>
      </c>
      <c r="Q20" s="3">
        <f>VLOOKUP(N20,Stock[#Data],4,FALSE)</f>
        <v>0</v>
      </c>
      <c r="R20" s="3"/>
      <c r="S20" s="8">
        <f>IFERROR(Table4[[#This Row],[Bottle]]/Table4[[#This Row],[ပါဝင်မှု]]+Table4[[#This Row],[SalesPK]],0)</f>
        <v>0</v>
      </c>
      <c r="T20" s="8"/>
      <c r="U20" s="10">
        <f>Table4[[#This Row],[ပါဝင်မှု]]*Table4[[#This Row],[SalesPK]]+Table4[[#This Row],[Bottle]]</f>
        <v>0</v>
      </c>
      <c r="V20" s="10">
        <f>Table4[[#This Row],[SalesBot]]*Table4[[#This Row],[ML]]</f>
        <v>0</v>
      </c>
      <c r="W20" s="1">
        <f>VLOOKUP(N20,Stock[#Data],6,FALSE)</f>
        <v>0</v>
      </c>
      <c r="X20" s="8">
        <f>+Table4[[#This Row],[SalesBot]]*Table4[[#This Row],[နှုံး]]</f>
        <v>0</v>
      </c>
      <c r="Y20" s="7">
        <v>9936000</v>
      </c>
      <c r="Z20" s="8"/>
      <c r="AA20" s="8"/>
      <c r="AB20" s="9"/>
      <c r="AC20" s="7"/>
      <c r="AD20" s="25"/>
      <c r="AE20" s="8"/>
      <c r="AF20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9936000</v>
      </c>
      <c r="AG20" s="24"/>
      <c r="AH20" s="266">
        <f>Table4[[#This Row],[Date]]</f>
        <v>46023</v>
      </c>
      <c r="AI20" s="264" t="str">
        <f t="shared" si="4"/>
        <v>Jan</v>
      </c>
      <c r="AJ20" s="264" t="str">
        <f t="shared" si="5"/>
        <v>2026</v>
      </c>
      <c r="AK20" s="270" t="str">
        <f>Table4[[#This Row],[ကုန်သည်အမည်]]</f>
        <v>ကိုထိုက်စိုး</v>
      </c>
      <c r="AL20" s="270" t="str">
        <f>Table4[[#This Row],[Township]]</f>
        <v>Yay</v>
      </c>
      <c r="AM20" s="271" t="str">
        <f>Table4[[#This Row],[WholeSales]]</f>
        <v>WholeSales</v>
      </c>
      <c r="AN20" s="272" t="str">
        <f>Table4[[#This Row],[Particular]]</f>
        <v>ကုန်ရောင်း(အကြွေး)</v>
      </c>
      <c r="AO20" s="273" t="str">
        <f>Table4[[#This Row],[StockName]]</f>
        <v>BE</v>
      </c>
      <c r="AP20" s="268">
        <f>Table4[[#This Row],[Parking]]</f>
        <v>0</v>
      </c>
      <c r="AQ20" s="268">
        <f>Table4[[#This Row],[SalesBot]]</f>
        <v>0</v>
      </c>
      <c r="AR20" s="268">
        <f>Table4[[#This Row],[Liter]]</f>
        <v>0</v>
      </c>
    </row>
    <row r="21" spans="1:44" s="16" customFormat="1" hidden="1" x14ac:dyDescent="0.5">
      <c r="A21" s="3">
        <f t="shared" si="0"/>
        <v>2026</v>
      </c>
      <c r="B21" s="8">
        <f t="shared" si="1"/>
        <v>1</v>
      </c>
      <c r="C21" s="6">
        <v>46023</v>
      </c>
      <c r="D21" s="15">
        <f t="shared" ca="1" si="2"/>
        <v>46097</v>
      </c>
      <c r="E21" s="8" t="str">
        <f t="shared" ca="1" si="3"/>
        <v>2-Months</v>
      </c>
      <c r="F21" s="8" t="str">
        <f>VLOOKUP(N21,Stock[#Data],5,FALSE)</f>
        <v>BE</v>
      </c>
      <c r="G21" s="61"/>
      <c r="H21" s="15"/>
      <c r="I21" s="49" t="s">
        <v>101</v>
      </c>
      <c r="J21" s="8" t="str">
        <f>VLOOKUP(I21,Customers[#Data],2,FALSE)</f>
        <v>ကိုမောင်+မသူဇာ</v>
      </c>
      <c r="K21" s="15" t="str">
        <f>VLOOKUP(I21,Customers[#Data],4,FALSE)</f>
        <v>Yay</v>
      </c>
      <c r="L21" s="15" t="str">
        <f>VLOOKUP(I21,Customers[#Data],5,FALSE)</f>
        <v>WholeSales</v>
      </c>
      <c r="M21" s="7" t="s">
        <v>7</v>
      </c>
      <c r="N21" s="7" t="s">
        <v>128</v>
      </c>
      <c r="O21" s="14" t="str">
        <f>VLOOKUP(N21,Stock[#Data],2,FALSE)</f>
        <v>BE</v>
      </c>
      <c r="P21" s="44">
        <f>VLOOKUP(N21,Stock[#Data],3,FALSE)</f>
        <v>0</v>
      </c>
      <c r="Q21" s="3">
        <f>VLOOKUP(N21,Stock[#Data],4,FALSE)</f>
        <v>0</v>
      </c>
      <c r="R21" s="3"/>
      <c r="S21" s="8">
        <f>IFERROR(Table4[[#This Row],[Bottle]]/Table4[[#This Row],[ပါဝင်မှု]]+Table4[[#This Row],[SalesPK]],0)</f>
        <v>0</v>
      </c>
      <c r="T21" s="8"/>
      <c r="U21" s="10">
        <f>Table4[[#This Row],[ပါဝင်မှု]]*Table4[[#This Row],[SalesPK]]+Table4[[#This Row],[Bottle]]</f>
        <v>0</v>
      </c>
      <c r="V21" s="10">
        <f>Table4[[#This Row],[SalesBot]]*Table4[[#This Row],[ML]]</f>
        <v>0</v>
      </c>
      <c r="W21" s="1">
        <f>VLOOKUP(N21,Stock[#Data],6,FALSE)</f>
        <v>0</v>
      </c>
      <c r="X21" s="8">
        <f>+Table4[[#This Row],[SalesBot]]*Table4[[#This Row],[နှုံး]]</f>
        <v>0</v>
      </c>
      <c r="Y21" s="7">
        <v>2052000</v>
      </c>
      <c r="Z21" s="8"/>
      <c r="AA21" s="8"/>
      <c r="AB21" s="9">
        <v>46034</v>
      </c>
      <c r="AC21" s="7">
        <v>2052000</v>
      </c>
      <c r="AD21" s="8"/>
      <c r="AE21" s="8"/>
      <c r="AF21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1" s="24"/>
      <c r="AH21" s="266">
        <f>Table4[[#This Row],[Date]]</f>
        <v>46023</v>
      </c>
      <c r="AI21" s="264" t="str">
        <f t="shared" si="4"/>
        <v>Jan</v>
      </c>
      <c r="AJ21" s="264" t="str">
        <f t="shared" si="5"/>
        <v>2026</v>
      </c>
      <c r="AK21" s="270" t="str">
        <f>Table4[[#This Row],[ကုန်သည်အမည်]]</f>
        <v>ကိုမောင်+မသူဇာ</v>
      </c>
      <c r="AL21" s="270" t="str">
        <f>Table4[[#This Row],[Township]]</f>
        <v>Yay</v>
      </c>
      <c r="AM21" s="271" t="str">
        <f>Table4[[#This Row],[WholeSales]]</f>
        <v>WholeSales</v>
      </c>
      <c r="AN21" s="272" t="str">
        <f>Table4[[#This Row],[Particular]]</f>
        <v>ကုန်ရောင်း(အကြွေး)</v>
      </c>
      <c r="AO21" s="273" t="str">
        <f>Table4[[#This Row],[StockName]]</f>
        <v>BE</v>
      </c>
      <c r="AP21" s="268">
        <f>Table4[[#This Row],[Parking]]</f>
        <v>0</v>
      </c>
      <c r="AQ21" s="268">
        <f>Table4[[#This Row],[SalesBot]]</f>
        <v>0</v>
      </c>
      <c r="AR21" s="268">
        <f>Table4[[#This Row],[Liter]]</f>
        <v>0</v>
      </c>
    </row>
    <row r="22" spans="1:44" s="16" customFormat="1" hidden="1" x14ac:dyDescent="0.5">
      <c r="A22" s="3">
        <f t="shared" si="0"/>
        <v>2026</v>
      </c>
      <c r="B22" s="8">
        <f t="shared" si="1"/>
        <v>1</v>
      </c>
      <c r="C22" s="6">
        <v>46023</v>
      </c>
      <c r="D22" s="15">
        <f t="shared" ca="1" si="2"/>
        <v>46097</v>
      </c>
      <c r="E22" s="8" t="str">
        <f t="shared" ca="1" si="3"/>
        <v>2-Months</v>
      </c>
      <c r="F22" s="8" t="str">
        <f>VLOOKUP(N22,Stock[#Data],5,FALSE)</f>
        <v>BE</v>
      </c>
      <c r="G22" s="61"/>
      <c r="H22" s="15"/>
      <c r="I22" s="7" t="s">
        <v>101</v>
      </c>
      <c r="J22" s="8" t="str">
        <f>VLOOKUP(I22,Customers[#Data],2,FALSE)</f>
        <v>ကိုမောင်+မသူဇာ</v>
      </c>
      <c r="K22" s="15" t="str">
        <f>VLOOKUP(I22,Customers[#Data],4,FALSE)</f>
        <v>Yay</v>
      </c>
      <c r="L22" s="15" t="str">
        <f>VLOOKUP(I22,Customers[#Data],5,FALSE)</f>
        <v>WholeSales</v>
      </c>
      <c r="M22" s="7" t="s">
        <v>7</v>
      </c>
      <c r="N22" s="7" t="s">
        <v>128</v>
      </c>
      <c r="O22" s="14" t="str">
        <f>VLOOKUP(N22,Stock[#Data],2,FALSE)</f>
        <v>BE</v>
      </c>
      <c r="P22" s="44">
        <f>VLOOKUP(N22,Stock[#Data],3,FALSE)</f>
        <v>0</v>
      </c>
      <c r="Q22" s="3">
        <f>VLOOKUP(N22,Stock[#Data],4,FALSE)</f>
        <v>0</v>
      </c>
      <c r="R22" s="3"/>
      <c r="S22" s="8">
        <f>IFERROR(Table4[[#This Row],[Bottle]]/Table4[[#This Row],[ပါဝင်မှု]]+Table4[[#This Row],[SalesPK]],0)</f>
        <v>0</v>
      </c>
      <c r="T22" s="8"/>
      <c r="U22" s="10">
        <f>Table4[[#This Row],[ပါဝင်မှု]]*Table4[[#This Row],[SalesPK]]+Table4[[#This Row],[Bottle]]</f>
        <v>0</v>
      </c>
      <c r="V22" s="10">
        <f>Table4[[#This Row],[SalesBot]]*Table4[[#This Row],[ML]]</f>
        <v>0</v>
      </c>
      <c r="W22" s="1">
        <f>VLOOKUP(N22,Stock[#Data],6,FALSE)</f>
        <v>0</v>
      </c>
      <c r="X22" s="8">
        <f>+Table4[[#This Row],[SalesBot]]*Table4[[#This Row],[နှုံး]]</f>
        <v>0</v>
      </c>
      <c r="Y22" s="7">
        <v>2052000</v>
      </c>
      <c r="Z22" s="8"/>
      <c r="AA22" s="8"/>
      <c r="AB22" s="9">
        <v>46034</v>
      </c>
      <c r="AC22" s="7">
        <v>2052000</v>
      </c>
      <c r="AD22" s="8"/>
      <c r="AE22" s="8"/>
      <c r="AF22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2" s="24"/>
      <c r="AH22" s="266">
        <f>Table4[[#This Row],[Date]]</f>
        <v>46023</v>
      </c>
      <c r="AI22" s="264" t="str">
        <f t="shared" si="4"/>
        <v>Jan</v>
      </c>
      <c r="AJ22" s="264" t="str">
        <f t="shared" si="5"/>
        <v>2026</v>
      </c>
      <c r="AK22" s="270" t="str">
        <f>Table4[[#This Row],[ကုန်သည်အမည်]]</f>
        <v>ကိုမောင်+မသူဇာ</v>
      </c>
      <c r="AL22" s="270" t="str">
        <f>Table4[[#This Row],[Township]]</f>
        <v>Yay</v>
      </c>
      <c r="AM22" s="271" t="str">
        <f>Table4[[#This Row],[WholeSales]]</f>
        <v>WholeSales</v>
      </c>
      <c r="AN22" s="272" t="str">
        <f>Table4[[#This Row],[Particular]]</f>
        <v>ကုန်ရောင်း(အကြွေး)</v>
      </c>
      <c r="AO22" s="273" t="str">
        <f>Table4[[#This Row],[StockName]]</f>
        <v>BE</v>
      </c>
      <c r="AP22" s="268">
        <f>Table4[[#This Row],[Parking]]</f>
        <v>0</v>
      </c>
      <c r="AQ22" s="268">
        <f>Table4[[#This Row],[SalesBot]]</f>
        <v>0</v>
      </c>
      <c r="AR22" s="268">
        <f>Table4[[#This Row],[Liter]]</f>
        <v>0</v>
      </c>
    </row>
    <row r="23" spans="1:44" s="16" customFormat="1" hidden="1" x14ac:dyDescent="0.5">
      <c r="A23" s="3">
        <f t="shared" si="0"/>
        <v>2026</v>
      </c>
      <c r="B23" s="8">
        <f t="shared" si="1"/>
        <v>1</v>
      </c>
      <c r="C23" s="6">
        <v>46023</v>
      </c>
      <c r="D23" s="15">
        <f t="shared" ca="1" si="2"/>
        <v>46097</v>
      </c>
      <c r="E23" s="8" t="str">
        <f t="shared" ca="1" si="3"/>
        <v>2-Months</v>
      </c>
      <c r="F23" s="8" t="str">
        <f>VLOOKUP(N23,Stock[#Data],5,FALSE)</f>
        <v>BE</v>
      </c>
      <c r="G23" s="61"/>
      <c r="H23" s="15"/>
      <c r="I23" s="7" t="s">
        <v>101</v>
      </c>
      <c r="J23" s="8" t="str">
        <f>VLOOKUP(I23,Customers[#Data],2,FALSE)</f>
        <v>ကိုမောင်+မသူဇာ</v>
      </c>
      <c r="K23" s="15" t="str">
        <f>VLOOKUP(I23,Customers[#Data],4,FALSE)</f>
        <v>Yay</v>
      </c>
      <c r="L23" s="15" t="str">
        <f>VLOOKUP(I23,Customers[#Data],5,FALSE)</f>
        <v>WholeSales</v>
      </c>
      <c r="M23" s="7" t="s">
        <v>7</v>
      </c>
      <c r="N23" s="7" t="s">
        <v>128</v>
      </c>
      <c r="O23" s="14" t="str">
        <f>VLOOKUP(N23,Stock[#Data],2,FALSE)</f>
        <v>BE</v>
      </c>
      <c r="P23" s="44">
        <f>VLOOKUP(N23,Stock[#Data],3,FALSE)</f>
        <v>0</v>
      </c>
      <c r="Q23" s="3">
        <f>VLOOKUP(N23,Stock[#Data],4,FALSE)</f>
        <v>0</v>
      </c>
      <c r="R23" s="3"/>
      <c r="S23" s="8">
        <f>IFERROR(Table4[[#This Row],[Bottle]]/Table4[[#This Row],[ပါဝင်မှု]]+Table4[[#This Row],[SalesPK]],0)</f>
        <v>0</v>
      </c>
      <c r="T23" s="8"/>
      <c r="U23" s="10">
        <f>Table4[[#This Row],[ပါဝင်မှု]]*Table4[[#This Row],[SalesPK]]+Table4[[#This Row],[Bottle]]</f>
        <v>0</v>
      </c>
      <c r="V23" s="10">
        <f>Table4[[#This Row],[SalesBot]]*Table4[[#This Row],[ML]]</f>
        <v>0</v>
      </c>
      <c r="W23" s="1">
        <f>VLOOKUP(N23,Stock[#Data],6,FALSE)</f>
        <v>0</v>
      </c>
      <c r="X23" s="8">
        <f>+Table4[[#This Row],[SalesBot]]*Table4[[#This Row],[နှုံး]]</f>
        <v>0</v>
      </c>
      <c r="Y23" s="7">
        <v>1026000</v>
      </c>
      <c r="Z23" s="8"/>
      <c r="AA23" s="8"/>
      <c r="AB23" s="9">
        <v>46024</v>
      </c>
      <c r="AC23" s="7">
        <v>1026000</v>
      </c>
      <c r="AD23" s="9"/>
      <c r="AE23" s="7"/>
      <c r="AF23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3" s="24"/>
      <c r="AH23" s="266">
        <f>Table4[[#This Row],[Date]]</f>
        <v>46023</v>
      </c>
      <c r="AI23" s="264" t="str">
        <f t="shared" si="4"/>
        <v>Jan</v>
      </c>
      <c r="AJ23" s="264" t="str">
        <f t="shared" si="5"/>
        <v>2026</v>
      </c>
      <c r="AK23" s="270" t="str">
        <f>Table4[[#This Row],[ကုန်သည်အမည်]]</f>
        <v>ကိုမောင်+မသူဇာ</v>
      </c>
      <c r="AL23" s="270" t="str">
        <f>Table4[[#This Row],[Township]]</f>
        <v>Yay</v>
      </c>
      <c r="AM23" s="271" t="str">
        <f>Table4[[#This Row],[WholeSales]]</f>
        <v>WholeSales</v>
      </c>
      <c r="AN23" s="272" t="str">
        <f>Table4[[#This Row],[Particular]]</f>
        <v>ကုန်ရောင်း(အကြွေး)</v>
      </c>
      <c r="AO23" s="273" t="str">
        <f>Table4[[#This Row],[StockName]]</f>
        <v>BE</v>
      </c>
      <c r="AP23" s="268">
        <f>Table4[[#This Row],[Parking]]</f>
        <v>0</v>
      </c>
      <c r="AQ23" s="268">
        <f>Table4[[#This Row],[SalesBot]]</f>
        <v>0</v>
      </c>
      <c r="AR23" s="268">
        <f>Table4[[#This Row],[Liter]]</f>
        <v>0</v>
      </c>
    </row>
    <row r="24" spans="1:44" s="16" customFormat="1" hidden="1" x14ac:dyDescent="0.5">
      <c r="A24" s="3">
        <f t="shared" si="0"/>
        <v>2026</v>
      </c>
      <c r="B24" s="8">
        <f t="shared" si="1"/>
        <v>1</v>
      </c>
      <c r="C24" s="6">
        <v>46023</v>
      </c>
      <c r="D24" s="15">
        <f t="shared" ca="1" si="2"/>
        <v>46097</v>
      </c>
      <c r="E24" s="8" t="str">
        <f t="shared" ca="1" si="3"/>
        <v>2-Months</v>
      </c>
      <c r="F24" s="8" t="str">
        <f>VLOOKUP(N24,Stock[#Data],5,FALSE)</f>
        <v>BE</v>
      </c>
      <c r="G24" s="61"/>
      <c r="H24" s="15"/>
      <c r="I24" s="7" t="s">
        <v>101</v>
      </c>
      <c r="J24" s="8" t="str">
        <f>VLOOKUP(I24,Customers[#Data],2,FALSE)</f>
        <v>ကိုမောင်+မသူဇာ</v>
      </c>
      <c r="K24" s="15" t="str">
        <f>VLOOKUP(I24,Customers[#Data],4,FALSE)</f>
        <v>Yay</v>
      </c>
      <c r="L24" s="15" t="str">
        <f>VLOOKUP(I24,Customers[#Data],5,FALSE)</f>
        <v>WholeSales</v>
      </c>
      <c r="M24" s="7" t="s">
        <v>7</v>
      </c>
      <c r="N24" s="7" t="s">
        <v>128</v>
      </c>
      <c r="O24" s="14" t="str">
        <f>VLOOKUP(N24,Stock[#Data],2,FALSE)</f>
        <v>BE</v>
      </c>
      <c r="P24" s="44">
        <f>VLOOKUP(N24,Stock[#Data],3,FALSE)</f>
        <v>0</v>
      </c>
      <c r="Q24" s="3">
        <f>VLOOKUP(N24,Stock[#Data],4,FALSE)</f>
        <v>0</v>
      </c>
      <c r="R24" s="3"/>
      <c r="S24" s="8">
        <f>IFERROR(Table4[[#This Row],[Bottle]]/Table4[[#This Row],[ပါဝင်မှု]]+Table4[[#This Row],[SalesPK]],0)</f>
        <v>0</v>
      </c>
      <c r="T24" s="8"/>
      <c r="U24" s="10">
        <f>Table4[[#This Row],[ပါဝင်မှု]]*Table4[[#This Row],[SalesPK]]+Table4[[#This Row],[Bottle]]</f>
        <v>0</v>
      </c>
      <c r="V24" s="10">
        <f>Table4[[#This Row],[SalesBot]]*Table4[[#This Row],[ML]]</f>
        <v>0</v>
      </c>
      <c r="W24" s="1">
        <f>VLOOKUP(N24,Stock[#Data],6,FALSE)</f>
        <v>0</v>
      </c>
      <c r="X24" s="8">
        <f>+Table4[[#This Row],[SalesBot]]*Table4[[#This Row],[နှုံး]]</f>
        <v>0</v>
      </c>
      <c r="Y24" s="7">
        <v>615600</v>
      </c>
      <c r="Z24" s="8"/>
      <c r="AA24" s="8"/>
      <c r="AB24" s="9">
        <v>46024</v>
      </c>
      <c r="AC24" s="7">
        <v>615600</v>
      </c>
      <c r="AD24" s="8"/>
      <c r="AE24" s="8"/>
      <c r="AF24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4" s="24"/>
      <c r="AH24" s="266">
        <f>Table4[[#This Row],[Date]]</f>
        <v>46023</v>
      </c>
      <c r="AI24" s="264" t="str">
        <f t="shared" si="4"/>
        <v>Jan</v>
      </c>
      <c r="AJ24" s="264" t="str">
        <f t="shared" si="5"/>
        <v>2026</v>
      </c>
      <c r="AK24" s="270" t="str">
        <f>Table4[[#This Row],[ကုန်သည်အမည်]]</f>
        <v>ကိုမောင်+မသူဇာ</v>
      </c>
      <c r="AL24" s="270" t="str">
        <f>Table4[[#This Row],[Township]]</f>
        <v>Yay</v>
      </c>
      <c r="AM24" s="271" t="str">
        <f>Table4[[#This Row],[WholeSales]]</f>
        <v>WholeSales</v>
      </c>
      <c r="AN24" s="272" t="str">
        <f>Table4[[#This Row],[Particular]]</f>
        <v>ကုန်ရောင်း(အကြွေး)</v>
      </c>
      <c r="AO24" s="273" t="str">
        <f>Table4[[#This Row],[StockName]]</f>
        <v>BE</v>
      </c>
      <c r="AP24" s="268">
        <f>Table4[[#This Row],[Parking]]</f>
        <v>0</v>
      </c>
      <c r="AQ24" s="268">
        <f>Table4[[#This Row],[SalesBot]]</f>
        <v>0</v>
      </c>
      <c r="AR24" s="268">
        <f>Table4[[#This Row],[Liter]]</f>
        <v>0</v>
      </c>
    </row>
    <row r="25" spans="1:44" s="16" customFormat="1" hidden="1" x14ac:dyDescent="0.5">
      <c r="A25" s="3">
        <f t="shared" si="0"/>
        <v>2026</v>
      </c>
      <c r="B25" s="8">
        <f t="shared" si="1"/>
        <v>1</v>
      </c>
      <c r="C25" s="6">
        <v>46023</v>
      </c>
      <c r="D25" s="15">
        <f t="shared" ca="1" si="2"/>
        <v>46097</v>
      </c>
      <c r="E25" s="8" t="str">
        <f t="shared" ca="1" si="3"/>
        <v>2-Months</v>
      </c>
      <c r="F25" s="8" t="str">
        <f>VLOOKUP(N25,Stock[#Data],5,FALSE)</f>
        <v>BE</v>
      </c>
      <c r="G25" s="61"/>
      <c r="H25" s="15"/>
      <c r="I25" s="7" t="s">
        <v>101</v>
      </c>
      <c r="J25" s="8" t="str">
        <f>VLOOKUP(I25,Customers[#Data],2,FALSE)</f>
        <v>ကိုမောင်+မသူဇာ</v>
      </c>
      <c r="K25" s="15" t="str">
        <f>VLOOKUP(I25,Customers[#Data],4,FALSE)</f>
        <v>Yay</v>
      </c>
      <c r="L25" s="15" t="str">
        <f>VLOOKUP(I25,Customers[#Data],5,FALSE)</f>
        <v>WholeSales</v>
      </c>
      <c r="M25" s="7" t="s">
        <v>7</v>
      </c>
      <c r="N25" s="7" t="s">
        <v>128</v>
      </c>
      <c r="O25" s="14" t="str">
        <f>VLOOKUP(N25,Stock[#Data],2,FALSE)</f>
        <v>BE</v>
      </c>
      <c r="P25" s="44">
        <f>VLOOKUP(N25,Stock[#Data],3,FALSE)</f>
        <v>0</v>
      </c>
      <c r="Q25" s="3">
        <f>VLOOKUP(N25,Stock[#Data],4,FALSE)</f>
        <v>0</v>
      </c>
      <c r="R25" s="3"/>
      <c r="S25" s="8">
        <f>IFERROR(Table4[[#This Row],[Bottle]]/Table4[[#This Row],[ပါဝင်မှု]]+Table4[[#This Row],[SalesPK]],0)</f>
        <v>0</v>
      </c>
      <c r="T25" s="8"/>
      <c r="U25" s="10">
        <f>Table4[[#This Row],[ပါဝင်မှု]]*Table4[[#This Row],[SalesPK]]+Table4[[#This Row],[Bottle]]</f>
        <v>0</v>
      </c>
      <c r="V25" s="10">
        <f>Table4[[#This Row],[SalesBot]]*Table4[[#This Row],[ML]]</f>
        <v>0</v>
      </c>
      <c r="W25" s="1">
        <f>VLOOKUP(N25,Stock[#Data],6,FALSE)</f>
        <v>0</v>
      </c>
      <c r="X25" s="8">
        <f>+Table4[[#This Row],[SalesBot]]*Table4[[#This Row],[နှုံး]]</f>
        <v>0</v>
      </c>
      <c r="Y25" s="7">
        <v>410400</v>
      </c>
      <c r="Z25" s="8"/>
      <c r="AA25" s="8"/>
      <c r="AB25" s="9">
        <v>46024</v>
      </c>
      <c r="AC25" s="7">
        <v>410400</v>
      </c>
      <c r="AD25" s="25"/>
      <c r="AE25" s="8"/>
      <c r="AF25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5" s="24"/>
      <c r="AH25" s="266">
        <f>Table4[[#This Row],[Date]]</f>
        <v>46023</v>
      </c>
      <c r="AI25" s="264" t="str">
        <f t="shared" si="4"/>
        <v>Jan</v>
      </c>
      <c r="AJ25" s="264" t="str">
        <f t="shared" si="5"/>
        <v>2026</v>
      </c>
      <c r="AK25" s="270" t="str">
        <f>Table4[[#This Row],[ကုန်သည်အမည်]]</f>
        <v>ကိုမောင်+မသူဇာ</v>
      </c>
      <c r="AL25" s="270" t="str">
        <f>Table4[[#This Row],[Township]]</f>
        <v>Yay</v>
      </c>
      <c r="AM25" s="271" t="str">
        <f>Table4[[#This Row],[WholeSales]]</f>
        <v>WholeSales</v>
      </c>
      <c r="AN25" s="272" t="str">
        <f>Table4[[#This Row],[Particular]]</f>
        <v>ကုန်ရောင်း(အကြွေး)</v>
      </c>
      <c r="AO25" s="273" t="str">
        <f>Table4[[#This Row],[StockName]]</f>
        <v>BE</v>
      </c>
      <c r="AP25" s="268">
        <f>Table4[[#This Row],[Parking]]</f>
        <v>0</v>
      </c>
      <c r="AQ25" s="268">
        <f>Table4[[#This Row],[SalesBot]]</f>
        <v>0</v>
      </c>
      <c r="AR25" s="268">
        <f>Table4[[#This Row],[Liter]]</f>
        <v>0</v>
      </c>
    </row>
    <row r="26" spans="1:44" s="16" customFormat="1" hidden="1" x14ac:dyDescent="0.5">
      <c r="A26" s="3">
        <f t="shared" si="0"/>
        <v>2026</v>
      </c>
      <c r="B26" s="8">
        <f t="shared" si="1"/>
        <v>1</v>
      </c>
      <c r="C26" s="6">
        <v>46023</v>
      </c>
      <c r="D26" s="15">
        <f t="shared" ca="1" si="2"/>
        <v>46097</v>
      </c>
      <c r="E26" s="8" t="str">
        <f t="shared" ca="1" si="3"/>
        <v>2-Months</v>
      </c>
      <c r="F26" s="8" t="str">
        <f>VLOOKUP(N26,Stock[#Data],5,FALSE)</f>
        <v>BE</v>
      </c>
      <c r="G26" s="61"/>
      <c r="H26" s="15"/>
      <c r="I26" s="7" t="s">
        <v>101</v>
      </c>
      <c r="J26" s="8" t="str">
        <f>VLOOKUP(I26,Customers[#Data],2,FALSE)</f>
        <v>ကိုမောင်+မသူဇာ</v>
      </c>
      <c r="K26" s="15" t="str">
        <f>VLOOKUP(I26,Customers[#Data],4,FALSE)</f>
        <v>Yay</v>
      </c>
      <c r="L26" s="15" t="str">
        <f>VLOOKUP(I26,Customers[#Data],5,FALSE)</f>
        <v>WholeSales</v>
      </c>
      <c r="M26" s="7" t="s">
        <v>7</v>
      </c>
      <c r="N26" s="7" t="s">
        <v>128</v>
      </c>
      <c r="O26" s="14" t="str">
        <f>VLOOKUP(N26,Stock[#Data],2,FALSE)</f>
        <v>BE</v>
      </c>
      <c r="P26" s="44">
        <f>VLOOKUP(N26,Stock[#Data],3,FALSE)</f>
        <v>0</v>
      </c>
      <c r="Q26" s="3">
        <f>VLOOKUP(N26,Stock[#Data],4,FALSE)</f>
        <v>0</v>
      </c>
      <c r="R26" s="3"/>
      <c r="S26" s="8">
        <f>IFERROR(Table4[[#This Row],[Bottle]]/Table4[[#This Row],[ပါဝင်မှု]]+Table4[[#This Row],[SalesPK]],0)</f>
        <v>0</v>
      </c>
      <c r="T26" s="8"/>
      <c r="U26" s="10">
        <f>Table4[[#This Row],[ပါဝင်မှု]]*Table4[[#This Row],[SalesPK]]+Table4[[#This Row],[Bottle]]</f>
        <v>0</v>
      </c>
      <c r="V26" s="10">
        <f>Table4[[#This Row],[SalesBot]]*Table4[[#This Row],[ML]]</f>
        <v>0</v>
      </c>
      <c r="W26" s="1">
        <f>VLOOKUP(N26,Stock[#Data],6,FALSE)</f>
        <v>0</v>
      </c>
      <c r="X26" s="8">
        <f>+Table4[[#This Row],[SalesBot]]*Table4[[#This Row],[နှုံး]]</f>
        <v>0</v>
      </c>
      <c r="Y26" s="7">
        <v>1026000</v>
      </c>
      <c r="Z26" s="8"/>
      <c r="AA26" s="8"/>
      <c r="AB26" s="9">
        <v>46041</v>
      </c>
      <c r="AC26" s="7">
        <v>1026000</v>
      </c>
      <c r="AD26" s="25"/>
      <c r="AE26" s="8"/>
      <c r="AF26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6" s="24"/>
      <c r="AH26" s="266">
        <f>Table4[[#This Row],[Date]]</f>
        <v>46023</v>
      </c>
      <c r="AI26" s="264" t="str">
        <f t="shared" si="4"/>
        <v>Jan</v>
      </c>
      <c r="AJ26" s="264" t="str">
        <f t="shared" si="5"/>
        <v>2026</v>
      </c>
      <c r="AK26" s="270" t="str">
        <f>Table4[[#This Row],[ကုန်သည်အမည်]]</f>
        <v>ကိုမောင်+မသူဇာ</v>
      </c>
      <c r="AL26" s="270" t="str">
        <f>Table4[[#This Row],[Township]]</f>
        <v>Yay</v>
      </c>
      <c r="AM26" s="271" t="str">
        <f>Table4[[#This Row],[WholeSales]]</f>
        <v>WholeSales</v>
      </c>
      <c r="AN26" s="272" t="str">
        <f>Table4[[#This Row],[Particular]]</f>
        <v>ကုန်ရောင်း(အကြွေး)</v>
      </c>
      <c r="AO26" s="273" t="str">
        <f>Table4[[#This Row],[StockName]]</f>
        <v>BE</v>
      </c>
      <c r="AP26" s="268">
        <f>Table4[[#This Row],[Parking]]</f>
        <v>0</v>
      </c>
      <c r="AQ26" s="268">
        <f>Table4[[#This Row],[SalesBot]]</f>
        <v>0</v>
      </c>
      <c r="AR26" s="268">
        <f>Table4[[#This Row],[Liter]]</f>
        <v>0</v>
      </c>
    </row>
    <row r="27" spans="1:44" s="16" customFormat="1" hidden="1" x14ac:dyDescent="0.5">
      <c r="A27" s="3">
        <f t="shared" si="0"/>
        <v>2026</v>
      </c>
      <c r="B27" s="8">
        <f t="shared" si="1"/>
        <v>1</v>
      </c>
      <c r="C27" s="6">
        <v>46023</v>
      </c>
      <c r="D27" s="15">
        <f t="shared" ca="1" si="2"/>
        <v>46097</v>
      </c>
      <c r="E27" s="8" t="str">
        <f t="shared" ca="1" si="3"/>
        <v>2-Months</v>
      </c>
      <c r="F27" s="8" t="str">
        <f>VLOOKUP(N27,Stock[#Data],5,FALSE)</f>
        <v>BE</v>
      </c>
      <c r="G27" s="61"/>
      <c r="H27" s="15"/>
      <c r="I27" s="7" t="s">
        <v>101</v>
      </c>
      <c r="J27" s="8" t="str">
        <f>VLOOKUP(I27,Customers[#Data],2,FALSE)</f>
        <v>ကိုမောင်+မသူဇာ</v>
      </c>
      <c r="K27" s="15" t="str">
        <f>VLOOKUP(I27,Customers[#Data],4,FALSE)</f>
        <v>Yay</v>
      </c>
      <c r="L27" s="15" t="str">
        <f>VLOOKUP(I27,Customers[#Data],5,FALSE)</f>
        <v>WholeSales</v>
      </c>
      <c r="M27" s="7" t="s">
        <v>7</v>
      </c>
      <c r="N27" s="7" t="s">
        <v>128</v>
      </c>
      <c r="O27" s="14" t="str">
        <f>VLOOKUP(N27,Stock[#Data],2,FALSE)</f>
        <v>BE</v>
      </c>
      <c r="P27" s="44">
        <f>VLOOKUP(N27,Stock[#Data],3,FALSE)</f>
        <v>0</v>
      </c>
      <c r="Q27" s="3">
        <f>VLOOKUP(N27,Stock[#Data],4,FALSE)</f>
        <v>0</v>
      </c>
      <c r="R27" s="3"/>
      <c r="S27" s="8">
        <f>IFERROR(Table4[[#This Row],[Bottle]]/Table4[[#This Row],[ပါဝင်မှု]]+Table4[[#This Row],[SalesPK]],0)</f>
        <v>0</v>
      </c>
      <c r="T27" s="8"/>
      <c r="U27" s="10">
        <f>Table4[[#This Row],[ပါဝင်မှု]]*Table4[[#This Row],[SalesPK]]+Table4[[#This Row],[Bottle]]</f>
        <v>0</v>
      </c>
      <c r="V27" s="10">
        <f>Table4[[#This Row],[SalesBot]]*Table4[[#This Row],[ML]]</f>
        <v>0</v>
      </c>
      <c r="W27" s="1">
        <f>VLOOKUP(N27,Stock[#Data],6,FALSE)</f>
        <v>0</v>
      </c>
      <c r="X27" s="8">
        <f>+Table4[[#This Row],[SalesBot]]*Table4[[#This Row],[နှုံး]]</f>
        <v>0</v>
      </c>
      <c r="Y27" s="7">
        <v>1026000</v>
      </c>
      <c r="Z27" s="8"/>
      <c r="AA27" s="8"/>
      <c r="AB27" s="9">
        <v>46041</v>
      </c>
      <c r="AC27" s="49">
        <v>1026000</v>
      </c>
      <c r="AD27" s="8"/>
      <c r="AE27" s="8"/>
      <c r="AF27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7" s="24"/>
      <c r="AH27" s="266">
        <f>Table4[[#This Row],[Date]]</f>
        <v>46023</v>
      </c>
      <c r="AI27" s="264" t="str">
        <f t="shared" si="4"/>
        <v>Jan</v>
      </c>
      <c r="AJ27" s="264" t="str">
        <f t="shared" si="5"/>
        <v>2026</v>
      </c>
      <c r="AK27" s="270" t="str">
        <f>Table4[[#This Row],[ကုန်သည်အမည်]]</f>
        <v>ကိုမောင်+မသူဇာ</v>
      </c>
      <c r="AL27" s="270" t="str">
        <f>Table4[[#This Row],[Township]]</f>
        <v>Yay</v>
      </c>
      <c r="AM27" s="271" t="str">
        <f>Table4[[#This Row],[WholeSales]]</f>
        <v>WholeSales</v>
      </c>
      <c r="AN27" s="272" t="str">
        <f>Table4[[#This Row],[Particular]]</f>
        <v>ကုန်ရောင်း(အကြွေး)</v>
      </c>
      <c r="AO27" s="273" t="str">
        <f>Table4[[#This Row],[StockName]]</f>
        <v>BE</v>
      </c>
      <c r="AP27" s="268">
        <f>Table4[[#This Row],[Parking]]</f>
        <v>0</v>
      </c>
      <c r="AQ27" s="268">
        <f>Table4[[#This Row],[SalesBot]]</f>
        <v>0</v>
      </c>
      <c r="AR27" s="268">
        <f>Table4[[#This Row],[Liter]]</f>
        <v>0</v>
      </c>
    </row>
    <row r="28" spans="1:44" s="16" customFormat="1" hidden="1" x14ac:dyDescent="0.5">
      <c r="A28" s="3">
        <f t="shared" si="0"/>
        <v>2026</v>
      </c>
      <c r="B28" s="8">
        <f t="shared" si="1"/>
        <v>1</v>
      </c>
      <c r="C28" s="6">
        <v>46023</v>
      </c>
      <c r="D28" s="15">
        <f t="shared" ca="1" si="2"/>
        <v>46097</v>
      </c>
      <c r="E28" s="8" t="str">
        <f t="shared" ca="1" si="3"/>
        <v>2-Months</v>
      </c>
      <c r="F28" s="8" t="str">
        <f>VLOOKUP(N28,Stock[#Data],5,FALSE)</f>
        <v>BE</v>
      </c>
      <c r="G28" s="61"/>
      <c r="H28" s="15"/>
      <c r="I28" s="7" t="s">
        <v>101</v>
      </c>
      <c r="J28" s="8" t="str">
        <f>VLOOKUP(I28,Customers[#Data],2,FALSE)</f>
        <v>ကိုမောင်+မသူဇာ</v>
      </c>
      <c r="K28" s="15" t="str">
        <f>VLOOKUP(I28,Customers[#Data],4,FALSE)</f>
        <v>Yay</v>
      </c>
      <c r="L28" s="15" t="str">
        <f>VLOOKUP(I28,Customers[#Data],5,FALSE)</f>
        <v>WholeSales</v>
      </c>
      <c r="M28" s="7" t="s">
        <v>7</v>
      </c>
      <c r="N28" s="7" t="s">
        <v>128</v>
      </c>
      <c r="O28" s="14" t="str">
        <f>VLOOKUP(N28,Stock[#Data],2,FALSE)</f>
        <v>BE</v>
      </c>
      <c r="P28" s="44">
        <f>VLOOKUP(N28,Stock[#Data],3,FALSE)</f>
        <v>0</v>
      </c>
      <c r="Q28" s="3">
        <f>VLOOKUP(N28,Stock[#Data],4,FALSE)</f>
        <v>0</v>
      </c>
      <c r="R28" s="3"/>
      <c r="S28" s="8">
        <f>IFERROR(Table4[[#This Row],[Bottle]]/Table4[[#This Row],[ပါဝင်မှု]]+Table4[[#This Row],[SalesPK]],0)</f>
        <v>0</v>
      </c>
      <c r="T28" s="8"/>
      <c r="U28" s="10">
        <f>Table4[[#This Row],[ပါဝင်မှု]]*Table4[[#This Row],[SalesPK]]+Table4[[#This Row],[Bottle]]</f>
        <v>0</v>
      </c>
      <c r="V28" s="10">
        <f>Table4[[#This Row],[SalesBot]]*Table4[[#This Row],[ML]]</f>
        <v>0</v>
      </c>
      <c r="W28" s="1">
        <f>VLOOKUP(N28,Stock[#Data],6,FALSE)</f>
        <v>0</v>
      </c>
      <c r="X28" s="8">
        <f>+Table4[[#This Row],[SalesBot]]*Table4[[#This Row],[နှုံး]]</f>
        <v>0</v>
      </c>
      <c r="Y28" s="7">
        <v>4104000</v>
      </c>
      <c r="Z28" s="8"/>
      <c r="AA28" s="8"/>
      <c r="AB28" s="9">
        <v>46041</v>
      </c>
      <c r="AC28" s="49">
        <v>4104000</v>
      </c>
      <c r="AD28" s="8"/>
      <c r="AE28" s="8"/>
      <c r="AF28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8" s="24"/>
      <c r="AH28" s="266">
        <f>Table4[[#This Row],[Date]]</f>
        <v>46023</v>
      </c>
      <c r="AI28" s="264" t="str">
        <f t="shared" si="4"/>
        <v>Jan</v>
      </c>
      <c r="AJ28" s="264" t="str">
        <f t="shared" si="5"/>
        <v>2026</v>
      </c>
      <c r="AK28" s="270" t="str">
        <f>Table4[[#This Row],[ကုန်သည်အမည်]]</f>
        <v>ကိုမောင်+မသူဇာ</v>
      </c>
      <c r="AL28" s="270" t="str">
        <f>Table4[[#This Row],[Township]]</f>
        <v>Yay</v>
      </c>
      <c r="AM28" s="271" t="str">
        <f>Table4[[#This Row],[WholeSales]]</f>
        <v>WholeSales</v>
      </c>
      <c r="AN28" s="272" t="str">
        <f>Table4[[#This Row],[Particular]]</f>
        <v>ကုန်ရောင်း(အကြွေး)</v>
      </c>
      <c r="AO28" s="273" t="str">
        <f>Table4[[#This Row],[StockName]]</f>
        <v>BE</v>
      </c>
      <c r="AP28" s="268">
        <f>Table4[[#This Row],[Parking]]</f>
        <v>0</v>
      </c>
      <c r="AQ28" s="268">
        <f>Table4[[#This Row],[SalesBot]]</f>
        <v>0</v>
      </c>
      <c r="AR28" s="268">
        <f>Table4[[#This Row],[Liter]]</f>
        <v>0</v>
      </c>
    </row>
    <row r="29" spans="1:44" s="16" customFormat="1" hidden="1" x14ac:dyDescent="0.5">
      <c r="A29" s="3">
        <f t="shared" si="0"/>
        <v>2026</v>
      </c>
      <c r="B29" s="8">
        <f t="shared" si="1"/>
        <v>1</v>
      </c>
      <c r="C29" s="6">
        <v>46023</v>
      </c>
      <c r="D29" s="15">
        <f t="shared" ca="1" si="2"/>
        <v>46097</v>
      </c>
      <c r="E29" s="8" t="str">
        <f t="shared" ca="1" si="3"/>
        <v>2-Months</v>
      </c>
      <c r="F29" s="8" t="str">
        <f>VLOOKUP(N29,Stock[#Data],5,FALSE)</f>
        <v>BE</v>
      </c>
      <c r="G29" s="61"/>
      <c r="H29" s="15"/>
      <c r="I29" s="7" t="s">
        <v>101</v>
      </c>
      <c r="J29" s="8" t="str">
        <f>VLOOKUP(I29,Customers[#Data],2,FALSE)</f>
        <v>ကိုမောင်+မသူဇာ</v>
      </c>
      <c r="K29" s="15" t="str">
        <f>VLOOKUP(I29,Customers[#Data],4,FALSE)</f>
        <v>Yay</v>
      </c>
      <c r="L29" s="15" t="str">
        <f>VLOOKUP(I29,Customers[#Data],5,FALSE)</f>
        <v>WholeSales</v>
      </c>
      <c r="M29" s="7" t="s">
        <v>7</v>
      </c>
      <c r="N29" s="7" t="s">
        <v>128</v>
      </c>
      <c r="O29" s="14" t="str">
        <f>VLOOKUP(N29,Stock[#Data],2,FALSE)</f>
        <v>BE</v>
      </c>
      <c r="P29" s="44">
        <f>VLOOKUP(N29,Stock[#Data],3,FALSE)</f>
        <v>0</v>
      </c>
      <c r="Q29" s="3">
        <f>VLOOKUP(N29,Stock[#Data],4,FALSE)</f>
        <v>0</v>
      </c>
      <c r="R29" s="3"/>
      <c r="S29" s="8">
        <f>IFERROR(Table4[[#This Row],[Bottle]]/Table4[[#This Row],[ပါဝင်မှု]]+Table4[[#This Row],[SalesPK]],0)</f>
        <v>0</v>
      </c>
      <c r="T29" s="8"/>
      <c r="U29" s="10">
        <f>Table4[[#This Row],[ပါဝင်မှု]]*Table4[[#This Row],[SalesPK]]+Table4[[#This Row],[Bottle]]</f>
        <v>0</v>
      </c>
      <c r="V29" s="10">
        <f>Table4[[#This Row],[SalesBot]]*Table4[[#This Row],[ML]]</f>
        <v>0</v>
      </c>
      <c r="W29" s="1">
        <f>VLOOKUP(N29,Stock[#Data],6,FALSE)</f>
        <v>0</v>
      </c>
      <c r="X29" s="8">
        <f>+Table4[[#This Row],[SalesBot]]*Table4[[#This Row],[နှုံး]]</f>
        <v>0</v>
      </c>
      <c r="Y29" s="7">
        <v>1026000</v>
      </c>
      <c r="Z29" s="8"/>
      <c r="AA29" s="8"/>
      <c r="AB29" s="9">
        <v>46043</v>
      </c>
      <c r="AC29" s="7">
        <v>1026000</v>
      </c>
      <c r="AD29" s="8"/>
      <c r="AE29" s="8"/>
      <c r="AF29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9" s="24"/>
      <c r="AH29" s="266">
        <f>Table4[[#This Row],[Date]]</f>
        <v>46023</v>
      </c>
      <c r="AI29" s="264" t="str">
        <f t="shared" si="4"/>
        <v>Jan</v>
      </c>
      <c r="AJ29" s="264" t="str">
        <f t="shared" si="5"/>
        <v>2026</v>
      </c>
      <c r="AK29" s="270" t="str">
        <f>Table4[[#This Row],[ကုန်သည်အမည်]]</f>
        <v>ကိုမောင်+မသူဇာ</v>
      </c>
      <c r="AL29" s="270" t="str">
        <f>Table4[[#This Row],[Township]]</f>
        <v>Yay</v>
      </c>
      <c r="AM29" s="271" t="str">
        <f>Table4[[#This Row],[WholeSales]]</f>
        <v>WholeSales</v>
      </c>
      <c r="AN29" s="272" t="str">
        <f>Table4[[#This Row],[Particular]]</f>
        <v>ကုန်ရောင်း(အကြွေး)</v>
      </c>
      <c r="AO29" s="273" t="str">
        <f>Table4[[#This Row],[StockName]]</f>
        <v>BE</v>
      </c>
      <c r="AP29" s="268">
        <f>Table4[[#This Row],[Parking]]</f>
        <v>0</v>
      </c>
      <c r="AQ29" s="268">
        <f>Table4[[#This Row],[SalesBot]]</f>
        <v>0</v>
      </c>
      <c r="AR29" s="268">
        <f>Table4[[#This Row],[Liter]]</f>
        <v>0</v>
      </c>
    </row>
    <row r="30" spans="1:44" s="16" customFormat="1" hidden="1" x14ac:dyDescent="0.5">
      <c r="A30" s="3">
        <f t="shared" si="0"/>
        <v>2026</v>
      </c>
      <c r="B30" s="8">
        <f t="shared" si="1"/>
        <v>1</v>
      </c>
      <c r="C30" s="6">
        <v>46023</v>
      </c>
      <c r="D30" s="15">
        <f t="shared" ca="1" si="2"/>
        <v>46097</v>
      </c>
      <c r="E30" s="8" t="str">
        <f t="shared" ca="1" si="3"/>
        <v>2-Months</v>
      </c>
      <c r="F30" s="8" t="str">
        <f>VLOOKUP(N30,Stock[#Data],5,FALSE)</f>
        <v>BE</v>
      </c>
      <c r="G30" s="61"/>
      <c r="H30" s="15"/>
      <c r="I30" s="7" t="s">
        <v>101</v>
      </c>
      <c r="J30" s="8" t="str">
        <f>VLOOKUP(I30,Customers[#Data],2,FALSE)</f>
        <v>ကိုမောင်+မသူဇာ</v>
      </c>
      <c r="K30" s="15" t="str">
        <f>VLOOKUP(I30,Customers[#Data],4,FALSE)</f>
        <v>Yay</v>
      </c>
      <c r="L30" s="15" t="str">
        <f>VLOOKUP(I30,Customers[#Data],5,FALSE)</f>
        <v>WholeSales</v>
      </c>
      <c r="M30" s="7" t="s">
        <v>7</v>
      </c>
      <c r="N30" s="7" t="s">
        <v>128</v>
      </c>
      <c r="O30" s="14" t="str">
        <f>VLOOKUP(N30,Stock[#Data],2,FALSE)</f>
        <v>BE</v>
      </c>
      <c r="P30" s="44">
        <f>VLOOKUP(N30,Stock[#Data],3,FALSE)</f>
        <v>0</v>
      </c>
      <c r="Q30" s="3">
        <f>VLOOKUP(N30,Stock[#Data],4,FALSE)</f>
        <v>0</v>
      </c>
      <c r="R30" s="3"/>
      <c r="S30" s="8">
        <f>IFERROR(Table4[[#This Row],[Bottle]]/Table4[[#This Row],[ပါဝင်မှု]]+Table4[[#This Row],[SalesPK]],0)</f>
        <v>0</v>
      </c>
      <c r="T30" s="8"/>
      <c r="U30" s="10">
        <f>Table4[[#This Row],[ပါဝင်မှု]]*Table4[[#This Row],[SalesPK]]+Table4[[#This Row],[Bottle]]</f>
        <v>0</v>
      </c>
      <c r="V30" s="10">
        <f>Table4[[#This Row],[SalesBot]]*Table4[[#This Row],[ML]]</f>
        <v>0</v>
      </c>
      <c r="W30" s="1">
        <f>VLOOKUP(N30,Stock[#Data],6,FALSE)</f>
        <v>0</v>
      </c>
      <c r="X30" s="8">
        <f>+Table4[[#This Row],[SalesBot]]*Table4[[#This Row],[နှုံး]]</f>
        <v>0</v>
      </c>
      <c r="Y30" s="7">
        <v>1026000</v>
      </c>
      <c r="Z30" s="8"/>
      <c r="AA30" s="8"/>
      <c r="AB30" s="9">
        <v>46043</v>
      </c>
      <c r="AC30" s="7">
        <v>1026000</v>
      </c>
      <c r="AD30" s="8"/>
      <c r="AE30" s="8"/>
      <c r="AF30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0" s="24"/>
      <c r="AH30" s="266">
        <f>Table4[[#This Row],[Date]]</f>
        <v>46023</v>
      </c>
      <c r="AI30" s="264" t="str">
        <f t="shared" si="4"/>
        <v>Jan</v>
      </c>
      <c r="AJ30" s="264" t="str">
        <f t="shared" si="5"/>
        <v>2026</v>
      </c>
      <c r="AK30" s="270" t="str">
        <f>Table4[[#This Row],[ကုန်သည်အမည်]]</f>
        <v>ကိုမောင်+မသူဇာ</v>
      </c>
      <c r="AL30" s="270" t="str">
        <f>Table4[[#This Row],[Township]]</f>
        <v>Yay</v>
      </c>
      <c r="AM30" s="271" t="str">
        <f>Table4[[#This Row],[WholeSales]]</f>
        <v>WholeSales</v>
      </c>
      <c r="AN30" s="272" t="str">
        <f>Table4[[#This Row],[Particular]]</f>
        <v>ကုန်ရောင်း(အကြွေး)</v>
      </c>
      <c r="AO30" s="273" t="str">
        <f>Table4[[#This Row],[StockName]]</f>
        <v>BE</v>
      </c>
      <c r="AP30" s="268">
        <f>Table4[[#This Row],[Parking]]</f>
        <v>0</v>
      </c>
      <c r="AQ30" s="268">
        <f>Table4[[#This Row],[SalesBot]]</f>
        <v>0</v>
      </c>
      <c r="AR30" s="268">
        <f>Table4[[#This Row],[Liter]]</f>
        <v>0</v>
      </c>
    </row>
    <row r="31" spans="1:44" s="16" customFormat="1" hidden="1" x14ac:dyDescent="0.5">
      <c r="A31" s="3">
        <f t="shared" si="0"/>
        <v>2026</v>
      </c>
      <c r="B31" s="8">
        <f t="shared" si="1"/>
        <v>1</v>
      </c>
      <c r="C31" s="6">
        <v>46023</v>
      </c>
      <c r="D31" s="15">
        <f t="shared" ca="1" si="2"/>
        <v>46097</v>
      </c>
      <c r="E31" s="8" t="str">
        <f t="shared" ca="1" si="3"/>
        <v>2-Months</v>
      </c>
      <c r="F31" s="8" t="str">
        <f>VLOOKUP(N31,Stock[#Data],5,FALSE)</f>
        <v>BE</v>
      </c>
      <c r="G31" s="61"/>
      <c r="H31" s="15"/>
      <c r="I31" s="49" t="s">
        <v>86</v>
      </c>
      <c r="J31" s="8" t="str">
        <f>VLOOKUP(I31,Customers[#Data],2,FALSE)</f>
        <v>ဒေါ်စိန်ယုံ</v>
      </c>
      <c r="K31" s="15" t="str">
        <f>VLOOKUP(I31,Customers[#Data],4,FALSE)</f>
        <v>Mudon</v>
      </c>
      <c r="L31" s="15" t="str">
        <f>VLOOKUP(I31,Customers[#Data],5,FALSE)</f>
        <v>Mini Whole Sales</v>
      </c>
      <c r="M31" s="7" t="s">
        <v>7</v>
      </c>
      <c r="N31" s="7" t="s">
        <v>128</v>
      </c>
      <c r="O31" s="14" t="str">
        <f>VLOOKUP(N31,Stock[#Data],2,FALSE)</f>
        <v>BE</v>
      </c>
      <c r="P31" s="44">
        <f>VLOOKUP(N31,Stock[#Data],3,FALSE)</f>
        <v>0</v>
      </c>
      <c r="Q31" s="3">
        <f>VLOOKUP(N31,Stock[#Data],4,FALSE)</f>
        <v>0</v>
      </c>
      <c r="R31" s="3"/>
      <c r="S31" s="8">
        <f>IFERROR(Table4[[#This Row],[Bottle]]/Table4[[#This Row],[ပါဝင်မှု]]+Table4[[#This Row],[SalesPK]],0)</f>
        <v>0</v>
      </c>
      <c r="T31" s="8"/>
      <c r="U31" s="10">
        <f>Table4[[#This Row],[ပါဝင်မှု]]*Table4[[#This Row],[SalesPK]]+Table4[[#This Row],[Bottle]]</f>
        <v>0</v>
      </c>
      <c r="V31" s="10">
        <f>Table4[[#This Row],[SalesBot]]*Table4[[#This Row],[ML]]</f>
        <v>0</v>
      </c>
      <c r="W31" s="1">
        <f>VLOOKUP(N31,Stock[#Data],6,FALSE)</f>
        <v>0</v>
      </c>
      <c r="X31" s="8">
        <f>+Table4[[#This Row],[SalesBot]]*Table4[[#This Row],[နှုံး]]</f>
        <v>0</v>
      </c>
      <c r="Y31" s="7">
        <v>756000</v>
      </c>
      <c r="Z31" s="8"/>
      <c r="AA31" s="8"/>
      <c r="AB31" s="9">
        <v>46024</v>
      </c>
      <c r="AC31" s="7">
        <v>756000</v>
      </c>
      <c r="AD31" s="8"/>
      <c r="AE31" s="8"/>
      <c r="AF31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1" s="24"/>
      <c r="AH31" s="266">
        <f>Table4[[#This Row],[Date]]</f>
        <v>46023</v>
      </c>
      <c r="AI31" s="264" t="str">
        <f t="shared" si="4"/>
        <v>Jan</v>
      </c>
      <c r="AJ31" s="264" t="str">
        <f t="shared" si="5"/>
        <v>2026</v>
      </c>
      <c r="AK31" s="270" t="str">
        <f>Table4[[#This Row],[ကုန်သည်အမည်]]</f>
        <v>ဒေါ်စိန်ယုံ</v>
      </c>
      <c r="AL31" s="270" t="str">
        <f>Table4[[#This Row],[Township]]</f>
        <v>Mudon</v>
      </c>
      <c r="AM31" s="271" t="str">
        <f>Table4[[#This Row],[WholeSales]]</f>
        <v>Mini Whole Sales</v>
      </c>
      <c r="AN31" s="272" t="str">
        <f>Table4[[#This Row],[Particular]]</f>
        <v>ကုန်ရောင်း(အကြွေး)</v>
      </c>
      <c r="AO31" s="273" t="str">
        <f>Table4[[#This Row],[StockName]]</f>
        <v>BE</v>
      </c>
      <c r="AP31" s="268">
        <f>Table4[[#This Row],[Parking]]</f>
        <v>0</v>
      </c>
      <c r="AQ31" s="268">
        <f>Table4[[#This Row],[SalesBot]]</f>
        <v>0</v>
      </c>
      <c r="AR31" s="268">
        <f>Table4[[#This Row],[Liter]]</f>
        <v>0</v>
      </c>
    </row>
    <row r="32" spans="1:44" s="16" customFormat="1" hidden="1" x14ac:dyDescent="0.5">
      <c r="A32" s="3">
        <f t="shared" si="0"/>
        <v>2026</v>
      </c>
      <c r="B32" s="8">
        <f t="shared" si="1"/>
        <v>1</v>
      </c>
      <c r="C32" s="6">
        <v>46023</v>
      </c>
      <c r="D32" s="15">
        <f t="shared" ca="1" si="2"/>
        <v>46097</v>
      </c>
      <c r="E32" s="8" t="str">
        <f t="shared" ca="1" si="3"/>
        <v>2-Months</v>
      </c>
      <c r="F32" s="8" t="str">
        <f>VLOOKUP(N32,Stock[#Data],5,FALSE)</f>
        <v>BE</v>
      </c>
      <c r="G32" s="61"/>
      <c r="H32" s="15"/>
      <c r="I32" s="7" t="s">
        <v>542</v>
      </c>
      <c r="J32" s="8" t="str">
        <f>VLOOKUP(I32,Customers[#Data],2,FALSE)</f>
        <v>ကိုကျော်နိုင်စိုး</v>
      </c>
      <c r="K32" s="15" t="str">
        <f>VLOOKUP(I32,Customers[#Data],4,FALSE)</f>
        <v>Yay</v>
      </c>
      <c r="L32" s="15" t="str">
        <f>VLOOKUP(I32,Customers[#Data],5,FALSE)</f>
        <v>SemiWholeSales</v>
      </c>
      <c r="M32" s="7" t="s">
        <v>7</v>
      </c>
      <c r="N32" s="7" t="s">
        <v>128</v>
      </c>
      <c r="O32" s="14" t="str">
        <f>VLOOKUP(N32,Stock[#Data],2,FALSE)</f>
        <v>BE</v>
      </c>
      <c r="P32" s="44">
        <f>VLOOKUP(N32,Stock[#Data],3,FALSE)</f>
        <v>0</v>
      </c>
      <c r="Q32" s="3">
        <f>VLOOKUP(N32,Stock[#Data],4,FALSE)</f>
        <v>0</v>
      </c>
      <c r="R32" s="3"/>
      <c r="S32" s="8">
        <f>IFERROR(Table4[[#This Row],[Bottle]]/Table4[[#This Row],[ပါဝင်မှု]]+Table4[[#This Row],[SalesPK]],0)</f>
        <v>0</v>
      </c>
      <c r="T32" s="8"/>
      <c r="U32" s="10">
        <f>Table4[[#This Row],[ပါဝင်မှု]]*Table4[[#This Row],[SalesPK]]+Table4[[#This Row],[Bottle]]</f>
        <v>0</v>
      </c>
      <c r="V32" s="10">
        <f>Table4[[#This Row],[SalesBot]]*Table4[[#This Row],[ML]]</f>
        <v>0</v>
      </c>
      <c r="W32" s="1">
        <f>VLOOKUP(N32,Stock[#Data],6,FALSE)</f>
        <v>0</v>
      </c>
      <c r="X32" s="8">
        <f>+Table4[[#This Row],[SalesBot]]*Table4[[#This Row],[နှုံး]]</f>
        <v>0</v>
      </c>
      <c r="Y32" s="7">
        <v>4104000</v>
      </c>
      <c r="Z32" s="8"/>
      <c r="AA32" s="8"/>
      <c r="AB32" s="9">
        <v>46039</v>
      </c>
      <c r="AC32" s="7">
        <v>4104000</v>
      </c>
      <c r="AD32" s="8"/>
      <c r="AE32" s="8"/>
      <c r="AF32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2" s="24"/>
      <c r="AH32" s="266">
        <f>Table4[[#This Row],[Date]]</f>
        <v>46023</v>
      </c>
      <c r="AI32" s="264" t="str">
        <f t="shared" si="4"/>
        <v>Jan</v>
      </c>
      <c r="AJ32" s="264" t="str">
        <f t="shared" si="5"/>
        <v>2026</v>
      </c>
      <c r="AK32" s="270" t="str">
        <f>Table4[[#This Row],[ကုန်သည်အမည်]]</f>
        <v>ကိုကျော်နိုင်စိုး</v>
      </c>
      <c r="AL32" s="270" t="str">
        <f>Table4[[#This Row],[Township]]</f>
        <v>Yay</v>
      </c>
      <c r="AM32" s="271" t="str">
        <f>Table4[[#This Row],[WholeSales]]</f>
        <v>SemiWholeSales</v>
      </c>
      <c r="AN32" s="272" t="str">
        <f>Table4[[#This Row],[Particular]]</f>
        <v>ကုန်ရောင်း(အကြွေး)</v>
      </c>
      <c r="AO32" s="273" t="str">
        <f>Table4[[#This Row],[StockName]]</f>
        <v>BE</v>
      </c>
      <c r="AP32" s="268">
        <f>Table4[[#This Row],[Parking]]</f>
        <v>0</v>
      </c>
      <c r="AQ32" s="268">
        <f>Table4[[#This Row],[SalesBot]]</f>
        <v>0</v>
      </c>
      <c r="AR32" s="268">
        <f>Table4[[#This Row],[Liter]]</f>
        <v>0</v>
      </c>
    </row>
    <row r="33" spans="1:44" s="16" customFormat="1" hidden="1" x14ac:dyDescent="0.5">
      <c r="A33" s="3">
        <f t="shared" si="0"/>
        <v>2026</v>
      </c>
      <c r="B33" s="8">
        <f t="shared" si="1"/>
        <v>1</v>
      </c>
      <c r="C33" s="6">
        <v>46023</v>
      </c>
      <c r="D33" s="15">
        <f t="shared" ca="1" si="2"/>
        <v>46097</v>
      </c>
      <c r="E33" s="8" t="str">
        <f t="shared" ca="1" si="3"/>
        <v>2-Months</v>
      </c>
      <c r="F33" s="8" t="str">
        <f>VLOOKUP(N33,Stock[#Data],5,FALSE)</f>
        <v>BE</v>
      </c>
      <c r="G33" s="61"/>
      <c r="H33" s="15"/>
      <c r="I33" s="7" t="s">
        <v>115</v>
      </c>
      <c r="J33" s="8" t="str">
        <f>VLOOKUP(I33,Customers[#Data],2,FALSE)</f>
        <v>မ‌ချော</v>
      </c>
      <c r="K33" s="15" t="str">
        <f>VLOOKUP(I33,Customers[#Data],4,FALSE)</f>
        <v>Yay</v>
      </c>
      <c r="L33" s="15" t="str">
        <f>VLOOKUP(I33,Customers[#Data],5,FALSE)</f>
        <v>SemiWholeSales</v>
      </c>
      <c r="M33" s="7" t="s">
        <v>120</v>
      </c>
      <c r="N33" s="7" t="s">
        <v>128</v>
      </c>
      <c r="O33" s="14" t="str">
        <f>VLOOKUP(N33,Stock[#Data],2,FALSE)</f>
        <v>BE</v>
      </c>
      <c r="P33" s="44">
        <f>VLOOKUP(N33,Stock[#Data],3,FALSE)</f>
        <v>0</v>
      </c>
      <c r="Q33" s="3">
        <f>VLOOKUP(N33,Stock[#Data],4,FALSE)</f>
        <v>0</v>
      </c>
      <c r="R33" s="3"/>
      <c r="S33" s="8">
        <f>IFERROR(Table4[[#This Row],[Bottle]]/Table4[[#This Row],[ပါဝင်မှု]]+Table4[[#This Row],[SalesPK]],0)</f>
        <v>0</v>
      </c>
      <c r="T33" s="8"/>
      <c r="U33" s="10">
        <f>Table4[[#This Row],[ပါဝင်မှု]]*Table4[[#This Row],[SalesPK]]+Table4[[#This Row],[Bottle]]</f>
        <v>0</v>
      </c>
      <c r="V33" s="10">
        <f>Table4[[#This Row],[SalesBot]]*Table4[[#This Row],[ML]]</f>
        <v>0</v>
      </c>
      <c r="W33" s="1">
        <f>VLOOKUP(N33,Stock[#Data],6,FALSE)</f>
        <v>0</v>
      </c>
      <c r="X33" s="8">
        <f>+Table4[[#This Row],[SalesBot]]*Table4[[#This Row],[နှုံး]]</f>
        <v>0</v>
      </c>
      <c r="Y33" s="7">
        <v>-2058000</v>
      </c>
      <c r="Z33" s="8"/>
      <c r="AA33" s="8"/>
      <c r="AB33" s="9"/>
      <c r="AC33" s="7"/>
      <c r="AD33" s="8"/>
      <c r="AE33" s="8"/>
      <c r="AF33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-2058000</v>
      </c>
      <c r="AG33" s="24"/>
      <c r="AH33" s="266">
        <f>Table4[[#This Row],[Date]]</f>
        <v>46023</v>
      </c>
      <c r="AI33" s="264" t="str">
        <f t="shared" si="4"/>
        <v>Jan</v>
      </c>
      <c r="AJ33" s="264" t="str">
        <f t="shared" si="5"/>
        <v>2026</v>
      </c>
      <c r="AK33" s="270" t="str">
        <f>Table4[[#This Row],[ကုန်သည်အမည်]]</f>
        <v>မ‌ချော</v>
      </c>
      <c r="AL33" s="270" t="str">
        <f>Table4[[#This Row],[Township]]</f>
        <v>Yay</v>
      </c>
      <c r="AM33" s="271" t="str">
        <f>Table4[[#This Row],[WholeSales]]</f>
        <v>SemiWholeSales</v>
      </c>
      <c r="AN33" s="272" t="str">
        <f>Table4[[#This Row],[Particular]]</f>
        <v>ကြိုရောင်း</v>
      </c>
      <c r="AO33" s="273" t="str">
        <f>Table4[[#This Row],[StockName]]</f>
        <v>BE</v>
      </c>
      <c r="AP33" s="268">
        <f>Table4[[#This Row],[Parking]]</f>
        <v>0</v>
      </c>
      <c r="AQ33" s="268">
        <f>Table4[[#This Row],[SalesBot]]</f>
        <v>0</v>
      </c>
      <c r="AR33" s="268">
        <f>Table4[[#This Row],[Liter]]</f>
        <v>0</v>
      </c>
    </row>
    <row r="34" spans="1:44" s="16" customFormat="1" hidden="1" x14ac:dyDescent="0.5">
      <c r="A34" s="3">
        <f t="shared" si="0"/>
        <v>2026</v>
      </c>
      <c r="B34" s="8">
        <f t="shared" si="1"/>
        <v>1</v>
      </c>
      <c r="C34" s="6">
        <v>46023</v>
      </c>
      <c r="D34" s="15">
        <f t="shared" ca="1" si="2"/>
        <v>46097</v>
      </c>
      <c r="E34" s="8" t="str">
        <f t="shared" ca="1" si="3"/>
        <v>2-Months</v>
      </c>
      <c r="F34" s="8" t="str">
        <f>VLOOKUP(N34,Stock[#Data],5,FALSE)</f>
        <v>BE</v>
      </c>
      <c r="G34" s="61"/>
      <c r="H34" s="15"/>
      <c r="I34" s="7" t="s">
        <v>76</v>
      </c>
      <c r="J34" s="8" t="str">
        <f>VLOOKUP(I34,Customers[#Data],2,FALSE)</f>
        <v>Thailand</v>
      </c>
      <c r="K34" s="15" t="str">
        <f>VLOOKUP(I34,Customers[#Data],4,FALSE)</f>
        <v>Mudon</v>
      </c>
      <c r="L34" s="15" t="str">
        <f>VLOOKUP(I34,Customers[#Data],5,FALSE)</f>
        <v>SemiWholeSales</v>
      </c>
      <c r="M34" s="7" t="s">
        <v>7</v>
      </c>
      <c r="N34" s="7" t="s">
        <v>128</v>
      </c>
      <c r="O34" s="14" t="str">
        <f>VLOOKUP(N34,Stock[#Data],2,FALSE)</f>
        <v>BE</v>
      </c>
      <c r="P34" s="44">
        <f>VLOOKUP(N34,Stock[#Data],3,FALSE)</f>
        <v>0</v>
      </c>
      <c r="Q34" s="3">
        <f>VLOOKUP(N34,Stock[#Data],4,FALSE)</f>
        <v>0</v>
      </c>
      <c r="R34" s="3"/>
      <c r="S34" s="8">
        <f>IFERROR(Table4[[#This Row],[Bottle]]/Table4[[#This Row],[ပါဝင်မှု]]+Table4[[#This Row],[SalesPK]],0)</f>
        <v>0</v>
      </c>
      <c r="T34" s="8"/>
      <c r="U34" s="10">
        <f>Table4[[#This Row],[ပါဝင်မှု]]*Table4[[#This Row],[SalesPK]]+Table4[[#This Row],[Bottle]]</f>
        <v>0</v>
      </c>
      <c r="V34" s="10">
        <f>Table4[[#This Row],[SalesBot]]*Table4[[#This Row],[ML]]</f>
        <v>0</v>
      </c>
      <c r="W34" s="1">
        <f>VLOOKUP(N34,Stock[#Data],6,FALSE)</f>
        <v>0</v>
      </c>
      <c r="X34" s="8">
        <f>+Table4[[#This Row],[SalesBot]]*Table4[[#This Row],[နှုံး]]</f>
        <v>0</v>
      </c>
      <c r="Y34" s="7">
        <v>1260000</v>
      </c>
      <c r="Z34" s="8"/>
      <c r="AA34" s="8"/>
      <c r="AB34" s="9">
        <v>46034</v>
      </c>
      <c r="AC34" s="7">
        <v>1260000</v>
      </c>
      <c r="AD34" s="8"/>
      <c r="AE34" s="8"/>
      <c r="AF34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4" s="24"/>
      <c r="AH34" s="266">
        <f>Table4[[#This Row],[Date]]</f>
        <v>46023</v>
      </c>
      <c r="AI34" s="264" t="str">
        <f t="shared" si="4"/>
        <v>Jan</v>
      </c>
      <c r="AJ34" s="264" t="str">
        <f t="shared" si="5"/>
        <v>2026</v>
      </c>
      <c r="AK34" s="270" t="str">
        <f>Table4[[#This Row],[ကုန်သည်အမည်]]</f>
        <v>Thailand</v>
      </c>
      <c r="AL34" s="270" t="str">
        <f>Table4[[#This Row],[Township]]</f>
        <v>Mudon</v>
      </c>
      <c r="AM34" s="271" t="str">
        <f>Table4[[#This Row],[WholeSales]]</f>
        <v>SemiWholeSales</v>
      </c>
      <c r="AN34" s="272" t="str">
        <f>Table4[[#This Row],[Particular]]</f>
        <v>ကုန်ရောင်း(အကြွေး)</v>
      </c>
      <c r="AO34" s="273" t="str">
        <f>Table4[[#This Row],[StockName]]</f>
        <v>BE</v>
      </c>
      <c r="AP34" s="268">
        <f>Table4[[#This Row],[Parking]]</f>
        <v>0</v>
      </c>
      <c r="AQ34" s="268">
        <f>Table4[[#This Row],[SalesBot]]</f>
        <v>0</v>
      </c>
      <c r="AR34" s="268">
        <f>Table4[[#This Row],[Liter]]</f>
        <v>0</v>
      </c>
    </row>
    <row r="35" spans="1:44" s="16" customFormat="1" hidden="1" x14ac:dyDescent="0.5">
      <c r="A35" s="3">
        <f t="shared" si="0"/>
        <v>2026</v>
      </c>
      <c r="B35" s="8">
        <f t="shared" si="1"/>
        <v>1</v>
      </c>
      <c r="C35" s="6">
        <v>46023</v>
      </c>
      <c r="D35" s="15">
        <f t="shared" ca="1" si="2"/>
        <v>46097</v>
      </c>
      <c r="E35" s="8" t="str">
        <f t="shared" ca="1" si="3"/>
        <v>2-Months</v>
      </c>
      <c r="F35" s="8" t="str">
        <f>VLOOKUP(N35,Stock[#Data],5,FALSE)</f>
        <v>BE</v>
      </c>
      <c r="G35" s="61"/>
      <c r="H35" s="15"/>
      <c r="I35" s="7" t="s">
        <v>84</v>
      </c>
      <c r="J35" s="8" t="str">
        <f>VLOOKUP(I35,Customers[#Data],2,FALSE)</f>
        <v>ကိုနေနိုင်</v>
      </c>
      <c r="K35" s="15" t="str">
        <f>VLOOKUP(I35,Customers[#Data],4,FALSE)</f>
        <v>Paung</v>
      </c>
      <c r="L35" s="15" t="str">
        <f>VLOOKUP(I35,Customers[#Data],5,FALSE)</f>
        <v>Van Sales</v>
      </c>
      <c r="M35" s="7" t="s">
        <v>7</v>
      </c>
      <c r="N35" s="7" t="s">
        <v>128</v>
      </c>
      <c r="O35" s="14" t="str">
        <f>VLOOKUP(N35,Stock[#Data],2,FALSE)</f>
        <v>BE</v>
      </c>
      <c r="P35" s="44">
        <f>VLOOKUP(N35,Stock[#Data],3,FALSE)</f>
        <v>0</v>
      </c>
      <c r="Q35" s="3">
        <f>VLOOKUP(N35,Stock[#Data],4,FALSE)</f>
        <v>0</v>
      </c>
      <c r="R35" s="3"/>
      <c r="S35" s="8">
        <f>IFERROR(Table4[[#This Row],[Bottle]]/Table4[[#This Row],[ပါဝင်မှု]]+Table4[[#This Row],[SalesPK]],0)</f>
        <v>0</v>
      </c>
      <c r="T35" s="8"/>
      <c r="U35" s="10">
        <f>Table4[[#This Row],[ပါဝင်မှု]]*Table4[[#This Row],[SalesPK]]+Table4[[#This Row],[Bottle]]</f>
        <v>0</v>
      </c>
      <c r="V35" s="10">
        <f>Table4[[#This Row],[SalesBot]]*Table4[[#This Row],[ML]]</f>
        <v>0</v>
      </c>
      <c r="W35" s="1">
        <f>VLOOKUP(N35,Stock[#Data],6,FALSE)</f>
        <v>0</v>
      </c>
      <c r="X35" s="8">
        <f>+Table4[[#This Row],[SalesBot]]*Table4[[#This Row],[နှုံး]]</f>
        <v>0</v>
      </c>
      <c r="Y35" s="7">
        <v>875000</v>
      </c>
      <c r="Z35" s="8"/>
      <c r="AA35" s="8"/>
      <c r="AB35" s="9">
        <v>46027</v>
      </c>
      <c r="AC35" s="49">
        <v>875000</v>
      </c>
      <c r="AD35" s="8"/>
      <c r="AE35" s="8"/>
      <c r="AF35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5" s="24"/>
      <c r="AH35" s="266">
        <f>Table4[[#This Row],[Date]]</f>
        <v>46023</v>
      </c>
      <c r="AI35" s="264" t="str">
        <f t="shared" si="4"/>
        <v>Jan</v>
      </c>
      <c r="AJ35" s="264" t="str">
        <f t="shared" si="5"/>
        <v>2026</v>
      </c>
      <c r="AK35" s="270" t="str">
        <f>Table4[[#This Row],[ကုန်သည်အမည်]]</f>
        <v>ကိုနေနိုင်</v>
      </c>
      <c r="AL35" s="270" t="str">
        <f>Table4[[#This Row],[Township]]</f>
        <v>Paung</v>
      </c>
      <c r="AM35" s="271" t="str">
        <f>Table4[[#This Row],[WholeSales]]</f>
        <v>Van Sales</v>
      </c>
      <c r="AN35" s="272" t="str">
        <f>Table4[[#This Row],[Particular]]</f>
        <v>ကုန်ရောင်း(အကြွေး)</v>
      </c>
      <c r="AO35" s="273" t="str">
        <f>Table4[[#This Row],[StockName]]</f>
        <v>BE</v>
      </c>
      <c r="AP35" s="268">
        <f>Table4[[#This Row],[Parking]]</f>
        <v>0</v>
      </c>
      <c r="AQ35" s="268">
        <f>Table4[[#This Row],[SalesBot]]</f>
        <v>0</v>
      </c>
      <c r="AR35" s="268">
        <f>Table4[[#This Row],[Liter]]</f>
        <v>0</v>
      </c>
    </row>
    <row r="36" spans="1:44" s="16" customFormat="1" hidden="1" x14ac:dyDescent="0.5">
      <c r="A36" s="3">
        <f t="shared" si="0"/>
        <v>2026</v>
      </c>
      <c r="B36" s="8">
        <f t="shared" si="1"/>
        <v>1</v>
      </c>
      <c r="C36" s="6">
        <v>46023</v>
      </c>
      <c r="D36" s="15">
        <f t="shared" ca="1" si="2"/>
        <v>46097</v>
      </c>
      <c r="E36" s="8" t="str">
        <f t="shared" ca="1" si="3"/>
        <v>2-Months</v>
      </c>
      <c r="F36" s="8" t="str">
        <f>VLOOKUP(N36,Stock[#Data],5,FALSE)</f>
        <v>BE</v>
      </c>
      <c r="G36" s="61"/>
      <c r="H36" s="15"/>
      <c r="I36" s="7" t="s">
        <v>104</v>
      </c>
      <c r="J36" s="8" t="str">
        <f>VLOOKUP(I36,Customers[#Data],2,FALSE)</f>
        <v>မမော်</v>
      </c>
      <c r="K36" s="15" t="str">
        <f>VLOOKUP(I36,Customers[#Data],4,FALSE)</f>
        <v>Hpa-an</v>
      </c>
      <c r="L36" s="15" t="str">
        <f>VLOOKUP(I36,Customers[#Data],5,FALSE)</f>
        <v>SemiWholeSales</v>
      </c>
      <c r="M36" s="7" t="s">
        <v>7</v>
      </c>
      <c r="N36" s="7" t="s">
        <v>128</v>
      </c>
      <c r="O36" s="14" t="str">
        <f>VLOOKUP(N36,Stock[#Data],2,FALSE)</f>
        <v>BE</v>
      </c>
      <c r="P36" s="44">
        <f>VLOOKUP(N36,Stock[#Data],3,FALSE)</f>
        <v>0</v>
      </c>
      <c r="Q36" s="3">
        <f>VLOOKUP(N36,Stock[#Data],4,FALSE)</f>
        <v>0</v>
      </c>
      <c r="R36" s="3"/>
      <c r="S36" s="8">
        <f>IFERROR(Table4[[#This Row],[Bottle]]/Table4[[#This Row],[ပါဝင်မှု]]+Table4[[#This Row],[SalesPK]],0)</f>
        <v>0</v>
      </c>
      <c r="T36" s="8"/>
      <c r="U36" s="10">
        <f>Table4[[#This Row],[ပါဝင်မှု]]*Table4[[#This Row],[SalesPK]]+Table4[[#This Row],[Bottle]]</f>
        <v>0</v>
      </c>
      <c r="V36" s="10">
        <f>Table4[[#This Row],[SalesBot]]*Table4[[#This Row],[ML]]</f>
        <v>0</v>
      </c>
      <c r="W36" s="1">
        <f>VLOOKUP(N36,Stock[#Data],6,FALSE)</f>
        <v>0</v>
      </c>
      <c r="X36" s="8">
        <f>+Table4[[#This Row],[SalesBot]]*Table4[[#This Row],[နှုံး]]</f>
        <v>0</v>
      </c>
      <c r="Y36" s="7">
        <v>4340000</v>
      </c>
      <c r="Z36" s="8"/>
      <c r="AA36" s="8"/>
      <c r="AB36" s="9"/>
      <c r="AC36" s="7"/>
      <c r="AD36" s="8"/>
      <c r="AE36" s="8"/>
      <c r="AF36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4340000</v>
      </c>
      <c r="AG36" s="24"/>
      <c r="AH36" s="266">
        <f>Table4[[#This Row],[Date]]</f>
        <v>46023</v>
      </c>
      <c r="AI36" s="264" t="str">
        <f t="shared" si="4"/>
        <v>Jan</v>
      </c>
      <c r="AJ36" s="264" t="str">
        <f t="shared" si="5"/>
        <v>2026</v>
      </c>
      <c r="AK36" s="270" t="str">
        <f>Table4[[#This Row],[ကုန်သည်အမည်]]</f>
        <v>မမော်</v>
      </c>
      <c r="AL36" s="270" t="str">
        <f>Table4[[#This Row],[Township]]</f>
        <v>Hpa-an</v>
      </c>
      <c r="AM36" s="271" t="str">
        <f>Table4[[#This Row],[WholeSales]]</f>
        <v>SemiWholeSales</v>
      </c>
      <c r="AN36" s="272" t="str">
        <f>Table4[[#This Row],[Particular]]</f>
        <v>ကုန်ရောင်း(အကြွေး)</v>
      </c>
      <c r="AO36" s="273" t="str">
        <f>Table4[[#This Row],[StockName]]</f>
        <v>BE</v>
      </c>
      <c r="AP36" s="268">
        <f>Table4[[#This Row],[Parking]]</f>
        <v>0</v>
      </c>
      <c r="AQ36" s="268">
        <f>Table4[[#This Row],[SalesBot]]</f>
        <v>0</v>
      </c>
      <c r="AR36" s="268">
        <f>Table4[[#This Row],[Liter]]</f>
        <v>0</v>
      </c>
    </row>
    <row r="37" spans="1:44" s="16" customFormat="1" hidden="1" x14ac:dyDescent="0.5">
      <c r="A37" s="3">
        <f t="shared" si="0"/>
        <v>2026</v>
      </c>
      <c r="B37" s="8">
        <f t="shared" si="1"/>
        <v>1</v>
      </c>
      <c r="C37" s="6">
        <v>46023</v>
      </c>
      <c r="D37" s="15">
        <f t="shared" ca="1" si="2"/>
        <v>46097</v>
      </c>
      <c r="E37" s="8" t="str">
        <f t="shared" ca="1" si="3"/>
        <v>2-Months</v>
      </c>
      <c r="F37" s="8" t="str">
        <f>VLOOKUP(N37,Stock[#Data],5,FALSE)</f>
        <v>BE</v>
      </c>
      <c r="G37" s="61"/>
      <c r="H37" s="15"/>
      <c r="I37" s="7" t="s">
        <v>88</v>
      </c>
      <c r="J37" s="8" t="str">
        <f>VLOOKUP(I37,Customers[#Data],2,FALSE)</f>
        <v>ကိုကျော်စိုး (နံ့သာ)</v>
      </c>
      <c r="K37" s="15" t="str">
        <f>VLOOKUP(I37,Customers[#Data],4,FALSE)</f>
        <v>ThaHtone</v>
      </c>
      <c r="L37" s="15" t="str">
        <f>VLOOKUP(I37,Customers[#Data],5,FALSE)</f>
        <v>Mini Whole Sales</v>
      </c>
      <c r="M37" s="7" t="s">
        <v>7</v>
      </c>
      <c r="N37" s="7" t="s">
        <v>128</v>
      </c>
      <c r="O37" s="14" t="str">
        <f>VLOOKUP(N37,Stock[#Data],2,FALSE)</f>
        <v>BE</v>
      </c>
      <c r="P37" s="44">
        <f>VLOOKUP(N37,Stock[#Data],3,FALSE)</f>
        <v>0</v>
      </c>
      <c r="Q37" s="3">
        <f>VLOOKUP(N37,Stock[#Data],4,FALSE)</f>
        <v>0</v>
      </c>
      <c r="R37" s="3"/>
      <c r="S37" s="8">
        <f>IFERROR(Table4[[#This Row],[Bottle]]/Table4[[#This Row],[ပါဝင်မှု]]+Table4[[#This Row],[SalesPK]],0)</f>
        <v>0</v>
      </c>
      <c r="T37" s="8"/>
      <c r="U37" s="10">
        <f>Table4[[#This Row],[ပါဝင်မှု]]*Table4[[#This Row],[SalesPK]]+Table4[[#This Row],[Bottle]]</f>
        <v>0</v>
      </c>
      <c r="V37" s="10">
        <f>Table4[[#This Row],[SalesBot]]*Table4[[#This Row],[ML]]</f>
        <v>0</v>
      </c>
      <c r="W37" s="1">
        <f>VLOOKUP(N37,Stock[#Data],6,FALSE)</f>
        <v>0</v>
      </c>
      <c r="X37" s="8">
        <f>+Table4[[#This Row],[SalesBot]]*Table4[[#This Row],[နှုံး]]</f>
        <v>0</v>
      </c>
      <c r="Y37" s="7">
        <v>1960000</v>
      </c>
      <c r="Z37" s="8"/>
      <c r="AA37" s="8"/>
      <c r="AB37" s="9">
        <v>46037</v>
      </c>
      <c r="AC37" s="7">
        <v>1960000</v>
      </c>
      <c r="AD37" s="8"/>
      <c r="AE37" s="8"/>
      <c r="AF37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7" s="24"/>
      <c r="AH37" s="266">
        <f>Table4[[#This Row],[Date]]</f>
        <v>46023</v>
      </c>
      <c r="AI37" s="264" t="str">
        <f t="shared" si="4"/>
        <v>Jan</v>
      </c>
      <c r="AJ37" s="264" t="str">
        <f t="shared" si="5"/>
        <v>2026</v>
      </c>
      <c r="AK37" s="270" t="str">
        <f>Table4[[#This Row],[ကုန်သည်အမည်]]</f>
        <v>ကိုကျော်စိုး (နံ့သာ)</v>
      </c>
      <c r="AL37" s="270" t="str">
        <f>Table4[[#This Row],[Township]]</f>
        <v>ThaHtone</v>
      </c>
      <c r="AM37" s="271" t="str">
        <f>Table4[[#This Row],[WholeSales]]</f>
        <v>Mini Whole Sales</v>
      </c>
      <c r="AN37" s="272" t="str">
        <f>Table4[[#This Row],[Particular]]</f>
        <v>ကုန်ရောင်း(အကြွေး)</v>
      </c>
      <c r="AO37" s="273" t="str">
        <f>Table4[[#This Row],[StockName]]</f>
        <v>BE</v>
      </c>
      <c r="AP37" s="268">
        <f>Table4[[#This Row],[Parking]]</f>
        <v>0</v>
      </c>
      <c r="AQ37" s="268">
        <f>Table4[[#This Row],[SalesBot]]</f>
        <v>0</v>
      </c>
      <c r="AR37" s="268">
        <f>Table4[[#This Row],[Liter]]</f>
        <v>0</v>
      </c>
    </row>
    <row r="38" spans="1:44" s="16" customFormat="1" hidden="1" x14ac:dyDescent="0.5">
      <c r="A38" s="3">
        <f t="shared" si="0"/>
        <v>2026</v>
      </c>
      <c r="B38" s="8">
        <f t="shared" si="1"/>
        <v>1</v>
      </c>
      <c r="C38" s="6">
        <v>46023</v>
      </c>
      <c r="D38" s="15">
        <f t="shared" ca="1" si="2"/>
        <v>46097</v>
      </c>
      <c r="E38" s="8" t="str">
        <f t="shared" ca="1" si="3"/>
        <v>2-Months</v>
      </c>
      <c r="F38" s="8" t="str">
        <f>VLOOKUP(N38,Stock[#Data],5,FALSE)</f>
        <v>BE</v>
      </c>
      <c r="G38" s="61"/>
      <c r="H38" s="15"/>
      <c r="I38" s="7" t="s">
        <v>90</v>
      </c>
      <c r="J38" s="8" t="str">
        <f>VLOOKUP(I38,Customers[#Data],2,FALSE)</f>
        <v>လပြည့်</v>
      </c>
      <c r="K38" s="15" t="str">
        <f>VLOOKUP(I38,Customers[#Data],4,FALSE)</f>
        <v>ThaHtone</v>
      </c>
      <c r="L38" s="15" t="str">
        <f>VLOOKUP(I38,Customers[#Data],5,FALSE)</f>
        <v>Mini Whole Sales</v>
      </c>
      <c r="M38" s="7" t="s">
        <v>7</v>
      </c>
      <c r="N38" s="7" t="s">
        <v>128</v>
      </c>
      <c r="O38" s="14" t="str">
        <f>VLOOKUP(N38,Stock[#Data],2,FALSE)</f>
        <v>BE</v>
      </c>
      <c r="P38" s="44">
        <f>VLOOKUP(N38,Stock[#Data],3,FALSE)</f>
        <v>0</v>
      </c>
      <c r="Q38" s="3">
        <f>VLOOKUP(N38,Stock[#Data],4,FALSE)</f>
        <v>0</v>
      </c>
      <c r="R38" s="3"/>
      <c r="S38" s="8">
        <f>IFERROR(Table4[[#This Row],[Bottle]]/Table4[[#This Row],[ပါဝင်မှု]]+Table4[[#This Row],[SalesPK]],0)</f>
        <v>0</v>
      </c>
      <c r="T38" s="8"/>
      <c r="U38" s="10">
        <f>Table4[[#This Row],[ပါဝင်မှု]]*Table4[[#This Row],[SalesPK]]+Table4[[#This Row],[Bottle]]</f>
        <v>0</v>
      </c>
      <c r="V38" s="10">
        <f>Table4[[#This Row],[SalesBot]]*Table4[[#This Row],[ML]]</f>
        <v>0</v>
      </c>
      <c r="W38" s="1">
        <f>VLOOKUP(N38,Stock[#Data],6,FALSE)</f>
        <v>0</v>
      </c>
      <c r="X38" s="8">
        <f>+Table4[[#This Row],[SalesBot]]*Table4[[#This Row],[နှုံး]]</f>
        <v>0</v>
      </c>
      <c r="Y38" s="7">
        <v>1750000</v>
      </c>
      <c r="Z38" s="8"/>
      <c r="AA38" s="8"/>
      <c r="AB38" s="9"/>
      <c r="AC38" s="7"/>
      <c r="AD38" s="8"/>
      <c r="AE38" s="8"/>
      <c r="AF38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1750000</v>
      </c>
      <c r="AG38" s="24"/>
      <c r="AH38" s="266">
        <f>Table4[[#This Row],[Date]]</f>
        <v>46023</v>
      </c>
      <c r="AI38" s="264" t="str">
        <f t="shared" si="4"/>
        <v>Jan</v>
      </c>
      <c r="AJ38" s="264" t="str">
        <f t="shared" si="5"/>
        <v>2026</v>
      </c>
      <c r="AK38" s="270" t="str">
        <f>Table4[[#This Row],[ကုန်သည်အမည်]]</f>
        <v>လပြည့်</v>
      </c>
      <c r="AL38" s="270" t="str">
        <f>Table4[[#This Row],[Township]]</f>
        <v>ThaHtone</v>
      </c>
      <c r="AM38" s="271" t="str">
        <f>Table4[[#This Row],[WholeSales]]</f>
        <v>Mini Whole Sales</v>
      </c>
      <c r="AN38" s="272" t="str">
        <f>Table4[[#This Row],[Particular]]</f>
        <v>ကုန်ရောင်း(အကြွေး)</v>
      </c>
      <c r="AO38" s="273" t="str">
        <f>Table4[[#This Row],[StockName]]</f>
        <v>BE</v>
      </c>
      <c r="AP38" s="268">
        <f>Table4[[#This Row],[Parking]]</f>
        <v>0</v>
      </c>
      <c r="AQ38" s="268">
        <f>Table4[[#This Row],[SalesBot]]</f>
        <v>0</v>
      </c>
      <c r="AR38" s="268">
        <f>Table4[[#This Row],[Liter]]</f>
        <v>0</v>
      </c>
    </row>
    <row r="39" spans="1:44" s="16" customFormat="1" hidden="1" x14ac:dyDescent="0.5">
      <c r="A39" s="3">
        <f t="shared" si="0"/>
        <v>2026</v>
      </c>
      <c r="B39" s="8">
        <f t="shared" si="1"/>
        <v>1</v>
      </c>
      <c r="C39" s="6">
        <v>46023</v>
      </c>
      <c r="D39" s="15">
        <f t="shared" ca="1" si="2"/>
        <v>46097</v>
      </c>
      <c r="E39" s="8" t="str">
        <f t="shared" ca="1" si="3"/>
        <v>2-Months</v>
      </c>
      <c r="F39" s="8" t="str">
        <f>VLOOKUP(N39,Stock[#Data],5,FALSE)</f>
        <v>BE</v>
      </c>
      <c r="G39" s="61"/>
      <c r="H39" s="15"/>
      <c r="I39" s="7" t="s">
        <v>91</v>
      </c>
      <c r="J39" s="8" t="str">
        <f>VLOOKUP(I39,Customers[#Data],2,FALSE)</f>
        <v>တော်၀င်</v>
      </c>
      <c r="K39" s="15" t="str">
        <f>VLOOKUP(I39,Customers[#Data],4,FALSE)</f>
        <v>Belin</v>
      </c>
      <c r="L39" s="15" t="str">
        <f>VLOOKUP(I39,Customers[#Data],5,FALSE)</f>
        <v>SemiWholeSales</v>
      </c>
      <c r="M39" s="7" t="s">
        <v>7</v>
      </c>
      <c r="N39" s="7" t="s">
        <v>128</v>
      </c>
      <c r="O39" s="14" t="str">
        <f>VLOOKUP(N39,Stock[#Data],2,FALSE)</f>
        <v>BE</v>
      </c>
      <c r="P39" s="44">
        <f>VLOOKUP(N39,Stock[#Data],3,FALSE)</f>
        <v>0</v>
      </c>
      <c r="Q39" s="3">
        <f>VLOOKUP(N39,Stock[#Data],4,FALSE)</f>
        <v>0</v>
      </c>
      <c r="R39" s="3"/>
      <c r="S39" s="8">
        <f>IFERROR(Table4[[#This Row],[Bottle]]/Table4[[#This Row],[ပါဝင်မှု]]+Table4[[#This Row],[SalesPK]],0)</f>
        <v>0</v>
      </c>
      <c r="T39" s="8"/>
      <c r="U39" s="10">
        <f>Table4[[#This Row],[ပါဝင်မှု]]*Table4[[#This Row],[SalesPK]]+Table4[[#This Row],[Bottle]]</f>
        <v>0</v>
      </c>
      <c r="V39" s="10">
        <f>Table4[[#This Row],[SalesBot]]*Table4[[#This Row],[ML]]</f>
        <v>0</v>
      </c>
      <c r="W39" s="1">
        <f>VLOOKUP(N39,Stock[#Data],6,FALSE)</f>
        <v>0</v>
      </c>
      <c r="X39" s="8">
        <f>+Table4[[#This Row],[SalesBot]]*Table4[[#This Row],[နှုံး]]</f>
        <v>0</v>
      </c>
      <c r="Y39" s="7">
        <v>3920000</v>
      </c>
      <c r="Z39" s="8"/>
      <c r="AA39" s="8"/>
      <c r="AB39" s="9"/>
      <c r="AC39" s="7"/>
      <c r="AD39" s="8"/>
      <c r="AE39" s="8"/>
      <c r="AF39" s="68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3920000</v>
      </c>
      <c r="AG39" s="24"/>
      <c r="AH39" s="266">
        <f>Table4[[#This Row],[Date]]</f>
        <v>46023</v>
      </c>
      <c r="AI39" s="264" t="str">
        <f t="shared" si="4"/>
        <v>Jan</v>
      </c>
      <c r="AJ39" s="264" t="str">
        <f t="shared" si="5"/>
        <v>2026</v>
      </c>
      <c r="AK39" s="270" t="str">
        <f>Table4[[#This Row],[ကုန်သည်အမည်]]</f>
        <v>တော်၀င်</v>
      </c>
      <c r="AL39" s="270" t="str">
        <f>Table4[[#This Row],[Township]]</f>
        <v>Belin</v>
      </c>
      <c r="AM39" s="271" t="str">
        <f>Table4[[#This Row],[WholeSales]]</f>
        <v>SemiWholeSales</v>
      </c>
      <c r="AN39" s="272" t="str">
        <f>Table4[[#This Row],[Particular]]</f>
        <v>ကုန်ရောင်း(အကြွေး)</v>
      </c>
      <c r="AO39" s="273" t="str">
        <f>Table4[[#This Row],[StockName]]</f>
        <v>BE</v>
      </c>
      <c r="AP39" s="268">
        <f>Table4[[#This Row],[Parking]]</f>
        <v>0</v>
      </c>
      <c r="AQ39" s="268">
        <f>Table4[[#This Row],[SalesBot]]</f>
        <v>0</v>
      </c>
      <c r="AR39" s="268">
        <f>Table4[[#This Row],[Liter]]</f>
        <v>0</v>
      </c>
    </row>
    <row r="40" spans="1:44" s="16" customFormat="1" hidden="1" x14ac:dyDescent="0.5">
      <c r="A40" s="3">
        <f t="shared" si="0"/>
        <v>2026</v>
      </c>
      <c r="B40" s="8">
        <f t="shared" si="1"/>
        <v>1</v>
      </c>
      <c r="C40" s="6">
        <v>46023</v>
      </c>
      <c r="D40" s="15">
        <f t="shared" ca="1" si="2"/>
        <v>46097</v>
      </c>
      <c r="E40" s="15" t="str">
        <f t="shared" ca="1" si="3"/>
        <v>2-Months</v>
      </c>
      <c r="F40" s="8" t="str">
        <f>VLOOKUP(N40,Stock[#Data],5,FALSE)</f>
        <v>BE</v>
      </c>
      <c r="G40" s="61"/>
      <c r="H40" s="15"/>
      <c r="I40" s="7" t="s">
        <v>117</v>
      </c>
      <c r="J40" s="8" t="str">
        <f>VLOOKUP(I40,Customers[#Data],2,FALSE)</f>
        <v>ဦးမြင့်ကြည်</v>
      </c>
      <c r="K40" s="15" t="str">
        <f>VLOOKUP(I40,Customers[#Data],4,FALSE)</f>
        <v>Belin</v>
      </c>
      <c r="L40" s="15" t="str">
        <f>VLOOKUP(I40,Customers[#Data],5,FALSE)</f>
        <v>SemiWholeSales</v>
      </c>
      <c r="M40" s="7" t="s">
        <v>7</v>
      </c>
      <c r="N40" s="7" t="s">
        <v>128</v>
      </c>
      <c r="O40" s="14" t="str">
        <f>VLOOKUP(N40,Stock[#Data],2,FALSE)</f>
        <v>BE</v>
      </c>
      <c r="P40" s="44">
        <f>VLOOKUP(N40,Stock[#Data],3,FALSE)</f>
        <v>0</v>
      </c>
      <c r="Q40" s="3">
        <f>VLOOKUP(N40,Stock[#Data],4,FALSE)</f>
        <v>0</v>
      </c>
      <c r="R40" s="11"/>
      <c r="S40" s="45">
        <f>IFERROR(Table4[[#This Row],[Bottle]]/Table4[[#This Row],[ပါဝင်မှု]]+Table4[[#This Row],[SalesPK]],0)</f>
        <v>0</v>
      </c>
      <c r="T40" s="12"/>
      <c r="U40" s="10">
        <f>Table4[[#This Row],[ပါဝင်မှု]]*Table4[[#This Row],[SalesPK]]+Table4[[#This Row],[Bottle]]</f>
        <v>0</v>
      </c>
      <c r="V40" s="10">
        <f>Table4[[#This Row],[SalesBot]]*Table4[[#This Row],[ML]]</f>
        <v>0</v>
      </c>
      <c r="W40" s="1">
        <f>VLOOKUP(N40,Stock[#Data],6,FALSE)</f>
        <v>0</v>
      </c>
      <c r="X40" s="8">
        <f>+Table4[[#This Row],[SalesBot]]*Table4[[#This Row],[နှုံး]]</f>
        <v>0</v>
      </c>
      <c r="Y40" s="12">
        <v>1960000</v>
      </c>
      <c r="Z40" s="12"/>
      <c r="AA40" s="12"/>
      <c r="AB40" s="9">
        <v>46038</v>
      </c>
      <c r="AC40" s="12">
        <v>1960000</v>
      </c>
      <c r="AD40" s="9"/>
      <c r="AE40" s="12"/>
      <c r="AF4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40" s="24"/>
      <c r="AH40" s="266">
        <f>Table4[[#This Row],[Date]]</f>
        <v>46023</v>
      </c>
      <c r="AI40" s="264" t="str">
        <f t="shared" si="4"/>
        <v>Jan</v>
      </c>
      <c r="AJ40" s="264" t="str">
        <f t="shared" si="5"/>
        <v>2026</v>
      </c>
      <c r="AK40" s="270" t="str">
        <f>Table4[[#This Row],[ကုန်သည်အမည်]]</f>
        <v>ဦးမြင့်ကြည်</v>
      </c>
      <c r="AL40" s="270" t="str">
        <f>Table4[[#This Row],[Township]]</f>
        <v>Belin</v>
      </c>
      <c r="AM40" s="271" t="str">
        <f>Table4[[#This Row],[WholeSales]]</f>
        <v>SemiWholeSales</v>
      </c>
      <c r="AN40" s="272" t="str">
        <f>Table4[[#This Row],[Particular]]</f>
        <v>ကုန်ရောင်း(အကြွေး)</v>
      </c>
      <c r="AO40" s="273" t="str">
        <f>Table4[[#This Row],[StockName]]</f>
        <v>BE</v>
      </c>
      <c r="AP40" s="268">
        <f>Table4[[#This Row],[Parking]]</f>
        <v>0</v>
      </c>
      <c r="AQ40" s="268">
        <f>Table4[[#This Row],[SalesBot]]</f>
        <v>0</v>
      </c>
      <c r="AR40" s="268">
        <f>Table4[[#This Row],[Liter]]</f>
        <v>0</v>
      </c>
    </row>
    <row r="41" spans="1:44" s="16" customFormat="1" hidden="1" x14ac:dyDescent="0.5">
      <c r="A41" s="3">
        <f t="shared" si="0"/>
        <v>2026</v>
      </c>
      <c r="B41" s="8">
        <f t="shared" si="1"/>
        <v>1</v>
      </c>
      <c r="C41" s="6">
        <v>46023</v>
      </c>
      <c r="D41" s="15">
        <f t="shared" ca="1" si="2"/>
        <v>46097</v>
      </c>
      <c r="E41" s="15" t="str">
        <f t="shared" ca="1" si="3"/>
        <v>2-Months</v>
      </c>
      <c r="F41" s="8" t="str">
        <f>VLOOKUP(N41,Stock[#Data],5,FALSE)</f>
        <v>BE</v>
      </c>
      <c r="G41" s="61"/>
      <c r="H41" s="15"/>
      <c r="I41" s="7" t="s">
        <v>571</v>
      </c>
      <c r="J41" s="8" t="str">
        <f>VLOOKUP(I41,Customers[#Data],2,FALSE)</f>
        <v>ဦးစိုး၀င်း</v>
      </c>
      <c r="K41" s="15" t="str">
        <f>VLOOKUP(I41,Customers[#Data],4,FALSE)</f>
        <v>Belin</v>
      </c>
      <c r="L41" s="15" t="str">
        <f>VLOOKUP(I41,Customers[#Data],5,FALSE)</f>
        <v>Van Sales</v>
      </c>
      <c r="M41" s="7" t="s">
        <v>7</v>
      </c>
      <c r="N41" s="7" t="s">
        <v>128</v>
      </c>
      <c r="O41" s="14" t="str">
        <f>VLOOKUP(N41,Stock[#Data],2,FALSE)</f>
        <v>BE</v>
      </c>
      <c r="P41" s="44">
        <f>VLOOKUP(N41,Stock[#Data],3,FALSE)</f>
        <v>0</v>
      </c>
      <c r="Q41" s="3">
        <f>VLOOKUP(N41,Stock[#Data],4,FALSE)</f>
        <v>0</v>
      </c>
      <c r="R41" s="11"/>
      <c r="S41" s="45">
        <f>IFERROR(Table4[[#This Row],[Bottle]]/Table4[[#This Row],[ပါဝင်မှု]]+Table4[[#This Row],[SalesPK]],0)</f>
        <v>0</v>
      </c>
      <c r="T41" s="12"/>
      <c r="U41" s="10">
        <f>Table4[[#This Row],[ပါဝင်မှု]]*Table4[[#This Row],[SalesPK]]+Table4[[#This Row],[Bottle]]</f>
        <v>0</v>
      </c>
      <c r="V41" s="10">
        <f>Table4[[#This Row],[SalesBot]]*Table4[[#This Row],[ML]]</f>
        <v>0</v>
      </c>
      <c r="W41" s="1">
        <f>VLOOKUP(N41,Stock[#Data],6,FALSE)</f>
        <v>0</v>
      </c>
      <c r="X41" s="8">
        <f>+Table4[[#This Row],[SalesBot]]*Table4[[#This Row],[နှုံး]]</f>
        <v>0</v>
      </c>
      <c r="Y41" s="12">
        <v>980000</v>
      </c>
      <c r="Z41" s="12"/>
      <c r="AA41" s="12"/>
      <c r="AB41" s="9"/>
      <c r="AC41" s="12"/>
      <c r="AD41" s="9"/>
      <c r="AE41" s="12"/>
      <c r="AF4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980000</v>
      </c>
      <c r="AG41" s="24"/>
      <c r="AH41" s="266">
        <f>Table4[[#This Row],[Date]]</f>
        <v>46023</v>
      </c>
      <c r="AI41" s="264" t="str">
        <f t="shared" si="4"/>
        <v>Jan</v>
      </c>
      <c r="AJ41" s="264" t="str">
        <f t="shared" si="5"/>
        <v>2026</v>
      </c>
      <c r="AK41" s="270" t="str">
        <f>Table4[[#This Row],[ကုန်သည်အမည်]]</f>
        <v>ဦးစိုး၀င်း</v>
      </c>
      <c r="AL41" s="270" t="str">
        <f>Table4[[#This Row],[Township]]</f>
        <v>Belin</v>
      </c>
      <c r="AM41" s="271" t="str">
        <f>Table4[[#This Row],[WholeSales]]</f>
        <v>Van Sales</v>
      </c>
      <c r="AN41" s="272" t="str">
        <f>Table4[[#This Row],[Particular]]</f>
        <v>ကုန်ရောင်း(အကြွေး)</v>
      </c>
      <c r="AO41" s="273" t="str">
        <f>Table4[[#This Row],[StockName]]</f>
        <v>BE</v>
      </c>
      <c r="AP41" s="268">
        <f>Table4[[#This Row],[Parking]]</f>
        <v>0</v>
      </c>
      <c r="AQ41" s="268">
        <f>Table4[[#This Row],[SalesBot]]</f>
        <v>0</v>
      </c>
      <c r="AR41" s="268">
        <f>Table4[[#This Row],[Liter]]</f>
        <v>0</v>
      </c>
    </row>
    <row r="42" spans="1:44" s="16" customFormat="1" hidden="1" x14ac:dyDescent="0.5">
      <c r="A42" s="3">
        <f t="shared" si="0"/>
        <v>2026</v>
      </c>
      <c r="B42" s="8">
        <f t="shared" si="1"/>
        <v>1</v>
      </c>
      <c r="C42" s="6">
        <v>46023</v>
      </c>
      <c r="D42" s="15">
        <f t="shared" ca="1" si="2"/>
        <v>46097</v>
      </c>
      <c r="E42" s="15" t="str">
        <f t="shared" ca="1" si="3"/>
        <v>2-Months</v>
      </c>
      <c r="F42" s="8" t="str">
        <f>VLOOKUP(N42,Stock[#Data],5,FALSE)</f>
        <v>BE</v>
      </c>
      <c r="G42" s="61"/>
      <c r="H42" s="15"/>
      <c r="I42" s="7" t="s">
        <v>83</v>
      </c>
      <c r="J42" s="8" t="str">
        <f>VLOOKUP(I42,Customers[#Data],2,FALSE)</f>
        <v>ကိုစိုးနိုင်</v>
      </c>
      <c r="K42" s="15" t="str">
        <f>VLOOKUP(I42,Customers[#Data],4,FALSE)</f>
        <v>Paung</v>
      </c>
      <c r="L42" s="15" t="str">
        <f>VLOOKUP(I42,Customers[#Data],5,FALSE)</f>
        <v>Van Sales</v>
      </c>
      <c r="M42" s="7" t="s">
        <v>7</v>
      </c>
      <c r="N42" s="7" t="s">
        <v>128</v>
      </c>
      <c r="O42" s="14" t="str">
        <f>VLOOKUP(N42,Stock[#Data],2,FALSE)</f>
        <v>BE</v>
      </c>
      <c r="P42" s="44">
        <f>VLOOKUP(N42,Stock[#Data],3,FALSE)</f>
        <v>0</v>
      </c>
      <c r="Q42" s="3">
        <f>VLOOKUP(N42,Stock[#Data],4,FALSE)</f>
        <v>0</v>
      </c>
      <c r="R42" s="11"/>
      <c r="S42" s="45">
        <f>IFERROR(Table4[[#This Row],[Bottle]]/Table4[[#This Row],[ပါဝင်မှု]]+Table4[[#This Row],[SalesPK]],0)</f>
        <v>0</v>
      </c>
      <c r="T42" s="12"/>
      <c r="U42" s="10">
        <f>Table4[[#This Row],[ပါဝင်မှု]]*Table4[[#This Row],[SalesPK]]+Table4[[#This Row],[Bottle]]</f>
        <v>0</v>
      </c>
      <c r="V42" s="10">
        <f>Table4[[#This Row],[SalesBot]]*Table4[[#This Row],[ML]]</f>
        <v>0</v>
      </c>
      <c r="W42" s="1">
        <f>VLOOKUP(N42,Stock[#Data],6,FALSE)</f>
        <v>0</v>
      </c>
      <c r="X42" s="8">
        <f>+Table4[[#This Row],[SalesBot]]*Table4[[#This Row],[နှုံး]]</f>
        <v>0</v>
      </c>
      <c r="Y42" s="12">
        <v>912000</v>
      </c>
      <c r="Z42" s="12"/>
      <c r="AA42" s="12"/>
      <c r="AB42" s="9"/>
      <c r="AC42" s="12"/>
      <c r="AD42" s="9"/>
      <c r="AE42" s="12"/>
      <c r="AF4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912000</v>
      </c>
      <c r="AG42" s="24"/>
      <c r="AH42" s="266">
        <f>Table4[[#This Row],[Date]]</f>
        <v>46023</v>
      </c>
      <c r="AI42" s="264" t="str">
        <f t="shared" si="4"/>
        <v>Jan</v>
      </c>
      <c r="AJ42" s="264" t="str">
        <f t="shared" si="5"/>
        <v>2026</v>
      </c>
      <c r="AK42" s="270" t="str">
        <f>Table4[[#This Row],[ကုန်သည်အမည်]]</f>
        <v>ကိုစိုးနိုင်</v>
      </c>
      <c r="AL42" s="270" t="str">
        <f>Table4[[#This Row],[Township]]</f>
        <v>Paung</v>
      </c>
      <c r="AM42" s="271" t="str">
        <f>Table4[[#This Row],[WholeSales]]</f>
        <v>Van Sales</v>
      </c>
      <c r="AN42" s="272" t="str">
        <f>Table4[[#This Row],[Particular]]</f>
        <v>ကုန်ရောင်း(အကြွေး)</v>
      </c>
      <c r="AO42" s="273" t="str">
        <f>Table4[[#This Row],[StockName]]</f>
        <v>BE</v>
      </c>
      <c r="AP42" s="268">
        <f>Table4[[#This Row],[Parking]]</f>
        <v>0</v>
      </c>
      <c r="AQ42" s="268">
        <f>Table4[[#This Row],[SalesBot]]</f>
        <v>0</v>
      </c>
      <c r="AR42" s="268">
        <f>Table4[[#This Row],[Liter]]</f>
        <v>0</v>
      </c>
    </row>
    <row r="43" spans="1:44" s="16" customFormat="1" hidden="1" x14ac:dyDescent="0.5">
      <c r="A43" s="3">
        <f t="shared" si="0"/>
        <v>2026</v>
      </c>
      <c r="B43" s="8">
        <f t="shared" si="1"/>
        <v>1</v>
      </c>
      <c r="C43" s="6">
        <v>46023</v>
      </c>
      <c r="D43" s="15">
        <f t="shared" ca="1" si="2"/>
        <v>46097</v>
      </c>
      <c r="E43" s="15" t="str">
        <f t="shared" ca="1" si="3"/>
        <v>2-Months</v>
      </c>
      <c r="F43" s="8" t="str">
        <f>VLOOKUP(N43,Stock[#Data],5,FALSE)</f>
        <v>BE</v>
      </c>
      <c r="G43" s="61"/>
      <c r="H43" s="15"/>
      <c r="I43" s="7" t="s">
        <v>102</v>
      </c>
      <c r="J43" s="8" t="str">
        <f>VLOOKUP(I43,Customers[#Data],2,FALSE)</f>
        <v>ဦးပြည်အေး</v>
      </c>
      <c r="K43" s="15" t="str">
        <f>VLOOKUP(I43,Customers[#Data],4,FALSE)</f>
        <v>Paung</v>
      </c>
      <c r="L43" s="15" t="str">
        <f>VLOOKUP(I43,Customers[#Data],5,FALSE)</f>
        <v>SemiWholeSales</v>
      </c>
      <c r="M43" s="7" t="s">
        <v>7</v>
      </c>
      <c r="N43" s="7" t="s">
        <v>128</v>
      </c>
      <c r="O43" s="14" t="str">
        <f>VLOOKUP(N43,Stock[#Data],2,FALSE)</f>
        <v>BE</v>
      </c>
      <c r="P43" s="44">
        <f>VLOOKUP(N43,Stock[#Data],3,FALSE)</f>
        <v>0</v>
      </c>
      <c r="Q43" s="3">
        <f>VLOOKUP(N43,Stock[#Data],4,FALSE)</f>
        <v>0</v>
      </c>
      <c r="R43" s="11"/>
      <c r="S43" s="45">
        <f>IFERROR(Table4[[#This Row],[Bottle]]/Table4[[#This Row],[ပါဝင်မှု]]+Table4[[#This Row],[SalesPK]],0)</f>
        <v>0</v>
      </c>
      <c r="T43" s="12"/>
      <c r="U43" s="10">
        <f>Table4[[#This Row],[ပါဝင်မှု]]*Table4[[#This Row],[SalesPK]]+Table4[[#This Row],[Bottle]]</f>
        <v>0</v>
      </c>
      <c r="V43" s="10">
        <f>Table4[[#This Row],[SalesBot]]*Table4[[#This Row],[ML]]</f>
        <v>0</v>
      </c>
      <c r="W43" s="1">
        <f>VLOOKUP(N43,Stock[#Data],6,FALSE)</f>
        <v>0</v>
      </c>
      <c r="X43" s="8">
        <f>+Table4[[#This Row],[SalesBot]]*Table4[[#This Row],[နှုံး]]</f>
        <v>0</v>
      </c>
      <c r="Y43" s="12">
        <v>2600000</v>
      </c>
      <c r="Z43" s="12"/>
      <c r="AA43" s="12"/>
      <c r="AB43" s="9">
        <v>46035</v>
      </c>
      <c r="AC43" s="12">
        <v>2600000</v>
      </c>
      <c r="AD43" s="9"/>
      <c r="AE43" s="12"/>
      <c r="AF4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43" s="24"/>
      <c r="AH43" s="266">
        <f>Table4[[#This Row],[Date]]</f>
        <v>46023</v>
      </c>
      <c r="AI43" s="264" t="str">
        <f t="shared" si="4"/>
        <v>Jan</v>
      </c>
      <c r="AJ43" s="264" t="str">
        <f t="shared" si="5"/>
        <v>2026</v>
      </c>
      <c r="AK43" s="270" t="str">
        <f>Table4[[#This Row],[ကုန်သည်အမည်]]</f>
        <v>ဦးပြည်အေး</v>
      </c>
      <c r="AL43" s="270" t="str">
        <f>Table4[[#This Row],[Township]]</f>
        <v>Paung</v>
      </c>
      <c r="AM43" s="271" t="str">
        <f>Table4[[#This Row],[WholeSales]]</f>
        <v>SemiWholeSales</v>
      </c>
      <c r="AN43" s="272" t="str">
        <f>Table4[[#This Row],[Particular]]</f>
        <v>ကုန်ရောင်း(အကြွေး)</v>
      </c>
      <c r="AO43" s="273" t="str">
        <f>Table4[[#This Row],[StockName]]</f>
        <v>BE</v>
      </c>
      <c r="AP43" s="268">
        <f>Table4[[#This Row],[Parking]]</f>
        <v>0</v>
      </c>
      <c r="AQ43" s="268">
        <f>Table4[[#This Row],[SalesBot]]</f>
        <v>0</v>
      </c>
      <c r="AR43" s="268">
        <f>Table4[[#This Row],[Liter]]</f>
        <v>0</v>
      </c>
    </row>
    <row r="44" spans="1:44" s="16" customFormat="1" hidden="1" x14ac:dyDescent="0.5">
      <c r="A44" s="3">
        <f t="shared" si="0"/>
        <v>2026</v>
      </c>
      <c r="B44" s="8">
        <f t="shared" si="1"/>
        <v>1</v>
      </c>
      <c r="C44" s="6">
        <v>46023</v>
      </c>
      <c r="D44" s="15">
        <f t="shared" ca="1" si="2"/>
        <v>46097</v>
      </c>
      <c r="E44" s="15" t="str">
        <f t="shared" ca="1" si="3"/>
        <v>2-Months</v>
      </c>
      <c r="F44" s="8" t="str">
        <f>VLOOKUP(N44,Stock[#Data],5,FALSE)</f>
        <v>BE</v>
      </c>
      <c r="G44" s="61"/>
      <c r="H44" s="15"/>
      <c r="I44" s="7" t="s">
        <v>85</v>
      </c>
      <c r="J44" s="8" t="str">
        <f>VLOOKUP(I44,Customers[#Data],2,FALSE)</f>
        <v>ဒေါ်မိုးမိုးမြင့်</v>
      </c>
      <c r="K44" s="15" t="str">
        <f>VLOOKUP(I44,Customers[#Data],4,FALSE)</f>
        <v>Mudon</v>
      </c>
      <c r="L44" s="15" t="str">
        <f>VLOOKUP(I44,Customers[#Data],5,FALSE)</f>
        <v>Van Sales</v>
      </c>
      <c r="M44" s="7" t="s">
        <v>7</v>
      </c>
      <c r="N44" s="7" t="s">
        <v>128</v>
      </c>
      <c r="O44" s="14" t="str">
        <f>VLOOKUP(N44,Stock[#Data],2,FALSE)</f>
        <v>BE</v>
      </c>
      <c r="P44" s="44">
        <f>VLOOKUP(N44,Stock[#Data],3,FALSE)</f>
        <v>0</v>
      </c>
      <c r="Q44" s="3">
        <f>VLOOKUP(N44,Stock[#Data],4,FALSE)</f>
        <v>0</v>
      </c>
      <c r="R44" s="11"/>
      <c r="S44" s="45">
        <f>IFERROR(Table4[[#This Row],[Bottle]]/Table4[[#This Row],[ပါဝင်မှု]]+Table4[[#This Row],[SalesPK]],0)</f>
        <v>0</v>
      </c>
      <c r="T44" s="12"/>
      <c r="U44" s="10">
        <f>Table4[[#This Row],[ပါဝင်မှု]]*Table4[[#This Row],[SalesPK]]+Table4[[#This Row],[Bottle]]</f>
        <v>0</v>
      </c>
      <c r="V44" s="10">
        <f>Table4[[#This Row],[SalesBot]]*Table4[[#This Row],[ML]]</f>
        <v>0</v>
      </c>
      <c r="W44" s="1">
        <f>VLOOKUP(N44,Stock[#Data],6,FALSE)</f>
        <v>0</v>
      </c>
      <c r="X44" s="8">
        <f>+Table4[[#This Row],[SalesBot]]*Table4[[#This Row],[နှုံး]]</f>
        <v>0</v>
      </c>
      <c r="Y44" s="12">
        <v>504000</v>
      </c>
      <c r="Z44" s="12"/>
      <c r="AA44" s="12"/>
      <c r="AB44" s="9"/>
      <c r="AC44" s="12"/>
      <c r="AD44" s="9"/>
      <c r="AE44" s="12"/>
      <c r="AF4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504000</v>
      </c>
      <c r="AG44" s="24"/>
      <c r="AH44" s="266">
        <f>Table4[[#This Row],[Date]]</f>
        <v>46023</v>
      </c>
      <c r="AI44" s="264" t="str">
        <f t="shared" si="4"/>
        <v>Jan</v>
      </c>
      <c r="AJ44" s="264" t="str">
        <f t="shared" si="5"/>
        <v>2026</v>
      </c>
      <c r="AK44" s="270" t="str">
        <f>Table4[[#This Row],[ကုန်သည်အမည်]]</f>
        <v>ဒေါ်မိုးမိုးမြင့်</v>
      </c>
      <c r="AL44" s="270" t="str">
        <f>Table4[[#This Row],[Township]]</f>
        <v>Mudon</v>
      </c>
      <c r="AM44" s="271" t="str">
        <f>Table4[[#This Row],[WholeSales]]</f>
        <v>Van Sales</v>
      </c>
      <c r="AN44" s="272" t="str">
        <f>Table4[[#This Row],[Particular]]</f>
        <v>ကုန်ရောင်း(အကြွေး)</v>
      </c>
      <c r="AO44" s="273" t="str">
        <f>Table4[[#This Row],[StockName]]</f>
        <v>BE</v>
      </c>
      <c r="AP44" s="268">
        <f>Table4[[#This Row],[Parking]]</f>
        <v>0</v>
      </c>
      <c r="AQ44" s="268">
        <f>Table4[[#This Row],[SalesBot]]</f>
        <v>0</v>
      </c>
      <c r="AR44" s="268">
        <f>Table4[[#This Row],[Liter]]</f>
        <v>0</v>
      </c>
    </row>
    <row r="45" spans="1:44" s="16" customFormat="1" hidden="1" x14ac:dyDescent="0.5">
      <c r="A45" s="3">
        <f t="shared" si="0"/>
        <v>2026</v>
      </c>
      <c r="B45" s="8">
        <f t="shared" si="1"/>
        <v>1</v>
      </c>
      <c r="C45" s="6">
        <v>46023</v>
      </c>
      <c r="D45" s="15">
        <f t="shared" ca="1" si="2"/>
        <v>46097</v>
      </c>
      <c r="E45" s="15" t="str">
        <f t="shared" ca="1" si="3"/>
        <v>2-Months</v>
      </c>
      <c r="F45" s="8" t="str">
        <f>VLOOKUP(N45,Stock[#Data],5,FALSE)</f>
        <v>BE</v>
      </c>
      <c r="G45" s="61"/>
      <c r="H45" s="15"/>
      <c r="I45" s="7" t="s">
        <v>145</v>
      </c>
      <c r="J45" s="8" t="str">
        <f>VLOOKUP(I45,Customers[#Data],2,FALSE)</f>
        <v>ကိုအာနိုး</v>
      </c>
      <c r="K45" s="15" t="str">
        <f>VLOOKUP(I45,Customers[#Data],4,FALSE)</f>
        <v>yaY</v>
      </c>
      <c r="L45" s="15" t="str">
        <f>VLOOKUP(I45,Customers[#Data],5,FALSE)</f>
        <v>Van Sales</v>
      </c>
      <c r="M45" s="7" t="s">
        <v>7</v>
      </c>
      <c r="N45" s="7" t="s">
        <v>128</v>
      </c>
      <c r="O45" s="14" t="str">
        <f>VLOOKUP(N45,Stock[#Data],2,FALSE)</f>
        <v>BE</v>
      </c>
      <c r="P45" s="44">
        <f>VLOOKUP(N45,Stock[#Data],3,FALSE)</f>
        <v>0</v>
      </c>
      <c r="Q45" s="3">
        <f>VLOOKUP(N45,Stock[#Data],4,FALSE)</f>
        <v>0</v>
      </c>
      <c r="R45" s="11"/>
      <c r="S45" s="45">
        <f>IFERROR(Table4[[#This Row],[Bottle]]/Table4[[#This Row],[ပါဝင်မှု]]+Table4[[#This Row],[SalesPK]],0)</f>
        <v>0</v>
      </c>
      <c r="T45" s="12"/>
      <c r="U45" s="10">
        <f>Table4[[#This Row],[ပါဝင်မှု]]*Table4[[#This Row],[SalesPK]]+Table4[[#This Row],[Bottle]]</f>
        <v>0</v>
      </c>
      <c r="V45" s="10">
        <f>Table4[[#This Row],[SalesBot]]*Table4[[#This Row],[ML]]</f>
        <v>0</v>
      </c>
      <c r="W45" s="1">
        <f>VLOOKUP(N45,Stock[#Data],6,FALSE)</f>
        <v>0</v>
      </c>
      <c r="X45" s="8">
        <f>+Table4[[#This Row],[SalesBot]]*Table4[[#This Row],[နှုံး]]</f>
        <v>0</v>
      </c>
      <c r="Y45" s="12">
        <v>615600</v>
      </c>
      <c r="Z45" s="12"/>
      <c r="AA45" s="12"/>
      <c r="AB45" s="9">
        <v>46025</v>
      </c>
      <c r="AC45" s="12">
        <v>615600</v>
      </c>
      <c r="AD45" s="9"/>
      <c r="AE45" s="12"/>
      <c r="AF4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45" s="24"/>
      <c r="AH45" s="266">
        <f>Table4[[#This Row],[Date]]</f>
        <v>46023</v>
      </c>
      <c r="AI45" s="264" t="str">
        <f t="shared" si="4"/>
        <v>Jan</v>
      </c>
      <c r="AJ45" s="264" t="str">
        <f t="shared" si="5"/>
        <v>2026</v>
      </c>
      <c r="AK45" s="270" t="str">
        <f>Table4[[#This Row],[ကုန်သည်အမည်]]</f>
        <v>ကိုအာနိုး</v>
      </c>
      <c r="AL45" s="270" t="str">
        <f>Table4[[#This Row],[Township]]</f>
        <v>yaY</v>
      </c>
      <c r="AM45" s="271" t="str">
        <f>Table4[[#This Row],[WholeSales]]</f>
        <v>Van Sales</v>
      </c>
      <c r="AN45" s="272" t="str">
        <f>Table4[[#This Row],[Particular]]</f>
        <v>ကုန်ရောင်း(အကြွေး)</v>
      </c>
      <c r="AO45" s="273" t="str">
        <f>Table4[[#This Row],[StockName]]</f>
        <v>BE</v>
      </c>
      <c r="AP45" s="268">
        <f>Table4[[#This Row],[Parking]]</f>
        <v>0</v>
      </c>
      <c r="AQ45" s="268">
        <f>Table4[[#This Row],[SalesBot]]</f>
        <v>0</v>
      </c>
      <c r="AR45" s="268">
        <f>Table4[[#This Row],[Liter]]</f>
        <v>0</v>
      </c>
    </row>
    <row r="46" spans="1:44" s="16" customFormat="1" hidden="1" x14ac:dyDescent="0.5">
      <c r="A46" s="3">
        <f t="shared" si="0"/>
        <v>2026</v>
      </c>
      <c r="B46" s="8">
        <f t="shared" si="1"/>
        <v>1</v>
      </c>
      <c r="C46" s="6">
        <v>46024</v>
      </c>
      <c r="D46" s="15">
        <f t="shared" ca="1" si="2"/>
        <v>46097</v>
      </c>
      <c r="E46" s="15" t="str">
        <f t="shared" ca="1" si="3"/>
        <v>2-Months</v>
      </c>
      <c r="F46" s="8" t="str">
        <f>VLOOKUP(N46,Stock[#Data],5,FALSE)</f>
        <v>BE</v>
      </c>
      <c r="G46" s="61" t="s">
        <v>572</v>
      </c>
      <c r="H46" s="15"/>
      <c r="I46" s="7" t="s">
        <v>86</v>
      </c>
      <c r="J46" s="8" t="str">
        <f>VLOOKUP(I46,Customers[#Data],2,FALSE)</f>
        <v>ဒေါ်စိန်ယုံ</v>
      </c>
      <c r="K46" s="15" t="str">
        <f>VLOOKUP(I46,Customers[#Data],4,FALSE)</f>
        <v>Mudon</v>
      </c>
      <c r="L46" s="15" t="str">
        <f>VLOOKUP(I46,Customers[#Data],5,FALSE)</f>
        <v>Mini Whole Sales</v>
      </c>
      <c r="M46" s="7" t="s">
        <v>7</v>
      </c>
      <c r="N46" s="7" t="s">
        <v>520</v>
      </c>
      <c r="O46" s="14" t="str">
        <f>VLOOKUP(N46,Stock[#Data],2,FALSE)</f>
        <v>ဇေယျဝတီ  Red(ပု)</v>
      </c>
      <c r="P46" s="44">
        <f>VLOOKUP(N46,Stock[#Data],3,FALSE)</f>
        <v>0.64</v>
      </c>
      <c r="Q46" s="3">
        <f>VLOOKUP(N46,Stock[#Data],4,FALSE)</f>
        <v>14</v>
      </c>
      <c r="R46" s="11"/>
      <c r="S46" s="45">
        <f>IFERROR(Table4[[#This Row],[Bottle]]/Table4[[#This Row],[ပါဝင်မှု]]+Table4[[#This Row],[SalesPK]],0)</f>
        <v>30</v>
      </c>
      <c r="T46" s="12">
        <v>30</v>
      </c>
      <c r="U46" s="10">
        <f>Table4[[#This Row],[ပါဝင်မှု]]*Table4[[#This Row],[SalesPK]]+Table4[[#This Row],[Bottle]]</f>
        <v>420</v>
      </c>
      <c r="V46" s="10">
        <f>Table4[[#This Row],[SalesBot]]*Table4[[#This Row],[ML]]</f>
        <v>268.8</v>
      </c>
      <c r="W46" s="1">
        <f>VLOOKUP(N46,Stock[#Data],6,FALSE)</f>
        <v>1800</v>
      </c>
      <c r="X46" s="8">
        <f>+Table4[[#This Row],[SalesBot]]*Table4[[#This Row],[နှုံး]]</f>
        <v>756000</v>
      </c>
      <c r="Y46" s="12"/>
      <c r="Z46" s="12"/>
      <c r="AA46" s="12"/>
      <c r="AB46" s="9">
        <v>46043</v>
      </c>
      <c r="AC46" s="12">
        <v>756000</v>
      </c>
      <c r="AD46" s="9"/>
      <c r="AE46" s="12"/>
      <c r="AF4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46" s="24"/>
      <c r="AH46" s="266">
        <f>Table4[[#This Row],[Date]]</f>
        <v>46024</v>
      </c>
      <c r="AI46" s="264" t="str">
        <f t="shared" si="4"/>
        <v>Jan</v>
      </c>
      <c r="AJ46" s="264" t="str">
        <f t="shared" si="5"/>
        <v>2026</v>
      </c>
      <c r="AK46" s="270" t="str">
        <f>Table4[[#This Row],[ကုန်သည်အမည်]]</f>
        <v>ဒေါ်စိန်ယုံ</v>
      </c>
      <c r="AL46" s="270" t="str">
        <f>Table4[[#This Row],[Township]]</f>
        <v>Mudon</v>
      </c>
      <c r="AM46" s="271" t="str">
        <f>Table4[[#This Row],[WholeSales]]</f>
        <v>Mini Whole Sales</v>
      </c>
      <c r="AN46" s="272" t="str">
        <f>Table4[[#This Row],[Particular]]</f>
        <v>ကုန်ရောင်း(အကြွေး)</v>
      </c>
      <c r="AO46" s="273" t="str">
        <f>Table4[[#This Row],[StockName]]</f>
        <v>ဇေယျဝတီ  Red(ပု)</v>
      </c>
      <c r="AP46" s="268">
        <f>Table4[[#This Row],[Parking]]</f>
        <v>30</v>
      </c>
      <c r="AQ46" s="268">
        <f>Table4[[#This Row],[SalesBot]]</f>
        <v>420</v>
      </c>
      <c r="AR46" s="268">
        <f>Table4[[#This Row],[Liter]]</f>
        <v>268.8</v>
      </c>
    </row>
    <row r="47" spans="1:44" s="16" customFormat="1" hidden="1" x14ac:dyDescent="0.5">
      <c r="A47" s="3">
        <f t="shared" si="0"/>
        <v>2026</v>
      </c>
      <c r="B47" s="8">
        <f t="shared" si="1"/>
        <v>1</v>
      </c>
      <c r="C47" s="6">
        <v>46024</v>
      </c>
      <c r="D47" s="15">
        <f t="shared" ca="1" si="2"/>
        <v>46097</v>
      </c>
      <c r="E47" s="15" t="str">
        <f t="shared" ca="1" si="3"/>
        <v>2-Months</v>
      </c>
      <c r="F47" s="8" t="str">
        <f>VLOOKUP(N47,Stock[#Data],5,FALSE)</f>
        <v>BE</v>
      </c>
      <c r="G47" s="82" t="s">
        <v>641</v>
      </c>
      <c r="H47" s="15"/>
      <c r="I47" s="7" t="s">
        <v>82</v>
      </c>
      <c r="J47" s="8" t="str">
        <f>VLOOKUP(I47,Customers[#Data],2,FALSE)</f>
        <v>ဒေါ်ထွန်းမေ</v>
      </c>
      <c r="K47" s="15" t="str">
        <f>VLOOKUP(I47,Customers[#Data],4,FALSE)</f>
        <v>Maw La Myaing</v>
      </c>
      <c r="L47" s="15" t="str">
        <f>VLOOKUP(I47,Customers[#Data],5,FALSE)</f>
        <v>WholeSales</v>
      </c>
      <c r="M47" s="7" t="s">
        <v>7</v>
      </c>
      <c r="N47" s="7" t="s">
        <v>521</v>
      </c>
      <c r="O47" s="14" t="str">
        <f>VLOOKUP(N47,Stock[#Data],2,FALSE)</f>
        <v>ဒဂုံအရက်သန့်</v>
      </c>
      <c r="P47" s="44">
        <f>VLOOKUP(N47,Stock[#Data],3,FALSE)</f>
        <v>0.64</v>
      </c>
      <c r="Q47" s="3">
        <f>VLOOKUP(N47,Stock[#Data],4,FALSE)</f>
        <v>24</v>
      </c>
      <c r="R47" s="11"/>
      <c r="S47" s="45">
        <f>IFERROR(Table4[[#This Row],[Bottle]]/Table4[[#This Row],[ပါဝင်မှု]]+Table4[[#This Row],[SalesPK]],0)</f>
        <v>60</v>
      </c>
      <c r="T47" s="12">
        <v>60</v>
      </c>
      <c r="U47" s="10">
        <f>Table4[[#This Row],[ပါဝင်မှု]]*Table4[[#This Row],[SalesPK]]+Table4[[#This Row],[Bottle]]</f>
        <v>1440</v>
      </c>
      <c r="V47" s="10">
        <f>Table4[[#This Row],[SalesBot]]*Table4[[#This Row],[ML]]</f>
        <v>921.6</v>
      </c>
      <c r="W47" s="1">
        <f>VLOOKUP(N47,Stock[#Data],6,FALSE)</f>
        <v>1350</v>
      </c>
      <c r="X47" s="8">
        <f>+Table4[[#This Row],[SalesBot]]*Table4[[#This Row],[နှုံး]]</f>
        <v>1944000</v>
      </c>
      <c r="Y47" s="12"/>
      <c r="Z47" s="12"/>
      <c r="AA47" s="12"/>
      <c r="AB47" s="9">
        <v>46028</v>
      </c>
      <c r="AC47" s="12">
        <v>1944000</v>
      </c>
      <c r="AD47" s="9"/>
      <c r="AE47" s="12"/>
      <c r="AF4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47" s="24"/>
      <c r="AH47" s="266">
        <f>Table4[[#This Row],[Date]]</f>
        <v>46024</v>
      </c>
      <c r="AI47" s="264" t="str">
        <f t="shared" si="4"/>
        <v>Jan</v>
      </c>
      <c r="AJ47" s="264" t="str">
        <f t="shared" si="5"/>
        <v>2026</v>
      </c>
      <c r="AK47" s="270" t="str">
        <f>Table4[[#This Row],[ကုန်သည်အမည်]]</f>
        <v>ဒေါ်ထွန်းမေ</v>
      </c>
      <c r="AL47" s="270" t="str">
        <f>Table4[[#This Row],[Township]]</f>
        <v>Maw La Myaing</v>
      </c>
      <c r="AM47" s="271" t="str">
        <f>Table4[[#This Row],[WholeSales]]</f>
        <v>WholeSales</v>
      </c>
      <c r="AN47" s="272" t="str">
        <f>Table4[[#This Row],[Particular]]</f>
        <v>ကုန်ရောင်း(အကြွေး)</v>
      </c>
      <c r="AO47" s="273" t="str">
        <f>Table4[[#This Row],[StockName]]</f>
        <v>ဒဂုံအရက်သန့်</v>
      </c>
      <c r="AP47" s="268">
        <f>Table4[[#This Row],[Parking]]</f>
        <v>60</v>
      </c>
      <c r="AQ47" s="268">
        <f>Table4[[#This Row],[SalesBot]]</f>
        <v>1440</v>
      </c>
      <c r="AR47" s="268">
        <f>Table4[[#This Row],[Liter]]</f>
        <v>921.6</v>
      </c>
    </row>
    <row r="48" spans="1:44" s="16" customFormat="1" hidden="1" x14ac:dyDescent="0.5">
      <c r="A48" s="3">
        <f t="shared" ref="A48:A64" si="6">YEAR(C48)</f>
        <v>2026</v>
      </c>
      <c r="B48" s="8">
        <f t="shared" ref="B48:B64" si="7">MONTH(C48)</f>
        <v>1</v>
      </c>
      <c r="C48" s="6">
        <v>46024</v>
      </c>
      <c r="D48" s="15">
        <f t="shared" ref="D48:D64" ca="1" si="8">TODAY()</f>
        <v>46097</v>
      </c>
      <c r="E48" s="15" t="str">
        <f t="shared" ref="E48:E64" ca="1" si="9">DATEDIF(C48,D48,"M")&amp;"-Months"</f>
        <v>2-Months</v>
      </c>
      <c r="F48" s="8" t="str">
        <f>VLOOKUP(N48,Stock[#Data],5,FALSE)</f>
        <v>BE</v>
      </c>
      <c r="G48" s="82" t="s">
        <v>642</v>
      </c>
      <c r="H48" s="15"/>
      <c r="I48" s="7" t="s">
        <v>95</v>
      </c>
      <c r="J48" s="8" t="str">
        <f>VLOOKUP(I48,Customers[#Data],2,FALSE)</f>
        <v>ကျော်စတား</v>
      </c>
      <c r="K48" s="15" t="str">
        <f>VLOOKUP(I48,Customers[#Data],4,FALSE)</f>
        <v>Yay</v>
      </c>
      <c r="L48" s="15" t="str">
        <f>VLOOKUP(I48,Customers[#Data],5,FALSE)</f>
        <v>WholeSales</v>
      </c>
      <c r="M48" s="7" t="s">
        <v>7</v>
      </c>
      <c r="N48" s="7" t="s">
        <v>514</v>
      </c>
      <c r="O48" s="14" t="str">
        <f>VLOOKUP(N48,Stock[#Data],2,FALSE)</f>
        <v>ဇေယျဝတီ Red</v>
      </c>
      <c r="P48" s="44">
        <f>VLOOKUP(N48,Stock[#Data],3,FALSE)</f>
        <v>0.64</v>
      </c>
      <c r="Q48" s="3">
        <f>VLOOKUP(N48,Stock[#Data],4,FALSE)</f>
        <v>14</v>
      </c>
      <c r="R48" s="11"/>
      <c r="S48" s="45">
        <f>IFERROR(Table4[[#This Row],[Bottle]]/Table4[[#This Row],[ပါဝင်မှု]]+Table4[[#This Row],[SalesPK]],0)</f>
        <v>105</v>
      </c>
      <c r="T48" s="12">
        <v>105</v>
      </c>
      <c r="U48" s="10">
        <f>Table4[[#This Row],[ပါဝင်မှု]]*Table4[[#This Row],[SalesPK]]+Table4[[#This Row],[Bottle]]</f>
        <v>1470</v>
      </c>
      <c r="V48" s="10">
        <f>Table4[[#This Row],[SalesBot]]*Table4[[#This Row],[ML]]</f>
        <v>940.80000000000007</v>
      </c>
      <c r="W48" s="1">
        <f>VLOOKUP(N48,Stock[#Data],6,FALSE)</f>
        <v>1350</v>
      </c>
      <c r="X48" s="8">
        <f>+Table4[[#This Row],[SalesBot]]*Table4[[#This Row],[နှုံး]]</f>
        <v>1984500</v>
      </c>
      <c r="Y48" s="12"/>
      <c r="Z48" s="12"/>
      <c r="AA48" s="12"/>
      <c r="AB48" s="9">
        <v>46036</v>
      </c>
      <c r="AC48" s="12">
        <v>1984500</v>
      </c>
      <c r="AD48" s="9"/>
      <c r="AE48" s="12"/>
      <c r="AF4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48" s="24"/>
      <c r="AH48" s="266">
        <f>Table4[[#This Row],[Date]]</f>
        <v>46024</v>
      </c>
      <c r="AI48" s="264" t="str">
        <f t="shared" si="4"/>
        <v>Jan</v>
      </c>
      <c r="AJ48" s="264" t="str">
        <f t="shared" si="5"/>
        <v>2026</v>
      </c>
      <c r="AK48" s="270" t="str">
        <f>Table4[[#This Row],[ကုန်သည်အမည်]]</f>
        <v>ကျော်စတား</v>
      </c>
      <c r="AL48" s="270" t="str">
        <f>Table4[[#This Row],[Township]]</f>
        <v>Yay</v>
      </c>
      <c r="AM48" s="271" t="str">
        <f>Table4[[#This Row],[WholeSales]]</f>
        <v>WholeSales</v>
      </c>
      <c r="AN48" s="272" t="str">
        <f>Table4[[#This Row],[Particular]]</f>
        <v>ကုန်ရောင်း(အကြွေး)</v>
      </c>
      <c r="AO48" s="273" t="str">
        <f>Table4[[#This Row],[StockName]]</f>
        <v>ဇေယျဝတီ Red</v>
      </c>
      <c r="AP48" s="268">
        <f>Table4[[#This Row],[Parking]]</f>
        <v>105</v>
      </c>
      <c r="AQ48" s="268">
        <f>Table4[[#This Row],[SalesBot]]</f>
        <v>1470</v>
      </c>
      <c r="AR48" s="268">
        <f>Table4[[#This Row],[Liter]]</f>
        <v>940.80000000000007</v>
      </c>
    </row>
    <row r="49" spans="1:44" s="16" customFormat="1" hidden="1" x14ac:dyDescent="0.5">
      <c r="A49" s="3">
        <f t="shared" si="6"/>
        <v>2026</v>
      </c>
      <c r="B49" s="8">
        <f t="shared" si="7"/>
        <v>1</v>
      </c>
      <c r="C49" s="6">
        <v>46024</v>
      </c>
      <c r="D49" s="15">
        <f t="shared" ca="1" si="8"/>
        <v>46097</v>
      </c>
      <c r="E49" s="15" t="str">
        <f t="shared" ca="1" si="9"/>
        <v>2-Months</v>
      </c>
      <c r="F49" s="8" t="str">
        <f>VLOOKUP(N49,Stock[#Data],5,FALSE)</f>
        <v>BE</v>
      </c>
      <c r="G49" s="82" t="s">
        <v>642</v>
      </c>
      <c r="H49" s="15"/>
      <c r="I49" s="7" t="s">
        <v>95</v>
      </c>
      <c r="J49" s="8" t="str">
        <f>VLOOKUP(I49,Customers[#Data],2,FALSE)</f>
        <v>ကျော်စတား</v>
      </c>
      <c r="K49" s="15" t="str">
        <f>VLOOKUP(I49,Customers[#Data],4,FALSE)</f>
        <v>Yay</v>
      </c>
      <c r="L49" s="15" t="str">
        <f>VLOOKUP(I49,Customers[#Data],5,FALSE)</f>
        <v>WholeSales</v>
      </c>
      <c r="M49" s="7" t="s">
        <v>7</v>
      </c>
      <c r="N49" s="7" t="s">
        <v>517</v>
      </c>
      <c r="O49" s="14" t="str">
        <f>VLOOKUP(N49,Stock[#Data],2,FALSE)</f>
        <v>ဇေယျဝတီ Red (1 Liter) 30%</v>
      </c>
      <c r="P49" s="44">
        <f>VLOOKUP(N49,Stock[#Data],3,FALSE)</f>
        <v>1</v>
      </c>
      <c r="Q49" s="3">
        <f>VLOOKUP(N49,Stock[#Data],4,FALSE)</f>
        <v>12</v>
      </c>
      <c r="R49" s="11"/>
      <c r="S49" s="45">
        <f>IFERROR(Table4[[#This Row],[Bottle]]/Table4[[#This Row],[ပါဝင်မှု]]+Table4[[#This Row],[SalesPK]],0)</f>
        <v>100</v>
      </c>
      <c r="T49" s="12">
        <v>100</v>
      </c>
      <c r="U49" s="10">
        <f>Table4[[#This Row],[ပါဝင်မှု]]*Table4[[#This Row],[SalesPK]]+Table4[[#This Row],[Bottle]]</f>
        <v>1200</v>
      </c>
      <c r="V49" s="10">
        <f>Table4[[#This Row],[SalesBot]]*Table4[[#This Row],[ML]]</f>
        <v>1200</v>
      </c>
      <c r="W49" s="1">
        <f>VLOOKUP(N49,Stock[#Data],6,FALSE)</f>
        <v>1710</v>
      </c>
      <c r="X49" s="8">
        <f>+Table4[[#This Row],[SalesBot]]*Table4[[#This Row],[နှုံး]]</f>
        <v>2052000</v>
      </c>
      <c r="Y49" s="12"/>
      <c r="Z49" s="12"/>
      <c r="AA49" s="12"/>
      <c r="AB49" s="9">
        <v>46036</v>
      </c>
      <c r="AC49" s="12">
        <v>2052000</v>
      </c>
      <c r="AD49" s="9"/>
      <c r="AE49" s="12"/>
      <c r="AF4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49" s="24"/>
      <c r="AH49" s="266">
        <f>Table4[[#This Row],[Date]]</f>
        <v>46024</v>
      </c>
      <c r="AI49" s="264" t="str">
        <f t="shared" si="4"/>
        <v>Jan</v>
      </c>
      <c r="AJ49" s="264" t="str">
        <f t="shared" si="5"/>
        <v>2026</v>
      </c>
      <c r="AK49" s="270" t="str">
        <f>Table4[[#This Row],[ကုန်သည်အမည်]]</f>
        <v>ကျော်စတား</v>
      </c>
      <c r="AL49" s="270" t="str">
        <f>Table4[[#This Row],[Township]]</f>
        <v>Yay</v>
      </c>
      <c r="AM49" s="271" t="str">
        <f>Table4[[#This Row],[WholeSales]]</f>
        <v>WholeSales</v>
      </c>
      <c r="AN49" s="272" t="str">
        <f>Table4[[#This Row],[Particular]]</f>
        <v>ကုန်ရောင်း(အကြွေး)</v>
      </c>
      <c r="AO49" s="273" t="str">
        <f>Table4[[#This Row],[StockName]]</f>
        <v>ဇေယျဝတီ Red (1 Liter) 30%</v>
      </c>
      <c r="AP49" s="268">
        <f>Table4[[#This Row],[Parking]]</f>
        <v>100</v>
      </c>
      <c r="AQ49" s="268">
        <f>Table4[[#This Row],[SalesBot]]</f>
        <v>1200</v>
      </c>
      <c r="AR49" s="268">
        <f>Table4[[#This Row],[Liter]]</f>
        <v>1200</v>
      </c>
    </row>
    <row r="50" spans="1:44" s="16" customFormat="1" hidden="1" x14ac:dyDescent="0.5">
      <c r="A50" s="3">
        <f t="shared" si="6"/>
        <v>2026</v>
      </c>
      <c r="B50" s="8">
        <f t="shared" si="7"/>
        <v>1</v>
      </c>
      <c r="C50" s="6">
        <v>46024</v>
      </c>
      <c r="D50" s="15">
        <f t="shared" ca="1" si="8"/>
        <v>46097</v>
      </c>
      <c r="E50" s="15" t="str">
        <f t="shared" ca="1" si="9"/>
        <v>2-Months</v>
      </c>
      <c r="F50" s="8" t="str">
        <f>VLOOKUP(N50,Stock[#Data],5,FALSE)</f>
        <v>BE</v>
      </c>
      <c r="G50" s="82" t="s">
        <v>643</v>
      </c>
      <c r="H50" s="15"/>
      <c r="I50" s="7" t="s">
        <v>95</v>
      </c>
      <c r="J50" s="8" t="str">
        <f>VLOOKUP(I50,Customers[#Data],2,FALSE)</f>
        <v>ကျော်စတား</v>
      </c>
      <c r="K50" s="15" t="str">
        <f>VLOOKUP(I50,Customers[#Data],4,FALSE)</f>
        <v>Yay</v>
      </c>
      <c r="L50" s="15" t="str">
        <f>VLOOKUP(I50,Customers[#Data],5,FALSE)</f>
        <v>WholeSales</v>
      </c>
      <c r="M50" s="7" t="s">
        <v>7</v>
      </c>
      <c r="N50" s="7" t="s">
        <v>514</v>
      </c>
      <c r="O50" s="14" t="str">
        <f>VLOOKUP(N50,Stock[#Data],2,FALSE)</f>
        <v>ဇေယျဝတီ Red</v>
      </c>
      <c r="P50" s="44">
        <f>VLOOKUP(N50,Stock[#Data],3,FALSE)</f>
        <v>0.64</v>
      </c>
      <c r="Q50" s="3">
        <f>VLOOKUP(N50,Stock[#Data],4,FALSE)</f>
        <v>14</v>
      </c>
      <c r="R50" s="11"/>
      <c r="S50" s="45">
        <f>IFERROR(Table4[[#This Row],[Bottle]]/Table4[[#This Row],[ပါဝင်မှု]]+Table4[[#This Row],[SalesPK]],0)</f>
        <v>100</v>
      </c>
      <c r="T50" s="12">
        <v>100</v>
      </c>
      <c r="U50" s="10">
        <f>Table4[[#This Row],[ပါဝင်မှု]]*Table4[[#This Row],[SalesPK]]+Table4[[#This Row],[Bottle]]</f>
        <v>1400</v>
      </c>
      <c r="V50" s="10">
        <f>Table4[[#This Row],[SalesBot]]*Table4[[#This Row],[ML]]</f>
        <v>896</v>
      </c>
      <c r="W50" s="1">
        <f>VLOOKUP(N50,Stock[#Data],6,FALSE)</f>
        <v>1350</v>
      </c>
      <c r="X50" s="8">
        <f>+Table4[[#This Row],[SalesBot]]*Table4[[#This Row],[နှုံး]]</f>
        <v>1890000</v>
      </c>
      <c r="Y50" s="12"/>
      <c r="Z50" s="12"/>
      <c r="AA50" s="12"/>
      <c r="AB50" s="9">
        <v>46036</v>
      </c>
      <c r="AC50" s="12">
        <v>1890000</v>
      </c>
      <c r="AD50" s="9"/>
      <c r="AE50" s="12"/>
      <c r="AF5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50" s="24"/>
      <c r="AH50" s="266">
        <f>Table4[[#This Row],[Date]]</f>
        <v>46024</v>
      </c>
      <c r="AI50" s="264" t="str">
        <f t="shared" si="4"/>
        <v>Jan</v>
      </c>
      <c r="AJ50" s="264" t="str">
        <f t="shared" si="5"/>
        <v>2026</v>
      </c>
      <c r="AK50" s="270" t="str">
        <f>Table4[[#This Row],[ကုန်သည်အမည်]]</f>
        <v>ကျော်စတား</v>
      </c>
      <c r="AL50" s="270" t="str">
        <f>Table4[[#This Row],[Township]]</f>
        <v>Yay</v>
      </c>
      <c r="AM50" s="271" t="str">
        <f>Table4[[#This Row],[WholeSales]]</f>
        <v>WholeSales</v>
      </c>
      <c r="AN50" s="272" t="str">
        <f>Table4[[#This Row],[Particular]]</f>
        <v>ကုန်ရောင်း(အကြွေး)</v>
      </c>
      <c r="AO50" s="273" t="str">
        <f>Table4[[#This Row],[StockName]]</f>
        <v>ဇေယျဝတီ Red</v>
      </c>
      <c r="AP50" s="268">
        <f>Table4[[#This Row],[Parking]]</f>
        <v>100</v>
      </c>
      <c r="AQ50" s="268">
        <f>Table4[[#This Row],[SalesBot]]</f>
        <v>1400</v>
      </c>
      <c r="AR50" s="268">
        <f>Table4[[#This Row],[Liter]]</f>
        <v>896</v>
      </c>
    </row>
    <row r="51" spans="1:44" s="16" customFormat="1" hidden="1" x14ac:dyDescent="0.5">
      <c r="A51" s="3">
        <f t="shared" si="6"/>
        <v>2026</v>
      </c>
      <c r="B51" s="8">
        <f t="shared" si="7"/>
        <v>1</v>
      </c>
      <c r="C51" s="6">
        <v>46024</v>
      </c>
      <c r="D51" s="15">
        <f t="shared" ca="1" si="8"/>
        <v>46097</v>
      </c>
      <c r="E51" s="15" t="str">
        <f t="shared" ca="1" si="9"/>
        <v>2-Months</v>
      </c>
      <c r="F51" s="8" t="str">
        <f>VLOOKUP(N51,Stock[#Data],5,FALSE)</f>
        <v>BE</v>
      </c>
      <c r="G51" s="82" t="s">
        <v>644</v>
      </c>
      <c r="H51" s="15"/>
      <c r="I51" s="7" t="s">
        <v>480</v>
      </c>
      <c r="J51" s="8" t="str">
        <f>VLOOKUP(I51,Customers[#Data],2,FALSE)</f>
        <v>ကိုဝင်းထွဋ်အောင်</v>
      </c>
      <c r="K51" s="15" t="str">
        <f>VLOOKUP(I51,Customers[#Data],4,FALSE)</f>
        <v>Maw La Myaing</v>
      </c>
      <c r="L51" s="15" t="str">
        <f>VLOOKUP(I51,Customers[#Data],5,FALSE)</f>
        <v>Van Sales</v>
      </c>
      <c r="M51" s="7" t="s">
        <v>6</v>
      </c>
      <c r="N51" s="7" t="s">
        <v>514</v>
      </c>
      <c r="O51" s="14" t="str">
        <f>VLOOKUP(N51,Stock[#Data],2,FALSE)</f>
        <v>ဇေယျဝတီ Red</v>
      </c>
      <c r="P51" s="44">
        <f>VLOOKUP(N51,Stock[#Data],3,FALSE)</f>
        <v>0.64</v>
      </c>
      <c r="Q51" s="3">
        <f>VLOOKUP(N51,Stock[#Data],4,FALSE)</f>
        <v>14</v>
      </c>
      <c r="R51" s="11"/>
      <c r="S51" s="45">
        <f>IFERROR(Table4[[#This Row],[Bottle]]/Table4[[#This Row],[ပါဝင်မှု]]+Table4[[#This Row],[SalesPK]],0)</f>
        <v>5</v>
      </c>
      <c r="T51" s="12">
        <v>5</v>
      </c>
      <c r="U51" s="10">
        <f>Table4[[#This Row],[ပါဝင်မှု]]*Table4[[#This Row],[SalesPK]]+Table4[[#This Row],[Bottle]]</f>
        <v>70</v>
      </c>
      <c r="V51" s="10">
        <f>Table4[[#This Row],[SalesBot]]*Table4[[#This Row],[ML]]</f>
        <v>44.800000000000004</v>
      </c>
      <c r="W51" s="1">
        <f>VLOOKUP(N51,Stock[#Data],6,FALSE)</f>
        <v>1350</v>
      </c>
      <c r="X51" s="8">
        <f>+Table4[[#This Row],[SalesBot]]*Table4[[#This Row],[နှုံး]]</f>
        <v>94500</v>
      </c>
      <c r="Y51" s="12"/>
      <c r="Z51" s="12"/>
      <c r="AA51" s="12"/>
      <c r="AB51" s="9"/>
      <c r="AC51" s="12">
        <v>94500</v>
      </c>
      <c r="AD51" s="9"/>
      <c r="AE51" s="12"/>
      <c r="AF5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51" s="24"/>
      <c r="AH51" s="266">
        <f>Table4[[#This Row],[Date]]</f>
        <v>46024</v>
      </c>
      <c r="AI51" s="264" t="str">
        <f t="shared" si="4"/>
        <v>Jan</v>
      </c>
      <c r="AJ51" s="264" t="str">
        <f t="shared" si="5"/>
        <v>2026</v>
      </c>
      <c r="AK51" s="270" t="str">
        <f>Table4[[#This Row],[ကုန်သည်အမည်]]</f>
        <v>ကိုဝင်းထွဋ်အောင်</v>
      </c>
      <c r="AL51" s="270" t="str">
        <f>Table4[[#This Row],[Township]]</f>
        <v>Maw La Myaing</v>
      </c>
      <c r="AM51" s="271" t="str">
        <f>Table4[[#This Row],[WholeSales]]</f>
        <v>Van Sales</v>
      </c>
      <c r="AN51" s="272" t="str">
        <f>Table4[[#This Row],[Particular]]</f>
        <v>ကုန်ရောင်း(လက်ငင်း)</v>
      </c>
      <c r="AO51" s="273" t="str">
        <f>Table4[[#This Row],[StockName]]</f>
        <v>ဇေယျဝတီ Red</v>
      </c>
      <c r="AP51" s="268">
        <f>Table4[[#This Row],[Parking]]</f>
        <v>5</v>
      </c>
      <c r="AQ51" s="268">
        <f>Table4[[#This Row],[SalesBot]]</f>
        <v>70</v>
      </c>
      <c r="AR51" s="268">
        <f>Table4[[#This Row],[Liter]]</f>
        <v>44.800000000000004</v>
      </c>
    </row>
    <row r="52" spans="1:44" s="16" customFormat="1" hidden="1" x14ac:dyDescent="0.5">
      <c r="A52" s="3">
        <f t="shared" si="6"/>
        <v>2026</v>
      </c>
      <c r="B52" s="8">
        <f t="shared" si="7"/>
        <v>1</v>
      </c>
      <c r="C52" s="6">
        <v>46024</v>
      </c>
      <c r="D52" s="15">
        <f t="shared" ca="1" si="8"/>
        <v>46097</v>
      </c>
      <c r="E52" s="15" t="str">
        <f t="shared" ca="1" si="9"/>
        <v>2-Months</v>
      </c>
      <c r="F52" s="8" t="str">
        <f>VLOOKUP(N52,Stock[#Data],5,FALSE)</f>
        <v>BE</v>
      </c>
      <c r="G52" s="82" t="s">
        <v>644</v>
      </c>
      <c r="H52" s="15"/>
      <c r="I52" s="7" t="s">
        <v>480</v>
      </c>
      <c r="J52" s="8" t="str">
        <f>VLOOKUP(I52,Customers[#Data],2,FALSE)</f>
        <v>ကိုဝင်းထွဋ်အောင်</v>
      </c>
      <c r="K52" s="15" t="str">
        <f>VLOOKUP(I52,Customers[#Data],4,FALSE)</f>
        <v>Maw La Myaing</v>
      </c>
      <c r="L52" s="15" t="str">
        <f>VLOOKUP(I52,Customers[#Data],5,FALSE)</f>
        <v>Van Sales</v>
      </c>
      <c r="M52" s="7" t="s">
        <v>6</v>
      </c>
      <c r="N52" s="7" t="s">
        <v>517</v>
      </c>
      <c r="O52" s="14" t="str">
        <f>VLOOKUP(N52,Stock[#Data],2,FALSE)</f>
        <v>ဇေယျဝတီ Red (1 Liter) 30%</v>
      </c>
      <c r="P52" s="44">
        <f>VLOOKUP(N52,Stock[#Data],3,FALSE)</f>
        <v>1</v>
      </c>
      <c r="Q52" s="3">
        <f>VLOOKUP(N52,Stock[#Data],4,FALSE)</f>
        <v>12</v>
      </c>
      <c r="R52" s="11"/>
      <c r="S52" s="45">
        <f>IFERROR(Table4[[#This Row],[Bottle]]/Table4[[#This Row],[ပါဝင်မှု]]+Table4[[#This Row],[SalesPK]],0)</f>
        <v>50</v>
      </c>
      <c r="T52" s="12">
        <v>50</v>
      </c>
      <c r="U52" s="10">
        <f>Table4[[#This Row],[ပါဝင်မှု]]*Table4[[#This Row],[SalesPK]]+Table4[[#This Row],[Bottle]]</f>
        <v>600</v>
      </c>
      <c r="V52" s="10">
        <f>Table4[[#This Row],[SalesBot]]*Table4[[#This Row],[ML]]</f>
        <v>600</v>
      </c>
      <c r="W52" s="1">
        <f>VLOOKUP(N52,Stock[#Data],6,FALSE)</f>
        <v>1710</v>
      </c>
      <c r="X52" s="8">
        <f>+Table4[[#This Row],[SalesBot]]*Table4[[#This Row],[နှုံး]]</f>
        <v>1026000</v>
      </c>
      <c r="Y52" s="12"/>
      <c r="Z52" s="12"/>
      <c r="AA52" s="12"/>
      <c r="AB52" s="9"/>
      <c r="AC52" s="12">
        <v>1026000</v>
      </c>
      <c r="AD52" s="9"/>
      <c r="AE52" s="12"/>
      <c r="AF5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52" s="24"/>
      <c r="AH52" s="266">
        <f>Table4[[#This Row],[Date]]</f>
        <v>46024</v>
      </c>
      <c r="AI52" s="264" t="str">
        <f t="shared" si="4"/>
        <v>Jan</v>
      </c>
      <c r="AJ52" s="264" t="str">
        <f t="shared" si="5"/>
        <v>2026</v>
      </c>
      <c r="AK52" s="270" t="str">
        <f>Table4[[#This Row],[ကုန်သည်အမည်]]</f>
        <v>ကိုဝင်းထွဋ်အောင်</v>
      </c>
      <c r="AL52" s="270" t="str">
        <f>Table4[[#This Row],[Township]]</f>
        <v>Maw La Myaing</v>
      </c>
      <c r="AM52" s="271" t="str">
        <f>Table4[[#This Row],[WholeSales]]</f>
        <v>Van Sales</v>
      </c>
      <c r="AN52" s="272" t="str">
        <f>Table4[[#This Row],[Particular]]</f>
        <v>ကုန်ရောင်း(လက်ငင်း)</v>
      </c>
      <c r="AO52" s="273" t="str">
        <f>Table4[[#This Row],[StockName]]</f>
        <v>ဇေယျဝတီ Red (1 Liter) 30%</v>
      </c>
      <c r="AP52" s="268">
        <f>Table4[[#This Row],[Parking]]</f>
        <v>50</v>
      </c>
      <c r="AQ52" s="268">
        <f>Table4[[#This Row],[SalesBot]]</f>
        <v>600</v>
      </c>
      <c r="AR52" s="268">
        <f>Table4[[#This Row],[Liter]]</f>
        <v>600</v>
      </c>
    </row>
    <row r="53" spans="1:44" s="16" customFormat="1" hidden="1" x14ac:dyDescent="0.5">
      <c r="A53" s="3">
        <f t="shared" si="6"/>
        <v>2026</v>
      </c>
      <c r="B53" s="8">
        <f t="shared" si="7"/>
        <v>1</v>
      </c>
      <c r="C53" s="6">
        <v>46024</v>
      </c>
      <c r="D53" s="15">
        <f t="shared" ca="1" si="8"/>
        <v>46097</v>
      </c>
      <c r="E53" s="15" t="str">
        <f t="shared" ca="1" si="9"/>
        <v>2-Months</v>
      </c>
      <c r="F53" s="8" t="str">
        <f>VLOOKUP(N53,Stock[#Data],5,FALSE)</f>
        <v>BE</v>
      </c>
      <c r="G53" s="82" t="s">
        <v>645</v>
      </c>
      <c r="H53" s="15"/>
      <c r="I53" s="7" t="s">
        <v>111</v>
      </c>
      <c r="J53" s="8" t="str">
        <f>VLOOKUP(I53,Customers[#Data],2,FALSE)</f>
        <v>လင်းသစ်</v>
      </c>
      <c r="K53" s="15" t="str">
        <f>VLOOKUP(I53,Customers[#Data],4,FALSE)</f>
        <v>Yay</v>
      </c>
      <c r="L53" s="15" t="str">
        <f>VLOOKUP(I53,Customers[#Data],5,FALSE)</f>
        <v>WholeSales</v>
      </c>
      <c r="M53" s="7" t="s">
        <v>6</v>
      </c>
      <c r="N53" s="7" t="s">
        <v>514</v>
      </c>
      <c r="O53" s="14" t="str">
        <f>VLOOKUP(N53,Stock[#Data],2,FALSE)</f>
        <v>ဇေယျဝတီ Red</v>
      </c>
      <c r="P53" s="44">
        <f>VLOOKUP(N53,Stock[#Data],3,FALSE)</f>
        <v>0.64</v>
      </c>
      <c r="Q53" s="3">
        <f>VLOOKUP(N53,Stock[#Data],4,FALSE)</f>
        <v>14</v>
      </c>
      <c r="R53" s="11"/>
      <c r="S53" s="45">
        <f>IFERROR(Table4[[#This Row],[Bottle]]/Table4[[#This Row],[ပါဝင်မှု]]+Table4[[#This Row],[SalesPK]],0)</f>
        <v>40</v>
      </c>
      <c r="T53" s="12">
        <v>40</v>
      </c>
      <c r="U53" s="10">
        <f>Table4[[#This Row],[ပါဝင်မှု]]*Table4[[#This Row],[SalesPK]]+Table4[[#This Row],[Bottle]]</f>
        <v>560</v>
      </c>
      <c r="V53" s="10">
        <f>Table4[[#This Row],[SalesBot]]*Table4[[#This Row],[ML]]</f>
        <v>358.40000000000003</v>
      </c>
      <c r="W53" s="1">
        <f>VLOOKUP(N53,Stock[#Data],6,FALSE)</f>
        <v>1350</v>
      </c>
      <c r="X53" s="8">
        <f>+Table4[[#This Row],[SalesBot]]*Table4[[#This Row],[နှုံး]]</f>
        <v>756000</v>
      </c>
      <c r="Y53" s="12"/>
      <c r="Z53" s="12"/>
      <c r="AA53" s="12"/>
      <c r="AB53" s="9"/>
      <c r="AC53" s="12">
        <v>756000</v>
      </c>
      <c r="AD53" s="9"/>
      <c r="AE53" s="12"/>
      <c r="AF5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53" s="24"/>
      <c r="AH53" s="266">
        <f>Table4[[#This Row],[Date]]</f>
        <v>46024</v>
      </c>
      <c r="AI53" s="264" t="str">
        <f t="shared" si="4"/>
        <v>Jan</v>
      </c>
      <c r="AJ53" s="264" t="str">
        <f t="shared" si="5"/>
        <v>2026</v>
      </c>
      <c r="AK53" s="270" t="str">
        <f>Table4[[#This Row],[ကုန်သည်အမည်]]</f>
        <v>လင်းသစ်</v>
      </c>
      <c r="AL53" s="270" t="str">
        <f>Table4[[#This Row],[Township]]</f>
        <v>Yay</v>
      </c>
      <c r="AM53" s="271" t="str">
        <f>Table4[[#This Row],[WholeSales]]</f>
        <v>WholeSales</v>
      </c>
      <c r="AN53" s="272" t="str">
        <f>Table4[[#This Row],[Particular]]</f>
        <v>ကုန်ရောင်း(လက်ငင်း)</v>
      </c>
      <c r="AO53" s="273" t="str">
        <f>Table4[[#This Row],[StockName]]</f>
        <v>ဇေယျဝတီ Red</v>
      </c>
      <c r="AP53" s="268">
        <f>Table4[[#This Row],[Parking]]</f>
        <v>40</v>
      </c>
      <c r="AQ53" s="268">
        <f>Table4[[#This Row],[SalesBot]]</f>
        <v>560</v>
      </c>
      <c r="AR53" s="268">
        <f>Table4[[#This Row],[Liter]]</f>
        <v>358.40000000000003</v>
      </c>
    </row>
    <row r="54" spans="1:44" s="16" customFormat="1" hidden="1" x14ac:dyDescent="0.5">
      <c r="A54" s="3">
        <f t="shared" si="6"/>
        <v>2026</v>
      </c>
      <c r="B54" s="8">
        <f t="shared" si="7"/>
        <v>1</v>
      </c>
      <c r="C54" s="6">
        <v>46024</v>
      </c>
      <c r="D54" s="15">
        <f t="shared" ca="1" si="8"/>
        <v>46097</v>
      </c>
      <c r="E54" s="15" t="str">
        <f t="shared" ca="1" si="9"/>
        <v>2-Months</v>
      </c>
      <c r="F54" s="8" t="str">
        <f>VLOOKUP(N54,Stock[#Data],5,FALSE)</f>
        <v>BE</v>
      </c>
      <c r="G54" s="82" t="s">
        <v>645</v>
      </c>
      <c r="H54" s="15"/>
      <c r="I54" s="7" t="s">
        <v>111</v>
      </c>
      <c r="J54" s="8" t="str">
        <f>VLOOKUP(I54,Customers[#Data],2,FALSE)</f>
        <v>လင်းသစ်</v>
      </c>
      <c r="K54" s="15" t="str">
        <f>VLOOKUP(I54,Customers[#Data],4,FALSE)</f>
        <v>Yay</v>
      </c>
      <c r="L54" s="15" t="str">
        <f>VLOOKUP(I54,Customers[#Data],5,FALSE)</f>
        <v>WholeSales</v>
      </c>
      <c r="M54" s="7" t="s">
        <v>6</v>
      </c>
      <c r="N54" s="7" t="s">
        <v>517</v>
      </c>
      <c r="O54" s="14" t="str">
        <f>VLOOKUP(N54,Stock[#Data],2,FALSE)</f>
        <v>ဇေယျဝတီ Red (1 Liter) 30%</v>
      </c>
      <c r="P54" s="44">
        <f>VLOOKUP(N54,Stock[#Data],3,FALSE)</f>
        <v>1</v>
      </c>
      <c r="Q54" s="3">
        <f>VLOOKUP(N54,Stock[#Data],4,FALSE)</f>
        <v>12</v>
      </c>
      <c r="R54" s="11"/>
      <c r="S54" s="45">
        <f>IFERROR(Table4[[#This Row],[Bottle]]/Table4[[#This Row],[ပါဝင်မှု]]+Table4[[#This Row],[SalesPK]],0)</f>
        <v>60</v>
      </c>
      <c r="T54" s="12">
        <v>60</v>
      </c>
      <c r="U54" s="10">
        <f>Table4[[#This Row],[ပါဝင်မှု]]*Table4[[#This Row],[SalesPK]]+Table4[[#This Row],[Bottle]]</f>
        <v>720</v>
      </c>
      <c r="V54" s="10">
        <f>Table4[[#This Row],[SalesBot]]*Table4[[#This Row],[ML]]</f>
        <v>720</v>
      </c>
      <c r="W54" s="1">
        <f>VLOOKUP(N54,Stock[#Data],6,FALSE)</f>
        <v>1710</v>
      </c>
      <c r="X54" s="8">
        <f>+Table4[[#This Row],[SalesBot]]*Table4[[#This Row],[နှုံး]]</f>
        <v>1231200</v>
      </c>
      <c r="Y54" s="12"/>
      <c r="Z54" s="12"/>
      <c r="AA54" s="12"/>
      <c r="AB54" s="9"/>
      <c r="AC54" s="12">
        <v>1231200</v>
      </c>
      <c r="AD54" s="9"/>
      <c r="AE54" s="12"/>
      <c r="AF5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54" s="24"/>
      <c r="AH54" s="266">
        <f>Table4[[#This Row],[Date]]</f>
        <v>46024</v>
      </c>
      <c r="AI54" s="264" t="str">
        <f t="shared" si="4"/>
        <v>Jan</v>
      </c>
      <c r="AJ54" s="264" t="str">
        <f t="shared" si="5"/>
        <v>2026</v>
      </c>
      <c r="AK54" s="270" t="str">
        <f>Table4[[#This Row],[ကုန်သည်အမည်]]</f>
        <v>လင်းသစ်</v>
      </c>
      <c r="AL54" s="270" t="str">
        <f>Table4[[#This Row],[Township]]</f>
        <v>Yay</v>
      </c>
      <c r="AM54" s="271" t="str">
        <f>Table4[[#This Row],[WholeSales]]</f>
        <v>WholeSales</v>
      </c>
      <c r="AN54" s="272" t="str">
        <f>Table4[[#This Row],[Particular]]</f>
        <v>ကုန်ရောင်း(လက်ငင်း)</v>
      </c>
      <c r="AO54" s="273" t="str">
        <f>Table4[[#This Row],[StockName]]</f>
        <v>ဇေယျဝတီ Red (1 Liter) 30%</v>
      </c>
      <c r="AP54" s="268">
        <f>Table4[[#This Row],[Parking]]</f>
        <v>60</v>
      </c>
      <c r="AQ54" s="268">
        <f>Table4[[#This Row],[SalesBot]]</f>
        <v>720</v>
      </c>
      <c r="AR54" s="268">
        <f>Table4[[#This Row],[Liter]]</f>
        <v>720</v>
      </c>
    </row>
    <row r="55" spans="1:44" s="16" customFormat="1" hidden="1" x14ac:dyDescent="0.5">
      <c r="A55" s="3">
        <f t="shared" si="6"/>
        <v>2026</v>
      </c>
      <c r="B55" s="8">
        <f t="shared" si="7"/>
        <v>1</v>
      </c>
      <c r="C55" s="6">
        <v>46024</v>
      </c>
      <c r="D55" s="15">
        <f t="shared" ca="1" si="8"/>
        <v>46097</v>
      </c>
      <c r="E55" s="15" t="str">
        <f t="shared" ca="1" si="9"/>
        <v>2-Months</v>
      </c>
      <c r="F55" s="8" t="str">
        <f>VLOOKUP(N55,Stock[#Data],5,FALSE)</f>
        <v>BE</v>
      </c>
      <c r="G55" s="82" t="s">
        <v>646</v>
      </c>
      <c r="H55" s="15"/>
      <c r="I55" s="7" t="s">
        <v>649</v>
      </c>
      <c r="J55" s="8" t="str">
        <f>VLOOKUP(I55,Customers[#Data],2,FALSE)</f>
        <v>အလင်းသစ်</v>
      </c>
      <c r="K55" s="15" t="str">
        <f>VLOOKUP(I55,Customers[#Data],4,FALSE)</f>
        <v>Mudon</v>
      </c>
      <c r="L55" s="15" t="str">
        <f>VLOOKUP(I55,Customers[#Data],5,FALSE)</f>
        <v>Van Sales</v>
      </c>
      <c r="M55" s="7" t="s">
        <v>6</v>
      </c>
      <c r="N55" s="7" t="s">
        <v>520</v>
      </c>
      <c r="O55" s="14" t="str">
        <f>VLOOKUP(N55,Stock[#Data],2,FALSE)</f>
        <v>ဇေယျဝတီ  Red(ပု)</v>
      </c>
      <c r="P55" s="44">
        <f>VLOOKUP(N55,Stock[#Data],3,FALSE)</f>
        <v>0.64</v>
      </c>
      <c r="Q55" s="3">
        <f>VLOOKUP(N55,Stock[#Data],4,FALSE)</f>
        <v>14</v>
      </c>
      <c r="R55" s="11"/>
      <c r="S55" s="45">
        <f>IFERROR(Table4[[#This Row],[Bottle]]/Table4[[#This Row],[ပါဝင်မှု]]+Table4[[#This Row],[SalesPK]],0)</f>
        <v>25</v>
      </c>
      <c r="T55" s="12">
        <v>25</v>
      </c>
      <c r="U55" s="10">
        <f>Table4[[#This Row],[ပါဝင်မှု]]*Table4[[#This Row],[SalesPK]]+Table4[[#This Row],[Bottle]]</f>
        <v>350</v>
      </c>
      <c r="V55" s="10">
        <f>Table4[[#This Row],[SalesBot]]*Table4[[#This Row],[ML]]</f>
        <v>224</v>
      </c>
      <c r="W55" s="1">
        <f>VLOOKUP(N55,Stock[#Data],6,FALSE)</f>
        <v>1800</v>
      </c>
      <c r="X55" s="8">
        <f>+Table4[[#This Row],[SalesBot]]*Table4[[#This Row],[နှုံး]]</f>
        <v>630000</v>
      </c>
      <c r="Y55" s="12"/>
      <c r="Z55" s="12"/>
      <c r="AA55" s="12"/>
      <c r="AB55" s="9"/>
      <c r="AC55" s="12">
        <v>630000</v>
      </c>
      <c r="AD55" s="9"/>
      <c r="AE55" s="12"/>
      <c r="AF5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55" s="24"/>
      <c r="AH55" s="266">
        <f>Table4[[#This Row],[Date]]</f>
        <v>46024</v>
      </c>
      <c r="AI55" s="264" t="str">
        <f t="shared" si="4"/>
        <v>Jan</v>
      </c>
      <c r="AJ55" s="264" t="str">
        <f t="shared" si="5"/>
        <v>2026</v>
      </c>
      <c r="AK55" s="270" t="str">
        <f>Table4[[#This Row],[ကုန်သည်အမည်]]</f>
        <v>အလင်းသစ်</v>
      </c>
      <c r="AL55" s="270" t="str">
        <f>Table4[[#This Row],[Township]]</f>
        <v>Mudon</v>
      </c>
      <c r="AM55" s="271" t="str">
        <f>Table4[[#This Row],[WholeSales]]</f>
        <v>Van Sales</v>
      </c>
      <c r="AN55" s="272" t="str">
        <f>Table4[[#This Row],[Particular]]</f>
        <v>ကုန်ရောင်း(လက်ငင်း)</v>
      </c>
      <c r="AO55" s="273" t="str">
        <f>Table4[[#This Row],[StockName]]</f>
        <v>ဇေယျဝတီ  Red(ပု)</v>
      </c>
      <c r="AP55" s="268">
        <f>Table4[[#This Row],[Parking]]</f>
        <v>25</v>
      </c>
      <c r="AQ55" s="268">
        <f>Table4[[#This Row],[SalesBot]]</f>
        <v>350</v>
      </c>
      <c r="AR55" s="268">
        <f>Table4[[#This Row],[Liter]]</f>
        <v>224</v>
      </c>
    </row>
    <row r="56" spans="1:44" s="16" customFormat="1" hidden="1" x14ac:dyDescent="0.5">
      <c r="A56" s="3">
        <f t="shared" si="6"/>
        <v>2026</v>
      </c>
      <c r="B56" s="8">
        <f t="shared" si="7"/>
        <v>1</v>
      </c>
      <c r="C56" s="6">
        <v>46024</v>
      </c>
      <c r="D56" s="15">
        <f t="shared" ca="1" si="8"/>
        <v>46097</v>
      </c>
      <c r="E56" s="15" t="str">
        <f t="shared" ca="1" si="9"/>
        <v>2-Months</v>
      </c>
      <c r="F56" s="8" t="str">
        <f>VLOOKUP(N56,Stock[#Data],5,FALSE)</f>
        <v>BE</v>
      </c>
      <c r="G56" s="82" t="s">
        <v>650</v>
      </c>
      <c r="H56" s="15"/>
      <c r="I56" s="7" t="s">
        <v>596</v>
      </c>
      <c r="J56" s="8" t="str">
        <f>VLOOKUP(I56,Customers[#Data],2,FALSE)</f>
        <v>ကမ္ဘာကျော်</v>
      </c>
      <c r="K56" s="15" t="str">
        <f>VLOOKUP(I56,Customers[#Data],4,FALSE)</f>
        <v>Mudon</v>
      </c>
      <c r="L56" s="15" t="str">
        <f>VLOOKUP(I56,Customers[#Data],5,FALSE)</f>
        <v>Van Sales</v>
      </c>
      <c r="M56" s="7" t="s">
        <v>6</v>
      </c>
      <c r="N56" s="7" t="s">
        <v>520</v>
      </c>
      <c r="O56" s="14" t="str">
        <f>VLOOKUP(N56,Stock[#Data],2,FALSE)</f>
        <v>ဇေယျဝတီ  Red(ပု)</v>
      </c>
      <c r="P56" s="44">
        <f>VLOOKUP(N56,Stock[#Data],3,FALSE)</f>
        <v>0.64</v>
      </c>
      <c r="Q56" s="3">
        <f>VLOOKUP(N56,Stock[#Data],4,FALSE)</f>
        <v>14</v>
      </c>
      <c r="R56" s="11"/>
      <c r="S56" s="45">
        <f>IFERROR(Table4[[#This Row],[Bottle]]/Table4[[#This Row],[ပါဝင်မှု]]+Table4[[#This Row],[SalesPK]],0)</f>
        <v>10</v>
      </c>
      <c r="T56" s="12">
        <v>10</v>
      </c>
      <c r="U56" s="10">
        <f>Table4[[#This Row],[ပါဝင်မှု]]*Table4[[#This Row],[SalesPK]]+Table4[[#This Row],[Bottle]]</f>
        <v>140</v>
      </c>
      <c r="V56" s="10">
        <f>Table4[[#This Row],[SalesBot]]*Table4[[#This Row],[ML]]</f>
        <v>89.600000000000009</v>
      </c>
      <c r="W56" s="1">
        <f>VLOOKUP(N56,Stock[#Data],6,FALSE)</f>
        <v>1800</v>
      </c>
      <c r="X56" s="8">
        <f>+Table4[[#This Row],[SalesBot]]*Table4[[#This Row],[နှုံး]]</f>
        <v>252000</v>
      </c>
      <c r="Y56" s="12"/>
      <c r="Z56" s="12"/>
      <c r="AA56" s="12"/>
      <c r="AB56" s="9"/>
      <c r="AC56" s="12">
        <v>252000</v>
      </c>
      <c r="AD56" s="9"/>
      <c r="AE56" s="12"/>
      <c r="AF5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56" s="24"/>
      <c r="AH56" s="266">
        <f>Table4[[#This Row],[Date]]</f>
        <v>46024</v>
      </c>
      <c r="AI56" s="264" t="str">
        <f t="shared" si="4"/>
        <v>Jan</v>
      </c>
      <c r="AJ56" s="264" t="str">
        <f t="shared" si="5"/>
        <v>2026</v>
      </c>
      <c r="AK56" s="270" t="str">
        <f>Table4[[#This Row],[ကုန်သည်အမည်]]</f>
        <v>ကမ္ဘာကျော်</v>
      </c>
      <c r="AL56" s="270" t="str">
        <f>Table4[[#This Row],[Township]]</f>
        <v>Mudon</v>
      </c>
      <c r="AM56" s="271" t="str">
        <f>Table4[[#This Row],[WholeSales]]</f>
        <v>Van Sales</v>
      </c>
      <c r="AN56" s="272" t="str">
        <f>Table4[[#This Row],[Particular]]</f>
        <v>ကုန်ရောင်း(လက်ငင်း)</v>
      </c>
      <c r="AO56" s="273" t="str">
        <f>Table4[[#This Row],[StockName]]</f>
        <v>ဇေယျဝတီ  Red(ပု)</v>
      </c>
      <c r="AP56" s="268">
        <f>Table4[[#This Row],[Parking]]</f>
        <v>10</v>
      </c>
      <c r="AQ56" s="268">
        <f>Table4[[#This Row],[SalesBot]]</f>
        <v>140</v>
      </c>
      <c r="AR56" s="268">
        <f>Table4[[#This Row],[Liter]]</f>
        <v>89.600000000000009</v>
      </c>
    </row>
    <row r="57" spans="1:44" s="16" customFormat="1" hidden="1" x14ac:dyDescent="0.5">
      <c r="A57" s="3">
        <f t="shared" si="6"/>
        <v>2026</v>
      </c>
      <c r="B57" s="8">
        <f t="shared" si="7"/>
        <v>1</v>
      </c>
      <c r="C57" s="6">
        <v>46024</v>
      </c>
      <c r="D57" s="15">
        <f t="shared" ca="1" si="8"/>
        <v>46097</v>
      </c>
      <c r="E57" s="15" t="str">
        <f t="shared" ca="1" si="9"/>
        <v>2-Months</v>
      </c>
      <c r="F57" s="8" t="str">
        <f>VLOOKUP(N57,Stock[#Data],5,FALSE)</f>
        <v>BE</v>
      </c>
      <c r="G57" s="82" t="s">
        <v>651</v>
      </c>
      <c r="H57" s="15"/>
      <c r="I57" s="7" t="s">
        <v>560</v>
      </c>
      <c r="J57" s="8" t="str">
        <f>VLOOKUP(I57,Customers[#Data],2,FALSE)</f>
        <v>မသန္တာ</v>
      </c>
      <c r="K57" s="15" t="str">
        <f>VLOOKUP(I57,Customers[#Data],4,FALSE)</f>
        <v>Maw La Myaing</v>
      </c>
      <c r="L57" s="15" t="str">
        <f>VLOOKUP(I57,Customers[#Data],5,FALSE)</f>
        <v>Van Sales</v>
      </c>
      <c r="M57" s="7" t="s">
        <v>6</v>
      </c>
      <c r="N57" s="7" t="s">
        <v>518</v>
      </c>
      <c r="O57" s="14" t="str">
        <f>VLOOKUP(N57,Stock[#Data],2,FALSE)</f>
        <v>"ဇေ" ကော်ဘူး (1 Liter)</v>
      </c>
      <c r="P57" s="44">
        <f>VLOOKUP(N57,Stock[#Data],3,FALSE)</f>
        <v>1</v>
      </c>
      <c r="Q57" s="3">
        <f>VLOOKUP(N57,Stock[#Data],4,FALSE)</f>
        <v>12</v>
      </c>
      <c r="R57" s="11"/>
      <c r="S57" s="45">
        <f>IFERROR(Table4[[#This Row],[Bottle]]/Table4[[#This Row],[ပါဝင်မှု]]+Table4[[#This Row],[SalesPK]],0)</f>
        <v>5</v>
      </c>
      <c r="T57" s="12">
        <v>5</v>
      </c>
      <c r="U57" s="10">
        <f>Table4[[#This Row],[ပါဝင်မှု]]*Table4[[#This Row],[SalesPK]]+Table4[[#This Row],[Bottle]]</f>
        <v>60</v>
      </c>
      <c r="V57" s="10">
        <f>Table4[[#This Row],[SalesBot]]*Table4[[#This Row],[ML]]</f>
        <v>60</v>
      </c>
      <c r="W57" s="1">
        <f>VLOOKUP(N57,Stock[#Data],6,FALSE)</f>
        <v>1675</v>
      </c>
      <c r="X57" s="8">
        <f>+Table4[[#This Row],[SalesBot]]*Table4[[#This Row],[နှုံး]]</f>
        <v>100500</v>
      </c>
      <c r="Y57" s="12"/>
      <c r="Z57" s="12"/>
      <c r="AA57" s="12"/>
      <c r="AB57" s="9"/>
      <c r="AC57" s="12">
        <v>100500</v>
      </c>
      <c r="AD57" s="9"/>
      <c r="AE57" s="12"/>
      <c r="AF5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57" s="24"/>
      <c r="AH57" s="266">
        <f>Table4[[#This Row],[Date]]</f>
        <v>46024</v>
      </c>
      <c r="AI57" s="264" t="str">
        <f t="shared" si="4"/>
        <v>Jan</v>
      </c>
      <c r="AJ57" s="264" t="str">
        <f t="shared" si="5"/>
        <v>2026</v>
      </c>
      <c r="AK57" s="270" t="str">
        <f>Table4[[#This Row],[ကုန်သည်အမည်]]</f>
        <v>မသန္တာ</v>
      </c>
      <c r="AL57" s="270" t="str">
        <f>Table4[[#This Row],[Township]]</f>
        <v>Maw La Myaing</v>
      </c>
      <c r="AM57" s="271" t="str">
        <f>Table4[[#This Row],[WholeSales]]</f>
        <v>Van Sales</v>
      </c>
      <c r="AN57" s="272" t="str">
        <f>Table4[[#This Row],[Particular]]</f>
        <v>ကုန်ရောင်း(လက်ငင်း)</v>
      </c>
      <c r="AO57" s="273" t="str">
        <f>Table4[[#This Row],[StockName]]</f>
        <v>"ဇေ" ကော်ဘူး (1 Liter)</v>
      </c>
      <c r="AP57" s="268">
        <f>Table4[[#This Row],[Parking]]</f>
        <v>5</v>
      </c>
      <c r="AQ57" s="268">
        <f>Table4[[#This Row],[SalesBot]]</f>
        <v>60</v>
      </c>
      <c r="AR57" s="268">
        <f>Table4[[#This Row],[Liter]]</f>
        <v>60</v>
      </c>
    </row>
    <row r="58" spans="1:44" s="16" customFormat="1" hidden="1" x14ac:dyDescent="0.5">
      <c r="A58" s="3">
        <f t="shared" si="6"/>
        <v>2026</v>
      </c>
      <c r="B58" s="8">
        <f t="shared" si="7"/>
        <v>1</v>
      </c>
      <c r="C58" s="6">
        <v>46025</v>
      </c>
      <c r="D58" s="15">
        <f t="shared" ca="1" si="8"/>
        <v>46097</v>
      </c>
      <c r="E58" s="15" t="str">
        <f t="shared" ca="1" si="9"/>
        <v>2-Months</v>
      </c>
      <c r="F58" s="8" t="str">
        <f>VLOOKUP(N58,Stock[#Data],5,FALSE)</f>
        <v>BE</v>
      </c>
      <c r="G58" s="82" t="s">
        <v>652</v>
      </c>
      <c r="H58" s="15"/>
      <c r="I58" s="7" t="s">
        <v>101</v>
      </c>
      <c r="J58" s="8" t="str">
        <f>VLOOKUP(I58,Customers[#Data],2,FALSE)</f>
        <v>ကိုမောင်+မသူဇာ</v>
      </c>
      <c r="K58" s="15" t="str">
        <f>VLOOKUP(I58,Customers[#Data],4,FALSE)</f>
        <v>Yay</v>
      </c>
      <c r="L58" s="15" t="str">
        <f>VLOOKUP(I58,Customers[#Data],5,FALSE)</f>
        <v>WholeSales</v>
      </c>
      <c r="M58" s="7" t="s">
        <v>7</v>
      </c>
      <c r="N58" s="7" t="s">
        <v>517</v>
      </c>
      <c r="O58" s="14" t="str">
        <f>VLOOKUP(N58,Stock[#Data],2,FALSE)</f>
        <v>ဇေယျဝတီ Red (1 Liter) 30%</v>
      </c>
      <c r="P58" s="44">
        <f>VLOOKUP(N58,Stock[#Data],3,FALSE)</f>
        <v>1</v>
      </c>
      <c r="Q58" s="3">
        <f>VLOOKUP(N58,Stock[#Data],4,FALSE)</f>
        <v>12</v>
      </c>
      <c r="R58" s="11"/>
      <c r="S58" s="45">
        <f>IFERROR(Table4[[#This Row],[Bottle]]/Table4[[#This Row],[ပါဝင်မှု]]+Table4[[#This Row],[SalesPK]],0)</f>
        <v>150</v>
      </c>
      <c r="T58" s="12">
        <v>150</v>
      </c>
      <c r="U58" s="10">
        <f>Table4[[#This Row],[ပါဝင်မှု]]*Table4[[#This Row],[SalesPK]]+Table4[[#This Row],[Bottle]]</f>
        <v>1800</v>
      </c>
      <c r="V58" s="10">
        <f>Table4[[#This Row],[SalesBot]]*Table4[[#This Row],[ML]]</f>
        <v>1800</v>
      </c>
      <c r="W58" s="1">
        <f>VLOOKUP(N58,Stock[#Data],6,FALSE)</f>
        <v>1710</v>
      </c>
      <c r="X58" s="8">
        <f>+Table4[[#This Row],[SalesBot]]*Table4[[#This Row],[နှုံး]]</f>
        <v>3078000</v>
      </c>
      <c r="Y58" s="12"/>
      <c r="Z58" s="12"/>
      <c r="AA58" s="12"/>
      <c r="AB58" s="9">
        <v>46043</v>
      </c>
      <c r="AC58" s="12">
        <v>3078000</v>
      </c>
      <c r="AD58" s="9"/>
      <c r="AE58" s="12"/>
      <c r="AF5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58" s="24"/>
      <c r="AH58" s="266">
        <f>Table4[[#This Row],[Date]]</f>
        <v>46025</v>
      </c>
      <c r="AI58" s="264" t="str">
        <f t="shared" si="4"/>
        <v>Jan</v>
      </c>
      <c r="AJ58" s="264" t="str">
        <f t="shared" si="5"/>
        <v>2026</v>
      </c>
      <c r="AK58" s="270" t="str">
        <f>Table4[[#This Row],[ကုန်သည်အမည်]]</f>
        <v>ကိုမောင်+မသူဇာ</v>
      </c>
      <c r="AL58" s="270" t="str">
        <f>Table4[[#This Row],[Township]]</f>
        <v>Yay</v>
      </c>
      <c r="AM58" s="271" t="str">
        <f>Table4[[#This Row],[WholeSales]]</f>
        <v>WholeSales</v>
      </c>
      <c r="AN58" s="272" t="str">
        <f>Table4[[#This Row],[Particular]]</f>
        <v>ကုန်ရောင်း(အကြွေး)</v>
      </c>
      <c r="AO58" s="273" t="str">
        <f>Table4[[#This Row],[StockName]]</f>
        <v>ဇေယျဝတီ Red (1 Liter) 30%</v>
      </c>
      <c r="AP58" s="268">
        <f>Table4[[#This Row],[Parking]]</f>
        <v>150</v>
      </c>
      <c r="AQ58" s="268">
        <f>Table4[[#This Row],[SalesBot]]</f>
        <v>1800</v>
      </c>
      <c r="AR58" s="268">
        <f>Table4[[#This Row],[Liter]]</f>
        <v>1800</v>
      </c>
    </row>
    <row r="59" spans="1:44" s="16" customFormat="1" hidden="1" x14ac:dyDescent="0.5">
      <c r="A59" s="3">
        <f t="shared" si="6"/>
        <v>2026</v>
      </c>
      <c r="B59" s="8">
        <f t="shared" si="7"/>
        <v>1</v>
      </c>
      <c r="C59" s="6">
        <v>46025</v>
      </c>
      <c r="D59" s="15">
        <f t="shared" ca="1" si="8"/>
        <v>46097</v>
      </c>
      <c r="E59" s="15" t="str">
        <f t="shared" ca="1" si="9"/>
        <v>2-Months</v>
      </c>
      <c r="F59" s="8" t="str">
        <f>VLOOKUP(N59,Stock[#Data],5,FALSE)</f>
        <v>BE</v>
      </c>
      <c r="G59" s="82" t="s">
        <v>653</v>
      </c>
      <c r="H59" s="15"/>
      <c r="I59" s="7" t="s">
        <v>107</v>
      </c>
      <c r="J59" s="8" t="str">
        <f>VLOOKUP(I59,Customers[#Data],2,FALSE)</f>
        <v>မင်းမင်းထွန်း</v>
      </c>
      <c r="K59" s="15" t="str">
        <f>VLOOKUP(I59,Customers[#Data],4,FALSE)</f>
        <v>Paung</v>
      </c>
      <c r="L59" s="15" t="str">
        <f>VLOOKUP(I59,Customers[#Data],5,FALSE)</f>
        <v>Van Sales</v>
      </c>
      <c r="M59" s="7" t="s">
        <v>6</v>
      </c>
      <c r="N59" s="7" t="s">
        <v>520</v>
      </c>
      <c r="O59" s="14" t="str">
        <f>VLOOKUP(N59,Stock[#Data],2,FALSE)</f>
        <v>ဇေယျဝတီ  Red(ပု)</v>
      </c>
      <c r="P59" s="44">
        <f>VLOOKUP(N59,Stock[#Data],3,FALSE)</f>
        <v>0.64</v>
      </c>
      <c r="Q59" s="3">
        <f>VLOOKUP(N59,Stock[#Data],4,FALSE)</f>
        <v>14</v>
      </c>
      <c r="R59" s="11"/>
      <c r="S59" s="45">
        <f>IFERROR(Table4[[#This Row],[Bottle]]/Table4[[#This Row],[ပါဝင်မှု]]+Table4[[#This Row],[SalesPK]],0)</f>
        <v>10</v>
      </c>
      <c r="T59" s="12">
        <v>10</v>
      </c>
      <c r="U59" s="10">
        <f>Table4[[#This Row],[ပါဝင်မှု]]*Table4[[#This Row],[SalesPK]]+Table4[[#This Row],[Bottle]]</f>
        <v>140</v>
      </c>
      <c r="V59" s="10">
        <f>Table4[[#This Row],[SalesBot]]*Table4[[#This Row],[ML]]</f>
        <v>89.600000000000009</v>
      </c>
      <c r="W59" s="1">
        <f>VLOOKUP(N59,Stock[#Data],6,FALSE)</f>
        <v>1800</v>
      </c>
      <c r="X59" s="8">
        <f>+Table4[[#This Row],[SalesBot]]*Table4[[#This Row],[နှုံး]]</f>
        <v>252000</v>
      </c>
      <c r="Y59" s="12"/>
      <c r="Z59" s="12"/>
      <c r="AA59" s="12"/>
      <c r="AB59" s="9"/>
      <c r="AC59" s="12">
        <v>252000</v>
      </c>
      <c r="AD59" s="9"/>
      <c r="AE59" s="12"/>
      <c r="AF5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59" s="24"/>
      <c r="AH59" s="266">
        <f>Table4[[#This Row],[Date]]</f>
        <v>46025</v>
      </c>
      <c r="AI59" s="264" t="str">
        <f t="shared" si="4"/>
        <v>Jan</v>
      </c>
      <c r="AJ59" s="264" t="str">
        <f t="shared" si="5"/>
        <v>2026</v>
      </c>
      <c r="AK59" s="270" t="str">
        <f>Table4[[#This Row],[ကုန်သည်အမည်]]</f>
        <v>မင်းမင်းထွန်း</v>
      </c>
      <c r="AL59" s="270" t="str">
        <f>Table4[[#This Row],[Township]]</f>
        <v>Paung</v>
      </c>
      <c r="AM59" s="271" t="str">
        <f>Table4[[#This Row],[WholeSales]]</f>
        <v>Van Sales</v>
      </c>
      <c r="AN59" s="272" t="str">
        <f>Table4[[#This Row],[Particular]]</f>
        <v>ကုန်ရောင်း(လက်ငင်း)</v>
      </c>
      <c r="AO59" s="273" t="str">
        <f>Table4[[#This Row],[StockName]]</f>
        <v>ဇေယျဝတီ  Red(ပု)</v>
      </c>
      <c r="AP59" s="268">
        <f>Table4[[#This Row],[Parking]]</f>
        <v>10</v>
      </c>
      <c r="AQ59" s="268">
        <f>Table4[[#This Row],[SalesBot]]</f>
        <v>140</v>
      </c>
      <c r="AR59" s="268">
        <f>Table4[[#This Row],[Liter]]</f>
        <v>89.600000000000009</v>
      </c>
    </row>
    <row r="60" spans="1:44" s="16" customFormat="1" hidden="1" x14ac:dyDescent="0.5">
      <c r="A60" s="3">
        <f t="shared" si="6"/>
        <v>2026</v>
      </c>
      <c r="B60" s="8">
        <f t="shared" si="7"/>
        <v>1</v>
      </c>
      <c r="C60" s="6">
        <v>46025</v>
      </c>
      <c r="D60" s="15">
        <f t="shared" ca="1" si="8"/>
        <v>46097</v>
      </c>
      <c r="E60" s="15" t="str">
        <f t="shared" ca="1" si="9"/>
        <v>2-Months</v>
      </c>
      <c r="F60" s="8" t="str">
        <f>VLOOKUP(N60,Stock[#Data],5,FALSE)</f>
        <v>BE</v>
      </c>
      <c r="G60" s="82" t="s">
        <v>654</v>
      </c>
      <c r="H60" s="15"/>
      <c r="I60" s="7" t="s">
        <v>109</v>
      </c>
      <c r="J60" s="8" t="str">
        <f>VLOOKUP(I60,Customers[#Data],2,FALSE)</f>
        <v>ဦးမင်းလွင်</v>
      </c>
      <c r="K60" s="15" t="str">
        <f>VLOOKUP(I60,Customers[#Data],4,FALSE)</f>
        <v>Maw La Myaing</v>
      </c>
      <c r="L60" s="15" t="str">
        <f>VLOOKUP(I60,Customers[#Data],5,FALSE)</f>
        <v>WholeSales</v>
      </c>
      <c r="M60" s="7" t="s">
        <v>6</v>
      </c>
      <c r="N60" s="7" t="s">
        <v>521</v>
      </c>
      <c r="O60" s="14" t="str">
        <f>VLOOKUP(N60,Stock[#Data],2,FALSE)</f>
        <v>ဒဂုံအရက်သန့်</v>
      </c>
      <c r="P60" s="44">
        <f>VLOOKUP(N60,Stock[#Data],3,FALSE)</f>
        <v>0.64</v>
      </c>
      <c r="Q60" s="3">
        <f>VLOOKUP(N60,Stock[#Data],4,FALSE)</f>
        <v>24</v>
      </c>
      <c r="R60" s="11"/>
      <c r="S60" s="45">
        <f>IFERROR(Table4[[#This Row],[Bottle]]/Table4[[#This Row],[ပါဝင်မှု]]+Table4[[#This Row],[SalesPK]],0)</f>
        <v>50</v>
      </c>
      <c r="T60" s="12">
        <v>50</v>
      </c>
      <c r="U60" s="10">
        <f>Table4[[#This Row],[ပါဝင်မှု]]*Table4[[#This Row],[SalesPK]]+Table4[[#This Row],[Bottle]]</f>
        <v>1200</v>
      </c>
      <c r="V60" s="10">
        <f>Table4[[#This Row],[SalesBot]]*Table4[[#This Row],[ML]]</f>
        <v>768</v>
      </c>
      <c r="W60" s="1">
        <f>VLOOKUP(N60,Stock[#Data],6,FALSE)</f>
        <v>1350</v>
      </c>
      <c r="X60" s="8">
        <f>+Table4[[#This Row],[SalesBot]]*Table4[[#This Row],[နှုံး]]</f>
        <v>1620000</v>
      </c>
      <c r="Y60" s="12"/>
      <c r="Z60" s="12"/>
      <c r="AA60" s="12"/>
      <c r="AB60" s="9"/>
      <c r="AC60" s="12">
        <v>1620000</v>
      </c>
      <c r="AD60" s="9"/>
      <c r="AE60" s="12"/>
      <c r="AF6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60" s="24"/>
      <c r="AH60" s="266">
        <f>Table4[[#This Row],[Date]]</f>
        <v>46025</v>
      </c>
      <c r="AI60" s="264" t="str">
        <f t="shared" si="4"/>
        <v>Jan</v>
      </c>
      <c r="AJ60" s="264" t="str">
        <f t="shared" si="5"/>
        <v>2026</v>
      </c>
      <c r="AK60" s="270" t="str">
        <f>Table4[[#This Row],[ကုန်သည်အမည်]]</f>
        <v>ဦးမင်းလွင်</v>
      </c>
      <c r="AL60" s="270" t="str">
        <f>Table4[[#This Row],[Township]]</f>
        <v>Maw La Myaing</v>
      </c>
      <c r="AM60" s="271" t="str">
        <f>Table4[[#This Row],[WholeSales]]</f>
        <v>WholeSales</v>
      </c>
      <c r="AN60" s="272" t="str">
        <f>Table4[[#This Row],[Particular]]</f>
        <v>ကုန်ရောင်း(လက်ငင်း)</v>
      </c>
      <c r="AO60" s="273" t="str">
        <f>Table4[[#This Row],[StockName]]</f>
        <v>ဒဂုံအရက်သန့်</v>
      </c>
      <c r="AP60" s="268">
        <f>Table4[[#This Row],[Parking]]</f>
        <v>50</v>
      </c>
      <c r="AQ60" s="268">
        <f>Table4[[#This Row],[SalesBot]]</f>
        <v>1200</v>
      </c>
      <c r="AR60" s="268">
        <f>Table4[[#This Row],[Liter]]</f>
        <v>768</v>
      </c>
    </row>
    <row r="61" spans="1:44" s="16" customFormat="1" hidden="1" x14ac:dyDescent="0.5">
      <c r="A61" s="3">
        <f t="shared" si="6"/>
        <v>2026</v>
      </c>
      <c r="B61" s="8">
        <f t="shared" si="7"/>
        <v>1</v>
      </c>
      <c r="C61" s="6">
        <v>46025</v>
      </c>
      <c r="D61" s="15">
        <f t="shared" ca="1" si="8"/>
        <v>46097</v>
      </c>
      <c r="E61" s="15" t="str">
        <f t="shared" ca="1" si="9"/>
        <v>2-Months</v>
      </c>
      <c r="F61" s="8" t="str">
        <f>VLOOKUP(N61,Stock[#Data],5,FALSE)</f>
        <v>BE</v>
      </c>
      <c r="G61" s="82" t="s">
        <v>655</v>
      </c>
      <c r="H61" s="15"/>
      <c r="I61" s="7" t="s">
        <v>145</v>
      </c>
      <c r="J61" s="8" t="str">
        <f>VLOOKUP(I61,Customers[#Data],2,FALSE)</f>
        <v>ကိုအာနိုး</v>
      </c>
      <c r="K61" s="15" t="str">
        <f>VLOOKUP(I61,Customers[#Data],4,FALSE)</f>
        <v>yaY</v>
      </c>
      <c r="L61" s="15" t="str">
        <f>VLOOKUP(I61,Customers[#Data],5,FALSE)</f>
        <v>Van Sales</v>
      </c>
      <c r="M61" s="7" t="s">
        <v>6</v>
      </c>
      <c r="N61" s="7" t="s">
        <v>517</v>
      </c>
      <c r="O61" s="14" t="str">
        <f>VLOOKUP(N61,Stock[#Data],2,FALSE)</f>
        <v>ဇေယျဝတီ Red (1 Liter) 30%</v>
      </c>
      <c r="P61" s="44">
        <f>VLOOKUP(N61,Stock[#Data],3,FALSE)</f>
        <v>1</v>
      </c>
      <c r="Q61" s="3">
        <f>VLOOKUP(N61,Stock[#Data],4,FALSE)</f>
        <v>12</v>
      </c>
      <c r="R61" s="11"/>
      <c r="S61" s="45">
        <f>IFERROR(Table4[[#This Row],[Bottle]]/Table4[[#This Row],[ပါဝင်မှု]]+Table4[[#This Row],[SalesPK]],0)</f>
        <v>30</v>
      </c>
      <c r="T61" s="12">
        <v>30</v>
      </c>
      <c r="U61" s="10">
        <f>Table4[[#This Row],[ပါဝင်မှု]]*Table4[[#This Row],[SalesPK]]+Table4[[#This Row],[Bottle]]</f>
        <v>360</v>
      </c>
      <c r="V61" s="10">
        <f>Table4[[#This Row],[SalesBot]]*Table4[[#This Row],[ML]]</f>
        <v>360</v>
      </c>
      <c r="W61" s="1">
        <f>VLOOKUP(N61,Stock[#Data],6,FALSE)</f>
        <v>1710</v>
      </c>
      <c r="X61" s="8">
        <f>+Table4[[#This Row],[SalesBot]]*Table4[[#This Row],[နှုံး]]</f>
        <v>615600</v>
      </c>
      <c r="Y61" s="12"/>
      <c r="Z61" s="12"/>
      <c r="AA61" s="12"/>
      <c r="AB61" s="9"/>
      <c r="AC61" s="12">
        <v>615600</v>
      </c>
      <c r="AD61" s="9"/>
      <c r="AE61" s="12"/>
      <c r="AF6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61" s="24"/>
      <c r="AH61" s="266">
        <f>Table4[[#This Row],[Date]]</f>
        <v>46025</v>
      </c>
      <c r="AI61" s="264" t="str">
        <f t="shared" si="4"/>
        <v>Jan</v>
      </c>
      <c r="AJ61" s="264" t="str">
        <f t="shared" si="5"/>
        <v>2026</v>
      </c>
      <c r="AK61" s="270" t="str">
        <f>Table4[[#This Row],[ကုန်သည်အမည်]]</f>
        <v>ကိုအာနိုး</v>
      </c>
      <c r="AL61" s="270" t="str">
        <f>Table4[[#This Row],[Township]]</f>
        <v>yaY</v>
      </c>
      <c r="AM61" s="271" t="str">
        <f>Table4[[#This Row],[WholeSales]]</f>
        <v>Van Sales</v>
      </c>
      <c r="AN61" s="272" t="str">
        <f>Table4[[#This Row],[Particular]]</f>
        <v>ကုန်ရောင်း(လက်ငင်း)</v>
      </c>
      <c r="AO61" s="273" t="str">
        <f>Table4[[#This Row],[StockName]]</f>
        <v>ဇေယျဝတီ Red (1 Liter) 30%</v>
      </c>
      <c r="AP61" s="268">
        <f>Table4[[#This Row],[Parking]]</f>
        <v>30</v>
      </c>
      <c r="AQ61" s="268">
        <f>Table4[[#This Row],[SalesBot]]</f>
        <v>360</v>
      </c>
      <c r="AR61" s="268">
        <f>Table4[[#This Row],[Liter]]</f>
        <v>360</v>
      </c>
    </row>
    <row r="62" spans="1:44" s="16" customFormat="1" hidden="1" x14ac:dyDescent="0.5">
      <c r="A62" s="3">
        <f t="shared" si="6"/>
        <v>2026</v>
      </c>
      <c r="B62" s="8">
        <f t="shared" si="7"/>
        <v>1</v>
      </c>
      <c r="C62" s="6">
        <v>46027</v>
      </c>
      <c r="D62" s="15">
        <f t="shared" ca="1" si="8"/>
        <v>46097</v>
      </c>
      <c r="E62" s="15" t="str">
        <f t="shared" ca="1" si="9"/>
        <v>2-Months</v>
      </c>
      <c r="F62" s="8" t="str">
        <f>VLOOKUP(N62,Stock[#Data],5,FALSE)</f>
        <v>BE</v>
      </c>
      <c r="G62" s="82" t="s">
        <v>656</v>
      </c>
      <c r="H62" s="15"/>
      <c r="I62" s="7" t="s">
        <v>95</v>
      </c>
      <c r="J62" s="8" t="str">
        <f>VLOOKUP(I62,Customers[#Data],2,FALSE)</f>
        <v>ကျော်စတား</v>
      </c>
      <c r="K62" s="15" t="str">
        <f>VLOOKUP(I62,Customers[#Data],4,FALSE)</f>
        <v>Yay</v>
      </c>
      <c r="L62" s="15" t="str">
        <f>VLOOKUP(I62,Customers[#Data],5,FALSE)</f>
        <v>WholeSales</v>
      </c>
      <c r="M62" s="7" t="s">
        <v>7</v>
      </c>
      <c r="N62" s="7" t="s">
        <v>514</v>
      </c>
      <c r="O62" s="14" t="str">
        <f>VLOOKUP(N62,Stock[#Data],2,FALSE)</f>
        <v>ဇေယျဝတီ Red</v>
      </c>
      <c r="P62" s="44">
        <f>VLOOKUP(N62,Stock[#Data],3,FALSE)</f>
        <v>0.64</v>
      </c>
      <c r="Q62" s="3">
        <f>VLOOKUP(N62,Stock[#Data],4,FALSE)</f>
        <v>14</v>
      </c>
      <c r="R62" s="11"/>
      <c r="S62" s="45">
        <f>IFERROR(Table4[[#This Row],[Bottle]]/Table4[[#This Row],[ပါဝင်မှု]]+Table4[[#This Row],[SalesPK]],0)</f>
        <v>240</v>
      </c>
      <c r="T62" s="12">
        <v>240</v>
      </c>
      <c r="U62" s="10">
        <f>Table4[[#This Row],[ပါဝင်မှု]]*Table4[[#This Row],[SalesPK]]+Table4[[#This Row],[Bottle]]</f>
        <v>3360</v>
      </c>
      <c r="V62" s="10">
        <f>Table4[[#This Row],[SalesBot]]*Table4[[#This Row],[ML]]</f>
        <v>2150.4</v>
      </c>
      <c r="W62" s="1">
        <f>VLOOKUP(N62,Stock[#Data],6,FALSE)</f>
        <v>1350</v>
      </c>
      <c r="X62" s="8">
        <f>+Table4[[#This Row],[SalesBot]]*Table4[[#This Row],[နှုံး]]</f>
        <v>4536000</v>
      </c>
      <c r="Y62" s="12"/>
      <c r="Z62" s="12"/>
      <c r="AA62" s="12"/>
      <c r="AB62" s="9">
        <v>46038</v>
      </c>
      <c r="AC62" s="12">
        <v>4536000</v>
      </c>
      <c r="AD62" s="9"/>
      <c r="AE62" s="12"/>
      <c r="AF6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62" s="24"/>
      <c r="AH62" s="266">
        <f>Table4[[#This Row],[Date]]</f>
        <v>46027</v>
      </c>
      <c r="AI62" s="264" t="str">
        <f t="shared" si="4"/>
        <v>Jan</v>
      </c>
      <c r="AJ62" s="264" t="str">
        <f t="shared" si="5"/>
        <v>2026</v>
      </c>
      <c r="AK62" s="270" t="str">
        <f>Table4[[#This Row],[ကုန်သည်အမည်]]</f>
        <v>ကျော်စတား</v>
      </c>
      <c r="AL62" s="270" t="str">
        <f>Table4[[#This Row],[Township]]</f>
        <v>Yay</v>
      </c>
      <c r="AM62" s="271" t="str">
        <f>Table4[[#This Row],[WholeSales]]</f>
        <v>WholeSales</v>
      </c>
      <c r="AN62" s="272" t="str">
        <f>Table4[[#This Row],[Particular]]</f>
        <v>ကုန်ရောင်း(အကြွေး)</v>
      </c>
      <c r="AO62" s="273" t="str">
        <f>Table4[[#This Row],[StockName]]</f>
        <v>ဇေယျဝတီ Red</v>
      </c>
      <c r="AP62" s="268">
        <f>Table4[[#This Row],[Parking]]</f>
        <v>240</v>
      </c>
      <c r="AQ62" s="268">
        <f>Table4[[#This Row],[SalesBot]]</f>
        <v>3360</v>
      </c>
      <c r="AR62" s="268">
        <f>Table4[[#This Row],[Liter]]</f>
        <v>2150.4</v>
      </c>
    </row>
    <row r="63" spans="1:44" s="16" customFormat="1" hidden="1" x14ac:dyDescent="0.5">
      <c r="A63" s="3">
        <f t="shared" si="6"/>
        <v>2026</v>
      </c>
      <c r="B63" s="8">
        <f t="shared" si="7"/>
        <v>1</v>
      </c>
      <c r="C63" s="6">
        <v>46027</v>
      </c>
      <c r="D63" s="15">
        <f t="shared" ca="1" si="8"/>
        <v>46097</v>
      </c>
      <c r="E63" s="15" t="str">
        <f t="shared" ca="1" si="9"/>
        <v>2-Months</v>
      </c>
      <c r="F63" s="8" t="str">
        <f>VLOOKUP(N63,Stock[#Data],5,FALSE)</f>
        <v>BE</v>
      </c>
      <c r="G63" s="82" t="s">
        <v>656</v>
      </c>
      <c r="H63" s="15"/>
      <c r="I63" s="7" t="s">
        <v>95</v>
      </c>
      <c r="J63" s="8" t="str">
        <f>VLOOKUP(I63,Customers[#Data],2,FALSE)</f>
        <v>ကျော်စတား</v>
      </c>
      <c r="K63" s="15" t="str">
        <f>VLOOKUP(I63,Customers[#Data],4,FALSE)</f>
        <v>Yay</v>
      </c>
      <c r="L63" s="15" t="str">
        <f>VLOOKUP(I63,Customers[#Data],5,FALSE)</f>
        <v>WholeSales</v>
      </c>
      <c r="M63" s="7" t="s">
        <v>7</v>
      </c>
      <c r="N63" s="7" t="s">
        <v>517</v>
      </c>
      <c r="O63" s="14" t="str">
        <f>VLOOKUP(N63,Stock[#Data],2,FALSE)</f>
        <v>ဇေယျဝတီ Red (1 Liter) 30%</v>
      </c>
      <c r="P63" s="44">
        <f>VLOOKUP(N63,Stock[#Data],3,FALSE)</f>
        <v>1</v>
      </c>
      <c r="Q63" s="3">
        <f>VLOOKUP(N63,Stock[#Data],4,FALSE)</f>
        <v>12</v>
      </c>
      <c r="R63" s="11"/>
      <c r="S63" s="45">
        <f>IFERROR(Table4[[#This Row],[Bottle]]/Table4[[#This Row],[ပါဝင်မှု]]+Table4[[#This Row],[SalesPK]],0)</f>
        <v>150</v>
      </c>
      <c r="T63" s="12">
        <v>150</v>
      </c>
      <c r="U63" s="10">
        <f>Table4[[#This Row],[ပါဝင်မှု]]*Table4[[#This Row],[SalesPK]]+Table4[[#This Row],[Bottle]]</f>
        <v>1800</v>
      </c>
      <c r="V63" s="10">
        <f>Table4[[#This Row],[SalesBot]]*Table4[[#This Row],[ML]]</f>
        <v>1800</v>
      </c>
      <c r="W63" s="1">
        <f>VLOOKUP(N63,Stock[#Data],6,FALSE)</f>
        <v>1710</v>
      </c>
      <c r="X63" s="8">
        <f>+Table4[[#This Row],[SalesBot]]*Table4[[#This Row],[နှုံး]]</f>
        <v>3078000</v>
      </c>
      <c r="Y63" s="12"/>
      <c r="Z63" s="12"/>
      <c r="AA63" s="12"/>
      <c r="AB63" s="9">
        <v>46038</v>
      </c>
      <c r="AC63" s="12">
        <v>3078000</v>
      </c>
      <c r="AD63" s="9"/>
      <c r="AE63" s="12"/>
      <c r="AF6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63" s="24"/>
      <c r="AH63" s="266">
        <f>Table4[[#This Row],[Date]]</f>
        <v>46027</v>
      </c>
      <c r="AI63" s="264" t="str">
        <f t="shared" si="4"/>
        <v>Jan</v>
      </c>
      <c r="AJ63" s="264" t="str">
        <f t="shared" si="5"/>
        <v>2026</v>
      </c>
      <c r="AK63" s="270" t="str">
        <f>Table4[[#This Row],[ကုန်သည်အမည်]]</f>
        <v>ကျော်စတား</v>
      </c>
      <c r="AL63" s="270" t="str">
        <f>Table4[[#This Row],[Township]]</f>
        <v>Yay</v>
      </c>
      <c r="AM63" s="271" t="str">
        <f>Table4[[#This Row],[WholeSales]]</f>
        <v>WholeSales</v>
      </c>
      <c r="AN63" s="272" t="str">
        <f>Table4[[#This Row],[Particular]]</f>
        <v>ကုန်ရောင်း(အကြွေး)</v>
      </c>
      <c r="AO63" s="273" t="str">
        <f>Table4[[#This Row],[StockName]]</f>
        <v>ဇေယျဝတီ Red (1 Liter) 30%</v>
      </c>
      <c r="AP63" s="268">
        <f>Table4[[#This Row],[Parking]]</f>
        <v>150</v>
      </c>
      <c r="AQ63" s="268">
        <f>Table4[[#This Row],[SalesBot]]</f>
        <v>1800</v>
      </c>
      <c r="AR63" s="268">
        <f>Table4[[#This Row],[Liter]]</f>
        <v>1800</v>
      </c>
    </row>
    <row r="64" spans="1:44" s="16" customFormat="1" hidden="1" x14ac:dyDescent="0.5">
      <c r="A64" s="3">
        <f t="shared" si="6"/>
        <v>2026</v>
      </c>
      <c r="B64" s="8">
        <f t="shared" si="7"/>
        <v>1</v>
      </c>
      <c r="C64" s="6">
        <v>46027</v>
      </c>
      <c r="D64" s="15">
        <f t="shared" ca="1" si="8"/>
        <v>46097</v>
      </c>
      <c r="E64" s="15" t="str">
        <f t="shared" ca="1" si="9"/>
        <v>2-Months</v>
      </c>
      <c r="F64" s="8" t="str">
        <f>VLOOKUP(N64,Stock[#Data],5,FALSE)</f>
        <v>BE</v>
      </c>
      <c r="G64" s="82" t="s">
        <v>657</v>
      </c>
      <c r="H64" s="15"/>
      <c r="I64" s="7" t="s">
        <v>92</v>
      </c>
      <c r="J64" s="8" t="str">
        <f>VLOOKUP(I64,Customers[#Data],2,FALSE)</f>
        <v>ကိုမြခက်</v>
      </c>
      <c r="K64" s="15" t="str">
        <f>VLOOKUP(I64,Customers[#Data],4,FALSE)</f>
        <v>Yay</v>
      </c>
      <c r="L64" s="15" t="str">
        <f>VLOOKUP(I64,Customers[#Data],5,FALSE)</f>
        <v>WholeSales</v>
      </c>
      <c r="M64" s="7" t="s">
        <v>7</v>
      </c>
      <c r="N64" s="7" t="s">
        <v>514</v>
      </c>
      <c r="O64" s="14" t="str">
        <f>VLOOKUP(N64,Stock[#Data],2,FALSE)</f>
        <v>ဇေယျဝတီ Red</v>
      </c>
      <c r="P64" s="44">
        <f>VLOOKUP(N64,Stock[#Data],3,FALSE)</f>
        <v>0.64</v>
      </c>
      <c r="Q64" s="3">
        <f>VLOOKUP(N64,Stock[#Data],4,FALSE)</f>
        <v>14</v>
      </c>
      <c r="R64" s="11"/>
      <c r="S64" s="45">
        <f>IFERROR(Table4[[#This Row],[Bottle]]/Table4[[#This Row],[ပါဝင်မှု]]+Table4[[#This Row],[SalesPK]],0)</f>
        <v>100</v>
      </c>
      <c r="T64" s="12">
        <v>100</v>
      </c>
      <c r="U64" s="10">
        <f>Table4[[#This Row],[ပါဝင်မှု]]*Table4[[#This Row],[SalesPK]]+Table4[[#This Row],[Bottle]]</f>
        <v>1400</v>
      </c>
      <c r="V64" s="10">
        <f>Table4[[#This Row],[SalesBot]]*Table4[[#This Row],[ML]]</f>
        <v>896</v>
      </c>
      <c r="W64" s="1">
        <f>VLOOKUP(N64,Stock[#Data],6,FALSE)</f>
        <v>1350</v>
      </c>
      <c r="X64" s="8">
        <f>+Table4[[#This Row],[SalesBot]]*Table4[[#This Row],[နှုံး]]</f>
        <v>1890000</v>
      </c>
      <c r="Y64" s="12"/>
      <c r="Z64" s="12"/>
      <c r="AA64" s="12"/>
      <c r="AB64" s="9">
        <v>46031</v>
      </c>
      <c r="AC64" s="12">
        <v>1890000</v>
      </c>
      <c r="AD64" s="9"/>
      <c r="AE64" s="12"/>
      <c r="AF6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64" s="24"/>
      <c r="AH64" s="266">
        <f>Table4[[#This Row],[Date]]</f>
        <v>46027</v>
      </c>
      <c r="AI64" s="264" t="str">
        <f t="shared" si="4"/>
        <v>Jan</v>
      </c>
      <c r="AJ64" s="264" t="str">
        <f t="shared" si="5"/>
        <v>2026</v>
      </c>
      <c r="AK64" s="270" t="str">
        <f>Table4[[#This Row],[ကုန်သည်အမည်]]</f>
        <v>ကိုမြခက်</v>
      </c>
      <c r="AL64" s="270" t="str">
        <f>Table4[[#This Row],[Township]]</f>
        <v>Yay</v>
      </c>
      <c r="AM64" s="271" t="str">
        <f>Table4[[#This Row],[WholeSales]]</f>
        <v>WholeSales</v>
      </c>
      <c r="AN64" s="272" t="str">
        <f>Table4[[#This Row],[Particular]]</f>
        <v>ကုန်ရောင်း(အကြွေး)</v>
      </c>
      <c r="AO64" s="273" t="str">
        <f>Table4[[#This Row],[StockName]]</f>
        <v>ဇေယျဝတီ Red</v>
      </c>
      <c r="AP64" s="268">
        <f>Table4[[#This Row],[Parking]]</f>
        <v>100</v>
      </c>
      <c r="AQ64" s="268">
        <f>Table4[[#This Row],[SalesBot]]</f>
        <v>1400</v>
      </c>
      <c r="AR64" s="268">
        <f>Table4[[#This Row],[Liter]]</f>
        <v>896</v>
      </c>
    </row>
    <row r="65" spans="1:44" s="16" customFormat="1" hidden="1" x14ac:dyDescent="0.5">
      <c r="A65" s="3">
        <f t="shared" ref="A65:A96" si="10">YEAR(C65)</f>
        <v>2026</v>
      </c>
      <c r="B65" s="8">
        <f t="shared" ref="B65:B96" si="11">MONTH(C65)</f>
        <v>1</v>
      </c>
      <c r="C65" s="6">
        <v>46027</v>
      </c>
      <c r="D65" s="15">
        <f t="shared" ref="D65:D96" ca="1" si="12">TODAY()</f>
        <v>46097</v>
      </c>
      <c r="E65" s="15" t="str">
        <f t="shared" ref="E65:E96" ca="1" si="13">DATEDIF(C65,D65,"M")&amp;"-Months"</f>
        <v>2-Months</v>
      </c>
      <c r="F65" s="8" t="str">
        <f>VLOOKUP(N65,Stock[#Data],5,FALSE)</f>
        <v>BE</v>
      </c>
      <c r="G65" s="82" t="s">
        <v>658</v>
      </c>
      <c r="H65" s="15"/>
      <c r="I65" s="7" t="s">
        <v>538</v>
      </c>
      <c r="J65" s="8" t="str">
        <f>VLOOKUP(I65,Customers[#Data],2,FALSE)</f>
        <v>ဒေါ်နွယ်နွယ်ရီ(ရွှေတောင်ကြား)</v>
      </c>
      <c r="K65" s="15" t="str">
        <f>VLOOKUP(I65,Customers[#Data],4,FALSE)</f>
        <v>Yay</v>
      </c>
      <c r="L65" s="15" t="str">
        <f>VLOOKUP(I65,Customers[#Data],5,FALSE)</f>
        <v>WholeSales</v>
      </c>
      <c r="M65" s="7" t="s">
        <v>7</v>
      </c>
      <c r="N65" s="7" t="s">
        <v>517</v>
      </c>
      <c r="O65" s="14" t="str">
        <f>VLOOKUP(N65,Stock[#Data],2,FALSE)</f>
        <v>ဇေယျဝတီ Red (1 Liter) 30%</v>
      </c>
      <c r="P65" s="44">
        <f>VLOOKUP(N65,Stock[#Data],3,FALSE)</f>
        <v>1</v>
      </c>
      <c r="Q65" s="3">
        <f>VLOOKUP(N65,Stock[#Data],4,FALSE)</f>
        <v>12</v>
      </c>
      <c r="R65" s="11"/>
      <c r="S65" s="45">
        <f>IFERROR(Table4[[#This Row],[Bottle]]/Table4[[#This Row],[ပါဝင်မှု]]+Table4[[#This Row],[SalesPK]],0)</f>
        <v>100</v>
      </c>
      <c r="T65" s="12">
        <v>100</v>
      </c>
      <c r="U65" s="10">
        <f>Table4[[#This Row],[ပါဝင်မှု]]*Table4[[#This Row],[SalesPK]]+Table4[[#This Row],[Bottle]]</f>
        <v>1200</v>
      </c>
      <c r="V65" s="10">
        <f>Table4[[#This Row],[SalesBot]]*Table4[[#This Row],[ML]]</f>
        <v>1200</v>
      </c>
      <c r="W65" s="1">
        <f>VLOOKUP(N65,Stock[#Data],6,FALSE)</f>
        <v>1710</v>
      </c>
      <c r="X65" s="8">
        <f>+Table4[[#This Row],[SalesBot]]*Table4[[#This Row],[နှုံး]]</f>
        <v>2052000</v>
      </c>
      <c r="Y65" s="12"/>
      <c r="Z65" s="12"/>
      <c r="AA65" s="12"/>
      <c r="AB65" s="9"/>
      <c r="AC65" s="12"/>
      <c r="AD65" s="9"/>
      <c r="AE65" s="12"/>
      <c r="AF6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65" s="24"/>
      <c r="AH65" s="266">
        <f>Table4[[#This Row],[Date]]</f>
        <v>46027</v>
      </c>
      <c r="AI65" s="264" t="str">
        <f t="shared" si="4"/>
        <v>Jan</v>
      </c>
      <c r="AJ65" s="264" t="str">
        <f t="shared" si="5"/>
        <v>2026</v>
      </c>
      <c r="AK65" s="270" t="str">
        <f>Table4[[#This Row],[ကုန်သည်အမည်]]</f>
        <v>ဒေါ်နွယ်နွယ်ရီ(ရွှေတောင်ကြား)</v>
      </c>
      <c r="AL65" s="270" t="str">
        <f>Table4[[#This Row],[Township]]</f>
        <v>Yay</v>
      </c>
      <c r="AM65" s="271" t="str">
        <f>Table4[[#This Row],[WholeSales]]</f>
        <v>WholeSales</v>
      </c>
      <c r="AN65" s="272" t="str">
        <f>Table4[[#This Row],[Particular]]</f>
        <v>ကုန်ရောင်း(အကြွေး)</v>
      </c>
      <c r="AO65" s="273" t="str">
        <f>Table4[[#This Row],[StockName]]</f>
        <v>ဇေယျဝတီ Red (1 Liter) 30%</v>
      </c>
      <c r="AP65" s="268">
        <f>Table4[[#This Row],[Parking]]</f>
        <v>100</v>
      </c>
      <c r="AQ65" s="268">
        <f>Table4[[#This Row],[SalesBot]]</f>
        <v>1200</v>
      </c>
      <c r="AR65" s="268">
        <f>Table4[[#This Row],[Liter]]</f>
        <v>1200</v>
      </c>
    </row>
    <row r="66" spans="1:44" s="16" customFormat="1" hidden="1" x14ac:dyDescent="0.5">
      <c r="A66" s="3">
        <f t="shared" si="10"/>
        <v>2026</v>
      </c>
      <c r="B66" s="8">
        <f t="shared" si="11"/>
        <v>1</v>
      </c>
      <c r="C66" s="6">
        <v>46027</v>
      </c>
      <c r="D66" s="15">
        <f t="shared" ca="1" si="12"/>
        <v>46097</v>
      </c>
      <c r="E66" s="15" t="str">
        <f t="shared" ca="1" si="13"/>
        <v>2-Months</v>
      </c>
      <c r="F66" s="8" t="str">
        <f>VLOOKUP(N66,Stock[#Data],5,FALSE)</f>
        <v>BE</v>
      </c>
      <c r="G66" s="82" t="s">
        <v>659</v>
      </c>
      <c r="H66" s="15"/>
      <c r="I66" s="7" t="s">
        <v>664</v>
      </c>
      <c r="J66" s="8" t="str">
        <f>VLOOKUP(I66,Customers[#Data],2,FALSE)</f>
        <v>ကိုမျိုးအောင်</v>
      </c>
      <c r="K66" s="15" t="str">
        <f>VLOOKUP(I66,Customers[#Data],4,FALSE)</f>
        <v>Maw La Myaing</v>
      </c>
      <c r="L66" s="15" t="str">
        <f>VLOOKUP(I66,Customers[#Data],5,FALSE)</f>
        <v>WholeSales</v>
      </c>
      <c r="M66" s="7" t="s">
        <v>6</v>
      </c>
      <c r="N66" s="7" t="s">
        <v>516</v>
      </c>
      <c r="O66" s="14" t="str">
        <f>VLOOKUP(N66,Stock[#Data],2,FALSE)</f>
        <v>ဇေ Vodka</v>
      </c>
      <c r="P66" s="44">
        <f>VLOOKUP(N66,Stock[#Data],3,FALSE)</f>
        <v>0.64</v>
      </c>
      <c r="Q66" s="3">
        <f>VLOOKUP(N66,Stock[#Data],4,FALSE)</f>
        <v>14</v>
      </c>
      <c r="R66" s="11"/>
      <c r="S66" s="45">
        <f>IFERROR(Table4[[#This Row],[Bottle]]/Table4[[#This Row],[ပါဝင်မှု]]+Table4[[#This Row],[SalesPK]],0)</f>
        <v>20</v>
      </c>
      <c r="T66" s="12">
        <v>20</v>
      </c>
      <c r="U66" s="10">
        <f>Table4[[#This Row],[ပါဝင်မှု]]*Table4[[#This Row],[SalesPK]]+Table4[[#This Row],[Bottle]]</f>
        <v>280</v>
      </c>
      <c r="V66" s="10">
        <f>Table4[[#This Row],[SalesBot]]*Table4[[#This Row],[ML]]</f>
        <v>179.20000000000002</v>
      </c>
      <c r="W66" s="1">
        <f>VLOOKUP(N66,Stock[#Data],6,FALSE)</f>
        <v>1400</v>
      </c>
      <c r="X66" s="8">
        <f>+Table4[[#This Row],[SalesBot]]*Table4[[#This Row],[နှုံး]]</f>
        <v>392000</v>
      </c>
      <c r="Y66" s="12"/>
      <c r="Z66" s="12"/>
      <c r="AA66" s="12"/>
      <c r="AB66" s="9"/>
      <c r="AC66" s="12">
        <v>392000</v>
      </c>
      <c r="AD66" s="9"/>
      <c r="AE66" s="12"/>
      <c r="AF6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66" s="24"/>
      <c r="AH66" s="266">
        <f>Table4[[#This Row],[Date]]</f>
        <v>46027</v>
      </c>
      <c r="AI66" s="264" t="str">
        <f t="shared" si="4"/>
        <v>Jan</v>
      </c>
      <c r="AJ66" s="264" t="str">
        <f t="shared" si="5"/>
        <v>2026</v>
      </c>
      <c r="AK66" s="270" t="str">
        <f>Table4[[#This Row],[ကုန်သည်အမည်]]</f>
        <v>ကိုမျိုးအောင်</v>
      </c>
      <c r="AL66" s="270" t="str">
        <f>Table4[[#This Row],[Township]]</f>
        <v>Maw La Myaing</v>
      </c>
      <c r="AM66" s="271" t="str">
        <f>Table4[[#This Row],[WholeSales]]</f>
        <v>WholeSales</v>
      </c>
      <c r="AN66" s="272" t="str">
        <f>Table4[[#This Row],[Particular]]</f>
        <v>ကုန်ရောင်း(လက်ငင်း)</v>
      </c>
      <c r="AO66" s="273" t="str">
        <f>Table4[[#This Row],[StockName]]</f>
        <v>ဇေ Vodka</v>
      </c>
      <c r="AP66" s="268">
        <f>Table4[[#This Row],[Parking]]</f>
        <v>20</v>
      </c>
      <c r="AQ66" s="268">
        <f>Table4[[#This Row],[SalesBot]]</f>
        <v>280</v>
      </c>
      <c r="AR66" s="268">
        <f>Table4[[#This Row],[Liter]]</f>
        <v>179.20000000000002</v>
      </c>
    </row>
    <row r="67" spans="1:44" s="16" customFormat="1" hidden="1" x14ac:dyDescent="0.5">
      <c r="A67" s="3">
        <f t="shared" si="10"/>
        <v>2026</v>
      </c>
      <c r="B67" s="8">
        <f t="shared" si="11"/>
        <v>1</v>
      </c>
      <c r="C67" s="6">
        <v>46027</v>
      </c>
      <c r="D67" s="15">
        <f t="shared" ca="1" si="12"/>
        <v>46097</v>
      </c>
      <c r="E67" s="15" t="str">
        <f t="shared" ca="1" si="13"/>
        <v>2-Months</v>
      </c>
      <c r="F67" s="8" t="str">
        <f>VLOOKUP(N67,Stock[#Data],5,FALSE)</f>
        <v>BE</v>
      </c>
      <c r="G67" s="82" t="s">
        <v>659</v>
      </c>
      <c r="H67" s="15"/>
      <c r="I67" s="7" t="s">
        <v>664</v>
      </c>
      <c r="J67" s="8" t="str">
        <f>VLOOKUP(I67,Customers[#Data],2,FALSE)</f>
        <v>ကိုမျိုးအောင်</v>
      </c>
      <c r="K67" s="15" t="str">
        <f>VLOOKUP(I67,Customers[#Data],4,FALSE)</f>
        <v>Maw La Myaing</v>
      </c>
      <c r="L67" s="15" t="str">
        <f>VLOOKUP(I67,Customers[#Data],5,FALSE)</f>
        <v>WholeSales</v>
      </c>
      <c r="M67" s="7" t="s">
        <v>6</v>
      </c>
      <c r="N67" s="7" t="s">
        <v>514</v>
      </c>
      <c r="O67" s="14" t="str">
        <f>VLOOKUP(N67,Stock[#Data],2,FALSE)</f>
        <v>ဇေယျဝတီ Red</v>
      </c>
      <c r="P67" s="44">
        <f>VLOOKUP(N67,Stock[#Data],3,FALSE)</f>
        <v>0.64</v>
      </c>
      <c r="Q67" s="3">
        <f>VLOOKUP(N67,Stock[#Data],4,FALSE)</f>
        <v>14</v>
      </c>
      <c r="R67" s="11"/>
      <c r="S67" s="45">
        <f>IFERROR(Table4[[#This Row],[Bottle]]/Table4[[#This Row],[ပါဝင်မှု]]+Table4[[#This Row],[SalesPK]],0)</f>
        <v>20</v>
      </c>
      <c r="T67" s="12">
        <v>20</v>
      </c>
      <c r="U67" s="10">
        <f>Table4[[#This Row],[ပါဝင်မှု]]*Table4[[#This Row],[SalesPK]]+Table4[[#This Row],[Bottle]]</f>
        <v>280</v>
      </c>
      <c r="V67" s="10">
        <f>Table4[[#This Row],[SalesBot]]*Table4[[#This Row],[ML]]</f>
        <v>179.20000000000002</v>
      </c>
      <c r="W67" s="1">
        <f>VLOOKUP(N67,Stock[#Data],6,FALSE)</f>
        <v>1350</v>
      </c>
      <c r="X67" s="8">
        <f>+Table4[[#This Row],[SalesBot]]*Table4[[#This Row],[နှုံး]]</f>
        <v>378000</v>
      </c>
      <c r="Y67" s="12"/>
      <c r="Z67" s="12"/>
      <c r="AA67" s="12"/>
      <c r="AB67" s="9"/>
      <c r="AC67" s="12">
        <v>378000</v>
      </c>
      <c r="AD67" s="9"/>
      <c r="AE67" s="12"/>
      <c r="AF6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67" s="24"/>
      <c r="AH67" s="266">
        <f>Table4[[#This Row],[Date]]</f>
        <v>46027</v>
      </c>
      <c r="AI67" s="264" t="str">
        <f t="shared" ref="AI67:AI130" si="14">TEXT(AH67,"mmm")</f>
        <v>Jan</v>
      </c>
      <c r="AJ67" s="264" t="str">
        <f t="shared" ref="AJ67:AJ130" si="15">TEXT(AH67,"yyyy")</f>
        <v>2026</v>
      </c>
      <c r="AK67" s="270" t="str">
        <f>Table4[[#This Row],[ကုန်သည်အမည်]]</f>
        <v>ကိုမျိုးအောင်</v>
      </c>
      <c r="AL67" s="270" t="str">
        <f>Table4[[#This Row],[Township]]</f>
        <v>Maw La Myaing</v>
      </c>
      <c r="AM67" s="271" t="str">
        <f>Table4[[#This Row],[WholeSales]]</f>
        <v>WholeSales</v>
      </c>
      <c r="AN67" s="272" t="str">
        <f>Table4[[#This Row],[Particular]]</f>
        <v>ကုန်ရောင်း(လက်ငင်း)</v>
      </c>
      <c r="AO67" s="273" t="str">
        <f>Table4[[#This Row],[StockName]]</f>
        <v>ဇေယျဝတီ Red</v>
      </c>
      <c r="AP67" s="268">
        <f>Table4[[#This Row],[Parking]]</f>
        <v>20</v>
      </c>
      <c r="AQ67" s="268">
        <f>Table4[[#This Row],[SalesBot]]</f>
        <v>280</v>
      </c>
      <c r="AR67" s="268">
        <f>Table4[[#This Row],[Liter]]</f>
        <v>179.20000000000002</v>
      </c>
    </row>
    <row r="68" spans="1:44" s="16" customFormat="1" hidden="1" x14ac:dyDescent="0.5">
      <c r="A68" s="3">
        <f t="shared" si="10"/>
        <v>2026</v>
      </c>
      <c r="B68" s="8">
        <f t="shared" si="11"/>
        <v>1</v>
      </c>
      <c r="C68" s="6">
        <v>46027</v>
      </c>
      <c r="D68" s="15">
        <f t="shared" ca="1" si="12"/>
        <v>46097</v>
      </c>
      <c r="E68" s="15" t="str">
        <f t="shared" ca="1" si="13"/>
        <v>2-Months</v>
      </c>
      <c r="F68" s="8" t="str">
        <f>VLOOKUP(N68,Stock[#Data],5,FALSE)</f>
        <v>BE</v>
      </c>
      <c r="G68" s="82" t="s">
        <v>660</v>
      </c>
      <c r="H68" s="15"/>
      <c r="I68" s="7" t="s">
        <v>813</v>
      </c>
      <c r="J68" s="8" t="str">
        <f>VLOOKUP(I68,Customers[#Data],2,FALSE)</f>
        <v>မနှင်းပွင့်ဖြူ</v>
      </c>
      <c r="K68" s="15" t="str">
        <f>VLOOKUP(I68,Customers[#Data],4,FALSE)</f>
        <v>Yay</v>
      </c>
      <c r="L68" s="15" t="str">
        <f>VLOOKUP(I68,Customers[#Data],5,FALSE)</f>
        <v>Van Sales</v>
      </c>
      <c r="M68" s="7" t="s">
        <v>6</v>
      </c>
      <c r="N68" s="7" t="s">
        <v>517</v>
      </c>
      <c r="O68" s="14" t="str">
        <f>VLOOKUP(N68,Stock[#Data],2,FALSE)</f>
        <v>ဇေယျဝတီ Red (1 Liter) 30%</v>
      </c>
      <c r="P68" s="44">
        <f>VLOOKUP(N68,Stock[#Data],3,FALSE)</f>
        <v>1</v>
      </c>
      <c r="Q68" s="3">
        <f>VLOOKUP(N68,Stock[#Data],4,FALSE)</f>
        <v>12</v>
      </c>
      <c r="R68" s="11"/>
      <c r="S68" s="45">
        <f>IFERROR(Table4[[#This Row],[Bottle]]/Table4[[#This Row],[ပါဝင်မှု]]+Table4[[#This Row],[SalesPK]],0)</f>
        <v>100</v>
      </c>
      <c r="T68" s="12">
        <v>100</v>
      </c>
      <c r="U68" s="10">
        <f>Table4[[#This Row],[ပါဝင်မှု]]*Table4[[#This Row],[SalesPK]]+Table4[[#This Row],[Bottle]]</f>
        <v>1200</v>
      </c>
      <c r="V68" s="10">
        <f>Table4[[#This Row],[SalesBot]]*Table4[[#This Row],[ML]]</f>
        <v>1200</v>
      </c>
      <c r="W68" s="1">
        <f>VLOOKUP(N68,Stock[#Data],6,FALSE)</f>
        <v>1710</v>
      </c>
      <c r="X68" s="8">
        <f>+Table4[[#This Row],[SalesBot]]*Table4[[#This Row],[နှုံး]]</f>
        <v>2052000</v>
      </c>
      <c r="Y68" s="12"/>
      <c r="Z68" s="12"/>
      <c r="AA68" s="12"/>
      <c r="AB68" s="9"/>
      <c r="AC68" s="12">
        <v>2052000</v>
      </c>
      <c r="AD68" s="9"/>
      <c r="AE68" s="12"/>
      <c r="AF6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68" s="24"/>
      <c r="AH68" s="266">
        <f>Table4[[#This Row],[Date]]</f>
        <v>46027</v>
      </c>
      <c r="AI68" s="264" t="str">
        <f t="shared" si="14"/>
        <v>Jan</v>
      </c>
      <c r="AJ68" s="264" t="str">
        <f t="shared" si="15"/>
        <v>2026</v>
      </c>
      <c r="AK68" s="270" t="str">
        <f>Table4[[#This Row],[ကုန်သည်အမည်]]</f>
        <v>မနှင်းပွင့်ဖြူ</v>
      </c>
      <c r="AL68" s="270" t="str">
        <f>Table4[[#This Row],[Township]]</f>
        <v>Yay</v>
      </c>
      <c r="AM68" s="271" t="str">
        <f>Table4[[#This Row],[WholeSales]]</f>
        <v>Van Sales</v>
      </c>
      <c r="AN68" s="272" t="str">
        <f>Table4[[#This Row],[Particular]]</f>
        <v>ကုန်ရောင်း(လက်ငင်း)</v>
      </c>
      <c r="AO68" s="273" t="str">
        <f>Table4[[#This Row],[StockName]]</f>
        <v>ဇေယျဝတီ Red (1 Liter) 30%</v>
      </c>
      <c r="AP68" s="268">
        <f>Table4[[#This Row],[Parking]]</f>
        <v>100</v>
      </c>
      <c r="AQ68" s="268">
        <f>Table4[[#This Row],[SalesBot]]</f>
        <v>1200</v>
      </c>
      <c r="AR68" s="268">
        <f>Table4[[#This Row],[Liter]]</f>
        <v>1200</v>
      </c>
    </row>
    <row r="69" spans="1:44" s="16" customFormat="1" hidden="1" x14ac:dyDescent="0.5">
      <c r="A69" s="3">
        <f t="shared" si="10"/>
        <v>2026</v>
      </c>
      <c r="B69" s="8">
        <f t="shared" si="11"/>
        <v>1</v>
      </c>
      <c r="C69" s="6">
        <v>46027</v>
      </c>
      <c r="D69" s="15">
        <f t="shared" ca="1" si="12"/>
        <v>46097</v>
      </c>
      <c r="E69" s="15" t="str">
        <f t="shared" ca="1" si="13"/>
        <v>2-Months</v>
      </c>
      <c r="F69" s="8" t="str">
        <f>VLOOKUP(N69,Stock[#Data],5,FALSE)</f>
        <v>BE</v>
      </c>
      <c r="G69" s="82" t="s">
        <v>661</v>
      </c>
      <c r="H69" s="15"/>
      <c r="I69" s="7" t="s">
        <v>314</v>
      </c>
      <c r="J69" s="8" t="str">
        <f>VLOOKUP(I69,Customers[#Data],2,FALSE)</f>
        <v>ကိုကျော်မြင့်</v>
      </c>
      <c r="K69" s="15" t="str">
        <f>VLOOKUP(I69,Customers[#Data],4,FALSE)</f>
        <v>Maw La Myaing</v>
      </c>
      <c r="L69" s="15" t="str">
        <f>VLOOKUP(I69,Customers[#Data],5,FALSE)</f>
        <v>Van Sales</v>
      </c>
      <c r="M69" s="7" t="s">
        <v>6</v>
      </c>
      <c r="N69" s="7" t="s">
        <v>518</v>
      </c>
      <c r="O69" s="14" t="str">
        <f>VLOOKUP(N69,Stock[#Data],2,FALSE)</f>
        <v>"ဇေ" ကော်ဘူး (1 Liter)</v>
      </c>
      <c r="P69" s="44">
        <f>VLOOKUP(N69,Stock[#Data],3,FALSE)</f>
        <v>1</v>
      </c>
      <c r="Q69" s="3">
        <f>VLOOKUP(N69,Stock[#Data],4,FALSE)</f>
        <v>12</v>
      </c>
      <c r="R69" s="11"/>
      <c r="S69" s="45">
        <f>IFERROR(Table4[[#This Row],[Bottle]]/Table4[[#This Row],[ပါဝင်မှု]]+Table4[[#This Row],[SalesPK]],0)</f>
        <v>10</v>
      </c>
      <c r="T69" s="12">
        <v>10</v>
      </c>
      <c r="U69" s="10">
        <f>Table4[[#This Row],[ပါဝင်မှု]]*Table4[[#This Row],[SalesPK]]+Table4[[#This Row],[Bottle]]</f>
        <v>120</v>
      </c>
      <c r="V69" s="10">
        <f>Table4[[#This Row],[SalesBot]]*Table4[[#This Row],[ML]]</f>
        <v>120</v>
      </c>
      <c r="W69" s="1">
        <f>VLOOKUP(N69,Stock[#Data],6,FALSE)</f>
        <v>1675</v>
      </c>
      <c r="X69" s="8">
        <f>+Table4[[#This Row],[SalesBot]]*Table4[[#This Row],[နှုံး]]</f>
        <v>201000</v>
      </c>
      <c r="Y69" s="12"/>
      <c r="Z69" s="12"/>
      <c r="AA69" s="12"/>
      <c r="AB69" s="9"/>
      <c r="AC69" s="12">
        <v>201000</v>
      </c>
      <c r="AD69" s="9"/>
      <c r="AE69" s="12"/>
      <c r="AF6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69" s="24"/>
      <c r="AH69" s="266">
        <f>Table4[[#This Row],[Date]]</f>
        <v>46027</v>
      </c>
      <c r="AI69" s="264" t="str">
        <f t="shared" si="14"/>
        <v>Jan</v>
      </c>
      <c r="AJ69" s="264" t="str">
        <f t="shared" si="15"/>
        <v>2026</v>
      </c>
      <c r="AK69" s="270" t="str">
        <f>Table4[[#This Row],[ကုန်သည်အမည်]]</f>
        <v>ကိုကျော်မြင့်</v>
      </c>
      <c r="AL69" s="270" t="str">
        <f>Table4[[#This Row],[Township]]</f>
        <v>Maw La Myaing</v>
      </c>
      <c r="AM69" s="271" t="str">
        <f>Table4[[#This Row],[WholeSales]]</f>
        <v>Van Sales</v>
      </c>
      <c r="AN69" s="272" t="str">
        <f>Table4[[#This Row],[Particular]]</f>
        <v>ကုန်ရောင်း(လက်ငင်း)</v>
      </c>
      <c r="AO69" s="273" t="str">
        <f>Table4[[#This Row],[StockName]]</f>
        <v>"ဇေ" ကော်ဘူး (1 Liter)</v>
      </c>
      <c r="AP69" s="268">
        <f>Table4[[#This Row],[Parking]]</f>
        <v>10</v>
      </c>
      <c r="AQ69" s="268">
        <f>Table4[[#This Row],[SalesBot]]</f>
        <v>120</v>
      </c>
      <c r="AR69" s="268">
        <f>Table4[[#This Row],[Liter]]</f>
        <v>120</v>
      </c>
    </row>
    <row r="70" spans="1:44" s="16" customFormat="1" hidden="1" x14ac:dyDescent="0.5">
      <c r="A70" s="3">
        <f t="shared" si="10"/>
        <v>2026</v>
      </c>
      <c r="B70" s="8">
        <f t="shared" si="11"/>
        <v>1</v>
      </c>
      <c r="C70" s="6">
        <v>46027</v>
      </c>
      <c r="D70" s="15">
        <f t="shared" ca="1" si="12"/>
        <v>46097</v>
      </c>
      <c r="E70" s="15" t="str">
        <f t="shared" ca="1" si="13"/>
        <v>2-Months</v>
      </c>
      <c r="F70" s="8" t="str">
        <f>VLOOKUP(N70,Stock[#Data],5,FALSE)</f>
        <v>BE</v>
      </c>
      <c r="G70" s="82" t="s">
        <v>662</v>
      </c>
      <c r="H70" s="15"/>
      <c r="I70" s="7" t="s">
        <v>141</v>
      </c>
      <c r="J70" s="8" t="str">
        <f>VLOOKUP(I70,Customers[#Data],2,FALSE)</f>
        <v>Outlet</v>
      </c>
      <c r="K70" s="15" t="str">
        <f>VLOOKUP(I70,Customers[#Data],4,FALSE)</f>
        <v>Maw La Myaing</v>
      </c>
      <c r="L70" s="15" t="str">
        <f>VLOOKUP(I70,Customers[#Data],5,FALSE)</f>
        <v>Van Sales</v>
      </c>
      <c r="M70" s="7" t="s">
        <v>6</v>
      </c>
      <c r="N70" s="7" t="s">
        <v>527</v>
      </c>
      <c r="O70" s="14" t="str">
        <f>VLOOKUP(N70,Stock[#Data],2,FALSE)</f>
        <v>"ဇေ" ကော်ဘူး (0.35Liter)</v>
      </c>
      <c r="P70" s="44">
        <f>VLOOKUP(N70,Stock[#Data],3,FALSE)</f>
        <v>0.35</v>
      </c>
      <c r="Q70" s="3">
        <f>VLOOKUP(N70,Stock[#Data],4,FALSE)</f>
        <v>40</v>
      </c>
      <c r="R70" s="11"/>
      <c r="S70" s="45">
        <f>IFERROR(Table4[[#This Row],[Bottle]]/Table4[[#This Row],[ပါဝင်မှု]]+Table4[[#This Row],[SalesPK]],0)</f>
        <v>1</v>
      </c>
      <c r="T70" s="12">
        <v>1</v>
      </c>
      <c r="U70" s="10">
        <f>Table4[[#This Row],[ပါဝင်မှု]]*Table4[[#This Row],[SalesPK]]+Table4[[#This Row],[Bottle]]</f>
        <v>40</v>
      </c>
      <c r="V70" s="10">
        <f>Table4[[#This Row],[SalesBot]]*Table4[[#This Row],[ML]]</f>
        <v>14</v>
      </c>
      <c r="W70" s="1">
        <f>VLOOKUP(N70,Stock[#Data],6,FALSE)</f>
        <v>780</v>
      </c>
      <c r="X70" s="8">
        <f>+Table4[[#This Row],[SalesBot]]*Table4[[#This Row],[နှုံး]]</f>
        <v>31200</v>
      </c>
      <c r="Y70" s="12"/>
      <c r="Z70" s="12"/>
      <c r="AA70" s="12"/>
      <c r="AB70" s="9"/>
      <c r="AC70" s="12">
        <v>31200</v>
      </c>
      <c r="AD70" s="9"/>
      <c r="AE70" s="12"/>
      <c r="AF7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70" s="24"/>
      <c r="AH70" s="266">
        <f>Table4[[#This Row],[Date]]</f>
        <v>46027</v>
      </c>
      <c r="AI70" s="264" t="str">
        <f t="shared" si="14"/>
        <v>Jan</v>
      </c>
      <c r="AJ70" s="264" t="str">
        <f t="shared" si="15"/>
        <v>2026</v>
      </c>
      <c r="AK70" s="270" t="str">
        <f>Table4[[#This Row],[ကုန်သည်အမည်]]</f>
        <v>Outlet</v>
      </c>
      <c r="AL70" s="270" t="str">
        <f>Table4[[#This Row],[Township]]</f>
        <v>Maw La Myaing</v>
      </c>
      <c r="AM70" s="271" t="str">
        <f>Table4[[#This Row],[WholeSales]]</f>
        <v>Van Sales</v>
      </c>
      <c r="AN70" s="272" t="str">
        <f>Table4[[#This Row],[Particular]]</f>
        <v>ကုန်ရောင်း(လက်ငင်း)</v>
      </c>
      <c r="AO70" s="273" t="str">
        <f>Table4[[#This Row],[StockName]]</f>
        <v>"ဇေ" ကော်ဘူး (0.35Liter)</v>
      </c>
      <c r="AP70" s="268">
        <f>Table4[[#This Row],[Parking]]</f>
        <v>1</v>
      </c>
      <c r="AQ70" s="268">
        <f>Table4[[#This Row],[SalesBot]]</f>
        <v>40</v>
      </c>
      <c r="AR70" s="268">
        <f>Table4[[#This Row],[Liter]]</f>
        <v>14</v>
      </c>
    </row>
    <row r="71" spans="1:44" s="16" customFormat="1" hidden="1" x14ac:dyDescent="0.5">
      <c r="A71" s="3">
        <f t="shared" si="10"/>
        <v>2026</v>
      </c>
      <c r="B71" s="8">
        <f t="shared" si="11"/>
        <v>1</v>
      </c>
      <c r="C71" s="6">
        <v>46027</v>
      </c>
      <c r="D71" s="15">
        <f t="shared" ca="1" si="12"/>
        <v>46097</v>
      </c>
      <c r="E71" s="15" t="str">
        <f t="shared" ca="1" si="13"/>
        <v>2-Months</v>
      </c>
      <c r="F71" s="8" t="str">
        <f>VLOOKUP(N71,Stock[#Data],5,FALSE)</f>
        <v>Formula</v>
      </c>
      <c r="G71" s="82" t="s">
        <v>662</v>
      </c>
      <c r="H71" s="15"/>
      <c r="I71" s="7" t="s">
        <v>141</v>
      </c>
      <c r="J71" s="8" t="str">
        <f>VLOOKUP(I71,Customers[#Data],2,FALSE)</f>
        <v>Outlet</v>
      </c>
      <c r="K71" s="15" t="str">
        <f>VLOOKUP(I71,Customers[#Data],4,FALSE)</f>
        <v>Maw La Myaing</v>
      </c>
      <c r="L71" s="15" t="str">
        <f>VLOOKUP(I71,Customers[#Data],5,FALSE)</f>
        <v>Van Sales</v>
      </c>
      <c r="M71" s="7" t="s">
        <v>6</v>
      </c>
      <c r="N71" s="7" t="s">
        <v>530</v>
      </c>
      <c r="O71" s="14" t="str">
        <f>VLOOKUP(N71,Stock[#Data],2,FALSE)</f>
        <v>Formula Rum 350ml</v>
      </c>
      <c r="P71" s="44">
        <f>VLOOKUP(N71,Stock[#Data],3,FALSE)</f>
        <v>0.35</v>
      </c>
      <c r="Q71" s="3">
        <f>VLOOKUP(N71,Stock[#Data],4,FALSE)</f>
        <v>24</v>
      </c>
      <c r="R71" s="11">
        <v>13</v>
      </c>
      <c r="S71" s="45">
        <f>IFERROR(Table4[[#This Row],[Bottle]]/Table4[[#This Row],[ပါဝင်မှု]]+Table4[[#This Row],[SalesPK]],0)</f>
        <v>1.5416666666666665</v>
      </c>
      <c r="T71" s="12">
        <v>1</v>
      </c>
      <c r="U71" s="10">
        <f>Table4[[#This Row],[ပါဝင်မှု]]*Table4[[#This Row],[SalesPK]]+Table4[[#This Row],[Bottle]]</f>
        <v>37</v>
      </c>
      <c r="V71" s="10">
        <f>Table4[[#This Row],[SalesBot]]*Table4[[#This Row],[ML]]</f>
        <v>12.95</v>
      </c>
      <c r="W71" s="1">
        <f>VLOOKUP(N71,Stock[#Data],6,FALSE)</f>
        <v>2100</v>
      </c>
      <c r="X71" s="8">
        <f>+Table4[[#This Row],[SalesBot]]*Table4[[#This Row],[နှုံး]]</f>
        <v>77700</v>
      </c>
      <c r="Y71" s="12"/>
      <c r="Z71" s="12"/>
      <c r="AA71" s="12"/>
      <c r="AB71" s="9"/>
      <c r="AC71" s="12">
        <v>77700</v>
      </c>
      <c r="AD71" s="9"/>
      <c r="AE71" s="12"/>
      <c r="AF7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71" s="24"/>
      <c r="AH71" s="266">
        <f>Table4[[#This Row],[Date]]</f>
        <v>46027</v>
      </c>
      <c r="AI71" s="264" t="str">
        <f t="shared" si="14"/>
        <v>Jan</v>
      </c>
      <c r="AJ71" s="264" t="str">
        <f t="shared" si="15"/>
        <v>2026</v>
      </c>
      <c r="AK71" s="270" t="str">
        <f>Table4[[#This Row],[ကုန်သည်အမည်]]</f>
        <v>Outlet</v>
      </c>
      <c r="AL71" s="270" t="str">
        <f>Table4[[#This Row],[Township]]</f>
        <v>Maw La Myaing</v>
      </c>
      <c r="AM71" s="271" t="str">
        <f>Table4[[#This Row],[WholeSales]]</f>
        <v>Van Sales</v>
      </c>
      <c r="AN71" s="272" t="str">
        <f>Table4[[#This Row],[Particular]]</f>
        <v>ကုန်ရောင်း(လက်ငင်း)</v>
      </c>
      <c r="AO71" s="273" t="str">
        <f>Table4[[#This Row],[StockName]]</f>
        <v>Formula Rum 350ml</v>
      </c>
      <c r="AP71" s="268">
        <f>Table4[[#This Row],[Parking]]</f>
        <v>1.5416666666666665</v>
      </c>
      <c r="AQ71" s="268">
        <f>Table4[[#This Row],[SalesBot]]</f>
        <v>37</v>
      </c>
      <c r="AR71" s="268">
        <f>Table4[[#This Row],[Liter]]</f>
        <v>12.95</v>
      </c>
    </row>
    <row r="72" spans="1:44" s="16" customFormat="1" hidden="1" x14ac:dyDescent="0.5">
      <c r="A72" s="3">
        <f t="shared" si="10"/>
        <v>2026</v>
      </c>
      <c r="B72" s="8">
        <f t="shared" si="11"/>
        <v>1</v>
      </c>
      <c r="C72" s="6">
        <v>46027</v>
      </c>
      <c r="D72" s="15">
        <f t="shared" ca="1" si="12"/>
        <v>46097</v>
      </c>
      <c r="E72" s="15" t="str">
        <f t="shared" ca="1" si="13"/>
        <v>2-Months</v>
      </c>
      <c r="F72" s="8" t="str">
        <f>VLOOKUP(N72,Stock[#Data],5,FALSE)</f>
        <v>BE</v>
      </c>
      <c r="G72" s="82" t="s">
        <v>663</v>
      </c>
      <c r="H72" s="15"/>
      <c r="I72" s="7" t="s">
        <v>89</v>
      </c>
      <c r="J72" s="8" t="str">
        <f>VLOOKUP(I72,Customers[#Data],2,FALSE)</f>
        <v>ဝါးအိမ်</v>
      </c>
      <c r="K72" s="15" t="str">
        <f>VLOOKUP(I72,Customers[#Data],4,FALSE)</f>
        <v>Thein Zayet</v>
      </c>
      <c r="L72" s="15" t="str">
        <f>VLOOKUP(I72,Customers[#Data],5,FALSE)</f>
        <v>Mini Whole Sales</v>
      </c>
      <c r="M72" s="7" t="s">
        <v>6</v>
      </c>
      <c r="N72" s="7" t="s">
        <v>514</v>
      </c>
      <c r="O72" s="14" t="str">
        <f>VLOOKUP(N72,Stock[#Data],2,FALSE)</f>
        <v>ဇေယျဝတီ Red</v>
      </c>
      <c r="P72" s="44">
        <f>VLOOKUP(N72,Stock[#Data],3,FALSE)</f>
        <v>0.64</v>
      </c>
      <c r="Q72" s="3">
        <f>VLOOKUP(N72,Stock[#Data],4,FALSE)</f>
        <v>14</v>
      </c>
      <c r="R72" s="11"/>
      <c r="S72" s="45">
        <f>IFERROR(Table4[[#This Row],[Bottle]]/Table4[[#This Row],[ပါဝင်မှု]]+Table4[[#This Row],[SalesPK]],0)</f>
        <v>100</v>
      </c>
      <c r="T72" s="12">
        <v>100</v>
      </c>
      <c r="U72" s="10">
        <f>Table4[[#This Row],[ပါဝင်မှု]]*Table4[[#This Row],[SalesPK]]+Table4[[#This Row],[Bottle]]</f>
        <v>1400</v>
      </c>
      <c r="V72" s="10">
        <f>Table4[[#This Row],[SalesBot]]*Table4[[#This Row],[ML]]</f>
        <v>896</v>
      </c>
      <c r="W72" s="1">
        <f>VLOOKUP(N72,Stock[#Data],6,FALSE)</f>
        <v>1350</v>
      </c>
      <c r="X72" s="8">
        <f>+Table4[[#This Row],[SalesBot]]*Table4[[#This Row],[နှုံး]]</f>
        <v>1890000</v>
      </c>
      <c r="Y72" s="12"/>
      <c r="Z72" s="12"/>
      <c r="AA72" s="12"/>
      <c r="AB72" s="9"/>
      <c r="AC72" s="12">
        <v>1890000</v>
      </c>
      <c r="AD72" s="9"/>
      <c r="AE72" s="12"/>
      <c r="AF7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72" s="24"/>
      <c r="AH72" s="266">
        <f>Table4[[#This Row],[Date]]</f>
        <v>46027</v>
      </c>
      <c r="AI72" s="264" t="str">
        <f t="shared" si="14"/>
        <v>Jan</v>
      </c>
      <c r="AJ72" s="264" t="str">
        <f t="shared" si="15"/>
        <v>2026</v>
      </c>
      <c r="AK72" s="270" t="str">
        <f>Table4[[#This Row],[ကုန်သည်အမည်]]</f>
        <v>ဝါးအိမ်</v>
      </c>
      <c r="AL72" s="270" t="str">
        <f>Table4[[#This Row],[Township]]</f>
        <v>Thein Zayet</v>
      </c>
      <c r="AM72" s="271" t="str">
        <f>Table4[[#This Row],[WholeSales]]</f>
        <v>Mini Whole Sales</v>
      </c>
      <c r="AN72" s="272" t="str">
        <f>Table4[[#This Row],[Particular]]</f>
        <v>ကုန်ရောင်း(လက်ငင်း)</v>
      </c>
      <c r="AO72" s="273" t="str">
        <f>Table4[[#This Row],[StockName]]</f>
        <v>ဇေယျဝတီ Red</v>
      </c>
      <c r="AP72" s="268">
        <f>Table4[[#This Row],[Parking]]</f>
        <v>100</v>
      </c>
      <c r="AQ72" s="268">
        <f>Table4[[#This Row],[SalesBot]]</f>
        <v>1400</v>
      </c>
      <c r="AR72" s="268">
        <f>Table4[[#This Row],[Liter]]</f>
        <v>896</v>
      </c>
    </row>
    <row r="73" spans="1:44" s="16" customFormat="1" hidden="1" x14ac:dyDescent="0.5">
      <c r="A73" s="3">
        <f t="shared" si="10"/>
        <v>2026</v>
      </c>
      <c r="B73" s="8">
        <f t="shared" si="11"/>
        <v>1</v>
      </c>
      <c r="C73" s="6">
        <v>46027</v>
      </c>
      <c r="D73" s="15">
        <f t="shared" ca="1" si="12"/>
        <v>46097</v>
      </c>
      <c r="E73" s="15" t="str">
        <f t="shared" ca="1" si="13"/>
        <v>2-Months</v>
      </c>
      <c r="F73" s="8" t="str">
        <f>VLOOKUP(N73,Stock[#Data],5,FALSE)</f>
        <v>BE</v>
      </c>
      <c r="G73" s="82" t="s">
        <v>663</v>
      </c>
      <c r="H73" s="15"/>
      <c r="I73" s="7" t="s">
        <v>89</v>
      </c>
      <c r="J73" s="8" t="str">
        <f>VLOOKUP(I73,Customers[#Data],2,FALSE)</f>
        <v>ဝါးအိမ်</v>
      </c>
      <c r="K73" s="15" t="str">
        <f>VLOOKUP(I73,Customers[#Data],4,FALSE)</f>
        <v>Thein Zayet</v>
      </c>
      <c r="L73" s="15" t="str">
        <f>VLOOKUP(I73,Customers[#Data],5,FALSE)</f>
        <v>Mini Whole Sales</v>
      </c>
      <c r="M73" s="7" t="s">
        <v>6</v>
      </c>
      <c r="N73" s="7" t="s">
        <v>517</v>
      </c>
      <c r="O73" s="14" t="str">
        <f>VLOOKUP(N73,Stock[#Data],2,FALSE)</f>
        <v>ဇေယျဝတီ Red (1 Liter) 30%</v>
      </c>
      <c r="P73" s="44">
        <f>VLOOKUP(N73,Stock[#Data],3,FALSE)</f>
        <v>1</v>
      </c>
      <c r="Q73" s="3">
        <f>VLOOKUP(N73,Stock[#Data],4,FALSE)</f>
        <v>12</v>
      </c>
      <c r="R73" s="11"/>
      <c r="S73" s="45">
        <f>IFERROR(Table4[[#This Row],[Bottle]]/Table4[[#This Row],[ပါဝင်မှု]]+Table4[[#This Row],[SalesPK]],0)</f>
        <v>125</v>
      </c>
      <c r="T73" s="12">
        <v>125</v>
      </c>
      <c r="U73" s="10">
        <f>Table4[[#This Row],[ပါဝင်မှု]]*Table4[[#This Row],[SalesPK]]+Table4[[#This Row],[Bottle]]</f>
        <v>1500</v>
      </c>
      <c r="V73" s="10">
        <f>Table4[[#This Row],[SalesBot]]*Table4[[#This Row],[ML]]</f>
        <v>1500</v>
      </c>
      <c r="W73" s="1">
        <f>VLOOKUP(N73,Stock[#Data],6,FALSE)</f>
        <v>1710</v>
      </c>
      <c r="X73" s="8">
        <f>+Table4[[#This Row],[SalesBot]]*Table4[[#This Row],[နှုံး]]</f>
        <v>2565000</v>
      </c>
      <c r="Y73" s="12"/>
      <c r="Z73" s="12"/>
      <c r="AA73" s="12"/>
      <c r="AB73" s="9"/>
      <c r="AC73" s="12">
        <v>2565000</v>
      </c>
      <c r="AD73" s="9"/>
      <c r="AE73" s="12"/>
      <c r="AF7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73" s="24"/>
      <c r="AH73" s="266">
        <f>Table4[[#This Row],[Date]]</f>
        <v>46027</v>
      </c>
      <c r="AI73" s="264" t="str">
        <f t="shared" si="14"/>
        <v>Jan</v>
      </c>
      <c r="AJ73" s="264" t="str">
        <f t="shared" si="15"/>
        <v>2026</v>
      </c>
      <c r="AK73" s="270" t="str">
        <f>Table4[[#This Row],[ကုန်သည်အမည်]]</f>
        <v>ဝါးအိမ်</v>
      </c>
      <c r="AL73" s="270" t="str">
        <f>Table4[[#This Row],[Township]]</f>
        <v>Thein Zayet</v>
      </c>
      <c r="AM73" s="271" t="str">
        <f>Table4[[#This Row],[WholeSales]]</f>
        <v>Mini Whole Sales</v>
      </c>
      <c r="AN73" s="272" t="str">
        <f>Table4[[#This Row],[Particular]]</f>
        <v>ကုန်ရောင်း(လက်ငင်း)</v>
      </c>
      <c r="AO73" s="273" t="str">
        <f>Table4[[#This Row],[StockName]]</f>
        <v>ဇေယျဝတီ Red (1 Liter) 30%</v>
      </c>
      <c r="AP73" s="268">
        <f>Table4[[#This Row],[Parking]]</f>
        <v>125</v>
      </c>
      <c r="AQ73" s="268">
        <f>Table4[[#This Row],[SalesBot]]</f>
        <v>1500</v>
      </c>
      <c r="AR73" s="268">
        <f>Table4[[#This Row],[Liter]]</f>
        <v>1500</v>
      </c>
    </row>
    <row r="74" spans="1:44" s="16" customFormat="1" hidden="1" x14ac:dyDescent="0.5">
      <c r="A74" s="3">
        <f t="shared" si="10"/>
        <v>2026</v>
      </c>
      <c r="B74" s="8">
        <f t="shared" si="11"/>
        <v>1</v>
      </c>
      <c r="C74" s="6">
        <v>46028</v>
      </c>
      <c r="D74" s="15">
        <f t="shared" ca="1" si="12"/>
        <v>46097</v>
      </c>
      <c r="E74" s="15" t="str">
        <f t="shared" ca="1" si="13"/>
        <v>2-Months</v>
      </c>
      <c r="F74" s="8" t="str">
        <f>VLOOKUP(N74,Stock[#Data],5,FALSE)</f>
        <v>BE</v>
      </c>
      <c r="G74" s="82" t="s">
        <v>665</v>
      </c>
      <c r="H74" s="15"/>
      <c r="I74" s="7" t="s">
        <v>95</v>
      </c>
      <c r="J74" s="8" t="str">
        <f>VLOOKUP(I74,Customers[#Data],2,FALSE)</f>
        <v>ကျော်စတား</v>
      </c>
      <c r="K74" s="15" t="str">
        <f>VLOOKUP(I74,Customers[#Data],4,FALSE)</f>
        <v>Yay</v>
      </c>
      <c r="L74" s="15" t="str">
        <f>VLOOKUP(I74,Customers[#Data],5,FALSE)</f>
        <v>WholeSales</v>
      </c>
      <c r="M74" s="7" t="s">
        <v>7</v>
      </c>
      <c r="N74" s="7" t="s">
        <v>514</v>
      </c>
      <c r="O74" s="14" t="str">
        <f>VLOOKUP(N74,Stock[#Data],2,FALSE)</f>
        <v>ဇေယျဝတီ Red</v>
      </c>
      <c r="P74" s="44">
        <f>VLOOKUP(N74,Stock[#Data],3,FALSE)</f>
        <v>0.64</v>
      </c>
      <c r="Q74" s="3">
        <f>VLOOKUP(N74,Stock[#Data],4,FALSE)</f>
        <v>14</v>
      </c>
      <c r="R74" s="11"/>
      <c r="S74" s="45">
        <f>IFERROR(Table4[[#This Row],[Bottle]]/Table4[[#This Row],[ပါဝင်မှု]]+Table4[[#This Row],[SalesPK]],0)</f>
        <v>100</v>
      </c>
      <c r="T74" s="12">
        <v>100</v>
      </c>
      <c r="U74" s="10">
        <f>Table4[[#This Row],[ပါဝင်မှု]]*Table4[[#This Row],[SalesPK]]+Table4[[#This Row],[Bottle]]</f>
        <v>1400</v>
      </c>
      <c r="V74" s="10">
        <f>Table4[[#This Row],[SalesBot]]*Table4[[#This Row],[ML]]</f>
        <v>896</v>
      </c>
      <c r="W74" s="1">
        <f>VLOOKUP(N74,Stock[#Data],6,FALSE)</f>
        <v>1350</v>
      </c>
      <c r="X74" s="8">
        <f>+Table4[[#This Row],[SalesBot]]*Table4[[#This Row],[နှုံး]]</f>
        <v>1890000</v>
      </c>
      <c r="Y74" s="12"/>
      <c r="Z74" s="12"/>
      <c r="AA74" s="12"/>
      <c r="AB74" s="9">
        <v>46039</v>
      </c>
      <c r="AC74" s="12">
        <v>1890000</v>
      </c>
      <c r="AD74" s="9"/>
      <c r="AE74" s="12"/>
      <c r="AF7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74" s="24"/>
      <c r="AH74" s="266">
        <f>Table4[[#This Row],[Date]]</f>
        <v>46028</v>
      </c>
      <c r="AI74" s="264" t="str">
        <f t="shared" si="14"/>
        <v>Jan</v>
      </c>
      <c r="AJ74" s="264" t="str">
        <f t="shared" si="15"/>
        <v>2026</v>
      </c>
      <c r="AK74" s="270" t="str">
        <f>Table4[[#This Row],[ကုန်သည်အမည်]]</f>
        <v>ကျော်စတား</v>
      </c>
      <c r="AL74" s="270" t="str">
        <f>Table4[[#This Row],[Township]]</f>
        <v>Yay</v>
      </c>
      <c r="AM74" s="271" t="str">
        <f>Table4[[#This Row],[WholeSales]]</f>
        <v>WholeSales</v>
      </c>
      <c r="AN74" s="272" t="str">
        <f>Table4[[#This Row],[Particular]]</f>
        <v>ကုန်ရောင်း(အကြွေး)</v>
      </c>
      <c r="AO74" s="273" t="str">
        <f>Table4[[#This Row],[StockName]]</f>
        <v>ဇေယျဝတီ Red</v>
      </c>
      <c r="AP74" s="268">
        <f>Table4[[#This Row],[Parking]]</f>
        <v>100</v>
      </c>
      <c r="AQ74" s="268">
        <f>Table4[[#This Row],[SalesBot]]</f>
        <v>1400</v>
      </c>
      <c r="AR74" s="268">
        <f>Table4[[#This Row],[Liter]]</f>
        <v>896</v>
      </c>
    </row>
    <row r="75" spans="1:44" s="16" customFormat="1" hidden="1" x14ac:dyDescent="0.5">
      <c r="A75" s="3">
        <f t="shared" si="10"/>
        <v>2026</v>
      </c>
      <c r="B75" s="8">
        <f t="shared" si="11"/>
        <v>1</v>
      </c>
      <c r="C75" s="6">
        <v>46028</v>
      </c>
      <c r="D75" s="15">
        <f t="shared" ca="1" si="12"/>
        <v>46097</v>
      </c>
      <c r="E75" s="15" t="str">
        <f t="shared" ca="1" si="13"/>
        <v>2-Months</v>
      </c>
      <c r="F75" s="8" t="str">
        <f>VLOOKUP(N75,Stock[#Data],5,FALSE)</f>
        <v>BE</v>
      </c>
      <c r="G75" s="82" t="s">
        <v>666</v>
      </c>
      <c r="H75" s="15"/>
      <c r="I75" s="7" t="s">
        <v>95</v>
      </c>
      <c r="J75" s="8" t="str">
        <f>VLOOKUP(I75,Customers[#Data],2,FALSE)</f>
        <v>ကျော်စတား</v>
      </c>
      <c r="K75" s="15" t="str">
        <f>VLOOKUP(I75,Customers[#Data],4,FALSE)</f>
        <v>Yay</v>
      </c>
      <c r="L75" s="15" t="str">
        <f>VLOOKUP(I75,Customers[#Data],5,FALSE)</f>
        <v>WholeSales</v>
      </c>
      <c r="M75" s="7" t="s">
        <v>7</v>
      </c>
      <c r="N75" s="7" t="s">
        <v>514</v>
      </c>
      <c r="O75" s="14" t="str">
        <f>VLOOKUP(N75,Stock[#Data],2,FALSE)</f>
        <v>ဇေယျဝတီ Red</v>
      </c>
      <c r="P75" s="44">
        <f>VLOOKUP(N75,Stock[#Data],3,FALSE)</f>
        <v>0.64</v>
      </c>
      <c r="Q75" s="3">
        <f>VLOOKUP(N75,Stock[#Data],4,FALSE)</f>
        <v>14</v>
      </c>
      <c r="R75" s="11"/>
      <c r="S75" s="45">
        <f>IFERROR(Table4[[#This Row],[Bottle]]/Table4[[#This Row],[ပါဝင်မှု]]+Table4[[#This Row],[SalesPK]],0)</f>
        <v>100</v>
      </c>
      <c r="T75" s="12">
        <v>100</v>
      </c>
      <c r="U75" s="10">
        <f>Table4[[#This Row],[ပါဝင်မှု]]*Table4[[#This Row],[SalesPK]]+Table4[[#This Row],[Bottle]]</f>
        <v>1400</v>
      </c>
      <c r="V75" s="10">
        <f>Table4[[#This Row],[SalesBot]]*Table4[[#This Row],[ML]]</f>
        <v>896</v>
      </c>
      <c r="W75" s="1">
        <f>VLOOKUP(N75,Stock[#Data],6,FALSE)</f>
        <v>1350</v>
      </c>
      <c r="X75" s="8">
        <f>+Table4[[#This Row],[SalesBot]]*Table4[[#This Row],[နှုံး]]</f>
        <v>1890000</v>
      </c>
      <c r="Y75" s="12"/>
      <c r="Z75" s="12"/>
      <c r="AA75" s="12"/>
      <c r="AB75" s="9">
        <v>46039</v>
      </c>
      <c r="AC75" s="12">
        <v>1890000</v>
      </c>
      <c r="AD75" s="9"/>
      <c r="AE75" s="12"/>
      <c r="AF7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75" s="24"/>
      <c r="AH75" s="266">
        <f>Table4[[#This Row],[Date]]</f>
        <v>46028</v>
      </c>
      <c r="AI75" s="264" t="str">
        <f t="shared" si="14"/>
        <v>Jan</v>
      </c>
      <c r="AJ75" s="264" t="str">
        <f t="shared" si="15"/>
        <v>2026</v>
      </c>
      <c r="AK75" s="270" t="str">
        <f>Table4[[#This Row],[ကုန်သည်အမည်]]</f>
        <v>ကျော်စတား</v>
      </c>
      <c r="AL75" s="270" t="str">
        <f>Table4[[#This Row],[Township]]</f>
        <v>Yay</v>
      </c>
      <c r="AM75" s="271" t="str">
        <f>Table4[[#This Row],[WholeSales]]</f>
        <v>WholeSales</v>
      </c>
      <c r="AN75" s="272" t="str">
        <f>Table4[[#This Row],[Particular]]</f>
        <v>ကုန်ရောင်း(အကြွေး)</v>
      </c>
      <c r="AO75" s="273" t="str">
        <f>Table4[[#This Row],[StockName]]</f>
        <v>ဇေယျဝတီ Red</v>
      </c>
      <c r="AP75" s="268">
        <f>Table4[[#This Row],[Parking]]</f>
        <v>100</v>
      </c>
      <c r="AQ75" s="268">
        <f>Table4[[#This Row],[SalesBot]]</f>
        <v>1400</v>
      </c>
      <c r="AR75" s="268">
        <f>Table4[[#This Row],[Liter]]</f>
        <v>896</v>
      </c>
    </row>
    <row r="76" spans="1:44" s="16" customFormat="1" hidden="1" x14ac:dyDescent="0.5">
      <c r="A76" s="3">
        <f t="shared" si="10"/>
        <v>2026</v>
      </c>
      <c r="B76" s="8">
        <f t="shared" si="11"/>
        <v>1</v>
      </c>
      <c r="C76" s="6">
        <v>46028</v>
      </c>
      <c r="D76" s="15">
        <f t="shared" ca="1" si="12"/>
        <v>46097</v>
      </c>
      <c r="E76" s="15" t="str">
        <f t="shared" ca="1" si="13"/>
        <v>2-Months</v>
      </c>
      <c r="F76" s="8" t="str">
        <f>VLOOKUP(N76,Stock[#Data],5,FALSE)</f>
        <v>BE</v>
      </c>
      <c r="G76" s="82" t="s">
        <v>666</v>
      </c>
      <c r="H76" s="15"/>
      <c r="I76" s="7" t="s">
        <v>95</v>
      </c>
      <c r="J76" s="8" t="str">
        <f>VLOOKUP(I76,Customers[#Data],2,FALSE)</f>
        <v>ကျော်စတား</v>
      </c>
      <c r="K76" s="15" t="str">
        <f>VLOOKUP(I76,Customers[#Data],4,FALSE)</f>
        <v>Yay</v>
      </c>
      <c r="L76" s="15" t="str">
        <f>VLOOKUP(I76,Customers[#Data],5,FALSE)</f>
        <v>WholeSales</v>
      </c>
      <c r="M76" s="7" t="s">
        <v>7</v>
      </c>
      <c r="N76" s="7" t="s">
        <v>517</v>
      </c>
      <c r="O76" s="14" t="str">
        <f>VLOOKUP(N76,Stock[#Data],2,FALSE)</f>
        <v>ဇေယျဝတီ Red (1 Liter) 30%</v>
      </c>
      <c r="P76" s="44">
        <f>VLOOKUP(N76,Stock[#Data],3,FALSE)</f>
        <v>1</v>
      </c>
      <c r="Q76" s="3">
        <f>VLOOKUP(N76,Stock[#Data],4,FALSE)</f>
        <v>12</v>
      </c>
      <c r="R76" s="11"/>
      <c r="S76" s="45">
        <f>IFERROR(Table4[[#This Row],[Bottle]]/Table4[[#This Row],[ပါဝင်မှု]]+Table4[[#This Row],[SalesPK]],0)</f>
        <v>100</v>
      </c>
      <c r="T76" s="12">
        <v>100</v>
      </c>
      <c r="U76" s="10">
        <f>Table4[[#This Row],[ပါဝင်မှု]]*Table4[[#This Row],[SalesPK]]+Table4[[#This Row],[Bottle]]</f>
        <v>1200</v>
      </c>
      <c r="V76" s="10">
        <f>Table4[[#This Row],[SalesBot]]*Table4[[#This Row],[ML]]</f>
        <v>1200</v>
      </c>
      <c r="W76" s="1">
        <f>VLOOKUP(N76,Stock[#Data],6,FALSE)</f>
        <v>1710</v>
      </c>
      <c r="X76" s="8">
        <f>+Table4[[#This Row],[SalesBot]]*Table4[[#This Row],[နှုံး]]</f>
        <v>2052000</v>
      </c>
      <c r="Y76" s="12"/>
      <c r="Z76" s="12"/>
      <c r="AA76" s="12"/>
      <c r="AB76" s="9">
        <v>46039</v>
      </c>
      <c r="AC76" s="12">
        <v>2052000</v>
      </c>
      <c r="AD76" s="9"/>
      <c r="AE76" s="12"/>
      <c r="AF7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76" s="24"/>
      <c r="AH76" s="266">
        <f>Table4[[#This Row],[Date]]</f>
        <v>46028</v>
      </c>
      <c r="AI76" s="264" t="str">
        <f t="shared" si="14"/>
        <v>Jan</v>
      </c>
      <c r="AJ76" s="264" t="str">
        <f t="shared" si="15"/>
        <v>2026</v>
      </c>
      <c r="AK76" s="270" t="str">
        <f>Table4[[#This Row],[ကုန်သည်အမည်]]</f>
        <v>ကျော်စတား</v>
      </c>
      <c r="AL76" s="270" t="str">
        <f>Table4[[#This Row],[Township]]</f>
        <v>Yay</v>
      </c>
      <c r="AM76" s="271" t="str">
        <f>Table4[[#This Row],[WholeSales]]</f>
        <v>WholeSales</v>
      </c>
      <c r="AN76" s="272" t="str">
        <f>Table4[[#This Row],[Particular]]</f>
        <v>ကုန်ရောင်း(အကြွေး)</v>
      </c>
      <c r="AO76" s="273" t="str">
        <f>Table4[[#This Row],[StockName]]</f>
        <v>ဇေယျဝတီ Red (1 Liter) 30%</v>
      </c>
      <c r="AP76" s="268">
        <f>Table4[[#This Row],[Parking]]</f>
        <v>100</v>
      </c>
      <c r="AQ76" s="268">
        <f>Table4[[#This Row],[SalesBot]]</f>
        <v>1200</v>
      </c>
      <c r="AR76" s="268">
        <f>Table4[[#This Row],[Liter]]</f>
        <v>1200</v>
      </c>
    </row>
    <row r="77" spans="1:44" s="16" customFormat="1" hidden="1" x14ac:dyDescent="0.5">
      <c r="A77" s="3">
        <f t="shared" si="10"/>
        <v>2026</v>
      </c>
      <c r="B77" s="8">
        <f t="shared" si="11"/>
        <v>1</v>
      </c>
      <c r="C77" s="6">
        <v>46028</v>
      </c>
      <c r="D77" s="15">
        <f t="shared" ca="1" si="12"/>
        <v>46097</v>
      </c>
      <c r="E77" s="15" t="str">
        <f t="shared" ca="1" si="13"/>
        <v>2-Months</v>
      </c>
      <c r="F77" s="8" t="str">
        <f>VLOOKUP(N77,Stock[#Data],5,FALSE)</f>
        <v>BE</v>
      </c>
      <c r="G77" s="82" t="s">
        <v>667</v>
      </c>
      <c r="H77" s="15"/>
      <c r="I77" s="7" t="s">
        <v>82</v>
      </c>
      <c r="J77" s="8" t="str">
        <f>VLOOKUP(I77,Customers[#Data],2,FALSE)</f>
        <v>ဒေါ်ထွန်းမေ</v>
      </c>
      <c r="K77" s="15" t="str">
        <f>VLOOKUP(I77,Customers[#Data],4,FALSE)</f>
        <v>Maw La Myaing</v>
      </c>
      <c r="L77" s="15" t="str">
        <f>VLOOKUP(I77,Customers[#Data],5,FALSE)</f>
        <v>WholeSales</v>
      </c>
      <c r="M77" s="7" t="s">
        <v>7</v>
      </c>
      <c r="N77" s="7" t="s">
        <v>521</v>
      </c>
      <c r="O77" s="14" t="str">
        <f>VLOOKUP(N77,Stock[#Data],2,FALSE)</f>
        <v>ဒဂုံအရက်သန့်</v>
      </c>
      <c r="P77" s="44">
        <f>VLOOKUP(N77,Stock[#Data],3,FALSE)</f>
        <v>0.64</v>
      </c>
      <c r="Q77" s="3">
        <f>VLOOKUP(N77,Stock[#Data],4,FALSE)</f>
        <v>24</v>
      </c>
      <c r="R77" s="11"/>
      <c r="S77" s="45">
        <f>IFERROR(Table4[[#This Row],[Bottle]]/Table4[[#This Row],[ပါဝင်မှု]]+Table4[[#This Row],[SalesPK]],0)</f>
        <v>60</v>
      </c>
      <c r="T77" s="12">
        <v>60</v>
      </c>
      <c r="U77" s="10">
        <f>Table4[[#This Row],[ပါဝင်မှု]]*Table4[[#This Row],[SalesPK]]+Table4[[#This Row],[Bottle]]</f>
        <v>1440</v>
      </c>
      <c r="V77" s="10">
        <f>Table4[[#This Row],[SalesBot]]*Table4[[#This Row],[ML]]</f>
        <v>921.6</v>
      </c>
      <c r="W77" s="1">
        <f>VLOOKUP(N77,Stock[#Data],6,FALSE)</f>
        <v>1350</v>
      </c>
      <c r="X77" s="8">
        <f>+Table4[[#This Row],[SalesBot]]*Table4[[#This Row],[နှုံး]]</f>
        <v>1944000</v>
      </c>
      <c r="Y77" s="12"/>
      <c r="Z77" s="12"/>
      <c r="AA77" s="12"/>
      <c r="AB77" s="9">
        <v>46039</v>
      </c>
      <c r="AC77" s="12">
        <v>1944000</v>
      </c>
      <c r="AD77" s="9"/>
      <c r="AE77" s="12"/>
      <c r="AF7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77" s="24"/>
      <c r="AH77" s="266">
        <f>Table4[[#This Row],[Date]]</f>
        <v>46028</v>
      </c>
      <c r="AI77" s="264" t="str">
        <f t="shared" si="14"/>
        <v>Jan</v>
      </c>
      <c r="AJ77" s="264" t="str">
        <f t="shared" si="15"/>
        <v>2026</v>
      </c>
      <c r="AK77" s="270" t="str">
        <f>Table4[[#This Row],[ကုန်သည်အမည်]]</f>
        <v>ဒေါ်ထွန်းမေ</v>
      </c>
      <c r="AL77" s="270" t="str">
        <f>Table4[[#This Row],[Township]]</f>
        <v>Maw La Myaing</v>
      </c>
      <c r="AM77" s="271" t="str">
        <f>Table4[[#This Row],[WholeSales]]</f>
        <v>WholeSales</v>
      </c>
      <c r="AN77" s="272" t="str">
        <f>Table4[[#This Row],[Particular]]</f>
        <v>ကုန်ရောင်း(အကြွေး)</v>
      </c>
      <c r="AO77" s="273" t="str">
        <f>Table4[[#This Row],[StockName]]</f>
        <v>ဒဂုံအရက်သန့်</v>
      </c>
      <c r="AP77" s="268">
        <f>Table4[[#This Row],[Parking]]</f>
        <v>60</v>
      </c>
      <c r="AQ77" s="268">
        <f>Table4[[#This Row],[SalesBot]]</f>
        <v>1440</v>
      </c>
      <c r="AR77" s="268">
        <f>Table4[[#This Row],[Liter]]</f>
        <v>921.6</v>
      </c>
    </row>
    <row r="78" spans="1:44" s="16" customFormat="1" hidden="1" x14ac:dyDescent="0.5">
      <c r="A78" s="3">
        <f t="shared" si="10"/>
        <v>2026</v>
      </c>
      <c r="B78" s="8">
        <f t="shared" si="11"/>
        <v>1</v>
      </c>
      <c r="C78" s="6">
        <v>46028</v>
      </c>
      <c r="D78" s="15">
        <f t="shared" ca="1" si="12"/>
        <v>46097</v>
      </c>
      <c r="E78" s="15" t="str">
        <f t="shared" ca="1" si="13"/>
        <v>2-Months</v>
      </c>
      <c r="F78" s="8" t="str">
        <f>VLOOKUP(N78,Stock[#Data],5,FALSE)</f>
        <v>BE</v>
      </c>
      <c r="G78" s="82" t="s">
        <v>668</v>
      </c>
      <c r="H78" s="15"/>
      <c r="I78" s="7" t="s">
        <v>664</v>
      </c>
      <c r="J78" s="8" t="str">
        <f>VLOOKUP(I78,Customers[#Data],2,FALSE)</f>
        <v>ကိုမျိုးအောင်</v>
      </c>
      <c r="K78" s="15" t="str">
        <f>VLOOKUP(I78,Customers[#Data],4,FALSE)</f>
        <v>Maw La Myaing</v>
      </c>
      <c r="L78" s="15" t="str">
        <f>VLOOKUP(I78,Customers[#Data],5,FALSE)</f>
        <v>WholeSales</v>
      </c>
      <c r="M78" s="7" t="s">
        <v>6</v>
      </c>
      <c r="N78" s="7" t="s">
        <v>516</v>
      </c>
      <c r="O78" s="14" t="str">
        <f>VLOOKUP(N78,Stock[#Data],2,FALSE)</f>
        <v>ဇေ Vodka</v>
      </c>
      <c r="P78" s="44">
        <f>VLOOKUP(N78,Stock[#Data],3,FALSE)</f>
        <v>0.64</v>
      </c>
      <c r="Q78" s="3">
        <f>VLOOKUP(N78,Stock[#Data],4,FALSE)</f>
        <v>14</v>
      </c>
      <c r="R78" s="11"/>
      <c r="S78" s="45">
        <f>IFERROR(Table4[[#This Row],[Bottle]]/Table4[[#This Row],[ပါဝင်မှု]]+Table4[[#This Row],[SalesPK]],0)</f>
        <v>20</v>
      </c>
      <c r="T78" s="12">
        <v>20</v>
      </c>
      <c r="U78" s="10">
        <f>Table4[[#This Row],[ပါဝင်မှု]]*Table4[[#This Row],[SalesPK]]+Table4[[#This Row],[Bottle]]</f>
        <v>280</v>
      </c>
      <c r="V78" s="10">
        <f>Table4[[#This Row],[SalesBot]]*Table4[[#This Row],[ML]]</f>
        <v>179.20000000000002</v>
      </c>
      <c r="W78" s="1">
        <f>VLOOKUP(N78,Stock[#Data],6,FALSE)</f>
        <v>1400</v>
      </c>
      <c r="X78" s="8">
        <f>+Table4[[#This Row],[SalesBot]]*Table4[[#This Row],[နှုံး]]</f>
        <v>392000</v>
      </c>
      <c r="Y78" s="12"/>
      <c r="Z78" s="12"/>
      <c r="AA78" s="12"/>
      <c r="AB78" s="9"/>
      <c r="AC78" s="12">
        <v>392000</v>
      </c>
      <c r="AD78" s="9"/>
      <c r="AE78" s="12"/>
      <c r="AF7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78" s="24"/>
      <c r="AH78" s="266">
        <f>Table4[[#This Row],[Date]]</f>
        <v>46028</v>
      </c>
      <c r="AI78" s="264" t="str">
        <f t="shared" si="14"/>
        <v>Jan</v>
      </c>
      <c r="AJ78" s="264" t="str">
        <f t="shared" si="15"/>
        <v>2026</v>
      </c>
      <c r="AK78" s="270" t="str">
        <f>Table4[[#This Row],[ကုန်သည်အမည်]]</f>
        <v>ကိုမျိုးအောင်</v>
      </c>
      <c r="AL78" s="270" t="str">
        <f>Table4[[#This Row],[Township]]</f>
        <v>Maw La Myaing</v>
      </c>
      <c r="AM78" s="271" t="str">
        <f>Table4[[#This Row],[WholeSales]]</f>
        <v>WholeSales</v>
      </c>
      <c r="AN78" s="272" t="str">
        <f>Table4[[#This Row],[Particular]]</f>
        <v>ကုန်ရောင်း(လက်ငင်း)</v>
      </c>
      <c r="AO78" s="273" t="str">
        <f>Table4[[#This Row],[StockName]]</f>
        <v>ဇေ Vodka</v>
      </c>
      <c r="AP78" s="268">
        <f>Table4[[#This Row],[Parking]]</f>
        <v>20</v>
      </c>
      <c r="AQ78" s="268">
        <f>Table4[[#This Row],[SalesBot]]</f>
        <v>280</v>
      </c>
      <c r="AR78" s="268">
        <f>Table4[[#This Row],[Liter]]</f>
        <v>179.20000000000002</v>
      </c>
    </row>
    <row r="79" spans="1:44" s="16" customFormat="1" hidden="1" x14ac:dyDescent="0.5">
      <c r="A79" s="3">
        <f t="shared" si="10"/>
        <v>2026</v>
      </c>
      <c r="B79" s="8">
        <f t="shared" si="11"/>
        <v>1</v>
      </c>
      <c r="C79" s="6">
        <v>46028</v>
      </c>
      <c r="D79" s="15">
        <f t="shared" ca="1" si="12"/>
        <v>46097</v>
      </c>
      <c r="E79" s="15" t="str">
        <f t="shared" ca="1" si="13"/>
        <v>2-Months</v>
      </c>
      <c r="F79" s="8" t="str">
        <f>VLOOKUP(N79,Stock[#Data],5,FALSE)</f>
        <v>BE</v>
      </c>
      <c r="G79" s="82" t="s">
        <v>668</v>
      </c>
      <c r="H79" s="15"/>
      <c r="I79" s="7" t="s">
        <v>664</v>
      </c>
      <c r="J79" s="8" t="str">
        <f>VLOOKUP(I79,Customers[#Data],2,FALSE)</f>
        <v>ကိုမျိုးအောင်</v>
      </c>
      <c r="K79" s="15" t="str">
        <f>VLOOKUP(I79,Customers[#Data],4,FALSE)</f>
        <v>Maw La Myaing</v>
      </c>
      <c r="L79" s="15" t="str">
        <f>VLOOKUP(I79,Customers[#Data],5,FALSE)</f>
        <v>WholeSales</v>
      </c>
      <c r="M79" s="7" t="s">
        <v>6</v>
      </c>
      <c r="N79" s="7" t="s">
        <v>519</v>
      </c>
      <c r="O79" s="14" t="str">
        <f>VLOOKUP(N79,Stock[#Data],2,FALSE)</f>
        <v>ဇေယျဝတီ High 43%</v>
      </c>
      <c r="P79" s="44">
        <f>VLOOKUP(N79,Stock[#Data],3,FALSE)</f>
        <v>0.64</v>
      </c>
      <c r="Q79" s="3">
        <f>VLOOKUP(N79,Stock[#Data],4,FALSE)</f>
        <v>14</v>
      </c>
      <c r="R79" s="11"/>
      <c r="S79" s="45">
        <f>IFERROR(Table4[[#This Row],[Bottle]]/Table4[[#This Row],[ပါဝင်မှု]]+Table4[[#This Row],[SalesPK]],0)</f>
        <v>20</v>
      </c>
      <c r="T79" s="12">
        <v>20</v>
      </c>
      <c r="U79" s="10">
        <f>Table4[[#This Row],[ပါဝင်မှု]]*Table4[[#This Row],[SalesPK]]+Table4[[#This Row],[Bottle]]</f>
        <v>280</v>
      </c>
      <c r="V79" s="10">
        <f>Table4[[#This Row],[SalesBot]]*Table4[[#This Row],[ML]]</f>
        <v>179.20000000000002</v>
      </c>
      <c r="W79" s="1">
        <f>VLOOKUP(N79,Stock[#Data],6,FALSE)</f>
        <v>1500</v>
      </c>
      <c r="X79" s="8">
        <f>+Table4[[#This Row],[SalesBot]]*Table4[[#This Row],[နှုံး]]</f>
        <v>420000</v>
      </c>
      <c r="Y79" s="12"/>
      <c r="Z79" s="12"/>
      <c r="AA79" s="12"/>
      <c r="AB79" s="9"/>
      <c r="AC79" s="12">
        <v>420000</v>
      </c>
      <c r="AD79" s="9"/>
      <c r="AE79" s="12"/>
      <c r="AF7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79" s="24"/>
      <c r="AH79" s="266">
        <f>Table4[[#This Row],[Date]]</f>
        <v>46028</v>
      </c>
      <c r="AI79" s="264" t="str">
        <f t="shared" si="14"/>
        <v>Jan</v>
      </c>
      <c r="AJ79" s="264" t="str">
        <f t="shared" si="15"/>
        <v>2026</v>
      </c>
      <c r="AK79" s="270" t="str">
        <f>Table4[[#This Row],[ကုန်သည်အမည်]]</f>
        <v>ကိုမျိုးအောင်</v>
      </c>
      <c r="AL79" s="270" t="str">
        <f>Table4[[#This Row],[Township]]</f>
        <v>Maw La Myaing</v>
      </c>
      <c r="AM79" s="271" t="str">
        <f>Table4[[#This Row],[WholeSales]]</f>
        <v>WholeSales</v>
      </c>
      <c r="AN79" s="272" t="str">
        <f>Table4[[#This Row],[Particular]]</f>
        <v>ကုန်ရောင်း(လက်ငင်း)</v>
      </c>
      <c r="AO79" s="273" t="str">
        <f>Table4[[#This Row],[StockName]]</f>
        <v>ဇေယျဝတီ High 43%</v>
      </c>
      <c r="AP79" s="268">
        <f>Table4[[#This Row],[Parking]]</f>
        <v>20</v>
      </c>
      <c r="AQ79" s="268">
        <f>Table4[[#This Row],[SalesBot]]</f>
        <v>280</v>
      </c>
      <c r="AR79" s="268">
        <f>Table4[[#This Row],[Liter]]</f>
        <v>179.20000000000002</v>
      </c>
    </row>
    <row r="80" spans="1:44" s="16" customFormat="1" hidden="1" x14ac:dyDescent="0.5">
      <c r="A80" s="3">
        <f t="shared" si="10"/>
        <v>2026</v>
      </c>
      <c r="B80" s="8">
        <f t="shared" si="11"/>
        <v>1</v>
      </c>
      <c r="C80" s="6">
        <v>46028</v>
      </c>
      <c r="D80" s="15">
        <f t="shared" ca="1" si="12"/>
        <v>46097</v>
      </c>
      <c r="E80" s="15" t="str">
        <f t="shared" ca="1" si="13"/>
        <v>2-Months</v>
      </c>
      <c r="F80" s="8" t="str">
        <f>VLOOKUP(N80,Stock[#Data],5,FALSE)</f>
        <v>BE</v>
      </c>
      <c r="G80" s="82" t="s">
        <v>669</v>
      </c>
      <c r="H80" s="15"/>
      <c r="I80" s="7" t="s">
        <v>82</v>
      </c>
      <c r="J80" s="8" t="str">
        <f>VLOOKUP(I80,Customers[#Data],2,FALSE)</f>
        <v>ဒေါ်ထွန်းမေ</v>
      </c>
      <c r="K80" s="15" t="str">
        <f>VLOOKUP(I80,Customers[#Data],4,FALSE)</f>
        <v>Maw La Myaing</v>
      </c>
      <c r="L80" s="15" t="str">
        <f>VLOOKUP(I80,Customers[#Data],5,FALSE)</f>
        <v>WholeSales</v>
      </c>
      <c r="M80" s="7" t="s">
        <v>6</v>
      </c>
      <c r="N80" s="7" t="s">
        <v>514</v>
      </c>
      <c r="O80" s="14" t="str">
        <f>VLOOKUP(N80,Stock[#Data],2,FALSE)</f>
        <v>ဇေယျဝတီ Red</v>
      </c>
      <c r="P80" s="44">
        <f>VLOOKUP(N80,Stock[#Data],3,FALSE)</f>
        <v>0.64</v>
      </c>
      <c r="Q80" s="3">
        <f>VLOOKUP(N80,Stock[#Data],4,FALSE)</f>
        <v>14</v>
      </c>
      <c r="R80" s="11"/>
      <c r="S80" s="45">
        <f>IFERROR(Table4[[#This Row],[Bottle]]/Table4[[#This Row],[ပါဝင်မှု]]+Table4[[#This Row],[SalesPK]],0)</f>
        <v>50</v>
      </c>
      <c r="T80" s="12">
        <v>50</v>
      </c>
      <c r="U80" s="10">
        <f>Table4[[#This Row],[ပါဝင်မှု]]*Table4[[#This Row],[SalesPK]]+Table4[[#This Row],[Bottle]]</f>
        <v>700</v>
      </c>
      <c r="V80" s="10">
        <f>Table4[[#This Row],[SalesBot]]*Table4[[#This Row],[ML]]</f>
        <v>448</v>
      </c>
      <c r="W80" s="1">
        <f>VLOOKUP(N80,Stock[#Data],6,FALSE)</f>
        <v>1350</v>
      </c>
      <c r="X80" s="8">
        <f>+Table4[[#This Row],[SalesBot]]*Table4[[#This Row],[နှုံး]]</f>
        <v>945000</v>
      </c>
      <c r="Y80" s="12"/>
      <c r="Z80" s="12"/>
      <c r="AA80" s="12"/>
      <c r="AB80" s="9"/>
      <c r="AC80" s="12">
        <v>945000</v>
      </c>
      <c r="AD80" s="9"/>
      <c r="AE80" s="12"/>
      <c r="AF8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80" s="24"/>
      <c r="AH80" s="266">
        <f>Table4[[#This Row],[Date]]</f>
        <v>46028</v>
      </c>
      <c r="AI80" s="264" t="str">
        <f t="shared" si="14"/>
        <v>Jan</v>
      </c>
      <c r="AJ80" s="264" t="str">
        <f t="shared" si="15"/>
        <v>2026</v>
      </c>
      <c r="AK80" s="270" t="str">
        <f>Table4[[#This Row],[ကုန်သည်အမည်]]</f>
        <v>ဒေါ်ထွန်းမေ</v>
      </c>
      <c r="AL80" s="270" t="str">
        <f>Table4[[#This Row],[Township]]</f>
        <v>Maw La Myaing</v>
      </c>
      <c r="AM80" s="271" t="str">
        <f>Table4[[#This Row],[WholeSales]]</f>
        <v>WholeSales</v>
      </c>
      <c r="AN80" s="272" t="str">
        <f>Table4[[#This Row],[Particular]]</f>
        <v>ကုန်ရောင်း(လက်ငင်း)</v>
      </c>
      <c r="AO80" s="273" t="str">
        <f>Table4[[#This Row],[StockName]]</f>
        <v>ဇေယျဝတီ Red</v>
      </c>
      <c r="AP80" s="268">
        <f>Table4[[#This Row],[Parking]]</f>
        <v>50</v>
      </c>
      <c r="AQ80" s="268">
        <f>Table4[[#This Row],[SalesBot]]</f>
        <v>700</v>
      </c>
      <c r="AR80" s="268">
        <f>Table4[[#This Row],[Liter]]</f>
        <v>448</v>
      </c>
    </row>
    <row r="81" spans="1:44" s="16" customFormat="1" hidden="1" x14ac:dyDescent="0.5">
      <c r="A81" s="3">
        <f t="shared" si="10"/>
        <v>2026</v>
      </c>
      <c r="B81" s="8">
        <f t="shared" si="11"/>
        <v>1</v>
      </c>
      <c r="C81" s="6">
        <v>46028</v>
      </c>
      <c r="D81" s="15">
        <f t="shared" ca="1" si="12"/>
        <v>46097</v>
      </c>
      <c r="E81" s="15" t="str">
        <f t="shared" ca="1" si="13"/>
        <v>2-Months</v>
      </c>
      <c r="F81" s="8" t="str">
        <f>VLOOKUP(N81,Stock[#Data],5,FALSE)</f>
        <v>BE</v>
      </c>
      <c r="G81" s="82" t="s">
        <v>670</v>
      </c>
      <c r="H81" s="15"/>
      <c r="I81" s="7" t="s">
        <v>664</v>
      </c>
      <c r="J81" s="8" t="str">
        <f>VLOOKUP(I81,Customers[#Data],2,FALSE)</f>
        <v>ကိုမျိုးအောင်</v>
      </c>
      <c r="K81" s="15" t="str">
        <f>VLOOKUP(I81,Customers[#Data],4,FALSE)</f>
        <v>Maw La Myaing</v>
      </c>
      <c r="L81" s="15" t="str">
        <f>VLOOKUP(I81,Customers[#Data],5,FALSE)</f>
        <v>WholeSales</v>
      </c>
      <c r="M81" s="7" t="s">
        <v>6</v>
      </c>
      <c r="N81" s="7" t="s">
        <v>517</v>
      </c>
      <c r="O81" s="14" t="str">
        <f>VLOOKUP(N81,Stock[#Data],2,FALSE)</f>
        <v>ဇေယျဝတီ Red (1 Liter) 30%</v>
      </c>
      <c r="P81" s="44">
        <f>VLOOKUP(N81,Stock[#Data],3,FALSE)</f>
        <v>1</v>
      </c>
      <c r="Q81" s="3">
        <f>VLOOKUP(N81,Stock[#Data],4,FALSE)</f>
        <v>12</v>
      </c>
      <c r="R81" s="11"/>
      <c r="S81" s="45">
        <f>IFERROR(Table4[[#This Row],[Bottle]]/Table4[[#This Row],[ပါဝင်မှု]]+Table4[[#This Row],[SalesPK]],0)</f>
        <v>20</v>
      </c>
      <c r="T81" s="12">
        <v>20</v>
      </c>
      <c r="U81" s="10">
        <f>Table4[[#This Row],[ပါဝင်မှု]]*Table4[[#This Row],[SalesPK]]+Table4[[#This Row],[Bottle]]</f>
        <v>240</v>
      </c>
      <c r="V81" s="10">
        <f>Table4[[#This Row],[SalesBot]]*Table4[[#This Row],[ML]]</f>
        <v>240</v>
      </c>
      <c r="W81" s="1">
        <f>VLOOKUP(N81,Stock[#Data],6,FALSE)</f>
        <v>1710</v>
      </c>
      <c r="X81" s="8">
        <f>+Table4[[#This Row],[SalesBot]]*Table4[[#This Row],[နှုံး]]</f>
        <v>410400</v>
      </c>
      <c r="Y81" s="12"/>
      <c r="Z81" s="12"/>
      <c r="AA81" s="12"/>
      <c r="AB81" s="9"/>
      <c r="AC81" s="12">
        <v>410400</v>
      </c>
      <c r="AD81" s="9"/>
      <c r="AE81" s="12"/>
      <c r="AF8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81" s="24"/>
      <c r="AH81" s="266">
        <f>Table4[[#This Row],[Date]]</f>
        <v>46028</v>
      </c>
      <c r="AI81" s="264" t="str">
        <f t="shared" si="14"/>
        <v>Jan</v>
      </c>
      <c r="AJ81" s="264" t="str">
        <f t="shared" si="15"/>
        <v>2026</v>
      </c>
      <c r="AK81" s="270" t="str">
        <f>Table4[[#This Row],[ကုန်သည်အမည်]]</f>
        <v>ကိုမျိုးအောင်</v>
      </c>
      <c r="AL81" s="270" t="str">
        <f>Table4[[#This Row],[Township]]</f>
        <v>Maw La Myaing</v>
      </c>
      <c r="AM81" s="271" t="str">
        <f>Table4[[#This Row],[WholeSales]]</f>
        <v>WholeSales</v>
      </c>
      <c r="AN81" s="272" t="str">
        <f>Table4[[#This Row],[Particular]]</f>
        <v>ကုန်ရောင်း(လက်ငင်း)</v>
      </c>
      <c r="AO81" s="273" t="str">
        <f>Table4[[#This Row],[StockName]]</f>
        <v>ဇေယျဝတီ Red (1 Liter) 30%</v>
      </c>
      <c r="AP81" s="268">
        <f>Table4[[#This Row],[Parking]]</f>
        <v>20</v>
      </c>
      <c r="AQ81" s="268">
        <f>Table4[[#This Row],[SalesBot]]</f>
        <v>240</v>
      </c>
      <c r="AR81" s="268">
        <f>Table4[[#This Row],[Liter]]</f>
        <v>240</v>
      </c>
    </row>
    <row r="82" spans="1:44" s="16" customFormat="1" hidden="1" x14ac:dyDescent="0.5">
      <c r="A82" s="3">
        <f t="shared" si="10"/>
        <v>2026</v>
      </c>
      <c r="B82" s="8">
        <f t="shared" si="11"/>
        <v>1</v>
      </c>
      <c r="C82" s="6">
        <v>46028</v>
      </c>
      <c r="D82" s="15">
        <f t="shared" ca="1" si="12"/>
        <v>46097</v>
      </c>
      <c r="E82" s="15" t="str">
        <f t="shared" ca="1" si="13"/>
        <v>2-Months</v>
      </c>
      <c r="F82" s="8" t="str">
        <f>VLOOKUP(N82,Stock[#Data],5,FALSE)</f>
        <v>BE</v>
      </c>
      <c r="G82" s="82" t="s">
        <v>671</v>
      </c>
      <c r="H82" s="15"/>
      <c r="I82" s="7" t="s">
        <v>535</v>
      </c>
      <c r="J82" s="8" t="str">
        <f>VLOOKUP(I82,Customers[#Data],2,FALSE)</f>
        <v>ကိုရဲ</v>
      </c>
      <c r="K82" s="15" t="str">
        <f>VLOOKUP(I82,Customers[#Data],4,FALSE)</f>
        <v>Yay</v>
      </c>
      <c r="L82" s="15" t="str">
        <f>VLOOKUP(I82,Customers[#Data],5,FALSE)</f>
        <v>Van Sales</v>
      </c>
      <c r="M82" s="7" t="s">
        <v>6</v>
      </c>
      <c r="N82" s="7" t="s">
        <v>517</v>
      </c>
      <c r="O82" s="14" t="str">
        <f>VLOOKUP(N82,Stock[#Data],2,FALSE)</f>
        <v>ဇေယျဝတီ Red (1 Liter) 30%</v>
      </c>
      <c r="P82" s="44">
        <f>VLOOKUP(N82,Stock[#Data],3,FALSE)</f>
        <v>1</v>
      </c>
      <c r="Q82" s="3">
        <f>VLOOKUP(N82,Stock[#Data],4,FALSE)</f>
        <v>12</v>
      </c>
      <c r="R82" s="11"/>
      <c r="S82" s="45">
        <f>IFERROR(Table4[[#This Row],[Bottle]]/Table4[[#This Row],[ပါဝင်မှု]]+Table4[[#This Row],[SalesPK]],0)</f>
        <v>50</v>
      </c>
      <c r="T82" s="12">
        <v>50</v>
      </c>
      <c r="U82" s="10">
        <f>Table4[[#This Row],[ပါဝင်မှု]]*Table4[[#This Row],[SalesPK]]+Table4[[#This Row],[Bottle]]</f>
        <v>600</v>
      </c>
      <c r="V82" s="10">
        <f>Table4[[#This Row],[SalesBot]]*Table4[[#This Row],[ML]]</f>
        <v>600</v>
      </c>
      <c r="W82" s="1">
        <f>VLOOKUP(N82,Stock[#Data],6,FALSE)</f>
        <v>1710</v>
      </c>
      <c r="X82" s="8">
        <f>+Table4[[#This Row],[SalesBot]]*Table4[[#This Row],[နှုံး]]</f>
        <v>1026000</v>
      </c>
      <c r="Y82" s="12"/>
      <c r="Z82" s="12"/>
      <c r="AA82" s="12"/>
      <c r="AB82" s="9"/>
      <c r="AC82" s="12">
        <v>1026000</v>
      </c>
      <c r="AD82" s="9"/>
      <c r="AE82" s="12"/>
      <c r="AF8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82" s="24"/>
      <c r="AH82" s="266">
        <f>Table4[[#This Row],[Date]]</f>
        <v>46028</v>
      </c>
      <c r="AI82" s="264" t="str">
        <f t="shared" si="14"/>
        <v>Jan</v>
      </c>
      <c r="AJ82" s="264" t="str">
        <f t="shared" si="15"/>
        <v>2026</v>
      </c>
      <c r="AK82" s="270" t="str">
        <f>Table4[[#This Row],[ကုန်သည်အမည်]]</f>
        <v>ကိုရဲ</v>
      </c>
      <c r="AL82" s="270" t="str">
        <f>Table4[[#This Row],[Township]]</f>
        <v>Yay</v>
      </c>
      <c r="AM82" s="271" t="str">
        <f>Table4[[#This Row],[WholeSales]]</f>
        <v>Van Sales</v>
      </c>
      <c r="AN82" s="272" t="str">
        <f>Table4[[#This Row],[Particular]]</f>
        <v>ကုန်ရောင်း(လက်ငင်း)</v>
      </c>
      <c r="AO82" s="273" t="str">
        <f>Table4[[#This Row],[StockName]]</f>
        <v>ဇေယျဝတီ Red (1 Liter) 30%</v>
      </c>
      <c r="AP82" s="268">
        <f>Table4[[#This Row],[Parking]]</f>
        <v>50</v>
      </c>
      <c r="AQ82" s="268">
        <f>Table4[[#This Row],[SalesBot]]</f>
        <v>600</v>
      </c>
      <c r="AR82" s="268">
        <f>Table4[[#This Row],[Liter]]</f>
        <v>600</v>
      </c>
    </row>
    <row r="83" spans="1:44" s="16" customFormat="1" hidden="1" x14ac:dyDescent="0.5">
      <c r="A83" s="3">
        <f t="shared" si="10"/>
        <v>2026</v>
      </c>
      <c r="B83" s="8">
        <f t="shared" si="11"/>
        <v>1</v>
      </c>
      <c r="C83" s="6">
        <v>46028</v>
      </c>
      <c r="D83" s="15">
        <f t="shared" ca="1" si="12"/>
        <v>46097</v>
      </c>
      <c r="E83" s="15" t="str">
        <f t="shared" ca="1" si="13"/>
        <v>2-Months</v>
      </c>
      <c r="F83" s="8" t="str">
        <f>VLOOKUP(N83,Stock[#Data],5,FALSE)</f>
        <v>BE</v>
      </c>
      <c r="G83" s="82" t="s">
        <v>672</v>
      </c>
      <c r="H83" s="15"/>
      <c r="I83" s="7" t="s">
        <v>539</v>
      </c>
      <c r="J83" s="8" t="str">
        <f>VLOOKUP(I83,Customers[#Data],2,FALSE)</f>
        <v>၀င်းအောင်ရွှေ</v>
      </c>
      <c r="K83" s="15" t="str">
        <f>VLOOKUP(I83,Customers[#Data],4,FALSE)</f>
        <v>Hpa-an</v>
      </c>
      <c r="L83" s="15" t="str">
        <f>VLOOKUP(I83,Customers[#Data],5,FALSE)</f>
        <v>SemiWholeSales</v>
      </c>
      <c r="M83" s="7" t="s">
        <v>6</v>
      </c>
      <c r="N83" s="7" t="s">
        <v>517</v>
      </c>
      <c r="O83" s="14" t="str">
        <f>VLOOKUP(N83,Stock[#Data],2,FALSE)</f>
        <v>ဇေယျဝတီ Red (1 Liter) 30%</v>
      </c>
      <c r="P83" s="44">
        <f>VLOOKUP(N83,Stock[#Data],3,FALSE)</f>
        <v>1</v>
      </c>
      <c r="Q83" s="3">
        <f>VLOOKUP(N83,Stock[#Data],4,FALSE)</f>
        <v>12</v>
      </c>
      <c r="R83" s="11"/>
      <c r="S83" s="45">
        <f>IFERROR(Table4[[#This Row],[Bottle]]/Table4[[#This Row],[ပါဝင်မှု]]+Table4[[#This Row],[SalesPK]],0)</f>
        <v>50</v>
      </c>
      <c r="T83" s="12">
        <v>50</v>
      </c>
      <c r="U83" s="10">
        <f>Table4[[#This Row],[ပါဝင်မှု]]*Table4[[#This Row],[SalesPK]]+Table4[[#This Row],[Bottle]]</f>
        <v>600</v>
      </c>
      <c r="V83" s="10">
        <f>Table4[[#This Row],[SalesBot]]*Table4[[#This Row],[ML]]</f>
        <v>600</v>
      </c>
      <c r="W83" s="1">
        <f>VLOOKUP(N83,Stock[#Data],6,FALSE)</f>
        <v>1710</v>
      </c>
      <c r="X83" s="8">
        <f>+Table4[[#This Row],[SalesBot]]*Table4[[#This Row],[နှုံး]]</f>
        <v>1026000</v>
      </c>
      <c r="Y83" s="12"/>
      <c r="Z83" s="12"/>
      <c r="AA83" s="12"/>
      <c r="AB83" s="9"/>
      <c r="AC83" s="12">
        <v>1026000</v>
      </c>
      <c r="AD83" s="9"/>
      <c r="AE83" s="12"/>
      <c r="AF8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83" s="24"/>
      <c r="AH83" s="266">
        <f>Table4[[#This Row],[Date]]</f>
        <v>46028</v>
      </c>
      <c r="AI83" s="264" t="str">
        <f t="shared" si="14"/>
        <v>Jan</v>
      </c>
      <c r="AJ83" s="264" t="str">
        <f t="shared" si="15"/>
        <v>2026</v>
      </c>
      <c r="AK83" s="270" t="str">
        <f>Table4[[#This Row],[ကုန်သည်အမည်]]</f>
        <v>၀င်းအောင်ရွှေ</v>
      </c>
      <c r="AL83" s="270" t="str">
        <f>Table4[[#This Row],[Township]]</f>
        <v>Hpa-an</v>
      </c>
      <c r="AM83" s="271" t="str">
        <f>Table4[[#This Row],[WholeSales]]</f>
        <v>SemiWholeSales</v>
      </c>
      <c r="AN83" s="272" t="str">
        <f>Table4[[#This Row],[Particular]]</f>
        <v>ကုန်ရောင်း(လက်ငင်း)</v>
      </c>
      <c r="AO83" s="273" t="str">
        <f>Table4[[#This Row],[StockName]]</f>
        <v>ဇေယျဝတီ Red (1 Liter) 30%</v>
      </c>
      <c r="AP83" s="268">
        <f>Table4[[#This Row],[Parking]]</f>
        <v>50</v>
      </c>
      <c r="AQ83" s="268">
        <f>Table4[[#This Row],[SalesBot]]</f>
        <v>600</v>
      </c>
      <c r="AR83" s="268">
        <f>Table4[[#This Row],[Liter]]</f>
        <v>600</v>
      </c>
    </row>
    <row r="84" spans="1:44" s="16" customFormat="1" hidden="1" x14ac:dyDescent="0.5">
      <c r="A84" s="3">
        <f t="shared" si="10"/>
        <v>2026</v>
      </c>
      <c r="B84" s="8">
        <f t="shared" si="11"/>
        <v>1</v>
      </c>
      <c r="C84" s="6">
        <v>46028</v>
      </c>
      <c r="D84" s="15">
        <f t="shared" ca="1" si="12"/>
        <v>46097</v>
      </c>
      <c r="E84" s="15" t="str">
        <f t="shared" ca="1" si="13"/>
        <v>2-Months</v>
      </c>
      <c r="F84" s="8" t="str">
        <f>VLOOKUP(N84,Stock[#Data],5,FALSE)</f>
        <v>BE</v>
      </c>
      <c r="G84" s="82" t="s">
        <v>673</v>
      </c>
      <c r="H84" s="15"/>
      <c r="I84" s="7" t="s">
        <v>548</v>
      </c>
      <c r="J84" s="8" t="str">
        <f>VLOOKUP(I84,Customers[#Data],2,FALSE)</f>
        <v>ဦးလှ၀င်း</v>
      </c>
      <c r="K84" s="15" t="str">
        <f>VLOOKUP(I84,Customers[#Data],4,FALSE)</f>
        <v>Hpa-an</v>
      </c>
      <c r="L84" s="15" t="str">
        <f>VLOOKUP(I84,Customers[#Data],5,FALSE)</f>
        <v>Mini Whole Sales</v>
      </c>
      <c r="M84" s="7" t="s">
        <v>6</v>
      </c>
      <c r="N84" s="7" t="s">
        <v>518</v>
      </c>
      <c r="O84" s="14" t="str">
        <f>VLOOKUP(N84,Stock[#Data],2,FALSE)</f>
        <v>"ဇေ" ကော်ဘူး (1 Liter)</v>
      </c>
      <c r="P84" s="44">
        <f>VLOOKUP(N84,Stock[#Data],3,FALSE)</f>
        <v>1</v>
      </c>
      <c r="Q84" s="3">
        <f>VLOOKUP(N84,Stock[#Data],4,FALSE)</f>
        <v>12</v>
      </c>
      <c r="R84" s="11"/>
      <c r="S84" s="45">
        <f>IFERROR(Table4[[#This Row],[Bottle]]/Table4[[#This Row],[ပါဝင်မှု]]+Table4[[#This Row],[SalesPK]],0)</f>
        <v>30</v>
      </c>
      <c r="T84" s="12">
        <v>30</v>
      </c>
      <c r="U84" s="10">
        <f>Table4[[#This Row],[ပါဝင်မှု]]*Table4[[#This Row],[SalesPK]]+Table4[[#This Row],[Bottle]]</f>
        <v>360</v>
      </c>
      <c r="V84" s="10">
        <f>Table4[[#This Row],[SalesBot]]*Table4[[#This Row],[ML]]</f>
        <v>360</v>
      </c>
      <c r="W84" s="1">
        <f>VLOOKUP(N84,Stock[#Data],6,FALSE)</f>
        <v>1675</v>
      </c>
      <c r="X84" s="8">
        <f>+Table4[[#This Row],[SalesBot]]*Table4[[#This Row],[နှုံး]]</f>
        <v>603000</v>
      </c>
      <c r="Y84" s="12"/>
      <c r="Z84" s="12"/>
      <c r="AA84" s="12"/>
      <c r="AB84" s="9"/>
      <c r="AC84" s="12">
        <v>603000</v>
      </c>
      <c r="AD84" s="9"/>
      <c r="AE84" s="12"/>
      <c r="AF8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84" s="24"/>
      <c r="AH84" s="266">
        <f>Table4[[#This Row],[Date]]</f>
        <v>46028</v>
      </c>
      <c r="AI84" s="264" t="str">
        <f t="shared" si="14"/>
        <v>Jan</v>
      </c>
      <c r="AJ84" s="264" t="str">
        <f t="shared" si="15"/>
        <v>2026</v>
      </c>
      <c r="AK84" s="270" t="str">
        <f>Table4[[#This Row],[ကုန်သည်အမည်]]</f>
        <v>ဦးလှ၀င်း</v>
      </c>
      <c r="AL84" s="270" t="str">
        <f>Table4[[#This Row],[Township]]</f>
        <v>Hpa-an</v>
      </c>
      <c r="AM84" s="271" t="str">
        <f>Table4[[#This Row],[WholeSales]]</f>
        <v>Mini Whole Sales</v>
      </c>
      <c r="AN84" s="272" t="str">
        <f>Table4[[#This Row],[Particular]]</f>
        <v>ကုန်ရောင်း(လက်ငင်း)</v>
      </c>
      <c r="AO84" s="273" t="str">
        <f>Table4[[#This Row],[StockName]]</f>
        <v>"ဇေ" ကော်ဘူး (1 Liter)</v>
      </c>
      <c r="AP84" s="268">
        <f>Table4[[#This Row],[Parking]]</f>
        <v>30</v>
      </c>
      <c r="AQ84" s="268">
        <f>Table4[[#This Row],[SalesBot]]</f>
        <v>360</v>
      </c>
      <c r="AR84" s="268">
        <f>Table4[[#This Row],[Liter]]</f>
        <v>360</v>
      </c>
    </row>
    <row r="85" spans="1:44" s="16" customFormat="1" hidden="1" x14ac:dyDescent="0.5">
      <c r="A85" s="3">
        <f t="shared" si="10"/>
        <v>2026</v>
      </c>
      <c r="B85" s="8">
        <f t="shared" si="11"/>
        <v>1</v>
      </c>
      <c r="C85" s="6">
        <v>46028</v>
      </c>
      <c r="D85" s="15">
        <f t="shared" ca="1" si="12"/>
        <v>46097</v>
      </c>
      <c r="E85" s="15" t="str">
        <f t="shared" ca="1" si="13"/>
        <v>2-Months</v>
      </c>
      <c r="F85" s="8" t="str">
        <f>VLOOKUP(N85,Stock[#Data],5,FALSE)</f>
        <v>BE</v>
      </c>
      <c r="G85" s="82" t="s">
        <v>673</v>
      </c>
      <c r="H85" s="15"/>
      <c r="I85" s="7" t="s">
        <v>548</v>
      </c>
      <c r="J85" s="8" t="str">
        <f>VLOOKUP(I85,Customers[#Data],2,FALSE)</f>
        <v>ဦးလှ၀င်း</v>
      </c>
      <c r="K85" s="15" t="str">
        <f>VLOOKUP(I85,Customers[#Data],4,FALSE)</f>
        <v>Hpa-an</v>
      </c>
      <c r="L85" s="15" t="str">
        <f>VLOOKUP(I85,Customers[#Data],5,FALSE)</f>
        <v>Mini Whole Sales</v>
      </c>
      <c r="M85" s="7" t="s">
        <v>6</v>
      </c>
      <c r="N85" s="7" t="s">
        <v>527</v>
      </c>
      <c r="O85" s="14" t="str">
        <f>VLOOKUP(N85,Stock[#Data],2,FALSE)</f>
        <v>"ဇေ" ကော်ဘူး (0.35Liter)</v>
      </c>
      <c r="P85" s="44">
        <f>VLOOKUP(N85,Stock[#Data],3,FALSE)</f>
        <v>0.35</v>
      </c>
      <c r="Q85" s="3">
        <f>VLOOKUP(N85,Stock[#Data],4,FALSE)</f>
        <v>40</v>
      </c>
      <c r="R85" s="11"/>
      <c r="S85" s="45">
        <f>IFERROR(Table4[[#This Row],[Bottle]]/Table4[[#This Row],[ပါဝင်မှု]]+Table4[[#This Row],[SalesPK]],0)</f>
        <v>20</v>
      </c>
      <c r="T85" s="12">
        <v>20</v>
      </c>
      <c r="U85" s="10">
        <f>Table4[[#This Row],[ပါဝင်မှု]]*Table4[[#This Row],[SalesPK]]+Table4[[#This Row],[Bottle]]</f>
        <v>800</v>
      </c>
      <c r="V85" s="10">
        <f>Table4[[#This Row],[SalesBot]]*Table4[[#This Row],[ML]]</f>
        <v>280</v>
      </c>
      <c r="W85" s="1">
        <f>VLOOKUP(N85,Stock[#Data],6,FALSE)</f>
        <v>780</v>
      </c>
      <c r="X85" s="8">
        <f>+Table4[[#This Row],[SalesBot]]*Table4[[#This Row],[နှုံး]]</f>
        <v>624000</v>
      </c>
      <c r="Y85" s="12"/>
      <c r="Z85" s="12"/>
      <c r="AA85" s="12"/>
      <c r="AB85" s="9"/>
      <c r="AC85" s="12">
        <v>624000</v>
      </c>
      <c r="AD85" s="9"/>
      <c r="AE85" s="12"/>
      <c r="AF8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85" s="24"/>
      <c r="AH85" s="266">
        <f>Table4[[#This Row],[Date]]</f>
        <v>46028</v>
      </c>
      <c r="AI85" s="264" t="str">
        <f t="shared" si="14"/>
        <v>Jan</v>
      </c>
      <c r="AJ85" s="264" t="str">
        <f t="shared" si="15"/>
        <v>2026</v>
      </c>
      <c r="AK85" s="270" t="str">
        <f>Table4[[#This Row],[ကုန်သည်အမည်]]</f>
        <v>ဦးလှ၀င်း</v>
      </c>
      <c r="AL85" s="270" t="str">
        <f>Table4[[#This Row],[Township]]</f>
        <v>Hpa-an</v>
      </c>
      <c r="AM85" s="271" t="str">
        <f>Table4[[#This Row],[WholeSales]]</f>
        <v>Mini Whole Sales</v>
      </c>
      <c r="AN85" s="272" t="str">
        <f>Table4[[#This Row],[Particular]]</f>
        <v>ကုန်ရောင်း(လက်ငင်း)</v>
      </c>
      <c r="AO85" s="273" t="str">
        <f>Table4[[#This Row],[StockName]]</f>
        <v>"ဇေ" ကော်ဘူး (0.35Liter)</v>
      </c>
      <c r="AP85" s="268">
        <f>Table4[[#This Row],[Parking]]</f>
        <v>20</v>
      </c>
      <c r="AQ85" s="268">
        <f>Table4[[#This Row],[SalesBot]]</f>
        <v>800</v>
      </c>
      <c r="AR85" s="268">
        <f>Table4[[#This Row],[Liter]]</f>
        <v>280</v>
      </c>
    </row>
    <row r="86" spans="1:44" s="16" customFormat="1" hidden="1" x14ac:dyDescent="0.5">
      <c r="A86" s="3">
        <f t="shared" si="10"/>
        <v>2026</v>
      </c>
      <c r="B86" s="8">
        <f t="shared" si="11"/>
        <v>1</v>
      </c>
      <c r="C86" s="6">
        <v>46028</v>
      </c>
      <c r="D86" s="15">
        <f t="shared" ca="1" si="12"/>
        <v>46097</v>
      </c>
      <c r="E86" s="15" t="str">
        <f t="shared" ca="1" si="13"/>
        <v>2-Months</v>
      </c>
      <c r="F86" s="8" t="str">
        <f>VLOOKUP(N86,Stock[#Data],5,FALSE)</f>
        <v>BE</v>
      </c>
      <c r="G86" s="82" t="s">
        <v>674</v>
      </c>
      <c r="H86" s="15"/>
      <c r="I86" s="7" t="s">
        <v>104</v>
      </c>
      <c r="J86" s="8" t="str">
        <f>VLOOKUP(I86,Customers[#Data],2,FALSE)</f>
        <v>မမော်</v>
      </c>
      <c r="K86" s="15" t="str">
        <f>VLOOKUP(I86,Customers[#Data],4,FALSE)</f>
        <v>Hpa-an</v>
      </c>
      <c r="L86" s="15" t="str">
        <f>VLOOKUP(I86,Customers[#Data],5,FALSE)</f>
        <v>SemiWholeSales</v>
      </c>
      <c r="M86" s="7" t="s">
        <v>6</v>
      </c>
      <c r="N86" s="7" t="s">
        <v>518</v>
      </c>
      <c r="O86" s="14" t="str">
        <f>VLOOKUP(N86,Stock[#Data],2,FALSE)</f>
        <v>"ဇေ" ကော်ဘူး (1 Liter)</v>
      </c>
      <c r="P86" s="44">
        <f>VLOOKUP(N86,Stock[#Data],3,FALSE)</f>
        <v>1</v>
      </c>
      <c r="Q86" s="3">
        <f>VLOOKUP(N86,Stock[#Data],4,FALSE)</f>
        <v>12</v>
      </c>
      <c r="R86" s="11"/>
      <c r="S86" s="45">
        <f>IFERROR(Table4[[#This Row],[Bottle]]/Table4[[#This Row],[ပါဝင်မှု]]+Table4[[#This Row],[SalesPK]],0)</f>
        <v>70</v>
      </c>
      <c r="T86" s="12">
        <v>70</v>
      </c>
      <c r="U86" s="10">
        <f>Table4[[#This Row],[ပါဝင်မှု]]*Table4[[#This Row],[SalesPK]]+Table4[[#This Row],[Bottle]]</f>
        <v>840</v>
      </c>
      <c r="V86" s="10">
        <f>Table4[[#This Row],[SalesBot]]*Table4[[#This Row],[ML]]</f>
        <v>840</v>
      </c>
      <c r="W86" s="1">
        <f>VLOOKUP(N86,Stock[#Data],6,FALSE)</f>
        <v>1675</v>
      </c>
      <c r="X86" s="8">
        <f>+Table4[[#This Row],[SalesBot]]*Table4[[#This Row],[နှုံး]]</f>
        <v>1407000</v>
      </c>
      <c r="Y86" s="12"/>
      <c r="Z86" s="12"/>
      <c r="AA86" s="12"/>
      <c r="AB86" s="9"/>
      <c r="AC86" s="12">
        <v>1407000</v>
      </c>
      <c r="AD86" s="9"/>
      <c r="AE86" s="12"/>
      <c r="AF8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86" s="24"/>
      <c r="AH86" s="266">
        <f>Table4[[#This Row],[Date]]</f>
        <v>46028</v>
      </c>
      <c r="AI86" s="264" t="str">
        <f t="shared" si="14"/>
        <v>Jan</v>
      </c>
      <c r="AJ86" s="264" t="str">
        <f t="shared" si="15"/>
        <v>2026</v>
      </c>
      <c r="AK86" s="270" t="str">
        <f>Table4[[#This Row],[ကုန်သည်အမည်]]</f>
        <v>မမော်</v>
      </c>
      <c r="AL86" s="270" t="str">
        <f>Table4[[#This Row],[Township]]</f>
        <v>Hpa-an</v>
      </c>
      <c r="AM86" s="271" t="str">
        <f>Table4[[#This Row],[WholeSales]]</f>
        <v>SemiWholeSales</v>
      </c>
      <c r="AN86" s="272" t="str">
        <f>Table4[[#This Row],[Particular]]</f>
        <v>ကုန်ရောင်း(လက်ငင်း)</v>
      </c>
      <c r="AO86" s="273" t="str">
        <f>Table4[[#This Row],[StockName]]</f>
        <v>"ဇေ" ကော်ဘူး (1 Liter)</v>
      </c>
      <c r="AP86" s="268">
        <f>Table4[[#This Row],[Parking]]</f>
        <v>70</v>
      </c>
      <c r="AQ86" s="268">
        <f>Table4[[#This Row],[SalesBot]]</f>
        <v>840</v>
      </c>
      <c r="AR86" s="268">
        <f>Table4[[#This Row],[Liter]]</f>
        <v>840</v>
      </c>
    </row>
    <row r="87" spans="1:44" s="16" customFormat="1" hidden="1" x14ac:dyDescent="0.5">
      <c r="A87" s="3">
        <f t="shared" si="10"/>
        <v>2026</v>
      </c>
      <c r="B87" s="8">
        <f t="shared" si="11"/>
        <v>1</v>
      </c>
      <c r="C87" s="6">
        <v>46028</v>
      </c>
      <c r="D87" s="15">
        <f t="shared" ca="1" si="12"/>
        <v>46097</v>
      </c>
      <c r="E87" s="15" t="str">
        <f t="shared" ca="1" si="13"/>
        <v>2-Months</v>
      </c>
      <c r="F87" s="8" t="str">
        <f>VLOOKUP(N87,Stock[#Data],5,FALSE)</f>
        <v>BE</v>
      </c>
      <c r="G87" s="82" t="s">
        <v>675</v>
      </c>
      <c r="H87" s="15"/>
      <c r="I87" s="7" t="s">
        <v>623</v>
      </c>
      <c r="J87" s="8" t="str">
        <f>VLOOKUP(I87,Customers[#Data],2,FALSE)</f>
        <v>တီနားလေး</v>
      </c>
      <c r="K87" s="15" t="str">
        <f>VLOOKUP(I87,Customers[#Data],4,FALSE)</f>
        <v>Hpa-an</v>
      </c>
      <c r="L87" s="15" t="str">
        <f>VLOOKUP(I87,Customers[#Data],5,FALSE)</f>
        <v>Van Sales</v>
      </c>
      <c r="M87" s="7" t="s">
        <v>6</v>
      </c>
      <c r="N87" s="7" t="s">
        <v>518</v>
      </c>
      <c r="O87" s="14" t="str">
        <f>VLOOKUP(N87,Stock[#Data],2,FALSE)</f>
        <v>"ဇေ" ကော်ဘူး (1 Liter)</v>
      </c>
      <c r="P87" s="44">
        <f>VLOOKUP(N87,Stock[#Data],3,FALSE)</f>
        <v>1</v>
      </c>
      <c r="Q87" s="3">
        <f>VLOOKUP(N87,Stock[#Data],4,FALSE)</f>
        <v>12</v>
      </c>
      <c r="R87" s="11"/>
      <c r="S87" s="45">
        <f>IFERROR(Table4[[#This Row],[Bottle]]/Table4[[#This Row],[ပါဝင်မှု]]+Table4[[#This Row],[SalesPK]],0)</f>
        <v>50</v>
      </c>
      <c r="T87" s="12">
        <v>50</v>
      </c>
      <c r="U87" s="10">
        <f>Table4[[#This Row],[ပါဝင်မှု]]*Table4[[#This Row],[SalesPK]]+Table4[[#This Row],[Bottle]]</f>
        <v>600</v>
      </c>
      <c r="V87" s="10">
        <f>Table4[[#This Row],[SalesBot]]*Table4[[#This Row],[ML]]</f>
        <v>600</v>
      </c>
      <c r="W87" s="1">
        <f>VLOOKUP(N87,Stock[#Data],6,FALSE)</f>
        <v>1675</v>
      </c>
      <c r="X87" s="8">
        <f>+Table4[[#This Row],[SalesBot]]*Table4[[#This Row],[နှုံး]]</f>
        <v>1005000</v>
      </c>
      <c r="Y87" s="12"/>
      <c r="Z87" s="12"/>
      <c r="AA87" s="12"/>
      <c r="AB87" s="9"/>
      <c r="AC87" s="12">
        <v>1005000</v>
      </c>
      <c r="AD87" s="9"/>
      <c r="AE87" s="12"/>
      <c r="AF8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87" s="24"/>
      <c r="AH87" s="266">
        <f>Table4[[#This Row],[Date]]</f>
        <v>46028</v>
      </c>
      <c r="AI87" s="264" t="str">
        <f t="shared" si="14"/>
        <v>Jan</v>
      </c>
      <c r="AJ87" s="264" t="str">
        <f t="shared" si="15"/>
        <v>2026</v>
      </c>
      <c r="AK87" s="270" t="str">
        <f>Table4[[#This Row],[ကုန်သည်အမည်]]</f>
        <v>တီနားလေး</v>
      </c>
      <c r="AL87" s="270" t="str">
        <f>Table4[[#This Row],[Township]]</f>
        <v>Hpa-an</v>
      </c>
      <c r="AM87" s="271" t="str">
        <f>Table4[[#This Row],[WholeSales]]</f>
        <v>Van Sales</v>
      </c>
      <c r="AN87" s="272" t="str">
        <f>Table4[[#This Row],[Particular]]</f>
        <v>ကုန်ရောင်း(လက်ငင်း)</v>
      </c>
      <c r="AO87" s="273" t="str">
        <f>Table4[[#This Row],[StockName]]</f>
        <v>"ဇေ" ကော်ဘူး (1 Liter)</v>
      </c>
      <c r="AP87" s="268">
        <f>Table4[[#This Row],[Parking]]</f>
        <v>50</v>
      </c>
      <c r="AQ87" s="268">
        <f>Table4[[#This Row],[SalesBot]]</f>
        <v>600</v>
      </c>
      <c r="AR87" s="268">
        <f>Table4[[#This Row],[Liter]]</f>
        <v>600</v>
      </c>
    </row>
    <row r="88" spans="1:44" s="16" customFormat="1" hidden="1" x14ac:dyDescent="0.5">
      <c r="A88" s="3">
        <f t="shared" si="10"/>
        <v>2026</v>
      </c>
      <c r="B88" s="8">
        <f t="shared" si="11"/>
        <v>1</v>
      </c>
      <c r="C88" s="6">
        <v>46029</v>
      </c>
      <c r="D88" s="15">
        <f t="shared" ca="1" si="12"/>
        <v>46097</v>
      </c>
      <c r="E88" s="15" t="str">
        <f t="shared" ca="1" si="13"/>
        <v>2-Months</v>
      </c>
      <c r="F88" s="8" t="str">
        <f>VLOOKUP(N88,Stock[#Data],5,FALSE)</f>
        <v>BE</v>
      </c>
      <c r="G88" s="82" t="s">
        <v>676</v>
      </c>
      <c r="H88" s="15"/>
      <c r="I88" s="7" t="s">
        <v>101</v>
      </c>
      <c r="J88" s="8" t="str">
        <f>VLOOKUP(I88,Customers[#Data],2,FALSE)</f>
        <v>ကိုမောင်+မသူဇာ</v>
      </c>
      <c r="K88" s="15" t="str">
        <f>VLOOKUP(I88,Customers[#Data],4,FALSE)</f>
        <v>Yay</v>
      </c>
      <c r="L88" s="15" t="str">
        <f>VLOOKUP(I88,Customers[#Data],5,FALSE)</f>
        <v>WholeSales</v>
      </c>
      <c r="M88" s="7" t="s">
        <v>7</v>
      </c>
      <c r="N88" s="7" t="s">
        <v>517</v>
      </c>
      <c r="O88" s="14" t="str">
        <f>VLOOKUP(N88,Stock[#Data],2,FALSE)</f>
        <v>ဇေယျဝတီ Red (1 Liter) 30%</v>
      </c>
      <c r="P88" s="44">
        <f>VLOOKUP(N88,Stock[#Data],3,FALSE)</f>
        <v>1</v>
      </c>
      <c r="Q88" s="3">
        <f>VLOOKUP(N88,Stock[#Data],4,FALSE)</f>
        <v>12</v>
      </c>
      <c r="R88" s="11"/>
      <c r="S88" s="45">
        <f>IFERROR(Table4[[#This Row],[Bottle]]/Table4[[#This Row],[ပါဝင်မှု]]+Table4[[#This Row],[SalesPK]],0)</f>
        <v>50</v>
      </c>
      <c r="T88" s="12">
        <v>50</v>
      </c>
      <c r="U88" s="10">
        <f>Table4[[#This Row],[ပါဝင်မှု]]*Table4[[#This Row],[SalesPK]]+Table4[[#This Row],[Bottle]]</f>
        <v>600</v>
      </c>
      <c r="V88" s="10">
        <f>Table4[[#This Row],[SalesBot]]*Table4[[#This Row],[ML]]</f>
        <v>600</v>
      </c>
      <c r="W88" s="1">
        <f>VLOOKUP(N88,Stock[#Data],6,FALSE)</f>
        <v>1710</v>
      </c>
      <c r="X88" s="8">
        <f>+Table4[[#This Row],[SalesBot]]*Table4[[#This Row],[နှုံး]]</f>
        <v>1026000</v>
      </c>
      <c r="Y88" s="12"/>
      <c r="Z88" s="12"/>
      <c r="AA88" s="12"/>
      <c r="AB88" s="9">
        <v>46043</v>
      </c>
      <c r="AC88" s="12">
        <v>1026000</v>
      </c>
      <c r="AD88" s="9"/>
      <c r="AE88" s="12"/>
      <c r="AF8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88" s="24"/>
      <c r="AH88" s="266">
        <f>Table4[[#This Row],[Date]]</f>
        <v>46029</v>
      </c>
      <c r="AI88" s="264" t="str">
        <f t="shared" si="14"/>
        <v>Jan</v>
      </c>
      <c r="AJ88" s="264" t="str">
        <f t="shared" si="15"/>
        <v>2026</v>
      </c>
      <c r="AK88" s="270" t="str">
        <f>Table4[[#This Row],[ကုန်သည်အမည်]]</f>
        <v>ကိုမောင်+မသူဇာ</v>
      </c>
      <c r="AL88" s="270" t="str">
        <f>Table4[[#This Row],[Township]]</f>
        <v>Yay</v>
      </c>
      <c r="AM88" s="271" t="str">
        <f>Table4[[#This Row],[WholeSales]]</f>
        <v>WholeSales</v>
      </c>
      <c r="AN88" s="272" t="str">
        <f>Table4[[#This Row],[Particular]]</f>
        <v>ကုန်ရောင်း(အကြွေး)</v>
      </c>
      <c r="AO88" s="273" t="str">
        <f>Table4[[#This Row],[StockName]]</f>
        <v>ဇေယျဝတီ Red (1 Liter) 30%</v>
      </c>
      <c r="AP88" s="268">
        <f>Table4[[#This Row],[Parking]]</f>
        <v>50</v>
      </c>
      <c r="AQ88" s="268">
        <f>Table4[[#This Row],[SalesBot]]</f>
        <v>600</v>
      </c>
      <c r="AR88" s="268">
        <f>Table4[[#This Row],[Liter]]</f>
        <v>600</v>
      </c>
    </row>
    <row r="89" spans="1:44" s="16" customFormat="1" hidden="1" x14ac:dyDescent="0.5">
      <c r="A89" s="3">
        <f t="shared" si="10"/>
        <v>2026</v>
      </c>
      <c r="B89" s="8">
        <f t="shared" si="11"/>
        <v>1</v>
      </c>
      <c r="C89" s="6">
        <v>46029</v>
      </c>
      <c r="D89" s="15">
        <f t="shared" ca="1" si="12"/>
        <v>46097</v>
      </c>
      <c r="E89" s="15" t="str">
        <f t="shared" ca="1" si="13"/>
        <v>2-Months</v>
      </c>
      <c r="F89" s="8" t="str">
        <f>VLOOKUP(N89,Stock[#Data],5,FALSE)</f>
        <v>BE</v>
      </c>
      <c r="G89" s="82" t="s">
        <v>677</v>
      </c>
      <c r="H89" s="15"/>
      <c r="I89" s="7" t="s">
        <v>555</v>
      </c>
      <c r="J89" s="8" t="str">
        <f>VLOOKUP(I89,Customers[#Data],2,FALSE)</f>
        <v>အနဲကြီး</v>
      </c>
      <c r="K89" s="15" t="str">
        <f>VLOOKUP(I89,Customers[#Data],4,FALSE)</f>
        <v>Maw La Myaing</v>
      </c>
      <c r="L89" s="15" t="str">
        <f>VLOOKUP(I89,Customers[#Data],5,FALSE)</f>
        <v>Mini Whole Sales</v>
      </c>
      <c r="M89" s="7" t="s">
        <v>6</v>
      </c>
      <c r="N89" s="7" t="s">
        <v>516</v>
      </c>
      <c r="O89" s="14" t="str">
        <f>VLOOKUP(N89,Stock[#Data],2,FALSE)</f>
        <v>ဇေ Vodka</v>
      </c>
      <c r="P89" s="44">
        <f>VLOOKUP(N89,Stock[#Data],3,FALSE)</f>
        <v>0.64</v>
      </c>
      <c r="Q89" s="3">
        <f>VLOOKUP(N89,Stock[#Data],4,FALSE)</f>
        <v>14</v>
      </c>
      <c r="R89" s="11"/>
      <c r="S89" s="45">
        <f>IFERROR(Table4[[#This Row],[Bottle]]/Table4[[#This Row],[ပါဝင်မှု]]+Table4[[#This Row],[SalesPK]],0)</f>
        <v>10</v>
      </c>
      <c r="T89" s="12">
        <v>10</v>
      </c>
      <c r="U89" s="10">
        <f>Table4[[#This Row],[ပါဝင်မှု]]*Table4[[#This Row],[SalesPK]]+Table4[[#This Row],[Bottle]]</f>
        <v>140</v>
      </c>
      <c r="V89" s="10">
        <f>Table4[[#This Row],[SalesBot]]*Table4[[#This Row],[ML]]</f>
        <v>89.600000000000009</v>
      </c>
      <c r="W89" s="1">
        <f>VLOOKUP(N89,Stock[#Data],6,FALSE)</f>
        <v>1400</v>
      </c>
      <c r="X89" s="8">
        <f>+Table4[[#This Row],[SalesBot]]*Table4[[#This Row],[နှုံး]]</f>
        <v>196000</v>
      </c>
      <c r="Y89" s="12"/>
      <c r="Z89" s="12"/>
      <c r="AA89" s="12"/>
      <c r="AB89" s="9"/>
      <c r="AC89" s="12">
        <v>196000</v>
      </c>
      <c r="AD89" s="9"/>
      <c r="AE89" s="12"/>
      <c r="AF8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89" s="24"/>
      <c r="AH89" s="266">
        <f>Table4[[#This Row],[Date]]</f>
        <v>46029</v>
      </c>
      <c r="AI89" s="264" t="str">
        <f t="shared" si="14"/>
        <v>Jan</v>
      </c>
      <c r="AJ89" s="264" t="str">
        <f t="shared" si="15"/>
        <v>2026</v>
      </c>
      <c r="AK89" s="270" t="str">
        <f>Table4[[#This Row],[ကုန်သည်အမည်]]</f>
        <v>အနဲကြီး</v>
      </c>
      <c r="AL89" s="270" t="str">
        <f>Table4[[#This Row],[Township]]</f>
        <v>Maw La Myaing</v>
      </c>
      <c r="AM89" s="271" t="str">
        <f>Table4[[#This Row],[WholeSales]]</f>
        <v>Mini Whole Sales</v>
      </c>
      <c r="AN89" s="272" t="str">
        <f>Table4[[#This Row],[Particular]]</f>
        <v>ကုန်ရောင်း(လက်ငင်း)</v>
      </c>
      <c r="AO89" s="273" t="str">
        <f>Table4[[#This Row],[StockName]]</f>
        <v>ဇေ Vodka</v>
      </c>
      <c r="AP89" s="268">
        <f>Table4[[#This Row],[Parking]]</f>
        <v>10</v>
      </c>
      <c r="AQ89" s="268">
        <f>Table4[[#This Row],[SalesBot]]</f>
        <v>140</v>
      </c>
      <c r="AR89" s="268">
        <f>Table4[[#This Row],[Liter]]</f>
        <v>89.600000000000009</v>
      </c>
    </row>
    <row r="90" spans="1:44" s="16" customFormat="1" hidden="1" x14ac:dyDescent="0.5">
      <c r="A90" s="3">
        <f t="shared" si="10"/>
        <v>2026</v>
      </c>
      <c r="B90" s="8">
        <f t="shared" si="11"/>
        <v>1</v>
      </c>
      <c r="C90" s="6">
        <v>46029</v>
      </c>
      <c r="D90" s="15">
        <f t="shared" ca="1" si="12"/>
        <v>46097</v>
      </c>
      <c r="E90" s="15" t="str">
        <f t="shared" ca="1" si="13"/>
        <v>2-Months</v>
      </c>
      <c r="F90" s="8" t="str">
        <f>VLOOKUP(N90,Stock[#Data],5,FALSE)</f>
        <v>BE</v>
      </c>
      <c r="G90" s="82" t="s">
        <v>678</v>
      </c>
      <c r="H90" s="15"/>
      <c r="I90" s="7" t="s">
        <v>683</v>
      </c>
      <c r="J90" s="8" t="str">
        <f>VLOOKUP(I90,Customers[#Data],2,FALSE)</f>
        <v>ပြည့်လျှံ</v>
      </c>
      <c r="K90" s="15" t="str">
        <f>VLOOKUP(I90,Customers[#Data],4,FALSE)</f>
        <v>Maw La Myaing</v>
      </c>
      <c r="L90" s="15" t="str">
        <f>VLOOKUP(I90,Customers[#Data],5,FALSE)</f>
        <v>WholeSales</v>
      </c>
      <c r="M90" s="7" t="s">
        <v>6</v>
      </c>
      <c r="N90" s="7" t="s">
        <v>516</v>
      </c>
      <c r="O90" s="14" t="str">
        <f>VLOOKUP(N90,Stock[#Data],2,FALSE)</f>
        <v>ဇေ Vodka</v>
      </c>
      <c r="P90" s="44">
        <f>VLOOKUP(N90,Stock[#Data],3,FALSE)</f>
        <v>0.64</v>
      </c>
      <c r="Q90" s="3">
        <f>VLOOKUP(N90,Stock[#Data],4,FALSE)</f>
        <v>14</v>
      </c>
      <c r="R90" s="11"/>
      <c r="S90" s="45">
        <f>IFERROR(Table4[[#This Row],[Bottle]]/Table4[[#This Row],[ပါဝင်မှု]]+Table4[[#This Row],[SalesPK]],0)</f>
        <v>100</v>
      </c>
      <c r="T90" s="12">
        <v>100</v>
      </c>
      <c r="U90" s="10">
        <f>Table4[[#This Row],[ပါဝင်မှု]]*Table4[[#This Row],[SalesPK]]+Table4[[#This Row],[Bottle]]</f>
        <v>1400</v>
      </c>
      <c r="V90" s="10">
        <f>Table4[[#This Row],[SalesBot]]*Table4[[#This Row],[ML]]</f>
        <v>896</v>
      </c>
      <c r="W90" s="1">
        <f>VLOOKUP(N90,Stock[#Data],6,FALSE)</f>
        <v>1400</v>
      </c>
      <c r="X90" s="8">
        <f>+Table4[[#This Row],[SalesBot]]*Table4[[#This Row],[နှုံး]]</f>
        <v>1960000</v>
      </c>
      <c r="Y90" s="12"/>
      <c r="Z90" s="12"/>
      <c r="AA90" s="12"/>
      <c r="AB90" s="9"/>
      <c r="AC90" s="12">
        <v>1960000</v>
      </c>
      <c r="AD90" s="9"/>
      <c r="AE90" s="12"/>
      <c r="AF9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90" s="24"/>
      <c r="AH90" s="266">
        <f>Table4[[#This Row],[Date]]</f>
        <v>46029</v>
      </c>
      <c r="AI90" s="264" t="str">
        <f t="shared" si="14"/>
        <v>Jan</v>
      </c>
      <c r="AJ90" s="264" t="str">
        <f t="shared" si="15"/>
        <v>2026</v>
      </c>
      <c r="AK90" s="270" t="str">
        <f>Table4[[#This Row],[ကုန်သည်အမည်]]</f>
        <v>ပြည့်လျှံ</v>
      </c>
      <c r="AL90" s="270" t="str">
        <f>Table4[[#This Row],[Township]]</f>
        <v>Maw La Myaing</v>
      </c>
      <c r="AM90" s="271" t="str">
        <f>Table4[[#This Row],[WholeSales]]</f>
        <v>WholeSales</v>
      </c>
      <c r="AN90" s="272" t="str">
        <f>Table4[[#This Row],[Particular]]</f>
        <v>ကုန်ရောင်း(လက်ငင်း)</v>
      </c>
      <c r="AO90" s="273" t="str">
        <f>Table4[[#This Row],[StockName]]</f>
        <v>ဇေ Vodka</v>
      </c>
      <c r="AP90" s="268">
        <f>Table4[[#This Row],[Parking]]</f>
        <v>100</v>
      </c>
      <c r="AQ90" s="268">
        <f>Table4[[#This Row],[SalesBot]]</f>
        <v>1400</v>
      </c>
      <c r="AR90" s="268">
        <f>Table4[[#This Row],[Liter]]</f>
        <v>896</v>
      </c>
    </row>
    <row r="91" spans="1:44" s="16" customFormat="1" hidden="1" x14ac:dyDescent="0.5">
      <c r="A91" s="3">
        <f t="shared" si="10"/>
        <v>2026</v>
      </c>
      <c r="B91" s="8">
        <f t="shared" si="11"/>
        <v>1</v>
      </c>
      <c r="C91" s="6">
        <v>46029</v>
      </c>
      <c r="D91" s="15">
        <f t="shared" ca="1" si="12"/>
        <v>46097</v>
      </c>
      <c r="E91" s="15" t="str">
        <f t="shared" ca="1" si="13"/>
        <v>2-Months</v>
      </c>
      <c r="F91" s="8" t="str">
        <f>VLOOKUP(N91,Stock[#Data],5,FALSE)</f>
        <v>BE</v>
      </c>
      <c r="G91" s="82" t="s">
        <v>678</v>
      </c>
      <c r="H91" s="15"/>
      <c r="I91" s="7" t="s">
        <v>683</v>
      </c>
      <c r="J91" s="8" t="str">
        <f>VLOOKUP(I91,Customers[#Data],2,FALSE)</f>
        <v>ပြည့်လျှံ</v>
      </c>
      <c r="K91" s="15" t="str">
        <f>VLOOKUP(I91,Customers[#Data],4,FALSE)</f>
        <v>Maw La Myaing</v>
      </c>
      <c r="L91" s="15" t="str">
        <f>VLOOKUP(I91,Customers[#Data],5,FALSE)</f>
        <v>WholeSales</v>
      </c>
      <c r="M91" s="7" t="s">
        <v>6</v>
      </c>
      <c r="N91" s="7" t="s">
        <v>517</v>
      </c>
      <c r="O91" s="14" t="str">
        <f>VLOOKUP(N91,Stock[#Data],2,FALSE)</f>
        <v>ဇေယျဝတီ Red (1 Liter) 30%</v>
      </c>
      <c r="P91" s="44">
        <f>VLOOKUP(N91,Stock[#Data],3,FALSE)</f>
        <v>1</v>
      </c>
      <c r="Q91" s="3">
        <f>VLOOKUP(N91,Stock[#Data],4,FALSE)</f>
        <v>12</v>
      </c>
      <c r="R91" s="11"/>
      <c r="S91" s="45">
        <f>IFERROR(Table4[[#This Row],[Bottle]]/Table4[[#This Row],[ပါဝင်မှု]]+Table4[[#This Row],[SalesPK]],0)</f>
        <v>200</v>
      </c>
      <c r="T91" s="12">
        <v>200</v>
      </c>
      <c r="U91" s="10">
        <f>Table4[[#This Row],[ပါဝင်မှု]]*Table4[[#This Row],[SalesPK]]+Table4[[#This Row],[Bottle]]</f>
        <v>2400</v>
      </c>
      <c r="V91" s="10">
        <f>Table4[[#This Row],[SalesBot]]*Table4[[#This Row],[ML]]</f>
        <v>2400</v>
      </c>
      <c r="W91" s="1">
        <f>VLOOKUP(N91,Stock[#Data],6,FALSE)</f>
        <v>1710</v>
      </c>
      <c r="X91" s="8">
        <f>+Table4[[#This Row],[SalesBot]]*Table4[[#This Row],[နှုံး]]</f>
        <v>4104000</v>
      </c>
      <c r="Y91" s="12"/>
      <c r="Z91" s="12"/>
      <c r="AA91" s="12"/>
      <c r="AB91" s="9"/>
      <c r="AC91" s="12">
        <v>4104000</v>
      </c>
      <c r="AD91" s="9"/>
      <c r="AE91" s="12"/>
      <c r="AF9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91" s="24"/>
      <c r="AH91" s="266">
        <f>Table4[[#This Row],[Date]]</f>
        <v>46029</v>
      </c>
      <c r="AI91" s="264" t="str">
        <f t="shared" si="14"/>
        <v>Jan</v>
      </c>
      <c r="AJ91" s="264" t="str">
        <f t="shared" si="15"/>
        <v>2026</v>
      </c>
      <c r="AK91" s="270" t="str">
        <f>Table4[[#This Row],[ကုန်သည်အမည်]]</f>
        <v>ပြည့်လျှံ</v>
      </c>
      <c r="AL91" s="270" t="str">
        <f>Table4[[#This Row],[Township]]</f>
        <v>Maw La Myaing</v>
      </c>
      <c r="AM91" s="271" t="str">
        <f>Table4[[#This Row],[WholeSales]]</f>
        <v>WholeSales</v>
      </c>
      <c r="AN91" s="272" t="str">
        <f>Table4[[#This Row],[Particular]]</f>
        <v>ကုန်ရောင်း(လက်ငင်း)</v>
      </c>
      <c r="AO91" s="273" t="str">
        <f>Table4[[#This Row],[StockName]]</f>
        <v>ဇေယျဝတီ Red (1 Liter) 30%</v>
      </c>
      <c r="AP91" s="268">
        <f>Table4[[#This Row],[Parking]]</f>
        <v>200</v>
      </c>
      <c r="AQ91" s="268">
        <f>Table4[[#This Row],[SalesBot]]</f>
        <v>2400</v>
      </c>
      <c r="AR91" s="268">
        <f>Table4[[#This Row],[Liter]]</f>
        <v>2400</v>
      </c>
    </row>
    <row r="92" spans="1:44" s="16" customFormat="1" hidden="1" x14ac:dyDescent="0.5">
      <c r="A92" s="3">
        <f t="shared" si="10"/>
        <v>2026</v>
      </c>
      <c r="B92" s="8">
        <f t="shared" si="11"/>
        <v>1</v>
      </c>
      <c r="C92" s="6">
        <v>46029</v>
      </c>
      <c r="D92" s="15">
        <f t="shared" ca="1" si="12"/>
        <v>46097</v>
      </c>
      <c r="E92" s="15" t="str">
        <f t="shared" ca="1" si="13"/>
        <v>2-Months</v>
      </c>
      <c r="F92" s="8" t="str">
        <f>VLOOKUP(N92,Stock[#Data],5,FALSE)</f>
        <v>BE</v>
      </c>
      <c r="G92" s="82" t="s">
        <v>679</v>
      </c>
      <c r="H92" s="15"/>
      <c r="I92" s="7" t="s">
        <v>684</v>
      </c>
      <c r="J92" s="8" t="str">
        <f>VLOOKUP(I92,Customers[#Data],2,FALSE)</f>
        <v>ကိုကျော်ရွှေ</v>
      </c>
      <c r="K92" s="15" t="str">
        <f>VLOOKUP(I92,Customers[#Data],4,FALSE)</f>
        <v>Mudon</v>
      </c>
      <c r="L92" s="15" t="str">
        <f>VLOOKUP(I92,Customers[#Data],5,FALSE)</f>
        <v>SemiWholeSales</v>
      </c>
      <c r="M92" s="7" t="s">
        <v>6</v>
      </c>
      <c r="N92" s="7" t="s">
        <v>520</v>
      </c>
      <c r="O92" s="14" t="str">
        <f>VLOOKUP(N92,Stock[#Data],2,FALSE)</f>
        <v>ဇေယျဝတီ  Red(ပု)</v>
      </c>
      <c r="P92" s="44">
        <f>VLOOKUP(N92,Stock[#Data],3,FALSE)</f>
        <v>0.64</v>
      </c>
      <c r="Q92" s="3">
        <f>VLOOKUP(N92,Stock[#Data],4,FALSE)</f>
        <v>14</v>
      </c>
      <c r="R92" s="11"/>
      <c r="S92" s="45">
        <f>IFERROR(Table4[[#This Row],[Bottle]]/Table4[[#This Row],[ပါဝင်မှု]]+Table4[[#This Row],[SalesPK]],0)</f>
        <v>50</v>
      </c>
      <c r="T92" s="12">
        <v>50</v>
      </c>
      <c r="U92" s="10">
        <f>Table4[[#This Row],[ပါဝင်မှု]]*Table4[[#This Row],[SalesPK]]+Table4[[#This Row],[Bottle]]</f>
        <v>700</v>
      </c>
      <c r="V92" s="10">
        <f>Table4[[#This Row],[SalesBot]]*Table4[[#This Row],[ML]]</f>
        <v>448</v>
      </c>
      <c r="W92" s="1">
        <f>VLOOKUP(N92,Stock[#Data],6,FALSE)</f>
        <v>1800</v>
      </c>
      <c r="X92" s="8">
        <f>+Table4[[#This Row],[SalesBot]]*Table4[[#This Row],[နှုံး]]</f>
        <v>1260000</v>
      </c>
      <c r="Y92" s="12"/>
      <c r="Z92" s="12"/>
      <c r="AA92" s="12"/>
      <c r="AB92" s="9"/>
      <c r="AC92" s="12">
        <v>1260000</v>
      </c>
      <c r="AD92" s="9"/>
      <c r="AE92" s="12"/>
      <c r="AF9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92" s="24"/>
      <c r="AH92" s="266">
        <f>Table4[[#This Row],[Date]]</f>
        <v>46029</v>
      </c>
      <c r="AI92" s="264" t="str">
        <f t="shared" si="14"/>
        <v>Jan</v>
      </c>
      <c r="AJ92" s="264" t="str">
        <f t="shared" si="15"/>
        <v>2026</v>
      </c>
      <c r="AK92" s="270" t="str">
        <f>Table4[[#This Row],[ကုန်သည်အမည်]]</f>
        <v>ကိုကျော်ရွှေ</v>
      </c>
      <c r="AL92" s="270" t="str">
        <f>Table4[[#This Row],[Township]]</f>
        <v>Mudon</v>
      </c>
      <c r="AM92" s="271" t="str">
        <f>Table4[[#This Row],[WholeSales]]</f>
        <v>SemiWholeSales</v>
      </c>
      <c r="AN92" s="272" t="str">
        <f>Table4[[#This Row],[Particular]]</f>
        <v>ကုန်ရောင်း(လက်ငင်း)</v>
      </c>
      <c r="AO92" s="273" t="str">
        <f>Table4[[#This Row],[StockName]]</f>
        <v>ဇေယျဝတီ  Red(ပု)</v>
      </c>
      <c r="AP92" s="268">
        <f>Table4[[#This Row],[Parking]]</f>
        <v>50</v>
      </c>
      <c r="AQ92" s="268">
        <f>Table4[[#This Row],[SalesBot]]</f>
        <v>700</v>
      </c>
      <c r="AR92" s="268">
        <f>Table4[[#This Row],[Liter]]</f>
        <v>448</v>
      </c>
    </row>
    <row r="93" spans="1:44" s="16" customFormat="1" hidden="1" x14ac:dyDescent="0.5">
      <c r="A93" s="3">
        <f t="shared" si="10"/>
        <v>2026</v>
      </c>
      <c r="B93" s="8">
        <f t="shared" si="11"/>
        <v>1</v>
      </c>
      <c r="C93" s="6">
        <v>46029</v>
      </c>
      <c r="D93" s="15">
        <f t="shared" ca="1" si="12"/>
        <v>46097</v>
      </c>
      <c r="E93" s="15" t="str">
        <f t="shared" ca="1" si="13"/>
        <v>2-Months</v>
      </c>
      <c r="F93" s="8" t="str">
        <f>VLOOKUP(N93,Stock[#Data],5,FALSE)</f>
        <v>BE</v>
      </c>
      <c r="G93" s="82" t="s">
        <v>680</v>
      </c>
      <c r="H93" s="15"/>
      <c r="I93" s="7" t="s">
        <v>685</v>
      </c>
      <c r="J93" s="8" t="str">
        <f>VLOOKUP(I93,Customers[#Data],2,FALSE)</f>
        <v>မိုးဆမ်း</v>
      </c>
      <c r="K93" s="15" t="str">
        <f>VLOOKUP(I93,Customers[#Data],4,FALSE)</f>
        <v>Mudon</v>
      </c>
      <c r="L93" s="15" t="str">
        <f>VLOOKUP(I93,Customers[#Data],5,FALSE)</f>
        <v>SemiWholeSales</v>
      </c>
      <c r="M93" s="7" t="s">
        <v>6</v>
      </c>
      <c r="N93" s="7" t="s">
        <v>520</v>
      </c>
      <c r="O93" s="14" t="str">
        <f>VLOOKUP(N93,Stock[#Data],2,FALSE)</f>
        <v>ဇေယျဝတီ  Red(ပု)</v>
      </c>
      <c r="P93" s="44">
        <f>VLOOKUP(N93,Stock[#Data],3,FALSE)</f>
        <v>0.64</v>
      </c>
      <c r="Q93" s="3">
        <f>VLOOKUP(N93,Stock[#Data],4,FALSE)</f>
        <v>14</v>
      </c>
      <c r="R93" s="11"/>
      <c r="S93" s="45">
        <f>IFERROR(Table4[[#This Row],[Bottle]]/Table4[[#This Row],[ပါဝင်မှု]]+Table4[[#This Row],[SalesPK]],0)</f>
        <v>50</v>
      </c>
      <c r="T93" s="12">
        <v>50</v>
      </c>
      <c r="U93" s="10">
        <f>Table4[[#This Row],[ပါဝင်မှု]]*Table4[[#This Row],[SalesPK]]+Table4[[#This Row],[Bottle]]</f>
        <v>700</v>
      </c>
      <c r="V93" s="10">
        <f>Table4[[#This Row],[SalesBot]]*Table4[[#This Row],[ML]]</f>
        <v>448</v>
      </c>
      <c r="W93" s="1">
        <f>VLOOKUP(N93,Stock[#Data],6,FALSE)</f>
        <v>1800</v>
      </c>
      <c r="X93" s="8">
        <f>+Table4[[#This Row],[SalesBot]]*Table4[[#This Row],[နှုံး]]</f>
        <v>1260000</v>
      </c>
      <c r="Y93" s="12"/>
      <c r="Z93" s="12"/>
      <c r="AA93" s="12"/>
      <c r="AB93" s="9"/>
      <c r="AC93" s="12">
        <v>1260000</v>
      </c>
      <c r="AD93" s="9"/>
      <c r="AE93" s="12"/>
      <c r="AF9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93" s="24"/>
      <c r="AH93" s="266">
        <f>Table4[[#This Row],[Date]]</f>
        <v>46029</v>
      </c>
      <c r="AI93" s="264" t="str">
        <f t="shared" si="14"/>
        <v>Jan</v>
      </c>
      <c r="AJ93" s="264" t="str">
        <f t="shared" si="15"/>
        <v>2026</v>
      </c>
      <c r="AK93" s="270" t="str">
        <f>Table4[[#This Row],[ကုန်သည်အမည်]]</f>
        <v>မိုးဆမ်း</v>
      </c>
      <c r="AL93" s="270" t="str">
        <f>Table4[[#This Row],[Township]]</f>
        <v>Mudon</v>
      </c>
      <c r="AM93" s="271" t="str">
        <f>Table4[[#This Row],[WholeSales]]</f>
        <v>SemiWholeSales</v>
      </c>
      <c r="AN93" s="272" t="str">
        <f>Table4[[#This Row],[Particular]]</f>
        <v>ကုန်ရောင်း(လက်ငင်း)</v>
      </c>
      <c r="AO93" s="273" t="str">
        <f>Table4[[#This Row],[StockName]]</f>
        <v>ဇေယျဝတီ  Red(ပု)</v>
      </c>
      <c r="AP93" s="268">
        <f>Table4[[#This Row],[Parking]]</f>
        <v>50</v>
      </c>
      <c r="AQ93" s="268">
        <f>Table4[[#This Row],[SalesBot]]</f>
        <v>700</v>
      </c>
      <c r="AR93" s="268">
        <f>Table4[[#This Row],[Liter]]</f>
        <v>448</v>
      </c>
    </row>
    <row r="94" spans="1:44" s="16" customFormat="1" hidden="1" x14ac:dyDescent="0.5">
      <c r="A94" s="3">
        <f t="shared" si="10"/>
        <v>2026</v>
      </c>
      <c r="B94" s="8">
        <f t="shared" si="11"/>
        <v>1</v>
      </c>
      <c r="C94" s="6">
        <v>46029</v>
      </c>
      <c r="D94" s="15">
        <f t="shared" ca="1" si="12"/>
        <v>46097</v>
      </c>
      <c r="E94" s="15" t="str">
        <f t="shared" ca="1" si="13"/>
        <v>2-Months</v>
      </c>
      <c r="F94" s="8" t="str">
        <f>VLOOKUP(N94,Stock[#Data],5,FALSE)</f>
        <v>BE</v>
      </c>
      <c r="G94" s="82" t="s">
        <v>681</v>
      </c>
      <c r="H94" s="15"/>
      <c r="I94" s="7" t="s">
        <v>686</v>
      </c>
      <c r="J94" s="8" t="str">
        <f>VLOOKUP(I94,Customers[#Data],2,FALSE)</f>
        <v>မသီတာ၀င်း</v>
      </c>
      <c r="K94" s="15" t="str">
        <f>VLOOKUP(I94,Customers[#Data],4,FALSE)</f>
        <v>Mudon</v>
      </c>
      <c r="L94" s="15" t="str">
        <f>VLOOKUP(I94,Customers[#Data],5,FALSE)</f>
        <v>SemiWholeSales</v>
      </c>
      <c r="M94" s="7" t="s">
        <v>6</v>
      </c>
      <c r="N94" s="7" t="s">
        <v>520</v>
      </c>
      <c r="O94" s="14" t="str">
        <f>VLOOKUP(N94,Stock[#Data],2,FALSE)</f>
        <v>ဇေယျဝတီ  Red(ပု)</v>
      </c>
      <c r="P94" s="44">
        <f>VLOOKUP(N94,Stock[#Data],3,FALSE)</f>
        <v>0.64</v>
      </c>
      <c r="Q94" s="3">
        <f>VLOOKUP(N94,Stock[#Data],4,FALSE)</f>
        <v>14</v>
      </c>
      <c r="R94" s="11"/>
      <c r="S94" s="45">
        <f>IFERROR(Table4[[#This Row],[Bottle]]/Table4[[#This Row],[ပါဝင်မှု]]+Table4[[#This Row],[SalesPK]],0)</f>
        <v>49</v>
      </c>
      <c r="T94" s="12">
        <v>49</v>
      </c>
      <c r="U94" s="10">
        <f>Table4[[#This Row],[ပါဝင်မှု]]*Table4[[#This Row],[SalesPK]]+Table4[[#This Row],[Bottle]]</f>
        <v>686</v>
      </c>
      <c r="V94" s="10">
        <f>Table4[[#This Row],[SalesBot]]*Table4[[#This Row],[ML]]</f>
        <v>439.04</v>
      </c>
      <c r="W94" s="1">
        <f>VLOOKUP(N94,Stock[#Data],6,FALSE)</f>
        <v>1800</v>
      </c>
      <c r="X94" s="8">
        <f>+Table4[[#This Row],[SalesBot]]*Table4[[#This Row],[နှုံး]]</f>
        <v>1234800</v>
      </c>
      <c r="Y94" s="12"/>
      <c r="Z94" s="12"/>
      <c r="AA94" s="12"/>
      <c r="AB94" s="9"/>
      <c r="AC94" s="12">
        <v>1234800</v>
      </c>
      <c r="AD94" s="9"/>
      <c r="AE94" s="12"/>
      <c r="AF9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94" s="24"/>
      <c r="AH94" s="266">
        <f>Table4[[#This Row],[Date]]</f>
        <v>46029</v>
      </c>
      <c r="AI94" s="264" t="str">
        <f t="shared" si="14"/>
        <v>Jan</v>
      </c>
      <c r="AJ94" s="264" t="str">
        <f t="shared" si="15"/>
        <v>2026</v>
      </c>
      <c r="AK94" s="270" t="str">
        <f>Table4[[#This Row],[ကုန်သည်အမည်]]</f>
        <v>မသီတာ၀င်း</v>
      </c>
      <c r="AL94" s="270" t="str">
        <f>Table4[[#This Row],[Township]]</f>
        <v>Mudon</v>
      </c>
      <c r="AM94" s="271" t="str">
        <f>Table4[[#This Row],[WholeSales]]</f>
        <v>SemiWholeSales</v>
      </c>
      <c r="AN94" s="272" t="str">
        <f>Table4[[#This Row],[Particular]]</f>
        <v>ကုန်ရောင်း(လက်ငင်း)</v>
      </c>
      <c r="AO94" s="273" t="str">
        <f>Table4[[#This Row],[StockName]]</f>
        <v>ဇေယျဝတီ  Red(ပု)</v>
      </c>
      <c r="AP94" s="268">
        <f>Table4[[#This Row],[Parking]]</f>
        <v>49</v>
      </c>
      <c r="AQ94" s="268">
        <f>Table4[[#This Row],[SalesBot]]</f>
        <v>686</v>
      </c>
      <c r="AR94" s="268">
        <f>Table4[[#This Row],[Liter]]</f>
        <v>439.04</v>
      </c>
    </row>
    <row r="95" spans="1:44" s="16" customFormat="1" hidden="1" x14ac:dyDescent="0.5">
      <c r="A95" s="3">
        <f t="shared" si="10"/>
        <v>2026</v>
      </c>
      <c r="B95" s="8">
        <f t="shared" si="11"/>
        <v>1</v>
      </c>
      <c r="C95" s="6">
        <v>46029</v>
      </c>
      <c r="D95" s="15">
        <f t="shared" ca="1" si="12"/>
        <v>46097</v>
      </c>
      <c r="E95" s="15" t="str">
        <f t="shared" ca="1" si="13"/>
        <v>2-Months</v>
      </c>
      <c r="F95" s="8" t="str">
        <f>VLOOKUP(N95,Stock[#Data],5,FALSE)</f>
        <v>BE</v>
      </c>
      <c r="G95" s="82" t="s">
        <v>682</v>
      </c>
      <c r="H95" s="15"/>
      <c r="I95" s="7" t="s">
        <v>535</v>
      </c>
      <c r="J95" s="8" t="str">
        <f>VLOOKUP(I95,Customers[#Data],2,FALSE)</f>
        <v>ကိုရဲ</v>
      </c>
      <c r="K95" s="15" t="str">
        <f>VLOOKUP(I95,Customers[#Data],4,FALSE)</f>
        <v>Yay</v>
      </c>
      <c r="L95" s="15" t="str">
        <f>VLOOKUP(I95,Customers[#Data],5,FALSE)</f>
        <v>Van Sales</v>
      </c>
      <c r="M95" s="7" t="s">
        <v>6</v>
      </c>
      <c r="N95" s="7" t="s">
        <v>517</v>
      </c>
      <c r="O95" s="14" t="str">
        <f>VLOOKUP(N95,Stock[#Data],2,FALSE)</f>
        <v>ဇေယျဝတီ Red (1 Liter) 30%</v>
      </c>
      <c r="P95" s="44">
        <f>VLOOKUP(N95,Stock[#Data],3,FALSE)</f>
        <v>1</v>
      </c>
      <c r="Q95" s="3">
        <f>VLOOKUP(N95,Stock[#Data],4,FALSE)</f>
        <v>12</v>
      </c>
      <c r="R95" s="11"/>
      <c r="S95" s="45">
        <f>IFERROR(Table4[[#This Row],[Bottle]]/Table4[[#This Row],[ပါဝင်မှု]]+Table4[[#This Row],[SalesPK]],0)</f>
        <v>50</v>
      </c>
      <c r="T95" s="12">
        <v>50</v>
      </c>
      <c r="U95" s="10">
        <f>Table4[[#This Row],[ပါဝင်မှု]]*Table4[[#This Row],[SalesPK]]+Table4[[#This Row],[Bottle]]</f>
        <v>600</v>
      </c>
      <c r="V95" s="10">
        <f>Table4[[#This Row],[SalesBot]]*Table4[[#This Row],[ML]]</f>
        <v>600</v>
      </c>
      <c r="W95" s="1">
        <f>VLOOKUP(N95,Stock[#Data],6,FALSE)</f>
        <v>1710</v>
      </c>
      <c r="X95" s="8">
        <f>+Table4[[#This Row],[SalesBot]]*Table4[[#This Row],[နှုံး]]</f>
        <v>1026000</v>
      </c>
      <c r="Y95" s="12"/>
      <c r="Z95" s="12"/>
      <c r="AA95" s="12"/>
      <c r="AB95" s="9"/>
      <c r="AC95" s="12">
        <v>1026000</v>
      </c>
      <c r="AD95" s="9"/>
      <c r="AE95" s="12"/>
      <c r="AF9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95" s="24"/>
      <c r="AH95" s="266">
        <f>Table4[[#This Row],[Date]]</f>
        <v>46029</v>
      </c>
      <c r="AI95" s="264" t="str">
        <f t="shared" si="14"/>
        <v>Jan</v>
      </c>
      <c r="AJ95" s="264" t="str">
        <f t="shared" si="15"/>
        <v>2026</v>
      </c>
      <c r="AK95" s="270" t="str">
        <f>Table4[[#This Row],[ကုန်သည်အမည်]]</f>
        <v>ကိုရဲ</v>
      </c>
      <c r="AL95" s="270" t="str">
        <f>Table4[[#This Row],[Township]]</f>
        <v>Yay</v>
      </c>
      <c r="AM95" s="271" t="str">
        <f>Table4[[#This Row],[WholeSales]]</f>
        <v>Van Sales</v>
      </c>
      <c r="AN95" s="272" t="str">
        <f>Table4[[#This Row],[Particular]]</f>
        <v>ကုန်ရောင်း(လက်ငင်း)</v>
      </c>
      <c r="AO95" s="273" t="str">
        <f>Table4[[#This Row],[StockName]]</f>
        <v>ဇေယျဝတီ Red (1 Liter) 30%</v>
      </c>
      <c r="AP95" s="268">
        <f>Table4[[#This Row],[Parking]]</f>
        <v>50</v>
      </c>
      <c r="AQ95" s="268">
        <f>Table4[[#This Row],[SalesBot]]</f>
        <v>600</v>
      </c>
      <c r="AR95" s="268">
        <f>Table4[[#This Row],[Liter]]</f>
        <v>600</v>
      </c>
    </row>
    <row r="96" spans="1:44" s="16" customFormat="1" hidden="1" x14ac:dyDescent="0.5">
      <c r="A96" s="3">
        <f t="shared" si="10"/>
        <v>2026</v>
      </c>
      <c r="B96" s="8">
        <f t="shared" si="11"/>
        <v>1</v>
      </c>
      <c r="C96" s="6">
        <v>46030</v>
      </c>
      <c r="D96" s="15">
        <f t="shared" ca="1" si="12"/>
        <v>46097</v>
      </c>
      <c r="E96" s="15" t="str">
        <f t="shared" ca="1" si="13"/>
        <v>2-Months</v>
      </c>
      <c r="F96" s="8" t="str">
        <f>VLOOKUP(N96,Stock[#Data],5,FALSE)</f>
        <v>BE</v>
      </c>
      <c r="G96" s="82" t="s">
        <v>687</v>
      </c>
      <c r="H96" s="15"/>
      <c r="I96" s="7" t="s">
        <v>95</v>
      </c>
      <c r="J96" s="8" t="str">
        <f>VLOOKUP(I96,Customers[#Data],2,FALSE)</f>
        <v>ကျော်စတား</v>
      </c>
      <c r="K96" s="15" t="str">
        <f>VLOOKUP(I96,Customers[#Data],4,FALSE)</f>
        <v>Yay</v>
      </c>
      <c r="L96" s="15" t="str">
        <f>VLOOKUP(I96,Customers[#Data],5,FALSE)</f>
        <v>WholeSales</v>
      </c>
      <c r="M96" s="7" t="s">
        <v>7</v>
      </c>
      <c r="N96" s="7" t="s">
        <v>514</v>
      </c>
      <c r="O96" s="14" t="str">
        <f>VLOOKUP(N96,Stock[#Data],2,FALSE)</f>
        <v>ဇေယျဝတီ Red</v>
      </c>
      <c r="P96" s="44">
        <f>VLOOKUP(N96,Stock[#Data],3,FALSE)</f>
        <v>0.64</v>
      </c>
      <c r="Q96" s="3">
        <f>VLOOKUP(N96,Stock[#Data],4,FALSE)</f>
        <v>14</v>
      </c>
      <c r="R96" s="11"/>
      <c r="S96" s="45">
        <f>IFERROR(Table4[[#This Row],[Bottle]]/Table4[[#This Row],[ပါဝင်မှု]]+Table4[[#This Row],[SalesPK]],0)</f>
        <v>100</v>
      </c>
      <c r="T96" s="12">
        <v>100</v>
      </c>
      <c r="U96" s="10">
        <f>Table4[[#This Row],[ပါဝင်မှု]]*Table4[[#This Row],[SalesPK]]+Table4[[#This Row],[Bottle]]</f>
        <v>1400</v>
      </c>
      <c r="V96" s="10">
        <f>Table4[[#This Row],[SalesBot]]*Table4[[#This Row],[ML]]</f>
        <v>896</v>
      </c>
      <c r="W96" s="1">
        <f>VLOOKUP(N96,Stock[#Data],6,FALSE)</f>
        <v>1350</v>
      </c>
      <c r="X96" s="8">
        <f>+Table4[[#This Row],[SalesBot]]*Table4[[#This Row],[နှုံး]]</f>
        <v>1890000</v>
      </c>
      <c r="Y96" s="12"/>
      <c r="Z96" s="12"/>
      <c r="AA96" s="12"/>
      <c r="AB96" s="9">
        <v>46041</v>
      </c>
      <c r="AC96" s="12">
        <v>1890000</v>
      </c>
      <c r="AD96" s="9"/>
      <c r="AE96" s="12"/>
      <c r="AF9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96" s="24"/>
      <c r="AH96" s="266">
        <f>Table4[[#This Row],[Date]]</f>
        <v>46030</v>
      </c>
      <c r="AI96" s="264" t="str">
        <f t="shared" si="14"/>
        <v>Jan</v>
      </c>
      <c r="AJ96" s="264" t="str">
        <f t="shared" si="15"/>
        <v>2026</v>
      </c>
      <c r="AK96" s="270" t="str">
        <f>Table4[[#This Row],[ကုန်သည်အမည်]]</f>
        <v>ကျော်စတား</v>
      </c>
      <c r="AL96" s="270" t="str">
        <f>Table4[[#This Row],[Township]]</f>
        <v>Yay</v>
      </c>
      <c r="AM96" s="271" t="str">
        <f>Table4[[#This Row],[WholeSales]]</f>
        <v>WholeSales</v>
      </c>
      <c r="AN96" s="272" t="str">
        <f>Table4[[#This Row],[Particular]]</f>
        <v>ကုန်ရောင်း(အကြွေး)</v>
      </c>
      <c r="AO96" s="273" t="str">
        <f>Table4[[#This Row],[StockName]]</f>
        <v>ဇေယျဝတီ Red</v>
      </c>
      <c r="AP96" s="268">
        <f>Table4[[#This Row],[Parking]]</f>
        <v>100</v>
      </c>
      <c r="AQ96" s="268">
        <f>Table4[[#This Row],[SalesBot]]</f>
        <v>1400</v>
      </c>
      <c r="AR96" s="268">
        <f>Table4[[#This Row],[Liter]]</f>
        <v>896</v>
      </c>
    </row>
    <row r="97" spans="1:44" s="16" customFormat="1" hidden="1" x14ac:dyDescent="0.5">
      <c r="A97" s="3">
        <f t="shared" ref="A97:A130" si="16">YEAR(C97)</f>
        <v>2026</v>
      </c>
      <c r="B97" s="8">
        <f t="shared" ref="B97:B130" si="17">MONTH(C97)</f>
        <v>1</v>
      </c>
      <c r="C97" s="6">
        <v>46030</v>
      </c>
      <c r="D97" s="15">
        <f t="shared" ref="D97:D130" ca="1" si="18">TODAY()</f>
        <v>46097</v>
      </c>
      <c r="E97" s="15" t="str">
        <f t="shared" ref="E97:E130" ca="1" si="19">DATEDIF(C97,D97,"M")&amp;"-Months"</f>
        <v>2-Months</v>
      </c>
      <c r="F97" s="8" t="str">
        <f>VLOOKUP(N97,Stock[#Data],5,FALSE)</f>
        <v>BE</v>
      </c>
      <c r="G97" s="82" t="s">
        <v>687</v>
      </c>
      <c r="H97" s="15"/>
      <c r="I97" s="7" t="s">
        <v>95</v>
      </c>
      <c r="J97" s="8" t="str">
        <f>VLOOKUP(I97,Customers[#Data],2,FALSE)</f>
        <v>ကျော်စတား</v>
      </c>
      <c r="K97" s="15" t="str">
        <f>VLOOKUP(I97,Customers[#Data],4,FALSE)</f>
        <v>Yay</v>
      </c>
      <c r="L97" s="15" t="str">
        <f>VLOOKUP(I97,Customers[#Data],5,FALSE)</f>
        <v>WholeSales</v>
      </c>
      <c r="M97" s="7" t="s">
        <v>7</v>
      </c>
      <c r="N97" s="7" t="s">
        <v>517</v>
      </c>
      <c r="O97" s="14" t="str">
        <f>VLOOKUP(N97,Stock[#Data],2,FALSE)</f>
        <v>ဇေယျဝတီ Red (1 Liter) 30%</v>
      </c>
      <c r="P97" s="44">
        <f>VLOOKUP(N97,Stock[#Data],3,FALSE)</f>
        <v>1</v>
      </c>
      <c r="Q97" s="3">
        <f>VLOOKUP(N97,Stock[#Data],4,FALSE)</f>
        <v>12</v>
      </c>
      <c r="R97" s="11"/>
      <c r="S97" s="45">
        <f>IFERROR(Table4[[#This Row],[Bottle]]/Table4[[#This Row],[ပါဝင်မှု]]+Table4[[#This Row],[SalesPK]],0)</f>
        <v>200</v>
      </c>
      <c r="T97" s="12">
        <v>200</v>
      </c>
      <c r="U97" s="10">
        <f>Table4[[#This Row],[ပါဝင်မှု]]*Table4[[#This Row],[SalesPK]]+Table4[[#This Row],[Bottle]]</f>
        <v>2400</v>
      </c>
      <c r="V97" s="10">
        <f>Table4[[#This Row],[SalesBot]]*Table4[[#This Row],[ML]]</f>
        <v>2400</v>
      </c>
      <c r="W97" s="1">
        <f>VLOOKUP(N97,Stock[#Data],6,FALSE)</f>
        <v>1710</v>
      </c>
      <c r="X97" s="8">
        <f>+Table4[[#This Row],[SalesBot]]*Table4[[#This Row],[နှုံး]]</f>
        <v>4104000</v>
      </c>
      <c r="Y97" s="12"/>
      <c r="Z97" s="12"/>
      <c r="AA97" s="12"/>
      <c r="AB97" s="9">
        <v>46041</v>
      </c>
      <c r="AC97" s="12">
        <v>4104000</v>
      </c>
      <c r="AD97" s="9"/>
      <c r="AE97" s="12"/>
      <c r="AF9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97" s="24"/>
      <c r="AH97" s="266">
        <f>Table4[[#This Row],[Date]]</f>
        <v>46030</v>
      </c>
      <c r="AI97" s="264" t="str">
        <f t="shared" si="14"/>
        <v>Jan</v>
      </c>
      <c r="AJ97" s="264" t="str">
        <f t="shared" si="15"/>
        <v>2026</v>
      </c>
      <c r="AK97" s="270" t="str">
        <f>Table4[[#This Row],[ကုန်သည်အမည်]]</f>
        <v>ကျော်စတား</v>
      </c>
      <c r="AL97" s="270" t="str">
        <f>Table4[[#This Row],[Township]]</f>
        <v>Yay</v>
      </c>
      <c r="AM97" s="271" t="str">
        <f>Table4[[#This Row],[WholeSales]]</f>
        <v>WholeSales</v>
      </c>
      <c r="AN97" s="272" t="str">
        <f>Table4[[#This Row],[Particular]]</f>
        <v>ကုန်ရောင်း(အကြွေး)</v>
      </c>
      <c r="AO97" s="273" t="str">
        <f>Table4[[#This Row],[StockName]]</f>
        <v>ဇေယျဝတီ Red (1 Liter) 30%</v>
      </c>
      <c r="AP97" s="268">
        <f>Table4[[#This Row],[Parking]]</f>
        <v>200</v>
      </c>
      <c r="AQ97" s="268">
        <f>Table4[[#This Row],[SalesBot]]</f>
        <v>2400</v>
      </c>
      <c r="AR97" s="268">
        <f>Table4[[#This Row],[Liter]]</f>
        <v>2400</v>
      </c>
    </row>
    <row r="98" spans="1:44" s="16" customFormat="1" hidden="1" x14ac:dyDescent="0.5">
      <c r="A98" s="3">
        <f t="shared" si="16"/>
        <v>2026</v>
      </c>
      <c r="B98" s="8">
        <f t="shared" si="17"/>
        <v>1</v>
      </c>
      <c r="C98" s="6">
        <v>46030</v>
      </c>
      <c r="D98" s="15">
        <f t="shared" ca="1" si="18"/>
        <v>46097</v>
      </c>
      <c r="E98" s="15" t="str">
        <f t="shared" ca="1" si="19"/>
        <v>2-Months</v>
      </c>
      <c r="F98" s="8" t="str">
        <f>VLOOKUP(N98,Stock[#Data],5,FALSE)</f>
        <v>BE</v>
      </c>
      <c r="G98" s="82" t="s">
        <v>688</v>
      </c>
      <c r="H98" s="15"/>
      <c r="I98" s="7" t="s">
        <v>586</v>
      </c>
      <c r="J98" s="8" t="str">
        <f>VLOOKUP(I98,Customers[#Data],2,FALSE)</f>
        <v>ကိုကြီး</v>
      </c>
      <c r="K98" s="15" t="str">
        <f>VLOOKUP(I98,Customers[#Data],4,FALSE)</f>
        <v>Maw La Myaing</v>
      </c>
      <c r="L98" s="15" t="str">
        <f>VLOOKUP(I98,Customers[#Data],5,FALSE)</f>
        <v>Van Sales</v>
      </c>
      <c r="M98" s="7" t="s">
        <v>6</v>
      </c>
      <c r="N98" s="7" t="s">
        <v>516</v>
      </c>
      <c r="O98" s="14" t="str">
        <f>VLOOKUP(N98,Stock[#Data],2,FALSE)</f>
        <v>ဇေ Vodka</v>
      </c>
      <c r="P98" s="44">
        <f>VLOOKUP(N98,Stock[#Data],3,FALSE)</f>
        <v>0.64</v>
      </c>
      <c r="Q98" s="3">
        <f>VLOOKUP(N98,Stock[#Data],4,FALSE)</f>
        <v>14</v>
      </c>
      <c r="R98" s="11"/>
      <c r="S98" s="45">
        <f>IFERROR(Table4[[#This Row],[Bottle]]/Table4[[#This Row],[ပါဝင်မှု]]+Table4[[#This Row],[SalesPK]],0)</f>
        <v>25</v>
      </c>
      <c r="T98" s="12">
        <v>25</v>
      </c>
      <c r="U98" s="10">
        <f>Table4[[#This Row],[ပါဝင်မှု]]*Table4[[#This Row],[SalesPK]]+Table4[[#This Row],[Bottle]]</f>
        <v>350</v>
      </c>
      <c r="V98" s="10">
        <f>Table4[[#This Row],[SalesBot]]*Table4[[#This Row],[ML]]</f>
        <v>224</v>
      </c>
      <c r="W98" s="1">
        <f>VLOOKUP(N98,Stock[#Data],6,FALSE)</f>
        <v>1400</v>
      </c>
      <c r="X98" s="8">
        <f>+Table4[[#This Row],[SalesBot]]*Table4[[#This Row],[နှုံး]]</f>
        <v>490000</v>
      </c>
      <c r="Y98" s="12"/>
      <c r="Z98" s="12"/>
      <c r="AA98" s="12"/>
      <c r="AB98" s="9"/>
      <c r="AC98" s="12">
        <v>490000</v>
      </c>
      <c r="AD98" s="9"/>
      <c r="AE98" s="12"/>
      <c r="AF9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98" s="24"/>
      <c r="AH98" s="266">
        <f>Table4[[#This Row],[Date]]</f>
        <v>46030</v>
      </c>
      <c r="AI98" s="264" t="str">
        <f t="shared" si="14"/>
        <v>Jan</v>
      </c>
      <c r="AJ98" s="264" t="str">
        <f t="shared" si="15"/>
        <v>2026</v>
      </c>
      <c r="AK98" s="270" t="str">
        <f>Table4[[#This Row],[ကုန်သည်အမည်]]</f>
        <v>ကိုကြီး</v>
      </c>
      <c r="AL98" s="270" t="str">
        <f>Table4[[#This Row],[Township]]</f>
        <v>Maw La Myaing</v>
      </c>
      <c r="AM98" s="271" t="str">
        <f>Table4[[#This Row],[WholeSales]]</f>
        <v>Van Sales</v>
      </c>
      <c r="AN98" s="272" t="str">
        <f>Table4[[#This Row],[Particular]]</f>
        <v>ကုန်ရောင်း(လက်ငင်း)</v>
      </c>
      <c r="AO98" s="273" t="str">
        <f>Table4[[#This Row],[StockName]]</f>
        <v>ဇေ Vodka</v>
      </c>
      <c r="AP98" s="268">
        <f>Table4[[#This Row],[Parking]]</f>
        <v>25</v>
      </c>
      <c r="AQ98" s="268">
        <f>Table4[[#This Row],[SalesBot]]</f>
        <v>350</v>
      </c>
      <c r="AR98" s="268">
        <f>Table4[[#This Row],[Liter]]</f>
        <v>224</v>
      </c>
    </row>
    <row r="99" spans="1:44" s="16" customFormat="1" hidden="1" x14ac:dyDescent="0.5">
      <c r="A99" s="3">
        <f t="shared" si="16"/>
        <v>2026</v>
      </c>
      <c r="B99" s="8">
        <f t="shared" si="17"/>
        <v>1</v>
      </c>
      <c r="C99" s="6">
        <v>46030</v>
      </c>
      <c r="D99" s="15">
        <f t="shared" ca="1" si="18"/>
        <v>46097</v>
      </c>
      <c r="E99" s="15" t="str">
        <f t="shared" ca="1" si="19"/>
        <v>2-Months</v>
      </c>
      <c r="F99" s="8" t="str">
        <f>VLOOKUP(N99,Stock[#Data],5,FALSE)</f>
        <v>BE</v>
      </c>
      <c r="G99" s="82" t="s">
        <v>689</v>
      </c>
      <c r="H99" s="15"/>
      <c r="I99" s="7" t="s">
        <v>106</v>
      </c>
      <c r="J99" s="8" t="str">
        <f>VLOOKUP(I99,Customers[#Data],2,FALSE)</f>
        <v>ကိုမျိုးအောင်</v>
      </c>
      <c r="K99" s="15" t="str">
        <f>VLOOKUP(I99,Customers[#Data],4,FALSE)</f>
        <v>Maw La Myaing</v>
      </c>
      <c r="L99" s="15" t="str">
        <f>VLOOKUP(I99,Customers[#Data],5,FALSE)</f>
        <v>WholeSales</v>
      </c>
      <c r="M99" s="7" t="s">
        <v>6</v>
      </c>
      <c r="N99" s="7" t="s">
        <v>516</v>
      </c>
      <c r="O99" s="14" t="str">
        <f>VLOOKUP(N99,Stock[#Data],2,FALSE)</f>
        <v>ဇေ Vodka</v>
      </c>
      <c r="P99" s="44">
        <f>VLOOKUP(N99,Stock[#Data],3,FALSE)</f>
        <v>0.64</v>
      </c>
      <c r="Q99" s="3">
        <f>VLOOKUP(N99,Stock[#Data],4,FALSE)</f>
        <v>14</v>
      </c>
      <c r="R99" s="11"/>
      <c r="S99" s="45">
        <f>IFERROR(Table4[[#This Row],[Bottle]]/Table4[[#This Row],[ပါဝင်မှု]]+Table4[[#This Row],[SalesPK]],0)</f>
        <v>20</v>
      </c>
      <c r="T99" s="12">
        <v>20</v>
      </c>
      <c r="U99" s="10">
        <f>Table4[[#This Row],[ပါဝင်မှု]]*Table4[[#This Row],[SalesPK]]+Table4[[#This Row],[Bottle]]</f>
        <v>280</v>
      </c>
      <c r="V99" s="10">
        <f>Table4[[#This Row],[SalesBot]]*Table4[[#This Row],[ML]]</f>
        <v>179.20000000000002</v>
      </c>
      <c r="W99" s="1">
        <f>VLOOKUP(N99,Stock[#Data],6,FALSE)</f>
        <v>1400</v>
      </c>
      <c r="X99" s="8">
        <f>+Table4[[#This Row],[SalesBot]]*Table4[[#This Row],[နှုံး]]</f>
        <v>392000</v>
      </c>
      <c r="Y99" s="12"/>
      <c r="Z99" s="12"/>
      <c r="AA99" s="12"/>
      <c r="AB99" s="9"/>
      <c r="AC99" s="12">
        <v>392000</v>
      </c>
      <c r="AD99" s="9"/>
      <c r="AE99" s="12"/>
      <c r="AF9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99" s="24"/>
      <c r="AH99" s="266">
        <f>Table4[[#This Row],[Date]]</f>
        <v>46030</v>
      </c>
      <c r="AI99" s="264" t="str">
        <f t="shared" si="14"/>
        <v>Jan</v>
      </c>
      <c r="AJ99" s="264" t="str">
        <f t="shared" si="15"/>
        <v>2026</v>
      </c>
      <c r="AK99" s="270" t="str">
        <f>Table4[[#This Row],[ကုန်သည်အမည်]]</f>
        <v>ကိုမျိုးအောင်</v>
      </c>
      <c r="AL99" s="270" t="str">
        <f>Table4[[#This Row],[Township]]</f>
        <v>Maw La Myaing</v>
      </c>
      <c r="AM99" s="271" t="str">
        <f>Table4[[#This Row],[WholeSales]]</f>
        <v>WholeSales</v>
      </c>
      <c r="AN99" s="272" t="str">
        <f>Table4[[#This Row],[Particular]]</f>
        <v>ကုန်ရောင်း(လက်ငင်း)</v>
      </c>
      <c r="AO99" s="273" t="str">
        <f>Table4[[#This Row],[StockName]]</f>
        <v>ဇေ Vodka</v>
      </c>
      <c r="AP99" s="268">
        <f>Table4[[#This Row],[Parking]]</f>
        <v>20</v>
      </c>
      <c r="AQ99" s="268">
        <f>Table4[[#This Row],[SalesBot]]</f>
        <v>280</v>
      </c>
      <c r="AR99" s="268">
        <f>Table4[[#This Row],[Liter]]</f>
        <v>179.20000000000002</v>
      </c>
    </row>
    <row r="100" spans="1:44" s="16" customFormat="1" hidden="1" x14ac:dyDescent="0.5">
      <c r="A100" s="3">
        <f t="shared" si="16"/>
        <v>2026</v>
      </c>
      <c r="B100" s="8">
        <f t="shared" si="17"/>
        <v>1</v>
      </c>
      <c r="C100" s="6">
        <v>46030</v>
      </c>
      <c r="D100" s="15">
        <f t="shared" ca="1" si="18"/>
        <v>46097</v>
      </c>
      <c r="E100" s="15" t="str">
        <f t="shared" ca="1" si="19"/>
        <v>2-Months</v>
      </c>
      <c r="F100" s="8" t="str">
        <f>VLOOKUP(N100,Stock[#Data],5,FALSE)</f>
        <v>BE</v>
      </c>
      <c r="G100" s="82" t="s">
        <v>690</v>
      </c>
      <c r="H100" s="15"/>
      <c r="I100" s="7" t="s">
        <v>103</v>
      </c>
      <c r="J100" s="8" t="str">
        <f>VLOOKUP(I100,Customers[#Data],2,FALSE)</f>
        <v>ကိုဘိုနီ</v>
      </c>
      <c r="K100" s="15" t="str">
        <f>VLOOKUP(I100,Customers[#Data],4,FALSE)</f>
        <v>Belin</v>
      </c>
      <c r="L100" s="15" t="str">
        <f>VLOOKUP(I100,Customers[#Data],5,FALSE)</f>
        <v>Van Sales</v>
      </c>
      <c r="M100" s="7" t="s">
        <v>6</v>
      </c>
      <c r="N100" s="7" t="s">
        <v>516</v>
      </c>
      <c r="O100" s="14" t="str">
        <f>VLOOKUP(N100,Stock[#Data],2,FALSE)</f>
        <v>ဇေ Vodka</v>
      </c>
      <c r="P100" s="44">
        <f>VLOOKUP(N100,Stock[#Data],3,FALSE)</f>
        <v>0.64</v>
      </c>
      <c r="Q100" s="3">
        <f>VLOOKUP(N100,Stock[#Data],4,FALSE)</f>
        <v>14</v>
      </c>
      <c r="R100" s="11"/>
      <c r="S100" s="45">
        <f>IFERROR(Table4[[#This Row],[Bottle]]/Table4[[#This Row],[ပါဝင်မှု]]+Table4[[#This Row],[SalesPK]],0)</f>
        <v>10</v>
      </c>
      <c r="T100" s="12">
        <v>10</v>
      </c>
      <c r="U100" s="10">
        <f>Table4[[#This Row],[ပါဝင်မှု]]*Table4[[#This Row],[SalesPK]]+Table4[[#This Row],[Bottle]]</f>
        <v>140</v>
      </c>
      <c r="V100" s="10">
        <f>Table4[[#This Row],[SalesBot]]*Table4[[#This Row],[ML]]</f>
        <v>89.600000000000009</v>
      </c>
      <c r="W100" s="1">
        <f>VLOOKUP(N100,Stock[#Data],6,FALSE)</f>
        <v>1400</v>
      </c>
      <c r="X100" s="8">
        <f>+Table4[[#This Row],[SalesBot]]*Table4[[#This Row],[နှုံး]]</f>
        <v>196000</v>
      </c>
      <c r="Y100" s="12"/>
      <c r="Z100" s="12"/>
      <c r="AA100" s="12"/>
      <c r="AB100" s="9"/>
      <c r="AC100" s="12">
        <v>196000</v>
      </c>
      <c r="AD100" s="9"/>
      <c r="AE100" s="12"/>
      <c r="AF10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00" s="24"/>
      <c r="AH100" s="266">
        <f>Table4[[#This Row],[Date]]</f>
        <v>46030</v>
      </c>
      <c r="AI100" s="264" t="str">
        <f t="shared" si="14"/>
        <v>Jan</v>
      </c>
      <c r="AJ100" s="264" t="str">
        <f t="shared" si="15"/>
        <v>2026</v>
      </c>
      <c r="AK100" s="270" t="str">
        <f>Table4[[#This Row],[ကုန်သည်အမည်]]</f>
        <v>ကိုဘိုနီ</v>
      </c>
      <c r="AL100" s="270" t="str">
        <f>Table4[[#This Row],[Township]]</f>
        <v>Belin</v>
      </c>
      <c r="AM100" s="271" t="str">
        <f>Table4[[#This Row],[WholeSales]]</f>
        <v>Van Sales</v>
      </c>
      <c r="AN100" s="272" t="str">
        <f>Table4[[#This Row],[Particular]]</f>
        <v>ကုန်ရောင်း(လက်ငင်း)</v>
      </c>
      <c r="AO100" s="273" t="str">
        <f>Table4[[#This Row],[StockName]]</f>
        <v>ဇေ Vodka</v>
      </c>
      <c r="AP100" s="268">
        <f>Table4[[#This Row],[Parking]]</f>
        <v>10</v>
      </c>
      <c r="AQ100" s="268">
        <f>Table4[[#This Row],[SalesBot]]</f>
        <v>140</v>
      </c>
      <c r="AR100" s="268">
        <f>Table4[[#This Row],[Liter]]</f>
        <v>89.600000000000009</v>
      </c>
    </row>
    <row r="101" spans="1:44" s="16" customFormat="1" hidden="1" x14ac:dyDescent="0.5">
      <c r="A101" s="3">
        <f t="shared" si="16"/>
        <v>2026</v>
      </c>
      <c r="B101" s="8">
        <f t="shared" si="17"/>
        <v>1</v>
      </c>
      <c r="C101" s="6">
        <v>46030</v>
      </c>
      <c r="D101" s="15">
        <f t="shared" ca="1" si="18"/>
        <v>46097</v>
      </c>
      <c r="E101" s="15" t="str">
        <f t="shared" ca="1" si="19"/>
        <v>2-Months</v>
      </c>
      <c r="F101" s="8" t="str">
        <f>VLOOKUP(N101,Stock[#Data],5,FALSE)</f>
        <v>BE</v>
      </c>
      <c r="G101" s="82" t="s">
        <v>691</v>
      </c>
      <c r="H101" s="15"/>
      <c r="I101" s="7" t="s">
        <v>112</v>
      </c>
      <c r="J101" s="8" t="str">
        <f>VLOOKUP(I101,Customers[#Data],2,FALSE)</f>
        <v>ကို၀ဏ္ဏ</v>
      </c>
      <c r="K101" s="15" t="str">
        <f>VLOOKUP(I101,Customers[#Data],4,FALSE)</f>
        <v>Maw La Myaing</v>
      </c>
      <c r="L101" s="15" t="str">
        <f>VLOOKUP(I101,Customers[#Data],5,FALSE)</f>
        <v>Van Sales</v>
      </c>
      <c r="M101" s="7" t="s">
        <v>6</v>
      </c>
      <c r="N101" s="7" t="s">
        <v>516</v>
      </c>
      <c r="O101" s="14" t="str">
        <f>VLOOKUP(N101,Stock[#Data],2,FALSE)</f>
        <v>ဇေ Vodka</v>
      </c>
      <c r="P101" s="44">
        <f>VLOOKUP(N101,Stock[#Data],3,FALSE)</f>
        <v>0.64</v>
      </c>
      <c r="Q101" s="3">
        <f>VLOOKUP(N101,Stock[#Data],4,FALSE)</f>
        <v>14</v>
      </c>
      <c r="R101" s="11"/>
      <c r="S101" s="45">
        <f>IFERROR(Table4[[#This Row],[Bottle]]/Table4[[#This Row],[ပါဝင်မှု]]+Table4[[#This Row],[SalesPK]],0)</f>
        <v>10</v>
      </c>
      <c r="T101" s="12">
        <v>10</v>
      </c>
      <c r="U101" s="10">
        <f>Table4[[#This Row],[ပါဝင်မှု]]*Table4[[#This Row],[SalesPK]]+Table4[[#This Row],[Bottle]]</f>
        <v>140</v>
      </c>
      <c r="V101" s="10">
        <f>Table4[[#This Row],[SalesBot]]*Table4[[#This Row],[ML]]</f>
        <v>89.600000000000009</v>
      </c>
      <c r="W101" s="1">
        <f>VLOOKUP(N101,Stock[#Data],6,FALSE)</f>
        <v>1400</v>
      </c>
      <c r="X101" s="8">
        <f>+Table4[[#This Row],[SalesBot]]*Table4[[#This Row],[နှုံး]]</f>
        <v>196000</v>
      </c>
      <c r="Y101" s="12"/>
      <c r="Z101" s="12"/>
      <c r="AA101" s="12"/>
      <c r="AB101" s="9"/>
      <c r="AC101" s="12">
        <v>196000</v>
      </c>
      <c r="AD101" s="9"/>
      <c r="AE101" s="12"/>
      <c r="AF10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01" s="24"/>
      <c r="AH101" s="266">
        <f>Table4[[#This Row],[Date]]</f>
        <v>46030</v>
      </c>
      <c r="AI101" s="264" t="str">
        <f t="shared" si="14"/>
        <v>Jan</v>
      </c>
      <c r="AJ101" s="264" t="str">
        <f t="shared" si="15"/>
        <v>2026</v>
      </c>
      <c r="AK101" s="270" t="str">
        <f>Table4[[#This Row],[ကုန်သည်အမည်]]</f>
        <v>ကို၀ဏ္ဏ</v>
      </c>
      <c r="AL101" s="270" t="str">
        <f>Table4[[#This Row],[Township]]</f>
        <v>Maw La Myaing</v>
      </c>
      <c r="AM101" s="271" t="str">
        <f>Table4[[#This Row],[WholeSales]]</f>
        <v>Van Sales</v>
      </c>
      <c r="AN101" s="272" t="str">
        <f>Table4[[#This Row],[Particular]]</f>
        <v>ကုန်ရောင်း(လက်ငင်း)</v>
      </c>
      <c r="AO101" s="273" t="str">
        <f>Table4[[#This Row],[StockName]]</f>
        <v>ဇေ Vodka</v>
      </c>
      <c r="AP101" s="268">
        <f>Table4[[#This Row],[Parking]]</f>
        <v>10</v>
      </c>
      <c r="AQ101" s="268">
        <f>Table4[[#This Row],[SalesBot]]</f>
        <v>140</v>
      </c>
      <c r="AR101" s="268">
        <f>Table4[[#This Row],[Liter]]</f>
        <v>89.600000000000009</v>
      </c>
    </row>
    <row r="102" spans="1:44" s="16" customFormat="1" hidden="1" x14ac:dyDescent="0.5">
      <c r="A102" s="3">
        <f t="shared" si="16"/>
        <v>2026</v>
      </c>
      <c r="B102" s="8">
        <f t="shared" si="17"/>
        <v>1</v>
      </c>
      <c r="C102" s="6">
        <v>46030</v>
      </c>
      <c r="D102" s="15">
        <f t="shared" ca="1" si="18"/>
        <v>46097</v>
      </c>
      <c r="E102" s="15" t="str">
        <f t="shared" ca="1" si="19"/>
        <v>2-Months</v>
      </c>
      <c r="F102" s="8" t="str">
        <f>VLOOKUP(N102,Stock[#Data],5,FALSE)</f>
        <v>BE</v>
      </c>
      <c r="G102" s="82" t="s">
        <v>692</v>
      </c>
      <c r="H102" s="15"/>
      <c r="I102" s="7" t="s">
        <v>696</v>
      </c>
      <c r="J102" s="8" t="str">
        <f>VLOOKUP(I102,Customers[#Data],2,FALSE)</f>
        <v>Golden Bell</v>
      </c>
      <c r="K102" s="15" t="str">
        <f>VLOOKUP(I102,Customers[#Data],4,FALSE)</f>
        <v>Maw La Myaing</v>
      </c>
      <c r="L102" s="15" t="str">
        <f>VLOOKUP(I102,Customers[#Data],5,FALSE)</f>
        <v>Van Sales</v>
      </c>
      <c r="M102" s="7" t="s">
        <v>6</v>
      </c>
      <c r="N102" s="7" t="s">
        <v>516</v>
      </c>
      <c r="O102" s="14" t="str">
        <f>VLOOKUP(N102,Stock[#Data],2,FALSE)</f>
        <v>ဇေ Vodka</v>
      </c>
      <c r="P102" s="44">
        <f>VLOOKUP(N102,Stock[#Data],3,FALSE)</f>
        <v>0.64</v>
      </c>
      <c r="Q102" s="3">
        <f>VLOOKUP(N102,Stock[#Data],4,FALSE)</f>
        <v>14</v>
      </c>
      <c r="R102" s="11"/>
      <c r="S102" s="45">
        <f>IFERROR(Table4[[#This Row],[Bottle]]/Table4[[#This Row],[ပါဝင်မှု]]+Table4[[#This Row],[SalesPK]],0)</f>
        <v>10</v>
      </c>
      <c r="T102" s="12">
        <v>10</v>
      </c>
      <c r="U102" s="10">
        <f>Table4[[#This Row],[ပါဝင်မှု]]*Table4[[#This Row],[SalesPK]]+Table4[[#This Row],[Bottle]]</f>
        <v>140</v>
      </c>
      <c r="V102" s="10">
        <f>Table4[[#This Row],[SalesBot]]*Table4[[#This Row],[ML]]</f>
        <v>89.600000000000009</v>
      </c>
      <c r="W102" s="1">
        <f>VLOOKUP(N102,Stock[#Data],6,FALSE)</f>
        <v>1400</v>
      </c>
      <c r="X102" s="8">
        <f>+Table4[[#This Row],[SalesBot]]*Table4[[#This Row],[နှုံး]]</f>
        <v>196000</v>
      </c>
      <c r="Y102" s="12"/>
      <c r="Z102" s="12"/>
      <c r="AA102" s="12"/>
      <c r="AB102" s="9"/>
      <c r="AC102" s="12">
        <v>196000</v>
      </c>
      <c r="AD102" s="9"/>
      <c r="AE102" s="12"/>
      <c r="AF10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02" s="24"/>
      <c r="AH102" s="266">
        <f>Table4[[#This Row],[Date]]</f>
        <v>46030</v>
      </c>
      <c r="AI102" s="264" t="str">
        <f t="shared" si="14"/>
        <v>Jan</v>
      </c>
      <c r="AJ102" s="264" t="str">
        <f t="shared" si="15"/>
        <v>2026</v>
      </c>
      <c r="AK102" s="270" t="str">
        <f>Table4[[#This Row],[ကုန်သည်အမည်]]</f>
        <v>Golden Bell</v>
      </c>
      <c r="AL102" s="270" t="str">
        <f>Table4[[#This Row],[Township]]</f>
        <v>Maw La Myaing</v>
      </c>
      <c r="AM102" s="271" t="str">
        <f>Table4[[#This Row],[WholeSales]]</f>
        <v>Van Sales</v>
      </c>
      <c r="AN102" s="272" t="str">
        <f>Table4[[#This Row],[Particular]]</f>
        <v>ကုန်ရောင်း(လက်ငင်း)</v>
      </c>
      <c r="AO102" s="273" t="str">
        <f>Table4[[#This Row],[StockName]]</f>
        <v>ဇေ Vodka</v>
      </c>
      <c r="AP102" s="268">
        <f>Table4[[#This Row],[Parking]]</f>
        <v>10</v>
      </c>
      <c r="AQ102" s="268">
        <f>Table4[[#This Row],[SalesBot]]</f>
        <v>140</v>
      </c>
      <c r="AR102" s="268">
        <f>Table4[[#This Row],[Liter]]</f>
        <v>89.600000000000009</v>
      </c>
    </row>
    <row r="103" spans="1:44" s="16" customFormat="1" hidden="1" x14ac:dyDescent="0.5">
      <c r="A103" s="3">
        <f t="shared" si="16"/>
        <v>2026</v>
      </c>
      <c r="B103" s="8">
        <f t="shared" si="17"/>
        <v>1</v>
      </c>
      <c r="C103" s="6">
        <v>46030</v>
      </c>
      <c r="D103" s="15">
        <f t="shared" ca="1" si="18"/>
        <v>46097</v>
      </c>
      <c r="E103" s="15" t="str">
        <f t="shared" ca="1" si="19"/>
        <v>2-Months</v>
      </c>
      <c r="F103" s="8" t="str">
        <f>VLOOKUP(N103,Stock[#Data],5,FALSE)</f>
        <v>BE</v>
      </c>
      <c r="G103" s="82" t="s">
        <v>693</v>
      </c>
      <c r="H103" s="15"/>
      <c r="I103" s="7" t="s">
        <v>697</v>
      </c>
      <c r="J103" s="8" t="str">
        <f>VLOOKUP(I103,Customers[#Data],2,FALSE)</f>
        <v>ကိုညီညီဆွေ</v>
      </c>
      <c r="K103" s="15" t="str">
        <f>VLOOKUP(I103,Customers[#Data],4,FALSE)</f>
        <v>Maw La Myaing</v>
      </c>
      <c r="L103" s="15" t="str">
        <f>VLOOKUP(I103,Customers[#Data],5,FALSE)</f>
        <v>WholeSales</v>
      </c>
      <c r="M103" s="7" t="s">
        <v>6</v>
      </c>
      <c r="N103" s="7" t="s">
        <v>516</v>
      </c>
      <c r="O103" s="14" t="str">
        <f>VLOOKUP(N103,Stock[#Data],2,FALSE)</f>
        <v>ဇေ Vodka</v>
      </c>
      <c r="P103" s="44">
        <f>VLOOKUP(N103,Stock[#Data],3,FALSE)</f>
        <v>0.64</v>
      </c>
      <c r="Q103" s="3">
        <f>VLOOKUP(N103,Stock[#Data],4,FALSE)</f>
        <v>14</v>
      </c>
      <c r="R103" s="11"/>
      <c r="S103" s="45">
        <f>IFERROR(Table4[[#This Row],[Bottle]]/Table4[[#This Row],[ပါဝင်မှု]]+Table4[[#This Row],[SalesPK]],0)</f>
        <v>100</v>
      </c>
      <c r="T103" s="12">
        <v>100</v>
      </c>
      <c r="U103" s="10">
        <f>Table4[[#This Row],[ပါဝင်မှု]]*Table4[[#This Row],[SalesPK]]+Table4[[#This Row],[Bottle]]</f>
        <v>1400</v>
      </c>
      <c r="V103" s="10">
        <f>Table4[[#This Row],[SalesBot]]*Table4[[#This Row],[ML]]</f>
        <v>896</v>
      </c>
      <c r="W103" s="1">
        <f>VLOOKUP(N103,Stock[#Data],6,FALSE)</f>
        <v>1400</v>
      </c>
      <c r="X103" s="8">
        <f>+Table4[[#This Row],[SalesBot]]*Table4[[#This Row],[နှုံး]]</f>
        <v>1960000</v>
      </c>
      <c r="Y103" s="12"/>
      <c r="Z103" s="12"/>
      <c r="AA103" s="12"/>
      <c r="AB103" s="9"/>
      <c r="AC103" s="12">
        <v>1960000</v>
      </c>
      <c r="AD103" s="9"/>
      <c r="AE103" s="12"/>
      <c r="AF10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03" s="24"/>
      <c r="AH103" s="266">
        <f>Table4[[#This Row],[Date]]</f>
        <v>46030</v>
      </c>
      <c r="AI103" s="264" t="str">
        <f t="shared" si="14"/>
        <v>Jan</v>
      </c>
      <c r="AJ103" s="264" t="str">
        <f t="shared" si="15"/>
        <v>2026</v>
      </c>
      <c r="AK103" s="270" t="str">
        <f>Table4[[#This Row],[ကုန်သည်အမည်]]</f>
        <v>ကိုညီညီဆွေ</v>
      </c>
      <c r="AL103" s="270" t="str">
        <f>Table4[[#This Row],[Township]]</f>
        <v>Maw La Myaing</v>
      </c>
      <c r="AM103" s="271" t="str">
        <f>Table4[[#This Row],[WholeSales]]</f>
        <v>WholeSales</v>
      </c>
      <c r="AN103" s="272" t="str">
        <f>Table4[[#This Row],[Particular]]</f>
        <v>ကုန်ရောင်း(လက်ငင်း)</v>
      </c>
      <c r="AO103" s="273" t="str">
        <f>Table4[[#This Row],[StockName]]</f>
        <v>ဇေ Vodka</v>
      </c>
      <c r="AP103" s="268">
        <f>Table4[[#This Row],[Parking]]</f>
        <v>100</v>
      </c>
      <c r="AQ103" s="268">
        <f>Table4[[#This Row],[SalesBot]]</f>
        <v>1400</v>
      </c>
      <c r="AR103" s="268">
        <f>Table4[[#This Row],[Liter]]</f>
        <v>896</v>
      </c>
    </row>
    <row r="104" spans="1:44" s="16" customFormat="1" hidden="1" x14ac:dyDescent="0.5">
      <c r="A104" s="3">
        <f t="shared" si="16"/>
        <v>2026</v>
      </c>
      <c r="B104" s="8">
        <f t="shared" si="17"/>
        <v>1</v>
      </c>
      <c r="C104" s="6">
        <v>46030</v>
      </c>
      <c r="D104" s="15">
        <f t="shared" ca="1" si="18"/>
        <v>46097</v>
      </c>
      <c r="E104" s="15" t="str">
        <f t="shared" ca="1" si="19"/>
        <v>2-Months</v>
      </c>
      <c r="F104" s="8" t="str">
        <f>VLOOKUP(N104,Stock[#Data],5,FALSE)</f>
        <v>BE</v>
      </c>
      <c r="G104" s="82" t="s">
        <v>694</v>
      </c>
      <c r="H104" s="15"/>
      <c r="I104" s="7" t="s">
        <v>109</v>
      </c>
      <c r="J104" s="8" t="str">
        <f>VLOOKUP(I104,Customers[#Data],2,FALSE)</f>
        <v>ဦးမင်းလွင်</v>
      </c>
      <c r="K104" s="15" t="str">
        <f>VLOOKUP(I104,Customers[#Data],4,FALSE)</f>
        <v>Maw La Myaing</v>
      </c>
      <c r="L104" s="15" t="str">
        <f>VLOOKUP(I104,Customers[#Data],5,FALSE)</f>
        <v>WholeSales</v>
      </c>
      <c r="M104" s="7" t="s">
        <v>6</v>
      </c>
      <c r="N104" s="7" t="s">
        <v>516</v>
      </c>
      <c r="O104" s="14" t="str">
        <f>VLOOKUP(N104,Stock[#Data],2,FALSE)</f>
        <v>ဇေ Vodka</v>
      </c>
      <c r="P104" s="44">
        <f>VLOOKUP(N104,Stock[#Data],3,FALSE)</f>
        <v>0.64</v>
      </c>
      <c r="Q104" s="3">
        <f>VLOOKUP(N104,Stock[#Data],4,FALSE)</f>
        <v>14</v>
      </c>
      <c r="R104" s="11"/>
      <c r="S104" s="45">
        <f>IFERROR(Table4[[#This Row],[Bottle]]/Table4[[#This Row],[ပါဝင်မှု]]+Table4[[#This Row],[SalesPK]],0)</f>
        <v>20</v>
      </c>
      <c r="T104" s="12">
        <v>20</v>
      </c>
      <c r="U104" s="10">
        <f>Table4[[#This Row],[ပါဝင်မှု]]*Table4[[#This Row],[SalesPK]]+Table4[[#This Row],[Bottle]]</f>
        <v>280</v>
      </c>
      <c r="V104" s="10">
        <f>Table4[[#This Row],[SalesBot]]*Table4[[#This Row],[ML]]</f>
        <v>179.20000000000002</v>
      </c>
      <c r="W104" s="1">
        <f>VLOOKUP(N104,Stock[#Data],6,FALSE)</f>
        <v>1400</v>
      </c>
      <c r="X104" s="8">
        <f>+Table4[[#This Row],[SalesBot]]*Table4[[#This Row],[နှုံး]]</f>
        <v>392000</v>
      </c>
      <c r="Y104" s="12"/>
      <c r="Z104" s="12"/>
      <c r="AA104" s="12"/>
      <c r="AB104" s="9"/>
      <c r="AC104" s="12">
        <v>392000</v>
      </c>
      <c r="AD104" s="9"/>
      <c r="AE104" s="12"/>
      <c r="AF10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04" s="24"/>
      <c r="AH104" s="266">
        <f>Table4[[#This Row],[Date]]</f>
        <v>46030</v>
      </c>
      <c r="AI104" s="264" t="str">
        <f t="shared" si="14"/>
        <v>Jan</v>
      </c>
      <c r="AJ104" s="264" t="str">
        <f t="shared" si="15"/>
        <v>2026</v>
      </c>
      <c r="AK104" s="270" t="str">
        <f>Table4[[#This Row],[ကုန်သည်အမည်]]</f>
        <v>ဦးမင်းလွင်</v>
      </c>
      <c r="AL104" s="270" t="str">
        <f>Table4[[#This Row],[Township]]</f>
        <v>Maw La Myaing</v>
      </c>
      <c r="AM104" s="271" t="str">
        <f>Table4[[#This Row],[WholeSales]]</f>
        <v>WholeSales</v>
      </c>
      <c r="AN104" s="272" t="str">
        <f>Table4[[#This Row],[Particular]]</f>
        <v>ကုန်ရောင်း(လက်ငင်း)</v>
      </c>
      <c r="AO104" s="273" t="str">
        <f>Table4[[#This Row],[StockName]]</f>
        <v>ဇေ Vodka</v>
      </c>
      <c r="AP104" s="268">
        <f>Table4[[#This Row],[Parking]]</f>
        <v>20</v>
      </c>
      <c r="AQ104" s="268">
        <f>Table4[[#This Row],[SalesBot]]</f>
        <v>280</v>
      </c>
      <c r="AR104" s="268">
        <f>Table4[[#This Row],[Liter]]</f>
        <v>179.20000000000002</v>
      </c>
    </row>
    <row r="105" spans="1:44" s="16" customFormat="1" hidden="1" x14ac:dyDescent="0.5">
      <c r="A105" s="3">
        <f t="shared" si="16"/>
        <v>2026</v>
      </c>
      <c r="B105" s="8">
        <f t="shared" si="17"/>
        <v>1</v>
      </c>
      <c r="C105" s="6">
        <v>46030</v>
      </c>
      <c r="D105" s="15">
        <f t="shared" ca="1" si="18"/>
        <v>46097</v>
      </c>
      <c r="E105" s="15" t="str">
        <f t="shared" ca="1" si="19"/>
        <v>2-Months</v>
      </c>
      <c r="F105" s="8" t="str">
        <f>VLOOKUP(N105,Stock[#Data],5,FALSE)</f>
        <v>BE</v>
      </c>
      <c r="G105" s="82" t="s">
        <v>694</v>
      </c>
      <c r="H105" s="15"/>
      <c r="I105" s="7" t="s">
        <v>109</v>
      </c>
      <c r="J105" s="8" t="str">
        <f>VLOOKUP(I105,Customers[#Data],2,FALSE)</f>
        <v>ဦးမင်းလွင်</v>
      </c>
      <c r="K105" s="15" t="str">
        <f>VLOOKUP(I105,Customers[#Data],4,FALSE)</f>
        <v>Maw La Myaing</v>
      </c>
      <c r="L105" s="15" t="str">
        <f>VLOOKUP(I105,Customers[#Data],5,FALSE)</f>
        <v>WholeSales</v>
      </c>
      <c r="M105" s="7" t="s">
        <v>6</v>
      </c>
      <c r="N105" s="7" t="s">
        <v>521</v>
      </c>
      <c r="O105" s="14" t="str">
        <f>VLOOKUP(N105,Stock[#Data],2,FALSE)</f>
        <v>ဒဂုံအရက်သန့်</v>
      </c>
      <c r="P105" s="44">
        <f>VLOOKUP(N105,Stock[#Data],3,FALSE)</f>
        <v>0.64</v>
      </c>
      <c r="Q105" s="3">
        <f>VLOOKUP(N105,Stock[#Data],4,FALSE)</f>
        <v>24</v>
      </c>
      <c r="R105" s="11"/>
      <c r="S105" s="45">
        <f>IFERROR(Table4[[#This Row],[Bottle]]/Table4[[#This Row],[ပါဝင်မှု]]+Table4[[#This Row],[SalesPK]],0)</f>
        <v>30</v>
      </c>
      <c r="T105" s="12">
        <v>30</v>
      </c>
      <c r="U105" s="10">
        <f>Table4[[#This Row],[ပါဝင်မှု]]*Table4[[#This Row],[SalesPK]]+Table4[[#This Row],[Bottle]]</f>
        <v>720</v>
      </c>
      <c r="V105" s="10">
        <f>Table4[[#This Row],[SalesBot]]*Table4[[#This Row],[ML]]</f>
        <v>460.8</v>
      </c>
      <c r="W105" s="1">
        <f>VLOOKUP(N105,Stock[#Data],6,FALSE)</f>
        <v>1350</v>
      </c>
      <c r="X105" s="8">
        <f>+Table4[[#This Row],[SalesBot]]*Table4[[#This Row],[နှုံး]]</f>
        <v>972000</v>
      </c>
      <c r="Y105" s="12"/>
      <c r="Z105" s="12"/>
      <c r="AA105" s="12"/>
      <c r="AB105" s="9"/>
      <c r="AC105" s="12">
        <v>972000</v>
      </c>
      <c r="AD105" s="9"/>
      <c r="AE105" s="12"/>
      <c r="AF10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05" s="24"/>
      <c r="AH105" s="266">
        <f>Table4[[#This Row],[Date]]</f>
        <v>46030</v>
      </c>
      <c r="AI105" s="264" t="str">
        <f t="shared" si="14"/>
        <v>Jan</v>
      </c>
      <c r="AJ105" s="264" t="str">
        <f t="shared" si="15"/>
        <v>2026</v>
      </c>
      <c r="AK105" s="270" t="str">
        <f>Table4[[#This Row],[ကုန်သည်အမည်]]</f>
        <v>ဦးမင်းလွင်</v>
      </c>
      <c r="AL105" s="270" t="str">
        <f>Table4[[#This Row],[Township]]</f>
        <v>Maw La Myaing</v>
      </c>
      <c r="AM105" s="271" t="str">
        <f>Table4[[#This Row],[WholeSales]]</f>
        <v>WholeSales</v>
      </c>
      <c r="AN105" s="272" t="str">
        <f>Table4[[#This Row],[Particular]]</f>
        <v>ကုန်ရောင်း(လက်ငင်း)</v>
      </c>
      <c r="AO105" s="273" t="str">
        <f>Table4[[#This Row],[StockName]]</f>
        <v>ဒဂုံအရက်သန့်</v>
      </c>
      <c r="AP105" s="268">
        <f>Table4[[#This Row],[Parking]]</f>
        <v>30</v>
      </c>
      <c r="AQ105" s="268">
        <f>Table4[[#This Row],[SalesBot]]</f>
        <v>720</v>
      </c>
      <c r="AR105" s="268">
        <f>Table4[[#This Row],[Liter]]</f>
        <v>460.8</v>
      </c>
    </row>
    <row r="106" spans="1:44" s="16" customFormat="1" hidden="1" x14ac:dyDescent="0.5">
      <c r="A106" s="3">
        <f t="shared" si="16"/>
        <v>2026</v>
      </c>
      <c r="B106" s="8">
        <f t="shared" si="17"/>
        <v>1</v>
      </c>
      <c r="C106" s="6">
        <v>46030</v>
      </c>
      <c r="D106" s="15">
        <f t="shared" ca="1" si="18"/>
        <v>46097</v>
      </c>
      <c r="E106" s="15" t="str">
        <f t="shared" ca="1" si="19"/>
        <v>2-Months</v>
      </c>
      <c r="F106" s="8" t="str">
        <f>VLOOKUP(N106,Stock[#Data],5,FALSE)</f>
        <v>BE</v>
      </c>
      <c r="G106" s="82" t="s">
        <v>695</v>
      </c>
      <c r="H106" s="15"/>
      <c r="I106" s="7" t="s">
        <v>749</v>
      </c>
      <c r="J106" s="8" t="str">
        <f>VLOOKUP(I106,Customers[#Data],2,FALSE)</f>
        <v>ဦး၀င်းမြင့်</v>
      </c>
      <c r="K106" s="15" t="str">
        <f>VLOOKUP(I106,Customers[#Data],4,FALSE)</f>
        <v>Maw La Myaing</v>
      </c>
      <c r="L106" s="15" t="str">
        <f>VLOOKUP(I106,Customers[#Data],5,FALSE)</f>
        <v>Van Sales</v>
      </c>
      <c r="M106" s="7" t="s">
        <v>6</v>
      </c>
      <c r="N106" s="7" t="s">
        <v>517</v>
      </c>
      <c r="O106" s="14" t="str">
        <f>VLOOKUP(N106,Stock[#Data],2,FALSE)</f>
        <v>ဇေယျဝတီ Red (1 Liter) 30%</v>
      </c>
      <c r="P106" s="44">
        <f>VLOOKUP(N106,Stock[#Data],3,FALSE)</f>
        <v>1</v>
      </c>
      <c r="Q106" s="3">
        <f>VLOOKUP(N106,Stock[#Data],4,FALSE)</f>
        <v>12</v>
      </c>
      <c r="R106" s="11"/>
      <c r="S106" s="45">
        <f>IFERROR(Table4[[#This Row],[Bottle]]/Table4[[#This Row],[ပါဝင်မှု]]+Table4[[#This Row],[SalesPK]],0)</f>
        <v>50</v>
      </c>
      <c r="T106" s="12">
        <v>50</v>
      </c>
      <c r="U106" s="10">
        <f>Table4[[#This Row],[ပါဝင်မှု]]*Table4[[#This Row],[SalesPK]]+Table4[[#This Row],[Bottle]]</f>
        <v>600</v>
      </c>
      <c r="V106" s="10">
        <f>Table4[[#This Row],[SalesBot]]*Table4[[#This Row],[ML]]</f>
        <v>600</v>
      </c>
      <c r="W106" s="1">
        <f>VLOOKUP(N106,Stock[#Data],6,FALSE)</f>
        <v>1710</v>
      </c>
      <c r="X106" s="8">
        <f>+Table4[[#This Row],[SalesBot]]*Table4[[#This Row],[နှုံး]]</f>
        <v>1026000</v>
      </c>
      <c r="Y106" s="12"/>
      <c r="Z106" s="12"/>
      <c r="AA106" s="12"/>
      <c r="AB106" s="9"/>
      <c r="AC106" s="12">
        <v>1026000</v>
      </c>
      <c r="AD106" s="9"/>
      <c r="AE106" s="12"/>
      <c r="AF10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06" s="24"/>
      <c r="AH106" s="266">
        <f>Table4[[#This Row],[Date]]</f>
        <v>46030</v>
      </c>
      <c r="AI106" s="264" t="str">
        <f t="shared" si="14"/>
        <v>Jan</v>
      </c>
      <c r="AJ106" s="264" t="str">
        <f t="shared" si="15"/>
        <v>2026</v>
      </c>
      <c r="AK106" s="270" t="str">
        <f>Table4[[#This Row],[ကုန်သည်အမည်]]</f>
        <v>ဦး၀င်းမြင့်</v>
      </c>
      <c r="AL106" s="270" t="str">
        <f>Table4[[#This Row],[Township]]</f>
        <v>Maw La Myaing</v>
      </c>
      <c r="AM106" s="271" t="str">
        <f>Table4[[#This Row],[WholeSales]]</f>
        <v>Van Sales</v>
      </c>
      <c r="AN106" s="272" t="str">
        <f>Table4[[#This Row],[Particular]]</f>
        <v>ကုန်ရောင်း(လက်ငင်း)</v>
      </c>
      <c r="AO106" s="273" t="str">
        <f>Table4[[#This Row],[StockName]]</f>
        <v>ဇေယျဝတီ Red (1 Liter) 30%</v>
      </c>
      <c r="AP106" s="268">
        <f>Table4[[#This Row],[Parking]]</f>
        <v>50</v>
      </c>
      <c r="AQ106" s="268">
        <f>Table4[[#This Row],[SalesBot]]</f>
        <v>600</v>
      </c>
      <c r="AR106" s="268">
        <f>Table4[[#This Row],[Liter]]</f>
        <v>600</v>
      </c>
    </row>
    <row r="107" spans="1:44" s="16" customFormat="1" hidden="1" x14ac:dyDescent="0.5">
      <c r="A107" s="3">
        <f t="shared" si="16"/>
        <v>2026</v>
      </c>
      <c r="B107" s="8">
        <f t="shared" si="17"/>
        <v>1</v>
      </c>
      <c r="C107" s="6">
        <v>46031</v>
      </c>
      <c r="D107" s="15">
        <f t="shared" ca="1" si="18"/>
        <v>46097</v>
      </c>
      <c r="E107" s="15" t="str">
        <f t="shared" ca="1" si="19"/>
        <v>2-Months</v>
      </c>
      <c r="F107" s="8" t="str">
        <f>VLOOKUP(N107,Stock[#Data],5,FALSE)</f>
        <v>BE</v>
      </c>
      <c r="G107" s="82" t="s">
        <v>698</v>
      </c>
      <c r="H107" s="15"/>
      <c r="I107" s="7" t="s">
        <v>95</v>
      </c>
      <c r="J107" s="8" t="str">
        <f>VLOOKUP(I107,Customers[#Data],2,FALSE)</f>
        <v>ကျော်စတား</v>
      </c>
      <c r="K107" s="15" t="str">
        <f>VLOOKUP(I107,Customers[#Data],4,FALSE)</f>
        <v>Yay</v>
      </c>
      <c r="L107" s="15" t="str">
        <f>VLOOKUP(I107,Customers[#Data],5,FALSE)</f>
        <v>WholeSales</v>
      </c>
      <c r="M107" s="7" t="s">
        <v>7</v>
      </c>
      <c r="N107" s="7" t="s">
        <v>514</v>
      </c>
      <c r="O107" s="14" t="str">
        <f>VLOOKUP(N107,Stock[#Data],2,FALSE)</f>
        <v>ဇေယျဝတီ Red</v>
      </c>
      <c r="P107" s="44">
        <f>VLOOKUP(N107,Stock[#Data],3,FALSE)</f>
        <v>0.64</v>
      </c>
      <c r="Q107" s="3">
        <f>VLOOKUP(N107,Stock[#Data],4,FALSE)</f>
        <v>14</v>
      </c>
      <c r="R107" s="11"/>
      <c r="S107" s="45">
        <f>IFERROR(Table4[[#This Row],[Bottle]]/Table4[[#This Row],[ပါဝင်မှု]]+Table4[[#This Row],[SalesPK]],0)</f>
        <v>200</v>
      </c>
      <c r="T107" s="12">
        <v>200</v>
      </c>
      <c r="U107" s="10">
        <f>Table4[[#This Row],[ပါဝင်မှု]]*Table4[[#This Row],[SalesPK]]+Table4[[#This Row],[Bottle]]</f>
        <v>2800</v>
      </c>
      <c r="V107" s="10">
        <f>Table4[[#This Row],[SalesBot]]*Table4[[#This Row],[ML]]</f>
        <v>1792</v>
      </c>
      <c r="W107" s="1">
        <f>VLOOKUP(N107,Stock[#Data],6,FALSE)</f>
        <v>1350</v>
      </c>
      <c r="X107" s="8">
        <f>+Table4[[#This Row],[SalesBot]]*Table4[[#This Row],[နှုံး]]</f>
        <v>3780000</v>
      </c>
      <c r="Y107" s="12"/>
      <c r="Z107" s="12"/>
      <c r="AA107" s="12"/>
      <c r="AB107" s="9">
        <v>46042</v>
      </c>
      <c r="AC107" s="12">
        <v>3780000</v>
      </c>
      <c r="AD107" s="9"/>
      <c r="AE107" s="12"/>
      <c r="AF10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07" s="24"/>
      <c r="AH107" s="266">
        <f>Table4[[#This Row],[Date]]</f>
        <v>46031</v>
      </c>
      <c r="AI107" s="264" t="str">
        <f t="shared" si="14"/>
        <v>Jan</v>
      </c>
      <c r="AJ107" s="264" t="str">
        <f t="shared" si="15"/>
        <v>2026</v>
      </c>
      <c r="AK107" s="270" t="str">
        <f>Table4[[#This Row],[ကုန်သည်အမည်]]</f>
        <v>ကျော်စတား</v>
      </c>
      <c r="AL107" s="270" t="str">
        <f>Table4[[#This Row],[Township]]</f>
        <v>Yay</v>
      </c>
      <c r="AM107" s="271" t="str">
        <f>Table4[[#This Row],[WholeSales]]</f>
        <v>WholeSales</v>
      </c>
      <c r="AN107" s="272" t="str">
        <f>Table4[[#This Row],[Particular]]</f>
        <v>ကုန်ရောင်း(အကြွေး)</v>
      </c>
      <c r="AO107" s="273" t="str">
        <f>Table4[[#This Row],[StockName]]</f>
        <v>ဇေယျဝတီ Red</v>
      </c>
      <c r="AP107" s="268">
        <f>Table4[[#This Row],[Parking]]</f>
        <v>200</v>
      </c>
      <c r="AQ107" s="268">
        <f>Table4[[#This Row],[SalesBot]]</f>
        <v>2800</v>
      </c>
      <c r="AR107" s="268">
        <f>Table4[[#This Row],[Liter]]</f>
        <v>1792</v>
      </c>
    </row>
    <row r="108" spans="1:44" s="16" customFormat="1" hidden="1" x14ac:dyDescent="0.5">
      <c r="A108" s="3">
        <f t="shared" si="16"/>
        <v>2026</v>
      </c>
      <c r="B108" s="8">
        <f t="shared" si="17"/>
        <v>1</v>
      </c>
      <c r="C108" s="6">
        <v>46031</v>
      </c>
      <c r="D108" s="15">
        <f t="shared" ca="1" si="18"/>
        <v>46097</v>
      </c>
      <c r="E108" s="15" t="str">
        <f t="shared" ca="1" si="19"/>
        <v>2-Months</v>
      </c>
      <c r="F108" s="8" t="str">
        <f>VLOOKUP(N108,Stock[#Data],5,FALSE)</f>
        <v>BE</v>
      </c>
      <c r="G108" s="82" t="s">
        <v>699</v>
      </c>
      <c r="H108" s="15"/>
      <c r="I108" s="7" t="s">
        <v>538</v>
      </c>
      <c r="J108" s="8" t="str">
        <f>VLOOKUP(I108,Customers[#Data],2,FALSE)</f>
        <v>ဒေါ်နွယ်နွယ်ရီ(ရွှေတောင်ကြား)</v>
      </c>
      <c r="K108" s="15" t="str">
        <f>VLOOKUP(I108,Customers[#Data],4,FALSE)</f>
        <v>Yay</v>
      </c>
      <c r="L108" s="15" t="str">
        <f>VLOOKUP(I108,Customers[#Data],5,FALSE)</f>
        <v>WholeSales</v>
      </c>
      <c r="M108" s="7" t="s">
        <v>7</v>
      </c>
      <c r="N108" s="7" t="s">
        <v>514</v>
      </c>
      <c r="O108" s="14" t="str">
        <f>VLOOKUP(N108,Stock[#Data],2,FALSE)</f>
        <v>ဇေယျဝတီ Red</v>
      </c>
      <c r="P108" s="44">
        <f>VLOOKUP(N108,Stock[#Data],3,FALSE)</f>
        <v>0.64</v>
      </c>
      <c r="Q108" s="3">
        <f>VLOOKUP(N108,Stock[#Data],4,FALSE)</f>
        <v>14</v>
      </c>
      <c r="R108" s="11"/>
      <c r="S108" s="45">
        <f>IFERROR(Table4[[#This Row],[Bottle]]/Table4[[#This Row],[ပါဝင်မှု]]+Table4[[#This Row],[SalesPK]],0)</f>
        <v>200</v>
      </c>
      <c r="T108" s="12">
        <v>200</v>
      </c>
      <c r="U108" s="10">
        <f>Table4[[#This Row],[ပါဝင်မှု]]*Table4[[#This Row],[SalesPK]]+Table4[[#This Row],[Bottle]]</f>
        <v>2800</v>
      </c>
      <c r="V108" s="10">
        <f>Table4[[#This Row],[SalesBot]]*Table4[[#This Row],[ML]]</f>
        <v>1792</v>
      </c>
      <c r="W108" s="1">
        <f>VLOOKUP(N108,Stock[#Data],6,FALSE)</f>
        <v>1350</v>
      </c>
      <c r="X108" s="8">
        <f>+Table4[[#This Row],[SalesBot]]*Table4[[#This Row],[နှုံး]]</f>
        <v>3780000</v>
      </c>
      <c r="Y108" s="12"/>
      <c r="Z108" s="12"/>
      <c r="AA108" s="12"/>
      <c r="AB108" s="9"/>
      <c r="AC108" s="12"/>
      <c r="AD108" s="9"/>
      <c r="AE108" s="12"/>
      <c r="AF10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3780000</v>
      </c>
      <c r="AG108" s="24"/>
      <c r="AH108" s="266">
        <f>Table4[[#This Row],[Date]]</f>
        <v>46031</v>
      </c>
      <c r="AI108" s="264" t="str">
        <f t="shared" si="14"/>
        <v>Jan</v>
      </c>
      <c r="AJ108" s="264" t="str">
        <f t="shared" si="15"/>
        <v>2026</v>
      </c>
      <c r="AK108" s="270" t="str">
        <f>Table4[[#This Row],[ကုန်သည်အမည်]]</f>
        <v>ဒေါ်နွယ်နွယ်ရီ(ရွှေတောင်ကြား)</v>
      </c>
      <c r="AL108" s="270" t="str">
        <f>Table4[[#This Row],[Township]]</f>
        <v>Yay</v>
      </c>
      <c r="AM108" s="271" t="str">
        <f>Table4[[#This Row],[WholeSales]]</f>
        <v>WholeSales</v>
      </c>
      <c r="AN108" s="272" t="str">
        <f>Table4[[#This Row],[Particular]]</f>
        <v>ကုန်ရောင်း(အကြွေး)</v>
      </c>
      <c r="AO108" s="273" t="str">
        <f>Table4[[#This Row],[StockName]]</f>
        <v>ဇေယျဝတီ Red</v>
      </c>
      <c r="AP108" s="268">
        <f>Table4[[#This Row],[Parking]]</f>
        <v>200</v>
      </c>
      <c r="AQ108" s="268">
        <f>Table4[[#This Row],[SalesBot]]</f>
        <v>2800</v>
      </c>
      <c r="AR108" s="268">
        <f>Table4[[#This Row],[Liter]]</f>
        <v>1792</v>
      </c>
    </row>
    <row r="109" spans="1:44" s="16" customFormat="1" hidden="1" x14ac:dyDescent="0.5">
      <c r="A109" s="3">
        <f t="shared" si="16"/>
        <v>2026</v>
      </c>
      <c r="B109" s="8">
        <f t="shared" si="17"/>
        <v>1</v>
      </c>
      <c r="C109" s="6">
        <v>46031</v>
      </c>
      <c r="D109" s="15">
        <f t="shared" ca="1" si="18"/>
        <v>46097</v>
      </c>
      <c r="E109" s="15" t="str">
        <f t="shared" ca="1" si="19"/>
        <v>2-Months</v>
      </c>
      <c r="F109" s="8" t="str">
        <f>VLOOKUP(N109,Stock[#Data],5,FALSE)</f>
        <v>BE</v>
      </c>
      <c r="G109" s="82" t="s">
        <v>700</v>
      </c>
      <c r="H109" s="15"/>
      <c r="I109" s="7" t="s">
        <v>538</v>
      </c>
      <c r="J109" s="8" t="str">
        <f>VLOOKUP(I109,Customers[#Data],2,FALSE)</f>
        <v>ဒေါ်နွယ်နွယ်ရီ(ရွှေတောင်ကြား)</v>
      </c>
      <c r="K109" s="15" t="str">
        <f>VLOOKUP(I109,Customers[#Data],4,FALSE)</f>
        <v>Yay</v>
      </c>
      <c r="L109" s="15" t="str">
        <f>VLOOKUP(I109,Customers[#Data],5,FALSE)</f>
        <v>WholeSales</v>
      </c>
      <c r="M109" s="7" t="s">
        <v>7</v>
      </c>
      <c r="N109" s="7" t="s">
        <v>517</v>
      </c>
      <c r="O109" s="14" t="str">
        <f>VLOOKUP(N109,Stock[#Data],2,FALSE)</f>
        <v>ဇေယျဝတီ Red (1 Liter) 30%</v>
      </c>
      <c r="P109" s="44">
        <f>VLOOKUP(N109,Stock[#Data],3,FALSE)</f>
        <v>1</v>
      </c>
      <c r="Q109" s="3">
        <f>VLOOKUP(N109,Stock[#Data],4,FALSE)</f>
        <v>12</v>
      </c>
      <c r="R109" s="11"/>
      <c r="S109" s="45">
        <f>IFERROR(Table4[[#This Row],[Bottle]]/Table4[[#This Row],[ပါဝင်မှု]]+Table4[[#This Row],[SalesPK]],0)</f>
        <v>100</v>
      </c>
      <c r="T109" s="12">
        <v>100</v>
      </c>
      <c r="U109" s="10">
        <f>Table4[[#This Row],[ပါဝင်မှု]]*Table4[[#This Row],[SalesPK]]+Table4[[#This Row],[Bottle]]</f>
        <v>1200</v>
      </c>
      <c r="V109" s="10">
        <f>Table4[[#This Row],[SalesBot]]*Table4[[#This Row],[ML]]</f>
        <v>1200</v>
      </c>
      <c r="W109" s="1">
        <f>VLOOKUP(N109,Stock[#Data],6,FALSE)</f>
        <v>1710</v>
      </c>
      <c r="X109" s="8">
        <f>+Table4[[#This Row],[SalesBot]]*Table4[[#This Row],[နှုံး]]</f>
        <v>2052000</v>
      </c>
      <c r="Y109" s="12"/>
      <c r="Z109" s="12"/>
      <c r="AA109" s="12"/>
      <c r="AB109" s="9"/>
      <c r="AC109" s="12"/>
      <c r="AD109" s="9"/>
      <c r="AE109" s="12"/>
      <c r="AF10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09" s="24"/>
      <c r="AH109" s="266">
        <f>Table4[[#This Row],[Date]]</f>
        <v>46031</v>
      </c>
      <c r="AI109" s="264" t="str">
        <f t="shared" si="14"/>
        <v>Jan</v>
      </c>
      <c r="AJ109" s="264" t="str">
        <f t="shared" si="15"/>
        <v>2026</v>
      </c>
      <c r="AK109" s="270" t="str">
        <f>Table4[[#This Row],[ကုန်သည်အမည်]]</f>
        <v>ဒေါ်နွယ်နွယ်ရီ(ရွှေတောင်ကြား)</v>
      </c>
      <c r="AL109" s="270" t="str">
        <f>Table4[[#This Row],[Township]]</f>
        <v>Yay</v>
      </c>
      <c r="AM109" s="271" t="str">
        <f>Table4[[#This Row],[WholeSales]]</f>
        <v>WholeSales</v>
      </c>
      <c r="AN109" s="272" t="str">
        <f>Table4[[#This Row],[Particular]]</f>
        <v>ကုန်ရောင်း(အကြွေး)</v>
      </c>
      <c r="AO109" s="273" t="str">
        <f>Table4[[#This Row],[StockName]]</f>
        <v>ဇေယျဝတီ Red (1 Liter) 30%</v>
      </c>
      <c r="AP109" s="268">
        <f>Table4[[#This Row],[Parking]]</f>
        <v>100</v>
      </c>
      <c r="AQ109" s="268">
        <f>Table4[[#This Row],[SalesBot]]</f>
        <v>1200</v>
      </c>
      <c r="AR109" s="268">
        <f>Table4[[#This Row],[Liter]]</f>
        <v>1200</v>
      </c>
    </row>
    <row r="110" spans="1:44" s="16" customFormat="1" hidden="1" x14ac:dyDescent="0.5">
      <c r="A110" s="3">
        <f t="shared" si="16"/>
        <v>2026</v>
      </c>
      <c r="B110" s="8">
        <f t="shared" si="17"/>
        <v>1</v>
      </c>
      <c r="C110" s="6">
        <v>46031</v>
      </c>
      <c r="D110" s="15">
        <f t="shared" ca="1" si="18"/>
        <v>46097</v>
      </c>
      <c r="E110" s="15" t="str">
        <f t="shared" ca="1" si="19"/>
        <v>2-Months</v>
      </c>
      <c r="F110" s="8" t="str">
        <f>VLOOKUP(N110,Stock[#Data],5,FALSE)</f>
        <v>BE</v>
      </c>
      <c r="G110" s="82" t="s">
        <v>701</v>
      </c>
      <c r="H110" s="15"/>
      <c r="I110" s="7" t="s">
        <v>697</v>
      </c>
      <c r="J110" s="8" t="str">
        <f>VLOOKUP(I110,Customers[#Data],2,FALSE)</f>
        <v>ကိုညီညီဆွေ</v>
      </c>
      <c r="K110" s="15" t="str">
        <f>VLOOKUP(I110,Customers[#Data],4,FALSE)</f>
        <v>Maw La Myaing</v>
      </c>
      <c r="L110" s="15" t="str">
        <f>VLOOKUP(I110,Customers[#Data],5,FALSE)</f>
        <v>WholeSales</v>
      </c>
      <c r="M110" s="7" t="s">
        <v>6</v>
      </c>
      <c r="N110" s="7" t="s">
        <v>516</v>
      </c>
      <c r="O110" s="14" t="str">
        <f>VLOOKUP(N110,Stock[#Data],2,FALSE)</f>
        <v>ဇေ Vodka</v>
      </c>
      <c r="P110" s="44">
        <f>VLOOKUP(N110,Stock[#Data],3,FALSE)</f>
        <v>0.64</v>
      </c>
      <c r="Q110" s="3">
        <f>VLOOKUP(N110,Stock[#Data],4,FALSE)</f>
        <v>14</v>
      </c>
      <c r="R110" s="11"/>
      <c r="S110" s="45">
        <f>IFERROR(Table4[[#This Row],[Bottle]]/Table4[[#This Row],[ပါဝင်မှု]]+Table4[[#This Row],[SalesPK]],0)</f>
        <v>50</v>
      </c>
      <c r="T110" s="12">
        <v>50</v>
      </c>
      <c r="U110" s="10">
        <f>Table4[[#This Row],[ပါဝင်မှု]]*Table4[[#This Row],[SalesPK]]+Table4[[#This Row],[Bottle]]</f>
        <v>700</v>
      </c>
      <c r="V110" s="10">
        <f>Table4[[#This Row],[SalesBot]]*Table4[[#This Row],[ML]]</f>
        <v>448</v>
      </c>
      <c r="W110" s="1">
        <f>VLOOKUP(N110,Stock[#Data],6,FALSE)</f>
        <v>1400</v>
      </c>
      <c r="X110" s="8">
        <f>+Table4[[#This Row],[SalesBot]]*Table4[[#This Row],[နှုံး]]</f>
        <v>980000</v>
      </c>
      <c r="Y110" s="12"/>
      <c r="Z110" s="12"/>
      <c r="AA110" s="12"/>
      <c r="AB110" s="9"/>
      <c r="AC110" s="12">
        <v>980000</v>
      </c>
      <c r="AD110" s="9"/>
      <c r="AE110" s="12"/>
      <c r="AF11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10" s="24"/>
      <c r="AH110" s="266">
        <f>Table4[[#This Row],[Date]]</f>
        <v>46031</v>
      </c>
      <c r="AI110" s="264" t="str">
        <f t="shared" si="14"/>
        <v>Jan</v>
      </c>
      <c r="AJ110" s="264" t="str">
        <f t="shared" si="15"/>
        <v>2026</v>
      </c>
      <c r="AK110" s="270" t="str">
        <f>Table4[[#This Row],[ကုန်သည်အမည်]]</f>
        <v>ကိုညီညီဆွေ</v>
      </c>
      <c r="AL110" s="270" t="str">
        <f>Table4[[#This Row],[Township]]</f>
        <v>Maw La Myaing</v>
      </c>
      <c r="AM110" s="271" t="str">
        <f>Table4[[#This Row],[WholeSales]]</f>
        <v>WholeSales</v>
      </c>
      <c r="AN110" s="272" t="str">
        <f>Table4[[#This Row],[Particular]]</f>
        <v>ကုန်ရောင်း(လက်ငင်း)</v>
      </c>
      <c r="AO110" s="273" t="str">
        <f>Table4[[#This Row],[StockName]]</f>
        <v>ဇေ Vodka</v>
      </c>
      <c r="AP110" s="268">
        <f>Table4[[#This Row],[Parking]]</f>
        <v>50</v>
      </c>
      <c r="AQ110" s="268">
        <f>Table4[[#This Row],[SalesBot]]</f>
        <v>700</v>
      </c>
      <c r="AR110" s="268">
        <f>Table4[[#This Row],[Liter]]</f>
        <v>448</v>
      </c>
    </row>
    <row r="111" spans="1:44" s="16" customFormat="1" hidden="1" x14ac:dyDescent="0.5">
      <c r="A111" s="3">
        <f t="shared" si="16"/>
        <v>2026</v>
      </c>
      <c r="B111" s="8">
        <f t="shared" si="17"/>
        <v>1</v>
      </c>
      <c r="C111" s="6">
        <v>46031</v>
      </c>
      <c r="D111" s="15">
        <f t="shared" ca="1" si="18"/>
        <v>46097</v>
      </c>
      <c r="E111" s="15" t="str">
        <f t="shared" ca="1" si="19"/>
        <v>2-Months</v>
      </c>
      <c r="F111" s="8" t="str">
        <f>VLOOKUP(N111,Stock[#Data],5,FALSE)</f>
        <v>BE</v>
      </c>
      <c r="G111" s="82" t="s">
        <v>702</v>
      </c>
      <c r="H111" s="15"/>
      <c r="I111" s="7" t="s">
        <v>697</v>
      </c>
      <c r="J111" s="8" t="str">
        <f>VLOOKUP(I111,Customers[#Data],2,FALSE)</f>
        <v>ကိုညီညီဆွေ</v>
      </c>
      <c r="K111" s="15" t="str">
        <f>VLOOKUP(I111,Customers[#Data],4,FALSE)</f>
        <v>Maw La Myaing</v>
      </c>
      <c r="L111" s="15" t="str">
        <f>VLOOKUP(I111,Customers[#Data],5,FALSE)</f>
        <v>WholeSales</v>
      </c>
      <c r="M111" s="7" t="s">
        <v>6</v>
      </c>
      <c r="N111" s="7" t="s">
        <v>514</v>
      </c>
      <c r="O111" s="14" t="str">
        <f>VLOOKUP(N111,Stock[#Data],2,FALSE)</f>
        <v>ဇေယျဝတီ Red</v>
      </c>
      <c r="P111" s="44">
        <f>VLOOKUP(N111,Stock[#Data],3,FALSE)</f>
        <v>0.64</v>
      </c>
      <c r="Q111" s="3">
        <f>VLOOKUP(N111,Stock[#Data],4,FALSE)</f>
        <v>14</v>
      </c>
      <c r="R111" s="11"/>
      <c r="S111" s="45">
        <f>IFERROR(Table4[[#This Row],[Bottle]]/Table4[[#This Row],[ပါဝင်မှု]]+Table4[[#This Row],[SalesPK]],0)</f>
        <v>50</v>
      </c>
      <c r="T111" s="12">
        <v>50</v>
      </c>
      <c r="U111" s="10">
        <f>Table4[[#This Row],[ပါဝင်မှု]]*Table4[[#This Row],[SalesPK]]+Table4[[#This Row],[Bottle]]</f>
        <v>700</v>
      </c>
      <c r="V111" s="10">
        <f>Table4[[#This Row],[SalesBot]]*Table4[[#This Row],[ML]]</f>
        <v>448</v>
      </c>
      <c r="W111" s="1">
        <f>VLOOKUP(N111,Stock[#Data],6,FALSE)</f>
        <v>1350</v>
      </c>
      <c r="X111" s="8">
        <f>+Table4[[#This Row],[SalesBot]]*Table4[[#This Row],[နှုံး]]</f>
        <v>945000</v>
      </c>
      <c r="Y111" s="12"/>
      <c r="Z111" s="12"/>
      <c r="AA111" s="12"/>
      <c r="AB111" s="9"/>
      <c r="AC111" s="12">
        <v>945000</v>
      </c>
      <c r="AD111" s="9"/>
      <c r="AE111" s="12"/>
      <c r="AF11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11" s="24"/>
      <c r="AH111" s="266">
        <f>Table4[[#This Row],[Date]]</f>
        <v>46031</v>
      </c>
      <c r="AI111" s="264" t="str">
        <f t="shared" si="14"/>
        <v>Jan</v>
      </c>
      <c r="AJ111" s="264" t="str">
        <f t="shared" si="15"/>
        <v>2026</v>
      </c>
      <c r="AK111" s="270" t="str">
        <f>Table4[[#This Row],[ကုန်သည်အမည်]]</f>
        <v>ကိုညီညီဆွေ</v>
      </c>
      <c r="AL111" s="270" t="str">
        <f>Table4[[#This Row],[Township]]</f>
        <v>Maw La Myaing</v>
      </c>
      <c r="AM111" s="271" t="str">
        <f>Table4[[#This Row],[WholeSales]]</f>
        <v>WholeSales</v>
      </c>
      <c r="AN111" s="272" t="str">
        <f>Table4[[#This Row],[Particular]]</f>
        <v>ကုန်ရောင်း(လက်ငင်း)</v>
      </c>
      <c r="AO111" s="273" t="str">
        <f>Table4[[#This Row],[StockName]]</f>
        <v>ဇေယျဝတီ Red</v>
      </c>
      <c r="AP111" s="268">
        <f>Table4[[#This Row],[Parking]]</f>
        <v>50</v>
      </c>
      <c r="AQ111" s="268">
        <f>Table4[[#This Row],[SalesBot]]</f>
        <v>700</v>
      </c>
      <c r="AR111" s="268">
        <f>Table4[[#This Row],[Liter]]</f>
        <v>448</v>
      </c>
    </row>
    <row r="112" spans="1:44" s="16" customFormat="1" hidden="1" x14ac:dyDescent="0.5">
      <c r="A112" s="3">
        <f t="shared" si="16"/>
        <v>2026</v>
      </c>
      <c r="B112" s="8">
        <f t="shared" si="17"/>
        <v>1</v>
      </c>
      <c r="C112" s="6">
        <v>46031</v>
      </c>
      <c r="D112" s="15">
        <f t="shared" ca="1" si="18"/>
        <v>46097</v>
      </c>
      <c r="E112" s="15" t="str">
        <f t="shared" ca="1" si="19"/>
        <v>2-Months</v>
      </c>
      <c r="F112" s="8" t="str">
        <f>VLOOKUP(N112,Stock[#Data],5,FALSE)</f>
        <v>BE</v>
      </c>
      <c r="G112" s="82" t="s">
        <v>701</v>
      </c>
      <c r="H112" s="15"/>
      <c r="I112" s="7" t="s">
        <v>697</v>
      </c>
      <c r="J112" s="8" t="str">
        <f>VLOOKUP(I112,Customers[#Data],2,FALSE)</f>
        <v>ကိုညီညီဆွေ</v>
      </c>
      <c r="K112" s="15" t="str">
        <f>VLOOKUP(I112,Customers[#Data],4,FALSE)</f>
        <v>Maw La Myaing</v>
      </c>
      <c r="L112" s="15" t="str">
        <f>VLOOKUP(I112,Customers[#Data],5,FALSE)</f>
        <v>WholeSales</v>
      </c>
      <c r="M112" s="7" t="s">
        <v>6</v>
      </c>
      <c r="N112" s="7" t="s">
        <v>517</v>
      </c>
      <c r="O112" s="14" t="str">
        <f>VLOOKUP(N112,Stock[#Data],2,FALSE)</f>
        <v>ဇေယျဝတီ Red (1 Liter) 30%</v>
      </c>
      <c r="P112" s="44">
        <f>VLOOKUP(N112,Stock[#Data],3,FALSE)</f>
        <v>1</v>
      </c>
      <c r="Q112" s="3">
        <f>VLOOKUP(N112,Stock[#Data],4,FALSE)</f>
        <v>12</v>
      </c>
      <c r="R112" s="11"/>
      <c r="S112" s="45">
        <f>IFERROR(Table4[[#This Row],[Bottle]]/Table4[[#This Row],[ပါဝင်မှု]]+Table4[[#This Row],[SalesPK]],0)</f>
        <v>50</v>
      </c>
      <c r="T112" s="12">
        <v>50</v>
      </c>
      <c r="U112" s="10">
        <f>Table4[[#This Row],[ပါဝင်မှု]]*Table4[[#This Row],[SalesPK]]+Table4[[#This Row],[Bottle]]</f>
        <v>600</v>
      </c>
      <c r="V112" s="10">
        <f>Table4[[#This Row],[SalesBot]]*Table4[[#This Row],[ML]]</f>
        <v>600</v>
      </c>
      <c r="W112" s="1">
        <f>VLOOKUP(N112,Stock[#Data],6,FALSE)</f>
        <v>1710</v>
      </c>
      <c r="X112" s="8">
        <f>+Table4[[#This Row],[SalesBot]]*Table4[[#This Row],[နှုံး]]</f>
        <v>1026000</v>
      </c>
      <c r="Y112" s="12"/>
      <c r="Z112" s="12"/>
      <c r="AA112" s="12"/>
      <c r="AB112" s="9"/>
      <c r="AC112" s="12">
        <v>1026000</v>
      </c>
      <c r="AD112" s="9"/>
      <c r="AE112" s="12"/>
      <c r="AF11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12" s="24"/>
      <c r="AH112" s="266">
        <f>Table4[[#This Row],[Date]]</f>
        <v>46031</v>
      </c>
      <c r="AI112" s="264" t="str">
        <f t="shared" si="14"/>
        <v>Jan</v>
      </c>
      <c r="AJ112" s="264" t="str">
        <f t="shared" si="15"/>
        <v>2026</v>
      </c>
      <c r="AK112" s="270" t="str">
        <f>Table4[[#This Row],[ကုန်သည်အမည်]]</f>
        <v>ကိုညီညီဆွေ</v>
      </c>
      <c r="AL112" s="270" t="str">
        <f>Table4[[#This Row],[Township]]</f>
        <v>Maw La Myaing</v>
      </c>
      <c r="AM112" s="271" t="str">
        <f>Table4[[#This Row],[WholeSales]]</f>
        <v>WholeSales</v>
      </c>
      <c r="AN112" s="272" t="str">
        <f>Table4[[#This Row],[Particular]]</f>
        <v>ကုန်ရောင်း(လက်ငင်း)</v>
      </c>
      <c r="AO112" s="273" t="str">
        <f>Table4[[#This Row],[StockName]]</f>
        <v>ဇေယျဝတီ Red (1 Liter) 30%</v>
      </c>
      <c r="AP112" s="268">
        <f>Table4[[#This Row],[Parking]]</f>
        <v>50</v>
      </c>
      <c r="AQ112" s="268">
        <f>Table4[[#This Row],[SalesBot]]</f>
        <v>600</v>
      </c>
      <c r="AR112" s="268">
        <f>Table4[[#This Row],[Liter]]</f>
        <v>600</v>
      </c>
    </row>
    <row r="113" spans="1:44" s="16" customFormat="1" hidden="1" x14ac:dyDescent="0.5">
      <c r="A113" s="3">
        <f t="shared" si="16"/>
        <v>2026</v>
      </c>
      <c r="B113" s="8">
        <f t="shared" si="17"/>
        <v>1</v>
      </c>
      <c r="C113" s="6">
        <v>46031</v>
      </c>
      <c r="D113" s="15">
        <f t="shared" ca="1" si="18"/>
        <v>46097</v>
      </c>
      <c r="E113" s="15" t="str">
        <f t="shared" ca="1" si="19"/>
        <v>2-Months</v>
      </c>
      <c r="F113" s="8" t="str">
        <f>VLOOKUP(N113,Stock[#Data],5,FALSE)</f>
        <v>BE</v>
      </c>
      <c r="G113" s="82" t="s">
        <v>703</v>
      </c>
      <c r="H113" s="15"/>
      <c r="I113" s="7" t="s">
        <v>706</v>
      </c>
      <c r="J113" s="8" t="str">
        <f>VLOOKUP(I113,Customers[#Data],2,FALSE)</f>
        <v>ကိုမွန်လေး</v>
      </c>
      <c r="K113" s="15" t="str">
        <f>VLOOKUP(I113,Customers[#Data],4,FALSE)</f>
        <v>Yay</v>
      </c>
      <c r="L113" s="15" t="str">
        <f>VLOOKUP(I113,Customers[#Data],5,FALSE)</f>
        <v>SemiWholeSales</v>
      </c>
      <c r="M113" s="7" t="s">
        <v>6</v>
      </c>
      <c r="N113" s="7" t="s">
        <v>514</v>
      </c>
      <c r="O113" s="14" t="str">
        <f>VLOOKUP(N113,Stock[#Data],2,FALSE)</f>
        <v>ဇေယျဝတီ Red</v>
      </c>
      <c r="P113" s="44">
        <f>VLOOKUP(N113,Stock[#Data],3,FALSE)</f>
        <v>0.64</v>
      </c>
      <c r="Q113" s="3">
        <f>VLOOKUP(N113,Stock[#Data],4,FALSE)</f>
        <v>14</v>
      </c>
      <c r="R113" s="11"/>
      <c r="S113" s="45">
        <f>IFERROR(Table4[[#This Row],[Bottle]]/Table4[[#This Row],[ပါဝင်မှု]]+Table4[[#This Row],[SalesPK]],0)</f>
        <v>100</v>
      </c>
      <c r="T113" s="12">
        <v>100</v>
      </c>
      <c r="U113" s="10">
        <f>Table4[[#This Row],[ပါဝင်မှု]]*Table4[[#This Row],[SalesPK]]+Table4[[#This Row],[Bottle]]</f>
        <v>1400</v>
      </c>
      <c r="V113" s="10">
        <f>Table4[[#This Row],[SalesBot]]*Table4[[#This Row],[ML]]</f>
        <v>896</v>
      </c>
      <c r="W113" s="1">
        <f>VLOOKUP(N113,Stock[#Data],6,FALSE)</f>
        <v>1350</v>
      </c>
      <c r="X113" s="8">
        <f>+Table4[[#This Row],[SalesBot]]*Table4[[#This Row],[နှုံး]]</f>
        <v>1890000</v>
      </c>
      <c r="Y113" s="12"/>
      <c r="Z113" s="12"/>
      <c r="AA113" s="12"/>
      <c r="AB113" s="9"/>
      <c r="AC113" s="12">
        <v>1890000</v>
      </c>
      <c r="AD113" s="9"/>
      <c r="AE113" s="12"/>
      <c r="AF11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13" s="24"/>
      <c r="AH113" s="266">
        <f>Table4[[#This Row],[Date]]</f>
        <v>46031</v>
      </c>
      <c r="AI113" s="264" t="str">
        <f t="shared" si="14"/>
        <v>Jan</v>
      </c>
      <c r="AJ113" s="264" t="str">
        <f t="shared" si="15"/>
        <v>2026</v>
      </c>
      <c r="AK113" s="270" t="str">
        <f>Table4[[#This Row],[ကုန်သည်အမည်]]</f>
        <v>ကိုမွန်လေး</v>
      </c>
      <c r="AL113" s="270" t="str">
        <f>Table4[[#This Row],[Township]]</f>
        <v>Yay</v>
      </c>
      <c r="AM113" s="271" t="str">
        <f>Table4[[#This Row],[WholeSales]]</f>
        <v>SemiWholeSales</v>
      </c>
      <c r="AN113" s="272" t="str">
        <f>Table4[[#This Row],[Particular]]</f>
        <v>ကုန်ရောင်း(လက်ငင်း)</v>
      </c>
      <c r="AO113" s="273" t="str">
        <f>Table4[[#This Row],[StockName]]</f>
        <v>ဇေယျဝတီ Red</v>
      </c>
      <c r="AP113" s="268">
        <f>Table4[[#This Row],[Parking]]</f>
        <v>100</v>
      </c>
      <c r="AQ113" s="268">
        <f>Table4[[#This Row],[SalesBot]]</f>
        <v>1400</v>
      </c>
      <c r="AR113" s="268">
        <f>Table4[[#This Row],[Liter]]</f>
        <v>896</v>
      </c>
    </row>
    <row r="114" spans="1:44" s="16" customFormat="1" hidden="1" x14ac:dyDescent="0.5">
      <c r="A114" s="3">
        <f t="shared" si="16"/>
        <v>2026</v>
      </c>
      <c r="B114" s="8">
        <f t="shared" si="17"/>
        <v>1</v>
      </c>
      <c r="C114" s="6">
        <v>46031</v>
      </c>
      <c r="D114" s="15">
        <f t="shared" ca="1" si="18"/>
        <v>46097</v>
      </c>
      <c r="E114" s="15" t="str">
        <f t="shared" ca="1" si="19"/>
        <v>2-Months</v>
      </c>
      <c r="F114" s="8" t="str">
        <f>VLOOKUP(N114,Stock[#Data],5,FALSE)</f>
        <v>BE</v>
      </c>
      <c r="G114" s="82" t="s">
        <v>704</v>
      </c>
      <c r="H114" s="15"/>
      <c r="I114" s="7" t="s">
        <v>551</v>
      </c>
      <c r="J114" s="8" t="str">
        <f>VLOOKUP(I114,Customers[#Data],2,FALSE)</f>
        <v>ရဲညွှန့်အောင်</v>
      </c>
      <c r="K114" s="15" t="str">
        <f>VLOOKUP(I114,Customers[#Data],4,FALSE)</f>
        <v>Kyaikto</v>
      </c>
      <c r="L114" s="15" t="str">
        <f>VLOOKUP(I114,Customers[#Data],5,FALSE)</f>
        <v>Mini Whole Sales</v>
      </c>
      <c r="M114" s="7" t="s">
        <v>6</v>
      </c>
      <c r="N114" s="7" t="s">
        <v>515</v>
      </c>
      <c r="O114" s="14" t="str">
        <f>VLOOKUP(N114,Stock[#Data],2,FALSE)</f>
        <v>ဇေ Vodka</v>
      </c>
      <c r="P114" s="44">
        <f>VLOOKUP(N114,Stock[#Data],3,FALSE)</f>
        <v>0.7</v>
      </c>
      <c r="Q114" s="3">
        <f>VLOOKUP(N114,Stock[#Data],4,FALSE)</f>
        <v>12</v>
      </c>
      <c r="R114" s="11"/>
      <c r="S114" s="45">
        <f>IFERROR(Table4[[#This Row],[Bottle]]/Table4[[#This Row],[ပါဝင်မှု]]+Table4[[#This Row],[SalesPK]],0)</f>
        <v>100</v>
      </c>
      <c r="T114" s="12">
        <v>100</v>
      </c>
      <c r="U114" s="10">
        <f>Table4[[#This Row],[ပါဝင်မှု]]*Table4[[#This Row],[SalesPK]]+Table4[[#This Row],[Bottle]]</f>
        <v>1200</v>
      </c>
      <c r="V114" s="10">
        <f>Table4[[#This Row],[SalesBot]]*Table4[[#This Row],[ML]]</f>
        <v>840</v>
      </c>
      <c r="W114" s="1">
        <f>VLOOKUP(N114,Stock[#Data],6,FALSE)</f>
        <v>2020</v>
      </c>
      <c r="X114" s="8">
        <f>+Table4[[#This Row],[SalesBot]]*Table4[[#This Row],[နှုံး]]</f>
        <v>2424000</v>
      </c>
      <c r="Y114" s="12"/>
      <c r="Z114" s="12"/>
      <c r="AA114" s="12"/>
      <c r="AB114" s="9"/>
      <c r="AC114" s="12">
        <v>2424000</v>
      </c>
      <c r="AD114" s="9"/>
      <c r="AE114" s="12"/>
      <c r="AF11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14" s="24"/>
      <c r="AH114" s="266">
        <f>Table4[[#This Row],[Date]]</f>
        <v>46031</v>
      </c>
      <c r="AI114" s="264" t="str">
        <f t="shared" si="14"/>
        <v>Jan</v>
      </c>
      <c r="AJ114" s="264" t="str">
        <f t="shared" si="15"/>
        <v>2026</v>
      </c>
      <c r="AK114" s="270" t="str">
        <f>Table4[[#This Row],[ကုန်သည်အမည်]]</f>
        <v>ရဲညွှန့်အောင်</v>
      </c>
      <c r="AL114" s="270" t="str">
        <f>Table4[[#This Row],[Township]]</f>
        <v>Kyaikto</v>
      </c>
      <c r="AM114" s="271" t="str">
        <f>Table4[[#This Row],[WholeSales]]</f>
        <v>Mini Whole Sales</v>
      </c>
      <c r="AN114" s="272" t="str">
        <f>Table4[[#This Row],[Particular]]</f>
        <v>ကုန်ရောင်း(လက်ငင်း)</v>
      </c>
      <c r="AO114" s="273" t="str">
        <f>Table4[[#This Row],[StockName]]</f>
        <v>ဇေ Vodka</v>
      </c>
      <c r="AP114" s="268">
        <f>Table4[[#This Row],[Parking]]</f>
        <v>100</v>
      </c>
      <c r="AQ114" s="268">
        <f>Table4[[#This Row],[SalesBot]]</f>
        <v>1200</v>
      </c>
      <c r="AR114" s="268">
        <f>Table4[[#This Row],[Liter]]</f>
        <v>840</v>
      </c>
    </row>
    <row r="115" spans="1:44" s="16" customFormat="1" hidden="1" x14ac:dyDescent="0.5">
      <c r="A115" s="3">
        <f t="shared" si="16"/>
        <v>2026</v>
      </c>
      <c r="B115" s="8">
        <f t="shared" si="17"/>
        <v>1</v>
      </c>
      <c r="C115" s="6">
        <v>46031</v>
      </c>
      <c r="D115" s="15">
        <f t="shared" ca="1" si="18"/>
        <v>46097</v>
      </c>
      <c r="E115" s="15" t="str">
        <f t="shared" ca="1" si="19"/>
        <v>2-Months</v>
      </c>
      <c r="F115" s="8" t="str">
        <f>VLOOKUP(N115,Stock[#Data],5,FALSE)</f>
        <v>BE</v>
      </c>
      <c r="G115" s="82" t="s">
        <v>705</v>
      </c>
      <c r="H115" s="15"/>
      <c r="I115" s="7" t="s">
        <v>538</v>
      </c>
      <c r="J115" s="8" t="str">
        <f>VLOOKUP(I115,Customers[#Data],2,FALSE)</f>
        <v>ဒေါ်နွယ်နွယ်ရီ(ရွှေတောင်ကြား)</v>
      </c>
      <c r="K115" s="15" t="str">
        <f>VLOOKUP(I115,Customers[#Data],4,FALSE)</f>
        <v>Yay</v>
      </c>
      <c r="L115" s="15" t="str">
        <f>VLOOKUP(I115,Customers[#Data],5,FALSE)</f>
        <v>WholeSales</v>
      </c>
      <c r="M115" s="7" t="s">
        <v>6</v>
      </c>
      <c r="N115" s="7" t="s">
        <v>517</v>
      </c>
      <c r="O115" s="14" t="str">
        <f>VLOOKUP(N115,Stock[#Data],2,FALSE)</f>
        <v>ဇေယျဝတီ Red (1 Liter) 30%</v>
      </c>
      <c r="P115" s="44">
        <f>VLOOKUP(N115,Stock[#Data],3,FALSE)</f>
        <v>1</v>
      </c>
      <c r="Q115" s="3">
        <f>VLOOKUP(N115,Stock[#Data],4,FALSE)</f>
        <v>12</v>
      </c>
      <c r="R115" s="11"/>
      <c r="S115" s="45">
        <f>IFERROR(Table4[[#This Row],[Bottle]]/Table4[[#This Row],[ပါဝင်မှု]]+Table4[[#This Row],[SalesPK]],0)</f>
        <v>100</v>
      </c>
      <c r="T115" s="12">
        <v>100</v>
      </c>
      <c r="U115" s="10">
        <f>Table4[[#This Row],[ပါဝင်မှု]]*Table4[[#This Row],[SalesPK]]+Table4[[#This Row],[Bottle]]</f>
        <v>1200</v>
      </c>
      <c r="V115" s="10">
        <f>Table4[[#This Row],[SalesBot]]*Table4[[#This Row],[ML]]</f>
        <v>1200</v>
      </c>
      <c r="W115" s="1">
        <f>VLOOKUP(N115,Stock[#Data],6,FALSE)</f>
        <v>1710</v>
      </c>
      <c r="X115" s="8">
        <f>+Table4[[#This Row],[SalesBot]]*Table4[[#This Row],[နှုံး]]</f>
        <v>2052000</v>
      </c>
      <c r="Y115" s="12"/>
      <c r="Z115" s="12"/>
      <c r="AA115" s="12"/>
      <c r="AB115" s="9"/>
      <c r="AC115" s="12">
        <v>2052000</v>
      </c>
      <c r="AD115" s="9"/>
      <c r="AE115" s="12"/>
      <c r="AF11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15" s="24"/>
      <c r="AH115" s="266">
        <f>Table4[[#This Row],[Date]]</f>
        <v>46031</v>
      </c>
      <c r="AI115" s="264" t="str">
        <f t="shared" si="14"/>
        <v>Jan</v>
      </c>
      <c r="AJ115" s="264" t="str">
        <f t="shared" si="15"/>
        <v>2026</v>
      </c>
      <c r="AK115" s="270" t="str">
        <f>Table4[[#This Row],[ကုန်သည်အမည်]]</f>
        <v>ဒေါ်နွယ်နွယ်ရီ(ရွှေတောင်ကြား)</v>
      </c>
      <c r="AL115" s="270" t="str">
        <f>Table4[[#This Row],[Township]]</f>
        <v>Yay</v>
      </c>
      <c r="AM115" s="271" t="str">
        <f>Table4[[#This Row],[WholeSales]]</f>
        <v>WholeSales</v>
      </c>
      <c r="AN115" s="272" t="str">
        <f>Table4[[#This Row],[Particular]]</f>
        <v>ကုန်ရောင်း(လက်ငင်း)</v>
      </c>
      <c r="AO115" s="273" t="str">
        <f>Table4[[#This Row],[StockName]]</f>
        <v>ဇေယျဝတီ Red (1 Liter) 30%</v>
      </c>
      <c r="AP115" s="268">
        <f>Table4[[#This Row],[Parking]]</f>
        <v>100</v>
      </c>
      <c r="AQ115" s="268">
        <f>Table4[[#This Row],[SalesBot]]</f>
        <v>1200</v>
      </c>
      <c r="AR115" s="268">
        <f>Table4[[#This Row],[Liter]]</f>
        <v>1200</v>
      </c>
    </row>
    <row r="116" spans="1:44" s="16" customFormat="1" hidden="1" x14ac:dyDescent="0.5">
      <c r="A116" s="3">
        <f t="shared" si="16"/>
        <v>2026</v>
      </c>
      <c r="B116" s="8">
        <f t="shared" si="17"/>
        <v>1</v>
      </c>
      <c r="C116" s="6">
        <v>46031</v>
      </c>
      <c r="D116" s="15">
        <f t="shared" ca="1" si="18"/>
        <v>46097</v>
      </c>
      <c r="E116" s="15" t="str">
        <f t="shared" ca="1" si="19"/>
        <v>2-Months</v>
      </c>
      <c r="F116" s="8" t="str">
        <f>VLOOKUP(N116,Stock[#Data],5,FALSE)</f>
        <v>BE</v>
      </c>
      <c r="G116" s="82" t="s">
        <v>707</v>
      </c>
      <c r="H116" s="15"/>
      <c r="I116" s="7" t="s">
        <v>721</v>
      </c>
      <c r="J116" s="8" t="str">
        <f>VLOOKUP(I116,Customers[#Data],2,FALSE)</f>
        <v>ကိုကျော်မြင့်</v>
      </c>
      <c r="K116" s="15" t="str">
        <f>VLOOKUP(I116,Customers[#Data],4,FALSE)</f>
        <v>Maw La Myaing</v>
      </c>
      <c r="L116" s="15" t="str">
        <f>VLOOKUP(I116,Customers[#Data],5,FALSE)</f>
        <v>Van Sales</v>
      </c>
      <c r="M116" s="7" t="s">
        <v>6</v>
      </c>
      <c r="N116" s="7" t="s">
        <v>526</v>
      </c>
      <c r="O116" s="14" t="str">
        <f>VLOOKUP(N116,Stock[#Data],2,FALSE)</f>
        <v>ဒဂုံနာနတ်ဝိုင်</v>
      </c>
      <c r="P116" s="44">
        <f>VLOOKUP(N116,Stock[#Data],3,FALSE)</f>
        <v>0.64</v>
      </c>
      <c r="Q116" s="3">
        <f>VLOOKUP(N116,Stock[#Data],4,FALSE)</f>
        <v>14</v>
      </c>
      <c r="R116" s="11"/>
      <c r="S116" s="45">
        <f>IFERROR(Table4[[#This Row],[Bottle]]/Table4[[#This Row],[ပါဝင်မှု]]+Table4[[#This Row],[SalesPK]],0)</f>
        <v>1</v>
      </c>
      <c r="T116" s="12">
        <v>1</v>
      </c>
      <c r="U116" s="10">
        <f>Table4[[#This Row],[ပါဝင်မှု]]*Table4[[#This Row],[SalesPK]]+Table4[[#This Row],[Bottle]]</f>
        <v>14</v>
      </c>
      <c r="V116" s="10">
        <f>Table4[[#This Row],[SalesBot]]*Table4[[#This Row],[ML]]</f>
        <v>8.9600000000000009</v>
      </c>
      <c r="W116" s="1">
        <f>VLOOKUP(N116,Stock[#Data],6,FALSE)</f>
        <v>1350</v>
      </c>
      <c r="X116" s="8">
        <f>+Table4[[#This Row],[SalesBot]]*Table4[[#This Row],[နှုံး]]</f>
        <v>18900</v>
      </c>
      <c r="Y116" s="12"/>
      <c r="Z116" s="12"/>
      <c r="AA116" s="12"/>
      <c r="AB116" s="9"/>
      <c r="AC116" s="12">
        <v>18900</v>
      </c>
      <c r="AD116" s="9"/>
      <c r="AE116" s="12"/>
      <c r="AF11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16" s="24"/>
      <c r="AH116" s="266">
        <f>Table4[[#This Row],[Date]]</f>
        <v>46031</v>
      </c>
      <c r="AI116" s="264" t="str">
        <f t="shared" si="14"/>
        <v>Jan</v>
      </c>
      <c r="AJ116" s="264" t="str">
        <f t="shared" si="15"/>
        <v>2026</v>
      </c>
      <c r="AK116" s="270" t="str">
        <f>Table4[[#This Row],[ကုန်သည်အမည်]]</f>
        <v>ကိုကျော်မြင့်</v>
      </c>
      <c r="AL116" s="270" t="str">
        <f>Table4[[#This Row],[Township]]</f>
        <v>Maw La Myaing</v>
      </c>
      <c r="AM116" s="271" t="str">
        <f>Table4[[#This Row],[WholeSales]]</f>
        <v>Van Sales</v>
      </c>
      <c r="AN116" s="272" t="str">
        <f>Table4[[#This Row],[Particular]]</f>
        <v>ကုန်ရောင်း(လက်ငင်း)</v>
      </c>
      <c r="AO116" s="273" t="str">
        <f>Table4[[#This Row],[StockName]]</f>
        <v>ဒဂုံနာနတ်ဝိုင်</v>
      </c>
      <c r="AP116" s="268">
        <f>Table4[[#This Row],[Parking]]</f>
        <v>1</v>
      </c>
      <c r="AQ116" s="268">
        <f>Table4[[#This Row],[SalesBot]]</f>
        <v>14</v>
      </c>
      <c r="AR116" s="268">
        <f>Table4[[#This Row],[Liter]]</f>
        <v>8.9600000000000009</v>
      </c>
    </row>
    <row r="117" spans="1:44" s="16" customFormat="1" hidden="1" x14ac:dyDescent="0.5">
      <c r="A117" s="3">
        <f t="shared" si="16"/>
        <v>2026</v>
      </c>
      <c r="B117" s="8">
        <f t="shared" si="17"/>
        <v>1</v>
      </c>
      <c r="C117" s="6">
        <v>46031</v>
      </c>
      <c r="D117" s="15">
        <f t="shared" ca="1" si="18"/>
        <v>46097</v>
      </c>
      <c r="E117" s="15" t="str">
        <f t="shared" ca="1" si="19"/>
        <v>2-Months</v>
      </c>
      <c r="F117" s="8" t="str">
        <f>VLOOKUP(N117,Stock[#Data],5,FALSE)</f>
        <v>BE</v>
      </c>
      <c r="G117" s="82" t="s">
        <v>708</v>
      </c>
      <c r="H117" s="15"/>
      <c r="I117" s="7" t="s">
        <v>472</v>
      </c>
      <c r="J117" s="8" t="str">
        <f>VLOOKUP(I117,Customers[#Data],2,FALSE)</f>
        <v>စိုးသီဟ</v>
      </c>
      <c r="K117" s="15" t="str">
        <f>VLOOKUP(I117,Customers[#Data],4,FALSE)</f>
        <v>Maw La Myaing</v>
      </c>
      <c r="L117" s="15" t="str">
        <f>VLOOKUP(I117,Customers[#Data],5,FALSE)</f>
        <v>Van Sales</v>
      </c>
      <c r="M117" s="7" t="s">
        <v>6</v>
      </c>
      <c r="N117" s="7" t="s">
        <v>518</v>
      </c>
      <c r="O117" s="14" t="str">
        <f>VLOOKUP(N117,Stock[#Data],2,FALSE)</f>
        <v>"ဇေ" ကော်ဘူး (1 Liter)</v>
      </c>
      <c r="P117" s="44">
        <f>VLOOKUP(N117,Stock[#Data],3,FALSE)</f>
        <v>1</v>
      </c>
      <c r="Q117" s="3">
        <f>VLOOKUP(N117,Stock[#Data],4,FALSE)</f>
        <v>12</v>
      </c>
      <c r="R117" s="11"/>
      <c r="S117" s="45">
        <f>IFERROR(Table4[[#This Row],[Bottle]]/Table4[[#This Row],[ပါဝင်မှု]]+Table4[[#This Row],[SalesPK]],0)</f>
        <v>10</v>
      </c>
      <c r="T117" s="12">
        <v>10</v>
      </c>
      <c r="U117" s="10">
        <f>Table4[[#This Row],[ပါဝင်မှု]]*Table4[[#This Row],[SalesPK]]+Table4[[#This Row],[Bottle]]</f>
        <v>120</v>
      </c>
      <c r="V117" s="10">
        <f>Table4[[#This Row],[SalesBot]]*Table4[[#This Row],[ML]]</f>
        <v>120</v>
      </c>
      <c r="W117" s="1">
        <f>VLOOKUP(N117,Stock[#Data],6,FALSE)</f>
        <v>1675</v>
      </c>
      <c r="X117" s="8">
        <f>+Table4[[#This Row],[SalesBot]]*Table4[[#This Row],[နှုံး]]</f>
        <v>201000</v>
      </c>
      <c r="Y117" s="12"/>
      <c r="Z117" s="12"/>
      <c r="AA117" s="12"/>
      <c r="AB117" s="9"/>
      <c r="AC117" s="12">
        <v>201000</v>
      </c>
      <c r="AD117" s="9"/>
      <c r="AE117" s="12"/>
      <c r="AF11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17" s="24"/>
      <c r="AH117" s="266">
        <f>Table4[[#This Row],[Date]]</f>
        <v>46031</v>
      </c>
      <c r="AI117" s="264" t="str">
        <f t="shared" si="14"/>
        <v>Jan</v>
      </c>
      <c r="AJ117" s="264" t="str">
        <f t="shared" si="15"/>
        <v>2026</v>
      </c>
      <c r="AK117" s="270" t="str">
        <f>Table4[[#This Row],[ကုန်သည်အမည်]]</f>
        <v>စိုးသီဟ</v>
      </c>
      <c r="AL117" s="270" t="str">
        <f>Table4[[#This Row],[Township]]</f>
        <v>Maw La Myaing</v>
      </c>
      <c r="AM117" s="271" t="str">
        <f>Table4[[#This Row],[WholeSales]]</f>
        <v>Van Sales</v>
      </c>
      <c r="AN117" s="272" t="str">
        <f>Table4[[#This Row],[Particular]]</f>
        <v>ကုန်ရောင်း(လက်ငင်း)</v>
      </c>
      <c r="AO117" s="273" t="str">
        <f>Table4[[#This Row],[StockName]]</f>
        <v>"ဇေ" ကော်ဘူး (1 Liter)</v>
      </c>
      <c r="AP117" s="268">
        <f>Table4[[#This Row],[Parking]]</f>
        <v>10</v>
      </c>
      <c r="AQ117" s="268">
        <f>Table4[[#This Row],[SalesBot]]</f>
        <v>120</v>
      </c>
      <c r="AR117" s="268">
        <f>Table4[[#This Row],[Liter]]</f>
        <v>120</v>
      </c>
    </row>
    <row r="118" spans="1:44" s="16" customFormat="1" hidden="1" x14ac:dyDescent="0.5">
      <c r="A118" s="3">
        <f t="shared" si="16"/>
        <v>2026</v>
      </c>
      <c r="B118" s="8">
        <f t="shared" si="17"/>
        <v>1</v>
      </c>
      <c r="C118" s="6">
        <v>46031</v>
      </c>
      <c r="D118" s="15">
        <f t="shared" ca="1" si="18"/>
        <v>46097</v>
      </c>
      <c r="E118" s="15" t="str">
        <f t="shared" ca="1" si="19"/>
        <v>2-Months</v>
      </c>
      <c r="F118" s="8" t="str">
        <f>VLOOKUP(N118,Stock[#Data],5,FALSE)</f>
        <v>BE</v>
      </c>
      <c r="G118" s="82" t="s">
        <v>709</v>
      </c>
      <c r="H118" s="15"/>
      <c r="I118" s="7" t="s">
        <v>722</v>
      </c>
      <c r="J118" s="8" t="str">
        <f>VLOOKUP(I118,Customers[#Data],2,FALSE)</f>
        <v>Moon</v>
      </c>
      <c r="K118" s="15" t="str">
        <f>VLOOKUP(I118,Customers[#Data],4,FALSE)</f>
        <v>Maw La Myaing</v>
      </c>
      <c r="L118" s="15" t="str">
        <f>VLOOKUP(I118,Customers[#Data],5,FALSE)</f>
        <v>Van Sales</v>
      </c>
      <c r="M118" s="7" t="s">
        <v>6</v>
      </c>
      <c r="N118" s="7" t="s">
        <v>515</v>
      </c>
      <c r="O118" s="14" t="str">
        <f>VLOOKUP(N118,Stock[#Data],2,FALSE)</f>
        <v>ဇေ Vodka</v>
      </c>
      <c r="P118" s="44">
        <f>VLOOKUP(N118,Stock[#Data],3,FALSE)</f>
        <v>0.7</v>
      </c>
      <c r="Q118" s="3">
        <f>VLOOKUP(N118,Stock[#Data],4,FALSE)</f>
        <v>12</v>
      </c>
      <c r="R118" s="11">
        <v>3</v>
      </c>
      <c r="S118" s="45">
        <f>IFERROR(Table4[[#This Row],[Bottle]]/Table4[[#This Row],[ပါဝင်မှု]]+Table4[[#This Row],[SalesPK]],0)</f>
        <v>0.25</v>
      </c>
      <c r="T118" s="12"/>
      <c r="U118" s="10">
        <f>Table4[[#This Row],[ပါဝင်မှု]]*Table4[[#This Row],[SalesPK]]+Table4[[#This Row],[Bottle]]</f>
        <v>3</v>
      </c>
      <c r="V118" s="10">
        <f>Table4[[#This Row],[SalesBot]]*Table4[[#This Row],[ML]]</f>
        <v>2.0999999999999996</v>
      </c>
      <c r="W118" s="1">
        <f>VLOOKUP(N118,Stock[#Data],6,FALSE)</f>
        <v>2020</v>
      </c>
      <c r="X118" s="8">
        <f>+Table4[[#This Row],[SalesBot]]*Table4[[#This Row],[နှုံး]]</f>
        <v>6060</v>
      </c>
      <c r="Y118" s="12"/>
      <c r="Z118" s="12"/>
      <c r="AA118" s="12"/>
      <c r="AB118" s="9"/>
      <c r="AC118" s="12">
        <v>6060</v>
      </c>
      <c r="AD118" s="9"/>
      <c r="AE118" s="12"/>
      <c r="AF11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18" s="24"/>
      <c r="AH118" s="266">
        <f>Table4[[#This Row],[Date]]</f>
        <v>46031</v>
      </c>
      <c r="AI118" s="264" t="str">
        <f t="shared" si="14"/>
        <v>Jan</v>
      </c>
      <c r="AJ118" s="264" t="str">
        <f t="shared" si="15"/>
        <v>2026</v>
      </c>
      <c r="AK118" s="270" t="str">
        <f>Table4[[#This Row],[ကုန်သည်အမည်]]</f>
        <v>Moon</v>
      </c>
      <c r="AL118" s="270" t="str">
        <f>Table4[[#This Row],[Township]]</f>
        <v>Maw La Myaing</v>
      </c>
      <c r="AM118" s="271" t="str">
        <f>Table4[[#This Row],[WholeSales]]</f>
        <v>Van Sales</v>
      </c>
      <c r="AN118" s="272" t="str">
        <f>Table4[[#This Row],[Particular]]</f>
        <v>ကုန်ရောင်း(လက်ငင်း)</v>
      </c>
      <c r="AO118" s="273" t="str">
        <f>Table4[[#This Row],[StockName]]</f>
        <v>ဇေ Vodka</v>
      </c>
      <c r="AP118" s="268">
        <f>Table4[[#This Row],[Parking]]</f>
        <v>0.25</v>
      </c>
      <c r="AQ118" s="268">
        <f>Table4[[#This Row],[SalesBot]]</f>
        <v>3</v>
      </c>
      <c r="AR118" s="268">
        <f>Table4[[#This Row],[Liter]]</f>
        <v>2.0999999999999996</v>
      </c>
    </row>
    <row r="119" spans="1:44" s="16" customFormat="1" hidden="1" x14ac:dyDescent="0.5">
      <c r="A119" s="3">
        <f t="shared" si="16"/>
        <v>2026</v>
      </c>
      <c r="B119" s="8">
        <f t="shared" si="17"/>
        <v>1</v>
      </c>
      <c r="C119" s="6">
        <v>46031</v>
      </c>
      <c r="D119" s="15">
        <f t="shared" ca="1" si="18"/>
        <v>46097</v>
      </c>
      <c r="E119" s="15" t="str">
        <f t="shared" ca="1" si="19"/>
        <v>2-Months</v>
      </c>
      <c r="F119" s="8" t="str">
        <f>VLOOKUP(N119,Stock[#Data],5,FALSE)</f>
        <v>BE</v>
      </c>
      <c r="G119" s="82" t="s">
        <v>709</v>
      </c>
      <c r="H119" s="15"/>
      <c r="I119" s="7" t="s">
        <v>722</v>
      </c>
      <c r="J119" s="8" t="str">
        <f>VLOOKUP(I119,Customers[#Data],2,FALSE)</f>
        <v>Moon</v>
      </c>
      <c r="K119" s="15" t="str">
        <f>VLOOKUP(I119,Customers[#Data],4,FALSE)</f>
        <v>Maw La Myaing</v>
      </c>
      <c r="L119" s="15" t="str">
        <f>VLOOKUP(I119,Customers[#Data],5,FALSE)</f>
        <v>Van Sales</v>
      </c>
      <c r="M119" s="7" t="s">
        <v>6</v>
      </c>
      <c r="N119" s="7" t="s">
        <v>522</v>
      </c>
      <c r="O119" s="14" t="str">
        <f>VLOOKUP(N119,Stock[#Data],2,FALSE)</f>
        <v>ဒဂုံမန်ကျည်း ကော်ဘူး (1 Liter)</v>
      </c>
      <c r="P119" s="44">
        <f>VLOOKUP(N119,Stock[#Data],3,FALSE)</f>
        <v>1</v>
      </c>
      <c r="Q119" s="3">
        <f>VLOOKUP(N119,Stock[#Data],4,FALSE)</f>
        <v>12</v>
      </c>
      <c r="R119" s="11">
        <v>1</v>
      </c>
      <c r="S119" s="45">
        <f>IFERROR(Table4[[#This Row],[Bottle]]/Table4[[#This Row],[ပါဝင်မှု]]+Table4[[#This Row],[SalesPK]],0)</f>
        <v>8.3333333333333329E-2</v>
      </c>
      <c r="T119" s="12"/>
      <c r="U119" s="10">
        <f>Table4[[#This Row],[ပါဝင်မှု]]*Table4[[#This Row],[SalesPK]]+Table4[[#This Row],[Bottle]]</f>
        <v>1</v>
      </c>
      <c r="V119" s="10">
        <f>Table4[[#This Row],[SalesBot]]*Table4[[#This Row],[ML]]</f>
        <v>1</v>
      </c>
      <c r="W119" s="1">
        <f>VLOOKUP(N119,Stock[#Data],6,FALSE)</f>
        <v>1600</v>
      </c>
      <c r="X119" s="8">
        <f>+Table4[[#This Row],[SalesBot]]*Table4[[#This Row],[နှုံး]]</f>
        <v>1600</v>
      </c>
      <c r="Y119" s="12"/>
      <c r="Z119" s="12"/>
      <c r="AA119" s="12"/>
      <c r="AB119" s="9"/>
      <c r="AC119" s="12">
        <v>1600</v>
      </c>
      <c r="AD119" s="9"/>
      <c r="AE119" s="12"/>
      <c r="AF11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19" s="24"/>
      <c r="AH119" s="266">
        <f>Table4[[#This Row],[Date]]</f>
        <v>46031</v>
      </c>
      <c r="AI119" s="264" t="str">
        <f t="shared" si="14"/>
        <v>Jan</v>
      </c>
      <c r="AJ119" s="264" t="str">
        <f t="shared" si="15"/>
        <v>2026</v>
      </c>
      <c r="AK119" s="270" t="str">
        <f>Table4[[#This Row],[ကုန်သည်အမည်]]</f>
        <v>Moon</v>
      </c>
      <c r="AL119" s="270" t="str">
        <f>Table4[[#This Row],[Township]]</f>
        <v>Maw La Myaing</v>
      </c>
      <c r="AM119" s="271" t="str">
        <f>Table4[[#This Row],[WholeSales]]</f>
        <v>Van Sales</v>
      </c>
      <c r="AN119" s="272" t="str">
        <f>Table4[[#This Row],[Particular]]</f>
        <v>ကုန်ရောင်း(လက်ငင်း)</v>
      </c>
      <c r="AO119" s="273" t="str">
        <f>Table4[[#This Row],[StockName]]</f>
        <v>ဒဂုံမန်ကျည်း ကော်ဘူး (1 Liter)</v>
      </c>
      <c r="AP119" s="268">
        <f>Table4[[#This Row],[Parking]]</f>
        <v>8.3333333333333329E-2</v>
      </c>
      <c r="AQ119" s="268">
        <f>Table4[[#This Row],[SalesBot]]</f>
        <v>1</v>
      </c>
      <c r="AR119" s="268">
        <f>Table4[[#This Row],[Liter]]</f>
        <v>1</v>
      </c>
    </row>
    <row r="120" spans="1:44" s="16" customFormat="1" hidden="1" x14ac:dyDescent="0.5">
      <c r="A120" s="3">
        <f t="shared" si="16"/>
        <v>2026</v>
      </c>
      <c r="B120" s="8">
        <f t="shared" si="17"/>
        <v>1</v>
      </c>
      <c r="C120" s="6">
        <v>46031</v>
      </c>
      <c r="D120" s="15">
        <f t="shared" ca="1" si="18"/>
        <v>46097</v>
      </c>
      <c r="E120" s="15" t="str">
        <f t="shared" ca="1" si="19"/>
        <v>2-Months</v>
      </c>
      <c r="F120" s="8" t="str">
        <f>VLOOKUP(N120,Stock[#Data],5,FALSE)</f>
        <v>BE</v>
      </c>
      <c r="G120" s="82" t="s">
        <v>709</v>
      </c>
      <c r="H120" s="15"/>
      <c r="I120" s="7" t="s">
        <v>722</v>
      </c>
      <c r="J120" s="8" t="str">
        <f>VLOOKUP(I120,Customers[#Data],2,FALSE)</f>
        <v>Moon</v>
      </c>
      <c r="K120" s="15" t="str">
        <f>VLOOKUP(I120,Customers[#Data],4,FALSE)</f>
        <v>Maw La Myaing</v>
      </c>
      <c r="L120" s="15" t="str">
        <f>VLOOKUP(I120,Customers[#Data],5,FALSE)</f>
        <v>Van Sales</v>
      </c>
      <c r="M120" s="7" t="s">
        <v>6</v>
      </c>
      <c r="N120" s="7" t="s">
        <v>508</v>
      </c>
      <c r="O120" s="14" t="str">
        <f>VLOOKUP(N120,Stock[#Data],2,FALSE)</f>
        <v>ကောင်းကြည်-1Li</v>
      </c>
      <c r="P120" s="44">
        <f>VLOOKUP(N120,Stock[#Data],3,FALSE)</f>
        <v>1</v>
      </c>
      <c r="Q120" s="3">
        <f>VLOOKUP(N120,Stock[#Data],4,FALSE)</f>
        <v>12</v>
      </c>
      <c r="R120" s="11">
        <v>1</v>
      </c>
      <c r="S120" s="45">
        <f>IFERROR(Table4[[#This Row],[Bottle]]/Table4[[#This Row],[ပါဝင်မှု]]+Table4[[#This Row],[SalesPK]],0)</f>
        <v>8.3333333333333329E-2</v>
      </c>
      <c r="T120" s="12"/>
      <c r="U120" s="10">
        <f>Table4[[#This Row],[ပါဝင်မှု]]*Table4[[#This Row],[SalesPK]]+Table4[[#This Row],[Bottle]]</f>
        <v>1</v>
      </c>
      <c r="V120" s="10">
        <f>Table4[[#This Row],[SalesBot]]*Table4[[#This Row],[ML]]</f>
        <v>1</v>
      </c>
      <c r="W120" s="1">
        <f>VLOOKUP(N120,Stock[#Data],6,FALSE)</f>
        <v>1850</v>
      </c>
      <c r="X120" s="8">
        <f>+Table4[[#This Row],[SalesBot]]*Table4[[#This Row],[နှုံး]]</f>
        <v>1850</v>
      </c>
      <c r="Y120" s="12"/>
      <c r="Z120" s="12"/>
      <c r="AA120" s="12"/>
      <c r="AB120" s="9"/>
      <c r="AC120" s="12">
        <v>1850</v>
      </c>
      <c r="AD120" s="9"/>
      <c r="AE120" s="12"/>
      <c r="AF12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20" s="24"/>
      <c r="AH120" s="266">
        <f>Table4[[#This Row],[Date]]</f>
        <v>46031</v>
      </c>
      <c r="AI120" s="264" t="str">
        <f t="shared" si="14"/>
        <v>Jan</v>
      </c>
      <c r="AJ120" s="264" t="str">
        <f t="shared" si="15"/>
        <v>2026</v>
      </c>
      <c r="AK120" s="270" t="str">
        <f>Table4[[#This Row],[ကုန်သည်အမည်]]</f>
        <v>Moon</v>
      </c>
      <c r="AL120" s="270" t="str">
        <f>Table4[[#This Row],[Township]]</f>
        <v>Maw La Myaing</v>
      </c>
      <c r="AM120" s="271" t="str">
        <f>Table4[[#This Row],[WholeSales]]</f>
        <v>Van Sales</v>
      </c>
      <c r="AN120" s="272" t="str">
        <f>Table4[[#This Row],[Particular]]</f>
        <v>ကုန်ရောင်း(လက်ငင်း)</v>
      </c>
      <c r="AO120" s="273" t="str">
        <f>Table4[[#This Row],[StockName]]</f>
        <v>ကောင်းကြည်-1Li</v>
      </c>
      <c r="AP120" s="268">
        <f>Table4[[#This Row],[Parking]]</f>
        <v>8.3333333333333329E-2</v>
      </c>
      <c r="AQ120" s="268">
        <f>Table4[[#This Row],[SalesBot]]</f>
        <v>1</v>
      </c>
      <c r="AR120" s="268">
        <f>Table4[[#This Row],[Liter]]</f>
        <v>1</v>
      </c>
    </row>
    <row r="121" spans="1:44" s="16" customFormat="1" hidden="1" x14ac:dyDescent="0.5">
      <c r="A121" s="3">
        <f t="shared" si="16"/>
        <v>2026</v>
      </c>
      <c r="B121" s="8">
        <f t="shared" si="17"/>
        <v>1</v>
      </c>
      <c r="C121" s="6">
        <v>46031</v>
      </c>
      <c r="D121" s="15">
        <f t="shared" ca="1" si="18"/>
        <v>46097</v>
      </c>
      <c r="E121" s="15" t="str">
        <f t="shared" ca="1" si="19"/>
        <v>2-Months</v>
      </c>
      <c r="F121" s="8" t="str">
        <f>VLOOKUP(N121,Stock[#Data],5,FALSE)</f>
        <v>BE</v>
      </c>
      <c r="G121" s="82" t="s">
        <v>709</v>
      </c>
      <c r="H121" s="15"/>
      <c r="I121" s="7" t="s">
        <v>722</v>
      </c>
      <c r="J121" s="8" t="str">
        <f>VLOOKUP(I121,Customers[#Data],2,FALSE)</f>
        <v>Moon</v>
      </c>
      <c r="K121" s="15" t="str">
        <f>VLOOKUP(I121,Customers[#Data],4,FALSE)</f>
        <v>Maw La Myaing</v>
      </c>
      <c r="L121" s="15" t="str">
        <f>VLOOKUP(I121,Customers[#Data],5,FALSE)</f>
        <v>Van Sales</v>
      </c>
      <c r="M121" s="7" t="s">
        <v>6</v>
      </c>
      <c r="N121" s="7" t="s">
        <v>425</v>
      </c>
      <c r="O121" s="14" t="str">
        <f>VLOOKUP(N121,Stock[#Data],2,FALSE)</f>
        <v>ကောင်းကြည်-1Li</v>
      </c>
      <c r="P121" s="44">
        <f>VLOOKUP(N121,Stock[#Data],3,FALSE)</f>
        <v>1</v>
      </c>
      <c r="Q121" s="3">
        <f>VLOOKUP(N121,Stock[#Data],4,FALSE)</f>
        <v>12</v>
      </c>
      <c r="R121" s="11">
        <v>1</v>
      </c>
      <c r="S121" s="45">
        <f>IFERROR(Table4[[#This Row],[Bottle]]/Table4[[#This Row],[ပါဝင်မှု]]+Table4[[#This Row],[SalesPK]],0)</f>
        <v>8.3333333333333329E-2</v>
      </c>
      <c r="T121" s="12"/>
      <c r="U121" s="10">
        <f>Table4[[#This Row],[ပါဝင်မှု]]*Table4[[#This Row],[SalesPK]]+Table4[[#This Row],[Bottle]]</f>
        <v>1</v>
      </c>
      <c r="V121" s="10">
        <f>Table4[[#This Row],[SalesBot]]*Table4[[#This Row],[ML]]</f>
        <v>1</v>
      </c>
      <c r="W121" s="1">
        <f>VLOOKUP(N121,Stock[#Data],6,FALSE)</f>
        <v>1500</v>
      </c>
      <c r="X121" s="8">
        <f>+Table4[[#This Row],[SalesBot]]*Table4[[#This Row],[နှုံး]]</f>
        <v>1500</v>
      </c>
      <c r="Y121" s="12"/>
      <c r="Z121" s="12"/>
      <c r="AA121" s="12"/>
      <c r="AB121" s="9"/>
      <c r="AC121" s="12">
        <v>1500</v>
      </c>
      <c r="AD121" s="9"/>
      <c r="AE121" s="12"/>
      <c r="AF12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21" s="24"/>
      <c r="AH121" s="266">
        <f>Table4[[#This Row],[Date]]</f>
        <v>46031</v>
      </c>
      <c r="AI121" s="264" t="str">
        <f t="shared" si="14"/>
        <v>Jan</v>
      </c>
      <c r="AJ121" s="264" t="str">
        <f t="shared" si="15"/>
        <v>2026</v>
      </c>
      <c r="AK121" s="270" t="str">
        <f>Table4[[#This Row],[ကုန်သည်အမည်]]</f>
        <v>Moon</v>
      </c>
      <c r="AL121" s="270" t="str">
        <f>Table4[[#This Row],[Township]]</f>
        <v>Maw La Myaing</v>
      </c>
      <c r="AM121" s="271" t="str">
        <f>Table4[[#This Row],[WholeSales]]</f>
        <v>Van Sales</v>
      </c>
      <c r="AN121" s="272" t="str">
        <f>Table4[[#This Row],[Particular]]</f>
        <v>ကုန်ရောင်း(လက်ငင်း)</v>
      </c>
      <c r="AO121" s="273" t="str">
        <f>Table4[[#This Row],[StockName]]</f>
        <v>ကောင်းကြည်-1Li</v>
      </c>
      <c r="AP121" s="268">
        <f>Table4[[#This Row],[Parking]]</f>
        <v>8.3333333333333329E-2</v>
      </c>
      <c r="AQ121" s="268">
        <f>Table4[[#This Row],[SalesBot]]</f>
        <v>1</v>
      </c>
      <c r="AR121" s="268">
        <f>Table4[[#This Row],[Liter]]</f>
        <v>1</v>
      </c>
    </row>
    <row r="122" spans="1:44" s="16" customFormat="1" hidden="1" x14ac:dyDescent="0.5">
      <c r="A122" s="3">
        <f t="shared" si="16"/>
        <v>2026</v>
      </c>
      <c r="B122" s="8">
        <f t="shared" si="17"/>
        <v>1</v>
      </c>
      <c r="C122" s="6">
        <v>46031</v>
      </c>
      <c r="D122" s="15">
        <f t="shared" ca="1" si="18"/>
        <v>46097</v>
      </c>
      <c r="E122" s="15" t="str">
        <f t="shared" ca="1" si="19"/>
        <v>2-Months</v>
      </c>
      <c r="F122" s="8" t="str">
        <f>VLOOKUP(N122,Stock[#Data],5,FALSE)</f>
        <v>BE</v>
      </c>
      <c r="G122" s="82" t="s">
        <v>710</v>
      </c>
      <c r="H122" s="15"/>
      <c r="I122" s="7">
        <v>155</v>
      </c>
      <c r="J122" s="8">
        <f>VLOOKUP(I122,Customers[#Data],2,FALSE)</f>
        <v>155</v>
      </c>
      <c r="K122" s="15" t="str">
        <f>VLOOKUP(I122,Customers[#Data],4,FALSE)</f>
        <v>Maw La Myaing</v>
      </c>
      <c r="L122" s="15" t="str">
        <f>VLOOKUP(I122,Customers[#Data],5,FALSE)</f>
        <v>Van Sales</v>
      </c>
      <c r="M122" s="7" t="s">
        <v>6</v>
      </c>
      <c r="N122" s="7" t="s">
        <v>522</v>
      </c>
      <c r="O122" s="14" t="str">
        <f>VLOOKUP(N122,Stock[#Data],2,FALSE)</f>
        <v>ဒဂုံမန်ကျည်း ကော်ဘူး (1 Liter)</v>
      </c>
      <c r="P122" s="44">
        <f>VLOOKUP(N122,Stock[#Data],3,FALSE)</f>
        <v>1</v>
      </c>
      <c r="Q122" s="3">
        <f>VLOOKUP(N122,Stock[#Data],4,FALSE)</f>
        <v>12</v>
      </c>
      <c r="R122" s="11">
        <v>5</v>
      </c>
      <c r="S122" s="45">
        <f>IFERROR(Table4[[#This Row],[Bottle]]/Table4[[#This Row],[ပါဝင်မှု]]+Table4[[#This Row],[SalesPK]],0)</f>
        <v>0.41666666666666669</v>
      </c>
      <c r="T122" s="12"/>
      <c r="U122" s="10">
        <f>Table4[[#This Row],[ပါဝင်မှု]]*Table4[[#This Row],[SalesPK]]+Table4[[#This Row],[Bottle]]</f>
        <v>5</v>
      </c>
      <c r="V122" s="10">
        <f>Table4[[#This Row],[SalesBot]]*Table4[[#This Row],[ML]]</f>
        <v>5</v>
      </c>
      <c r="W122" s="1">
        <f>VLOOKUP(N122,Stock[#Data],6,FALSE)</f>
        <v>1600</v>
      </c>
      <c r="X122" s="8">
        <f>+Table4[[#This Row],[SalesBot]]*Table4[[#This Row],[နှုံး]]</f>
        <v>8000</v>
      </c>
      <c r="Y122" s="12"/>
      <c r="Z122" s="12"/>
      <c r="AA122" s="12"/>
      <c r="AB122" s="9"/>
      <c r="AC122" s="12">
        <v>8000</v>
      </c>
      <c r="AD122" s="9"/>
      <c r="AE122" s="12"/>
      <c r="AF12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22" s="24"/>
      <c r="AH122" s="266">
        <f>Table4[[#This Row],[Date]]</f>
        <v>46031</v>
      </c>
      <c r="AI122" s="264" t="str">
        <f t="shared" si="14"/>
        <v>Jan</v>
      </c>
      <c r="AJ122" s="264" t="str">
        <f t="shared" si="15"/>
        <v>2026</v>
      </c>
      <c r="AK122" s="270">
        <f>Table4[[#This Row],[ကုန်သည်အမည်]]</f>
        <v>155</v>
      </c>
      <c r="AL122" s="270" t="str">
        <f>Table4[[#This Row],[Township]]</f>
        <v>Maw La Myaing</v>
      </c>
      <c r="AM122" s="271" t="str">
        <f>Table4[[#This Row],[WholeSales]]</f>
        <v>Van Sales</v>
      </c>
      <c r="AN122" s="272" t="str">
        <f>Table4[[#This Row],[Particular]]</f>
        <v>ကုန်ရောင်း(လက်ငင်း)</v>
      </c>
      <c r="AO122" s="273" t="str">
        <f>Table4[[#This Row],[StockName]]</f>
        <v>ဒဂုံမန်ကျည်း ကော်ဘူး (1 Liter)</v>
      </c>
      <c r="AP122" s="268">
        <f>Table4[[#This Row],[Parking]]</f>
        <v>0.41666666666666669</v>
      </c>
      <c r="AQ122" s="268">
        <f>Table4[[#This Row],[SalesBot]]</f>
        <v>5</v>
      </c>
      <c r="AR122" s="268">
        <f>Table4[[#This Row],[Liter]]</f>
        <v>5</v>
      </c>
    </row>
    <row r="123" spans="1:44" s="16" customFormat="1" hidden="1" x14ac:dyDescent="0.5">
      <c r="A123" s="3">
        <f t="shared" si="16"/>
        <v>2026</v>
      </c>
      <c r="B123" s="8">
        <f t="shared" si="17"/>
        <v>1</v>
      </c>
      <c r="C123" s="6">
        <v>46031</v>
      </c>
      <c r="D123" s="15">
        <f t="shared" ca="1" si="18"/>
        <v>46097</v>
      </c>
      <c r="E123" s="15" t="str">
        <f t="shared" ca="1" si="19"/>
        <v>2-Months</v>
      </c>
      <c r="F123" s="8" t="str">
        <f>VLOOKUP(N123,Stock[#Data],5,FALSE)</f>
        <v>BE</v>
      </c>
      <c r="G123" s="82" t="s">
        <v>710</v>
      </c>
      <c r="H123" s="15"/>
      <c r="I123" s="7">
        <v>155</v>
      </c>
      <c r="J123" s="8">
        <f>VLOOKUP(I123,Customers[#Data],2,FALSE)</f>
        <v>155</v>
      </c>
      <c r="K123" s="15" t="str">
        <f>VLOOKUP(I123,Customers[#Data],4,FALSE)</f>
        <v>Maw La Myaing</v>
      </c>
      <c r="L123" s="15" t="str">
        <f>VLOOKUP(I123,Customers[#Data],5,FALSE)</f>
        <v>Van Sales</v>
      </c>
      <c r="M123" s="7" t="s">
        <v>6</v>
      </c>
      <c r="N123" s="7" t="s">
        <v>508</v>
      </c>
      <c r="O123" s="14" t="str">
        <f>VLOOKUP(N123,Stock[#Data],2,FALSE)</f>
        <v>ကောင်းကြည်-1Li</v>
      </c>
      <c r="P123" s="44">
        <f>VLOOKUP(N123,Stock[#Data],3,FALSE)</f>
        <v>1</v>
      </c>
      <c r="Q123" s="3">
        <f>VLOOKUP(N123,Stock[#Data],4,FALSE)</f>
        <v>12</v>
      </c>
      <c r="R123" s="11">
        <v>5</v>
      </c>
      <c r="S123" s="45">
        <f>IFERROR(Table4[[#This Row],[Bottle]]/Table4[[#This Row],[ပါဝင်မှု]]+Table4[[#This Row],[SalesPK]],0)</f>
        <v>0.41666666666666669</v>
      </c>
      <c r="T123" s="12"/>
      <c r="U123" s="10">
        <f>Table4[[#This Row],[ပါဝင်မှု]]*Table4[[#This Row],[SalesPK]]+Table4[[#This Row],[Bottle]]</f>
        <v>5</v>
      </c>
      <c r="V123" s="10">
        <f>Table4[[#This Row],[SalesBot]]*Table4[[#This Row],[ML]]</f>
        <v>5</v>
      </c>
      <c r="W123" s="1">
        <f>VLOOKUP(N123,Stock[#Data],6,FALSE)</f>
        <v>1850</v>
      </c>
      <c r="X123" s="8">
        <f>+Table4[[#This Row],[SalesBot]]*Table4[[#This Row],[နှုံး]]</f>
        <v>9250</v>
      </c>
      <c r="Y123" s="12"/>
      <c r="Z123" s="12"/>
      <c r="AA123" s="12"/>
      <c r="AB123" s="9"/>
      <c r="AC123" s="12">
        <v>9250</v>
      </c>
      <c r="AD123" s="9"/>
      <c r="AE123" s="12"/>
      <c r="AF12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23" s="24"/>
      <c r="AH123" s="266">
        <f>Table4[[#This Row],[Date]]</f>
        <v>46031</v>
      </c>
      <c r="AI123" s="264" t="str">
        <f t="shared" si="14"/>
        <v>Jan</v>
      </c>
      <c r="AJ123" s="264" t="str">
        <f t="shared" si="15"/>
        <v>2026</v>
      </c>
      <c r="AK123" s="270">
        <f>Table4[[#This Row],[ကုန်သည်အမည်]]</f>
        <v>155</v>
      </c>
      <c r="AL123" s="270" t="str">
        <f>Table4[[#This Row],[Township]]</f>
        <v>Maw La Myaing</v>
      </c>
      <c r="AM123" s="271" t="str">
        <f>Table4[[#This Row],[WholeSales]]</f>
        <v>Van Sales</v>
      </c>
      <c r="AN123" s="272" t="str">
        <f>Table4[[#This Row],[Particular]]</f>
        <v>ကုန်ရောင်း(လက်ငင်း)</v>
      </c>
      <c r="AO123" s="273" t="str">
        <f>Table4[[#This Row],[StockName]]</f>
        <v>ကောင်းကြည်-1Li</v>
      </c>
      <c r="AP123" s="268">
        <f>Table4[[#This Row],[Parking]]</f>
        <v>0.41666666666666669</v>
      </c>
      <c r="AQ123" s="268">
        <f>Table4[[#This Row],[SalesBot]]</f>
        <v>5</v>
      </c>
      <c r="AR123" s="268">
        <f>Table4[[#This Row],[Liter]]</f>
        <v>5</v>
      </c>
    </row>
    <row r="124" spans="1:44" s="16" customFormat="1" hidden="1" x14ac:dyDescent="0.5">
      <c r="A124" s="3">
        <f t="shared" si="16"/>
        <v>2026</v>
      </c>
      <c r="B124" s="8">
        <f t="shared" si="17"/>
        <v>1</v>
      </c>
      <c r="C124" s="6">
        <v>46031</v>
      </c>
      <c r="D124" s="15">
        <f t="shared" ca="1" si="18"/>
        <v>46097</v>
      </c>
      <c r="E124" s="15" t="str">
        <f t="shared" ca="1" si="19"/>
        <v>2-Months</v>
      </c>
      <c r="F124" s="8" t="str">
        <f>VLOOKUP(N124,Stock[#Data],5,FALSE)</f>
        <v>BE</v>
      </c>
      <c r="G124" s="82" t="s">
        <v>710</v>
      </c>
      <c r="H124" s="15"/>
      <c r="I124" s="7">
        <v>155</v>
      </c>
      <c r="J124" s="8">
        <f>VLOOKUP(I124,Customers[#Data],2,FALSE)</f>
        <v>155</v>
      </c>
      <c r="K124" s="15" t="str">
        <f>VLOOKUP(I124,Customers[#Data],4,FALSE)</f>
        <v>Maw La Myaing</v>
      </c>
      <c r="L124" s="15" t="str">
        <f>VLOOKUP(I124,Customers[#Data],5,FALSE)</f>
        <v>Van Sales</v>
      </c>
      <c r="M124" s="7" t="s">
        <v>6</v>
      </c>
      <c r="N124" s="7" t="s">
        <v>425</v>
      </c>
      <c r="O124" s="14" t="str">
        <f>VLOOKUP(N124,Stock[#Data],2,FALSE)</f>
        <v>ကောင်းကြည်-1Li</v>
      </c>
      <c r="P124" s="44">
        <f>VLOOKUP(N124,Stock[#Data],3,FALSE)</f>
        <v>1</v>
      </c>
      <c r="Q124" s="3">
        <f>VLOOKUP(N124,Stock[#Data],4,FALSE)</f>
        <v>12</v>
      </c>
      <c r="R124" s="11">
        <v>5</v>
      </c>
      <c r="S124" s="45">
        <f>IFERROR(Table4[[#This Row],[Bottle]]/Table4[[#This Row],[ပါဝင်မှု]]+Table4[[#This Row],[SalesPK]],0)</f>
        <v>0.41666666666666669</v>
      </c>
      <c r="T124" s="12"/>
      <c r="U124" s="10">
        <f>Table4[[#This Row],[ပါဝင်မှု]]*Table4[[#This Row],[SalesPK]]+Table4[[#This Row],[Bottle]]</f>
        <v>5</v>
      </c>
      <c r="V124" s="10">
        <f>Table4[[#This Row],[SalesBot]]*Table4[[#This Row],[ML]]</f>
        <v>5</v>
      </c>
      <c r="W124" s="1">
        <f>VLOOKUP(N124,Stock[#Data],6,FALSE)</f>
        <v>1500</v>
      </c>
      <c r="X124" s="8">
        <f>+Table4[[#This Row],[SalesBot]]*Table4[[#This Row],[နှုံး]]</f>
        <v>7500</v>
      </c>
      <c r="Y124" s="12"/>
      <c r="Z124" s="12"/>
      <c r="AA124" s="12"/>
      <c r="AB124" s="9"/>
      <c r="AC124" s="12">
        <v>7500</v>
      </c>
      <c r="AD124" s="9"/>
      <c r="AE124" s="12"/>
      <c r="AF12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24" s="24"/>
      <c r="AH124" s="266">
        <f>Table4[[#This Row],[Date]]</f>
        <v>46031</v>
      </c>
      <c r="AI124" s="264" t="str">
        <f t="shared" si="14"/>
        <v>Jan</v>
      </c>
      <c r="AJ124" s="264" t="str">
        <f t="shared" si="15"/>
        <v>2026</v>
      </c>
      <c r="AK124" s="270">
        <f>Table4[[#This Row],[ကုန်သည်အမည်]]</f>
        <v>155</v>
      </c>
      <c r="AL124" s="270" t="str">
        <f>Table4[[#This Row],[Township]]</f>
        <v>Maw La Myaing</v>
      </c>
      <c r="AM124" s="271" t="str">
        <f>Table4[[#This Row],[WholeSales]]</f>
        <v>Van Sales</v>
      </c>
      <c r="AN124" s="272" t="str">
        <f>Table4[[#This Row],[Particular]]</f>
        <v>ကုန်ရောင်း(လက်ငင်း)</v>
      </c>
      <c r="AO124" s="273" t="str">
        <f>Table4[[#This Row],[StockName]]</f>
        <v>ကောင်းကြည်-1Li</v>
      </c>
      <c r="AP124" s="268">
        <f>Table4[[#This Row],[Parking]]</f>
        <v>0.41666666666666669</v>
      </c>
      <c r="AQ124" s="268">
        <f>Table4[[#This Row],[SalesBot]]</f>
        <v>5</v>
      </c>
      <c r="AR124" s="268">
        <f>Table4[[#This Row],[Liter]]</f>
        <v>5</v>
      </c>
    </row>
    <row r="125" spans="1:44" s="16" customFormat="1" hidden="1" x14ac:dyDescent="0.5">
      <c r="A125" s="3">
        <f>YEAR(C125)</f>
        <v>2026</v>
      </c>
      <c r="B125" s="8">
        <f>MONTH(C125)</f>
        <v>1</v>
      </c>
      <c r="C125" s="6">
        <v>46031</v>
      </c>
      <c r="D125" s="15">
        <f ca="1">TODAY()</f>
        <v>46097</v>
      </c>
      <c r="E125" s="15" t="str">
        <f ca="1">DATEDIF(C125,D125,"M")&amp;"-Months"</f>
        <v>2-Months</v>
      </c>
      <c r="F125" s="8" t="str">
        <f>VLOOKUP(N125,Stock[#Data],5,FALSE)</f>
        <v>BE</v>
      </c>
      <c r="G125" s="82" t="s">
        <v>710</v>
      </c>
      <c r="H125" s="15"/>
      <c r="I125" s="7">
        <v>155</v>
      </c>
      <c r="J125" s="8">
        <f>VLOOKUP(I125,Customers[#Data],2,FALSE)</f>
        <v>155</v>
      </c>
      <c r="K125" s="15" t="str">
        <f>VLOOKUP(I125,Customers[#Data],4,FALSE)</f>
        <v>Maw La Myaing</v>
      </c>
      <c r="L125" s="15" t="str">
        <f>VLOOKUP(I125,Customers[#Data],5,FALSE)</f>
        <v>Van Sales</v>
      </c>
      <c r="M125" s="7" t="s">
        <v>9</v>
      </c>
      <c r="N125" s="7" t="s">
        <v>425</v>
      </c>
      <c r="O125" s="14" t="str">
        <f>VLOOKUP(N125,Stock[#Data],2,FALSE)</f>
        <v>ကောင်းကြည်-1Li</v>
      </c>
      <c r="P125" s="44">
        <f>VLOOKUP(N125,Stock[#Data],3,FALSE)</f>
        <v>1</v>
      </c>
      <c r="Q125" s="3">
        <f>VLOOKUP(N125,Stock[#Data],4,FALSE)</f>
        <v>12</v>
      </c>
      <c r="R125" s="11">
        <v>1</v>
      </c>
      <c r="S125" s="45">
        <f>IFERROR(Table4[[#This Row],[Bottle]]/Table4[[#This Row],[ပါဝင်မှု]]+Table4[[#This Row],[SalesPK]],0)</f>
        <v>8.3333333333333329E-2</v>
      </c>
      <c r="T125" s="12"/>
      <c r="U125" s="10">
        <f>Table4[[#This Row],[ပါဝင်မှု]]*Table4[[#This Row],[SalesPK]]+Table4[[#This Row],[Bottle]]</f>
        <v>1</v>
      </c>
      <c r="V125" s="10">
        <f>Table4[[#This Row],[SalesBot]]*Table4[[#This Row],[ML]]</f>
        <v>1</v>
      </c>
      <c r="W125" s="1">
        <f>VLOOKUP(N125,Stock[#Data],6,FALSE)</f>
        <v>1500</v>
      </c>
      <c r="X125" s="8">
        <f>+Table4[[#This Row],[SalesBot]]*Table4[[#This Row],[နှုံး]]</f>
        <v>1500</v>
      </c>
      <c r="Y125" s="12"/>
      <c r="Z125" s="12"/>
      <c r="AA125" s="12"/>
      <c r="AB125" s="9"/>
      <c r="AC125" s="12"/>
      <c r="AD125" s="9"/>
      <c r="AE125" s="12"/>
      <c r="AF12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125" s="24"/>
      <c r="AH125" s="266">
        <f>Table4[[#This Row],[Date]]</f>
        <v>46031</v>
      </c>
      <c r="AI125" s="264" t="str">
        <f t="shared" si="14"/>
        <v>Jan</v>
      </c>
      <c r="AJ125" s="264" t="str">
        <f t="shared" si="15"/>
        <v>2026</v>
      </c>
      <c r="AK125" s="270">
        <f>Table4[[#This Row],[ကုန်သည်အမည်]]</f>
        <v>155</v>
      </c>
      <c r="AL125" s="270" t="str">
        <f>Table4[[#This Row],[Township]]</f>
        <v>Maw La Myaing</v>
      </c>
      <c r="AM125" s="271" t="str">
        <f>Table4[[#This Row],[WholeSales]]</f>
        <v>Van Sales</v>
      </c>
      <c r="AN125" s="272" t="str">
        <f>Table4[[#This Row],[Particular]]</f>
        <v>လက်ဆောင်</v>
      </c>
      <c r="AO125" s="273" t="str">
        <f>Table4[[#This Row],[StockName]]</f>
        <v>ကောင်းကြည်-1Li</v>
      </c>
      <c r="AP125" s="268">
        <f>Table4[[#This Row],[Parking]]</f>
        <v>8.3333333333333329E-2</v>
      </c>
      <c r="AQ125" s="268">
        <f>Table4[[#This Row],[SalesBot]]</f>
        <v>1</v>
      </c>
      <c r="AR125" s="268">
        <f>Table4[[#This Row],[Liter]]</f>
        <v>1</v>
      </c>
    </row>
    <row r="126" spans="1:44" s="16" customFormat="1" hidden="1" x14ac:dyDescent="0.5">
      <c r="A126" s="3">
        <f t="shared" si="16"/>
        <v>2026</v>
      </c>
      <c r="B126" s="8">
        <f t="shared" si="17"/>
        <v>1</v>
      </c>
      <c r="C126" s="6">
        <v>46031</v>
      </c>
      <c r="D126" s="15">
        <f t="shared" ca="1" si="18"/>
        <v>46097</v>
      </c>
      <c r="E126" s="15" t="str">
        <f t="shared" ca="1" si="19"/>
        <v>2-Months</v>
      </c>
      <c r="F126" s="8" t="str">
        <f>VLOOKUP(N126,Stock[#Data],5,FALSE)</f>
        <v>BE</v>
      </c>
      <c r="G126" s="82" t="s">
        <v>711</v>
      </c>
      <c r="H126" s="15"/>
      <c r="I126" s="7" t="s">
        <v>314</v>
      </c>
      <c r="J126" s="8" t="str">
        <f>VLOOKUP(I126,Customers[#Data],2,FALSE)</f>
        <v>ကိုကျော်မြင့်</v>
      </c>
      <c r="K126" s="15" t="str">
        <f>VLOOKUP(I126,Customers[#Data],4,FALSE)</f>
        <v>Maw La Myaing</v>
      </c>
      <c r="L126" s="15" t="str">
        <f>VLOOKUP(I126,Customers[#Data],5,FALSE)</f>
        <v>Van Sales</v>
      </c>
      <c r="M126" s="7" t="s">
        <v>6</v>
      </c>
      <c r="N126" s="7" t="s">
        <v>522</v>
      </c>
      <c r="O126" s="14" t="str">
        <f>VLOOKUP(N126,Stock[#Data],2,FALSE)</f>
        <v>ဒဂုံမန်ကျည်း ကော်ဘူး (1 Liter)</v>
      </c>
      <c r="P126" s="44">
        <f>VLOOKUP(N126,Stock[#Data],3,FALSE)</f>
        <v>1</v>
      </c>
      <c r="Q126" s="3">
        <f>VLOOKUP(N126,Stock[#Data],4,FALSE)</f>
        <v>12</v>
      </c>
      <c r="R126" s="11"/>
      <c r="S126" s="45">
        <f>IFERROR(Table4[[#This Row],[Bottle]]/Table4[[#This Row],[ပါဝင်မှု]]+Table4[[#This Row],[SalesPK]],0)</f>
        <v>1</v>
      </c>
      <c r="T126" s="12">
        <v>1</v>
      </c>
      <c r="U126" s="10">
        <f>Table4[[#This Row],[ပါဝင်မှု]]*Table4[[#This Row],[SalesPK]]+Table4[[#This Row],[Bottle]]</f>
        <v>12</v>
      </c>
      <c r="V126" s="10">
        <f>Table4[[#This Row],[SalesBot]]*Table4[[#This Row],[ML]]</f>
        <v>12</v>
      </c>
      <c r="W126" s="1">
        <f>VLOOKUP(N126,Stock[#Data],6,FALSE)</f>
        <v>1600</v>
      </c>
      <c r="X126" s="84">
        <f>+Table4[[#This Row],[SalesBot]]*Table4[[#This Row],[နှုံး]]</f>
        <v>19200</v>
      </c>
      <c r="Y126" s="12"/>
      <c r="Z126" s="12"/>
      <c r="AA126" s="12"/>
      <c r="AB126" s="9"/>
      <c r="AC126" s="12">
        <v>19200</v>
      </c>
      <c r="AD126" s="9"/>
      <c r="AE126" s="12"/>
      <c r="AF12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26" s="24"/>
      <c r="AH126" s="266">
        <f>Table4[[#This Row],[Date]]</f>
        <v>46031</v>
      </c>
      <c r="AI126" s="264" t="str">
        <f t="shared" si="14"/>
        <v>Jan</v>
      </c>
      <c r="AJ126" s="264" t="str">
        <f t="shared" si="15"/>
        <v>2026</v>
      </c>
      <c r="AK126" s="270" t="str">
        <f>Table4[[#This Row],[ကုန်သည်အမည်]]</f>
        <v>ကိုကျော်မြင့်</v>
      </c>
      <c r="AL126" s="270" t="str">
        <f>Table4[[#This Row],[Township]]</f>
        <v>Maw La Myaing</v>
      </c>
      <c r="AM126" s="271" t="str">
        <f>Table4[[#This Row],[WholeSales]]</f>
        <v>Van Sales</v>
      </c>
      <c r="AN126" s="272" t="str">
        <f>Table4[[#This Row],[Particular]]</f>
        <v>ကုန်ရောင်း(လက်ငင်း)</v>
      </c>
      <c r="AO126" s="273" t="str">
        <f>Table4[[#This Row],[StockName]]</f>
        <v>ဒဂုံမန်ကျည်း ကော်ဘူး (1 Liter)</v>
      </c>
      <c r="AP126" s="268">
        <f>Table4[[#This Row],[Parking]]</f>
        <v>1</v>
      </c>
      <c r="AQ126" s="268">
        <f>Table4[[#This Row],[SalesBot]]</f>
        <v>12</v>
      </c>
      <c r="AR126" s="268">
        <f>Table4[[#This Row],[Liter]]</f>
        <v>12</v>
      </c>
    </row>
    <row r="127" spans="1:44" s="16" customFormat="1" hidden="1" x14ac:dyDescent="0.5">
      <c r="A127" s="3">
        <f t="shared" si="16"/>
        <v>2026</v>
      </c>
      <c r="B127" s="8">
        <f t="shared" si="17"/>
        <v>1</v>
      </c>
      <c r="C127" s="6">
        <v>46031</v>
      </c>
      <c r="D127" s="15">
        <f t="shared" ca="1" si="18"/>
        <v>46097</v>
      </c>
      <c r="E127" s="15" t="str">
        <f t="shared" ca="1" si="19"/>
        <v>2-Months</v>
      </c>
      <c r="F127" s="8" t="str">
        <f>VLOOKUP(N127,Stock[#Data],5,FALSE)</f>
        <v>BE</v>
      </c>
      <c r="G127" s="82" t="s">
        <v>711</v>
      </c>
      <c r="H127" s="15"/>
      <c r="I127" s="7" t="s">
        <v>314</v>
      </c>
      <c r="J127" s="8" t="str">
        <f>VLOOKUP(I127,Customers[#Data],2,FALSE)</f>
        <v>ကိုကျော်မြင့်</v>
      </c>
      <c r="K127" s="15" t="str">
        <f>VLOOKUP(I127,Customers[#Data],4,FALSE)</f>
        <v>Maw La Myaing</v>
      </c>
      <c r="L127" s="15" t="str">
        <f>VLOOKUP(I127,Customers[#Data],5,FALSE)</f>
        <v>Van Sales</v>
      </c>
      <c r="M127" s="7" t="s">
        <v>6</v>
      </c>
      <c r="N127" s="7" t="s">
        <v>508</v>
      </c>
      <c r="O127" s="14" t="str">
        <f>VLOOKUP(N127,Stock[#Data],2,FALSE)</f>
        <v>ကောင်းကြည်-1Li</v>
      </c>
      <c r="P127" s="44">
        <f>VLOOKUP(N127,Stock[#Data],3,FALSE)</f>
        <v>1</v>
      </c>
      <c r="Q127" s="3">
        <f>VLOOKUP(N127,Stock[#Data],4,FALSE)</f>
        <v>12</v>
      </c>
      <c r="R127" s="11">
        <v>3</v>
      </c>
      <c r="S127" s="45">
        <f>IFERROR(Table4[[#This Row],[Bottle]]/Table4[[#This Row],[ပါဝင်မှု]]+Table4[[#This Row],[SalesPK]],0)</f>
        <v>0.25</v>
      </c>
      <c r="T127" s="12"/>
      <c r="U127" s="10">
        <f>Table4[[#This Row],[ပါဝင်မှု]]*Table4[[#This Row],[SalesPK]]+Table4[[#This Row],[Bottle]]</f>
        <v>3</v>
      </c>
      <c r="V127" s="10">
        <f>Table4[[#This Row],[SalesBot]]*Table4[[#This Row],[ML]]</f>
        <v>3</v>
      </c>
      <c r="W127" s="1">
        <f>VLOOKUP(N127,Stock[#Data],6,FALSE)</f>
        <v>1850</v>
      </c>
      <c r="X127" s="13">
        <f>+Table4[[#This Row],[SalesBot]]*Table4[[#This Row],[နှုံး]]</f>
        <v>5550</v>
      </c>
      <c r="Y127" s="12"/>
      <c r="Z127" s="12"/>
      <c r="AA127" s="12"/>
      <c r="AB127" s="9"/>
      <c r="AC127" s="12">
        <v>5550</v>
      </c>
      <c r="AD127" s="9"/>
      <c r="AE127" s="12"/>
      <c r="AF12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27" s="24"/>
      <c r="AH127" s="266">
        <f>Table4[[#This Row],[Date]]</f>
        <v>46031</v>
      </c>
      <c r="AI127" s="264" t="str">
        <f t="shared" si="14"/>
        <v>Jan</v>
      </c>
      <c r="AJ127" s="264" t="str">
        <f t="shared" si="15"/>
        <v>2026</v>
      </c>
      <c r="AK127" s="270" t="str">
        <f>Table4[[#This Row],[ကုန်သည်အမည်]]</f>
        <v>ကိုကျော်မြင့်</v>
      </c>
      <c r="AL127" s="270" t="str">
        <f>Table4[[#This Row],[Township]]</f>
        <v>Maw La Myaing</v>
      </c>
      <c r="AM127" s="271" t="str">
        <f>Table4[[#This Row],[WholeSales]]</f>
        <v>Van Sales</v>
      </c>
      <c r="AN127" s="272" t="str">
        <f>Table4[[#This Row],[Particular]]</f>
        <v>ကုန်ရောင်း(လက်ငင်း)</v>
      </c>
      <c r="AO127" s="273" t="str">
        <f>Table4[[#This Row],[StockName]]</f>
        <v>ကောင်းကြည်-1Li</v>
      </c>
      <c r="AP127" s="268">
        <f>Table4[[#This Row],[Parking]]</f>
        <v>0.25</v>
      </c>
      <c r="AQ127" s="268">
        <f>Table4[[#This Row],[SalesBot]]</f>
        <v>3</v>
      </c>
      <c r="AR127" s="268">
        <f>Table4[[#This Row],[Liter]]</f>
        <v>3</v>
      </c>
    </row>
    <row r="128" spans="1:44" s="16" customFormat="1" hidden="1" x14ac:dyDescent="0.5">
      <c r="A128" s="3">
        <f t="shared" si="16"/>
        <v>2026</v>
      </c>
      <c r="B128" s="8">
        <f t="shared" si="17"/>
        <v>1</v>
      </c>
      <c r="C128" s="6">
        <v>46031</v>
      </c>
      <c r="D128" s="15">
        <f t="shared" ca="1" si="18"/>
        <v>46097</v>
      </c>
      <c r="E128" s="15" t="str">
        <f t="shared" ca="1" si="19"/>
        <v>2-Months</v>
      </c>
      <c r="F128" s="8" t="str">
        <f>VLOOKUP(N128,Stock[#Data],5,FALSE)</f>
        <v>BE</v>
      </c>
      <c r="G128" s="82" t="s">
        <v>711</v>
      </c>
      <c r="H128" s="15"/>
      <c r="I128" s="7" t="s">
        <v>314</v>
      </c>
      <c r="J128" s="8" t="str">
        <f>VLOOKUP(I128,Customers[#Data],2,FALSE)</f>
        <v>ကိုကျော်မြင့်</v>
      </c>
      <c r="K128" s="15" t="str">
        <f>VLOOKUP(I128,Customers[#Data],4,FALSE)</f>
        <v>Maw La Myaing</v>
      </c>
      <c r="L128" s="15" t="str">
        <f>VLOOKUP(I128,Customers[#Data],5,FALSE)</f>
        <v>Van Sales</v>
      </c>
      <c r="M128" s="7" t="s">
        <v>6</v>
      </c>
      <c r="N128" s="7" t="s">
        <v>425</v>
      </c>
      <c r="O128" s="14" t="str">
        <f>VLOOKUP(N128,Stock[#Data],2,FALSE)</f>
        <v>ကောင်းကြည်-1Li</v>
      </c>
      <c r="P128" s="44">
        <f>VLOOKUP(N128,Stock[#Data],3,FALSE)</f>
        <v>1</v>
      </c>
      <c r="Q128" s="3">
        <f>VLOOKUP(N128,Stock[#Data],4,FALSE)</f>
        <v>12</v>
      </c>
      <c r="R128" s="11">
        <v>3</v>
      </c>
      <c r="S128" s="45">
        <f>IFERROR(Table4[[#This Row],[Bottle]]/Table4[[#This Row],[ပါဝင်မှု]]+Table4[[#This Row],[SalesPK]],0)</f>
        <v>0.25</v>
      </c>
      <c r="T128" s="12"/>
      <c r="U128" s="10">
        <f>Table4[[#This Row],[ပါဝင်မှု]]*Table4[[#This Row],[SalesPK]]+Table4[[#This Row],[Bottle]]</f>
        <v>3</v>
      </c>
      <c r="V128" s="10">
        <f>Table4[[#This Row],[SalesBot]]*Table4[[#This Row],[ML]]</f>
        <v>3</v>
      </c>
      <c r="W128" s="1">
        <f>VLOOKUP(N128,Stock[#Data],6,FALSE)</f>
        <v>1500</v>
      </c>
      <c r="X128" s="84">
        <f>+Table4[[#This Row],[SalesBot]]*Table4[[#This Row],[နှုံး]]</f>
        <v>4500</v>
      </c>
      <c r="Y128" s="12"/>
      <c r="Z128" s="12"/>
      <c r="AA128" s="12"/>
      <c r="AB128" s="9"/>
      <c r="AC128" s="12">
        <v>4500</v>
      </c>
      <c r="AD128" s="9"/>
      <c r="AE128" s="12"/>
      <c r="AF12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28" s="24"/>
      <c r="AH128" s="266">
        <f>Table4[[#This Row],[Date]]</f>
        <v>46031</v>
      </c>
      <c r="AI128" s="264" t="str">
        <f t="shared" si="14"/>
        <v>Jan</v>
      </c>
      <c r="AJ128" s="264" t="str">
        <f t="shared" si="15"/>
        <v>2026</v>
      </c>
      <c r="AK128" s="270" t="str">
        <f>Table4[[#This Row],[ကုန်သည်အမည်]]</f>
        <v>ကိုကျော်မြင့်</v>
      </c>
      <c r="AL128" s="270" t="str">
        <f>Table4[[#This Row],[Township]]</f>
        <v>Maw La Myaing</v>
      </c>
      <c r="AM128" s="271" t="str">
        <f>Table4[[#This Row],[WholeSales]]</f>
        <v>Van Sales</v>
      </c>
      <c r="AN128" s="272" t="str">
        <f>Table4[[#This Row],[Particular]]</f>
        <v>ကုန်ရောင်း(လက်ငင်း)</v>
      </c>
      <c r="AO128" s="273" t="str">
        <f>Table4[[#This Row],[StockName]]</f>
        <v>ကောင်းကြည်-1Li</v>
      </c>
      <c r="AP128" s="268">
        <f>Table4[[#This Row],[Parking]]</f>
        <v>0.25</v>
      </c>
      <c r="AQ128" s="268">
        <f>Table4[[#This Row],[SalesBot]]</f>
        <v>3</v>
      </c>
      <c r="AR128" s="268">
        <f>Table4[[#This Row],[Liter]]</f>
        <v>3</v>
      </c>
    </row>
    <row r="129" spans="1:44" s="16" customFormat="1" hidden="1" x14ac:dyDescent="0.5">
      <c r="A129" s="3">
        <f>YEAR(C129)</f>
        <v>2026</v>
      </c>
      <c r="B129" s="8">
        <f>MONTH(C129)</f>
        <v>1</v>
      </c>
      <c r="C129" s="6">
        <v>46031</v>
      </c>
      <c r="D129" s="15">
        <f ca="1">TODAY()</f>
        <v>46097</v>
      </c>
      <c r="E129" s="15" t="str">
        <f ca="1">DATEDIF(C129,D129,"M")&amp;"-Months"</f>
        <v>2-Months</v>
      </c>
      <c r="F129" s="8" t="str">
        <f>VLOOKUP(N129,Stock[#Data],5,FALSE)</f>
        <v>BE</v>
      </c>
      <c r="G129" s="82" t="s">
        <v>711</v>
      </c>
      <c r="H129" s="15"/>
      <c r="I129" s="7" t="s">
        <v>314</v>
      </c>
      <c r="J129" s="8" t="str">
        <f>VLOOKUP(I129,Customers[#Data],2,FALSE)</f>
        <v>ကိုကျော်မြင့်</v>
      </c>
      <c r="K129" s="15" t="str">
        <f>VLOOKUP(I129,Customers[#Data],4,FALSE)</f>
        <v>Maw La Myaing</v>
      </c>
      <c r="L129" s="15" t="str">
        <f>VLOOKUP(I129,Customers[#Data],5,FALSE)</f>
        <v>Van Sales</v>
      </c>
      <c r="M129" s="7" t="s">
        <v>9</v>
      </c>
      <c r="N129" s="7" t="s">
        <v>508</v>
      </c>
      <c r="O129" s="14" t="str">
        <f>VLOOKUP(N129,Stock[#Data],2,FALSE)</f>
        <v>ကောင်းကြည်-1Li</v>
      </c>
      <c r="P129" s="44">
        <f>VLOOKUP(N129,Stock[#Data],3,FALSE)</f>
        <v>1</v>
      </c>
      <c r="Q129" s="3">
        <f>VLOOKUP(N129,Stock[#Data],4,FALSE)</f>
        <v>12</v>
      </c>
      <c r="R129" s="11">
        <v>1</v>
      </c>
      <c r="S129" s="45">
        <f>IFERROR(Table4[[#This Row],[Bottle]]/Table4[[#This Row],[ပါဝင်မှု]]+Table4[[#This Row],[SalesPK]],0)</f>
        <v>8.3333333333333329E-2</v>
      </c>
      <c r="T129" s="12"/>
      <c r="U129" s="10">
        <f>Table4[[#This Row],[ပါဝင်မှု]]*Table4[[#This Row],[SalesPK]]+Table4[[#This Row],[Bottle]]</f>
        <v>1</v>
      </c>
      <c r="V129" s="10">
        <f>Table4[[#This Row],[SalesBot]]*Table4[[#This Row],[ML]]</f>
        <v>1</v>
      </c>
      <c r="W129" s="1">
        <f>VLOOKUP(N129,Stock[#Data],6,FALSE)</f>
        <v>1850</v>
      </c>
      <c r="X129" s="84">
        <f>+Table4[[#This Row],[SalesBot]]*Table4[[#This Row],[နှုံး]]</f>
        <v>1850</v>
      </c>
      <c r="Y129" s="12"/>
      <c r="Z129" s="12"/>
      <c r="AA129" s="12"/>
      <c r="AB129" s="9"/>
      <c r="AC129" s="12"/>
      <c r="AD129" s="9"/>
      <c r="AE129" s="12"/>
      <c r="AF12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129" s="24"/>
      <c r="AH129" s="266">
        <f>Table4[[#This Row],[Date]]</f>
        <v>46031</v>
      </c>
      <c r="AI129" s="264" t="str">
        <f t="shared" si="14"/>
        <v>Jan</v>
      </c>
      <c r="AJ129" s="264" t="str">
        <f t="shared" si="15"/>
        <v>2026</v>
      </c>
      <c r="AK129" s="270" t="str">
        <f>Table4[[#This Row],[ကုန်သည်အမည်]]</f>
        <v>ကိုကျော်မြင့်</v>
      </c>
      <c r="AL129" s="270" t="str">
        <f>Table4[[#This Row],[Township]]</f>
        <v>Maw La Myaing</v>
      </c>
      <c r="AM129" s="271" t="str">
        <f>Table4[[#This Row],[WholeSales]]</f>
        <v>Van Sales</v>
      </c>
      <c r="AN129" s="272" t="str">
        <f>Table4[[#This Row],[Particular]]</f>
        <v>လက်ဆောင်</v>
      </c>
      <c r="AO129" s="273" t="str">
        <f>Table4[[#This Row],[StockName]]</f>
        <v>ကောင်းကြည်-1Li</v>
      </c>
      <c r="AP129" s="268">
        <f>Table4[[#This Row],[Parking]]</f>
        <v>8.3333333333333329E-2</v>
      </c>
      <c r="AQ129" s="268">
        <f>Table4[[#This Row],[SalesBot]]</f>
        <v>1</v>
      </c>
      <c r="AR129" s="268">
        <f>Table4[[#This Row],[Liter]]</f>
        <v>1</v>
      </c>
    </row>
    <row r="130" spans="1:44" s="16" customFormat="1" hidden="1" x14ac:dyDescent="0.5">
      <c r="A130" s="3">
        <f t="shared" si="16"/>
        <v>2026</v>
      </c>
      <c r="B130" s="8">
        <f t="shared" si="17"/>
        <v>1</v>
      </c>
      <c r="C130" s="6">
        <v>46031</v>
      </c>
      <c r="D130" s="15">
        <f t="shared" ca="1" si="18"/>
        <v>46097</v>
      </c>
      <c r="E130" s="15" t="str">
        <f t="shared" ca="1" si="19"/>
        <v>2-Months</v>
      </c>
      <c r="F130" s="8" t="str">
        <f>VLOOKUP(N130,Stock[#Data],5,FALSE)</f>
        <v>BE</v>
      </c>
      <c r="G130" s="82" t="s">
        <v>712</v>
      </c>
      <c r="H130" s="15"/>
      <c r="I130" s="10" t="s">
        <v>731</v>
      </c>
      <c r="J130" s="8" t="str">
        <f>VLOOKUP(I130,Customers[#Data],2,FALSE)</f>
        <v>ဘီလျှံနာ</v>
      </c>
      <c r="K130" s="15" t="str">
        <f>VLOOKUP(I130,Customers[#Data],4,FALSE)</f>
        <v>Maw La Myaing</v>
      </c>
      <c r="L130" s="15" t="str">
        <f>VLOOKUP(I130,Customers[#Data],5,FALSE)</f>
        <v>Van Sales</v>
      </c>
      <c r="M130" s="7" t="s">
        <v>6</v>
      </c>
      <c r="N130" s="7" t="s">
        <v>522</v>
      </c>
      <c r="O130" s="14" t="str">
        <f>VLOOKUP(N130,Stock[#Data],2,FALSE)</f>
        <v>ဒဂုံမန်ကျည်း ကော်ဘူး (1 Liter)</v>
      </c>
      <c r="P130" s="44">
        <f>VLOOKUP(N130,Stock[#Data],3,FALSE)</f>
        <v>1</v>
      </c>
      <c r="Q130" s="3">
        <f>VLOOKUP(N130,Stock[#Data],4,FALSE)</f>
        <v>12</v>
      </c>
      <c r="R130" s="11"/>
      <c r="S130" s="45">
        <f>IFERROR(Table4[[#This Row],[Bottle]]/Table4[[#This Row],[ပါဝင်မှု]]+Table4[[#This Row],[SalesPK]],0)</f>
        <v>2</v>
      </c>
      <c r="T130" s="12">
        <v>2</v>
      </c>
      <c r="U130" s="10">
        <f>Table4[[#This Row],[ပါဝင်မှု]]*Table4[[#This Row],[SalesPK]]+Table4[[#This Row],[Bottle]]</f>
        <v>24</v>
      </c>
      <c r="V130" s="10">
        <f>Table4[[#This Row],[SalesBot]]*Table4[[#This Row],[ML]]</f>
        <v>24</v>
      </c>
      <c r="W130" s="1">
        <f>VLOOKUP(N130,Stock[#Data],6,FALSE)</f>
        <v>1600</v>
      </c>
      <c r="X130" s="8">
        <f>+Table4[[#This Row],[SalesBot]]*Table4[[#This Row],[နှုံး]]</f>
        <v>38400</v>
      </c>
      <c r="Y130" s="12"/>
      <c r="Z130" s="12"/>
      <c r="AA130" s="12"/>
      <c r="AB130" s="9"/>
      <c r="AC130" s="12">
        <v>38400</v>
      </c>
      <c r="AD130" s="9"/>
      <c r="AE130" s="12"/>
      <c r="AF13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30" s="24"/>
      <c r="AH130" s="266">
        <f>Table4[[#This Row],[Date]]</f>
        <v>46031</v>
      </c>
      <c r="AI130" s="264" t="str">
        <f t="shared" si="14"/>
        <v>Jan</v>
      </c>
      <c r="AJ130" s="264" t="str">
        <f t="shared" si="15"/>
        <v>2026</v>
      </c>
      <c r="AK130" s="270" t="str">
        <f>Table4[[#This Row],[ကုန်သည်အမည်]]</f>
        <v>ဘီလျှံနာ</v>
      </c>
      <c r="AL130" s="270" t="str">
        <f>Table4[[#This Row],[Township]]</f>
        <v>Maw La Myaing</v>
      </c>
      <c r="AM130" s="271" t="str">
        <f>Table4[[#This Row],[WholeSales]]</f>
        <v>Van Sales</v>
      </c>
      <c r="AN130" s="272" t="str">
        <f>Table4[[#This Row],[Particular]]</f>
        <v>ကုန်ရောင်း(လက်ငင်း)</v>
      </c>
      <c r="AO130" s="273" t="str">
        <f>Table4[[#This Row],[StockName]]</f>
        <v>ဒဂုံမန်ကျည်း ကော်ဘူး (1 Liter)</v>
      </c>
      <c r="AP130" s="268">
        <f>Table4[[#This Row],[Parking]]</f>
        <v>2</v>
      </c>
      <c r="AQ130" s="268">
        <f>Table4[[#This Row],[SalesBot]]</f>
        <v>24</v>
      </c>
      <c r="AR130" s="268">
        <f>Table4[[#This Row],[Liter]]</f>
        <v>24</v>
      </c>
    </row>
    <row r="131" spans="1:44" s="16" customFormat="1" hidden="1" x14ac:dyDescent="0.5">
      <c r="A131" s="3">
        <f>YEAR(C131)</f>
        <v>2026</v>
      </c>
      <c r="B131" s="8">
        <f>MONTH(C131)</f>
        <v>1</v>
      </c>
      <c r="C131" s="6">
        <v>46031</v>
      </c>
      <c r="D131" s="15">
        <f ca="1">TODAY()</f>
        <v>46097</v>
      </c>
      <c r="E131" s="15" t="str">
        <f ca="1">DATEDIF(C131,D131,"M")&amp;"-Months"</f>
        <v>2-Months</v>
      </c>
      <c r="F131" s="8" t="str">
        <f>VLOOKUP(N131,Stock[#Data],5,FALSE)</f>
        <v>BE</v>
      </c>
      <c r="G131" s="82" t="s">
        <v>712</v>
      </c>
      <c r="H131" s="15"/>
      <c r="I131" s="10" t="s">
        <v>731</v>
      </c>
      <c r="J131" s="8" t="str">
        <f>VLOOKUP(I131,Customers[#Data],2,FALSE)</f>
        <v>ဘီလျှံနာ</v>
      </c>
      <c r="K131" s="15" t="str">
        <f>VLOOKUP(I131,Customers[#Data],4,FALSE)</f>
        <v>Maw La Myaing</v>
      </c>
      <c r="L131" s="15" t="str">
        <f>VLOOKUP(I131,Customers[#Data],5,FALSE)</f>
        <v>Van Sales</v>
      </c>
      <c r="M131" s="7" t="s">
        <v>9</v>
      </c>
      <c r="N131" s="7" t="s">
        <v>522</v>
      </c>
      <c r="O131" s="14" t="str">
        <f>VLOOKUP(N131,Stock[#Data],2,FALSE)</f>
        <v>ဒဂုံမန်ကျည်း ကော်ဘူး (1 Liter)</v>
      </c>
      <c r="P131" s="44">
        <f>VLOOKUP(N131,Stock[#Data],3,FALSE)</f>
        <v>1</v>
      </c>
      <c r="Q131" s="3">
        <f>VLOOKUP(N131,Stock[#Data],4,FALSE)</f>
        <v>12</v>
      </c>
      <c r="R131" s="11">
        <v>1</v>
      </c>
      <c r="S131" s="45">
        <f>IFERROR(Table4[[#This Row],[Bottle]]/Table4[[#This Row],[ပါဝင်မှု]]+Table4[[#This Row],[SalesPK]],0)</f>
        <v>8.3333333333333329E-2</v>
      </c>
      <c r="T131" s="12"/>
      <c r="U131" s="10">
        <f>Table4[[#This Row],[ပါဝင်မှု]]*Table4[[#This Row],[SalesPK]]+Table4[[#This Row],[Bottle]]</f>
        <v>1</v>
      </c>
      <c r="V131" s="10">
        <f>Table4[[#This Row],[SalesBot]]*Table4[[#This Row],[ML]]</f>
        <v>1</v>
      </c>
      <c r="W131" s="1">
        <f>VLOOKUP(N131,Stock[#Data],6,FALSE)</f>
        <v>1600</v>
      </c>
      <c r="X131" s="8">
        <f>+Table4[[#This Row],[SalesBot]]*Table4[[#This Row],[နှုံး]]</f>
        <v>1600</v>
      </c>
      <c r="Y131" s="12"/>
      <c r="Z131" s="12"/>
      <c r="AA131" s="12"/>
      <c r="AB131" s="9"/>
      <c r="AC131" s="12"/>
      <c r="AD131" s="9"/>
      <c r="AE131" s="12"/>
      <c r="AF13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131" s="24"/>
      <c r="AH131" s="266">
        <f>Table4[[#This Row],[Date]]</f>
        <v>46031</v>
      </c>
      <c r="AI131" s="264" t="str">
        <f t="shared" ref="AI131:AI194" si="20">TEXT(AH131,"mmm")</f>
        <v>Jan</v>
      </c>
      <c r="AJ131" s="264" t="str">
        <f t="shared" ref="AJ131:AJ194" si="21">TEXT(AH131,"yyyy")</f>
        <v>2026</v>
      </c>
      <c r="AK131" s="270" t="str">
        <f>Table4[[#This Row],[ကုန်သည်အမည်]]</f>
        <v>ဘီလျှံနာ</v>
      </c>
      <c r="AL131" s="270" t="str">
        <f>Table4[[#This Row],[Township]]</f>
        <v>Maw La Myaing</v>
      </c>
      <c r="AM131" s="271" t="str">
        <f>Table4[[#This Row],[WholeSales]]</f>
        <v>Van Sales</v>
      </c>
      <c r="AN131" s="272" t="str">
        <f>Table4[[#This Row],[Particular]]</f>
        <v>လက်ဆောင်</v>
      </c>
      <c r="AO131" s="273" t="str">
        <f>Table4[[#This Row],[StockName]]</f>
        <v>ဒဂုံမန်ကျည်း ကော်ဘူး (1 Liter)</v>
      </c>
      <c r="AP131" s="268">
        <f>Table4[[#This Row],[Parking]]</f>
        <v>8.3333333333333329E-2</v>
      </c>
      <c r="AQ131" s="268">
        <f>Table4[[#This Row],[SalesBot]]</f>
        <v>1</v>
      </c>
      <c r="AR131" s="268">
        <f>Table4[[#This Row],[Liter]]</f>
        <v>1</v>
      </c>
    </row>
    <row r="132" spans="1:44" s="16" customFormat="1" hidden="1" x14ac:dyDescent="0.5">
      <c r="A132" s="3">
        <f>YEAR(C132)</f>
        <v>2026</v>
      </c>
      <c r="B132" s="8">
        <f>MONTH(C132)</f>
        <v>1</v>
      </c>
      <c r="C132" s="6">
        <v>46031</v>
      </c>
      <c r="D132" s="15">
        <f ca="1">TODAY()</f>
        <v>46097</v>
      </c>
      <c r="E132" s="15" t="str">
        <f ca="1">DATEDIF(C132,D132,"M")&amp;"-Months"</f>
        <v>2-Months</v>
      </c>
      <c r="F132" s="8" t="str">
        <f>VLOOKUP(N132,Stock[#Data],5,FALSE)</f>
        <v>BE</v>
      </c>
      <c r="G132" s="82" t="s">
        <v>712</v>
      </c>
      <c r="H132" s="15"/>
      <c r="I132" s="10" t="s">
        <v>731</v>
      </c>
      <c r="J132" s="8" t="str">
        <f>VLOOKUP(I132,Customers[#Data],2,FALSE)</f>
        <v>ဘီလျှံနာ</v>
      </c>
      <c r="K132" s="15" t="str">
        <f>VLOOKUP(I132,Customers[#Data],4,FALSE)</f>
        <v>Maw La Myaing</v>
      </c>
      <c r="L132" s="15" t="str">
        <f>VLOOKUP(I132,Customers[#Data],5,FALSE)</f>
        <v>Van Sales</v>
      </c>
      <c r="M132" s="7" t="s">
        <v>9</v>
      </c>
      <c r="N132" s="7" t="s">
        <v>425</v>
      </c>
      <c r="O132" s="14" t="str">
        <f>VLOOKUP(N132,Stock[#Data],2,FALSE)</f>
        <v>ကောင်းကြည်-1Li</v>
      </c>
      <c r="P132" s="44">
        <f>VLOOKUP(N132,Stock[#Data],3,FALSE)</f>
        <v>1</v>
      </c>
      <c r="Q132" s="3">
        <f>VLOOKUP(N132,Stock[#Data],4,FALSE)</f>
        <v>12</v>
      </c>
      <c r="R132" s="11">
        <v>1</v>
      </c>
      <c r="S132" s="45">
        <f>IFERROR(Table4[[#This Row],[Bottle]]/Table4[[#This Row],[ပါဝင်မှု]]+Table4[[#This Row],[SalesPK]],0)</f>
        <v>8.3333333333333329E-2</v>
      </c>
      <c r="T132" s="12"/>
      <c r="U132" s="10">
        <f>Table4[[#This Row],[ပါဝင်မှု]]*Table4[[#This Row],[SalesPK]]+Table4[[#This Row],[Bottle]]</f>
        <v>1</v>
      </c>
      <c r="V132" s="10">
        <f>Table4[[#This Row],[SalesBot]]*Table4[[#This Row],[ML]]</f>
        <v>1</v>
      </c>
      <c r="W132" s="1">
        <f>VLOOKUP(N132,Stock[#Data],6,FALSE)</f>
        <v>1500</v>
      </c>
      <c r="X132" s="8">
        <f>+Table4[[#This Row],[SalesBot]]*Table4[[#This Row],[နှုံး]]</f>
        <v>1500</v>
      </c>
      <c r="Y132" s="12"/>
      <c r="Z132" s="12"/>
      <c r="AA132" s="12"/>
      <c r="AB132" s="9"/>
      <c r="AC132" s="12"/>
      <c r="AD132" s="9"/>
      <c r="AE132" s="12"/>
      <c r="AF13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132" s="24"/>
      <c r="AH132" s="266">
        <f>Table4[[#This Row],[Date]]</f>
        <v>46031</v>
      </c>
      <c r="AI132" s="264" t="str">
        <f t="shared" si="20"/>
        <v>Jan</v>
      </c>
      <c r="AJ132" s="264" t="str">
        <f t="shared" si="21"/>
        <v>2026</v>
      </c>
      <c r="AK132" s="270" t="str">
        <f>Table4[[#This Row],[ကုန်သည်အမည်]]</f>
        <v>ဘီလျှံနာ</v>
      </c>
      <c r="AL132" s="270" t="str">
        <f>Table4[[#This Row],[Township]]</f>
        <v>Maw La Myaing</v>
      </c>
      <c r="AM132" s="271" t="str">
        <f>Table4[[#This Row],[WholeSales]]</f>
        <v>Van Sales</v>
      </c>
      <c r="AN132" s="272" t="str">
        <f>Table4[[#This Row],[Particular]]</f>
        <v>လက်ဆောင်</v>
      </c>
      <c r="AO132" s="273" t="str">
        <f>Table4[[#This Row],[StockName]]</f>
        <v>ကောင်းကြည်-1Li</v>
      </c>
      <c r="AP132" s="268">
        <f>Table4[[#This Row],[Parking]]</f>
        <v>8.3333333333333329E-2</v>
      </c>
      <c r="AQ132" s="268">
        <f>Table4[[#This Row],[SalesBot]]</f>
        <v>1</v>
      </c>
      <c r="AR132" s="268">
        <f>Table4[[#This Row],[Liter]]</f>
        <v>1</v>
      </c>
    </row>
    <row r="133" spans="1:44" s="16" customFormat="1" hidden="1" x14ac:dyDescent="0.5">
      <c r="A133" s="3">
        <f t="shared" ref="A133:A149" si="22">YEAR(C133)</f>
        <v>2026</v>
      </c>
      <c r="B133" s="8">
        <f t="shared" ref="B133:B149" si="23">MONTH(C133)</f>
        <v>1</v>
      </c>
      <c r="C133" s="6">
        <v>46031</v>
      </c>
      <c r="D133" s="15">
        <f t="shared" ref="D133:D149" ca="1" si="24">TODAY()</f>
        <v>46097</v>
      </c>
      <c r="E133" s="15" t="str">
        <f t="shared" ref="E133:E149" ca="1" si="25">DATEDIF(C133,D133,"M")&amp;"-Months"</f>
        <v>2-Months</v>
      </c>
      <c r="F133" s="8" t="str">
        <f>VLOOKUP(N133,Stock[#Data],5,FALSE)</f>
        <v>BE</v>
      </c>
      <c r="G133" s="82" t="s">
        <v>713</v>
      </c>
      <c r="H133" s="15"/>
      <c r="I133" s="7" t="s">
        <v>472</v>
      </c>
      <c r="J133" s="8" t="str">
        <f>VLOOKUP(I133,Customers[#Data],2,FALSE)</f>
        <v>စိုးသီဟ</v>
      </c>
      <c r="K133" s="15" t="str">
        <f>VLOOKUP(I133,Customers[#Data],4,FALSE)</f>
        <v>Maw La Myaing</v>
      </c>
      <c r="L133" s="15" t="str">
        <f>VLOOKUP(I133,Customers[#Data],5,FALSE)</f>
        <v>Van Sales</v>
      </c>
      <c r="M133" s="7" t="s">
        <v>6</v>
      </c>
      <c r="N133" s="7" t="s">
        <v>522</v>
      </c>
      <c r="O133" s="14" t="str">
        <f>VLOOKUP(N133,Stock[#Data],2,FALSE)</f>
        <v>ဒဂုံမန်ကျည်း ကော်ဘူး (1 Liter)</v>
      </c>
      <c r="P133" s="44">
        <f>VLOOKUP(N133,Stock[#Data],3,FALSE)</f>
        <v>1</v>
      </c>
      <c r="Q133" s="3">
        <f>VLOOKUP(N133,Stock[#Data],4,FALSE)</f>
        <v>12</v>
      </c>
      <c r="R133" s="11"/>
      <c r="S133" s="45">
        <f>IFERROR(Table4[[#This Row],[Bottle]]/Table4[[#This Row],[ပါဝင်မှု]]+Table4[[#This Row],[SalesPK]],0)</f>
        <v>1</v>
      </c>
      <c r="T133" s="12">
        <v>1</v>
      </c>
      <c r="U133" s="10">
        <f>Table4[[#This Row],[ပါဝင်မှု]]*Table4[[#This Row],[SalesPK]]+Table4[[#This Row],[Bottle]]</f>
        <v>12</v>
      </c>
      <c r="V133" s="10">
        <f>Table4[[#This Row],[SalesBot]]*Table4[[#This Row],[ML]]</f>
        <v>12</v>
      </c>
      <c r="W133" s="1">
        <f>VLOOKUP(N133,Stock[#Data],6,FALSE)</f>
        <v>1600</v>
      </c>
      <c r="X133" s="8">
        <f>+Table4[[#This Row],[SalesBot]]*Table4[[#This Row],[နှုံး]]</f>
        <v>19200</v>
      </c>
      <c r="Y133" s="12"/>
      <c r="Z133" s="12"/>
      <c r="AA133" s="12"/>
      <c r="AB133" s="9"/>
      <c r="AC133" s="12">
        <v>19200</v>
      </c>
      <c r="AD133" s="9"/>
      <c r="AE133" s="12"/>
      <c r="AF13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33" s="24"/>
      <c r="AH133" s="266">
        <f>Table4[[#This Row],[Date]]</f>
        <v>46031</v>
      </c>
      <c r="AI133" s="264" t="str">
        <f t="shared" si="20"/>
        <v>Jan</v>
      </c>
      <c r="AJ133" s="264" t="str">
        <f t="shared" si="21"/>
        <v>2026</v>
      </c>
      <c r="AK133" s="270" t="str">
        <f>Table4[[#This Row],[ကုန်သည်အမည်]]</f>
        <v>စိုးသီဟ</v>
      </c>
      <c r="AL133" s="270" t="str">
        <f>Table4[[#This Row],[Township]]</f>
        <v>Maw La Myaing</v>
      </c>
      <c r="AM133" s="271" t="str">
        <f>Table4[[#This Row],[WholeSales]]</f>
        <v>Van Sales</v>
      </c>
      <c r="AN133" s="272" t="str">
        <f>Table4[[#This Row],[Particular]]</f>
        <v>ကုန်ရောင်း(လက်ငင်း)</v>
      </c>
      <c r="AO133" s="273" t="str">
        <f>Table4[[#This Row],[StockName]]</f>
        <v>ဒဂုံမန်ကျည်း ကော်ဘူး (1 Liter)</v>
      </c>
      <c r="AP133" s="268">
        <f>Table4[[#This Row],[Parking]]</f>
        <v>1</v>
      </c>
      <c r="AQ133" s="268">
        <f>Table4[[#This Row],[SalesBot]]</f>
        <v>12</v>
      </c>
      <c r="AR133" s="268">
        <f>Table4[[#This Row],[Liter]]</f>
        <v>12</v>
      </c>
    </row>
    <row r="134" spans="1:44" s="16" customFormat="1" hidden="1" x14ac:dyDescent="0.5">
      <c r="A134" s="3">
        <f t="shared" si="22"/>
        <v>2026</v>
      </c>
      <c r="B134" s="8">
        <f t="shared" si="23"/>
        <v>1</v>
      </c>
      <c r="C134" s="6">
        <v>46031</v>
      </c>
      <c r="D134" s="15">
        <f t="shared" ca="1" si="24"/>
        <v>46097</v>
      </c>
      <c r="E134" s="15" t="str">
        <f t="shared" ca="1" si="25"/>
        <v>2-Months</v>
      </c>
      <c r="F134" s="8" t="str">
        <f>VLOOKUP(N134,Stock[#Data],5,FALSE)</f>
        <v>BE</v>
      </c>
      <c r="G134" s="82" t="s">
        <v>714</v>
      </c>
      <c r="H134" s="15"/>
      <c r="I134" s="7" t="s">
        <v>376</v>
      </c>
      <c r="J134" s="8" t="str">
        <f>VLOOKUP(I134,Customers[#Data],2,FALSE)</f>
        <v>Feeling Store</v>
      </c>
      <c r="K134" s="15" t="str">
        <f>VLOOKUP(I134,Customers[#Data],4,FALSE)</f>
        <v>Maw La Myaing</v>
      </c>
      <c r="L134" s="15" t="str">
        <f>VLOOKUP(I134,Customers[#Data],5,FALSE)</f>
        <v>Van Sales</v>
      </c>
      <c r="M134" s="7" t="s">
        <v>6</v>
      </c>
      <c r="N134" s="7" t="s">
        <v>522</v>
      </c>
      <c r="O134" s="14" t="str">
        <f>VLOOKUP(N134,Stock[#Data],2,FALSE)</f>
        <v>ဒဂုံမန်ကျည်း ကော်ဘူး (1 Liter)</v>
      </c>
      <c r="P134" s="44">
        <f>VLOOKUP(N134,Stock[#Data],3,FALSE)</f>
        <v>1</v>
      </c>
      <c r="Q134" s="3">
        <f>VLOOKUP(N134,Stock[#Data],4,FALSE)</f>
        <v>12</v>
      </c>
      <c r="R134" s="11">
        <v>3</v>
      </c>
      <c r="S134" s="45">
        <f>IFERROR(Table4[[#This Row],[Bottle]]/Table4[[#This Row],[ပါဝင်မှု]]+Table4[[#This Row],[SalesPK]],0)</f>
        <v>0.25</v>
      </c>
      <c r="T134" s="12"/>
      <c r="U134" s="10">
        <f>Table4[[#This Row],[ပါဝင်မှု]]*Table4[[#This Row],[SalesPK]]+Table4[[#This Row],[Bottle]]</f>
        <v>3</v>
      </c>
      <c r="V134" s="10">
        <f>Table4[[#This Row],[SalesBot]]*Table4[[#This Row],[ML]]</f>
        <v>3</v>
      </c>
      <c r="W134" s="1">
        <f>VLOOKUP(N134,Stock[#Data],6,FALSE)</f>
        <v>1600</v>
      </c>
      <c r="X134" s="8">
        <f>+Table4[[#This Row],[SalesBot]]*Table4[[#This Row],[နှုံး]]</f>
        <v>4800</v>
      </c>
      <c r="Y134" s="12"/>
      <c r="Z134" s="12"/>
      <c r="AA134" s="12"/>
      <c r="AB134" s="9"/>
      <c r="AC134" s="12">
        <v>4800</v>
      </c>
      <c r="AD134" s="9"/>
      <c r="AE134" s="12"/>
      <c r="AF13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34" s="24"/>
      <c r="AH134" s="266">
        <f>Table4[[#This Row],[Date]]</f>
        <v>46031</v>
      </c>
      <c r="AI134" s="264" t="str">
        <f t="shared" si="20"/>
        <v>Jan</v>
      </c>
      <c r="AJ134" s="264" t="str">
        <f t="shared" si="21"/>
        <v>2026</v>
      </c>
      <c r="AK134" s="270" t="str">
        <f>Table4[[#This Row],[ကုန်သည်အမည်]]</f>
        <v>Feeling Store</v>
      </c>
      <c r="AL134" s="270" t="str">
        <f>Table4[[#This Row],[Township]]</f>
        <v>Maw La Myaing</v>
      </c>
      <c r="AM134" s="271" t="str">
        <f>Table4[[#This Row],[WholeSales]]</f>
        <v>Van Sales</v>
      </c>
      <c r="AN134" s="272" t="str">
        <f>Table4[[#This Row],[Particular]]</f>
        <v>ကုန်ရောင်း(လက်ငင်း)</v>
      </c>
      <c r="AO134" s="273" t="str">
        <f>Table4[[#This Row],[StockName]]</f>
        <v>ဒဂုံမန်ကျည်း ကော်ဘူး (1 Liter)</v>
      </c>
      <c r="AP134" s="268">
        <f>Table4[[#This Row],[Parking]]</f>
        <v>0.25</v>
      </c>
      <c r="AQ134" s="268">
        <f>Table4[[#This Row],[SalesBot]]</f>
        <v>3</v>
      </c>
      <c r="AR134" s="268">
        <f>Table4[[#This Row],[Liter]]</f>
        <v>3</v>
      </c>
    </row>
    <row r="135" spans="1:44" s="16" customFormat="1" hidden="1" x14ac:dyDescent="0.5">
      <c r="A135" s="3">
        <f t="shared" si="22"/>
        <v>2026</v>
      </c>
      <c r="B135" s="8">
        <f t="shared" si="23"/>
        <v>1</v>
      </c>
      <c r="C135" s="6">
        <v>46031</v>
      </c>
      <c r="D135" s="15">
        <f t="shared" ca="1" si="24"/>
        <v>46097</v>
      </c>
      <c r="E135" s="15" t="str">
        <f t="shared" ca="1" si="25"/>
        <v>2-Months</v>
      </c>
      <c r="F135" s="8" t="str">
        <f>VLOOKUP(N135,Stock[#Data],5,FALSE)</f>
        <v>BE</v>
      </c>
      <c r="G135" s="82" t="s">
        <v>715</v>
      </c>
      <c r="H135" s="15"/>
      <c r="I135" s="10" t="s">
        <v>723</v>
      </c>
      <c r="J135" s="8" t="str">
        <f>VLOOKUP(I135,Customers[#Data],2,FALSE)</f>
        <v>ဆန်းသစ်ကမ္ဘာ</v>
      </c>
      <c r="K135" s="15" t="str">
        <f>VLOOKUP(I135,Customers[#Data],4,FALSE)</f>
        <v>Maw La Myaing</v>
      </c>
      <c r="L135" s="15" t="str">
        <f>VLOOKUP(I135,Customers[#Data],5,FALSE)</f>
        <v>Van Sales</v>
      </c>
      <c r="M135" s="7" t="s">
        <v>6</v>
      </c>
      <c r="N135" s="7" t="s">
        <v>522</v>
      </c>
      <c r="O135" s="14" t="str">
        <f>VLOOKUP(N135,Stock[#Data],2,FALSE)</f>
        <v>ဒဂုံမန်ကျည်း ကော်ဘူး (1 Liter)</v>
      </c>
      <c r="P135" s="44">
        <f>VLOOKUP(N135,Stock[#Data],3,FALSE)</f>
        <v>1</v>
      </c>
      <c r="Q135" s="3">
        <f>VLOOKUP(N135,Stock[#Data],4,FALSE)</f>
        <v>12</v>
      </c>
      <c r="R135" s="11">
        <v>1</v>
      </c>
      <c r="S135" s="45">
        <f>IFERROR(Table4[[#This Row],[Bottle]]/Table4[[#This Row],[ပါဝင်မှု]]+Table4[[#This Row],[SalesPK]],0)</f>
        <v>8.3333333333333329E-2</v>
      </c>
      <c r="T135" s="12"/>
      <c r="U135" s="10">
        <f>Table4[[#This Row],[ပါဝင်မှု]]*Table4[[#This Row],[SalesPK]]+Table4[[#This Row],[Bottle]]</f>
        <v>1</v>
      </c>
      <c r="V135" s="10">
        <f>Table4[[#This Row],[SalesBot]]*Table4[[#This Row],[ML]]</f>
        <v>1</v>
      </c>
      <c r="W135" s="1">
        <f>VLOOKUP(N135,Stock[#Data],6,FALSE)</f>
        <v>1600</v>
      </c>
      <c r="X135" s="8">
        <f>+Table4[[#This Row],[SalesBot]]*Table4[[#This Row],[နှုံး]]</f>
        <v>1600</v>
      </c>
      <c r="Y135" s="12"/>
      <c r="Z135" s="12"/>
      <c r="AA135" s="12"/>
      <c r="AB135" s="9"/>
      <c r="AC135" s="12">
        <v>1600</v>
      </c>
      <c r="AD135" s="9"/>
      <c r="AE135" s="12"/>
      <c r="AF13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35" s="24"/>
      <c r="AH135" s="266">
        <f>Table4[[#This Row],[Date]]</f>
        <v>46031</v>
      </c>
      <c r="AI135" s="264" t="str">
        <f t="shared" si="20"/>
        <v>Jan</v>
      </c>
      <c r="AJ135" s="264" t="str">
        <f t="shared" si="21"/>
        <v>2026</v>
      </c>
      <c r="AK135" s="270" t="str">
        <f>Table4[[#This Row],[ကုန်သည်အမည်]]</f>
        <v>ဆန်းသစ်ကမ္ဘာ</v>
      </c>
      <c r="AL135" s="270" t="str">
        <f>Table4[[#This Row],[Township]]</f>
        <v>Maw La Myaing</v>
      </c>
      <c r="AM135" s="271" t="str">
        <f>Table4[[#This Row],[WholeSales]]</f>
        <v>Van Sales</v>
      </c>
      <c r="AN135" s="272" t="str">
        <f>Table4[[#This Row],[Particular]]</f>
        <v>ကုန်ရောင်း(လက်ငင်း)</v>
      </c>
      <c r="AO135" s="273" t="str">
        <f>Table4[[#This Row],[StockName]]</f>
        <v>ဒဂုံမန်ကျည်း ကော်ဘူး (1 Liter)</v>
      </c>
      <c r="AP135" s="268">
        <f>Table4[[#This Row],[Parking]]</f>
        <v>8.3333333333333329E-2</v>
      </c>
      <c r="AQ135" s="268">
        <f>Table4[[#This Row],[SalesBot]]</f>
        <v>1</v>
      </c>
      <c r="AR135" s="268">
        <f>Table4[[#This Row],[Liter]]</f>
        <v>1</v>
      </c>
    </row>
    <row r="136" spans="1:44" s="16" customFormat="1" hidden="1" x14ac:dyDescent="0.5">
      <c r="A136" s="3">
        <f t="shared" si="22"/>
        <v>2026</v>
      </c>
      <c r="B136" s="8">
        <f t="shared" si="23"/>
        <v>1</v>
      </c>
      <c r="C136" s="6">
        <v>46031</v>
      </c>
      <c r="D136" s="15">
        <f t="shared" ca="1" si="24"/>
        <v>46097</v>
      </c>
      <c r="E136" s="15" t="str">
        <f t="shared" ca="1" si="25"/>
        <v>2-Months</v>
      </c>
      <c r="F136" s="8" t="str">
        <f>VLOOKUP(N136,Stock[#Data],5,FALSE)</f>
        <v>BE</v>
      </c>
      <c r="G136" s="82" t="s">
        <v>715</v>
      </c>
      <c r="H136" s="15"/>
      <c r="I136" s="10" t="s">
        <v>723</v>
      </c>
      <c r="J136" s="8" t="str">
        <f>VLOOKUP(I136,Customers[#Data],2,FALSE)</f>
        <v>ဆန်းသစ်ကမ္ဘာ</v>
      </c>
      <c r="K136" s="15" t="str">
        <f>VLOOKUP(I136,Customers[#Data],4,FALSE)</f>
        <v>Maw La Myaing</v>
      </c>
      <c r="L136" s="15" t="str">
        <f>VLOOKUP(I136,Customers[#Data],5,FALSE)</f>
        <v>Van Sales</v>
      </c>
      <c r="M136" s="7" t="s">
        <v>6</v>
      </c>
      <c r="N136" s="7" t="s">
        <v>508</v>
      </c>
      <c r="O136" s="14" t="str">
        <f>VLOOKUP(N136,Stock[#Data],2,FALSE)</f>
        <v>ကောင်းကြည်-1Li</v>
      </c>
      <c r="P136" s="44">
        <f>VLOOKUP(N136,Stock[#Data],3,FALSE)</f>
        <v>1</v>
      </c>
      <c r="Q136" s="3">
        <f>VLOOKUP(N136,Stock[#Data],4,FALSE)</f>
        <v>12</v>
      </c>
      <c r="R136" s="11">
        <v>1</v>
      </c>
      <c r="S136" s="45">
        <f>IFERROR(Table4[[#This Row],[Bottle]]/Table4[[#This Row],[ပါဝင်မှု]]+Table4[[#This Row],[SalesPK]],0)</f>
        <v>8.3333333333333329E-2</v>
      </c>
      <c r="T136" s="12"/>
      <c r="U136" s="10">
        <f>Table4[[#This Row],[ပါဝင်မှု]]*Table4[[#This Row],[SalesPK]]+Table4[[#This Row],[Bottle]]</f>
        <v>1</v>
      </c>
      <c r="V136" s="10">
        <f>Table4[[#This Row],[SalesBot]]*Table4[[#This Row],[ML]]</f>
        <v>1</v>
      </c>
      <c r="W136" s="1">
        <f>VLOOKUP(N136,Stock[#Data],6,FALSE)</f>
        <v>1850</v>
      </c>
      <c r="X136" s="8">
        <f>+Table4[[#This Row],[SalesBot]]*Table4[[#This Row],[နှုံး]]</f>
        <v>1850</v>
      </c>
      <c r="Y136" s="12"/>
      <c r="Z136" s="12"/>
      <c r="AA136" s="12"/>
      <c r="AB136" s="9"/>
      <c r="AC136" s="12">
        <v>1850</v>
      </c>
      <c r="AD136" s="9"/>
      <c r="AE136" s="12"/>
      <c r="AF13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36" s="24"/>
      <c r="AH136" s="266">
        <f>Table4[[#This Row],[Date]]</f>
        <v>46031</v>
      </c>
      <c r="AI136" s="264" t="str">
        <f t="shared" si="20"/>
        <v>Jan</v>
      </c>
      <c r="AJ136" s="264" t="str">
        <f t="shared" si="21"/>
        <v>2026</v>
      </c>
      <c r="AK136" s="270" t="str">
        <f>Table4[[#This Row],[ကုန်သည်အမည်]]</f>
        <v>ဆန်းသစ်ကမ္ဘာ</v>
      </c>
      <c r="AL136" s="270" t="str">
        <f>Table4[[#This Row],[Township]]</f>
        <v>Maw La Myaing</v>
      </c>
      <c r="AM136" s="271" t="str">
        <f>Table4[[#This Row],[WholeSales]]</f>
        <v>Van Sales</v>
      </c>
      <c r="AN136" s="272" t="str">
        <f>Table4[[#This Row],[Particular]]</f>
        <v>ကုန်ရောင်း(လက်ငင်း)</v>
      </c>
      <c r="AO136" s="273" t="str">
        <f>Table4[[#This Row],[StockName]]</f>
        <v>ကောင်းကြည်-1Li</v>
      </c>
      <c r="AP136" s="268">
        <f>Table4[[#This Row],[Parking]]</f>
        <v>8.3333333333333329E-2</v>
      </c>
      <c r="AQ136" s="268">
        <f>Table4[[#This Row],[SalesBot]]</f>
        <v>1</v>
      </c>
      <c r="AR136" s="268">
        <f>Table4[[#This Row],[Liter]]</f>
        <v>1</v>
      </c>
    </row>
    <row r="137" spans="1:44" s="16" customFormat="1" hidden="1" x14ac:dyDescent="0.5">
      <c r="A137" s="3">
        <f t="shared" si="22"/>
        <v>2026</v>
      </c>
      <c r="B137" s="8">
        <f t="shared" si="23"/>
        <v>1</v>
      </c>
      <c r="C137" s="6">
        <v>46031</v>
      </c>
      <c r="D137" s="15">
        <f t="shared" ca="1" si="24"/>
        <v>46097</v>
      </c>
      <c r="E137" s="15" t="str">
        <f t="shared" ca="1" si="25"/>
        <v>2-Months</v>
      </c>
      <c r="F137" s="8" t="str">
        <f>VLOOKUP(N137,Stock[#Data],5,FALSE)</f>
        <v>BE</v>
      </c>
      <c r="G137" s="82" t="s">
        <v>715</v>
      </c>
      <c r="H137" s="15"/>
      <c r="I137" s="10" t="s">
        <v>723</v>
      </c>
      <c r="J137" s="8" t="str">
        <f>VLOOKUP(I137,Customers[#Data],2,FALSE)</f>
        <v>ဆန်းသစ်ကမ္ဘာ</v>
      </c>
      <c r="K137" s="15" t="str">
        <f>VLOOKUP(I137,Customers[#Data],4,FALSE)</f>
        <v>Maw La Myaing</v>
      </c>
      <c r="L137" s="15" t="str">
        <f>VLOOKUP(I137,Customers[#Data],5,FALSE)</f>
        <v>Van Sales</v>
      </c>
      <c r="M137" s="7" t="s">
        <v>6</v>
      </c>
      <c r="N137" s="7" t="s">
        <v>425</v>
      </c>
      <c r="O137" s="14" t="str">
        <f>VLOOKUP(N137,Stock[#Data],2,FALSE)</f>
        <v>ကောင်းကြည်-1Li</v>
      </c>
      <c r="P137" s="44">
        <f>VLOOKUP(N137,Stock[#Data],3,FALSE)</f>
        <v>1</v>
      </c>
      <c r="Q137" s="3">
        <f>VLOOKUP(N137,Stock[#Data],4,FALSE)</f>
        <v>12</v>
      </c>
      <c r="R137" s="11">
        <v>1</v>
      </c>
      <c r="S137" s="45">
        <f>IFERROR(Table4[[#This Row],[Bottle]]/Table4[[#This Row],[ပါဝင်မှု]]+Table4[[#This Row],[SalesPK]],0)</f>
        <v>8.3333333333333329E-2</v>
      </c>
      <c r="T137" s="12"/>
      <c r="U137" s="10">
        <f>Table4[[#This Row],[ပါဝင်မှု]]*Table4[[#This Row],[SalesPK]]+Table4[[#This Row],[Bottle]]</f>
        <v>1</v>
      </c>
      <c r="V137" s="10">
        <f>Table4[[#This Row],[SalesBot]]*Table4[[#This Row],[ML]]</f>
        <v>1</v>
      </c>
      <c r="W137" s="1">
        <f>VLOOKUP(N137,Stock[#Data],6,FALSE)</f>
        <v>1500</v>
      </c>
      <c r="X137" s="8">
        <f>+Table4[[#This Row],[SalesBot]]*Table4[[#This Row],[နှုံး]]</f>
        <v>1500</v>
      </c>
      <c r="Y137" s="12"/>
      <c r="Z137" s="12"/>
      <c r="AA137" s="12"/>
      <c r="AB137" s="9"/>
      <c r="AC137" s="12">
        <v>1500</v>
      </c>
      <c r="AD137" s="9"/>
      <c r="AE137" s="12"/>
      <c r="AF13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37" s="24"/>
      <c r="AH137" s="266">
        <f>Table4[[#This Row],[Date]]</f>
        <v>46031</v>
      </c>
      <c r="AI137" s="264" t="str">
        <f t="shared" si="20"/>
        <v>Jan</v>
      </c>
      <c r="AJ137" s="264" t="str">
        <f t="shared" si="21"/>
        <v>2026</v>
      </c>
      <c r="AK137" s="270" t="str">
        <f>Table4[[#This Row],[ကုန်သည်အမည်]]</f>
        <v>ဆန်းသစ်ကမ္ဘာ</v>
      </c>
      <c r="AL137" s="270" t="str">
        <f>Table4[[#This Row],[Township]]</f>
        <v>Maw La Myaing</v>
      </c>
      <c r="AM137" s="271" t="str">
        <f>Table4[[#This Row],[WholeSales]]</f>
        <v>Van Sales</v>
      </c>
      <c r="AN137" s="272" t="str">
        <f>Table4[[#This Row],[Particular]]</f>
        <v>ကုန်ရောင်း(လက်ငင်း)</v>
      </c>
      <c r="AO137" s="273" t="str">
        <f>Table4[[#This Row],[StockName]]</f>
        <v>ကောင်းကြည်-1Li</v>
      </c>
      <c r="AP137" s="268">
        <f>Table4[[#This Row],[Parking]]</f>
        <v>8.3333333333333329E-2</v>
      </c>
      <c r="AQ137" s="268">
        <f>Table4[[#This Row],[SalesBot]]</f>
        <v>1</v>
      </c>
      <c r="AR137" s="268">
        <f>Table4[[#This Row],[Liter]]</f>
        <v>1</v>
      </c>
    </row>
    <row r="138" spans="1:44" s="16" customFormat="1" hidden="1" x14ac:dyDescent="0.5">
      <c r="A138" s="3">
        <f t="shared" si="22"/>
        <v>2026</v>
      </c>
      <c r="B138" s="8">
        <f t="shared" si="23"/>
        <v>1</v>
      </c>
      <c r="C138" s="6">
        <v>46031</v>
      </c>
      <c r="D138" s="15">
        <f t="shared" ca="1" si="24"/>
        <v>46097</v>
      </c>
      <c r="E138" s="15" t="str">
        <f t="shared" ca="1" si="25"/>
        <v>2-Months</v>
      </c>
      <c r="F138" s="8" t="str">
        <f>VLOOKUP(N138,Stock[#Data],5,FALSE)</f>
        <v>BE</v>
      </c>
      <c r="G138" s="82" t="s">
        <v>716</v>
      </c>
      <c r="H138" s="15"/>
      <c r="I138" s="10" t="s">
        <v>724</v>
      </c>
      <c r="J138" s="8" t="str">
        <f>VLOOKUP(I138,Customers[#Data],2,FALSE)</f>
        <v>လျှမ်း</v>
      </c>
      <c r="K138" s="15" t="str">
        <f>VLOOKUP(I138,Customers[#Data],4,FALSE)</f>
        <v>Maw La Myaing</v>
      </c>
      <c r="L138" s="15" t="str">
        <f>VLOOKUP(I138,Customers[#Data],5,FALSE)</f>
        <v>Van Sales</v>
      </c>
      <c r="M138" s="7" t="s">
        <v>6</v>
      </c>
      <c r="N138" s="7" t="s">
        <v>522</v>
      </c>
      <c r="O138" s="14" t="str">
        <f>VLOOKUP(N138,Stock[#Data],2,FALSE)</f>
        <v>ဒဂုံမန်ကျည်း ကော်ဘူး (1 Liter)</v>
      </c>
      <c r="P138" s="44">
        <f>VLOOKUP(N138,Stock[#Data],3,FALSE)</f>
        <v>1</v>
      </c>
      <c r="Q138" s="3">
        <f>VLOOKUP(N138,Stock[#Data],4,FALSE)</f>
        <v>12</v>
      </c>
      <c r="R138" s="11">
        <v>1</v>
      </c>
      <c r="S138" s="45">
        <f>IFERROR(Table4[[#This Row],[Bottle]]/Table4[[#This Row],[ပါဝင်မှု]]+Table4[[#This Row],[SalesPK]],0)</f>
        <v>8.3333333333333329E-2</v>
      </c>
      <c r="T138" s="12"/>
      <c r="U138" s="10">
        <f>Table4[[#This Row],[ပါဝင်မှု]]*Table4[[#This Row],[SalesPK]]+Table4[[#This Row],[Bottle]]</f>
        <v>1</v>
      </c>
      <c r="V138" s="10">
        <f>Table4[[#This Row],[SalesBot]]*Table4[[#This Row],[ML]]</f>
        <v>1</v>
      </c>
      <c r="W138" s="1">
        <f>VLOOKUP(N138,Stock[#Data],6,FALSE)</f>
        <v>1600</v>
      </c>
      <c r="X138" s="8">
        <f>+Table4[[#This Row],[SalesBot]]*Table4[[#This Row],[နှုံး]]</f>
        <v>1600</v>
      </c>
      <c r="Y138" s="12"/>
      <c r="Z138" s="12"/>
      <c r="AA138" s="12"/>
      <c r="AB138" s="9"/>
      <c r="AC138" s="12">
        <v>1600</v>
      </c>
      <c r="AD138" s="9"/>
      <c r="AE138" s="12"/>
      <c r="AF13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38" s="24"/>
      <c r="AH138" s="266">
        <f>Table4[[#This Row],[Date]]</f>
        <v>46031</v>
      </c>
      <c r="AI138" s="264" t="str">
        <f t="shared" si="20"/>
        <v>Jan</v>
      </c>
      <c r="AJ138" s="264" t="str">
        <f t="shared" si="21"/>
        <v>2026</v>
      </c>
      <c r="AK138" s="270" t="str">
        <f>Table4[[#This Row],[ကုန်သည်အမည်]]</f>
        <v>လျှမ်း</v>
      </c>
      <c r="AL138" s="270" t="str">
        <f>Table4[[#This Row],[Township]]</f>
        <v>Maw La Myaing</v>
      </c>
      <c r="AM138" s="271" t="str">
        <f>Table4[[#This Row],[WholeSales]]</f>
        <v>Van Sales</v>
      </c>
      <c r="AN138" s="272" t="str">
        <f>Table4[[#This Row],[Particular]]</f>
        <v>ကုန်ရောင်း(လက်ငင်း)</v>
      </c>
      <c r="AO138" s="273" t="str">
        <f>Table4[[#This Row],[StockName]]</f>
        <v>ဒဂုံမန်ကျည်း ကော်ဘူး (1 Liter)</v>
      </c>
      <c r="AP138" s="268">
        <f>Table4[[#This Row],[Parking]]</f>
        <v>8.3333333333333329E-2</v>
      </c>
      <c r="AQ138" s="268">
        <f>Table4[[#This Row],[SalesBot]]</f>
        <v>1</v>
      </c>
      <c r="AR138" s="268">
        <f>Table4[[#This Row],[Liter]]</f>
        <v>1</v>
      </c>
    </row>
    <row r="139" spans="1:44" s="16" customFormat="1" hidden="1" x14ac:dyDescent="0.5">
      <c r="A139" s="3">
        <f t="shared" si="22"/>
        <v>2026</v>
      </c>
      <c r="B139" s="8">
        <f t="shared" si="23"/>
        <v>1</v>
      </c>
      <c r="C139" s="6">
        <v>46031</v>
      </c>
      <c r="D139" s="15">
        <f t="shared" ca="1" si="24"/>
        <v>46097</v>
      </c>
      <c r="E139" s="15" t="str">
        <f t="shared" ca="1" si="25"/>
        <v>2-Months</v>
      </c>
      <c r="F139" s="8" t="str">
        <f>VLOOKUP(N139,Stock[#Data],5,FALSE)</f>
        <v>BE</v>
      </c>
      <c r="G139" s="82" t="s">
        <v>716</v>
      </c>
      <c r="H139" s="15"/>
      <c r="I139" s="10" t="s">
        <v>724</v>
      </c>
      <c r="J139" s="8" t="str">
        <f>VLOOKUP(I139,Customers[#Data],2,FALSE)</f>
        <v>လျှမ်း</v>
      </c>
      <c r="K139" s="15" t="str">
        <f>VLOOKUP(I139,Customers[#Data],4,FALSE)</f>
        <v>Maw La Myaing</v>
      </c>
      <c r="L139" s="15" t="str">
        <f>VLOOKUP(I139,Customers[#Data],5,FALSE)</f>
        <v>Van Sales</v>
      </c>
      <c r="M139" s="7" t="s">
        <v>6</v>
      </c>
      <c r="N139" s="7" t="s">
        <v>508</v>
      </c>
      <c r="O139" s="14" t="str">
        <f>VLOOKUP(N139,Stock[#Data],2,FALSE)</f>
        <v>ကောင်းကြည်-1Li</v>
      </c>
      <c r="P139" s="44">
        <f>VLOOKUP(N139,Stock[#Data],3,FALSE)</f>
        <v>1</v>
      </c>
      <c r="Q139" s="3">
        <f>VLOOKUP(N139,Stock[#Data],4,FALSE)</f>
        <v>12</v>
      </c>
      <c r="R139" s="11">
        <v>1</v>
      </c>
      <c r="S139" s="45">
        <f>IFERROR(Table4[[#This Row],[Bottle]]/Table4[[#This Row],[ပါဝင်မှု]]+Table4[[#This Row],[SalesPK]],0)</f>
        <v>8.3333333333333329E-2</v>
      </c>
      <c r="T139" s="12"/>
      <c r="U139" s="10">
        <f>Table4[[#This Row],[ပါဝင်မှု]]*Table4[[#This Row],[SalesPK]]+Table4[[#This Row],[Bottle]]</f>
        <v>1</v>
      </c>
      <c r="V139" s="10">
        <f>Table4[[#This Row],[SalesBot]]*Table4[[#This Row],[ML]]</f>
        <v>1</v>
      </c>
      <c r="W139" s="1">
        <f>VLOOKUP(N139,Stock[#Data],6,FALSE)</f>
        <v>1850</v>
      </c>
      <c r="X139" s="8">
        <f>+Table4[[#This Row],[SalesBot]]*Table4[[#This Row],[နှုံး]]</f>
        <v>1850</v>
      </c>
      <c r="Y139" s="12"/>
      <c r="Z139" s="12"/>
      <c r="AA139" s="12"/>
      <c r="AB139" s="9"/>
      <c r="AC139" s="12">
        <v>1850</v>
      </c>
      <c r="AD139" s="9"/>
      <c r="AE139" s="12"/>
      <c r="AF13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39" s="24"/>
      <c r="AH139" s="266">
        <f>Table4[[#This Row],[Date]]</f>
        <v>46031</v>
      </c>
      <c r="AI139" s="264" t="str">
        <f t="shared" si="20"/>
        <v>Jan</v>
      </c>
      <c r="AJ139" s="264" t="str">
        <f t="shared" si="21"/>
        <v>2026</v>
      </c>
      <c r="AK139" s="270" t="str">
        <f>Table4[[#This Row],[ကုန်သည်အမည်]]</f>
        <v>လျှမ်း</v>
      </c>
      <c r="AL139" s="270" t="str">
        <f>Table4[[#This Row],[Township]]</f>
        <v>Maw La Myaing</v>
      </c>
      <c r="AM139" s="271" t="str">
        <f>Table4[[#This Row],[WholeSales]]</f>
        <v>Van Sales</v>
      </c>
      <c r="AN139" s="272" t="str">
        <f>Table4[[#This Row],[Particular]]</f>
        <v>ကုန်ရောင်း(လက်ငင်း)</v>
      </c>
      <c r="AO139" s="273" t="str">
        <f>Table4[[#This Row],[StockName]]</f>
        <v>ကောင်းကြည်-1Li</v>
      </c>
      <c r="AP139" s="268">
        <f>Table4[[#This Row],[Parking]]</f>
        <v>8.3333333333333329E-2</v>
      </c>
      <c r="AQ139" s="268">
        <f>Table4[[#This Row],[SalesBot]]</f>
        <v>1</v>
      </c>
      <c r="AR139" s="268">
        <f>Table4[[#This Row],[Liter]]</f>
        <v>1</v>
      </c>
    </row>
    <row r="140" spans="1:44" s="16" customFormat="1" hidden="1" x14ac:dyDescent="0.5">
      <c r="A140" s="3">
        <f t="shared" si="22"/>
        <v>2026</v>
      </c>
      <c r="B140" s="8">
        <f t="shared" si="23"/>
        <v>1</v>
      </c>
      <c r="C140" s="6">
        <v>46031</v>
      </c>
      <c r="D140" s="15">
        <f t="shared" ca="1" si="24"/>
        <v>46097</v>
      </c>
      <c r="E140" s="15" t="str">
        <f t="shared" ca="1" si="25"/>
        <v>2-Months</v>
      </c>
      <c r="F140" s="8" t="str">
        <f>VLOOKUP(N140,Stock[#Data],5,FALSE)</f>
        <v>BE</v>
      </c>
      <c r="G140" s="82" t="s">
        <v>716</v>
      </c>
      <c r="H140" s="15"/>
      <c r="I140" s="10" t="s">
        <v>724</v>
      </c>
      <c r="J140" s="8" t="str">
        <f>VLOOKUP(I140,Customers[#Data],2,FALSE)</f>
        <v>လျှမ်း</v>
      </c>
      <c r="K140" s="15" t="str">
        <f>VLOOKUP(I140,Customers[#Data],4,FALSE)</f>
        <v>Maw La Myaing</v>
      </c>
      <c r="L140" s="15" t="str">
        <f>VLOOKUP(I140,Customers[#Data],5,FALSE)</f>
        <v>Van Sales</v>
      </c>
      <c r="M140" s="7" t="s">
        <v>6</v>
      </c>
      <c r="N140" s="7" t="s">
        <v>425</v>
      </c>
      <c r="O140" s="14" t="str">
        <f>VLOOKUP(N140,Stock[#Data],2,FALSE)</f>
        <v>ကောင်းကြည်-1Li</v>
      </c>
      <c r="P140" s="44">
        <f>VLOOKUP(N140,Stock[#Data],3,FALSE)</f>
        <v>1</v>
      </c>
      <c r="Q140" s="3">
        <f>VLOOKUP(N140,Stock[#Data],4,FALSE)</f>
        <v>12</v>
      </c>
      <c r="R140" s="11">
        <v>1</v>
      </c>
      <c r="S140" s="45">
        <f>IFERROR(Table4[[#This Row],[Bottle]]/Table4[[#This Row],[ပါဝင်မှု]]+Table4[[#This Row],[SalesPK]],0)</f>
        <v>8.3333333333333329E-2</v>
      </c>
      <c r="T140" s="12"/>
      <c r="U140" s="10">
        <f>Table4[[#This Row],[ပါဝင်မှု]]*Table4[[#This Row],[SalesPK]]+Table4[[#This Row],[Bottle]]</f>
        <v>1</v>
      </c>
      <c r="V140" s="10">
        <f>Table4[[#This Row],[SalesBot]]*Table4[[#This Row],[ML]]</f>
        <v>1</v>
      </c>
      <c r="W140" s="1">
        <f>VLOOKUP(N140,Stock[#Data],6,FALSE)</f>
        <v>1500</v>
      </c>
      <c r="X140" s="8">
        <f>+Table4[[#This Row],[SalesBot]]*Table4[[#This Row],[နှုံး]]</f>
        <v>1500</v>
      </c>
      <c r="Y140" s="12"/>
      <c r="Z140" s="12"/>
      <c r="AA140" s="12"/>
      <c r="AB140" s="9"/>
      <c r="AC140" s="12">
        <v>1500</v>
      </c>
      <c r="AD140" s="9"/>
      <c r="AE140" s="12"/>
      <c r="AF14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40" s="24"/>
      <c r="AH140" s="266">
        <f>Table4[[#This Row],[Date]]</f>
        <v>46031</v>
      </c>
      <c r="AI140" s="264" t="str">
        <f t="shared" si="20"/>
        <v>Jan</v>
      </c>
      <c r="AJ140" s="264" t="str">
        <f t="shared" si="21"/>
        <v>2026</v>
      </c>
      <c r="AK140" s="270" t="str">
        <f>Table4[[#This Row],[ကုန်သည်အမည်]]</f>
        <v>လျှမ်း</v>
      </c>
      <c r="AL140" s="270" t="str">
        <f>Table4[[#This Row],[Township]]</f>
        <v>Maw La Myaing</v>
      </c>
      <c r="AM140" s="271" t="str">
        <f>Table4[[#This Row],[WholeSales]]</f>
        <v>Van Sales</v>
      </c>
      <c r="AN140" s="272" t="str">
        <f>Table4[[#This Row],[Particular]]</f>
        <v>ကုန်ရောင်း(လက်ငင်း)</v>
      </c>
      <c r="AO140" s="273" t="str">
        <f>Table4[[#This Row],[StockName]]</f>
        <v>ကောင်းကြည်-1Li</v>
      </c>
      <c r="AP140" s="268">
        <f>Table4[[#This Row],[Parking]]</f>
        <v>8.3333333333333329E-2</v>
      </c>
      <c r="AQ140" s="268">
        <f>Table4[[#This Row],[SalesBot]]</f>
        <v>1</v>
      </c>
      <c r="AR140" s="268">
        <f>Table4[[#This Row],[Liter]]</f>
        <v>1</v>
      </c>
    </row>
    <row r="141" spans="1:44" s="16" customFormat="1" hidden="1" x14ac:dyDescent="0.5">
      <c r="A141" s="3">
        <f t="shared" si="22"/>
        <v>2026</v>
      </c>
      <c r="B141" s="8">
        <f t="shared" si="23"/>
        <v>1</v>
      </c>
      <c r="C141" s="6">
        <v>46031</v>
      </c>
      <c r="D141" s="15">
        <f t="shared" ca="1" si="24"/>
        <v>46097</v>
      </c>
      <c r="E141" s="15" t="str">
        <f t="shared" ca="1" si="25"/>
        <v>2-Months</v>
      </c>
      <c r="F141" s="8" t="str">
        <f>VLOOKUP(N141,Stock[#Data],5,FALSE)</f>
        <v>BE</v>
      </c>
      <c r="G141" s="82" t="s">
        <v>717</v>
      </c>
      <c r="H141" s="15"/>
      <c r="I141" s="7" t="s">
        <v>78</v>
      </c>
      <c r="J141" s="8" t="str">
        <f>VLOOKUP(I141,Customers[#Data],2,FALSE)</f>
        <v>My-1</v>
      </c>
      <c r="K141" s="15" t="str">
        <f>VLOOKUP(I141,Customers[#Data],4,FALSE)</f>
        <v>Maw La Myaing</v>
      </c>
      <c r="L141" s="15" t="str">
        <f>VLOOKUP(I141,Customers[#Data],5,FALSE)</f>
        <v>Van Sales</v>
      </c>
      <c r="M141" s="7" t="s">
        <v>6</v>
      </c>
      <c r="N141" s="7" t="s">
        <v>508</v>
      </c>
      <c r="O141" s="14" t="str">
        <f>VLOOKUP(N141,Stock[#Data],2,FALSE)</f>
        <v>ကောင်းကြည်-1Li</v>
      </c>
      <c r="P141" s="44">
        <f>VLOOKUP(N141,Stock[#Data],3,FALSE)</f>
        <v>1</v>
      </c>
      <c r="Q141" s="3">
        <f>VLOOKUP(N141,Stock[#Data],4,FALSE)</f>
        <v>12</v>
      </c>
      <c r="R141" s="11"/>
      <c r="S141" s="45">
        <f>IFERROR(Table4[[#This Row],[Bottle]]/Table4[[#This Row],[ပါဝင်မှု]]+Table4[[#This Row],[SalesPK]],0)</f>
        <v>1</v>
      </c>
      <c r="T141" s="12">
        <v>1</v>
      </c>
      <c r="U141" s="10">
        <f>Table4[[#This Row],[ပါဝင်မှု]]*Table4[[#This Row],[SalesPK]]+Table4[[#This Row],[Bottle]]</f>
        <v>12</v>
      </c>
      <c r="V141" s="10">
        <f>Table4[[#This Row],[SalesBot]]*Table4[[#This Row],[ML]]</f>
        <v>12</v>
      </c>
      <c r="W141" s="1">
        <f>VLOOKUP(N141,Stock[#Data],6,FALSE)</f>
        <v>1850</v>
      </c>
      <c r="X141" s="8">
        <f>+Table4[[#This Row],[SalesBot]]*Table4[[#This Row],[နှုံး]]</f>
        <v>22200</v>
      </c>
      <c r="Y141" s="12"/>
      <c r="Z141" s="12"/>
      <c r="AA141" s="12"/>
      <c r="AB141" s="9"/>
      <c r="AC141" s="12">
        <v>22200</v>
      </c>
      <c r="AD141" s="9"/>
      <c r="AE141" s="12"/>
      <c r="AF14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41" s="24"/>
      <c r="AH141" s="266">
        <f>Table4[[#This Row],[Date]]</f>
        <v>46031</v>
      </c>
      <c r="AI141" s="264" t="str">
        <f t="shared" si="20"/>
        <v>Jan</v>
      </c>
      <c r="AJ141" s="264" t="str">
        <f t="shared" si="21"/>
        <v>2026</v>
      </c>
      <c r="AK141" s="270" t="str">
        <f>Table4[[#This Row],[ကုန်သည်အမည်]]</f>
        <v>My-1</v>
      </c>
      <c r="AL141" s="270" t="str">
        <f>Table4[[#This Row],[Township]]</f>
        <v>Maw La Myaing</v>
      </c>
      <c r="AM141" s="271" t="str">
        <f>Table4[[#This Row],[WholeSales]]</f>
        <v>Van Sales</v>
      </c>
      <c r="AN141" s="272" t="str">
        <f>Table4[[#This Row],[Particular]]</f>
        <v>ကုန်ရောင်း(လက်ငင်း)</v>
      </c>
      <c r="AO141" s="273" t="str">
        <f>Table4[[#This Row],[StockName]]</f>
        <v>ကောင်းကြည်-1Li</v>
      </c>
      <c r="AP141" s="268">
        <f>Table4[[#This Row],[Parking]]</f>
        <v>1</v>
      </c>
      <c r="AQ141" s="268">
        <f>Table4[[#This Row],[SalesBot]]</f>
        <v>12</v>
      </c>
      <c r="AR141" s="268">
        <f>Table4[[#This Row],[Liter]]</f>
        <v>12</v>
      </c>
    </row>
    <row r="142" spans="1:44" s="16" customFormat="1" hidden="1" x14ac:dyDescent="0.5">
      <c r="A142" s="3">
        <f t="shared" si="22"/>
        <v>2026</v>
      </c>
      <c r="B142" s="8">
        <f t="shared" si="23"/>
        <v>1</v>
      </c>
      <c r="C142" s="6">
        <v>46031</v>
      </c>
      <c r="D142" s="15">
        <f t="shared" ca="1" si="24"/>
        <v>46097</v>
      </c>
      <c r="E142" s="15" t="str">
        <f t="shared" ca="1" si="25"/>
        <v>2-Months</v>
      </c>
      <c r="F142" s="8" t="str">
        <f>VLOOKUP(N142,Stock[#Data],5,FALSE)</f>
        <v>BE</v>
      </c>
      <c r="G142" s="82" t="s">
        <v>718</v>
      </c>
      <c r="H142" s="15"/>
      <c r="I142" s="83" t="s">
        <v>318</v>
      </c>
      <c r="J142" s="8" t="str">
        <f>VLOOKUP(I142,Customers[#Data],2,FALSE)</f>
        <v>တောင်ပေါ်တန်း</v>
      </c>
      <c r="K142" s="15" t="str">
        <f>VLOOKUP(I142,Customers[#Data],4,FALSE)</f>
        <v>Maw La Myaing</v>
      </c>
      <c r="L142" s="15" t="str">
        <f>VLOOKUP(I142,Customers[#Data],5,FALSE)</f>
        <v>Van Sales</v>
      </c>
      <c r="M142" s="7" t="s">
        <v>6</v>
      </c>
      <c r="N142" s="7" t="s">
        <v>508</v>
      </c>
      <c r="O142" s="14" t="str">
        <f>VLOOKUP(N142,Stock[#Data],2,FALSE)</f>
        <v>ကောင်းကြည်-1Li</v>
      </c>
      <c r="P142" s="44">
        <f>VLOOKUP(N142,Stock[#Data],3,FALSE)</f>
        <v>1</v>
      </c>
      <c r="Q142" s="3">
        <f>VLOOKUP(N142,Stock[#Data],4,FALSE)</f>
        <v>12</v>
      </c>
      <c r="R142" s="11">
        <v>3</v>
      </c>
      <c r="S142" s="45">
        <f>IFERROR(Table4[[#This Row],[Bottle]]/Table4[[#This Row],[ပါဝင်မှု]]+Table4[[#This Row],[SalesPK]],0)</f>
        <v>0.25</v>
      </c>
      <c r="T142" s="12"/>
      <c r="U142" s="10">
        <f>Table4[[#This Row],[ပါဝင်မှု]]*Table4[[#This Row],[SalesPK]]+Table4[[#This Row],[Bottle]]</f>
        <v>3</v>
      </c>
      <c r="V142" s="10">
        <f>Table4[[#This Row],[SalesBot]]*Table4[[#This Row],[ML]]</f>
        <v>3</v>
      </c>
      <c r="W142" s="1">
        <f>VLOOKUP(N142,Stock[#Data],6,FALSE)</f>
        <v>1850</v>
      </c>
      <c r="X142" s="8">
        <f>+Table4[[#This Row],[SalesBot]]*Table4[[#This Row],[နှုံး]]</f>
        <v>5550</v>
      </c>
      <c r="Y142" s="12"/>
      <c r="Z142" s="12"/>
      <c r="AA142" s="12"/>
      <c r="AB142" s="9"/>
      <c r="AC142" s="12">
        <v>5550</v>
      </c>
      <c r="AD142" s="9"/>
      <c r="AE142" s="12"/>
      <c r="AF14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42" s="24"/>
      <c r="AH142" s="266">
        <f>Table4[[#This Row],[Date]]</f>
        <v>46031</v>
      </c>
      <c r="AI142" s="264" t="str">
        <f t="shared" si="20"/>
        <v>Jan</v>
      </c>
      <c r="AJ142" s="264" t="str">
        <f t="shared" si="21"/>
        <v>2026</v>
      </c>
      <c r="AK142" s="270" t="str">
        <f>Table4[[#This Row],[ကုန်သည်အမည်]]</f>
        <v>တောင်ပေါ်တန်း</v>
      </c>
      <c r="AL142" s="270" t="str">
        <f>Table4[[#This Row],[Township]]</f>
        <v>Maw La Myaing</v>
      </c>
      <c r="AM142" s="271" t="str">
        <f>Table4[[#This Row],[WholeSales]]</f>
        <v>Van Sales</v>
      </c>
      <c r="AN142" s="272" t="str">
        <f>Table4[[#This Row],[Particular]]</f>
        <v>ကုန်ရောင်း(လက်ငင်း)</v>
      </c>
      <c r="AO142" s="273" t="str">
        <f>Table4[[#This Row],[StockName]]</f>
        <v>ကောင်းကြည်-1Li</v>
      </c>
      <c r="AP142" s="268">
        <f>Table4[[#This Row],[Parking]]</f>
        <v>0.25</v>
      </c>
      <c r="AQ142" s="268">
        <f>Table4[[#This Row],[SalesBot]]</f>
        <v>3</v>
      </c>
      <c r="AR142" s="268">
        <f>Table4[[#This Row],[Liter]]</f>
        <v>3</v>
      </c>
    </row>
    <row r="143" spans="1:44" s="16" customFormat="1" hidden="1" x14ac:dyDescent="0.5">
      <c r="A143" s="3">
        <f t="shared" si="22"/>
        <v>2026</v>
      </c>
      <c r="B143" s="8">
        <f t="shared" si="23"/>
        <v>1</v>
      </c>
      <c r="C143" s="6">
        <v>46031</v>
      </c>
      <c r="D143" s="15">
        <f t="shared" ca="1" si="24"/>
        <v>46097</v>
      </c>
      <c r="E143" s="15" t="str">
        <f t="shared" ca="1" si="25"/>
        <v>2-Months</v>
      </c>
      <c r="F143" s="8" t="str">
        <f>VLOOKUP(N143,Stock[#Data],5,FALSE)</f>
        <v>BE</v>
      </c>
      <c r="G143" s="82" t="s">
        <v>718</v>
      </c>
      <c r="H143" s="15"/>
      <c r="I143" s="83" t="s">
        <v>318</v>
      </c>
      <c r="J143" s="8" t="str">
        <f>VLOOKUP(I143,Customers[#Data],2,FALSE)</f>
        <v>တောင်ပေါ်တန်း</v>
      </c>
      <c r="K143" s="15" t="str">
        <f>VLOOKUP(I143,Customers[#Data],4,FALSE)</f>
        <v>Maw La Myaing</v>
      </c>
      <c r="L143" s="15" t="str">
        <f>VLOOKUP(I143,Customers[#Data],5,FALSE)</f>
        <v>Van Sales</v>
      </c>
      <c r="M143" s="7" t="s">
        <v>6</v>
      </c>
      <c r="N143" s="7" t="s">
        <v>425</v>
      </c>
      <c r="O143" s="14" t="str">
        <f>VLOOKUP(N143,Stock[#Data],2,FALSE)</f>
        <v>ကောင်းကြည်-1Li</v>
      </c>
      <c r="P143" s="44">
        <f>VLOOKUP(N143,Stock[#Data],3,FALSE)</f>
        <v>1</v>
      </c>
      <c r="Q143" s="3">
        <f>VLOOKUP(N143,Stock[#Data],4,FALSE)</f>
        <v>12</v>
      </c>
      <c r="R143" s="11">
        <v>3</v>
      </c>
      <c r="S143" s="45">
        <f>IFERROR(Table4[[#This Row],[Bottle]]/Table4[[#This Row],[ပါဝင်မှု]]+Table4[[#This Row],[SalesPK]],0)</f>
        <v>0.25</v>
      </c>
      <c r="T143" s="12"/>
      <c r="U143" s="10">
        <f>Table4[[#This Row],[ပါဝင်မှု]]*Table4[[#This Row],[SalesPK]]+Table4[[#This Row],[Bottle]]</f>
        <v>3</v>
      </c>
      <c r="V143" s="10">
        <f>Table4[[#This Row],[SalesBot]]*Table4[[#This Row],[ML]]</f>
        <v>3</v>
      </c>
      <c r="W143" s="1">
        <f>VLOOKUP(N143,Stock[#Data],6,FALSE)</f>
        <v>1500</v>
      </c>
      <c r="X143" s="8">
        <f>+Table4[[#This Row],[SalesBot]]*Table4[[#This Row],[နှုံး]]</f>
        <v>4500</v>
      </c>
      <c r="Y143" s="12"/>
      <c r="Z143" s="12"/>
      <c r="AA143" s="12"/>
      <c r="AB143" s="9"/>
      <c r="AC143" s="12">
        <v>4500</v>
      </c>
      <c r="AD143" s="9"/>
      <c r="AE143" s="12"/>
      <c r="AF14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43" s="24"/>
      <c r="AH143" s="266">
        <f>Table4[[#This Row],[Date]]</f>
        <v>46031</v>
      </c>
      <c r="AI143" s="264" t="str">
        <f t="shared" si="20"/>
        <v>Jan</v>
      </c>
      <c r="AJ143" s="264" t="str">
        <f t="shared" si="21"/>
        <v>2026</v>
      </c>
      <c r="AK143" s="270" t="str">
        <f>Table4[[#This Row],[ကုန်သည်အမည်]]</f>
        <v>တောင်ပေါ်တန်း</v>
      </c>
      <c r="AL143" s="270" t="str">
        <f>Table4[[#This Row],[Township]]</f>
        <v>Maw La Myaing</v>
      </c>
      <c r="AM143" s="271" t="str">
        <f>Table4[[#This Row],[WholeSales]]</f>
        <v>Van Sales</v>
      </c>
      <c r="AN143" s="272" t="str">
        <f>Table4[[#This Row],[Particular]]</f>
        <v>ကုန်ရောင်း(လက်ငင်း)</v>
      </c>
      <c r="AO143" s="273" t="str">
        <f>Table4[[#This Row],[StockName]]</f>
        <v>ကောင်းကြည်-1Li</v>
      </c>
      <c r="AP143" s="268">
        <f>Table4[[#This Row],[Parking]]</f>
        <v>0.25</v>
      </c>
      <c r="AQ143" s="268">
        <f>Table4[[#This Row],[SalesBot]]</f>
        <v>3</v>
      </c>
      <c r="AR143" s="268">
        <f>Table4[[#This Row],[Liter]]</f>
        <v>3</v>
      </c>
    </row>
    <row r="144" spans="1:44" s="16" customFormat="1" hidden="1" x14ac:dyDescent="0.5">
      <c r="A144" s="3">
        <f t="shared" si="22"/>
        <v>2026</v>
      </c>
      <c r="B144" s="8">
        <f t="shared" si="23"/>
        <v>1</v>
      </c>
      <c r="C144" s="6">
        <v>46031</v>
      </c>
      <c r="D144" s="15">
        <f t="shared" ca="1" si="24"/>
        <v>46097</v>
      </c>
      <c r="E144" s="15" t="str">
        <f t="shared" ca="1" si="25"/>
        <v>2-Months</v>
      </c>
      <c r="F144" s="8" t="str">
        <f>VLOOKUP(N144,Stock[#Data],5,FALSE)</f>
        <v>BE</v>
      </c>
      <c r="G144" s="82" t="s">
        <v>719</v>
      </c>
      <c r="H144" s="15"/>
      <c r="I144" s="10" t="s">
        <v>725</v>
      </c>
      <c r="J144" s="8" t="str">
        <f>VLOOKUP(I144,Customers[#Data],2,FALSE)</f>
        <v>ရွှေနဂါး</v>
      </c>
      <c r="K144" s="15" t="str">
        <f>VLOOKUP(I144,Customers[#Data],4,FALSE)</f>
        <v>Maw La Myaing</v>
      </c>
      <c r="L144" s="15" t="str">
        <f>VLOOKUP(I144,Customers[#Data],5,FALSE)</f>
        <v>Van Sales</v>
      </c>
      <c r="M144" s="7" t="s">
        <v>6</v>
      </c>
      <c r="N144" s="7" t="s">
        <v>508</v>
      </c>
      <c r="O144" s="14" t="str">
        <f>VLOOKUP(N144,Stock[#Data],2,FALSE)</f>
        <v>ကောင်းကြည်-1Li</v>
      </c>
      <c r="P144" s="44">
        <f>VLOOKUP(N144,Stock[#Data],3,FALSE)</f>
        <v>1</v>
      </c>
      <c r="Q144" s="3">
        <f>VLOOKUP(N144,Stock[#Data],4,FALSE)</f>
        <v>12</v>
      </c>
      <c r="R144" s="11"/>
      <c r="S144" s="45">
        <f>IFERROR(Table4[[#This Row],[Bottle]]/Table4[[#This Row],[ပါဝင်မှု]]+Table4[[#This Row],[SalesPK]],0)</f>
        <v>1</v>
      </c>
      <c r="T144" s="12">
        <v>1</v>
      </c>
      <c r="U144" s="10">
        <f>Table4[[#This Row],[ပါဝင်မှု]]*Table4[[#This Row],[SalesPK]]+Table4[[#This Row],[Bottle]]</f>
        <v>12</v>
      </c>
      <c r="V144" s="10">
        <f>Table4[[#This Row],[SalesBot]]*Table4[[#This Row],[ML]]</f>
        <v>12</v>
      </c>
      <c r="W144" s="1">
        <f>VLOOKUP(N144,Stock[#Data],6,FALSE)</f>
        <v>1850</v>
      </c>
      <c r="X144" s="8">
        <f>+Table4[[#This Row],[SalesBot]]*Table4[[#This Row],[နှုံး]]</f>
        <v>22200</v>
      </c>
      <c r="Y144" s="12"/>
      <c r="Z144" s="12"/>
      <c r="AA144" s="12"/>
      <c r="AB144" s="9"/>
      <c r="AC144" s="12">
        <v>22200</v>
      </c>
      <c r="AD144" s="9"/>
      <c r="AE144" s="12"/>
      <c r="AF14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44" s="24"/>
      <c r="AH144" s="266">
        <f>Table4[[#This Row],[Date]]</f>
        <v>46031</v>
      </c>
      <c r="AI144" s="264" t="str">
        <f t="shared" si="20"/>
        <v>Jan</v>
      </c>
      <c r="AJ144" s="264" t="str">
        <f t="shared" si="21"/>
        <v>2026</v>
      </c>
      <c r="AK144" s="270" t="str">
        <f>Table4[[#This Row],[ကုန်သည်အမည်]]</f>
        <v>ရွှေနဂါး</v>
      </c>
      <c r="AL144" s="270" t="str">
        <f>Table4[[#This Row],[Township]]</f>
        <v>Maw La Myaing</v>
      </c>
      <c r="AM144" s="271" t="str">
        <f>Table4[[#This Row],[WholeSales]]</f>
        <v>Van Sales</v>
      </c>
      <c r="AN144" s="272" t="str">
        <f>Table4[[#This Row],[Particular]]</f>
        <v>ကုန်ရောင်း(လက်ငင်း)</v>
      </c>
      <c r="AO144" s="273" t="str">
        <f>Table4[[#This Row],[StockName]]</f>
        <v>ကောင်းကြည်-1Li</v>
      </c>
      <c r="AP144" s="268">
        <f>Table4[[#This Row],[Parking]]</f>
        <v>1</v>
      </c>
      <c r="AQ144" s="268">
        <f>Table4[[#This Row],[SalesBot]]</f>
        <v>12</v>
      </c>
      <c r="AR144" s="268">
        <f>Table4[[#This Row],[Liter]]</f>
        <v>12</v>
      </c>
    </row>
    <row r="145" spans="1:44" s="16" customFormat="1" hidden="1" x14ac:dyDescent="0.5">
      <c r="A145" s="3">
        <f t="shared" si="22"/>
        <v>2026</v>
      </c>
      <c r="B145" s="8">
        <f t="shared" si="23"/>
        <v>1</v>
      </c>
      <c r="C145" s="6">
        <v>46031</v>
      </c>
      <c r="D145" s="15">
        <f t="shared" ca="1" si="24"/>
        <v>46097</v>
      </c>
      <c r="E145" s="15" t="str">
        <f t="shared" ca="1" si="25"/>
        <v>2-Months</v>
      </c>
      <c r="F145" s="8" t="str">
        <f>VLOOKUP(N145,Stock[#Data],5,FALSE)</f>
        <v>BE</v>
      </c>
      <c r="G145" s="82" t="s">
        <v>719</v>
      </c>
      <c r="H145" s="15"/>
      <c r="I145" s="10" t="s">
        <v>725</v>
      </c>
      <c r="J145" s="8" t="str">
        <f>VLOOKUP(I145,Customers[#Data],2,FALSE)</f>
        <v>ရွှေနဂါး</v>
      </c>
      <c r="K145" s="15" t="str">
        <f>VLOOKUP(I145,Customers[#Data],4,FALSE)</f>
        <v>Maw La Myaing</v>
      </c>
      <c r="L145" s="15" t="str">
        <f>VLOOKUP(I145,Customers[#Data],5,FALSE)</f>
        <v>Van Sales</v>
      </c>
      <c r="M145" s="7" t="s">
        <v>6</v>
      </c>
      <c r="N145" s="7" t="s">
        <v>425</v>
      </c>
      <c r="O145" s="14" t="str">
        <f>VLOOKUP(N145,Stock[#Data],2,FALSE)</f>
        <v>ကောင်းကြည်-1Li</v>
      </c>
      <c r="P145" s="44">
        <f>VLOOKUP(N145,Stock[#Data],3,FALSE)</f>
        <v>1</v>
      </c>
      <c r="Q145" s="3">
        <f>VLOOKUP(N145,Stock[#Data],4,FALSE)</f>
        <v>12</v>
      </c>
      <c r="R145" s="11">
        <v>2</v>
      </c>
      <c r="S145" s="45">
        <f>IFERROR(Table4[[#This Row],[Bottle]]/Table4[[#This Row],[ပါဝင်မှု]]+Table4[[#This Row],[SalesPK]],0)</f>
        <v>0.16666666666666666</v>
      </c>
      <c r="T145" s="12"/>
      <c r="U145" s="10">
        <f>Table4[[#This Row],[ပါဝင်မှု]]*Table4[[#This Row],[SalesPK]]+Table4[[#This Row],[Bottle]]</f>
        <v>2</v>
      </c>
      <c r="V145" s="10">
        <f>Table4[[#This Row],[SalesBot]]*Table4[[#This Row],[ML]]</f>
        <v>2</v>
      </c>
      <c r="W145" s="1">
        <f>VLOOKUP(N145,Stock[#Data],6,FALSE)</f>
        <v>1500</v>
      </c>
      <c r="X145" s="8">
        <f>+Table4[[#This Row],[SalesBot]]*Table4[[#This Row],[နှုံး]]</f>
        <v>3000</v>
      </c>
      <c r="Y145" s="12"/>
      <c r="Z145" s="12"/>
      <c r="AA145" s="12"/>
      <c r="AB145" s="9"/>
      <c r="AC145" s="12">
        <v>3000</v>
      </c>
      <c r="AD145" s="9"/>
      <c r="AE145" s="12"/>
      <c r="AF14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45" s="24"/>
      <c r="AH145" s="266">
        <f>Table4[[#This Row],[Date]]</f>
        <v>46031</v>
      </c>
      <c r="AI145" s="264" t="str">
        <f t="shared" si="20"/>
        <v>Jan</v>
      </c>
      <c r="AJ145" s="264" t="str">
        <f t="shared" si="21"/>
        <v>2026</v>
      </c>
      <c r="AK145" s="270" t="str">
        <f>Table4[[#This Row],[ကုန်သည်အမည်]]</f>
        <v>ရွှေနဂါး</v>
      </c>
      <c r="AL145" s="270" t="str">
        <f>Table4[[#This Row],[Township]]</f>
        <v>Maw La Myaing</v>
      </c>
      <c r="AM145" s="271" t="str">
        <f>Table4[[#This Row],[WholeSales]]</f>
        <v>Van Sales</v>
      </c>
      <c r="AN145" s="272" t="str">
        <f>Table4[[#This Row],[Particular]]</f>
        <v>ကုန်ရောင်း(လက်ငင်း)</v>
      </c>
      <c r="AO145" s="273" t="str">
        <f>Table4[[#This Row],[StockName]]</f>
        <v>ကောင်းကြည်-1Li</v>
      </c>
      <c r="AP145" s="268">
        <f>Table4[[#This Row],[Parking]]</f>
        <v>0.16666666666666666</v>
      </c>
      <c r="AQ145" s="268">
        <f>Table4[[#This Row],[SalesBot]]</f>
        <v>2</v>
      </c>
      <c r="AR145" s="268">
        <f>Table4[[#This Row],[Liter]]</f>
        <v>2</v>
      </c>
    </row>
    <row r="146" spans="1:44" s="16" customFormat="1" hidden="1" x14ac:dyDescent="0.5">
      <c r="A146" s="3">
        <f t="shared" si="22"/>
        <v>2026</v>
      </c>
      <c r="B146" s="8">
        <f t="shared" si="23"/>
        <v>1</v>
      </c>
      <c r="C146" s="6">
        <v>46031</v>
      </c>
      <c r="D146" s="15">
        <f t="shared" ca="1" si="24"/>
        <v>46097</v>
      </c>
      <c r="E146" s="15" t="str">
        <f t="shared" ca="1" si="25"/>
        <v>2-Months</v>
      </c>
      <c r="F146" s="8" t="str">
        <f>VLOOKUP(N146,Stock[#Data],5,FALSE)</f>
        <v>BE</v>
      </c>
      <c r="G146" s="82" t="s">
        <v>720</v>
      </c>
      <c r="H146" s="15"/>
      <c r="I146" s="7" t="s">
        <v>109</v>
      </c>
      <c r="J146" s="8" t="str">
        <f>VLOOKUP(I146,Customers[#Data],2,FALSE)</f>
        <v>ဦးမင်းလွင်</v>
      </c>
      <c r="K146" s="15" t="str">
        <f>VLOOKUP(I146,Customers[#Data],4,FALSE)</f>
        <v>Maw La Myaing</v>
      </c>
      <c r="L146" s="15" t="str">
        <f>VLOOKUP(I146,Customers[#Data],5,FALSE)</f>
        <v>WholeSales</v>
      </c>
      <c r="M146" s="7" t="s">
        <v>6</v>
      </c>
      <c r="N146" s="7" t="s">
        <v>508</v>
      </c>
      <c r="O146" s="14" t="str">
        <f>VLOOKUP(N146,Stock[#Data],2,FALSE)</f>
        <v>ကောင်းကြည်-1Li</v>
      </c>
      <c r="P146" s="44">
        <f>VLOOKUP(N146,Stock[#Data],3,FALSE)</f>
        <v>1</v>
      </c>
      <c r="Q146" s="3">
        <f>VLOOKUP(N146,Stock[#Data],4,FALSE)</f>
        <v>12</v>
      </c>
      <c r="R146" s="11"/>
      <c r="S146" s="45">
        <f>IFERROR(Table4[[#This Row],[Bottle]]/Table4[[#This Row],[ပါဝင်မှု]]+Table4[[#This Row],[SalesPK]],0)</f>
        <v>1</v>
      </c>
      <c r="T146" s="12">
        <v>1</v>
      </c>
      <c r="U146" s="10">
        <f>Table4[[#This Row],[ပါဝင်မှု]]*Table4[[#This Row],[SalesPK]]+Table4[[#This Row],[Bottle]]</f>
        <v>12</v>
      </c>
      <c r="V146" s="10">
        <f>Table4[[#This Row],[SalesBot]]*Table4[[#This Row],[ML]]</f>
        <v>12</v>
      </c>
      <c r="W146" s="1">
        <f>VLOOKUP(N146,Stock[#Data],6,FALSE)</f>
        <v>1850</v>
      </c>
      <c r="X146" s="8">
        <f>+Table4[[#This Row],[SalesBot]]*Table4[[#This Row],[နှုံး]]</f>
        <v>22200</v>
      </c>
      <c r="Y146" s="12"/>
      <c r="Z146" s="12"/>
      <c r="AA146" s="12"/>
      <c r="AB146" s="9"/>
      <c r="AC146" s="12">
        <v>22200</v>
      </c>
      <c r="AD146" s="9"/>
      <c r="AE146" s="12"/>
      <c r="AF14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46" s="24"/>
      <c r="AH146" s="266">
        <f>Table4[[#This Row],[Date]]</f>
        <v>46031</v>
      </c>
      <c r="AI146" s="264" t="str">
        <f t="shared" si="20"/>
        <v>Jan</v>
      </c>
      <c r="AJ146" s="264" t="str">
        <f t="shared" si="21"/>
        <v>2026</v>
      </c>
      <c r="AK146" s="270" t="str">
        <f>Table4[[#This Row],[ကုန်သည်အမည်]]</f>
        <v>ဦးမင်းလွင်</v>
      </c>
      <c r="AL146" s="270" t="str">
        <f>Table4[[#This Row],[Township]]</f>
        <v>Maw La Myaing</v>
      </c>
      <c r="AM146" s="271" t="str">
        <f>Table4[[#This Row],[WholeSales]]</f>
        <v>WholeSales</v>
      </c>
      <c r="AN146" s="272" t="str">
        <f>Table4[[#This Row],[Particular]]</f>
        <v>ကုန်ရောင်း(လက်ငင်း)</v>
      </c>
      <c r="AO146" s="273" t="str">
        <f>Table4[[#This Row],[StockName]]</f>
        <v>ကောင်းကြည်-1Li</v>
      </c>
      <c r="AP146" s="268">
        <f>Table4[[#This Row],[Parking]]</f>
        <v>1</v>
      </c>
      <c r="AQ146" s="268">
        <f>Table4[[#This Row],[SalesBot]]</f>
        <v>12</v>
      </c>
      <c r="AR146" s="268">
        <f>Table4[[#This Row],[Liter]]</f>
        <v>12</v>
      </c>
    </row>
    <row r="147" spans="1:44" s="16" customFormat="1" hidden="1" x14ac:dyDescent="0.5">
      <c r="A147" s="3">
        <f>YEAR(C147)</f>
        <v>2026</v>
      </c>
      <c r="B147" s="8">
        <f>MONTH(C147)</f>
        <v>1</v>
      </c>
      <c r="C147" s="6">
        <v>46031</v>
      </c>
      <c r="D147" s="15">
        <f ca="1">TODAY()</f>
        <v>46097</v>
      </c>
      <c r="E147" s="15" t="str">
        <f ca="1">DATEDIF(C147,D147,"M")&amp;"-Months"</f>
        <v>2-Months</v>
      </c>
      <c r="F147" s="8" t="str">
        <f>VLOOKUP(N147,Stock[#Data],5,FALSE)</f>
        <v>BE</v>
      </c>
      <c r="G147" s="82" t="s">
        <v>720</v>
      </c>
      <c r="H147" s="15"/>
      <c r="I147" s="7" t="s">
        <v>109</v>
      </c>
      <c r="J147" s="8" t="str">
        <f>VLOOKUP(I147,Customers[#Data],2,FALSE)</f>
        <v>ဦးမင်းလွင်</v>
      </c>
      <c r="K147" s="15" t="str">
        <f>VLOOKUP(I147,Customers[#Data],4,FALSE)</f>
        <v>Maw La Myaing</v>
      </c>
      <c r="L147" s="15" t="str">
        <f>VLOOKUP(I147,Customers[#Data],5,FALSE)</f>
        <v>WholeSales</v>
      </c>
      <c r="M147" s="7" t="s">
        <v>9</v>
      </c>
      <c r="N147" s="7" t="s">
        <v>425</v>
      </c>
      <c r="O147" s="14" t="str">
        <f>VLOOKUP(N147,Stock[#Data],2,FALSE)</f>
        <v>ကောင်းကြည်-1Li</v>
      </c>
      <c r="P147" s="44">
        <f>VLOOKUP(N147,Stock[#Data],3,FALSE)</f>
        <v>1</v>
      </c>
      <c r="Q147" s="3">
        <f>VLOOKUP(N147,Stock[#Data],4,FALSE)</f>
        <v>12</v>
      </c>
      <c r="R147" s="11">
        <v>1</v>
      </c>
      <c r="S147" s="45">
        <f>IFERROR(Table4[[#This Row],[Bottle]]/Table4[[#This Row],[ပါဝင်မှု]]+Table4[[#This Row],[SalesPK]],0)</f>
        <v>8.3333333333333329E-2</v>
      </c>
      <c r="T147" s="12"/>
      <c r="U147" s="10">
        <f>Table4[[#This Row],[ပါဝင်မှု]]*Table4[[#This Row],[SalesPK]]+Table4[[#This Row],[Bottle]]</f>
        <v>1</v>
      </c>
      <c r="V147" s="10">
        <f>Table4[[#This Row],[SalesBot]]*Table4[[#This Row],[ML]]</f>
        <v>1</v>
      </c>
      <c r="W147" s="1">
        <f>VLOOKUP(N147,Stock[#Data],6,FALSE)</f>
        <v>1500</v>
      </c>
      <c r="X147" s="8">
        <f>+Table4[[#This Row],[SalesBot]]*Table4[[#This Row],[နှုံး]]</f>
        <v>1500</v>
      </c>
      <c r="Y147" s="12"/>
      <c r="Z147" s="12"/>
      <c r="AA147" s="12"/>
      <c r="AB147" s="9"/>
      <c r="AC147" s="12"/>
      <c r="AD147" s="9"/>
      <c r="AE147" s="12"/>
      <c r="AF14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147" s="24"/>
      <c r="AH147" s="266">
        <f>Table4[[#This Row],[Date]]</f>
        <v>46031</v>
      </c>
      <c r="AI147" s="264" t="str">
        <f t="shared" si="20"/>
        <v>Jan</v>
      </c>
      <c r="AJ147" s="264" t="str">
        <f t="shared" si="21"/>
        <v>2026</v>
      </c>
      <c r="AK147" s="270" t="str">
        <f>Table4[[#This Row],[ကုန်သည်အမည်]]</f>
        <v>ဦးမင်းလွင်</v>
      </c>
      <c r="AL147" s="270" t="str">
        <f>Table4[[#This Row],[Township]]</f>
        <v>Maw La Myaing</v>
      </c>
      <c r="AM147" s="271" t="str">
        <f>Table4[[#This Row],[WholeSales]]</f>
        <v>WholeSales</v>
      </c>
      <c r="AN147" s="272" t="str">
        <f>Table4[[#This Row],[Particular]]</f>
        <v>လက်ဆောင်</v>
      </c>
      <c r="AO147" s="273" t="str">
        <f>Table4[[#This Row],[StockName]]</f>
        <v>ကောင်းကြည်-1Li</v>
      </c>
      <c r="AP147" s="268">
        <f>Table4[[#This Row],[Parking]]</f>
        <v>8.3333333333333329E-2</v>
      </c>
      <c r="AQ147" s="268">
        <f>Table4[[#This Row],[SalesBot]]</f>
        <v>1</v>
      </c>
      <c r="AR147" s="268">
        <f>Table4[[#This Row],[Liter]]</f>
        <v>1</v>
      </c>
    </row>
    <row r="148" spans="1:44" s="16" customFormat="1" hidden="1" x14ac:dyDescent="0.5">
      <c r="A148" s="3">
        <f t="shared" si="22"/>
        <v>2026</v>
      </c>
      <c r="B148" s="8">
        <f t="shared" si="23"/>
        <v>1</v>
      </c>
      <c r="C148" s="6">
        <v>46031</v>
      </c>
      <c r="D148" s="15">
        <f t="shared" ca="1" si="24"/>
        <v>46097</v>
      </c>
      <c r="E148" s="15" t="str">
        <f t="shared" ca="1" si="25"/>
        <v>2-Months</v>
      </c>
      <c r="F148" s="8" t="str">
        <f>VLOOKUP(N148,Stock[#Data],5,FALSE)</f>
        <v>BE</v>
      </c>
      <c r="G148" s="82" t="s">
        <v>720</v>
      </c>
      <c r="H148" s="15"/>
      <c r="I148" s="7" t="s">
        <v>109</v>
      </c>
      <c r="J148" s="8" t="str">
        <f>VLOOKUP(I148,Customers[#Data],2,FALSE)</f>
        <v>ဦးမင်းလွင်</v>
      </c>
      <c r="K148" s="15" t="str">
        <f>VLOOKUP(I148,Customers[#Data],4,FALSE)</f>
        <v>Maw La Myaing</v>
      </c>
      <c r="L148" s="15" t="str">
        <f>VLOOKUP(I148,Customers[#Data],5,FALSE)</f>
        <v>WholeSales</v>
      </c>
      <c r="M148" s="7" t="s">
        <v>6</v>
      </c>
      <c r="N148" s="7" t="s">
        <v>425</v>
      </c>
      <c r="O148" s="14" t="str">
        <f>VLOOKUP(N148,Stock[#Data],2,FALSE)</f>
        <v>ကောင်းကြည်-1Li</v>
      </c>
      <c r="P148" s="44">
        <f>VLOOKUP(N148,Stock[#Data],3,FALSE)</f>
        <v>1</v>
      </c>
      <c r="Q148" s="3">
        <f>VLOOKUP(N148,Stock[#Data],4,FALSE)</f>
        <v>12</v>
      </c>
      <c r="R148" s="11"/>
      <c r="S148" s="45">
        <f>IFERROR(Table4[[#This Row],[Bottle]]/Table4[[#This Row],[ပါဝင်မှု]]+Table4[[#This Row],[SalesPK]],0)</f>
        <v>1</v>
      </c>
      <c r="T148" s="12">
        <v>1</v>
      </c>
      <c r="U148" s="10">
        <f>Table4[[#This Row],[ပါဝင်မှု]]*Table4[[#This Row],[SalesPK]]+Table4[[#This Row],[Bottle]]</f>
        <v>12</v>
      </c>
      <c r="V148" s="10">
        <f>Table4[[#This Row],[SalesBot]]*Table4[[#This Row],[ML]]</f>
        <v>12</v>
      </c>
      <c r="W148" s="1">
        <f>VLOOKUP(N148,Stock[#Data],6,FALSE)</f>
        <v>1500</v>
      </c>
      <c r="X148" s="8">
        <f>+Table4[[#This Row],[SalesBot]]*Table4[[#This Row],[နှုံး]]</f>
        <v>18000</v>
      </c>
      <c r="Y148" s="12"/>
      <c r="Z148" s="12"/>
      <c r="AA148" s="12"/>
      <c r="AB148" s="9"/>
      <c r="AC148" s="12">
        <v>18000</v>
      </c>
      <c r="AD148" s="9"/>
      <c r="AE148" s="12"/>
      <c r="AF14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48" s="24"/>
      <c r="AH148" s="266">
        <f>Table4[[#This Row],[Date]]</f>
        <v>46031</v>
      </c>
      <c r="AI148" s="264" t="str">
        <f t="shared" si="20"/>
        <v>Jan</v>
      </c>
      <c r="AJ148" s="264" t="str">
        <f t="shared" si="21"/>
        <v>2026</v>
      </c>
      <c r="AK148" s="270" t="str">
        <f>Table4[[#This Row],[ကုန်သည်အမည်]]</f>
        <v>ဦးမင်းလွင်</v>
      </c>
      <c r="AL148" s="270" t="str">
        <f>Table4[[#This Row],[Township]]</f>
        <v>Maw La Myaing</v>
      </c>
      <c r="AM148" s="271" t="str">
        <f>Table4[[#This Row],[WholeSales]]</f>
        <v>WholeSales</v>
      </c>
      <c r="AN148" s="272" t="str">
        <f>Table4[[#This Row],[Particular]]</f>
        <v>ကုန်ရောင်း(လက်ငင်း)</v>
      </c>
      <c r="AO148" s="273" t="str">
        <f>Table4[[#This Row],[StockName]]</f>
        <v>ကောင်းကြည်-1Li</v>
      </c>
      <c r="AP148" s="268">
        <f>Table4[[#This Row],[Parking]]</f>
        <v>1</v>
      </c>
      <c r="AQ148" s="268">
        <f>Table4[[#This Row],[SalesBot]]</f>
        <v>12</v>
      </c>
      <c r="AR148" s="268">
        <f>Table4[[#This Row],[Liter]]</f>
        <v>12</v>
      </c>
    </row>
    <row r="149" spans="1:44" s="16" customFormat="1" hidden="1" x14ac:dyDescent="0.5">
      <c r="A149" s="3">
        <f t="shared" si="22"/>
        <v>2026</v>
      </c>
      <c r="B149" s="8">
        <f t="shared" si="23"/>
        <v>1</v>
      </c>
      <c r="C149" s="6">
        <v>46032</v>
      </c>
      <c r="D149" s="15">
        <f t="shared" ca="1" si="24"/>
        <v>46097</v>
      </c>
      <c r="E149" s="15" t="str">
        <f t="shared" ca="1" si="25"/>
        <v>2-Months</v>
      </c>
      <c r="F149" s="8" t="str">
        <f>VLOOKUP(N149,Stock[#Data],5,FALSE)</f>
        <v>BE</v>
      </c>
      <c r="G149" s="82" t="s">
        <v>732</v>
      </c>
      <c r="H149" s="15"/>
      <c r="I149" s="7" t="s">
        <v>743</v>
      </c>
      <c r="J149" s="8" t="str">
        <f>VLOOKUP(I149,Customers[#Data],2,FALSE)</f>
        <v>မဇာဇာ</v>
      </c>
      <c r="K149" s="15" t="str">
        <f>VLOOKUP(I149,Customers[#Data],4,FALSE)</f>
        <v>Maw La Myaing</v>
      </c>
      <c r="L149" s="15" t="str">
        <f>VLOOKUP(I149,Customers[#Data],5,FALSE)</f>
        <v>Van Sales</v>
      </c>
      <c r="M149" s="7" t="s">
        <v>6</v>
      </c>
      <c r="N149" s="7" t="s">
        <v>516</v>
      </c>
      <c r="O149" s="14" t="str">
        <f>VLOOKUP(N149,Stock[#Data],2,FALSE)</f>
        <v>ဇေ Vodka</v>
      </c>
      <c r="P149" s="44">
        <f>VLOOKUP(N149,Stock[#Data],3,FALSE)</f>
        <v>0.64</v>
      </c>
      <c r="Q149" s="3">
        <f>VLOOKUP(N149,Stock[#Data],4,FALSE)</f>
        <v>14</v>
      </c>
      <c r="R149" s="11"/>
      <c r="S149" s="45">
        <f>IFERROR(Table4[[#This Row],[Bottle]]/Table4[[#This Row],[ပါဝင်မှု]]+Table4[[#This Row],[SalesPK]],0)</f>
        <v>3</v>
      </c>
      <c r="T149" s="12">
        <v>3</v>
      </c>
      <c r="U149" s="10">
        <f>Table4[[#This Row],[ပါဝင်မှု]]*Table4[[#This Row],[SalesPK]]+Table4[[#This Row],[Bottle]]</f>
        <v>42</v>
      </c>
      <c r="V149" s="10">
        <f>Table4[[#This Row],[SalesBot]]*Table4[[#This Row],[ML]]</f>
        <v>26.88</v>
      </c>
      <c r="W149" s="1">
        <f>VLOOKUP(N149,Stock[#Data],6,FALSE)</f>
        <v>1400</v>
      </c>
      <c r="X149" s="8">
        <f>+Table4[[#This Row],[SalesBot]]*Table4[[#This Row],[နှုံး]]</f>
        <v>58800</v>
      </c>
      <c r="Y149" s="12"/>
      <c r="Z149" s="12"/>
      <c r="AA149" s="12"/>
      <c r="AB149" s="9"/>
      <c r="AC149" s="12">
        <v>58800</v>
      </c>
      <c r="AD149" s="9"/>
      <c r="AE149" s="12"/>
      <c r="AF14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49" s="24"/>
      <c r="AH149" s="266">
        <f>Table4[[#This Row],[Date]]</f>
        <v>46032</v>
      </c>
      <c r="AI149" s="264" t="str">
        <f t="shared" si="20"/>
        <v>Jan</v>
      </c>
      <c r="AJ149" s="264" t="str">
        <f t="shared" si="21"/>
        <v>2026</v>
      </c>
      <c r="AK149" s="270" t="str">
        <f>Table4[[#This Row],[ကုန်သည်အမည်]]</f>
        <v>မဇာဇာ</v>
      </c>
      <c r="AL149" s="270" t="str">
        <f>Table4[[#This Row],[Township]]</f>
        <v>Maw La Myaing</v>
      </c>
      <c r="AM149" s="271" t="str">
        <f>Table4[[#This Row],[WholeSales]]</f>
        <v>Van Sales</v>
      </c>
      <c r="AN149" s="272" t="str">
        <f>Table4[[#This Row],[Particular]]</f>
        <v>ကုန်ရောင်း(လက်ငင်း)</v>
      </c>
      <c r="AO149" s="273" t="str">
        <f>Table4[[#This Row],[StockName]]</f>
        <v>ဇေ Vodka</v>
      </c>
      <c r="AP149" s="268">
        <f>Table4[[#This Row],[Parking]]</f>
        <v>3</v>
      </c>
      <c r="AQ149" s="268">
        <f>Table4[[#This Row],[SalesBot]]</f>
        <v>42</v>
      </c>
      <c r="AR149" s="268">
        <f>Table4[[#This Row],[Liter]]</f>
        <v>26.88</v>
      </c>
    </row>
    <row r="150" spans="1:44" s="16" customFormat="1" hidden="1" x14ac:dyDescent="0.5">
      <c r="A150" s="3">
        <f t="shared" ref="A150:A1313" si="26">YEAR(C150)</f>
        <v>2026</v>
      </c>
      <c r="B150" s="8">
        <f t="shared" ref="B150:B1313" si="27">MONTH(C150)</f>
        <v>1</v>
      </c>
      <c r="C150" s="6">
        <v>46032</v>
      </c>
      <c r="D150" s="15">
        <f t="shared" ref="D150:D1313" ca="1" si="28">TODAY()</f>
        <v>46097</v>
      </c>
      <c r="E150" s="15" t="str">
        <f t="shared" ref="E150:E1313" ca="1" si="29">DATEDIF(C150,D150,"M")&amp;"-Months"</f>
        <v>2-Months</v>
      </c>
      <c r="F150" s="8" t="str">
        <f>VLOOKUP(N150,Stock[#Data],5,FALSE)</f>
        <v>BE</v>
      </c>
      <c r="G150" s="82" t="s">
        <v>732</v>
      </c>
      <c r="H150" s="15"/>
      <c r="I150" s="7" t="s">
        <v>743</v>
      </c>
      <c r="J150" s="8" t="str">
        <f>VLOOKUP(I150,Customers[#Data],2,FALSE)</f>
        <v>မဇာဇာ</v>
      </c>
      <c r="K150" s="15" t="str">
        <f>VLOOKUP(I150,Customers[#Data],4,FALSE)</f>
        <v>Maw La Myaing</v>
      </c>
      <c r="L150" s="15" t="str">
        <f>VLOOKUP(I150,Customers[#Data],5,FALSE)</f>
        <v>Van Sales</v>
      </c>
      <c r="M150" s="7" t="s">
        <v>6</v>
      </c>
      <c r="N150" s="7" t="s">
        <v>518</v>
      </c>
      <c r="O150" s="14" t="str">
        <f>VLOOKUP(N150,Stock[#Data],2,FALSE)</f>
        <v>"ဇေ" ကော်ဘူး (1 Liter)</v>
      </c>
      <c r="P150" s="44">
        <f>VLOOKUP(N150,Stock[#Data],3,FALSE)</f>
        <v>1</v>
      </c>
      <c r="Q150" s="3">
        <f>VLOOKUP(N150,Stock[#Data],4,FALSE)</f>
        <v>12</v>
      </c>
      <c r="R150" s="11"/>
      <c r="S150" s="45">
        <f>IFERROR(Table4[[#This Row],[Bottle]]/Table4[[#This Row],[ပါဝင်မှု]]+Table4[[#This Row],[SalesPK]],0)</f>
        <v>10</v>
      </c>
      <c r="T150" s="12">
        <v>10</v>
      </c>
      <c r="U150" s="10">
        <f>Table4[[#This Row],[ပါဝင်မှု]]*Table4[[#This Row],[SalesPK]]+Table4[[#This Row],[Bottle]]</f>
        <v>120</v>
      </c>
      <c r="V150" s="10">
        <f>Table4[[#This Row],[SalesBot]]*Table4[[#This Row],[ML]]</f>
        <v>120</v>
      </c>
      <c r="W150" s="1">
        <f>VLOOKUP(N150,Stock[#Data],6,FALSE)</f>
        <v>1675</v>
      </c>
      <c r="X150" s="8">
        <f>+Table4[[#This Row],[SalesBot]]*Table4[[#This Row],[နှုံး]]</f>
        <v>201000</v>
      </c>
      <c r="Y150" s="12"/>
      <c r="Z150" s="12"/>
      <c r="AA150" s="12"/>
      <c r="AB150" s="9"/>
      <c r="AC150" s="12">
        <v>201000</v>
      </c>
      <c r="AD150" s="9"/>
      <c r="AE150" s="12"/>
      <c r="AF15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50" s="24"/>
      <c r="AH150" s="266">
        <f>Table4[[#This Row],[Date]]</f>
        <v>46032</v>
      </c>
      <c r="AI150" s="264" t="str">
        <f t="shared" si="20"/>
        <v>Jan</v>
      </c>
      <c r="AJ150" s="264" t="str">
        <f t="shared" si="21"/>
        <v>2026</v>
      </c>
      <c r="AK150" s="270" t="str">
        <f>Table4[[#This Row],[ကုန်သည်အမည်]]</f>
        <v>မဇာဇာ</v>
      </c>
      <c r="AL150" s="270" t="str">
        <f>Table4[[#This Row],[Township]]</f>
        <v>Maw La Myaing</v>
      </c>
      <c r="AM150" s="271" t="str">
        <f>Table4[[#This Row],[WholeSales]]</f>
        <v>Van Sales</v>
      </c>
      <c r="AN150" s="272" t="str">
        <f>Table4[[#This Row],[Particular]]</f>
        <v>ကုန်ရောင်း(လက်ငင်း)</v>
      </c>
      <c r="AO150" s="273" t="str">
        <f>Table4[[#This Row],[StockName]]</f>
        <v>"ဇေ" ကော်ဘူး (1 Liter)</v>
      </c>
      <c r="AP150" s="268">
        <f>Table4[[#This Row],[Parking]]</f>
        <v>10</v>
      </c>
      <c r="AQ150" s="268">
        <f>Table4[[#This Row],[SalesBot]]</f>
        <v>120</v>
      </c>
      <c r="AR150" s="268">
        <f>Table4[[#This Row],[Liter]]</f>
        <v>120</v>
      </c>
    </row>
    <row r="151" spans="1:44" s="16" customFormat="1" hidden="1" x14ac:dyDescent="0.5">
      <c r="A151" s="3">
        <f t="shared" si="26"/>
        <v>2026</v>
      </c>
      <c r="B151" s="8">
        <f t="shared" si="27"/>
        <v>1</v>
      </c>
      <c r="C151" s="6">
        <v>46032</v>
      </c>
      <c r="D151" s="15">
        <f t="shared" ca="1" si="28"/>
        <v>46097</v>
      </c>
      <c r="E151" s="15" t="str">
        <f t="shared" ca="1" si="29"/>
        <v>2-Months</v>
      </c>
      <c r="F151" s="8" t="str">
        <f>VLOOKUP(N151,Stock[#Data],5,FALSE)</f>
        <v>BE</v>
      </c>
      <c r="G151" s="82" t="s">
        <v>733</v>
      </c>
      <c r="H151" s="15"/>
      <c r="I151" s="7" t="s">
        <v>296</v>
      </c>
      <c r="J151" s="8" t="str">
        <f>VLOOKUP(I151,Customers[#Data],2,FALSE)</f>
        <v>A1</v>
      </c>
      <c r="K151" s="15" t="str">
        <f>VLOOKUP(I151,Customers[#Data],4,FALSE)</f>
        <v>Maw La Myaing</v>
      </c>
      <c r="L151" s="15" t="str">
        <f>VLOOKUP(I151,Customers[#Data],5,FALSE)</f>
        <v>SemiWholeSales</v>
      </c>
      <c r="M151" s="7" t="s">
        <v>6</v>
      </c>
      <c r="N151" s="7" t="s">
        <v>516</v>
      </c>
      <c r="O151" s="14" t="str">
        <f>VLOOKUP(N151,Stock[#Data],2,FALSE)</f>
        <v>ဇေ Vodka</v>
      </c>
      <c r="P151" s="44">
        <f>VLOOKUP(N151,Stock[#Data],3,FALSE)</f>
        <v>0.64</v>
      </c>
      <c r="Q151" s="3">
        <f>VLOOKUP(N151,Stock[#Data],4,FALSE)</f>
        <v>14</v>
      </c>
      <c r="R151" s="11"/>
      <c r="S151" s="45">
        <f>IFERROR(Table4[[#This Row],[Bottle]]/Table4[[#This Row],[ပါဝင်မှု]]+Table4[[#This Row],[SalesPK]],0)</f>
        <v>25</v>
      </c>
      <c r="T151" s="12">
        <v>25</v>
      </c>
      <c r="U151" s="10">
        <f>Table4[[#This Row],[ပါဝင်မှု]]*Table4[[#This Row],[SalesPK]]+Table4[[#This Row],[Bottle]]</f>
        <v>350</v>
      </c>
      <c r="V151" s="10">
        <f>Table4[[#This Row],[SalesBot]]*Table4[[#This Row],[ML]]</f>
        <v>224</v>
      </c>
      <c r="W151" s="1">
        <f>VLOOKUP(N151,Stock[#Data],6,FALSE)</f>
        <v>1400</v>
      </c>
      <c r="X151" s="8">
        <f>+Table4[[#This Row],[SalesBot]]*Table4[[#This Row],[နှုံး]]</f>
        <v>490000</v>
      </c>
      <c r="Y151" s="12"/>
      <c r="Z151" s="12"/>
      <c r="AA151" s="12"/>
      <c r="AB151" s="9"/>
      <c r="AC151" s="12">
        <v>490000</v>
      </c>
      <c r="AD151" s="9"/>
      <c r="AE151" s="12"/>
      <c r="AF15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51" s="24"/>
      <c r="AH151" s="266">
        <f>Table4[[#This Row],[Date]]</f>
        <v>46032</v>
      </c>
      <c r="AI151" s="264" t="str">
        <f t="shared" si="20"/>
        <v>Jan</v>
      </c>
      <c r="AJ151" s="264" t="str">
        <f t="shared" si="21"/>
        <v>2026</v>
      </c>
      <c r="AK151" s="270" t="str">
        <f>Table4[[#This Row],[ကုန်သည်အမည်]]</f>
        <v>A1</v>
      </c>
      <c r="AL151" s="270" t="str">
        <f>Table4[[#This Row],[Township]]</f>
        <v>Maw La Myaing</v>
      </c>
      <c r="AM151" s="271" t="str">
        <f>Table4[[#This Row],[WholeSales]]</f>
        <v>SemiWholeSales</v>
      </c>
      <c r="AN151" s="272" t="str">
        <f>Table4[[#This Row],[Particular]]</f>
        <v>ကုန်ရောင်း(လက်ငင်း)</v>
      </c>
      <c r="AO151" s="273" t="str">
        <f>Table4[[#This Row],[StockName]]</f>
        <v>ဇေ Vodka</v>
      </c>
      <c r="AP151" s="268">
        <f>Table4[[#This Row],[Parking]]</f>
        <v>25</v>
      </c>
      <c r="AQ151" s="268">
        <f>Table4[[#This Row],[SalesBot]]</f>
        <v>350</v>
      </c>
      <c r="AR151" s="268">
        <f>Table4[[#This Row],[Liter]]</f>
        <v>224</v>
      </c>
    </row>
    <row r="152" spans="1:44" s="16" customFormat="1" hidden="1" x14ac:dyDescent="0.5">
      <c r="A152" s="3">
        <f t="shared" si="26"/>
        <v>2026</v>
      </c>
      <c r="B152" s="8">
        <f t="shared" si="27"/>
        <v>1</v>
      </c>
      <c r="C152" s="6">
        <v>46032</v>
      </c>
      <c r="D152" s="15">
        <f t="shared" ca="1" si="28"/>
        <v>46097</v>
      </c>
      <c r="E152" s="15" t="str">
        <f t="shared" ca="1" si="29"/>
        <v>2-Months</v>
      </c>
      <c r="F152" s="8" t="str">
        <f>VLOOKUP(N152,Stock[#Data],5,FALSE)</f>
        <v>BE</v>
      </c>
      <c r="G152" s="82" t="s">
        <v>733</v>
      </c>
      <c r="H152" s="15"/>
      <c r="I152" s="7" t="s">
        <v>296</v>
      </c>
      <c r="J152" s="8" t="str">
        <f>VLOOKUP(I152,Customers[#Data],2,FALSE)</f>
        <v>A1</v>
      </c>
      <c r="K152" s="15" t="str">
        <f>VLOOKUP(I152,Customers[#Data],4,FALSE)</f>
        <v>Maw La Myaing</v>
      </c>
      <c r="L152" s="15" t="str">
        <f>VLOOKUP(I152,Customers[#Data],5,FALSE)</f>
        <v>SemiWholeSales</v>
      </c>
      <c r="M152" s="7" t="s">
        <v>6</v>
      </c>
      <c r="N152" s="7" t="s">
        <v>518</v>
      </c>
      <c r="O152" s="14" t="str">
        <f>VLOOKUP(N152,Stock[#Data],2,FALSE)</f>
        <v>"ဇေ" ကော်ဘူး (1 Liter)</v>
      </c>
      <c r="P152" s="44">
        <f>VLOOKUP(N152,Stock[#Data],3,FALSE)</f>
        <v>1</v>
      </c>
      <c r="Q152" s="3">
        <f>VLOOKUP(N152,Stock[#Data],4,FALSE)</f>
        <v>12</v>
      </c>
      <c r="R152" s="11"/>
      <c r="S152" s="45">
        <f>IFERROR(Table4[[#This Row],[Bottle]]/Table4[[#This Row],[ပါဝင်မှု]]+Table4[[#This Row],[SalesPK]],0)</f>
        <v>10</v>
      </c>
      <c r="T152" s="12">
        <v>10</v>
      </c>
      <c r="U152" s="10">
        <f>Table4[[#This Row],[ပါဝင်မှု]]*Table4[[#This Row],[SalesPK]]+Table4[[#This Row],[Bottle]]</f>
        <v>120</v>
      </c>
      <c r="V152" s="10">
        <f>Table4[[#This Row],[SalesBot]]*Table4[[#This Row],[ML]]</f>
        <v>120</v>
      </c>
      <c r="W152" s="1">
        <f>VLOOKUP(N152,Stock[#Data],6,FALSE)</f>
        <v>1675</v>
      </c>
      <c r="X152" s="8">
        <f>+Table4[[#This Row],[SalesBot]]*Table4[[#This Row],[နှုံး]]</f>
        <v>201000</v>
      </c>
      <c r="Y152" s="12"/>
      <c r="Z152" s="12"/>
      <c r="AA152" s="12"/>
      <c r="AB152" s="9"/>
      <c r="AC152" s="12">
        <v>201000</v>
      </c>
      <c r="AD152" s="9"/>
      <c r="AE152" s="12"/>
      <c r="AF15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52" s="24"/>
      <c r="AH152" s="266">
        <f>Table4[[#This Row],[Date]]</f>
        <v>46032</v>
      </c>
      <c r="AI152" s="264" t="str">
        <f t="shared" si="20"/>
        <v>Jan</v>
      </c>
      <c r="AJ152" s="264" t="str">
        <f t="shared" si="21"/>
        <v>2026</v>
      </c>
      <c r="AK152" s="270" t="str">
        <f>Table4[[#This Row],[ကုန်သည်အမည်]]</f>
        <v>A1</v>
      </c>
      <c r="AL152" s="270" t="str">
        <f>Table4[[#This Row],[Township]]</f>
        <v>Maw La Myaing</v>
      </c>
      <c r="AM152" s="271" t="str">
        <f>Table4[[#This Row],[WholeSales]]</f>
        <v>SemiWholeSales</v>
      </c>
      <c r="AN152" s="272" t="str">
        <f>Table4[[#This Row],[Particular]]</f>
        <v>ကုန်ရောင်း(လက်ငင်း)</v>
      </c>
      <c r="AO152" s="273" t="str">
        <f>Table4[[#This Row],[StockName]]</f>
        <v>"ဇေ" ကော်ဘူး (1 Liter)</v>
      </c>
      <c r="AP152" s="268">
        <f>Table4[[#This Row],[Parking]]</f>
        <v>10</v>
      </c>
      <c r="AQ152" s="268">
        <f>Table4[[#This Row],[SalesBot]]</f>
        <v>120</v>
      </c>
      <c r="AR152" s="268">
        <f>Table4[[#This Row],[Liter]]</f>
        <v>120</v>
      </c>
    </row>
    <row r="153" spans="1:44" s="16" customFormat="1" hidden="1" x14ac:dyDescent="0.5">
      <c r="A153" s="3">
        <f t="shared" si="26"/>
        <v>2026</v>
      </c>
      <c r="B153" s="8">
        <f t="shared" si="27"/>
        <v>1</v>
      </c>
      <c r="C153" s="6">
        <v>46032</v>
      </c>
      <c r="D153" s="15">
        <f t="shared" ca="1" si="28"/>
        <v>46097</v>
      </c>
      <c r="E153" s="15" t="str">
        <f t="shared" ca="1" si="29"/>
        <v>2-Months</v>
      </c>
      <c r="F153" s="8" t="str">
        <f>VLOOKUP(N153,Stock[#Data],5,FALSE)</f>
        <v>BE</v>
      </c>
      <c r="G153" s="82" t="s">
        <v>734</v>
      </c>
      <c r="H153" s="15"/>
      <c r="I153" s="7" t="s">
        <v>107</v>
      </c>
      <c r="J153" s="8" t="str">
        <f>VLOOKUP(I153,Customers[#Data],2,FALSE)</f>
        <v>မင်းမင်းထွန်း</v>
      </c>
      <c r="K153" s="15" t="str">
        <f>VLOOKUP(I153,Customers[#Data],4,FALSE)</f>
        <v>Paung</v>
      </c>
      <c r="L153" s="15" t="str">
        <f>VLOOKUP(I153,Customers[#Data],5,FALSE)</f>
        <v>Van Sales</v>
      </c>
      <c r="M153" s="7" t="s">
        <v>6</v>
      </c>
      <c r="N153" s="7" t="s">
        <v>516</v>
      </c>
      <c r="O153" s="14" t="str">
        <f>VLOOKUP(N153,Stock[#Data],2,FALSE)</f>
        <v>ဇေ Vodka</v>
      </c>
      <c r="P153" s="44">
        <f>VLOOKUP(N153,Stock[#Data],3,FALSE)</f>
        <v>0.64</v>
      </c>
      <c r="Q153" s="3">
        <f>VLOOKUP(N153,Stock[#Data],4,FALSE)</f>
        <v>14</v>
      </c>
      <c r="R153" s="11"/>
      <c r="S153" s="45">
        <f>IFERROR(Table4[[#This Row],[Bottle]]/Table4[[#This Row],[ပါဝင်မှု]]+Table4[[#This Row],[SalesPK]],0)</f>
        <v>5</v>
      </c>
      <c r="T153" s="12">
        <v>5</v>
      </c>
      <c r="U153" s="10">
        <f>Table4[[#This Row],[ပါဝင်မှု]]*Table4[[#This Row],[SalesPK]]+Table4[[#This Row],[Bottle]]</f>
        <v>70</v>
      </c>
      <c r="V153" s="10">
        <f>Table4[[#This Row],[SalesBot]]*Table4[[#This Row],[ML]]</f>
        <v>44.800000000000004</v>
      </c>
      <c r="W153" s="1">
        <f>VLOOKUP(N153,Stock[#Data],6,FALSE)</f>
        <v>1400</v>
      </c>
      <c r="X153" s="8">
        <f>+Table4[[#This Row],[SalesBot]]*Table4[[#This Row],[နှုံး]]</f>
        <v>98000</v>
      </c>
      <c r="Y153" s="12"/>
      <c r="Z153" s="12"/>
      <c r="AA153" s="12"/>
      <c r="AB153" s="9"/>
      <c r="AC153" s="12">
        <v>98000</v>
      </c>
      <c r="AD153" s="9"/>
      <c r="AE153" s="12"/>
      <c r="AF15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53" s="24"/>
      <c r="AH153" s="266">
        <f>Table4[[#This Row],[Date]]</f>
        <v>46032</v>
      </c>
      <c r="AI153" s="264" t="str">
        <f t="shared" si="20"/>
        <v>Jan</v>
      </c>
      <c r="AJ153" s="264" t="str">
        <f t="shared" si="21"/>
        <v>2026</v>
      </c>
      <c r="AK153" s="270" t="str">
        <f>Table4[[#This Row],[ကုန်သည်အမည်]]</f>
        <v>မင်းမင်းထွန်း</v>
      </c>
      <c r="AL153" s="270" t="str">
        <f>Table4[[#This Row],[Township]]</f>
        <v>Paung</v>
      </c>
      <c r="AM153" s="271" t="str">
        <f>Table4[[#This Row],[WholeSales]]</f>
        <v>Van Sales</v>
      </c>
      <c r="AN153" s="272" t="str">
        <f>Table4[[#This Row],[Particular]]</f>
        <v>ကုန်ရောင်း(လက်ငင်း)</v>
      </c>
      <c r="AO153" s="273" t="str">
        <f>Table4[[#This Row],[StockName]]</f>
        <v>ဇေ Vodka</v>
      </c>
      <c r="AP153" s="268">
        <f>Table4[[#This Row],[Parking]]</f>
        <v>5</v>
      </c>
      <c r="AQ153" s="268">
        <f>Table4[[#This Row],[SalesBot]]</f>
        <v>70</v>
      </c>
      <c r="AR153" s="268">
        <f>Table4[[#This Row],[Liter]]</f>
        <v>44.800000000000004</v>
      </c>
    </row>
    <row r="154" spans="1:44" s="16" customFormat="1" hidden="1" x14ac:dyDescent="0.5">
      <c r="A154" s="3">
        <f t="shared" si="26"/>
        <v>2026</v>
      </c>
      <c r="B154" s="8">
        <f t="shared" si="27"/>
        <v>1</v>
      </c>
      <c r="C154" s="6">
        <v>46032</v>
      </c>
      <c r="D154" s="15">
        <f t="shared" ca="1" si="28"/>
        <v>46097</v>
      </c>
      <c r="E154" s="15" t="str">
        <f t="shared" ca="1" si="29"/>
        <v>2-Months</v>
      </c>
      <c r="F154" s="8" t="str">
        <f>VLOOKUP(N154,Stock[#Data],5,FALSE)</f>
        <v>BE</v>
      </c>
      <c r="G154" s="82" t="s">
        <v>734</v>
      </c>
      <c r="H154" s="15"/>
      <c r="I154" s="7" t="s">
        <v>107</v>
      </c>
      <c r="J154" s="8" t="str">
        <f>VLOOKUP(I154,Customers[#Data],2,FALSE)</f>
        <v>မင်းမင်းထွန်း</v>
      </c>
      <c r="K154" s="15" t="str">
        <f>VLOOKUP(I154,Customers[#Data],4,FALSE)</f>
        <v>Paung</v>
      </c>
      <c r="L154" s="15" t="str">
        <f>VLOOKUP(I154,Customers[#Data],5,FALSE)</f>
        <v>Van Sales</v>
      </c>
      <c r="M154" s="7" t="s">
        <v>6</v>
      </c>
      <c r="N154" s="7" t="s">
        <v>520</v>
      </c>
      <c r="O154" s="14" t="str">
        <f>VLOOKUP(N154,Stock[#Data],2,FALSE)</f>
        <v>ဇေယျဝတီ  Red(ပု)</v>
      </c>
      <c r="P154" s="44">
        <f>VLOOKUP(N154,Stock[#Data],3,FALSE)</f>
        <v>0.64</v>
      </c>
      <c r="Q154" s="3">
        <f>VLOOKUP(N154,Stock[#Data],4,FALSE)</f>
        <v>14</v>
      </c>
      <c r="R154" s="11"/>
      <c r="S154" s="45">
        <f>IFERROR(Table4[[#This Row],[Bottle]]/Table4[[#This Row],[ပါဝင်မှု]]+Table4[[#This Row],[SalesPK]],0)</f>
        <v>10</v>
      </c>
      <c r="T154" s="12">
        <v>10</v>
      </c>
      <c r="U154" s="10">
        <f>Table4[[#This Row],[ပါဝင်မှု]]*Table4[[#This Row],[SalesPK]]+Table4[[#This Row],[Bottle]]</f>
        <v>140</v>
      </c>
      <c r="V154" s="10">
        <f>Table4[[#This Row],[SalesBot]]*Table4[[#This Row],[ML]]</f>
        <v>89.600000000000009</v>
      </c>
      <c r="W154" s="1">
        <f>VLOOKUP(N154,Stock[#Data],6,FALSE)</f>
        <v>1800</v>
      </c>
      <c r="X154" s="8">
        <f>+Table4[[#This Row],[SalesBot]]*Table4[[#This Row],[နှုံး]]</f>
        <v>252000</v>
      </c>
      <c r="Y154" s="12"/>
      <c r="Z154" s="12"/>
      <c r="AA154" s="12"/>
      <c r="AB154" s="9"/>
      <c r="AC154" s="12">
        <v>252000</v>
      </c>
      <c r="AD154" s="9"/>
      <c r="AE154" s="12"/>
      <c r="AF15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54" s="24"/>
      <c r="AH154" s="266">
        <f>Table4[[#This Row],[Date]]</f>
        <v>46032</v>
      </c>
      <c r="AI154" s="264" t="str">
        <f t="shared" si="20"/>
        <v>Jan</v>
      </c>
      <c r="AJ154" s="264" t="str">
        <f t="shared" si="21"/>
        <v>2026</v>
      </c>
      <c r="AK154" s="270" t="str">
        <f>Table4[[#This Row],[ကုန်သည်အမည်]]</f>
        <v>မင်းမင်းထွန်း</v>
      </c>
      <c r="AL154" s="270" t="str">
        <f>Table4[[#This Row],[Township]]</f>
        <v>Paung</v>
      </c>
      <c r="AM154" s="271" t="str">
        <f>Table4[[#This Row],[WholeSales]]</f>
        <v>Van Sales</v>
      </c>
      <c r="AN154" s="272" t="str">
        <f>Table4[[#This Row],[Particular]]</f>
        <v>ကုန်ရောင်း(လက်ငင်း)</v>
      </c>
      <c r="AO154" s="273" t="str">
        <f>Table4[[#This Row],[StockName]]</f>
        <v>ဇေယျဝတီ  Red(ပု)</v>
      </c>
      <c r="AP154" s="268">
        <f>Table4[[#This Row],[Parking]]</f>
        <v>10</v>
      </c>
      <c r="AQ154" s="268">
        <f>Table4[[#This Row],[SalesBot]]</f>
        <v>140</v>
      </c>
      <c r="AR154" s="268">
        <f>Table4[[#This Row],[Liter]]</f>
        <v>89.600000000000009</v>
      </c>
    </row>
    <row r="155" spans="1:44" s="16" customFormat="1" hidden="1" x14ac:dyDescent="0.5">
      <c r="A155" s="3">
        <f t="shared" si="26"/>
        <v>2026</v>
      </c>
      <c r="B155" s="8">
        <f t="shared" si="27"/>
        <v>1</v>
      </c>
      <c r="C155" s="6">
        <v>46032</v>
      </c>
      <c r="D155" s="15">
        <f t="shared" ca="1" si="28"/>
        <v>46097</v>
      </c>
      <c r="E155" s="15" t="str">
        <f t="shared" ca="1" si="29"/>
        <v>2-Months</v>
      </c>
      <c r="F155" s="8" t="str">
        <f>VLOOKUP(N155,Stock[#Data],5,FALSE)</f>
        <v>BE</v>
      </c>
      <c r="G155" s="82" t="s">
        <v>734</v>
      </c>
      <c r="H155" s="15"/>
      <c r="I155" s="7" t="s">
        <v>107</v>
      </c>
      <c r="J155" s="8" t="str">
        <f>VLOOKUP(I155,Customers[#Data],2,FALSE)</f>
        <v>မင်းမင်းထွန်း</v>
      </c>
      <c r="K155" s="15" t="str">
        <f>VLOOKUP(I155,Customers[#Data],4,FALSE)</f>
        <v>Paung</v>
      </c>
      <c r="L155" s="15" t="str">
        <f>VLOOKUP(I155,Customers[#Data],5,FALSE)</f>
        <v>Van Sales</v>
      </c>
      <c r="M155" s="7" t="s">
        <v>6</v>
      </c>
      <c r="N155" s="7" t="s">
        <v>526</v>
      </c>
      <c r="O155" s="14" t="str">
        <f>VLOOKUP(N155,Stock[#Data],2,FALSE)</f>
        <v>ဒဂုံနာနတ်ဝိုင်</v>
      </c>
      <c r="P155" s="44">
        <f>VLOOKUP(N155,Stock[#Data],3,FALSE)</f>
        <v>0.64</v>
      </c>
      <c r="Q155" s="3">
        <f>VLOOKUP(N155,Stock[#Data],4,FALSE)</f>
        <v>14</v>
      </c>
      <c r="R155" s="11"/>
      <c r="S155" s="45">
        <f>IFERROR(Table4[[#This Row],[Bottle]]/Table4[[#This Row],[ပါဝင်မှု]]+Table4[[#This Row],[SalesPK]],0)</f>
        <v>5</v>
      </c>
      <c r="T155" s="12">
        <v>5</v>
      </c>
      <c r="U155" s="10">
        <f>Table4[[#This Row],[ပါဝင်မှု]]*Table4[[#This Row],[SalesPK]]+Table4[[#This Row],[Bottle]]</f>
        <v>70</v>
      </c>
      <c r="V155" s="10">
        <f>Table4[[#This Row],[SalesBot]]*Table4[[#This Row],[ML]]</f>
        <v>44.800000000000004</v>
      </c>
      <c r="W155" s="1">
        <f>VLOOKUP(N155,Stock[#Data],6,FALSE)</f>
        <v>1350</v>
      </c>
      <c r="X155" s="8">
        <f>+Table4[[#This Row],[SalesBot]]*Table4[[#This Row],[နှုံး]]</f>
        <v>94500</v>
      </c>
      <c r="Y155" s="12"/>
      <c r="Z155" s="12"/>
      <c r="AA155" s="12"/>
      <c r="AB155" s="9"/>
      <c r="AC155" s="12">
        <v>94500</v>
      </c>
      <c r="AD155" s="9"/>
      <c r="AE155" s="12"/>
      <c r="AF15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55" s="24"/>
      <c r="AH155" s="266">
        <f>Table4[[#This Row],[Date]]</f>
        <v>46032</v>
      </c>
      <c r="AI155" s="264" t="str">
        <f t="shared" si="20"/>
        <v>Jan</v>
      </c>
      <c r="AJ155" s="264" t="str">
        <f t="shared" si="21"/>
        <v>2026</v>
      </c>
      <c r="AK155" s="270" t="str">
        <f>Table4[[#This Row],[ကုန်သည်အမည်]]</f>
        <v>မင်းမင်းထွန်း</v>
      </c>
      <c r="AL155" s="270" t="str">
        <f>Table4[[#This Row],[Township]]</f>
        <v>Paung</v>
      </c>
      <c r="AM155" s="271" t="str">
        <f>Table4[[#This Row],[WholeSales]]</f>
        <v>Van Sales</v>
      </c>
      <c r="AN155" s="272" t="str">
        <f>Table4[[#This Row],[Particular]]</f>
        <v>ကုန်ရောင်း(လက်ငင်း)</v>
      </c>
      <c r="AO155" s="273" t="str">
        <f>Table4[[#This Row],[StockName]]</f>
        <v>ဒဂုံနာနတ်ဝိုင်</v>
      </c>
      <c r="AP155" s="268">
        <f>Table4[[#This Row],[Parking]]</f>
        <v>5</v>
      </c>
      <c r="AQ155" s="268">
        <f>Table4[[#This Row],[SalesBot]]</f>
        <v>70</v>
      </c>
      <c r="AR155" s="268">
        <f>Table4[[#This Row],[Liter]]</f>
        <v>44.800000000000004</v>
      </c>
    </row>
    <row r="156" spans="1:44" s="16" customFormat="1" hidden="1" x14ac:dyDescent="0.5">
      <c r="A156" s="3">
        <f t="shared" si="26"/>
        <v>2026</v>
      </c>
      <c r="B156" s="8">
        <f t="shared" si="27"/>
        <v>1</v>
      </c>
      <c r="C156" s="6">
        <v>46032</v>
      </c>
      <c r="D156" s="15">
        <f t="shared" ca="1" si="28"/>
        <v>46097</v>
      </c>
      <c r="E156" s="15" t="str">
        <f t="shared" ca="1" si="29"/>
        <v>2-Months</v>
      </c>
      <c r="F156" s="8" t="str">
        <f>VLOOKUP(N156,Stock[#Data],5,FALSE)</f>
        <v>BE</v>
      </c>
      <c r="G156" s="82" t="s">
        <v>735</v>
      </c>
      <c r="H156" s="15"/>
      <c r="I156" s="7" t="s">
        <v>111</v>
      </c>
      <c r="J156" s="8" t="str">
        <f>VLOOKUP(I156,Customers[#Data],2,FALSE)</f>
        <v>လင်းသစ်</v>
      </c>
      <c r="K156" s="15" t="str">
        <f>VLOOKUP(I156,Customers[#Data],4,FALSE)</f>
        <v>Yay</v>
      </c>
      <c r="L156" s="15" t="str">
        <f>VLOOKUP(I156,Customers[#Data],5,FALSE)</f>
        <v>WholeSales</v>
      </c>
      <c r="M156" s="7" t="s">
        <v>6</v>
      </c>
      <c r="N156" s="7" t="s">
        <v>514</v>
      </c>
      <c r="O156" s="14" t="str">
        <f>VLOOKUP(N156,Stock[#Data],2,FALSE)</f>
        <v>ဇေယျဝတီ Red</v>
      </c>
      <c r="P156" s="44">
        <f>VLOOKUP(N156,Stock[#Data],3,FALSE)</f>
        <v>0.64</v>
      </c>
      <c r="Q156" s="3">
        <f>VLOOKUP(N156,Stock[#Data],4,FALSE)</f>
        <v>14</v>
      </c>
      <c r="R156" s="11"/>
      <c r="S156" s="45">
        <f>IFERROR(Table4[[#This Row],[Bottle]]/Table4[[#This Row],[ပါဝင်မှု]]+Table4[[#This Row],[SalesPK]],0)</f>
        <v>40</v>
      </c>
      <c r="T156" s="12">
        <v>40</v>
      </c>
      <c r="U156" s="10">
        <f>Table4[[#This Row],[ပါဝင်မှု]]*Table4[[#This Row],[SalesPK]]+Table4[[#This Row],[Bottle]]</f>
        <v>560</v>
      </c>
      <c r="V156" s="10">
        <f>Table4[[#This Row],[SalesBot]]*Table4[[#This Row],[ML]]</f>
        <v>358.40000000000003</v>
      </c>
      <c r="W156" s="1">
        <f>VLOOKUP(N156,Stock[#Data],6,FALSE)</f>
        <v>1350</v>
      </c>
      <c r="X156" s="8">
        <f>+Table4[[#This Row],[SalesBot]]*Table4[[#This Row],[နှုံး]]</f>
        <v>756000</v>
      </c>
      <c r="Y156" s="12"/>
      <c r="Z156" s="12"/>
      <c r="AA156" s="12"/>
      <c r="AB156" s="9"/>
      <c r="AC156" s="12">
        <v>756000</v>
      </c>
      <c r="AD156" s="9"/>
      <c r="AE156" s="12"/>
      <c r="AF15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56" s="24"/>
      <c r="AH156" s="266">
        <f>Table4[[#This Row],[Date]]</f>
        <v>46032</v>
      </c>
      <c r="AI156" s="264" t="str">
        <f t="shared" si="20"/>
        <v>Jan</v>
      </c>
      <c r="AJ156" s="264" t="str">
        <f t="shared" si="21"/>
        <v>2026</v>
      </c>
      <c r="AK156" s="270" t="str">
        <f>Table4[[#This Row],[ကုန်သည်အမည်]]</f>
        <v>လင်းသစ်</v>
      </c>
      <c r="AL156" s="270" t="str">
        <f>Table4[[#This Row],[Township]]</f>
        <v>Yay</v>
      </c>
      <c r="AM156" s="271" t="str">
        <f>Table4[[#This Row],[WholeSales]]</f>
        <v>WholeSales</v>
      </c>
      <c r="AN156" s="272" t="str">
        <f>Table4[[#This Row],[Particular]]</f>
        <v>ကုန်ရောင်း(လက်ငင်း)</v>
      </c>
      <c r="AO156" s="273" t="str">
        <f>Table4[[#This Row],[StockName]]</f>
        <v>ဇေယျဝတီ Red</v>
      </c>
      <c r="AP156" s="268">
        <f>Table4[[#This Row],[Parking]]</f>
        <v>40</v>
      </c>
      <c r="AQ156" s="268">
        <f>Table4[[#This Row],[SalesBot]]</f>
        <v>560</v>
      </c>
      <c r="AR156" s="268">
        <f>Table4[[#This Row],[Liter]]</f>
        <v>358.40000000000003</v>
      </c>
    </row>
    <row r="157" spans="1:44" s="16" customFormat="1" hidden="1" x14ac:dyDescent="0.5">
      <c r="A157" s="3">
        <f t="shared" si="26"/>
        <v>2026</v>
      </c>
      <c r="B157" s="8">
        <f t="shared" si="27"/>
        <v>1</v>
      </c>
      <c r="C157" s="6">
        <v>46032</v>
      </c>
      <c r="D157" s="15">
        <f t="shared" ca="1" si="28"/>
        <v>46097</v>
      </c>
      <c r="E157" s="15" t="str">
        <f t="shared" ca="1" si="29"/>
        <v>2-Months</v>
      </c>
      <c r="F157" s="8" t="str">
        <f>VLOOKUP(N157,Stock[#Data],5,FALSE)</f>
        <v>BE</v>
      </c>
      <c r="G157" s="82" t="s">
        <v>735</v>
      </c>
      <c r="H157" s="15"/>
      <c r="I157" s="7" t="s">
        <v>111</v>
      </c>
      <c r="J157" s="8" t="str">
        <f>VLOOKUP(I157,Customers[#Data],2,FALSE)</f>
        <v>လင်းသစ်</v>
      </c>
      <c r="K157" s="15" t="str">
        <f>VLOOKUP(I157,Customers[#Data],4,FALSE)</f>
        <v>Yay</v>
      </c>
      <c r="L157" s="15" t="str">
        <f>VLOOKUP(I157,Customers[#Data],5,FALSE)</f>
        <v>WholeSales</v>
      </c>
      <c r="M157" s="7" t="s">
        <v>6</v>
      </c>
      <c r="N157" s="7" t="s">
        <v>517</v>
      </c>
      <c r="O157" s="14" t="str">
        <f>VLOOKUP(N157,Stock[#Data],2,FALSE)</f>
        <v>ဇေယျဝတီ Red (1 Liter) 30%</v>
      </c>
      <c r="P157" s="44">
        <f>VLOOKUP(N157,Stock[#Data],3,FALSE)</f>
        <v>1</v>
      </c>
      <c r="Q157" s="3">
        <f>VLOOKUP(N157,Stock[#Data],4,FALSE)</f>
        <v>12</v>
      </c>
      <c r="R157" s="11"/>
      <c r="S157" s="45">
        <f>IFERROR(Table4[[#This Row],[Bottle]]/Table4[[#This Row],[ပါဝင်မှု]]+Table4[[#This Row],[SalesPK]],0)</f>
        <v>60</v>
      </c>
      <c r="T157" s="12">
        <v>60</v>
      </c>
      <c r="U157" s="10">
        <f>Table4[[#This Row],[ပါဝင်မှု]]*Table4[[#This Row],[SalesPK]]+Table4[[#This Row],[Bottle]]</f>
        <v>720</v>
      </c>
      <c r="V157" s="10">
        <f>Table4[[#This Row],[SalesBot]]*Table4[[#This Row],[ML]]</f>
        <v>720</v>
      </c>
      <c r="W157" s="1">
        <f>VLOOKUP(N157,Stock[#Data],6,FALSE)</f>
        <v>1710</v>
      </c>
      <c r="X157" s="8">
        <f>+Table4[[#This Row],[SalesBot]]*Table4[[#This Row],[နှုံး]]</f>
        <v>1231200</v>
      </c>
      <c r="Y157" s="12"/>
      <c r="Z157" s="12"/>
      <c r="AA157" s="12"/>
      <c r="AB157" s="9"/>
      <c r="AC157" s="12">
        <v>1231200</v>
      </c>
      <c r="AD157" s="9"/>
      <c r="AE157" s="12"/>
      <c r="AF15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57" s="24"/>
      <c r="AH157" s="266">
        <f>Table4[[#This Row],[Date]]</f>
        <v>46032</v>
      </c>
      <c r="AI157" s="264" t="str">
        <f t="shared" si="20"/>
        <v>Jan</v>
      </c>
      <c r="AJ157" s="264" t="str">
        <f t="shared" si="21"/>
        <v>2026</v>
      </c>
      <c r="AK157" s="270" t="str">
        <f>Table4[[#This Row],[ကုန်သည်အမည်]]</f>
        <v>လင်းသစ်</v>
      </c>
      <c r="AL157" s="270" t="str">
        <f>Table4[[#This Row],[Township]]</f>
        <v>Yay</v>
      </c>
      <c r="AM157" s="271" t="str">
        <f>Table4[[#This Row],[WholeSales]]</f>
        <v>WholeSales</v>
      </c>
      <c r="AN157" s="272" t="str">
        <f>Table4[[#This Row],[Particular]]</f>
        <v>ကုန်ရောင်း(လက်ငင်း)</v>
      </c>
      <c r="AO157" s="273" t="str">
        <f>Table4[[#This Row],[StockName]]</f>
        <v>ဇေယျဝတီ Red (1 Liter) 30%</v>
      </c>
      <c r="AP157" s="268">
        <f>Table4[[#This Row],[Parking]]</f>
        <v>60</v>
      </c>
      <c r="AQ157" s="268">
        <f>Table4[[#This Row],[SalesBot]]</f>
        <v>720</v>
      </c>
      <c r="AR157" s="268">
        <f>Table4[[#This Row],[Liter]]</f>
        <v>720</v>
      </c>
    </row>
    <row r="158" spans="1:44" s="16" customFormat="1" hidden="1" x14ac:dyDescent="0.5">
      <c r="A158" s="3">
        <f t="shared" si="26"/>
        <v>2026</v>
      </c>
      <c r="B158" s="8">
        <f t="shared" si="27"/>
        <v>1</v>
      </c>
      <c r="C158" s="6">
        <v>46032</v>
      </c>
      <c r="D158" s="15">
        <f t="shared" ca="1" si="28"/>
        <v>46097</v>
      </c>
      <c r="E158" s="15" t="str">
        <f t="shared" ca="1" si="29"/>
        <v>2-Months</v>
      </c>
      <c r="F158" s="8" t="str">
        <f>VLOOKUP(N158,Stock[#Data],5,FALSE)</f>
        <v>BE</v>
      </c>
      <c r="G158" s="82" t="s">
        <v>736</v>
      </c>
      <c r="H158" s="15"/>
      <c r="I158" s="7" t="s">
        <v>109</v>
      </c>
      <c r="J158" s="8" t="str">
        <f>VLOOKUP(I158,Customers[#Data],2,FALSE)</f>
        <v>ဦးမင်းလွင်</v>
      </c>
      <c r="K158" s="15" t="str">
        <f>VLOOKUP(I158,Customers[#Data],4,FALSE)</f>
        <v>Maw La Myaing</v>
      </c>
      <c r="L158" s="15" t="str">
        <f>VLOOKUP(I158,Customers[#Data],5,FALSE)</f>
        <v>WholeSales</v>
      </c>
      <c r="M158" s="7" t="s">
        <v>6</v>
      </c>
      <c r="N158" s="7" t="s">
        <v>521</v>
      </c>
      <c r="O158" s="14" t="str">
        <f>VLOOKUP(N158,Stock[#Data],2,FALSE)</f>
        <v>ဒဂုံအရက်သန့်</v>
      </c>
      <c r="P158" s="44">
        <f>VLOOKUP(N158,Stock[#Data],3,FALSE)</f>
        <v>0.64</v>
      </c>
      <c r="Q158" s="3">
        <f>VLOOKUP(N158,Stock[#Data],4,FALSE)</f>
        <v>24</v>
      </c>
      <c r="R158" s="11"/>
      <c r="S158" s="45">
        <f>IFERROR(Table4[[#This Row],[Bottle]]/Table4[[#This Row],[ပါဝင်မှု]]+Table4[[#This Row],[SalesPK]],0)</f>
        <v>30</v>
      </c>
      <c r="T158" s="12">
        <v>30</v>
      </c>
      <c r="U158" s="10">
        <f>Table4[[#This Row],[ပါဝင်မှု]]*Table4[[#This Row],[SalesPK]]+Table4[[#This Row],[Bottle]]</f>
        <v>720</v>
      </c>
      <c r="V158" s="10">
        <f>Table4[[#This Row],[SalesBot]]*Table4[[#This Row],[ML]]</f>
        <v>460.8</v>
      </c>
      <c r="W158" s="1">
        <f>VLOOKUP(N158,Stock[#Data],6,FALSE)</f>
        <v>1350</v>
      </c>
      <c r="X158" s="8">
        <f>+Table4[[#This Row],[SalesBot]]*Table4[[#This Row],[နှုံး]]</f>
        <v>972000</v>
      </c>
      <c r="Y158" s="12"/>
      <c r="Z158" s="12"/>
      <c r="AA158" s="12"/>
      <c r="AB158" s="9"/>
      <c r="AC158" s="12">
        <v>972000</v>
      </c>
      <c r="AD158" s="9"/>
      <c r="AE158" s="12"/>
      <c r="AF15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58" s="24"/>
      <c r="AH158" s="266">
        <f>Table4[[#This Row],[Date]]</f>
        <v>46032</v>
      </c>
      <c r="AI158" s="264" t="str">
        <f t="shared" si="20"/>
        <v>Jan</v>
      </c>
      <c r="AJ158" s="264" t="str">
        <f t="shared" si="21"/>
        <v>2026</v>
      </c>
      <c r="AK158" s="270" t="str">
        <f>Table4[[#This Row],[ကုန်သည်အမည်]]</f>
        <v>ဦးမင်းလွင်</v>
      </c>
      <c r="AL158" s="270" t="str">
        <f>Table4[[#This Row],[Township]]</f>
        <v>Maw La Myaing</v>
      </c>
      <c r="AM158" s="271" t="str">
        <f>Table4[[#This Row],[WholeSales]]</f>
        <v>WholeSales</v>
      </c>
      <c r="AN158" s="272" t="str">
        <f>Table4[[#This Row],[Particular]]</f>
        <v>ကုန်ရောင်း(လက်ငင်း)</v>
      </c>
      <c r="AO158" s="273" t="str">
        <f>Table4[[#This Row],[StockName]]</f>
        <v>ဒဂုံအရက်သန့်</v>
      </c>
      <c r="AP158" s="268">
        <f>Table4[[#This Row],[Parking]]</f>
        <v>30</v>
      </c>
      <c r="AQ158" s="268">
        <f>Table4[[#This Row],[SalesBot]]</f>
        <v>720</v>
      </c>
      <c r="AR158" s="268">
        <f>Table4[[#This Row],[Liter]]</f>
        <v>460.8</v>
      </c>
    </row>
    <row r="159" spans="1:44" s="16" customFormat="1" hidden="1" x14ac:dyDescent="0.5">
      <c r="A159" s="3">
        <f t="shared" si="26"/>
        <v>2026</v>
      </c>
      <c r="B159" s="8">
        <f t="shared" si="27"/>
        <v>1</v>
      </c>
      <c r="C159" s="6">
        <v>46032</v>
      </c>
      <c r="D159" s="15">
        <f t="shared" ca="1" si="28"/>
        <v>46097</v>
      </c>
      <c r="E159" s="15" t="str">
        <f t="shared" ca="1" si="29"/>
        <v>2-Months</v>
      </c>
      <c r="F159" s="8" t="str">
        <f>VLOOKUP(N159,Stock[#Data],5,FALSE)</f>
        <v>BE</v>
      </c>
      <c r="G159" s="82" t="s">
        <v>737</v>
      </c>
      <c r="H159" s="15"/>
      <c r="I159" s="7" t="s">
        <v>95</v>
      </c>
      <c r="J159" s="8" t="str">
        <f>VLOOKUP(I159,Customers[#Data],2,FALSE)</f>
        <v>ကျော်စတား</v>
      </c>
      <c r="K159" s="15" t="str">
        <f>VLOOKUP(I159,Customers[#Data],4,FALSE)</f>
        <v>Yay</v>
      </c>
      <c r="L159" s="15" t="str">
        <f>VLOOKUP(I159,Customers[#Data],5,FALSE)</f>
        <v>WholeSales</v>
      </c>
      <c r="M159" s="7" t="s">
        <v>7</v>
      </c>
      <c r="N159" s="7" t="s">
        <v>517</v>
      </c>
      <c r="O159" s="14" t="str">
        <f>VLOOKUP(N159,Stock[#Data],2,FALSE)</f>
        <v>ဇေယျဝတီ Red (1 Liter) 30%</v>
      </c>
      <c r="P159" s="44">
        <f>VLOOKUP(N159,Stock[#Data],3,FALSE)</f>
        <v>1</v>
      </c>
      <c r="Q159" s="3">
        <f>VLOOKUP(N159,Stock[#Data],4,FALSE)</f>
        <v>12</v>
      </c>
      <c r="R159" s="11"/>
      <c r="S159" s="45">
        <f>IFERROR(Table4[[#This Row],[Bottle]]/Table4[[#This Row],[ပါဝင်မှု]]+Table4[[#This Row],[SalesPK]],0)</f>
        <v>100</v>
      </c>
      <c r="T159" s="12">
        <v>100</v>
      </c>
      <c r="U159" s="10">
        <f>Table4[[#This Row],[ပါဝင်မှု]]*Table4[[#This Row],[SalesPK]]+Table4[[#This Row],[Bottle]]</f>
        <v>1200</v>
      </c>
      <c r="V159" s="10">
        <f>Table4[[#This Row],[SalesBot]]*Table4[[#This Row],[ML]]</f>
        <v>1200</v>
      </c>
      <c r="W159" s="1">
        <f>VLOOKUP(N159,Stock[#Data],6,FALSE)</f>
        <v>1710</v>
      </c>
      <c r="X159" s="8">
        <f>+Table4[[#This Row],[SalesBot]]*Table4[[#This Row],[နှုံး]]</f>
        <v>2052000</v>
      </c>
      <c r="Y159" s="12"/>
      <c r="Z159" s="12"/>
      <c r="AA159" s="12"/>
      <c r="AB159" s="9">
        <v>46042</v>
      </c>
      <c r="AC159" s="12">
        <v>2052000</v>
      </c>
      <c r="AD159" s="9"/>
      <c r="AE159" s="12"/>
      <c r="AF15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59" s="24"/>
      <c r="AH159" s="266">
        <f>Table4[[#This Row],[Date]]</f>
        <v>46032</v>
      </c>
      <c r="AI159" s="264" t="str">
        <f t="shared" si="20"/>
        <v>Jan</v>
      </c>
      <c r="AJ159" s="264" t="str">
        <f t="shared" si="21"/>
        <v>2026</v>
      </c>
      <c r="AK159" s="270" t="str">
        <f>Table4[[#This Row],[ကုန်သည်အမည်]]</f>
        <v>ကျော်စတား</v>
      </c>
      <c r="AL159" s="270" t="str">
        <f>Table4[[#This Row],[Township]]</f>
        <v>Yay</v>
      </c>
      <c r="AM159" s="271" t="str">
        <f>Table4[[#This Row],[WholeSales]]</f>
        <v>WholeSales</v>
      </c>
      <c r="AN159" s="272" t="str">
        <f>Table4[[#This Row],[Particular]]</f>
        <v>ကုန်ရောင်း(အကြွေး)</v>
      </c>
      <c r="AO159" s="273" t="str">
        <f>Table4[[#This Row],[StockName]]</f>
        <v>ဇေယျဝတီ Red (1 Liter) 30%</v>
      </c>
      <c r="AP159" s="268">
        <f>Table4[[#This Row],[Parking]]</f>
        <v>100</v>
      </c>
      <c r="AQ159" s="268">
        <f>Table4[[#This Row],[SalesBot]]</f>
        <v>1200</v>
      </c>
      <c r="AR159" s="268">
        <f>Table4[[#This Row],[Liter]]</f>
        <v>1200</v>
      </c>
    </row>
    <row r="160" spans="1:44" s="16" customFormat="1" hidden="1" x14ac:dyDescent="0.5">
      <c r="A160" s="3">
        <f t="shared" si="26"/>
        <v>2026</v>
      </c>
      <c r="B160" s="8">
        <f t="shared" si="27"/>
        <v>1</v>
      </c>
      <c r="C160" s="6">
        <v>46032</v>
      </c>
      <c r="D160" s="15">
        <f t="shared" ca="1" si="28"/>
        <v>46097</v>
      </c>
      <c r="E160" s="15" t="str">
        <f t="shared" ca="1" si="29"/>
        <v>2-Months</v>
      </c>
      <c r="F160" s="8" t="str">
        <f>VLOOKUP(N160,Stock[#Data],5,FALSE)</f>
        <v>BE</v>
      </c>
      <c r="G160" s="82" t="s">
        <v>738</v>
      </c>
      <c r="H160" s="15"/>
      <c r="I160" s="7" t="s">
        <v>569</v>
      </c>
      <c r="J160" s="8" t="str">
        <f>VLOOKUP(I160,Customers[#Data],2,FALSE)</f>
        <v>ကိုပိန်</v>
      </c>
      <c r="K160" s="15" t="str">
        <f>VLOOKUP(I160,Customers[#Data],4,FALSE)</f>
        <v>Maw La Myaing</v>
      </c>
      <c r="L160" s="15" t="str">
        <f>VLOOKUP(I160,Customers[#Data],5,FALSE)</f>
        <v>Van Sales</v>
      </c>
      <c r="M160" s="7" t="s">
        <v>6</v>
      </c>
      <c r="N160" s="7" t="s">
        <v>516</v>
      </c>
      <c r="O160" s="14" t="str">
        <f>VLOOKUP(N160,Stock[#Data],2,FALSE)</f>
        <v>ဇေ Vodka</v>
      </c>
      <c r="P160" s="44">
        <f>VLOOKUP(N160,Stock[#Data],3,FALSE)</f>
        <v>0.64</v>
      </c>
      <c r="Q160" s="3">
        <f>VLOOKUP(N160,Stock[#Data],4,FALSE)</f>
        <v>14</v>
      </c>
      <c r="R160" s="11"/>
      <c r="S160" s="45">
        <f>IFERROR(Table4[[#This Row],[Bottle]]/Table4[[#This Row],[ပါဝင်မှု]]+Table4[[#This Row],[SalesPK]],0)</f>
        <v>10</v>
      </c>
      <c r="T160" s="12">
        <v>10</v>
      </c>
      <c r="U160" s="10">
        <f>Table4[[#This Row],[ပါဝင်မှု]]*Table4[[#This Row],[SalesPK]]+Table4[[#This Row],[Bottle]]</f>
        <v>140</v>
      </c>
      <c r="V160" s="10">
        <f>Table4[[#This Row],[SalesBot]]*Table4[[#This Row],[ML]]</f>
        <v>89.600000000000009</v>
      </c>
      <c r="W160" s="1">
        <f>VLOOKUP(N160,Stock[#Data],6,FALSE)</f>
        <v>1400</v>
      </c>
      <c r="X160" s="8">
        <f>+Table4[[#This Row],[SalesBot]]*Table4[[#This Row],[နှုံး]]</f>
        <v>196000</v>
      </c>
      <c r="Y160" s="12"/>
      <c r="Z160" s="12"/>
      <c r="AA160" s="12"/>
      <c r="AB160" s="9"/>
      <c r="AC160" s="12">
        <v>196000</v>
      </c>
      <c r="AD160" s="9"/>
      <c r="AE160" s="12"/>
      <c r="AF16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60" s="24"/>
      <c r="AH160" s="266">
        <f>Table4[[#This Row],[Date]]</f>
        <v>46032</v>
      </c>
      <c r="AI160" s="264" t="str">
        <f t="shared" si="20"/>
        <v>Jan</v>
      </c>
      <c r="AJ160" s="264" t="str">
        <f t="shared" si="21"/>
        <v>2026</v>
      </c>
      <c r="AK160" s="270" t="str">
        <f>Table4[[#This Row],[ကုန်သည်အမည်]]</f>
        <v>ကိုပိန်</v>
      </c>
      <c r="AL160" s="270" t="str">
        <f>Table4[[#This Row],[Township]]</f>
        <v>Maw La Myaing</v>
      </c>
      <c r="AM160" s="271" t="str">
        <f>Table4[[#This Row],[WholeSales]]</f>
        <v>Van Sales</v>
      </c>
      <c r="AN160" s="272" t="str">
        <f>Table4[[#This Row],[Particular]]</f>
        <v>ကုန်ရောင်း(လက်ငင်း)</v>
      </c>
      <c r="AO160" s="273" t="str">
        <f>Table4[[#This Row],[StockName]]</f>
        <v>ဇေ Vodka</v>
      </c>
      <c r="AP160" s="268">
        <f>Table4[[#This Row],[Parking]]</f>
        <v>10</v>
      </c>
      <c r="AQ160" s="268">
        <f>Table4[[#This Row],[SalesBot]]</f>
        <v>140</v>
      </c>
      <c r="AR160" s="268">
        <f>Table4[[#This Row],[Liter]]</f>
        <v>89.600000000000009</v>
      </c>
    </row>
    <row r="161" spans="1:44" s="16" customFormat="1" hidden="1" x14ac:dyDescent="0.5">
      <c r="A161" s="3">
        <f t="shared" si="26"/>
        <v>2026</v>
      </c>
      <c r="B161" s="8">
        <f t="shared" si="27"/>
        <v>1</v>
      </c>
      <c r="C161" s="6">
        <v>46032</v>
      </c>
      <c r="D161" s="15">
        <f t="shared" ca="1" si="28"/>
        <v>46097</v>
      </c>
      <c r="E161" s="15" t="str">
        <f t="shared" ca="1" si="29"/>
        <v>2-Months</v>
      </c>
      <c r="F161" s="8" t="str">
        <f>VLOOKUP(N161,Stock[#Data],5,FALSE)</f>
        <v>BE</v>
      </c>
      <c r="G161" s="82" t="s">
        <v>739</v>
      </c>
      <c r="H161" s="15"/>
      <c r="I161" s="7" t="s">
        <v>79</v>
      </c>
      <c r="J161" s="8" t="str">
        <f>VLOOKUP(I161,Customers[#Data],2,FALSE)</f>
        <v>My-2</v>
      </c>
      <c r="K161" s="15" t="str">
        <f>VLOOKUP(I161,Customers[#Data],4,FALSE)</f>
        <v>Maw La Myaing</v>
      </c>
      <c r="L161" s="15" t="str">
        <f>VLOOKUP(I161,Customers[#Data],5,FALSE)</f>
        <v>Van Sales</v>
      </c>
      <c r="M161" s="7" t="s">
        <v>6</v>
      </c>
      <c r="N161" s="7" t="s">
        <v>508</v>
      </c>
      <c r="O161" s="14" t="str">
        <f>VLOOKUP(N161,Stock[#Data],2,FALSE)</f>
        <v>ကောင်းကြည်-1Li</v>
      </c>
      <c r="P161" s="44">
        <f>VLOOKUP(N161,Stock[#Data],3,FALSE)</f>
        <v>1</v>
      </c>
      <c r="Q161" s="3">
        <f>VLOOKUP(N161,Stock[#Data],4,FALSE)</f>
        <v>12</v>
      </c>
      <c r="R161" s="11"/>
      <c r="S161" s="45">
        <f>IFERROR(Table4[[#This Row],[Bottle]]/Table4[[#This Row],[ပါဝင်မှု]]+Table4[[#This Row],[SalesPK]],0)</f>
        <v>1</v>
      </c>
      <c r="T161" s="12">
        <v>1</v>
      </c>
      <c r="U161" s="10">
        <f>Table4[[#This Row],[ပါဝင်မှု]]*Table4[[#This Row],[SalesPK]]+Table4[[#This Row],[Bottle]]</f>
        <v>12</v>
      </c>
      <c r="V161" s="10">
        <f>Table4[[#This Row],[SalesBot]]*Table4[[#This Row],[ML]]</f>
        <v>12</v>
      </c>
      <c r="W161" s="1">
        <f>VLOOKUP(N161,Stock[#Data],6,FALSE)</f>
        <v>1850</v>
      </c>
      <c r="X161" s="8">
        <f>+Table4[[#This Row],[SalesBot]]*Table4[[#This Row],[နှုံး]]</f>
        <v>22200</v>
      </c>
      <c r="Y161" s="12"/>
      <c r="Z161" s="12"/>
      <c r="AA161" s="12"/>
      <c r="AB161" s="9"/>
      <c r="AC161" s="12">
        <v>22200</v>
      </c>
      <c r="AD161" s="9"/>
      <c r="AE161" s="12"/>
      <c r="AF16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61" s="24"/>
      <c r="AH161" s="266">
        <f>Table4[[#This Row],[Date]]</f>
        <v>46032</v>
      </c>
      <c r="AI161" s="264" t="str">
        <f t="shared" si="20"/>
        <v>Jan</v>
      </c>
      <c r="AJ161" s="264" t="str">
        <f t="shared" si="21"/>
        <v>2026</v>
      </c>
      <c r="AK161" s="270" t="str">
        <f>Table4[[#This Row],[ကုန်သည်အမည်]]</f>
        <v>My-2</v>
      </c>
      <c r="AL161" s="270" t="str">
        <f>Table4[[#This Row],[Township]]</f>
        <v>Maw La Myaing</v>
      </c>
      <c r="AM161" s="271" t="str">
        <f>Table4[[#This Row],[WholeSales]]</f>
        <v>Van Sales</v>
      </c>
      <c r="AN161" s="272" t="str">
        <f>Table4[[#This Row],[Particular]]</f>
        <v>ကုန်ရောင်း(လက်ငင်း)</v>
      </c>
      <c r="AO161" s="273" t="str">
        <f>Table4[[#This Row],[StockName]]</f>
        <v>ကောင်းကြည်-1Li</v>
      </c>
      <c r="AP161" s="268">
        <f>Table4[[#This Row],[Parking]]</f>
        <v>1</v>
      </c>
      <c r="AQ161" s="268">
        <f>Table4[[#This Row],[SalesBot]]</f>
        <v>12</v>
      </c>
      <c r="AR161" s="268">
        <f>Table4[[#This Row],[Liter]]</f>
        <v>12</v>
      </c>
    </row>
    <row r="162" spans="1:44" s="16" customFormat="1" hidden="1" x14ac:dyDescent="0.5">
      <c r="A162" s="3">
        <f t="shared" si="26"/>
        <v>2026</v>
      </c>
      <c r="B162" s="8">
        <f t="shared" si="27"/>
        <v>1</v>
      </c>
      <c r="C162" s="6">
        <v>46032</v>
      </c>
      <c r="D162" s="15">
        <f t="shared" ca="1" si="28"/>
        <v>46097</v>
      </c>
      <c r="E162" s="15" t="str">
        <f t="shared" ca="1" si="29"/>
        <v>2-Months</v>
      </c>
      <c r="F162" s="8" t="str">
        <f>VLOOKUP(N162,Stock[#Data],5,FALSE)</f>
        <v>BE</v>
      </c>
      <c r="G162" s="82" t="s">
        <v>739</v>
      </c>
      <c r="H162" s="15"/>
      <c r="I162" s="7" t="s">
        <v>79</v>
      </c>
      <c r="J162" s="8" t="str">
        <f>VLOOKUP(I162,Customers[#Data],2,FALSE)</f>
        <v>My-2</v>
      </c>
      <c r="K162" s="15" t="str">
        <f>VLOOKUP(I162,Customers[#Data],4,FALSE)</f>
        <v>Maw La Myaing</v>
      </c>
      <c r="L162" s="15" t="str">
        <f>VLOOKUP(I162,Customers[#Data],5,FALSE)</f>
        <v>Van Sales</v>
      </c>
      <c r="M162" s="7" t="s">
        <v>6</v>
      </c>
      <c r="N162" s="7" t="s">
        <v>425</v>
      </c>
      <c r="O162" s="14" t="str">
        <f>VLOOKUP(N162,Stock[#Data],2,FALSE)</f>
        <v>ကောင်းကြည်-1Li</v>
      </c>
      <c r="P162" s="44">
        <f>VLOOKUP(N162,Stock[#Data],3,FALSE)</f>
        <v>1</v>
      </c>
      <c r="Q162" s="3">
        <f>VLOOKUP(N162,Stock[#Data],4,FALSE)</f>
        <v>12</v>
      </c>
      <c r="R162" s="11"/>
      <c r="S162" s="45">
        <f>IFERROR(Table4[[#This Row],[Bottle]]/Table4[[#This Row],[ပါဝင်မှု]]+Table4[[#This Row],[SalesPK]],0)</f>
        <v>1</v>
      </c>
      <c r="T162" s="12">
        <v>1</v>
      </c>
      <c r="U162" s="10">
        <f>Table4[[#This Row],[ပါဝင်မှု]]*Table4[[#This Row],[SalesPK]]+Table4[[#This Row],[Bottle]]</f>
        <v>12</v>
      </c>
      <c r="V162" s="10">
        <f>Table4[[#This Row],[SalesBot]]*Table4[[#This Row],[ML]]</f>
        <v>12</v>
      </c>
      <c r="W162" s="1">
        <f>VLOOKUP(N162,Stock[#Data],6,FALSE)</f>
        <v>1500</v>
      </c>
      <c r="X162" s="8">
        <f>+Table4[[#This Row],[SalesBot]]*Table4[[#This Row],[နှုံး]]</f>
        <v>18000</v>
      </c>
      <c r="Y162" s="12"/>
      <c r="Z162" s="12"/>
      <c r="AA162" s="12"/>
      <c r="AB162" s="9"/>
      <c r="AC162" s="12">
        <v>18000</v>
      </c>
      <c r="AD162" s="9"/>
      <c r="AE162" s="12"/>
      <c r="AF16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62" s="24"/>
      <c r="AH162" s="266">
        <f>Table4[[#This Row],[Date]]</f>
        <v>46032</v>
      </c>
      <c r="AI162" s="264" t="str">
        <f t="shared" si="20"/>
        <v>Jan</v>
      </c>
      <c r="AJ162" s="264" t="str">
        <f t="shared" si="21"/>
        <v>2026</v>
      </c>
      <c r="AK162" s="270" t="str">
        <f>Table4[[#This Row],[ကုန်သည်အမည်]]</f>
        <v>My-2</v>
      </c>
      <c r="AL162" s="270" t="str">
        <f>Table4[[#This Row],[Township]]</f>
        <v>Maw La Myaing</v>
      </c>
      <c r="AM162" s="271" t="str">
        <f>Table4[[#This Row],[WholeSales]]</f>
        <v>Van Sales</v>
      </c>
      <c r="AN162" s="272" t="str">
        <f>Table4[[#This Row],[Particular]]</f>
        <v>ကုန်ရောင်း(လက်ငင်း)</v>
      </c>
      <c r="AO162" s="273" t="str">
        <f>Table4[[#This Row],[StockName]]</f>
        <v>ကောင်းကြည်-1Li</v>
      </c>
      <c r="AP162" s="268">
        <f>Table4[[#This Row],[Parking]]</f>
        <v>1</v>
      </c>
      <c r="AQ162" s="268">
        <f>Table4[[#This Row],[SalesBot]]</f>
        <v>12</v>
      </c>
      <c r="AR162" s="268">
        <f>Table4[[#This Row],[Liter]]</f>
        <v>12</v>
      </c>
    </row>
    <row r="163" spans="1:44" s="16" customFormat="1" hidden="1" x14ac:dyDescent="0.5">
      <c r="A163" s="3">
        <f>YEAR(C163)</f>
        <v>2026</v>
      </c>
      <c r="B163" s="8">
        <f>MONTH(C163)</f>
        <v>1</v>
      </c>
      <c r="C163" s="6">
        <v>46032</v>
      </c>
      <c r="D163" s="15">
        <f ca="1">TODAY()</f>
        <v>46097</v>
      </c>
      <c r="E163" s="15" t="str">
        <f ca="1">DATEDIF(C163,D163,"M")&amp;"-Months"</f>
        <v>2-Months</v>
      </c>
      <c r="F163" s="8" t="str">
        <f>VLOOKUP(N163,Stock[#Data],5,FALSE)</f>
        <v>BE</v>
      </c>
      <c r="G163" s="82" t="s">
        <v>739</v>
      </c>
      <c r="H163" s="15"/>
      <c r="I163" s="7" t="s">
        <v>79</v>
      </c>
      <c r="J163" s="8" t="str">
        <f>VLOOKUP(I163,Customers[#Data],2,FALSE)</f>
        <v>My-2</v>
      </c>
      <c r="K163" s="15" t="str">
        <f>VLOOKUP(I163,Customers[#Data],4,FALSE)</f>
        <v>Maw La Myaing</v>
      </c>
      <c r="L163" s="15" t="str">
        <f>VLOOKUP(I163,Customers[#Data],5,FALSE)</f>
        <v>Van Sales</v>
      </c>
      <c r="M163" s="7" t="s">
        <v>9</v>
      </c>
      <c r="N163" s="7" t="s">
        <v>508</v>
      </c>
      <c r="O163" s="14" t="str">
        <f>VLOOKUP(N163,Stock[#Data],2,FALSE)</f>
        <v>ကောင်းကြည်-1Li</v>
      </c>
      <c r="P163" s="44">
        <f>VLOOKUP(N163,Stock[#Data],3,FALSE)</f>
        <v>1</v>
      </c>
      <c r="Q163" s="3">
        <f>VLOOKUP(N163,Stock[#Data],4,FALSE)</f>
        <v>12</v>
      </c>
      <c r="R163" s="11">
        <v>1</v>
      </c>
      <c r="S163" s="45">
        <f>IFERROR(Table4[[#This Row],[Bottle]]/Table4[[#This Row],[ပါဝင်မှု]]+Table4[[#This Row],[SalesPK]],0)</f>
        <v>8.3333333333333329E-2</v>
      </c>
      <c r="T163" s="12"/>
      <c r="U163" s="10">
        <f>Table4[[#This Row],[ပါဝင်မှု]]*Table4[[#This Row],[SalesPK]]+Table4[[#This Row],[Bottle]]</f>
        <v>1</v>
      </c>
      <c r="V163" s="10">
        <f>Table4[[#This Row],[SalesBot]]*Table4[[#This Row],[ML]]</f>
        <v>1</v>
      </c>
      <c r="W163" s="1">
        <f>VLOOKUP(N163,Stock[#Data],6,FALSE)</f>
        <v>1850</v>
      </c>
      <c r="X163" s="8">
        <f>+Table4[[#This Row],[SalesBot]]*Table4[[#This Row],[နှုံး]]</f>
        <v>1850</v>
      </c>
      <c r="Y163" s="12"/>
      <c r="Z163" s="12"/>
      <c r="AA163" s="12"/>
      <c r="AB163" s="9"/>
      <c r="AC163" s="12"/>
      <c r="AD163" s="9"/>
      <c r="AE163" s="12"/>
      <c r="AF16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163" s="24"/>
      <c r="AH163" s="266">
        <f>Table4[[#This Row],[Date]]</f>
        <v>46032</v>
      </c>
      <c r="AI163" s="264" t="str">
        <f t="shared" si="20"/>
        <v>Jan</v>
      </c>
      <c r="AJ163" s="264" t="str">
        <f t="shared" si="21"/>
        <v>2026</v>
      </c>
      <c r="AK163" s="270" t="str">
        <f>Table4[[#This Row],[ကုန်သည်အမည်]]</f>
        <v>My-2</v>
      </c>
      <c r="AL163" s="270" t="str">
        <f>Table4[[#This Row],[Township]]</f>
        <v>Maw La Myaing</v>
      </c>
      <c r="AM163" s="271" t="str">
        <f>Table4[[#This Row],[WholeSales]]</f>
        <v>Van Sales</v>
      </c>
      <c r="AN163" s="272" t="str">
        <f>Table4[[#This Row],[Particular]]</f>
        <v>လက်ဆောင်</v>
      </c>
      <c r="AO163" s="273" t="str">
        <f>Table4[[#This Row],[StockName]]</f>
        <v>ကောင်းကြည်-1Li</v>
      </c>
      <c r="AP163" s="268">
        <f>Table4[[#This Row],[Parking]]</f>
        <v>8.3333333333333329E-2</v>
      </c>
      <c r="AQ163" s="268">
        <f>Table4[[#This Row],[SalesBot]]</f>
        <v>1</v>
      </c>
      <c r="AR163" s="268">
        <f>Table4[[#This Row],[Liter]]</f>
        <v>1</v>
      </c>
    </row>
    <row r="164" spans="1:44" s="16" customFormat="1" hidden="1" x14ac:dyDescent="0.5">
      <c r="A164" s="3">
        <f>YEAR(C164)</f>
        <v>2026</v>
      </c>
      <c r="B164" s="8">
        <f>MONTH(C164)</f>
        <v>1</v>
      </c>
      <c r="C164" s="6">
        <v>46032</v>
      </c>
      <c r="D164" s="15">
        <f ca="1">TODAY()</f>
        <v>46097</v>
      </c>
      <c r="E164" s="15" t="str">
        <f ca="1">DATEDIF(C164,D164,"M")&amp;"-Months"</f>
        <v>2-Months</v>
      </c>
      <c r="F164" s="8" t="str">
        <f>VLOOKUP(N164,Stock[#Data],5,FALSE)</f>
        <v>BE</v>
      </c>
      <c r="G164" s="82" t="s">
        <v>739</v>
      </c>
      <c r="H164" s="15"/>
      <c r="I164" s="7" t="s">
        <v>79</v>
      </c>
      <c r="J164" s="8" t="str">
        <f>VLOOKUP(I164,Customers[#Data],2,FALSE)</f>
        <v>My-2</v>
      </c>
      <c r="K164" s="15" t="str">
        <f>VLOOKUP(I164,Customers[#Data],4,FALSE)</f>
        <v>Maw La Myaing</v>
      </c>
      <c r="L164" s="15" t="str">
        <f>VLOOKUP(I164,Customers[#Data],5,FALSE)</f>
        <v>Van Sales</v>
      </c>
      <c r="M164" s="7" t="s">
        <v>9</v>
      </c>
      <c r="N164" s="7" t="s">
        <v>425</v>
      </c>
      <c r="O164" s="14" t="str">
        <f>VLOOKUP(N164,Stock[#Data],2,FALSE)</f>
        <v>ကောင်းကြည်-1Li</v>
      </c>
      <c r="P164" s="44">
        <f>VLOOKUP(N164,Stock[#Data],3,FALSE)</f>
        <v>1</v>
      </c>
      <c r="Q164" s="3">
        <f>VLOOKUP(N164,Stock[#Data],4,FALSE)</f>
        <v>12</v>
      </c>
      <c r="R164" s="11">
        <v>1</v>
      </c>
      <c r="S164" s="45">
        <f>IFERROR(Table4[[#This Row],[Bottle]]/Table4[[#This Row],[ပါဝင်မှု]]+Table4[[#This Row],[SalesPK]],0)</f>
        <v>8.3333333333333329E-2</v>
      </c>
      <c r="T164" s="12"/>
      <c r="U164" s="10">
        <f>Table4[[#This Row],[ပါဝင်မှု]]*Table4[[#This Row],[SalesPK]]+Table4[[#This Row],[Bottle]]</f>
        <v>1</v>
      </c>
      <c r="V164" s="10">
        <f>Table4[[#This Row],[SalesBot]]*Table4[[#This Row],[ML]]</f>
        <v>1</v>
      </c>
      <c r="W164" s="1">
        <f>VLOOKUP(N164,Stock[#Data],6,FALSE)</f>
        <v>1500</v>
      </c>
      <c r="X164" s="8">
        <f>+Table4[[#This Row],[SalesBot]]*Table4[[#This Row],[နှုံး]]</f>
        <v>1500</v>
      </c>
      <c r="Y164" s="12"/>
      <c r="Z164" s="12"/>
      <c r="AA164" s="12"/>
      <c r="AB164" s="9"/>
      <c r="AC164" s="12"/>
      <c r="AD164" s="9"/>
      <c r="AE164" s="12"/>
      <c r="AF16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164" s="24"/>
      <c r="AH164" s="266">
        <f>Table4[[#This Row],[Date]]</f>
        <v>46032</v>
      </c>
      <c r="AI164" s="264" t="str">
        <f t="shared" si="20"/>
        <v>Jan</v>
      </c>
      <c r="AJ164" s="264" t="str">
        <f t="shared" si="21"/>
        <v>2026</v>
      </c>
      <c r="AK164" s="270" t="str">
        <f>Table4[[#This Row],[ကုန်သည်အမည်]]</f>
        <v>My-2</v>
      </c>
      <c r="AL164" s="270" t="str">
        <f>Table4[[#This Row],[Township]]</f>
        <v>Maw La Myaing</v>
      </c>
      <c r="AM164" s="271" t="str">
        <f>Table4[[#This Row],[WholeSales]]</f>
        <v>Van Sales</v>
      </c>
      <c r="AN164" s="272" t="str">
        <f>Table4[[#This Row],[Particular]]</f>
        <v>လက်ဆောင်</v>
      </c>
      <c r="AO164" s="273" t="str">
        <f>Table4[[#This Row],[StockName]]</f>
        <v>ကောင်းကြည်-1Li</v>
      </c>
      <c r="AP164" s="268">
        <f>Table4[[#This Row],[Parking]]</f>
        <v>8.3333333333333329E-2</v>
      </c>
      <c r="AQ164" s="268">
        <f>Table4[[#This Row],[SalesBot]]</f>
        <v>1</v>
      </c>
      <c r="AR164" s="268">
        <f>Table4[[#This Row],[Liter]]</f>
        <v>1</v>
      </c>
    </row>
    <row r="165" spans="1:44" s="16" customFormat="1" hidden="1" x14ac:dyDescent="0.5">
      <c r="A165" s="3">
        <f t="shared" si="26"/>
        <v>2026</v>
      </c>
      <c r="B165" s="8">
        <f t="shared" si="27"/>
        <v>1</v>
      </c>
      <c r="C165" s="6">
        <v>46032</v>
      </c>
      <c r="D165" s="15">
        <f t="shared" ca="1" si="28"/>
        <v>46097</v>
      </c>
      <c r="E165" s="15" t="str">
        <f t="shared" ca="1" si="29"/>
        <v>2-Months</v>
      </c>
      <c r="F165" s="8" t="str">
        <f>VLOOKUP(N165,Stock[#Data],5,FALSE)</f>
        <v>BE</v>
      </c>
      <c r="G165" s="82" t="s">
        <v>740</v>
      </c>
      <c r="H165" s="15"/>
      <c r="I165" s="7" t="s">
        <v>744</v>
      </c>
      <c r="J165" s="8" t="str">
        <f>VLOOKUP(I165,Customers[#Data],2,FALSE)</f>
        <v>ဆုံဆည်းရာ</v>
      </c>
      <c r="K165" s="15" t="str">
        <f>VLOOKUP(I165,Customers[#Data],4,FALSE)</f>
        <v>Maw La Myaing</v>
      </c>
      <c r="L165" s="15" t="str">
        <f>VLOOKUP(I165,Customers[#Data],5,FALSE)</f>
        <v>Van Sales</v>
      </c>
      <c r="M165" s="7" t="s">
        <v>6</v>
      </c>
      <c r="N165" s="7" t="s">
        <v>508</v>
      </c>
      <c r="O165" s="14" t="str">
        <f>VLOOKUP(N165,Stock[#Data],2,FALSE)</f>
        <v>ကောင်းကြည်-1Li</v>
      </c>
      <c r="P165" s="44">
        <f>VLOOKUP(N165,Stock[#Data],3,FALSE)</f>
        <v>1</v>
      </c>
      <c r="Q165" s="3">
        <f>VLOOKUP(N165,Stock[#Data],4,FALSE)</f>
        <v>12</v>
      </c>
      <c r="R165" s="11">
        <v>2</v>
      </c>
      <c r="S165" s="85">
        <f>IFERROR(Table4[[#This Row],[Bottle]]/Table4[[#This Row],[ပါဝင်မှု]]+Table4[[#This Row],[SalesPK]],0)</f>
        <v>0.16666666666666666</v>
      </c>
      <c r="T165" s="12"/>
      <c r="U165" s="10">
        <f>Table4[[#This Row],[ပါဝင်မှု]]*Table4[[#This Row],[SalesPK]]+Table4[[#This Row],[Bottle]]</f>
        <v>2</v>
      </c>
      <c r="V165" s="10">
        <f>Table4[[#This Row],[SalesBot]]*Table4[[#This Row],[ML]]</f>
        <v>2</v>
      </c>
      <c r="W165" s="1">
        <f>VLOOKUP(N165,Stock[#Data],6,FALSE)</f>
        <v>1850</v>
      </c>
      <c r="X165" s="8">
        <f>+Table4[[#This Row],[SalesBot]]*Table4[[#This Row],[နှုံး]]</f>
        <v>3700</v>
      </c>
      <c r="Y165" s="12"/>
      <c r="Z165" s="12"/>
      <c r="AA165" s="12"/>
      <c r="AB165" s="9"/>
      <c r="AC165" s="12">
        <v>3700</v>
      </c>
      <c r="AD165" s="9"/>
      <c r="AE165" s="12"/>
      <c r="AF16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65" s="24"/>
      <c r="AH165" s="266">
        <f>Table4[[#This Row],[Date]]</f>
        <v>46032</v>
      </c>
      <c r="AI165" s="264" t="str">
        <f t="shared" si="20"/>
        <v>Jan</v>
      </c>
      <c r="AJ165" s="264" t="str">
        <f t="shared" si="21"/>
        <v>2026</v>
      </c>
      <c r="AK165" s="270" t="str">
        <f>Table4[[#This Row],[ကုန်သည်အမည်]]</f>
        <v>ဆုံဆည်းရာ</v>
      </c>
      <c r="AL165" s="270" t="str">
        <f>Table4[[#This Row],[Township]]</f>
        <v>Maw La Myaing</v>
      </c>
      <c r="AM165" s="271" t="str">
        <f>Table4[[#This Row],[WholeSales]]</f>
        <v>Van Sales</v>
      </c>
      <c r="AN165" s="272" t="str">
        <f>Table4[[#This Row],[Particular]]</f>
        <v>ကုန်ရောင်း(လက်ငင်း)</v>
      </c>
      <c r="AO165" s="273" t="str">
        <f>Table4[[#This Row],[StockName]]</f>
        <v>ကောင်းကြည်-1Li</v>
      </c>
      <c r="AP165" s="268">
        <f>Table4[[#This Row],[Parking]]</f>
        <v>0.16666666666666666</v>
      </c>
      <c r="AQ165" s="268">
        <f>Table4[[#This Row],[SalesBot]]</f>
        <v>2</v>
      </c>
      <c r="AR165" s="268">
        <f>Table4[[#This Row],[Liter]]</f>
        <v>2</v>
      </c>
    </row>
    <row r="166" spans="1:44" s="16" customFormat="1" hidden="1" x14ac:dyDescent="0.5">
      <c r="A166" s="3">
        <f t="shared" si="26"/>
        <v>2026</v>
      </c>
      <c r="B166" s="8">
        <f t="shared" si="27"/>
        <v>1</v>
      </c>
      <c r="C166" s="6">
        <v>46032</v>
      </c>
      <c r="D166" s="15">
        <f t="shared" ca="1" si="28"/>
        <v>46097</v>
      </c>
      <c r="E166" s="15" t="str">
        <f t="shared" ca="1" si="29"/>
        <v>2-Months</v>
      </c>
      <c r="F166" s="8" t="str">
        <f>VLOOKUP(N166,Stock[#Data],5,FALSE)</f>
        <v>BE</v>
      </c>
      <c r="G166" s="82" t="s">
        <v>740</v>
      </c>
      <c r="H166" s="15"/>
      <c r="I166" s="7" t="s">
        <v>744</v>
      </c>
      <c r="J166" s="8" t="str">
        <f>VLOOKUP(I166,Customers[#Data],2,FALSE)</f>
        <v>ဆုံဆည်းရာ</v>
      </c>
      <c r="K166" s="15" t="str">
        <f>VLOOKUP(I166,Customers[#Data],4,FALSE)</f>
        <v>Maw La Myaing</v>
      </c>
      <c r="L166" s="15" t="str">
        <f>VLOOKUP(I166,Customers[#Data],5,FALSE)</f>
        <v>Van Sales</v>
      </c>
      <c r="M166" s="7" t="s">
        <v>6</v>
      </c>
      <c r="N166" s="7" t="s">
        <v>425</v>
      </c>
      <c r="O166" s="14" t="str">
        <f>VLOOKUP(N166,Stock[#Data],2,FALSE)</f>
        <v>ကောင်းကြည်-1Li</v>
      </c>
      <c r="P166" s="44">
        <f>VLOOKUP(N166,Stock[#Data],3,FALSE)</f>
        <v>1</v>
      </c>
      <c r="Q166" s="3">
        <f>VLOOKUP(N166,Stock[#Data],4,FALSE)</f>
        <v>12</v>
      </c>
      <c r="R166" s="11">
        <v>2</v>
      </c>
      <c r="S166" s="85">
        <f>IFERROR(Table4[[#This Row],[Bottle]]/Table4[[#This Row],[ပါဝင်မှု]]+Table4[[#This Row],[SalesPK]],0)</f>
        <v>0.16666666666666666</v>
      </c>
      <c r="T166" s="12"/>
      <c r="U166" s="10">
        <f>Table4[[#This Row],[ပါဝင်မှု]]*Table4[[#This Row],[SalesPK]]+Table4[[#This Row],[Bottle]]</f>
        <v>2</v>
      </c>
      <c r="V166" s="10">
        <f>Table4[[#This Row],[SalesBot]]*Table4[[#This Row],[ML]]</f>
        <v>2</v>
      </c>
      <c r="W166" s="1">
        <f>VLOOKUP(N166,Stock[#Data],6,FALSE)</f>
        <v>1500</v>
      </c>
      <c r="X166" s="8">
        <f>+Table4[[#This Row],[SalesBot]]*Table4[[#This Row],[နှုံး]]</f>
        <v>3000</v>
      </c>
      <c r="Y166" s="12"/>
      <c r="Z166" s="12"/>
      <c r="AA166" s="12"/>
      <c r="AB166" s="9"/>
      <c r="AC166" s="12">
        <v>3000</v>
      </c>
      <c r="AD166" s="9"/>
      <c r="AE166" s="12"/>
      <c r="AF16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66" s="24"/>
      <c r="AH166" s="266">
        <f>Table4[[#This Row],[Date]]</f>
        <v>46032</v>
      </c>
      <c r="AI166" s="264" t="str">
        <f t="shared" si="20"/>
        <v>Jan</v>
      </c>
      <c r="AJ166" s="264" t="str">
        <f t="shared" si="21"/>
        <v>2026</v>
      </c>
      <c r="AK166" s="270" t="str">
        <f>Table4[[#This Row],[ကုန်သည်အမည်]]</f>
        <v>ဆုံဆည်းရာ</v>
      </c>
      <c r="AL166" s="270" t="str">
        <f>Table4[[#This Row],[Township]]</f>
        <v>Maw La Myaing</v>
      </c>
      <c r="AM166" s="271" t="str">
        <f>Table4[[#This Row],[WholeSales]]</f>
        <v>Van Sales</v>
      </c>
      <c r="AN166" s="272" t="str">
        <f>Table4[[#This Row],[Particular]]</f>
        <v>ကုန်ရောင်း(လက်ငင်း)</v>
      </c>
      <c r="AO166" s="273" t="str">
        <f>Table4[[#This Row],[StockName]]</f>
        <v>ကောင်းကြည်-1Li</v>
      </c>
      <c r="AP166" s="268">
        <f>Table4[[#This Row],[Parking]]</f>
        <v>0.16666666666666666</v>
      </c>
      <c r="AQ166" s="268">
        <f>Table4[[#This Row],[SalesBot]]</f>
        <v>2</v>
      </c>
      <c r="AR166" s="268">
        <f>Table4[[#This Row],[Liter]]</f>
        <v>2</v>
      </c>
    </row>
    <row r="167" spans="1:44" s="16" customFormat="1" hidden="1" x14ac:dyDescent="0.5">
      <c r="A167" s="3">
        <f t="shared" si="26"/>
        <v>2026</v>
      </c>
      <c r="B167" s="8">
        <f t="shared" si="27"/>
        <v>1</v>
      </c>
      <c r="C167" s="6">
        <v>46032</v>
      </c>
      <c r="D167" s="15">
        <f t="shared" ca="1" si="28"/>
        <v>46097</v>
      </c>
      <c r="E167" s="15" t="str">
        <f t="shared" ca="1" si="29"/>
        <v>2-Months</v>
      </c>
      <c r="F167" s="8" t="str">
        <f>VLOOKUP(N167,Stock[#Data],5,FALSE)</f>
        <v>BE</v>
      </c>
      <c r="G167" s="82" t="s">
        <v>741</v>
      </c>
      <c r="H167" s="15"/>
      <c r="I167" s="10" t="s">
        <v>745</v>
      </c>
      <c r="J167" s="8" t="str">
        <f>VLOOKUP(I167,Customers[#Data],2,FALSE)</f>
        <v>ဘော်ဒါကြီး</v>
      </c>
      <c r="K167" s="15" t="str">
        <f>VLOOKUP(I167,Customers[#Data],4,FALSE)</f>
        <v>Maw La Myaing</v>
      </c>
      <c r="L167" s="15" t="str">
        <f>VLOOKUP(I167,Customers[#Data],5,FALSE)</f>
        <v>Van Sales</v>
      </c>
      <c r="M167" s="7" t="s">
        <v>6</v>
      </c>
      <c r="N167" s="7" t="s">
        <v>522</v>
      </c>
      <c r="O167" s="14" t="str">
        <f>VLOOKUP(N167,Stock[#Data],2,FALSE)</f>
        <v>ဒဂုံမန်ကျည်း ကော်ဘူး (1 Liter)</v>
      </c>
      <c r="P167" s="44">
        <f>VLOOKUP(N167,Stock[#Data],3,FALSE)</f>
        <v>1</v>
      </c>
      <c r="Q167" s="3">
        <f>VLOOKUP(N167,Stock[#Data],4,FALSE)</f>
        <v>12</v>
      </c>
      <c r="R167" s="11">
        <v>1</v>
      </c>
      <c r="S167" s="85">
        <f>IFERROR(Table4[[#This Row],[Bottle]]/Table4[[#This Row],[ပါဝင်မှု]]+Table4[[#This Row],[SalesPK]],0)</f>
        <v>8.3333333333333329E-2</v>
      </c>
      <c r="T167" s="12"/>
      <c r="U167" s="10">
        <f>Table4[[#This Row],[ပါဝင်မှု]]*Table4[[#This Row],[SalesPK]]+Table4[[#This Row],[Bottle]]</f>
        <v>1</v>
      </c>
      <c r="V167" s="10">
        <f>Table4[[#This Row],[SalesBot]]*Table4[[#This Row],[ML]]</f>
        <v>1</v>
      </c>
      <c r="W167" s="1">
        <f>VLOOKUP(N167,Stock[#Data],6,FALSE)</f>
        <v>1600</v>
      </c>
      <c r="X167" s="8">
        <f>+Table4[[#This Row],[SalesBot]]*Table4[[#This Row],[နှုံး]]</f>
        <v>1600</v>
      </c>
      <c r="Y167" s="12"/>
      <c r="Z167" s="12"/>
      <c r="AA167" s="12"/>
      <c r="AB167" s="9"/>
      <c r="AC167" s="12">
        <v>1600</v>
      </c>
      <c r="AD167" s="9"/>
      <c r="AE167" s="12"/>
      <c r="AF16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67" s="24"/>
      <c r="AH167" s="266">
        <f>Table4[[#This Row],[Date]]</f>
        <v>46032</v>
      </c>
      <c r="AI167" s="264" t="str">
        <f t="shared" si="20"/>
        <v>Jan</v>
      </c>
      <c r="AJ167" s="264" t="str">
        <f t="shared" si="21"/>
        <v>2026</v>
      </c>
      <c r="AK167" s="270" t="str">
        <f>Table4[[#This Row],[ကုန်သည်အမည်]]</f>
        <v>ဘော်ဒါကြီး</v>
      </c>
      <c r="AL167" s="270" t="str">
        <f>Table4[[#This Row],[Township]]</f>
        <v>Maw La Myaing</v>
      </c>
      <c r="AM167" s="271" t="str">
        <f>Table4[[#This Row],[WholeSales]]</f>
        <v>Van Sales</v>
      </c>
      <c r="AN167" s="272" t="str">
        <f>Table4[[#This Row],[Particular]]</f>
        <v>ကုန်ရောင်း(လက်ငင်း)</v>
      </c>
      <c r="AO167" s="273" t="str">
        <f>Table4[[#This Row],[StockName]]</f>
        <v>ဒဂုံမန်ကျည်း ကော်ဘူး (1 Liter)</v>
      </c>
      <c r="AP167" s="268">
        <f>Table4[[#This Row],[Parking]]</f>
        <v>8.3333333333333329E-2</v>
      </c>
      <c r="AQ167" s="268">
        <f>Table4[[#This Row],[SalesBot]]</f>
        <v>1</v>
      </c>
      <c r="AR167" s="268">
        <f>Table4[[#This Row],[Liter]]</f>
        <v>1</v>
      </c>
    </row>
    <row r="168" spans="1:44" s="16" customFormat="1" hidden="1" x14ac:dyDescent="0.5">
      <c r="A168" s="3">
        <f t="shared" si="26"/>
        <v>2026</v>
      </c>
      <c r="B168" s="8">
        <f t="shared" si="27"/>
        <v>1</v>
      </c>
      <c r="C168" s="6">
        <v>46032</v>
      </c>
      <c r="D168" s="15">
        <f t="shared" ca="1" si="28"/>
        <v>46097</v>
      </c>
      <c r="E168" s="15" t="str">
        <f t="shared" ca="1" si="29"/>
        <v>2-Months</v>
      </c>
      <c r="F168" s="8" t="str">
        <f>VLOOKUP(N168,Stock[#Data],5,FALSE)</f>
        <v>BE</v>
      </c>
      <c r="G168" s="82" t="s">
        <v>741</v>
      </c>
      <c r="H168" s="15"/>
      <c r="I168" s="10" t="s">
        <v>745</v>
      </c>
      <c r="J168" s="8" t="str">
        <f>VLOOKUP(I168,Customers[#Data],2,FALSE)</f>
        <v>ဘော်ဒါကြီး</v>
      </c>
      <c r="K168" s="15" t="str">
        <f>VLOOKUP(I168,Customers[#Data],4,FALSE)</f>
        <v>Maw La Myaing</v>
      </c>
      <c r="L168" s="15" t="str">
        <f>VLOOKUP(I168,Customers[#Data],5,FALSE)</f>
        <v>Van Sales</v>
      </c>
      <c r="M168" s="7" t="s">
        <v>6</v>
      </c>
      <c r="N168" s="7" t="s">
        <v>508</v>
      </c>
      <c r="O168" s="14" t="str">
        <f>VLOOKUP(N168,Stock[#Data],2,FALSE)</f>
        <v>ကောင်းကြည်-1Li</v>
      </c>
      <c r="P168" s="44">
        <f>VLOOKUP(N168,Stock[#Data],3,FALSE)</f>
        <v>1</v>
      </c>
      <c r="Q168" s="3">
        <f>VLOOKUP(N168,Stock[#Data],4,FALSE)</f>
        <v>12</v>
      </c>
      <c r="R168" s="11">
        <v>1</v>
      </c>
      <c r="S168" s="85">
        <f>IFERROR(Table4[[#This Row],[Bottle]]/Table4[[#This Row],[ပါဝင်မှု]]+Table4[[#This Row],[SalesPK]],0)</f>
        <v>8.3333333333333329E-2</v>
      </c>
      <c r="T168" s="12"/>
      <c r="U168" s="10">
        <f>Table4[[#This Row],[ပါဝင်မှု]]*Table4[[#This Row],[SalesPK]]+Table4[[#This Row],[Bottle]]</f>
        <v>1</v>
      </c>
      <c r="V168" s="10">
        <f>Table4[[#This Row],[SalesBot]]*Table4[[#This Row],[ML]]</f>
        <v>1</v>
      </c>
      <c r="W168" s="1">
        <f>VLOOKUP(N168,Stock[#Data],6,FALSE)</f>
        <v>1850</v>
      </c>
      <c r="X168" s="8">
        <f>+Table4[[#This Row],[SalesBot]]*Table4[[#This Row],[နှုံး]]</f>
        <v>1850</v>
      </c>
      <c r="Y168" s="12"/>
      <c r="Z168" s="12"/>
      <c r="AA168" s="12"/>
      <c r="AB168" s="9"/>
      <c r="AC168" s="12">
        <v>1850</v>
      </c>
      <c r="AD168" s="9"/>
      <c r="AE168" s="12"/>
      <c r="AF16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68" s="24"/>
      <c r="AH168" s="266">
        <f>Table4[[#This Row],[Date]]</f>
        <v>46032</v>
      </c>
      <c r="AI168" s="264" t="str">
        <f t="shared" si="20"/>
        <v>Jan</v>
      </c>
      <c r="AJ168" s="264" t="str">
        <f t="shared" si="21"/>
        <v>2026</v>
      </c>
      <c r="AK168" s="270" t="str">
        <f>Table4[[#This Row],[ကုန်သည်အမည်]]</f>
        <v>ဘော်ဒါကြီး</v>
      </c>
      <c r="AL168" s="270" t="str">
        <f>Table4[[#This Row],[Township]]</f>
        <v>Maw La Myaing</v>
      </c>
      <c r="AM168" s="271" t="str">
        <f>Table4[[#This Row],[WholeSales]]</f>
        <v>Van Sales</v>
      </c>
      <c r="AN168" s="272" t="str">
        <f>Table4[[#This Row],[Particular]]</f>
        <v>ကုန်ရောင်း(လက်ငင်း)</v>
      </c>
      <c r="AO168" s="273" t="str">
        <f>Table4[[#This Row],[StockName]]</f>
        <v>ကောင်းကြည်-1Li</v>
      </c>
      <c r="AP168" s="268">
        <f>Table4[[#This Row],[Parking]]</f>
        <v>8.3333333333333329E-2</v>
      </c>
      <c r="AQ168" s="268">
        <f>Table4[[#This Row],[SalesBot]]</f>
        <v>1</v>
      </c>
      <c r="AR168" s="268">
        <f>Table4[[#This Row],[Liter]]</f>
        <v>1</v>
      </c>
    </row>
    <row r="169" spans="1:44" s="16" customFormat="1" hidden="1" x14ac:dyDescent="0.5">
      <c r="A169" s="3">
        <f t="shared" si="26"/>
        <v>2026</v>
      </c>
      <c r="B169" s="8">
        <f t="shared" si="27"/>
        <v>1</v>
      </c>
      <c r="C169" s="6">
        <v>46032</v>
      </c>
      <c r="D169" s="15">
        <f t="shared" ca="1" si="28"/>
        <v>46097</v>
      </c>
      <c r="E169" s="15" t="str">
        <f t="shared" ca="1" si="29"/>
        <v>2-Months</v>
      </c>
      <c r="F169" s="8" t="str">
        <f>VLOOKUP(N169,Stock[#Data],5,FALSE)</f>
        <v>BE</v>
      </c>
      <c r="G169" s="82" t="s">
        <v>741</v>
      </c>
      <c r="H169" s="15"/>
      <c r="I169" s="10" t="s">
        <v>745</v>
      </c>
      <c r="J169" s="8" t="str">
        <f>VLOOKUP(I169,Customers[#Data],2,FALSE)</f>
        <v>ဘော်ဒါကြီး</v>
      </c>
      <c r="K169" s="15" t="str">
        <f>VLOOKUP(I169,Customers[#Data],4,FALSE)</f>
        <v>Maw La Myaing</v>
      </c>
      <c r="L169" s="15" t="str">
        <f>VLOOKUP(I169,Customers[#Data],5,FALSE)</f>
        <v>Van Sales</v>
      </c>
      <c r="M169" s="7" t="s">
        <v>6</v>
      </c>
      <c r="N169" s="7" t="s">
        <v>425</v>
      </c>
      <c r="O169" s="14" t="str">
        <f>VLOOKUP(N169,Stock[#Data],2,FALSE)</f>
        <v>ကောင်းကြည်-1Li</v>
      </c>
      <c r="P169" s="44">
        <f>VLOOKUP(N169,Stock[#Data],3,FALSE)</f>
        <v>1</v>
      </c>
      <c r="Q169" s="3">
        <f>VLOOKUP(N169,Stock[#Data],4,FALSE)</f>
        <v>12</v>
      </c>
      <c r="R169" s="11">
        <v>1</v>
      </c>
      <c r="S169" s="85">
        <f>IFERROR(Table4[[#This Row],[Bottle]]/Table4[[#This Row],[ပါဝင်မှု]]+Table4[[#This Row],[SalesPK]],0)</f>
        <v>8.3333333333333329E-2</v>
      </c>
      <c r="T169" s="12"/>
      <c r="U169" s="10">
        <f>Table4[[#This Row],[ပါဝင်မှု]]*Table4[[#This Row],[SalesPK]]+Table4[[#This Row],[Bottle]]</f>
        <v>1</v>
      </c>
      <c r="V169" s="10">
        <f>Table4[[#This Row],[SalesBot]]*Table4[[#This Row],[ML]]</f>
        <v>1</v>
      </c>
      <c r="W169" s="1">
        <f>VLOOKUP(N169,Stock[#Data],6,FALSE)</f>
        <v>1500</v>
      </c>
      <c r="X169" s="8">
        <f>+Table4[[#This Row],[SalesBot]]*Table4[[#This Row],[နှုံး]]</f>
        <v>1500</v>
      </c>
      <c r="Y169" s="12"/>
      <c r="Z169" s="12"/>
      <c r="AA169" s="12"/>
      <c r="AB169" s="9"/>
      <c r="AC169" s="12">
        <v>1500</v>
      </c>
      <c r="AD169" s="9"/>
      <c r="AE169" s="12"/>
      <c r="AF16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69" s="24"/>
      <c r="AH169" s="266">
        <f>Table4[[#This Row],[Date]]</f>
        <v>46032</v>
      </c>
      <c r="AI169" s="264" t="str">
        <f t="shared" si="20"/>
        <v>Jan</v>
      </c>
      <c r="AJ169" s="264" t="str">
        <f t="shared" si="21"/>
        <v>2026</v>
      </c>
      <c r="AK169" s="270" t="str">
        <f>Table4[[#This Row],[ကုန်သည်အမည်]]</f>
        <v>ဘော်ဒါကြီး</v>
      </c>
      <c r="AL169" s="270" t="str">
        <f>Table4[[#This Row],[Township]]</f>
        <v>Maw La Myaing</v>
      </c>
      <c r="AM169" s="271" t="str">
        <f>Table4[[#This Row],[WholeSales]]</f>
        <v>Van Sales</v>
      </c>
      <c r="AN169" s="272" t="str">
        <f>Table4[[#This Row],[Particular]]</f>
        <v>ကုန်ရောင်း(လက်ငင်း)</v>
      </c>
      <c r="AO169" s="273" t="str">
        <f>Table4[[#This Row],[StockName]]</f>
        <v>ကောင်းကြည်-1Li</v>
      </c>
      <c r="AP169" s="268">
        <f>Table4[[#This Row],[Parking]]</f>
        <v>8.3333333333333329E-2</v>
      </c>
      <c r="AQ169" s="268">
        <f>Table4[[#This Row],[SalesBot]]</f>
        <v>1</v>
      </c>
      <c r="AR169" s="268">
        <f>Table4[[#This Row],[Liter]]</f>
        <v>1</v>
      </c>
    </row>
    <row r="170" spans="1:44" s="16" customFormat="1" hidden="1" x14ac:dyDescent="0.5">
      <c r="A170" s="3">
        <f t="shared" si="26"/>
        <v>2026</v>
      </c>
      <c r="B170" s="8">
        <f t="shared" si="27"/>
        <v>1</v>
      </c>
      <c r="C170" s="6">
        <v>46032</v>
      </c>
      <c r="D170" s="15">
        <f t="shared" ca="1" si="28"/>
        <v>46097</v>
      </c>
      <c r="E170" s="15" t="str">
        <f t="shared" ca="1" si="29"/>
        <v>2-Months</v>
      </c>
      <c r="F170" s="8" t="str">
        <f>VLOOKUP(N170,Stock[#Data],5,FALSE)</f>
        <v>BE</v>
      </c>
      <c r="G170" s="82" t="s">
        <v>742</v>
      </c>
      <c r="H170" s="15"/>
      <c r="I170" s="7" t="s">
        <v>748</v>
      </c>
      <c r="J170" s="8" t="str">
        <f>VLOOKUP(I170,Customers[#Data],2,FALSE)</f>
        <v>KKK</v>
      </c>
      <c r="K170" s="15" t="str">
        <f>VLOOKUP(I170,Customers[#Data],4,FALSE)</f>
        <v>Maw La Myaing</v>
      </c>
      <c r="L170" s="15" t="str">
        <f>VLOOKUP(I170,Customers[#Data],5,FALSE)</f>
        <v>Van Sales</v>
      </c>
      <c r="M170" s="7" t="s">
        <v>6</v>
      </c>
      <c r="N170" s="7" t="s">
        <v>526</v>
      </c>
      <c r="O170" s="14" t="str">
        <f>VLOOKUP(N170,Stock[#Data],2,FALSE)</f>
        <v>ဒဂုံနာနတ်ဝိုင်</v>
      </c>
      <c r="P170" s="44">
        <f>VLOOKUP(N170,Stock[#Data],3,FALSE)</f>
        <v>0.64</v>
      </c>
      <c r="Q170" s="3">
        <f>VLOOKUP(N170,Stock[#Data],4,FALSE)</f>
        <v>14</v>
      </c>
      <c r="R170" s="11">
        <v>7</v>
      </c>
      <c r="S170" s="45">
        <f>IFERROR(Table4[[#This Row],[Bottle]]/Table4[[#This Row],[ပါဝင်မှု]]+Table4[[#This Row],[SalesPK]],0)</f>
        <v>0.5</v>
      </c>
      <c r="T170" s="12"/>
      <c r="U170" s="10">
        <f>Table4[[#This Row],[ပါဝင်မှု]]*Table4[[#This Row],[SalesPK]]+Table4[[#This Row],[Bottle]]</f>
        <v>7</v>
      </c>
      <c r="V170" s="10">
        <f>Table4[[#This Row],[SalesBot]]*Table4[[#This Row],[ML]]</f>
        <v>4.4800000000000004</v>
      </c>
      <c r="W170" s="1">
        <f>VLOOKUP(N170,Stock[#Data],6,FALSE)</f>
        <v>1350</v>
      </c>
      <c r="X170" s="8">
        <f>+Table4[[#This Row],[SalesBot]]*Table4[[#This Row],[နှုံး]]</f>
        <v>9450</v>
      </c>
      <c r="Y170" s="12"/>
      <c r="Z170" s="12"/>
      <c r="AA170" s="12"/>
      <c r="AB170" s="9"/>
      <c r="AC170" s="12">
        <v>9450</v>
      </c>
      <c r="AD170" s="9"/>
      <c r="AE170" s="12"/>
      <c r="AF17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70" s="24"/>
      <c r="AH170" s="266">
        <f>Table4[[#This Row],[Date]]</f>
        <v>46032</v>
      </c>
      <c r="AI170" s="264" t="str">
        <f t="shared" si="20"/>
        <v>Jan</v>
      </c>
      <c r="AJ170" s="264" t="str">
        <f t="shared" si="21"/>
        <v>2026</v>
      </c>
      <c r="AK170" s="270" t="str">
        <f>Table4[[#This Row],[ကုန်သည်အမည်]]</f>
        <v>KKK</v>
      </c>
      <c r="AL170" s="270" t="str">
        <f>Table4[[#This Row],[Township]]</f>
        <v>Maw La Myaing</v>
      </c>
      <c r="AM170" s="271" t="str">
        <f>Table4[[#This Row],[WholeSales]]</f>
        <v>Van Sales</v>
      </c>
      <c r="AN170" s="272" t="str">
        <f>Table4[[#This Row],[Particular]]</f>
        <v>ကုန်ရောင်း(လက်ငင်း)</v>
      </c>
      <c r="AO170" s="273" t="str">
        <f>Table4[[#This Row],[StockName]]</f>
        <v>ဒဂုံနာနတ်ဝိုင်</v>
      </c>
      <c r="AP170" s="268">
        <f>Table4[[#This Row],[Parking]]</f>
        <v>0.5</v>
      </c>
      <c r="AQ170" s="268">
        <f>Table4[[#This Row],[SalesBot]]</f>
        <v>7</v>
      </c>
      <c r="AR170" s="268">
        <f>Table4[[#This Row],[Liter]]</f>
        <v>4.4800000000000004</v>
      </c>
    </row>
    <row r="171" spans="1:44" s="16" customFormat="1" hidden="1" x14ac:dyDescent="0.5">
      <c r="A171" s="3">
        <f t="shared" si="26"/>
        <v>2026</v>
      </c>
      <c r="B171" s="8">
        <f t="shared" si="27"/>
        <v>1</v>
      </c>
      <c r="C171" s="6">
        <v>46034</v>
      </c>
      <c r="D171" s="15">
        <f t="shared" ca="1" si="28"/>
        <v>46097</v>
      </c>
      <c r="E171" s="15" t="str">
        <f t="shared" ca="1" si="29"/>
        <v>2-Months</v>
      </c>
      <c r="F171" s="8" t="str">
        <f>VLOOKUP(N171,Stock[#Data],5,FALSE)</f>
        <v>BE</v>
      </c>
      <c r="G171" s="82" t="s">
        <v>750</v>
      </c>
      <c r="H171" s="15"/>
      <c r="I171" s="7" t="s">
        <v>95</v>
      </c>
      <c r="J171" s="8" t="str">
        <f>VLOOKUP(I171,Customers[#Data],2,FALSE)</f>
        <v>ကျော်စတား</v>
      </c>
      <c r="K171" s="15" t="str">
        <f>VLOOKUP(I171,Customers[#Data],4,FALSE)</f>
        <v>Yay</v>
      </c>
      <c r="L171" s="15" t="str">
        <f>VLOOKUP(I171,Customers[#Data],5,FALSE)</f>
        <v>WholeSales</v>
      </c>
      <c r="M171" s="7" t="s">
        <v>7</v>
      </c>
      <c r="N171" s="7" t="s">
        <v>514</v>
      </c>
      <c r="O171" s="14" t="str">
        <f>VLOOKUP(N171,Stock[#Data],2,FALSE)</f>
        <v>ဇေယျဝတီ Red</v>
      </c>
      <c r="P171" s="44">
        <f>VLOOKUP(N171,Stock[#Data],3,FALSE)</f>
        <v>0.64</v>
      </c>
      <c r="Q171" s="3">
        <f>VLOOKUP(N171,Stock[#Data],4,FALSE)</f>
        <v>14</v>
      </c>
      <c r="R171" s="11"/>
      <c r="S171" s="45">
        <f>IFERROR(Table4[[#This Row],[Bottle]]/Table4[[#This Row],[ပါဝင်မှု]]+Table4[[#This Row],[SalesPK]],0)</f>
        <v>200</v>
      </c>
      <c r="T171" s="12">
        <v>200</v>
      </c>
      <c r="U171" s="10">
        <f>Table4[[#This Row],[ပါဝင်မှု]]*Table4[[#This Row],[SalesPK]]+Table4[[#This Row],[Bottle]]</f>
        <v>2800</v>
      </c>
      <c r="V171" s="10">
        <f>Table4[[#This Row],[SalesBot]]*Table4[[#This Row],[ML]]</f>
        <v>1792</v>
      </c>
      <c r="W171" s="1">
        <f>VLOOKUP(N171,Stock[#Data],6,FALSE)</f>
        <v>1350</v>
      </c>
      <c r="X171" s="8">
        <f>+Table4[[#This Row],[SalesBot]]*Table4[[#This Row],[နှုံး]]</f>
        <v>3780000</v>
      </c>
      <c r="Y171" s="12"/>
      <c r="Z171" s="12"/>
      <c r="AA171" s="12"/>
      <c r="AB171" s="9">
        <v>46043</v>
      </c>
      <c r="AC171" s="12">
        <v>3780000</v>
      </c>
      <c r="AD171" s="9"/>
      <c r="AE171" s="12"/>
      <c r="AF17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71" s="24"/>
      <c r="AH171" s="266">
        <f>Table4[[#This Row],[Date]]</f>
        <v>46034</v>
      </c>
      <c r="AI171" s="264" t="str">
        <f t="shared" si="20"/>
        <v>Jan</v>
      </c>
      <c r="AJ171" s="264" t="str">
        <f t="shared" si="21"/>
        <v>2026</v>
      </c>
      <c r="AK171" s="270" t="str">
        <f>Table4[[#This Row],[ကုန်သည်အမည်]]</f>
        <v>ကျော်စတား</v>
      </c>
      <c r="AL171" s="270" t="str">
        <f>Table4[[#This Row],[Township]]</f>
        <v>Yay</v>
      </c>
      <c r="AM171" s="271" t="str">
        <f>Table4[[#This Row],[WholeSales]]</f>
        <v>WholeSales</v>
      </c>
      <c r="AN171" s="272" t="str">
        <f>Table4[[#This Row],[Particular]]</f>
        <v>ကုန်ရောင်း(အကြွေး)</v>
      </c>
      <c r="AO171" s="273" t="str">
        <f>Table4[[#This Row],[StockName]]</f>
        <v>ဇေယျဝတီ Red</v>
      </c>
      <c r="AP171" s="268">
        <f>Table4[[#This Row],[Parking]]</f>
        <v>200</v>
      </c>
      <c r="AQ171" s="268">
        <f>Table4[[#This Row],[SalesBot]]</f>
        <v>2800</v>
      </c>
      <c r="AR171" s="268">
        <f>Table4[[#This Row],[Liter]]</f>
        <v>1792</v>
      </c>
    </row>
    <row r="172" spans="1:44" s="16" customFormat="1" hidden="1" x14ac:dyDescent="0.5">
      <c r="A172" s="3">
        <f t="shared" si="26"/>
        <v>2026</v>
      </c>
      <c r="B172" s="8">
        <f t="shared" si="27"/>
        <v>1</v>
      </c>
      <c r="C172" s="6">
        <v>46034</v>
      </c>
      <c r="D172" s="15">
        <f t="shared" ca="1" si="28"/>
        <v>46097</v>
      </c>
      <c r="E172" s="15" t="str">
        <f t="shared" ca="1" si="29"/>
        <v>2-Months</v>
      </c>
      <c r="F172" s="8" t="str">
        <f>VLOOKUP(N172,Stock[#Data],5,FALSE)</f>
        <v>BE</v>
      </c>
      <c r="G172" s="82" t="s">
        <v>751</v>
      </c>
      <c r="H172" s="15"/>
      <c r="I172" s="7" t="s">
        <v>94</v>
      </c>
      <c r="J172" s="8" t="str">
        <f>VLOOKUP(I172,Customers[#Data],2,FALSE)</f>
        <v>ကိုထွန်းနိုင်</v>
      </c>
      <c r="K172" s="15" t="str">
        <f>VLOOKUP(I172,Customers[#Data],4,FALSE)</f>
        <v>Yay</v>
      </c>
      <c r="L172" s="15" t="str">
        <f>VLOOKUP(I172,Customers[#Data],5,FALSE)</f>
        <v>WholeSales</v>
      </c>
      <c r="M172" s="7" t="s">
        <v>7</v>
      </c>
      <c r="N172" s="7" t="s">
        <v>514</v>
      </c>
      <c r="O172" s="14" t="str">
        <f>VLOOKUP(N172,Stock[#Data],2,FALSE)</f>
        <v>ဇေယျဝတီ Red</v>
      </c>
      <c r="P172" s="44">
        <f>VLOOKUP(N172,Stock[#Data],3,FALSE)</f>
        <v>0.64</v>
      </c>
      <c r="Q172" s="3">
        <f>VLOOKUP(N172,Stock[#Data],4,FALSE)</f>
        <v>14</v>
      </c>
      <c r="R172" s="11"/>
      <c r="S172" s="45">
        <f>IFERROR(Table4[[#This Row],[Bottle]]/Table4[[#This Row],[ပါဝင်မှု]]+Table4[[#This Row],[SalesPK]],0)</f>
        <v>200</v>
      </c>
      <c r="T172" s="12">
        <v>200</v>
      </c>
      <c r="U172" s="10">
        <f>Table4[[#This Row],[ပါဝင်မှု]]*Table4[[#This Row],[SalesPK]]+Table4[[#This Row],[Bottle]]</f>
        <v>2800</v>
      </c>
      <c r="V172" s="10">
        <f>Table4[[#This Row],[SalesBot]]*Table4[[#This Row],[ML]]</f>
        <v>1792</v>
      </c>
      <c r="W172" s="1">
        <f>VLOOKUP(N172,Stock[#Data],6,FALSE)</f>
        <v>1350</v>
      </c>
      <c r="X172" s="8">
        <f>+Table4[[#This Row],[SalesBot]]*Table4[[#This Row],[နှုံး]]</f>
        <v>3780000</v>
      </c>
      <c r="Y172" s="12"/>
      <c r="Z172" s="12"/>
      <c r="AA172" s="12"/>
      <c r="AB172" s="9"/>
      <c r="AC172" s="12"/>
      <c r="AD172" s="9"/>
      <c r="AE172" s="12"/>
      <c r="AF17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3780000</v>
      </c>
      <c r="AG172" s="24"/>
      <c r="AH172" s="266">
        <f>Table4[[#This Row],[Date]]</f>
        <v>46034</v>
      </c>
      <c r="AI172" s="264" t="str">
        <f t="shared" si="20"/>
        <v>Jan</v>
      </c>
      <c r="AJ172" s="264" t="str">
        <f t="shared" si="21"/>
        <v>2026</v>
      </c>
      <c r="AK172" s="270" t="str">
        <f>Table4[[#This Row],[ကုန်သည်အမည်]]</f>
        <v>ကိုထွန်းနိုင်</v>
      </c>
      <c r="AL172" s="270" t="str">
        <f>Table4[[#This Row],[Township]]</f>
        <v>Yay</v>
      </c>
      <c r="AM172" s="271" t="str">
        <f>Table4[[#This Row],[WholeSales]]</f>
        <v>WholeSales</v>
      </c>
      <c r="AN172" s="272" t="str">
        <f>Table4[[#This Row],[Particular]]</f>
        <v>ကုန်ရောင်း(အကြွေး)</v>
      </c>
      <c r="AO172" s="273" t="str">
        <f>Table4[[#This Row],[StockName]]</f>
        <v>ဇေယျဝတီ Red</v>
      </c>
      <c r="AP172" s="268">
        <f>Table4[[#This Row],[Parking]]</f>
        <v>200</v>
      </c>
      <c r="AQ172" s="268">
        <f>Table4[[#This Row],[SalesBot]]</f>
        <v>2800</v>
      </c>
      <c r="AR172" s="268">
        <f>Table4[[#This Row],[Liter]]</f>
        <v>1792</v>
      </c>
    </row>
    <row r="173" spans="1:44" s="16" customFormat="1" hidden="1" x14ac:dyDescent="0.5">
      <c r="A173" s="3">
        <f t="shared" si="26"/>
        <v>2026</v>
      </c>
      <c r="B173" s="8">
        <f t="shared" si="27"/>
        <v>1</v>
      </c>
      <c r="C173" s="6">
        <v>46034</v>
      </c>
      <c r="D173" s="15">
        <f t="shared" ca="1" si="28"/>
        <v>46097</v>
      </c>
      <c r="E173" s="15" t="str">
        <f t="shared" ca="1" si="29"/>
        <v>2-Months</v>
      </c>
      <c r="F173" s="8" t="str">
        <f>VLOOKUP(N173,Stock[#Data],5,FALSE)</f>
        <v>BE</v>
      </c>
      <c r="G173" s="82" t="s">
        <v>752</v>
      </c>
      <c r="H173" s="15"/>
      <c r="I173" s="7" t="s">
        <v>538</v>
      </c>
      <c r="J173" s="8" t="str">
        <f>VLOOKUP(I173,Customers[#Data],2,FALSE)</f>
        <v>ဒေါ်နွယ်နွယ်ရီ(ရွှေတောင်ကြား)</v>
      </c>
      <c r="K173" s="15" t="str">
        <f>VLOOKUP(I173,Customers[#Data],4,FALSE)</f>
        <v>Yay</v>
      </c>
      <c r="L173" s="15" t="str">
        <f>VLOOKUP(I173,Customers[#Data],5,FALSE)</f>
        <v>WholeSales</v>
      </c>
      <c r="M173" s="7" t="s">
        <v>7</v>
      </c>
      <c r="N173" s="7" t="s">
        <v>514</v>
      </c>
      <c r="O173" s="14" t="str">
        <f>VLOOKUP(N173,Stock[#Data],2,FALSE)</f>
        <v>ဇေယျဝတီ Red</v>
      </c>
      <c r="P173" s="44">
        <f>VLOOKUP(N173,Stock[#Data],3,FALSE)</f>
        <v>0.64</v>
      </c>
      <c r="Q173" s="3">
        <f>VLOOKUP(N173,Stock[#Data],4,FALSE)</f>
        <v>14</v>
      </c>
      <c r="R173" s="11"/>
      <c r="S173" s="45">
        <f>IFERROR(Table4[[#This Row],[Bottle]]/Table4[[#This Row],[ပါဝင်မှု]]+Table4[[#This Row],[SalesPK]],0)</f>
        <v>300</v>
      </c>
      <c r="T173" s="12">
        <v>300</v>
      </c>
      <c r="U173" s="10">
        <f>Table4[[#This Row],[ပါဝင်မှု]]*Table4[[#This Row],[SalesPK]]+Table4[[#This Row],[Bottle]]</f>
        <v>4200</v>
      </c>
      <c r="V173" s="10">
        <f>Table4[[#This Row],[SalesBot]]*Table4[[#This Row],[ML]]</f>
        <v>2688</v>
      </c>
      <c r="W173" s="1">
        <f>VLOOKUP(N173,Stock[#Data],6,FALSE)</f>
        <v>1350</v>
      </c>
      <c r="X173" s="8">
        <f>+Table4[[#This Row],[SalesBot]]*Table4[[#This Row],[နှုံး]]</f>
        <v>5670000</v>
      </c>
      <c r="Y173" s="12"/>
      <c r="Z173" s="12"/>
      <c r="AA173" s="12"/>
      <c r="AB173" s="9"/>
      <c r="AC173" s="12"/>
      <c r="AD173" s="9"/>
      <c r="AE173" s="12"/>
      <c r="AF17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5670000</v>
      </c>
      <c r="AG173" s="24"/>
      <c r="AH173" s="266">
        <f>Table4[[#This Row],[Date]]</f>
        <v>46034</v>
      </c>
      <c r="AI173" s="264" t="str">
        <f t="shared" si="20"/>
        <v>Jan</v>
      </c>
      <c r="AJ173" s="264" t="str">
        <f t="shared" si="21"/>
        <v>2026</v>
      </c>
      <c r="AK173" s="270" t="str">
        <f>Table4[[#This Row],[ကုန်သည်အမည်]]</f>
        <v>ဒေါ်နွယ်နွယ်ရီ(ရွှေတောင်ကြား)</v>
      </c>
      <c r="AL173" s="270" t="str">
        <f>Table4[[#This Row],[Township]]</f>
        <v>Yay</v>
      </c>
      <c r="AM173" s="271" t="str">
        <f>Table4[[#This Row],[WholeSales]]</f>
        <v>WholeSales</v>
      </c>
      <c r="AN173" s="272" t="str">
        <f>Table4[[#This Row],[Particular]]</f>
        <v>ကုန်ရောင်း(အကြွေး)</v>
      </c>
      <c r="AO173" s="273" t="str">
        <f>Table4[[#This Row],[StockName]]</f>
        <v>ဇေယျဝတီ Red</v>
      </c>
      <c r="AP173" s="268">
        <f>Table4[[#This Row],[Parking]]</f>
        <v>300</v>
      </c>
      <c r="AQ173" s="268">
        <f>Table4[[#This Row],[SalesBot]]</f>
        <v>4200</v>
      </c>
      <c r="AR173" s="268">
        <f>Table4[[#This Row],[Liter]]</f>
        <v>2688</v>
      </c>
    </row>
    <row r="174" spans="1:44" s="16" customFormat="1" hidden="1" x14ac:dyDescent="0.5">
      <c r="A174" s="3">
        <f t="shared" si="26"/>
        <v>2026</v>
      </c>
      <c r="B174" s="8">
        <f t="shared" si="27"/>
        <v>1</v>
      </c>
      <c r="C174" s="6">
        <v>46034</v>
      </c>
      <c r="D174" s="15">
        <f t="shared" ca="1" si="28"/>
        <v>46097</v>
      </c>
      <c r="E174" s="15" t="str">
        <f t="shared" ca="1" si="29"/>
        <v>2-Months</v>
      </c>
      <c r="F174" s="8" t="str">
        <f>VLOOKUP(N174,Stock[#Data],5,FALSE)</f>
        <v>BE</v>
      </c>
      <c r="G174" s="82" t="s">
        <v>753</v>
      </c>
      <c r="H174" s="15"/>
      <c r="I174" s="7" t="s">
        <v>95</v>
      </c>
      <c r="J174" s="8" t="str">
        <f>VLOOKUP(I174,Customers[#Data],2,FALSE)</f>
        <v>ကျော်စတား</v>
      </c>
      <c r="K174" s="15" t="str">
        <f>VLOOKUP(I174,Customers[#Data],4,FALSE)</f>
        <v>Yay</v>
      </c>
      <c r="L174" s="15" t="str">
        <f>VLOOKUP(I174,Customers[#Data],5,FALSE)</f>
        <v>WholeSales</v>
      </c>
      <c r="M174" s="7" t="s">
        <v>7</v>
      </c>
      <c r="N174" s="7" t="s">
        <v>514</v>
      </c>
      <c r="O174" s="14" t="str">
        <f>VLOOKUP(N174,Stock[#Data],2,FALSE)</f>
        <v>ဇေယျဝတီ Red</v>
      </c>
      <c r="P174" s="44">
        <f>VLOOKUP(N174,Stock[#Data],3,FALSE)</f>
        <v>0.64</v>
      </c>
      <c r="Q174" s="3">
        <f>VLOOKUP(N174,Stock[#Data],4,FALSE)</f>
        <v>14</v>
      </c>
      <c r="R174" s="11"/>
      <c r="S174" s="45">
        <f>IFERROR(Table4[[#This Row],[Bottle]]/Table4[[#This Row],[ပါဝင်မှု]]+Table4[[#This Row],[SalesPK]],0)</f>
        <v>100</v>
      </c>
      <c r="T174" s="12">
        <v>100</v>
      </c>
      <c r="U174" s="10">
        <f>Table4[[#This Row],[ပါဝင်မှု]]*Table4[[#This Row],[SalesPK]]+Table4[[#This Row],[Bottle]]</f>
        <v>1400</v>
      </c>
      <c r="V174" s="10">
        <f>Table4[[#This Row],[SalesBot]]*Table4[[#This Row],[ML]]</f>
        <v>896</v>
      </c>
      <c r="W174" s="1">
        <f>VLOOKUP(N174,Stock[#Data],6,FALSE)</f>
        <v>1350</v>
      </c>
      <c r="X174" s="8">
        <f>+Table4[[#This Row],[SalesBot]]*Table4[[#This Row],[နှုံး]]</f>
        <v>1890000</v>
      </c>
      <c r="Y174" s="12"/>
      <c r="Z174" s="12"/>
      <c r="AA174" s="12"/>
      <c r="AB174" s="9">
        <v>46043</v>
      </c>
      <c r="AC174" s="12">
        <v>1890000</v>
      </c>
      <c r="AD174" s="9"/>
      <c r="AE174" s="12"/>
      <c r="AF17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74" s="24"/>
      <c r="AH174" s="266">
        <f>Table4[[#This Row],[Date]]</f>
        <v>46034</v>
      </c>
      <c r="AI174" s="264" t="str">
        <f t="shared" si="20"/>
        <v>Jan</v>
      </c>
      <c r="AJ174" s="264" t="str">
        <f t="shared" si="21"/>
        <v>2026</v>
      </c>
      <c r="AK174" s="270" t="str">
        <f>Table4[[#This Row],[ကုန်သည်အမည်]]</f>
        <v>ကျော်စတား</v>
      </c>
      <c r="AL174" s="270" t="str">
        <f>Table4[[#This Row],[Township]]</f>
        <v>Yay</v>
      </c>
      <c r="AM174" s="271" t="str">
        <f>Table4[[#This Row],[WholeSales]]</f>
        <v>WholeSales</v>
      </c>
      <c r="AN174" s="272" t="str">
        <f>Table4[[#This Row],[Particular]]</f>
        <v>ကုန်ရောင်း(အကြွေး)</v>
      </c>
      <c r="AO174" s="273" t="str">
        <f>Table4[[#This Row],[StockName]]</f>
        <v>ဇေယျဝတီ Red</v>
      </c>
      <c r="AP174" s="268">
        <f>Table4[[#This Row],[Parking]]</f>
        <v>100</v>
      </c>
      <c r="AQ174" s="268">
        <f>Table4[[#This Row],[SalesBot]]</f>
        <v>1400</v>
      </c>
      <c r="AR174" s="268">
        <f>Table4[[#This Row],[Liter]]</f>
        <v>896</v>
      </c>
    </row>
    <row r="175" spans="1:44" s="16" customFormat="1" hidden="1" x14ac:dyDescent="0.5">
      <c r="A175" s="3">
        <f t="shared" si="26"/>
        <v>2026</v>
      </c>
      <c r="B175" s="8">
        <f t="shared" si="27"/>
        <v>1</v>
      </c>
      <c r="C175" s="6">
        <v>46034</v>
      </c>
      <c r="D175" s="15">
        <f t="shared" ca="1" si="28"/>
        <v>46097</v>
      </c>
      <c r="E175" s="15" t="str">
        <f t="shared" ca="1" si="29"/>
        <v>2-Months</v>
      </c>
      <c r="F175" s="8" t="str">
        <f>VLOOKUP(N175,Stock[#Data],5,FALSE)</f>
        <v>BE</v>
      </c>
      <c r="G175" s="82" t="s">
        <v>753</v>
      </c>
      <c r="H175" s="15"/>
      <c r="I175" s="7" t="s">
        <v>95</v>
      </c>
      <c r="J175" s="8" t="str">
        <f>VLOOKUP(I175,Customers[#Data],2,FALSE)</f>
        <v>ကျော်စတား</v>
      </c>
      <c r="K175" s="15" t="str">
        <f>VLOOKUP(I175,Customers[#Data],4,FALSE)</f>
        <v>Yay</v>
      </c>
      <c r="L175" s="15" t="str">
        <f>VLOOKUP(I175,Customers[#Data],5,FALSE)</f>
        <v>WholeSales</v>
      </c>
      <c r="M175" s="7" t="s">
        <v>7</v>
      </c>
      <c r="N175" s="7" t="s">
        <v>517</v>
      </c>
      <c r="O175" s="14" t="str">
        <f>VLOOKUP(N175,Stock[#Data],2,FALSE)</f>
        <v>ဇေယျဝတီ Red (1 Liter) 30%</v>
      </c>
      <c r="P175" s="44">
        <f>VLOOKUP(N175,Stock[#Data],3,FALSE)</f>
        <v>1</v>
      </c>
      <c r="Q175" s="3">
        <f>VLOOKUP(N175,Stock[#Data],4,FALSE)</f>
        <v>12</v>
      </c>
      <c r="R175" s="11"/>
      <c r="S175" s="45">
        <f>IFERROR(Table4[[#This Row],[Bottle]]/Table4[[#This Row],[ပါဝင်မှု]]+Table4[[#This Row],[SalesPK]],0)</f>
        <v>200</v>
      </c>
      <c r="T175" s="12">
        <v>200</v>
      </c>
      <c r="U175" s="10">
        <f>Table4[[#This Row],[ပါဝင်မှု]]*Table4[[#This Row],[SalesPK]]+Table4[[#This Row],[Bottle]]</f>
        <v>2400</v>
      </c>
      <c r="V175" s="10">
        <f>Table4[[#This Row],[SalesBot]]*Table4[[#This Row],[ML]]</f>
        <v>2400</v>
      </c>
      <c r="W175" s="1">
        <f>VLOOKUP(N175,Stock[#Data],6,FALSE)</f>
        <v>1710</v>
      </c>
      <c r="X175" s="8">
        <f>+Table4[[#This Row],[SalesBot]]*Table4[[#This Row],[နှုံး]]</f>
        <v>4104000</v>
      </c>
      <c r="Y175" s="12"/>
      <c r="Z175" s="12"/>
      <c r="AA175" s="12"/>
      <c r="AB175" s="9">
        <v>46043</v>
      </c>
      <c r="AC175" s="12">
        <v>243000</v>
      </c>
      <c r="AD175" s="9"/>
      <c r="AE175" s="12">
        <v>3861000</v>
      </c>
      <c r="AF17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75" s="24"/>
      <c r="AH175" s="266">
        <f>Table4[[#This Row],[Date]]</f>
        <v>46034</v>
      </c>
      <c r="AI175" s="264" t="str">
        <f t="shared" si="20"/>
        <v>Jan</v>
      </c>
      <c r="AJ175" s="264" t="str">
        <f t="shared" si="21"/>
        <v>2026</v>
      </c>
      <c r="AK175" s="270" t="str">
        <f>Table4[[#This Row],[ကုန်သည်အမည်]]</f>
        <v>ကျော်စတား</v>
      </c>
      <c r="AL175" s="270" t="str">
        <f>Table4[[#This Row],[Township]]</f>
        <v>Yay</v>
      </c>
      <c r="AM175" s="271" t="str">
        <f>Table4[[#This Row],[WholeSales]]</f>
        <v>WholeSales</v>
      </c>
      <c r="AN175" s="272" t="str">
        <f>Table4[[#This Row],[Particular]]</f>
        <v>ကုန်ရောင်း(အကြွေး)</v>
      </c>
      <c r="AO175" s="273" t="str">
        <f>Table4[[#This Row],[StockName]]</f>
        <v>ဇေယျဝတီ Red (1 Liter) 30%</v>
      </c>
      <c r="AP175" s="268">
        <f>Table4[[#This Row],[Parking]]</f>
        <v>200</v>
      </c>
      <c r="AQ175" s="268">
        <f>Table4[[#This Row],[SalesBot]]</f>
        <v>2400</v>
      </c>
      <c r="AR175" s="268">
        <f>Table4[[#This Row],[Liter]]</f>
        <v>2400</v>
      </c>
    </row>
    <row r="176" spans="1:44" s="16" customFormat="1" hidden="1" x14ac:dyDescent="0.5">
      <c r="A176" s="3">
        <f t="shared" si="26"/>
        <v>2026</v>
      </c>
      <c r="B176" s="8">
        <f t="shared" si="27"/>
        <v>1</v>
      </c>
      <c r="C176" s="6">
        <v>46034</v>
      </c>
      <c r="D176" s="15">
        <f t="shared" ca="1" si="28"/>
        <v>46097</v>
      </c>
      <c r="E176" s="15" t="str">
        <f t="shared" ca="1" si="29"/>
        <v>2-Months</v>
      </c>
      <c r="F176" s="8" t="str">
        <f>VLOOKUP(N176,Stock[#Data],5,FALSE)</f>
        <v>BE</v>
      </c>
      <c r="G176" s="82" t="s">
        <v>754</v>
      </c>
      <c r="H176" s="15"/>
      <c r="I176" s="7" t="s">
        <v>538</v>
      </c>
      <c r="J176" s="8" t="str">
        <f>VLOOKUP(I176,Customers[#Data],2,FALSE)</f>
        <v>ဒေါ်နွယ်နွယ်ရီ(ရွှေတောင်ကြား)</v>
      </c>
      <c r="K176" s="15" t="str">
        <f>VLOOKUP(I176,Customers[#Data],4,FALSE)</f>
        <v>Yay</v>
      </c>
      <c r="L176" s="15" t="str">
        <f>VLOOKUP(I176,Customers[#Data],5,FALSE)</f>
        <v>WholeSales</v>
      </c>
      <c r="M176" s="7" t="s">
        <v>7</v>
      </c>
      <c r="N176" s="7" t="s">
        <v>517</v>
      </c>
      <c r="O176" s="14" t="str">
        <f>VLOOKUP(N176,Stock[#Data],2,FALSE)</f>
        <v>ဇေယျဝတီ Red (1 Liter) 30%</v>
      </c>
      <c r="P176" s="44">
        <f>VLOOKUP(N176,Stock[#Data],3,FALSE)</f>
        <v>1</v>
      </c>
      <c r="Q176" s="3">
        <f>VLOOKUP(N176,Stock[#Data],4,FALSE)</f>
        <v>12</v>
      </c>
      <c r="R176" s="11"/>
      <c r="S176" s="45">
        <f>IFERROR(Table4[[#This Row],[Bottle]]/Table4[[#This Row],[ပါဝင်မှု]]+Table4[[#This Row],[SalesPK]],0)</f>
        <v>100</v>
      </c>
      <c r="T176" s="12">
        <v>100</v>
      </c>
      <c r="U176" s="10">
        <f>Table4[[#This Row],[ပါဝင်မှု]]*Table4[[#This Row],[SalesPK]]+Table4[[#This Row],[Bottle]]</f>
        <v>1200</v>
      </c>
      <c r="V176" s="10">
        <f>Table4[[#This Row],[SalesBot]]*Table4[[#This Row],[ML]]</f>
        <v>1200</v>
      </c>
      <c r="W176" s="1">
        <f>VLOOKUP(N176,Stock[#Data],6,FALSE)</f>
        <v>1710</v>
      </c>
      <c r="X176" s="8">
        <f>+Table4[[#This Row],[SalesBot]]*Table4[[#This Row],[နှုံး]]</f>
        <v>2052000</v>
      </c>
      <c r="Y176" s="12"/>
      <c r="Z176" s="12"/>
      <c r="AA176" s="12"/>
      <c r="AB176" s="9"/>
      <c r="AC176" s="12"/>
      <c r="AD176" s="9"/>
      <c r="AE176" s="12"/>
      <c r="AF17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76" s="24"/>
      <c r="AH176" s="266">
        <f>Table4[[#This Row],[Date]]</f>
        <v>46034</v>
      </c>
      <c r="AI176" s="264" t="str">
        <f t="shared" si="20"/>
        <v>Jan</v>
      </c>
      <c r="AJ176" s="264" t="str">
        <f t="shared" si="21"/>
        <v>2026</v>
      </c>
      <c r="AK176" s="270" t="str">
        <f>Table4[[#This Row],[ကုန်သည်အမည်]]</f>
        <v>ဒေါ်နွယ်နွယ်ရီ(ရွှေတောင်ကြား)</v>
      </c>
      <c r="AL176" s="270" t="str">
        <f>Table4[[#This Row],[Township]]</f>
        <v>Yay</v>
      </c>
      <c r="AM176" s="271" t="str">
        <f>Table4[[#This Row],[WholeSales]]</f>
        <v>WholeSales</v>
      </c>
      <c r="AN176" s="272" t="str">
        <f>Table4[[#This Row],[Particular]]</f>
        <v>ကုန်ရောင်း(အကြွေး)</v>
      </c>
      <c r="AO176" s="273" t="str">
        <f>Table4[[#This Row],[StockName]]</f>
        <v>ဇေယျဝတီ Red (1 Liter) 30%</v>
      </c>
      <c r="AP176" s="268">
        <f>Table4[[#This Row],[Parking]]</f>
        <v>100</v>
      </c>
      <c r="AQ176" s="268">
        <f>Table4[[#This Row],[SalesBot]]</f>
        <v>1200</v>
      </c>
      <c r="AR176" s="268">
        <f>Table4[[#This Row],[Liter]]</f>
        <v>1200</v>
      </c>
    </row>
    <row r="177" spans="1:44" s="16" customFormat="1" hidden="1" x14ac:dyDescent="0.5">
      <c r="A177" s="3">
        <f t="shared" si="26"/>
        <v>2026</v>
      </c>
      <c r="B177" s="8">
        <f t="shared" si="27"/>
        <v>1</v>
      </c>
      <c r="C177" s="6">
        <v>46034</v>
      </c>
      <c r="D177" s="15">
        <f t="shared" ca="1" si="28"/>
        <v>46097</v>
      </c>
      <c r="E177" s="15" t="str">
        <f t="shared" ca="1" si="29"/>
        <v>2-Months</v>
      </c>
      <c r="F177" s="8" t="str">
        <f>VLOOKUP(N177,Stock[#Data],5,FALSE)</f>
        <v>BE</v>
      </c>
      <c r="G177" s="82" t="s">
        <v>755</v>
      </c>
      <c r="H177" s="15"/>
      <c r="I177" s="7" t="s">
        <v>101</v>
      </c>
      <c r="J177" s="8" t="str">
        <f>VLOOKUP(I177,Customers[#Data],2,FALSE)</f>
        <v>ကိုမောင်+မသူဇာ</v>
      </c>
      <c r="K177" s="15" t="str">
        <f>VLOOKUP(I177,Customers[#Data],4,FALSE)</f>
        <v>Yay</v>
      </c>
      <c r="L177" s="15" t="str">
        <f>VLOOKUP(I177,Customers[#Data],5,FALSE)</f>
        <v>WholeSales</v>
      </c>
      <c r="M177" s="7" t="s">
        <v>7</v>
      </c>
      <c r="N177" s="7" t="s">
        <v>517</v>
      </c>
      <c r="O177" s="14" t="str">
        <f>VLOOKUP(N177,Stock[#Data],2,FALSE)</f>
        <v>ဇေယျဝတီ Red (1 Liter) 30%</v>
      </c>
      <c r="P177" s="44">
        <f>VLOOKUP(N177,Stock[#Data],3,FALSE)</f>
        <v>1</v>
      </c>
      <c r="Q177" s="3">
        <f>VLOOKUP(N177,Stock[#Data],4,FALSE)</f>
        <v>12</v>
      </c>
      <c r="R177" s="11"/>
      <c r="S177" s="45">
        <f>IFERROR(Table4[[#This Row],[Bottle]]/Table4[[#This Row],[ပါဝင်မှု]]+Table4[[#This Row],[SalesPK]],0)</f>
        <v>50</v>
      </c>
      <c r="T177" s="12">
        <v>50</v>
      </c>
      <c r="U177" s="10">
        <f>Table4[[#This Row],[ပါဝင်မှု]]*Table4[[#This Row],[SalesPK]]+Table4[[#This Row],[Bottle]]</f>
        <v>600</v>
      </c>
      <c r="V177" s="10">
        <f>Table4[[#This Row],[SalesBot]]*Table4[[#This Row],[ML]]</f>
        <v>600</v>
      </c>
      <c r="W177" s="1">
        <f>VLOOKUP(N177,Stock[#Data],6,FALSE)</f>
        <v>1710</v>
      </c>
      <c r="X177" s="8">
        <f>+Table4[[#This Row],[SalesBot]]*Table4[[#This Row],[နှုံး]]</f>
        <v>1026000</v>
      </c>
      <c r="Y177" s="12"/>
      <c r="Z177" s="12"/>
      <c r="AA177" s="12"/>
      <c r="AB177" s="9"/>
      <c r="AC177" s="12"/>
      <c r="AD177" s="9"/>
      <c r="AE177" s="12"/>
      <c r="AF17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177" s="24"/>
      <c r="AH177" s="266">
        <f>Table4[[#This Row],[Date]]</f>
        <v>46034</v>
      </c>
      <c r="AI177" s="264" t="str">
        <f t="shared" si="20"/>
        <v>Jan</v>
      </c>
      <c r="AJ177" s="264" t="str">
        <f t="shared" si="21"/>
        <v>2026</v>
      </c>
      <c r="AK177" s="270" t="str">
        <f>Table4[[#This Row],[ကုန်သည်အမည်]]</f>
        <v>ကိုမောင်+မသူဇာ</v>
      </c>
      <c r="AL177" s="270" t="str">
        <f>Table4[[#This Row],[Township]]</f>
        <v>Yay</v>
      </c>
      <c r="AM177" s="271" t="str">
        <f>Table4[[#This Row],[WholeSales]]</f>
        <v>WholeSales</v>
      </c>
      <c r="AN177" s="272" t="str">
        <f>Table4[[#This Row],[Particular]]</f>
        <v>ကုန်ရောင်း(အကြွေး)</v>
      </c>
      <c r="AO177" s="273" t="str">
        <f>Table4[[#This Row],[StockName]]</f>
        <v>ဇေယျဝတီ Red (1 Liter) 30%</v>
      </c>
      <c r="AP177" s="268">
        <f>Table4[[#This Row],[Parking]]</f>
        <v>50</v>
      </c>
      <c r="AQ177" s="268">
        <f>Table4[[#This Row],[SalesBot]]</f>
        <v>600</v>
      </c>
      <c r="AR177" s="268">
        <f>Table4[[#This Row],[Liter]]</f>
        <v>600</v>
      </c>
    </row>
    <row r="178" spans="1:44" s="16" customFormat="1" hidden="1" x14ac:dyDescent="0.5">
      <c r="A178" s="3">
        <f t="shared" si="26"/>
        <v>2026</v>
      </c>
      <c r="B178" s="8">
        <f t="shared" si="27"/>
        <v>1</v>
      </c>
      <c r="C178" s="6">
        <v>46034</v>
      </c>
      <c r="D178" s="15">
        <f t="shared" ca="1" si="28"/>
        <v>46097</v>
      </c>
      <c r="E178" s="15" t="str">
        <f t="shared" ca="1" si="29"/>
        <v>2-Months</v>
      </c>
      <c r="F178" s="8" t="str">
        <f>VLOOKUP(N178,Stock[#Data],5,FALSE)</f>
        <v>BE</v>
      </c>
      <c r="G178" s="82" t="s">
        <v>756</v>
      </c>
      <c r="H178" s="15"/>
      <c r="I178" s="7" t="s">
        <v>76</v>
      </c>
      <c r="J178" s="8" t="str">
        <f>VLOOKUP(I178,Customers[#Data],2,FALSE)</f>
        <v>Thailand</v>
      </c>
      <c r="K178" s="15" t="str">
        <f>VLOOKUP(I178,Customers[#Data],4,FALSE)</f>
        <v>Mudon</v>
      </c>
      <c r="L178" s="15" t="str">
        <f>VLOOKUP(I178,Customers[#Data],5,FALSE)</f>
        <v>SemiWholeSales</v>
      </c>
      <c r="M178" s="7" t="s">
        <v>7</v>
      </c>
      <c r="N178" s="7" t="s">
        <v>520</v>
      </c>
      <c r="O178" s="14" t="str">
        <f>VLOOKUP(N178,Stock[#Data],2,FALSE)</f>
        <v>ဇေယျဝတီ  Red(ပု)</v>
      </c>
      <c r="P178" s="44">
        <f>VLOOKUP(N178,Stock[#Data],3,FALSE)</f>
        <v>0.64</v>
      </c>
      <c r="Q178" s="3">
        <f>VLOOKUP(N178,Stock[#Data],4,FALSE)</f>
        <v>14</v>
      </c>
      <c r="R178" s="11"/>
      <c r="S178" s="45">
        <f>IFERROR(Table4[[#This Row],[Bottle]]/Table4[[#This Row],[ပါဝင်မှု]]+Table4[[#This Row],[SalesPK]],0)</f>
        <v>50</v>
      </c>
      <c r="T178" s="12">
        <v>50</v>
      </c>
      <c r="U178" s="10">
        <f>Table4[[#This Row],[ပါဝင်မှု]]*Table4[[#This Row],[SalesPK]]+Table4[[#This Row],[Bottle]]</f>
        <v>700</v>
      </c>
      <c r="V178" s="10">
        <f>Table4[[#This Row],[SalesBot]]*Table4[[#This Row],[ML]]</f>
        <v>448</v>
      </c>
      <c r="W178" s="1">
        <f>VLOOKUP(N178,Stock[#Data],6,FALSE)</f>
        <v>1800</v>
      </c>
      <c r="X178" s="8">
        <f>+Table4[[#This Row],[SalesBot]]*Table4[[#This Row],[နှုံး]]</f>
        <v>1260000</v>
      </c>
      <c r="Y178" s="12"/>
      <c r="Z178" s="12"/>
      <c r="AA178" s="12"/>
      <c r="AB178" s="9"/>
      <c r="AC178" s="12"/>
      <c r="AD178" s="9"/>
      <c r="AE178" s="12"/>
      <c r="AF17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178" s="24"/>
      <c r="AH178" s="266">
        <f>Table4[[#This Row],[Date]]</f>
        <v>46034</v>
      </c>
      <c r="AI178" s="264" t="str">
        <f t="shared" si="20"/>
        <v>Jan</v>
      </c>
      <c r="AJ178" s="264" t="str">
        <f t="shared" si="21"/>
        <v>2026</v>
      </c>
      <c r="AK178" s="270" t="str">
        <f>Table4[[#This Row],[ကုန်သည်အမည်]]</f>
        <v>Thailand</v>
      </c>
      <c r="AL178" s="270" t="str">
        <f>Table4[[#This Row],[Township]]</f>
        <v>Mudon</v>
      </c>
      <c r="AM178" s="271" t="str">
        <f>Table4[[#This Row],[WholeSales]]</f>
        <v>SemiWholeSales</v>
      </c>
      <c r="AN178" s="272" t="str">
        <f>Table4[[#This Row],[Particular]]</f>
        <v>ကုန်ရောင်း(အကြွေး)</v>
      </c>
      <c r="AO178" s="273" t="str">
        <f>Table4[[#This Row],[StockName]]</f>
        <v>ဇေယျဝတီ  Red(ပု)</v>
      </c>
      <c r="AP178" s="268">
        <f>Table4[[#This Row],[Parking]]</f>
        <v>50</v>
      </c>
      <c r="AQ178" s="268">
        <f>Table4[[#This Row],[SalesBot]]</f>
        <v>700</v>
      </c>
      <c r="AR178" s="268">
        <f>Table4[[#This Row],[Liter]]</f>
        <v>448</v>
      </c>
    </row>
    <row r="179" spans="1:44" s="16" customFormat="1" hidden="1" x14ac:dyDescent="0.5">
      <c r="A179" s="3">
        <f t="shared" si="26"/>
        <v>2026</v>
      </c>
      <c r="B179" s="8">
        <f t="shared" si="27"/>
        <v>1</v>
      </c>
      <c r="C179" s="6">
        <v>46034</v>
      </c>
      <c r="D179" s="15">
        <f t="shared" ca="1" si="28"/>
        <v>46097</v>
      </c>
      <c r="E179" s="15" t="str">
        <f t="shared" ca="1" si="29"/>
        <v>2-Months</v>
      </c>
      <c r="F179" s="8" t="str">
        <f>VLOOKUP(N179,Stock[#Data],5,FALSE)</f>
        <v>BE</v>
      </c>
      <c r="G179" s="82" t="s">
        <v>757</v>
      </c>
      <c r="H179" s="15"/>
      <c r="I179" s="7" t="s">
        <v>106</v>
      </c>
      <c r="J179" s="8" t="str">
        <f>VLOOKUP(I179,Customers[#Data],2,FALSE)</f>
        <v>ကိုမျိုးအောင်</v>
      </c>
      <c r="K179" s="15" t="str">
        <f>VLOOKUP(I179,Customers[#Data],4,FALSE)</f>
        <v>Maw La Myaing</v>
      </c>
      <c r="L179" s="15" t="str">
        <f>VLOOKUP(I179,Customers[#Data],5,FALSE)</f>
        <v>WholeSales</v>
      </c>
      <c r="M179" s="7" t="s">
        <v>6</v>
      </c>
      <c r="N179" s="7" t="s">
        <v>516</v>
      </c>
      <c r="O179" s="14" t="str">
        <f>VLOOKUP(N179,Stock[#Data],2,FALSE)</f>
        <v>ဇေ Vodka</v>
      </c>
      <c r="P179" s="44">
        <f>VLOOKUP(N179,Stock[#Data],3,FALSE)</f>
        <v>0.64</v>
      </c>
      <c r="Q179" s="3">
        <f>VLOOKUP(N179,Stock[#Data],4,FALSE)</f>
        <v>14</v>
      </c>
      <c r="R179" s="11"/>
      <c r="S179" s="45">
        <f>IFERROR(Table4[[#This Row],[Bottle]]/Table4[[#This Row],[ပါဝင်မှု]]+Table4[[#This Row],[SalesPK]],0)</f>
        <v>20</v>
      </c>
      <c r="T179" s="12">
        <v>20</v>
      </c>
      <c r="U179" s="10">
        <f>Table4[[#This Row],[ပါဝင်မှု]]*Table4[[#This Row],[SalesPK]]+Table4[[#This Row],[Bottle]]</f>
        <v>280</v>
      </c>
      <c r="V179" s="10">
        <f>Table4[[#This Row],[SalesBot]]*Table4[[#This Row],[ML]]</f>
        <v>179.20000000000002</v>
      </c>
      <c r="W179" s="1">
        <f>VLOOKUP(N179,Stock[#Data],6,FALSE)</f>
        <v>1400</v>
      </c>
      <c r="X179" s="8">
        <f>+Table4[[#This Row],[SalesBot]]*Table4[[#This Row],[နှုံး]]</f>
        <v>392000</v>
      </c>
      <c r="Y179" s="12"/>
      <c r="Z179" s="12"/>
      <c r="AA179" s="12"/>
      <c r="AB179" s="9"/>
      <c r="AC179" s="12">
        <v>392000</v>
      </c>
      <c r="AD179" s="9"/>
      <c r="AE179" s="12"/>
      <c r="AF17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79" s="24"/>
      <c r="AH179" s="266">
        <f>Table4[[#This Row],[Date]]</f>
        <v>46034</v>
      </c>
      <c r="AI179" s="264" t="str">
        <f t="shared" si="20"/>
        <v>Jan</v>
      </c>
      <c r="AJ179" s="264" t="str">
        <f t="shared" si="21"/>
        <v>2026</v>
      </c>
      <c r="AK179" s="270" t="str">
        <f>Table4[[#This Row],[ကုန်သည်အမည်]]</f>
        <v>ကိုမျိုးအောင်</v>
      </c>
      <c r="AL179" s="270" t="str">
        <f>Table4[[#This Row],[Township]]</f>
        <v>Maw La Myaing</v>
      </c>
      <c r="AM179" s="271" t="str">
        <f>Table4[[#This Row],[WholeSales]]</f>
        <v>WholeSales</v>
      </c>
      <c r="AN179" s="272" t="str">
        <f>Table4[[#This Row],[Particular]]</f>
        <v>ကုန်ရောင်း(လက်ငင်း)</v>
      </c>
      <c r="AO179" s="273" t="str">
        <f>Table4[[#This Row],[StockName]]</f>
        <v>ဇေ Vodka</v>
      </c>
      <c r="AP179" s="268">
        <f>Table4[[#This Row],[Parking]]</f>
        <v>20</v>
      </c>
      <c r="AQ179" s="268">
        <f>Table4[[#This Row],[SalesBot]]</f>
        <v>280</v>
      </c>
      <c r="AR179" s="268">
        <f>Table4[[#This Row],[Liter]]</f>
        <v>179.20000000000002</v>
      </c>
    </row>
    <row r="180" spans="1:44" s="16" customFormat="1" hidden="1" x14ac:dyDescent="0.5">
      <c r="A180" s="3">
        <f t="shared" si="26"/>
        <v>2026</v>
      </c>
      <c r="B180" s="8">
        <f t="shared" si="27"/>
        <v>1</v>
      </c>
      <c r="C180" s="6">
        <v>46034</v>
      </c>
      <c r="D180" s="15">
        <f t="shared" ca="1" si="28"/>
        <v>46097</v>
      </c>
      <c r="E180" s="15" t="str">
        <f t="shared" ca="1" si="29"/>
        <v>2-Months</v>
      </c>
      <c r="F180" s="8" t="str">
        <f>VLOOKUP(N180,Stock[#Data],5,FALSE)</f>
        <v>BE</v>
      </c>
      <c r="G180" s="82" t="s">
        <v>757</v>
      </c>
      <c r="H180" s="15"/>
      <c r="I180" s="7" t="s">
        <v>106</v>
      </c>
      <c r="J180" s="8" t="str">
        <f>VLOOKUP(I180,Customers[#Data],2,FALSE)</f>
        <v>ကိုမျိုးအောင်</v>
      </c>
      <c r="K180" s="15" t="str">
        <f>VLOOKUP(I180,Customers[#Data],4,FALSE)</f>
        <v>Maw La Myaing</v>
      </c>
      <c r="L180" s="15" t="str">
        <f>VLOOKUP(I180,Customers[#Data],5,FALSE)</f>
        <v>WholeSales</v>
      </c>
      <c r="M180" s="7" t="s">
        <v>6</v>
      </c>
      <c r="N180" s="7" t="s">
        <v>517</v>
      </c>
      <c r="O180" s="14" t="str">
        <f>VLOOKUP(N180,Stock[#Data],2,FALSE)</f>
        <v>ဇေယျဝတီ Red (1 Liter) 30%</v>
      </c>
      <c r="P180" s="44">
        <f>VLOOKUP(N180,Stock[#Data],3,FALSE)</f>
        <v>1</v>
      </c>
      <c r="Q180" s="3">
        <f>VLOOKUP(N180,Stock[#Data],4,FALSE)</f>
        <v>12</v>
      </c>
      <c r="R180" s="11"/>
      <c r="S180" s="45">
        <f>IFERROR(Table4[[#This Row],[Bottle]]/Table4[[#This Row],[ပါဝင်မှု]]+Table4[[#This Row],[SalesPK]],0)</f>
        <v>30</v>
      </c>
      <c r="T180" s="12">
        <v>30</v>
      </c>
      <c r="U180" s="10">
        <f>Table4[[#This Row],[ပါဝင်မှု]]*Table4[[#This Row],[SalesPK]]+Table4[[#This Row],[Bottle]]</f>
        <v>360</v>
      </c>
      <c r="V180" s="10">
        <f>Table4[[#This Row],[SalesBot]]*Table4[[#This Row],[ML]]</f>
        <v>360</v>
      </c>
      <c r="W180" s="1">
        <f>VLOOKUP(N180,Stock[#Data],6,FALSE)</f>
        <v>1710</v>
      </c>
      <c r="X180" s="8">
        <f>+Table4[[#This Row],[SalesBot]]*Table4[[#This Row],[နှုံး]]</f>
        <v>615600</v>
      </c>
      <c r="Y180" s="12"/>
      <c r="Z180" s="12"/>
      <c r="AA180" s="12"/>
      <c r="AB180" s="9"/>
      <c r="AC180" s="12">
        <v>615600</v>
      </c>
      <c r="AD180" s="9"/>
      <c r="AE180" s="12"/>
      <c r="AF18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80" s="24"/>
      <c r="AH180" s="266">
        <f>Table4[[#This Row],[Date]]</f>
        <v>46034</v>
      </c>
      <c r="AI180" s="264" t="str">
        <f t="shared" si="20"/>
        <v>Jan</v>
      </c>
      <c r="AJ180" s="264" t="str">
        <f t="shared" si="21"/>
        <v>2026</v>
      </c>
      <c r="AK180" s="270" t="str">
        <f>Table4[[#This Row],[ကုန်သည်အမည်]]</f>
        <v>ကိုမျိုးအောင်</v>
      </c>
      <c r="AL180" s="270" t="str">
        <f>Table4[[#This Row],[Township]]</f>
        <v>Maw La Myaing</v>
      </c>
      <c r="AM180" s="271" t="str">
        <f>Table4[[#This Row],[WholeSales]]</f>
        <v>WholeSales</v>
      </c>
      <c r="AN180" s="272" t="str">
        <f>Table4[[#This Row],[Particular]]</f>
        <v>ကုန်ရောင်း(လက်ငင်း)</v>
      </c>
      <c r="AO180" s="273" t="str">
        <f>Table4[[#This Row],[StockName]]</f>
        <v>ဇေယျဝတီ Red (1 Liter) 30%</v>
      </c>
      <c r="AP180" s="268">
        <f>Table4[[#This Row],[Parking]]</f>
        <v>30</v>
      </c>
      <c r="AQ180" s="268">
        <f>Table4[[#This Row],[SalesBot]]</f>
        <v>360</v>
      </c>
      <c r="AR180" s="268">
        <f>Table4[[#This Row],[Liter]]</f>
        <v>360</v>
      </c>
    </row>
    <row r="181" spans="1:44" s="16" customFormat="1" hidden="1" x14ac:dyDescent="0.5">
      <c r="A181" s="3">
        <f t="shared" si="26"/>
        <v>2026</v>
      </c>
      <c r="B181" s="8">
        <f t="shared" si="27"/>
        <v>1</v>
      </c>
      <c r="C181" s="6">
        <v>46034</v>
      </c>
      <c r="D181" s="15">
        <f t="shared" ca="1" si="28"/>
        <v>46097</v>
      </c>
      <c r="E181" s="15" t="str">
        <f t="shared" ca="1" si="29"/>
        <v>2-Months</v>
      </c>
      <c r="F181" s="8" t="str">
        <f>VLOOKUP(N181,Stock[#Data],5,FALSE)</f>
        <v>BE</v>
      </c>
      <c r="G181" s="82" t="s">
        <v>758</v>
      </c>
      <c r="H181" s="15"/>
      <c r="I181" s="7" t="s">
        <v>553</v>
      </c>
      <c r="J181" s="8" t="str">
        <f>VLOOKUP(I181,Customers[#Data],2,FALSE)</f>
        <v>ကိုမောင်ဦး</v>
      </c>
      <c r="K181" s="15" t="str">
        <f>VLOOKUP(I181,Customers[#Data],4,FALSE)</f>
        <v>Maw La Myaing</v>
      </c>
      <c r="L181" s="15" t="str">
        <f>VLOOKUP(I181,Customers[#Data],5,FALSE)</f>
        <v>Mini Whole Sales</v>
      </c>
      <c r="M181" s="7" t="s">
        <v>6</v>
      </c>
      <c r="N181" s="7" t="s">
        <v>516</v>
      </c>
      <c r="O181" s="14" t="str">
        <f>VLOOKUP(N181,Stock[#Data],2,FALSE)</f>
        <v>ဇေ Vodka</v>
      </c>
      <c r="P181" s="44">
        <f>VLOOKUP(N181,Stock[#Data],3,FALSE)</f>
        <v>0.64</v>
      </c>
      <c r="Q181" s="3">
        <f>VLOOKUP(N181,Stock[#Data],4,FALSE)</f>
        <v>14</v>
      </c>
      <c r="R181" s="11"/>
      <c r="S181" s="45">
        <f>IFERROR(Table4[[#This Row],[Bottle]]/Table4[[#This Row],[ပါဝင်မှု]]+Table4[[#This Row],[SalesPK]],0)</f>
        <v>10</v>
      </c>
      <c r="T181" s="12">
        <v>10</v>
      </c>
      <c r="U181" s="10">
        <f>Table4[[#This Row],[ပါဝင်မှု]]*Table4[[#This Row],[SalesPK]]+Table4[[#This Row],[Bottle]]</f>
        <v>140</v>
      </c>
      <c r="V181" s="10">
        <f>Table4[[#This Row],[SalesBot]]*Table4[[#This Row],[ML]]</f>
        <v>89.600000000000009</v>
      </c>
      <c r="W181" s="1">
        <f>VLOOKUP(N181,Stock[#Data],6,FALSE)</f>
        <v>1400</v>
      </c>
      <c r="X181" s="8">
        <f>+Table4[[#This Row],[SalesBot]]*Table4[[#This Row],[နှုံး]]</f>
        <v>196000</v>
      </c>
      <c r="Y181" s="12"/>
      <c r="Z181" s="12"/>
      <c r="AA181" s="12"/>
      <c r="AB181" s="9"/>
      <c r="AC181" s="12">
        <v>196000</v>
      </c>
      <c r="AD181" s="9"/>
      <c r="AE181" s="12"/>
      <c r="AF18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81" s="24"/>
      <c r="AH181" s="266">
        <f>Table4[[#This Row],[Date]]</f>
        <v>46034</v>
      </c>
      <c r="AI181" s="264" t="str">
        <f t="shared" si="20"/>
        <v>Jan</v>
      </c>
      <c r="AJ181" s="264" t="str">
        <f t="shared" si="21"/>
        <v>2026</v>
      </c>
      <c r="AK181" s="270" t="str">
        <f>Table4[[#This Row],[ကုန်သည်အမည်]]</f>
        <v>ကိုမောင်ဦး</v>
      </c>
      <c r="AL181" s="270" t="str">
        <f>Table4[[#This Row],[Township]]</f>
        <v>Maw La Myaing</v>
      </c>
      <c r="AM181" s="271" t="str">
        <f>Table4[[#This Row],[WholeSales]]</f>
        <v>Mini Whole Sales</v>
      </c>
      <c r="AN181" s="272" t="str">
        <f>Table4[[#This Row],[Particular]]</f>
        <v>ကုန်ရောင်း(လက်ငင်း)</v>
      </c>
      <c r="AO181" s="273" t="str">
        <f>Table4[[#This Row],[StockName]]</f>
        <v>ဇေ Vodka</v>
      </c>
      <c r="AP181" s="268">
        <f>Table4[[#This Row],[Parking]]</f>
        <v>10</v>
      </c>
      <c r="AQ181" s="268">
        <f>Table4[[#This Row],[SalesBot]]</f>
        <v>140</v>
      </c>
      <c r="AR181" s="268">
        <f>Table4[[#This Row],[Liter]]</f>
        <v>89.600000000000009</v>
      </c>
    </row>
    <row r="182" spans="1:44" s="16" customFormat="1" hidden="1" x14ac:dyDescent="0.5">
      <c r="A182" s="3">
        <f t="shared" si="26"/>
        <v>2026</v>
      </c>
      <c r="B182" s="8">
        <f t="shared" si="27"/>
        <v>1</v>
      </c>
      <c r="C182" s="6">
        <v>46034</v>
      </c>
      <c r="D182" s="15">
        <f t="shared" ca="1" si="28"/>
        <v>46097</v>
      </c>
      <c r="E182" s="15" t="str">
        <f t="shared" ca="1" si="29"/>
        <v>2-Months</v>
      </c>
      <c r="F182" s="8" t="str">
        <f>VLOOKUP(N182,Stock[#Data],5,FALSE)</f>
        <v>BE</v>
      </c>
      <c r="G182" s="82" t="s">
        <v>759</v>
      </c>
      <c r="H182" s="15"/>
      <c r="I182" s="7" t="s">
        <v>82</v>
      </c>
      <c r="J182" s="8" t="str">
        <f>VLOOKUP(I182,Customers[#Data],2,FALSE)</f>
        <v>ဒေါ်ထွန်းမေ</v>
      </c>
      <c r="K182" s="15" t="str">
        <f>VLOOKUP(I182,Customers[#Data],4,FALSE)</f>
        <v>Maw La Myaing</v>
      </c>
      <c r="L182" s="15" t="str">
        <f>VLOOKUP(I182,Customers[#Data],5,FALSE)</f>
        <v>WholeSales</v>
      </c>
      <c r="M182" s="7" t="s">
        <v>6</v>
      </c>
      <c r="N182" s="7" t="s">
        <v>514</v>
      </c>
      <c r="O182" s="14" t="str">
        <f>VLOOKUP(N182,Stock[#Data],2,FALSE)</f>
        <v>ဇေယျဝတီ Red</v>
      </c>
      <c r="P182" s="44">
        <f>VLOOKUP(N182,Stock[#Data],3,FALSE)</f>
        <v>0.64</v>
      </c>
      <c r="Q182" s="3">
        <f>VLOOKUP(N182,Stock[#Data],4,FALSE)</f>
        <v>14</v>
      </c>
      <c r="R182" s="11"/>
      <c r="S182" s="45">
        <f>IFERROR(Table4[[#This Row],[Bottle]]/Table4[[#This Row],[ပါဝင်မှု]]+Table4[[#This Row],[SalesPK]],0)</f>
        <v>50</v>
      </c>
      <c r="T182" s="12">
        <v>50</v>
      </c>
      <c r="U182" s="10">
        <f>Table4[[#This Row],[ပါဝင်မှု]]*Table4[[#This Row],[SalesPK]]+Table4[[#This Row],[Bottle]]</f>
        <v>700</v>
      </c>
      <c r="V182" s="10">
        <f>Table4[[#This Row],[SalesBot]]*Table4[[#This Row],[ML]]</f>
        <v>448</v>
      </c>
      <c r="W182" s="1">
        <f>VLOOKUP(N182,Stock[#Data],6,FALSE)</f>
        <v>1350</v>
      </c>
      <c r="X182" s="8">
        <f>+Table4[[#This Row],[SalesBot]]*Table4[[#This Row],[နှုံး]]</f>
        <v>945000</v>
      </c>
      <c r="Y182" s="12"/>
      <c r="Z182" s="12"/>
      <c r="AA182" s="12"/>
      <c r="AB182" s="9"/>
      <c r="AC182" s="12">
        <v>945000</v>
      </c>
      <c r="AD182" s="9"/>
      <c r="AE182" s="12"/>
      <c r="AF18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82" s="24"/>
      <c r="AH182" s="266">
        <f>Table4[[#This Row],[Date]]</f>
        <v>46034</v>
      </c>
      <c r="AI182" s="264" t="str">
        <f t="shared" si="20"/>
        <v>Jan</v>
      </c>
      <c r="AJ182" s="264" t="str">
        <f t="shared" si="21"/>
        <v>2026</v>
      </c>
      <c r="AK182" s="270" t="str">
        <f>Table4[[#This Row],[ကုန်သည်အမည်]]</f>
        <v>ဒေါ်ထွန်းမေ</v>
      </c>
      <c r="AL182" s="270" t="str">
        <f>Table4[[#This Row],[Township]]</f>
        <v>Maw La Myaing</v>
      </c>
      <c r="AM182" s="271" t="str">
        <f>Table4[[#This Row],[WholeSales]]</f>
        <v>WholeSales</v>
      </c>
      <c r="AN182" s="272" t="str">
        <f>Table4[[#This Row],[Particular]]</f>
        <v>ကုန်ရောင်း(လက်ငင်း)</v>
      </c>
      <c r="AO182" s="273" t="str">
        <f>Table4[[#This Row],[StockName]]</f>
        <v>ဇေယျဝတီ Red</v>
      </c>
      <c r="AP182" s="268">
        <f>Table4[[#This Row],[Parking]]</f>
        <v>50</v>
      </c>
      <c r="AQ182" s="268">
        <f>Table4[[#This Row],[SalesBot]]</f>
        <v>700</v>
      </c>
      <c r="AR182" s="268">
        <f>Table4[[#This Row],[Liter]]</f>
        <v>448</v>
      </c>
    </row>
    <row r="183" spans="1:44" s="16" customFormat="1" hidden="1" x14ac:dyDescent="0.5">
      <c r="A183" s="3">
        <f t="shared" si="26"/>
        <v>2026</v>
      </c>
      <c r="B183" s="8">
        <f t="shared" si="27"/>
        <v>1</v>
      </c>
      <c r="C183" s="6">
        <v>46034</v>
      </c>
      <c r="D183" s="15">
        <f t="shared" ca="1" si="28"/>
        <v>46097</v>
      </c>
      <c r="E183" s="15" t="str">
        <f t="shared" ca="1" si="29"/>
        <v>2-Months</v>
      </c>
      <c r="F183" s="8" t="str">
        <f>VLOOKUP(N183,Stock[#Data],5,FALSE)</f>
        <v>BE</v>
      </c>
      <c r="G183" s="82" t="s">
        <v>760</v>
      </c>
      <c r="H183" s="15"/>
      <c r="I183" s="7" t="s">
        <v>541</v>
      </c>
      <c r="J183" s="8" t="str">
        <f>VLOOKUP(I183,Customers[#Data],2,FALSE)</f>
        <v>ကိုကျော်ရွှေ</v>
      </c>
      <c r="K183" s="15" t="str">
        <f>VLOOKUP(I183,Customers[#Data],4,FALSE)</f>
        <v>Mudon</v>
      </c>
      <c r="L183" s="15" t="str">
        <f>VLOOKUP(I183,Customers[#Data],5,FALSE)</f>
        <v>SemiWholeSales</v>
      </c>
      <c r="M183" s="7" t="s">
        <v>6</v>
      </c>
      <c r="N183" s="7" t="s">
        <v>520</v>
      </c>
      <c r="O183" s="14" t="str">
        <f>VLOOKUP(N183,Stock[#Data],2,FALSE)</f>
        <v>ဇေယျဝတီ  Red(ပု)</v>
      </c>
      <c r="P183" s="44">
        <f>VLOOKUP(N183,Stock[#Data],3,FALSE)</f>
        <v>0.64</v>
      </c>
      <c r="Q183" s="3">
        <f>VLOOKUP(N183,Stock[#Data],4,FALSE)</f>
        <v>14</v>
      </c>
      <c r="R183" s="11"/>
      <c r="S183" s="45">
        <f>IFERROR(Table4[[#This Row],[Bottle]]/Table4[[#This Row],[ပါဝင်မှု]]+Table4[[#This Row],[SalesPK]],0)</f>
        <v>50</v>
      </c>
      <c r="T183" s="12">
        <v>50</v>
      </c>
      <c r="U183" s="10">
        <f>Table4[[#This Row],[ပါဝင်မှု]]*Table4[[#This Row],[SalesPK]]+Table4[[#This Row],[Bottle]]</f>
        <v>700</v>
      </c>
      <c r="V183" s="10">
        <f>Table4[[#This Row],[SalesBot]]*Table4[[#This Row],[ML]]</f>
        <v>448</v>
      </c>
      <c r="W183" s="1">
        <f>VLOOKUP(N183,Stock[#Data],6,FALSE)</f>
        <v>1800</v>
      </c>
      <c r="X183" s="8">
        <f>+Table4[[#This Row],[SalesBot]]*Table4[[#This Row],[နှုံး]]</f>
        <v>1260000</v>
      </c>
      <c r="Y183" s="12"/>
      <c r="Z183" s="12"/>
      <c r="AA183" s="12"/>
      <c r="AB183" s="9"/>
      <c r="AC183" s="12">
        <v>1260000</v>
      </c>
      <c r="AD183" s="9"/>
      <c r="AE183" s="12"/>
      <c r="AF18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83" s="24"/>
      <c r="AH183" s="266">
        <f>Table4[[#This Row],[Date]]</f>
        <v>46034</v>
      </c>
      <c r="AI183" s="264" t="str">
        <f t="shared" si="20"/>
        <v>Jan</v>
      </c>
      <c r="AJ183" s="264" t="str">
        <f t="shared" si="21"/>
        <v>2026</v>
      </c>
      <c r="AK183" s="270" t="str">
        <f>Table4[[#This Row],[ကုန်သည်အမည်]]</f>
        <v>ကိုကျော်ရွှေ</v>
      </c>
      <c r="AL183" s="270" t="str">
        <f>Table4[[#This Row],[Township]]</f>
        <v>Mudon</v>
      </c>
      <c r="AM183" s="271" t="str">
        <f>Table4[[#This Row],[WholeSales]]</f>
        <v>SemiWholeSales</v>
      </c>
      <c r="AN183" s="272" t="str">
        <f>Table4[[#This Row],[Particular]]</f>
        <v>ကုန်ရောင်း(လက်ငင်း)</v>
      </c>
      <c r="AO183" s="273" t="str">
        <f>Table4[[#This Row],[StockName]]</f>
        <v>ဇေယျဝတီ  Red(ပု)</v>
      </c>
      <c r="AP183" s="268">
        <f>Table4[[#This Row],[Parking]]</f>
        <v>50</v>
      </c>
      <c r="AQ183" s="268">
        <f>Table4[[#This Row],[SalesBot]]</f>
        <v>700</v>
      </c>
      <c r="AR183" s="268">
        <f>Table4[[#This Row],[Liter]]</f>
        <v>448</v>
      </c>
    </row>
    <row r="184" spans="1:44" s="16" customFormat="1" hidden="1" x14ac:dyDescent="0.5">
      <c r="A184" s="3">
        <f t="shared" ref="A184:A195" si="30">YEAR(C184)</f>
        <v>2026</v>
      </c>
      <c r="B184" s="8">
        <f t="shared" ref="B184:B195" si="31">MONTH(C184)</f>
        <v>1</v>
      </c>
      <c r="C184" s="6">
        <v>46034</v>
      </c>
      <c r="D184" s="15">
        <f t="shared" ref="D184:D195" ca="1" si="32">TODAY()</f>
        <v>46097</v>
      </c>
      <c r="E184" s="15" t="str">
        <f t="shared" ref="E184:E195" ca="1" si="33">DATEDIF(C184,D184,"M")&amp;"-Months"</f>
        <v>2-Months</v>
      </c>
      <c r="F184" s="8" t="str">
        <f>VLOOKUP(N184,Stock[#Data],5,FALSE)</f>
        <v>BE</v>
      </c>
      <c r="G184" s="82" t="s">
        <v>761</v>
      </c>
      <c r="H184" s="15"/>
      <c r="I184" s="7" t="s">
        <v>552</v>
      </c>
      <c r="J184" s="8" t="str">
        <f>VLOOKUP(I184,Customers[#Data],2,FALSE)</f>
        <v>၀မ်းဒေါ်လာ</v>
      </c>
      <c r="K184" s="15" t="str">
        <f>VLOOKUP(I184,Customers[#Data],4,FALSE)</f>
        <v>Mudon</v>
      </c>
      <c r="L184" s="15" t="str">
        <f>VLOOKUP(I184,Customers[#Data],5,FALSE)</f>
        <v>Mini Whole Sales</v>
      </c>
      <c r="M184" s="7" t="s">
        <v>6</v>
      </c>
      <c r="N184" s="7" t="s">
        <v>520</v>
      </c>
      <c r="O184" s="14" t="str">
        <f>VLOOKUP(N184,Stock[#Data],2,FALSE)</f>
        <v>ဇေယျဝတီ  Red(ပု)</v>
      </c>
      <c r="P184" s="44">
        <f>VLOOKUP(N184,Stock[#Data],3,FALSE)</f>
        <v>0.64</v>
      </c>
      <c r="Q184" s="3">
        <f>VLOOKUP(N184,Stock[#Data],4,FALSE)</f>
        <v>14</v>
      </c>
      <c r="R184" s="11"/>
      <c r="S184" s="45">
        <f>IFERROR(Table4[[#This Row],[Bottle]]/Table4[[#This Row],[ပါဝင်မှု]]+Table4[[#This Row],[SalesPK]],0)</f>
        <v>25</v>
      </c>
      <c r="T184" s="12">
        <v>25</v>
      </c>
      <c r="U184" s="10">
        <f>Table4[[#This Row],[ပါဝင်မှု]]*Table4[[#This Row],[SalesPK]]+Table4[[#This Row],[Bottle]]</f>
        <v>350</v>
      </c>
      <c r="V184" s="10">
        <f>Table4[[#This Row],[SalesBot]]*Table4[[#This Row],[ML]]</f>
        <v>224</v>
      </c>
      <c r="W184" s="1">
        <f>VLOOKUP(N184,Stock[#Data],6,FALSE)</f>
        <v>1800</v>
      </c>
      <c r="X184" s="8">
        <f>+Table4[[#This Row],[SalesBot]]*Table4[[#This Row],[နှုံး]]</f>
        <v>630000</v>
      </c>
      <c r="Y184" s="12"/>
      <c r="Z184" s="12"/>
      <c r="AA184" s="12"/>
      <c r="AB184" s="9"/>
      <c r="AC184" s="12">
        <v>630000</v>
      </c>
      <c r="AD184" s="9"/>
      <c r="AE184" s="12"/>
      <c r="AF18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84" s="24"/>
      <c r="AH184" s="266">
        <f>Table4[[#This Row],[Date]]</f>
        <v>46034</v>
      </c>
      <c r="AI184" s="264" t="str">
        <f t="shared" si="20"/>
        <v>Jan</v>
      </c>
      <c r="AJ184" s="264" t="str">
        <f t="shared" si="21"/>
        <v>2026</v>
      </c>
      <c r="AK184" s="270" t="str">
        <f>Table4[[#This Row],[ကုန်သည်အမည်]]</f>
        <v>၀မ်းဒေါ်လာ</v>
      </c>
      <c r="AL184" s="270" t="str">
        <f>Table4[[#This Row],[Township]]</f>
        <v>Mudon</v>
      </c>
      <c r="AM184" s="271" t="str">
        <f>Table4[[#This Row],[WholeSales]]</f>
        <v>Mini Whole Sales</v>
      </c>
      <c r="AN184" s="272" t="str">
        <f>Table4[[#This Row],[Particular]]</f>
        <v>ကုန်ရောင်း(လက်ငင်း)</v>
      </c>
      <c r="AO184" s="273" t="str">
        <f>Table4[[#This Row],[StockName]]</f>
        <v>ဇေယျဝတီ  Red(ပု)</v>
      </c>
      <c r="AP184" s="268">
        <f>Table4[[#This Row],[Parking]]</f>
        <v>25</v>
      </c>
      <c r="AQ184" s="268">
        <f>Table4[[#This Row],[SalesBot]]</f>
        <v>350</v>
      </c>
      <c r="AR184" s="268">
        <f>Table4[[#This Row],[Liter]]</f>
        <v>224</v>
      </c>
    </row>
    <row r="185" spans="1:44" s="16" customFormat="1" hidden="1" x14ac:dyDescent="0.5">
      <c r="A185" s="3">
        <f t="shared" si="30"/>
        <v>2026</v>
      </c>
      <c r="B185" s="8">
        <f t="shared" si="31"/>
        <v>1</v>
      </c>
      <c r="C185" s="6">
        <v>46034</v>
      </c>
      <c r="D185" s="15">
        <f t="shared" ca="1" si="32"/>
        <v>46097</v>
      </c>
      <c r="E185" s="15" t="str">
        <f t="shared" ca="1" si="33"/>
        <v>2-Months</v>
      </c>
      <c r="F185" s="8" t="str">
        <f>VLOOKUP(N185,Stock[#Data],5,FALSE)</f>
        <v>BE</v>
      </c>
      <c r="G185" s="82" t="s">
        <v>762</v>
      </c>
      <c r="H185" s="15" t="s">
        <v>439</v>
      </c>
      <c r="I185" s="7" t="s">
        <v>763</v>
      </c>
      <c r="J185" s="8" t="str">
        <f>VLOOKUP(I185,Customers[#Data],2,FALSE)</f>
        <v>ဦးသိန်းဝင်း</v>
      </c>
      <c r="K185" s="15" t="str">
        <f>VLOOKUP(I185,Customers[#Data],4,FALSE)</f>
        <v>Maw La Myaing</v>
      </c>
      <c r="L185" s="15" t="str">
        <f>VLOOKUP(I185,Customers[#Data],5,FALSE)</f>
        <v>Van Sales</v>
      </c>
      <c r="M185" s="7" t="s">
        <v>6</v>
      </c>
      <c r="N185" s="7" t="s">
        <v>522</v>
      </c>
      <c r="O185" s="14" t="str">
        <f>VLOOKUP(N185,Stock[#Data],2,FALSE)</f>
        <v>ဒဂုံမန်ကျည်း ကော်ဘူး (1 Liter)</v>
      </c>
      <c r="P185" s="44">
        <f>VLOOKUP(N185,Stock[#Data],3,FALSE)</f>
        <v>1</v>
      </c>
      <c r="Q185" s="3">
        <f>VLOOKUP(N185,Stock[#Data],4,FALSE)</f>
        <v>12</v>
      </c>
      <c r="R185" s="11">
        <v>3</v>
      </c>
      <c r="S185" s="45">
        <f>IFERROR(Table4[[#This Row],[Bottle]]/Table4[[#This Row],[ပါဝင်မှု]]+Table4[[#This Row],[SalesPK]],0)</f>
        <v>0.25</v>
      </c>
      <c r="T185" s="12"/>
      <c r="U185" s="10">
        <f>Table4[[#This Row],[ပါဝင်မှု]]*Table4[[#This Row],[SalesPK]]+Table4[[#This Row],[Bottle]]</f>
        <v>3</v>
      </c>
      <c r="V185" s="10">
        <f>Table4[[#This Row],[SalesBot]]*Table4[[#This Row],[ML]]</f>
        <v>3</v>
      </c>
      <c r="W185" s="1">
        <f>VLOOKUP(N185,Stock[#Data],6,FALSE)</f>
        <v>1600</v>
      </c>
      <c r="X185" s="8">
        <f>+Table4[[#This Row],[SalesBot]]*Table4[[#This Row],[နှုံး]]</f>
        <v>4800</v>
      </c>
      <c r="Y185" s="12"/>
      <c r="Z185" s="12"/>
      <c r="AA185" s="12"/>
      <c r="AB185" s="9"/>
      <c r="AC185" s="12">
        <v>4800</v>
      </c>
      <c r="AD185" s="9"/>
      <c r="AE185" s="12"/>
      <c r="AF18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85" s="24"/>
      <c r="AH185" s="266">
        <f>Table4[[#This Row],[Date]]</f>
        <v>46034</v>
      </c>
      <c r="AI185" s="264" t="str">
        <f t="shared" si="20"/>
        <v>Jan</v>
      </c>
      <c r="AJ185" s="264" t="str">
        <f t="shared" si="21"/>
        <v>2026</v>
      </c>
      <c r="AK185" s="270" t="str">
        <f>Table4[[#This Row],[ကုန်သည်အမည်]]</f>
        <v>ဦးသိန်းဝင်း</v>
      </c>
      <c r="AL185" s="270" t="str">
        <f>Table4[[#This Row],[Township]]</f>
        <v>Maw La Myaing</v>
      </c>
      <c r="AM185" s="271" t="str">
        <f>Table4[[#This Row],[WholeSales]]</f>
        <v>Van Sales</v>
      </c>
      <c r="AN185" s="272" t="str">
        <f>Table4[[#This Row],[Particular]]</f>
        <v>ကုန်ရောင်း(လက်ငင်း)</v>
      </c>
      <c r="AO185" s="273" t="str">
        <f>Table4[[#This Row],[StockName]]</f>
        <v>ဒဂုံမန်ကျည်း ကော်ဘူး (1 Liter)</v>
      </c>
      <c r="AP185" s="268">
        <f>Table4[[#This Row],[Parking]]</f>
        <v>0.25</v>
      </c>
      <c r="AQ185" s="268">
        <f>Table4[[#This Row],[SalesBot]]</f>
        <v>3</v>
      </c>
      <c r="AR185" s="268">
        <f>Table4[[#This Row],[Liter]]</f>
        <v>3</v>
      </c>
    </row>
    <row r="186" spans="1:44" s="16" customFormat="1" hidden="1" x14ac:dyDescent="0.5">
      <c r="A186" s="3">
        <f t="shared" si="30"/>
        <v>2026</v>
      </c>
      <c r="B186" s="8">
        <f t="shared" si="31"/>
        <v>1</v>
      </c>
      <c r="C186" s="6">
        <v>46034</v>
      </c>
      <c r="D186" s="15">
        <f t="shared" ca="1" si="32"/>
        <v>46097</v>
      </c>
      <c r="E186" s="15" t="str">
        <f t="shared" ca="1" si="33"/>
        <v>2-Months</v>
      </c>
      <c r="F186" s="8" t="str">
        <f>VLOOKUP(N186,Stock[#Data],5,FALSE)</f>
        <v>BE</v>
      </c>
      <c r="G186" s="82" t="s">
        <v>762</v>
      </c>
      <c r="H186" s="15" t="s">
        <v>439</v>
      </c>
      <c r="I186" s="7" t="s">
        <v>763</v>
      </c>
      <c r="J186" s="8" t="str">
        <f>VLOOKUP(I186,Customers[#Data],2,FALSE)</f>
        <v>ဦးသိန်းဝင်း</v>
      </c>
      <c r="K186" s="15" t="str">
        <f>VLOOKUP(I186,Customers[#Data],4,FALSE)</f>
        <v>Maw La Myaing</v>
      </c>
      <c r="L186" s="15" t="str">
        <f>VLOOKUP(I186,Customers[#Data],5,FALSE)</f>
        <v>Van Sales</v>
      </c>
      <c r="M186" s="7" t="s">
        <v>6</v>
      </c>
      <c r="N186" s="7" t="s">
        <v>508</v>
      </c>
      <c r="O186" s="14" t="str">
        <f>VLOOKUP(N186,Stock[#Data],2,FALSE)</f>
        <v>ကောင်းကြည်-1Li</v>
      </c>
      <c r="P186" s="44">
        <f>VLOOKUP(N186,Stock[#Data],3,FALSE)</f>
        <v>1</v>
      </c>
      <c r="Q186" s="3">
        <f>VLOOKUP(N186,Stock[#Data],4,FALSE)</f>
        <v>12</v>
      </c>
      <c r="R186" s="11">
        <v>3</v>
      </c>
      <c r="S186" s="45">
        <f>IFERROR(Table4[[#This Row],[Bottle]]/Table4[[#This Row],[ပါဝင်မှု]]+Table4[[#This Row],[SalesPK]],0)</f>
        <v>0.25</v>
      </c>
      <c r="T186" s="12"/>
      <c r="U186" s="10">
        <f>Table4[[#This Row],[ပါဝင်မှု]]*Table4[[#This Row],[SalesPK]]+Table4[[#This Row],[Bottle]]</f>
        <v>3</v>
      </c>
      <c r="V186" s="10">
        <f>Table4[[#This Row],[SalesBot]]*Table4[[#This Row],[ML]]</f>
        <v>3</v>
      </c>
      <c r="W186" s="1">
        <f>VLOOKUP(N186,Stock[#Data],6,FALSE)</f>
        <v>1850</v>
      </c>
      <c r="X186" s="8">
        <f>+Table4[[#This Row],[SalesBot]]*Table4[[#This Row],[နှုံး]]</f>
        <v>5550</v>
      </c>
      <c r="Y186" s="12"/>
      <c r="Z186" s="12"/>
      <c r="AA186" s="12"/>
      <c r="AB186" s="9"/>
      <c r="AC186" s="12">
        <v>5550</v>
      </c>
      <c r="AD186" s="9"/>
      <c r="AE186" s="12"/>
      <c r="AF18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86" s="24"/>
      <c r="AH186" s="266">
        <f>Table4[[#This Row],[Date]]</f>
        <v>46034</v>
      </c>
      <c r="AI186" s="264" t="str">
        <f t="shared" si="20"/>
        <v>Jan</v>
      </c>
      <c r="AJ186" s="264" t="str">
        <f t="shared" si="21"/>
        <v>2026</v>
      </c>
      <c r="AK186" s="270" t="str">
        <f>Table4[[#This Row],[ကုန်သည်အမည်]]</f>
        <v>ဦးသိန်းဝင်း</v>
      </c>
      <c r="AL186" s="270" t="str">
        <f>Table4[[#This Row],[Township]]</f>
        <v>Maw La Myaing</v>
      </c>
      <c r="AM186" s="271" t="str">
        <f>Table4[[#This Row],[WholeSales]]</f>
        <v>Van Sales</v>
      </c>
      <c r="AN186" s="272" t="str">
        <f>Table4[[#This Row],[Particular]]</f>
        <v>ကုန်ရောင်း(လက်ငင်း)</v>
      </c>
      <c r="AO186" s="273" t="str">
        <f>Table4[[#This Row],[StockName]]</f>
        <v>ကောင်းကြည်-1Li</v>
      </c>
      <c r="AP186" s="268">
        <f>Table4[[#This Row],[Parking]]</f>
        <v>0.25</v>
      </c>
      <c r="AQ186" s="268">
        <f>Table4[[#This Row],[SalesBot]]</f>
        <v>3</v>
      </c>
      <c r="AR186" s="268">
        <f>Table4[[#This Row],[Liter]]</f>
        <v>3</v>
      </c>
    </row>
    <row r="187" spans="1:44" s="16" customFormat="1" hidden="1" x14ac:dyDescent="0.5">
      <c r="A187" s="3">
        <f t="shared" si="30"/>
        <v>2026</v>
      </c>
      <c r="B187" s="8">
        <f t="shared" si="31"/>
        <v>1</v>
      </c>
      <c r="C187" s="6">
        <v>46034</v>
      </c>
      <c r="D187" s="15">
        <f t="shared" ca="1" si="32"/>
        <v>46097</v>
      </c>
      <c r="E187" s="15" t="str">
        <f t="shared" ca="1" si="33"/>
        <v>2-Months</v>
      </c>
      <c r="F187" s="8" t="str">
        <f>VLOOKUP(N187,Stock[#Data],5,FALSE)</f>
        <v>BE</v>
      </c>
      <c r="G187" s="82" t="s">
        <v>762</v>
      </c>
      <c r="H187" s="15" t="s">
        <v>439</v>
      </c>
      <c r="I187" s="7" t="s">
        <v>763</v>
      </c>
      <c r="J187" s="8" t="str">
        <f>VLOOKUP(I187,Customers[#Data],2,FALSE)</f>
        <v>ဦးသိန်းဝင်း</v>
      </c>
      <c r="K187" s="15" t="str">
        <f>VLOOKUP(I187,Customers[#Data],4,FALSE)</f>
        <v>Maw La Myaing</v>
      </c>
      <c r="L187" s="15" t="str">
        <f>VLOOKUP(I187,Customers[#Data],5,FALSE)</f>
        <v>Van Sales</v>
      </c>
      <c r="M187" s="7" t="s">
        <v>6</v>
      </c>
      <c r="N187" s="7" t="s">
        <v>425</v>
      </c>
      <c r="O187" s="14" t="str">
        <f>VLOOKUP(N187,Stock[#Data],2,FALSE)</f>
        <v>ကောင်းကြည်-1Li</v>
      </c>
      <c r="P187" s="44">
        <f>VLOOKUP(N187,Stock[#Data],3,FALSE)</f>
        <v>1</v>
      </c>
      <c r="Q187" s="3">
        <f>VLOOKUP(N187,Stock[#Data],4,FALSE)</f>
        <v>12</v>
      </c>
      <c r="R187" s="11">
        <v>3</v>
      </c>
      <c r="S187" s="45">
        <f>IFERROR(Table4[[#This Row],[Bottle]]/Table4[[#This Row],[ပါဝင်မှု]]+Table4[[#This Row],[SalesPK]],0)</f>
        <v>0.25</v>
      </c>
      <c r="T187" s="12"/>
      <c r="U187" s="10">
        <f>Table4[[#This Row],[ပါဝင်မှု]]*Table4[[#This Row],[SalesPK]]+Table4[[#This Row],[Bottle]]</f>
        <v>3</v>
      </c>
      <c r="V187" s="10">
        <f>Table4[[#This Row],[SalesBot]]*Table4[[#This Row],[ML]]</f>
        <v>3</v>
      </c>
      <c r="W187" s="1">
        <f>VLOOKUP(N187,Stock[#Data],6,FALSE)</f>
        <v>1500</v>
      </c>
      <c r="X187" s="8">
        <f>+Table4[[#This Row],[SalesBot]]*Table4[[#This Row],[နှုံး]]</f>
        <v>4500</v>
      </c>
      <c r="Y187" s="12"/>
      <c r="Z187" s="12"/>
      <c r="AA187" s="12"/>
      <c r="AB187" s="9"/>
      <c r="AC187" s="12">
        <v>4500</v>
      </c>
      <c r="AD187" s="9"/>
      <c r="AE187" s="12"/>
      <c r="AF18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87" s="24"/>
      <c r="AH187" s="266">
        <f>Table4[[#This Row],[Date]]</f>
        <v>46034</v>
      </c>
      <c r="AI187" s="264" t="str">
        <f t="shared" si="20"/>
        <v>Jan</v>
      </c>
      <c r="AJ187" s="264" t="str">
        <f t="shared" si="21"/>
        <v>2026</v>
      </c>
      <c r="AK187" s="270" t="str">
        <f>Table4[[#This Row],[ကုန်သည်အမည်]]</f>
        <v>ဦးသိန်းဝင်း</v>
      </c>
      <c r="AL187" s="270" t="str">
        <f>Table4[[#This Row],[Township]]</f>
        <v>Maw La Myaing</v>
      </c>
      <c r="AM187" s="271" t="str">
        <f>Table4[[#This Row],[WholeSales]]</f>
        <v>Van Sales</v>
      </c>
      <c r="AN187" s="272" t="str">
        <f>Table4[[#This Row],[Particular]]</f>
        <v>ကုန်ရောင်း(လက်ငင်း)</v>
      </c>
      <c r="AO187" s="273" t="str">
        <f>Table4[[#This Row],[StockName]]</f>
        <v>ကောင်းကြည်-1Li</v>
      </c>
      <c r="AP187" s="268">
        <f>Table4[[#This Row],[Parking]]</f>
        <v>0.25</v>
      </c>
      <c r="AQ187" s="268">
        <f>Table4[[#This Row],[SalesBot]]</f>
        <v>3</v>
      </c>
      <c r="AR187" s="268">
        <f>Table4[[#This Row],[Liter]]</f>
        <v>3</v>
      </c>
    </row>
    <row r="188" spans="1:44" s="16" customFormat="1" hidden="1" x14ac:dyDescent="0.5">
      <c r="A188" s="3">
        <f t="shared" si="30"/>
        <v>2026</v>
      </c>
      <c r="B188" s="8">
        <f t="shared" si="31"/>
        <v>1</v>
      </c>
      <c r="C188" s="6">
        <v>46034</v>
      </c>
      <c r="D188" s="15">
        <f t="shared" ca="1" si="32"/>
        <v>46097</v>
      </c>
      <c r="E188" s="15" t="str">
        <f t="shared" ca="1" si="33"/>
        <v>2-Months</v>
      </c>
      <c r="F188" s="8" t="str">
        <f>VLOOKUP(N188,Stock[#Data],5,FALSE)</f>
        <v>BE</v>
      </c>
      <c r="G188" s="82" t="s">
        <v>762</v>
      </c>
      <c r="H188" s="15" t="s">
        <v>439</v>
      </c>
      <c r="I188" s="7" t="s">
        <v>108</v>
      </c>
      <c r="J188" s="8" t="str">
        <f>VLOOKUP(I188,Customers[#Data],2,FALSE)</f>
        <v>ကိုညီညီဆွေ</v>
      </c>
      <c r="K188" s="15" t="str">
        <f>VLOOKUP(I188,Customers[#Data],4,FALSE)</f>
        <v>Maw La Myaing</v>
      </c>
      <c r="L188" s="15" t="str">
        <f>VLOOKUP(I188,Customers[#Data],5,FALSE)</f>
        <v>WholeSales</v>
      </c>
      <c r="M188" s="7" t="s">
        <v>9</v>
      </c>
      <c r="N188" s="7" t="s">
        <v>522</v>
      </c>
      <c r="O188" s="14" t="str">
        <f>VLOOKUP(N188,Stock[#Data],2,FALSE)</f>
        <v>ဒဂုံမန်ကျည်း ကော်ဘူး (1 Liter)</v>
      </c>
      <c r="P188" s="44">
        <f>VLOOKUP(N188,Stock[#Data],3,FALSE)</f>
        <v>1</v>
      </c>
      <c r="Q188" s="3">
        <f>VLOOKUP(N188,Stock[#Data],4,FALSE)</f>
        <v>12</v>
      </c>
      <c r="R188" s="11">
        <v>1</v>
      </c>
      <c r="S188" s="45">
        <f>IFERROR(Table4[[#This Row],[Bottle]]/Table4[[#This Row],[ပါဝင်မှု]]+Table4[[#This Row],[SalesPK]],0)</f>
        <v>8.3333333333333329E-2</v>
      </c>
      <c r="T188" s="12"/>
      <c r="U188" s="10">
        <f>Table4[[#This Row],[ပါဝင်မှု]]*Table4[[#This Row],[SalesPK]]+Table4[[#This Row],[Bottle]]</f>
        <v>1</v>
      </c>
      <c r="V188" s="10">
        <f>Table4[[#This Row],[SalesBot]]*Table4[[#This Row],[ML]]</f>
        <v>1</v>
      </c>
      <c r="W188" s="1">
        <f>VLOOKUP(N188,Stock[#Data],6,FALSE)</f>
        <v>1600</v>
      </c>
      <c r="X188" s="8">
        <f>+Table4[[#This Row],[SalesBot]]*Table4[[#This Row],[နှုံး]]</f>
        <v>1600</v>
      </c>
      <c r="Y188" s="12"/>
      <c r="Z188" s="12"/>
      <c r="AA188" s="12"/>
      <c r="AB188" s="9"/>
      <c r="AC188" s="12"/>
      <c r="AD188" s="9"/>
      <c r="AE188" s="12"/>
      <c r="AF18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188" s="24"/>
      <c r="AH188" s="266">
        <f>Table4[[#This Row],[Date]]</f>
        <v>46034</v>
      </c>
      <c r="AI188" s="264" t="str">
        <f t="shared" si="20"/>
        <v>Jan</v>
      </c>
      <c r="AJ188" s="264" t="str">
        <f t="shared" si="21"/>
        <v>2026</v>
      </c>
      <c r="AK188" s="270" t="str">
        <f>Table4[[#This Row],[ကုန်သည်အမည်]]</f>
        <v>ကိုညီညီဆွေ</v>
      </c>
      <c r="AL188" s="270" t="str">
        <f>Table4[[#This Row],[Township]]</f>
        <v>Maw La Myaing</v>
      </c>
      <c r="AM188" s="271" t="str">
        <f>Table4[[#This Row],[WholeSales]]</f>
        <v>WholeSales</v>
      </c>
      <c r="AN188" s="272" t="str">
        <f>Table4[[#This Row],[Particular]]</f>
        <v>လက်ဆောင်</v>
      </c>
      <c r="AO188" s="273" t="str">
        <f>Table4[[#This Row],[StockName]]</f>
        <v>ဒဂုံမန်ကျည်း ကော်ဘူး (1 Liter)</v>
      </c>
      <c r="AP188" s="268">
        <f>Table4[[#This Row],[Parking]]</f>
        <v>8.3333333333333329E-2</v>
      </c>
      <c r="AQ188" s="268">
        <f>Table4[[#This Row],[SalesBot]]</f>
        <v>1</v>
      </c>
      <c r="AR188" s="268">
        <f>Table4[[#This Row],[Liter]]</f>
        <v>1</v>
      </c>
    </row>
    <row r="189" spans="1:44" s="16" customFormat="1" hidden="1" x14ac:dyDescent="0.5">
      <c r="A189" s="3">
        <f t="shared" si="30"/>
        <v>2026</v>
      </c>
      <c r="B189" s="8">
        <f t="shared" si="31"/>
        <v>1</v>
      </c>
      <c r="C189" s="6">
        <v>46034</v>
      </c>
      <c r="D189" s="15">
        <f t="shared" ca="1" si="32"/>
        <v>46097</v>
      </c>
      <c r="E189" s="15" t="str">
        <f t="shared" ca="1" si="33"/>
        <v>2-Months</v>
      </c>
      <c r="F189" s="8" t="str">
        <f>VLOOKUP(N189,Stock[#Data],5,FALSE)</f>
        <v>BE</v>
      </c>
      <c r="G189" s="82" t="s">
        <v>762</v>
      </c>
      <c r="H189" s="15" t="s">
        <v>439</v>
      </c>
      <c r="I189" s="7" t="s">
        <v>108</v>
      </c>
      <c r="J189" s="8" t="str">
        <f>VLOOKUP(I189,Customers[#Data],2,FALSE)</f>
        <v>ကိုညီညီဆွေ</v>
      </c>
      <c r="K189" s="15" t="str">
        <f>VLOOKUP(I189,Customers[#Data],4,FALSE)</f>
        <v>Maw La Myaing</v>
      </c>
      <c r="L189" s="15" t="str">
        <f>VLOOKUP(I189,Customers[#Data],5,FALSE)</f>
        <v>WholeSales</v>
      </c>
      <c r="M189" s="7" t="s">
        <v>9</v>
      </c>
      <c r="N189" s="7" t="s">
        <v>508</v>
      </c>
      <c r="O189" s="14" t="str">
        <f>VLOOKUP(N189,Stock[#Data],2,FALSE)</f>
        <v>ကောင်းကြည်-1Li</v>
      </c>
      <c r="P189" s="44">
        <f>VLOOKUP(N189,Stock[#Data],3,FALSE)</f>
        <v>1</v>
      </c>
      <c r="Q189" s="3">
        <f>VLOOKUP(N189,Stock[#Data],4,FALSE)</f>
        <v>12</v>
      </c>
      <c r="R189" s="11">
        <v>1</v>
      </c>
      <c r="S189" s="45">
        <f>IFERROR(Table4[[#This Row],[Bottle]]/Table4[[#This Row],[ပါဝင်မှု]]+Table4[[#This Row],[SalesPK]],0)</f>
        <v>8.3333333333333329E-2</v>
      </c>
      <c r="T189" s="12"/>
      <c r="U189" s="10">
        <f>Table4[[#This Row],[ပါဝင်မှု]]*Table4[[#This Row],[SalesPK]]+Table4[[#This Row],[Bottle]]</f>
        <v>1</v>
      </c>
      <c r="V189" s="10">
        <f>Table4[[#This Row],[SalesBot]]*Table4[[#This Row],[ML]]</f>
        <v>1</v>
      </c>
      <c r="W189" s="1">
        <f>VLOOKUP(N189,Stock[#Data],6,FALSE)</f>
        <v>1850</v>
      </c>
      <c r="X189" s="8">
        <f>+Table4[[#This Row],[SalesBot]]*Table4[[#This Row],[နှုံး]]</f>
        <v>1850</v>
      </c>
      <c r="Y189" s="12"/>
      <c r="Z189" s="12"/>
      <c r="AA189" s="12"/>
      <c r="AB189" s="9"/>
      <c r="AC189" s="12"/>
      <c r="AD189" s="9"/>
      <c r="AE189" s="12"/>
      <c r="AF18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189" s="24"/>
      <c r="AH189" s="266">
        <f>Table4[[#This Row],[Date]]</f>
        <v>46034</v>
      </c>
      <c r="AI189" s="264" t="str">
        <f t="shared" si="20"/>
        <v>Jan</v>
      </c>
      <c r="AJ189" s="264" t="str">
        <f t="shared" si="21"/>
        <v>2026</v>
      </c>
      <c r="AK189" s="270" t="str">
        <f>Table4[[#This Row],[ကုန်သည်အမည်]]</f>
        <v>ကိုညီညီဆွေ</v>
      </c>
      <c r="AL189" s="270" t="str">
        <f>Table4[[#This Row],[Township]]</f>
        <v>Maw La Myaing</v>
      </c>
      <c r="AM189" s="271" t="str">
        <f>Table4[[#This Row],[WholeSales]]</f>
        <v>WholeSales</v>
      </c>
      <c r="AN189" s="272" t="str">
        <f>Table4[[#This Row],[Particular]]</f>
        <v>လက်ဆောင်</v>
      </c>
      <c r="AO189" s="273" t="str">
        <f>Table4[[#This Row],[StockName]]</f>
        <v>ကောင်းကြည်-1Li</v>
      </c>
      <c r="AP189" s="268">
        <f>Table4[[#This Row],[Parking]]</f>
        <v>8.3333333333333329E-2</v>
      </c>
      <c r="AQ189" s="268">
        <f>Table4[[#This Row],[SalesBot]]</f>
        <v>1</v>
      </c>
      <c r="AR189" s="268">
        <f>Table4[[#This Row],[Liter]]</f>
        <v>1</v>
      </c>
    </row>
    <row r="190" spans="1:44" s="16" customFormat="1" hidden="1" x14ac:dyDescent="0.5">
      <c r="A190" s="3">
        <f t="shared" si="30"/>
        <v>2026</v>
      </c>
      <c r="B190" s="8">
        <f t="shared" si="31"/>
        <v>1</v>
      </c>
      <c r="C190" s="6">
        <v>46034</v>
      </c>
      <c r="D190" s="15">
        <f t="shared" ca="1" si="32"/>
        <v>46097</v>
      </c>
      <c r="E190" s="15" t="str">
        <f t="shared" ca="1" si="33"/>
        <v>2-Months</v>
      </c>
      <c r="F190" s="8" t="str">
        <f>VLOOKUP(N190,Stock[#Data],5,FALSE)</f>
        <v>BE</v>
      </c>
      <c r="G190" s="82" t="s">
        <v>762</v>
      </c>
      <c r="H190" s="15" t="s">
        <v>439</v>
      </c>
      <c r="I190" s="7" t="s">
        <v>108</v>
      </c>
      <c r="J190" s="8" t="str">
        <f>VLOOKUP(I190,Customers[#Data],2,FALSE)</f>
        <v>ကိုညီညီဆွေ</v>
      </c>
      <c r="K190" s="15" t="str">
        <f>VLOOKUP(I190,Customers[#Data],4,FALSE)</f>
        <v>Maw La Myaing</v>
      </c>
      <c r="L190" s="15" t="str">
        <f>VLOOKUP(I190,Customers[#Data],5,FALSE)</f>
        <v>WholeSales</v>
      </c>
      <c r="M190" s="7" t="s">
        <v>9</v>
      </c>
      <c r="N190" s="7" t="s">
        <v>425</v>
      </c>
      <c r="O190" s="14" t="str">
        <f>VLOOKUP(N190,Stock[#Data],2,FALSE)</f>
        <v>ကောင်းကြည်-1Li</v>
      </c>
      <c r="P190" s="44">
        <f>VLOOKUP(N190,Stock[#Data],3,FALSE)</f>
        <v>1</v>
      </c>
      <c r="Q190" s="3">
        <f>VLOOKUP(N190,Stock[#Data],4,FALSE)</f>
        <v>12</v>
      </c>
      <c r="R190" s="11">
        <v>1</v>
      </c>
      <c r="S190" s="45">
        <f>IFERROR(Table4[[#This Row],[Bottle]]/Table4[[#This Row],[ပါဝင်မှု]]+Table4[[#This Row],[SalesPK]],0)</f>
        <v>8.3333333333333329E-2</v>
      </c>
      <c r="T190" s="12"/>
      <c r="U190" s="10">
        <f>Table4[[#This Row],[ပါဝင်မှု]]*Table4[[#This Row],[SalesPK]]+Table4[[#This Row],[Bottle]]</f>
        <v>1</v>
      </c>
      <c r="V190" s="10">
        <f>Table4[[#This Row],[SalesBot]]*Table4[[#This Row],[ML]]</f>
        <v>1</v>
      </c>
      <c r="W190" s="1">
        <f>VLOOKUP(N190,Stock[#Data],6,FALSE)</f>
        <v>1500</v>
      </c>
      <c r="X190" s="8">
        <f>+Table4[[#This Row],[SalesBot]]*Table4[[#This Row],[နှုံး]]</f>
        <v>1500</v>
      </c>
      <c r="Y190" s="12"/>
      <c r="Z190" s="12"/>
      <c r="AA190" s="12"/>
      <c r="AB190" s="9"/>
      <c r="AC190" s="12"/>
      <c r="AD190" s="9"/>
      <c r="AE190" s="12"/>
      <c r="AF19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190" s="24"/>
      <c r="AH190" s="266">
        <f>Table4[[#This Row],[Date]]</f>
        <v>46034</v>
      </c>
      <c r="AI190" s="264" t="str">
        <f t="shared" si="20"/>
        <v>Jan</v>
      </c>
      <c r="AJ190" s="264" t="str">
        <f t="shared" si="21"/>
        <v>2026</v>
      </c>
      <c r="AK190" s="270" t="str">
        <f>Table4[[#This Row],[ကုန်သည်အမည်]]</f>
        <v>ကိုညီညီဆွေ</v>
      </c>
      <c r="AL190" s="270" t="str">
        <f>Table4[[#This Row],[Township]]</f>
        <v>Maw La Myaing</v>
      </c>
      <c r="AM190" s="271" t="str">
        <f>Table4[[#This Row],[WholeSales]]</f>
        <v>WholeSales</v>
      </c>
      <c r="AN190" s="272" t="str">
        <f>Table4[[#This Row],[Particular]]</f>
        <v>လက်ဆောင်</v>
      </c>
      <c r="AO190" s="273" t="str">
        <f>Table4[[#This Row],[StockName]]</f>
        <v>ကောင်းကြည်-1Li</v>
      </c>
      <c r="AP190" s="268">
        <f>Table4[[#This Row],[Parking]]</f>
        <v>8.3333333333333329E-2</v>
      </c>
      <c r="AQ190" s="268">
        <f>Table4[[#This Row],[SalesBot]]</f>
        <v>1</v>
      </c>
      <c r="AR190" s="268">
        <f>Table4[[#This Row],[Liter]]</f>
        <v>1</v>
      </c>
    </row>
    <row r="191" spans="1:44" s="16" customFormat="1" hidden="1" x14ac:dyDescent="0.5">
      <c r="A191" s="3">
        <f t="shared" si="30"/>
        <v>2026</v>
      </c>
      <c r="B191" s="8">
        <f t="shared" si="31"/>
        <v>1</v>
      </c>
      <c r="C191" s="6">
        <v>46034</v>
      </c>
      <c r="D191" s="15">
        <f t="shared" ca="1" si="32"/>
        <v>46097</v>
      </c>
      <c r="E191" s="15" t="str">
        <f t="shared" ca="1" si="33"/>
        <v>2-Months</v>
      </c>
      <c r="F191" s="8" t="str">
        <f>VLOOKUP(N191,Stock[#Data],5,FALSE)</f>
        <v>BE</v>
      </c>
      <c r="G191" s="6"/>
      <c r="H191" s="15"/>
      <c r="I191" s="7" t="s">
        <v>106</v>
      </c>
      <c r="J191" s="8" t="str">
        <f>VLOOKUP(I191,Customers[#Data],2,FALSE)</f>
        <v>ကိုမျိုးအောင်</v>
      </c>
      <c r="K191" s="15" t="str">
        <f>VLOOKUP(I191,Customers[#Data],4,FALSE)</f>
        <v>Maw La Myaing</v>
      </c>
      <c r="L191" s="15" t="str">
        <f>VLOOKUP(I191,Customers[#Data],5,FALSE)</f>
        <v>WholeSales</v>
      </c>
      <c r="M191" s="7" t="s">
        <v>9</v>
      </c>
      <c r="N191" s="7" t="s">
        <v>522</v>
      </c>
      <c r="O191" s="14" t="str">
        <f>VLOOKUP(N191,Stock[#Data],2,FALSE)</f>
        <v>ဒဂုံမန်ကျည်း ကော်ဘူး (1 Liter)</v>
      </c>
      <c r="P191" s="44">
        <f>VLOOKUP(N191,Stock[#Data],3,FALSE)</f>
        <v>1</v>
      </c>
      <c r="Q191" s="3">
        <f>VLOOKUP(N191,Stock[#Data],4,FALSE)</f>
        <v>12</v>
      </c>
      <c r="R191" s="11">
        <v>1</v>
      </c>
      <c r="S191" s="45">
        <f>IFERROR(Table4[[#This Row],[Bottle]]/Table4[[#This Row],[ပါဝင်မှု]]+Table4[[#This Row],[SalesPK]],0)</f>
        <v>8.3333333333333329E-2</v>
      </c>
      <c r="T191" s="12"/>
      <c r="U191" s="10">
        <f>Table4[[#This Row],[ပါဝင်မှု]]*Table4[[#This Row],[SalesPK]]+Table4[[#This Row],[Bottle]]</f>
        <v>1</v>
      </c>
      <c r="V191" s="10">
        <f>Table4[[#This Row],[SalesBot]]*Table4[[#This Row],[ML]]</f>
        <v>1</v>
      </c>
      <c r="W191" s="1">
        <f>VLOOKUP(N191,Stock[#Data],6,FALSE)</f>
        <v>1600</v>
      </c>
      <c r="X191" s="8">
        <f>+Table4[[#This Row],[SalesBot]]*Table4[[#This Row],[နှုံး]]</f>
        <v>1600</v>
      </c>
      <c r="Y191" s="12"/>
      <c r="Z191" s="12"/>
      <c r="AA191" s="12"/>
      <c r="AB191" s="9"/>
      <c r="AC191" s="12"/>
      <c r="AD191" s="9"/>
      <c r="AE191" s="12"/>
      <c r="AF19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191" s="24"/>
      <c r="AH191" s="266">
        <f>Table4[[#This Row],[Date]]</f>
        <v>46034</v>
      </c>
      <c r="AI191" s="264" t="str">
        <f t="shared" si="20"/>
        <v>Jan</v>
      </c>
      <c r="AJ191" s="264" t="str">
        <f t="shared" si="21"/>
        <v>2026</v>
      </c>
      <c r="AK191" s="270" t="str">
        <f>Table4[[#This Row],[ကုန်သည်အမည်]]</f>
        <v>ကိုမျိုးအောင်</v>
      </c>
      <c r="AL191" s="270" t="str">
        <f>Table4[[#This Row],[Township]]</f>
        <v>Maw La Myaing</v>
      </c>
      <c r="AM191" s="271" t="str">
        <f>Table4[[#This Row],[WholeSales]]</f>
        <v>WholeSales</v>
      </c>
      <c r="AN191" s="272" t="str">
        <f>Table4[[#This Row],[Particular]]</f>
        <v>လက်ဆောင်</v>
      </c>
      <c r="AO191" s="273" t="str">
        <f>Table4[[#This Row],[StockName]]</f>
        <v>ဒဂုံမန်ကျည်း ကော်ဘူး (1 Liter)</v>
      </c>
      <c r="AP191" s="268">
        <f>Table4[[#This Row],[Parking]]</f>
        <v>8.3333333333333329E-2</v>
      </c>
      <c r="AQ191" s="268">
        <f>Table4[[#This Row],[SalesBot]]</f>
        <v>1</v>
      </c>
      <c r="AR191" s="268">
        <f>Table4[[#This Row],[Liter]]</f>
        <v>1</v>
      </c>
    </row>
    <row r="192" spans="1:44" s="16" customFormat="1" hidden="1" x14ac:dyDescent="0.5">
      <c r="A192" s="3">
        <f t="shared" si="30"/>
        <v>2026</v>
      </c>
      <c r="B192" s="8">
        <f t="shared" si="31"/>
        <v>1</v>
      </c>
      <c r="C192" s="6">
        <v>46034</v>
      </c>
      <c r="D192" s="15">
        <f t="shared" ca="1" si="32"/>
        <v>46097</v>
      </c>
      <c r="E192" s="15" t="str">
        <f t="shared" ca="1" si="33"/>
        <v>2-Months</v>
      </c>
      <c r="F192" s="8" t="str">
        <f>VLOOKUP(N192,Stock[#Data],5,FALSE)</f>
        <v>BE</v>
      </c>
      <c r="G192" s="6"/>
      <c r="H192" s="15"/>
      <c r="I192" s="7" t="s">
        <v>106</v>
      </c>
      <c r="J192" s="8" t="str">
        <f>VLOOKUP(I192,Customers[#Data],2,FALSE)</f>
        <v>ကိုမျိုးအောင်</v>
      </c>
      <c r="K192" s="15" t="str">
        <f>VLOOKUP(I192,Customers[#Data],4,FALSE)</f>
        <v>Maw La Myaing</v>
      </c>
      <c r="L192" s="15" t="str">
        <f>VLOOKUP(I192,Customers[#Data],5,FALSE)</f>
        <v>WholeSales</v>
      </c>
      <c r="M192" s="7" t="s">
        <v>9</v>
      </c>
      <c r="N192" s="7" t="s">
        <v>508</v>
      </c>
      <c r="O192" s="14" t="str">
        <f>VLOOKUP(N192,Stock[#Data],2,FALSE)</f>
        <v>ကောင်းကြည်-1Li</v>
      </c>
      <c r="P192" s="44">
        <f>VLOOKUP(N192,Stock[#Data],3,FALSE)</f>
        <v>1</v>
      </c>
      <c r="Q192" s="3">
        <f>VLOOKUP(N192,Stock[#Data],4,FALSE)</f>
        <v>12</v>
      </c>
      <c r="R192" s="11">
        <v>1</v>
      </c>
      <c r="S192" s="45">
        <f>IFERROR(Table4[[#This Row],[Bottle]]/Table4[[#This Row],[ပါဝင်မှု]]+Table4[[#This Row],[SalesPK]],0)</f>
        <v>8.3333333333333329E-2</v>
      </c>
      <c r="T192" s="12"/>
      <c r="U192" s="10">
        <f>Table4[[#This Row],[ပါဝင်မှု]]*Table4[[#This Row],[SalesPK]]+Table4[[#This Row],[Bottle]]</f>
        <v>1</v>
      </c>
      <c r="V192" s="10">
        <f>Table4[[#This Row],[SalesBot]]*Table4[[#This Row],[ML]]</f>
        <v>1</v>
      </c>
      <c r="W192" s="1">
        <f>VLOOKUP(N192,Stock[#Data],6,FALSE)</f>
        <v>1850</v>
      </c>
      <c r="X192" s="8">
        <f>+Table4[[#This Row],[SalesBot]]*Table4[[#This Row],[နှုံး]]</f>
        <v>1850</v>
      </c>
      <c r="Y192" s="12"/>
      <c r="Z192" s="12"/>
      <c r="AA192" s="12"/>
      <c r="AB192" s="9"/>
      <c r="AC192" s="12"/>
      <c r="AD192" s="9"/>
      <c r="AE192" s="12"/>
      <c r="AF19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192" s="24"/>
      <c r="AH192" s="266">
        <f>Table4[[#This Row],[Date]]</f>
        <v>46034</v>
      </c>
      <c r="AI192" s="264" t="str">
        <f t="shared" si="20"/>
        <v>Jan</v>
      </c>
      <c r="AJ192" s="264" t="str">
        <f t="shared" si="21"/>
        <v>2026</v>
      </c>
      <c r="AK192" s="270" t="str">
        <f>Table4[[#This Row],[ကုန်သည်အမည်]]</f>
        <v>ကိုမျိုးအောင်</v>
      </c>
      <c r="AL192" s="270" t="str">
        <f>Table4[[#This Row],[Township]]</f>
        <v>Maw La Myaing</v>
      </c>
      <c r="AM192" s="271" t="str">
        <f>Table4[[#This Row],[WholeSales]]</f>
        <v>WholeSales</v>
      </c>
      <c r="AN192" s="272" t="str">
        <f>Table4[[#This Row],[Particular]]</f>
        <v>လက်ဆောင်</v>
      </c>
      <c r="AO192" s="273" t="str">
        <f>Table4[[#This Row],[StockName]]</f>
        <v>ကောင်းကြည်-1Li</v>
      </c>
      <c r="AP192" s="268">
        <f>Table4[[#This Row],[Parking]]</f>
        <v>8.3333333333333329E-2</v>
      </c>
      <c r="AQ192" s="268">
        <f>Table4[[#This Row],[SalesBot]]</f>
        <v>1</v>
      </c>
      <c r="AR192" s="268">
        <f>Table4[[#This Row],[Liter]]</f>
        <v>1</v>
      </c>
    </row>
    <row r="193" spans="1:44" s="16" customFormat="1" hidden="1" x14ac:dyDescent="0.5">
      <c r="A193" s="3">
        <f t="shared" si="30"/>
        <v>2026</v>
      </c>
      <c r="B193" s="8">
        <f t="shared" si="31"/>
        <v>1</v>
      </c>
      <c r="C193" s="6">
        <v>46034</v>
      </c>
      <c r="D193" s="15">
        <f t="shared" ca="1" si="32"/>
        <v>46097</v>
      </c>
      <c r="E193" s="15" t="str">
        <f t="shared" ca="1" si="33"/>
        <v>2-Months</v>
      </c>
      <c r="F193" s="8" t="str">
        <f>VLOOKUP(N193,Stock[#Data],5,FALSE)</f>
        <v>BE</v>
      </c>
      <c r="G193" s="6"/>
      <c r="H193" s="15"/>
      <c r="I193" s="7" t="s">
        <v>106</v>
      </c>
      <c r="J193" s="8" t="str">
        <f>VLOOKUP(I193,Customers[#Data],2,FALSE)</f>
        <v>ကိုမျိုးအောင်</v>
      </c>
      <c r="K193" s="15" t="str">
        <f>VLOOKUP(I193,Customers[#Data],4,FALSE)</f>
        <v>Maw La Myaing</v>
      </c>
      <c r="L193" s="15" t="str">
        <f>VLOOKUP(I193,Customers[#Data],5,FALSE)</f>
        <v>WholeSales</v>
      </c>
      <c r="M193" s="7" t="s">
        <v>9</v>
      </c>
      <c r="N193" s="7" t="s">
        <v>425</v>
      </c>
      <c r="O193" s="14" t="str">
        <f>VLOOKUP(N193,Stock[#Data],2,FALSE)</f>
        <v>ကောင်းကြည်-1Li</v>
      </c>
      <c r="P193" s="44">
        <f>VLOOKUP(N193,Stock[#Data],3,FALSE)</f>
        <v>1</v>
      </c>
      <c r="Q193" s="3">
        <f>VLOOKUP(N193,Stock[#Data],4,FALSE)</f>
        <v>12</v>
      </c>
      <c r="R193" s="11">
        <v>1</v>
      </c>
      <c r="S193" s="45">
        <f>IFERROR(Table4[[#This Row],[Bottle]]/Table4[[#This Row],[ပါဝင်မှု]]+Table4[[#This Row],[SalesPK]],0)</f>
        <v>8.3333333333333329E-2</v>
      </c>
      <c r="T193" s="12"/>
      <c r="U193" s="10">
        <f>Table4[[#This Row],[ပါဝင်မှု]]*Table4[[#This Row],[SalesPK]]+Table4[[#This Row],[Bottle]]</f>
        <v>1</v>
      </c>
      <c r="V193" s="10">
        <f>Table4[[#This Row],[SalesBot]]*Table4[[#This Row],[ML]]</f>
        <v>1</v>
      </c>
      <c r="W193" s="1">
        <f>VLOOKUP(N193,Stock[#Data],6,FALSE)</f>
        <v>1500</v>
      </c>
      <c r="X193" s="8">
        <f>+Table4[[#This Row],[SalesBot]]*Table4[[#This Row],[နှုံး]]</f>
        <v>1500</v>
      </c>
      <c r="Y193" s="12"/>
      <c r="Z193" s="12"/>
      <c r="AA193" s="12"/>
      <c r="AB193" s="9"/>
      <c r="AC193" s="12"/>
      <c r="AD193" s="9"/>
      <c r="AE193" s="12"/>
      <c r="AF19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193" s="24"/>
      <c r="AH193" s="266">
        <f>Table4[[#This Row],[Date]]</f>
        <v>46034</v>
      </c>
      <c r="AI193" s="264" t="str">
        <f t="shared" si="20"/>
        <v>Jan</v>
      </c>
      <c r="AJ193" s="264" t="str">
        <f t="shared" si="21"/>
        <v>2026</v>
      </c>
      <c r="AK193" s="270" t="str">
        <f>Table4[[#This Row],[ကုန်သည်အမည်]]</f>
        <v>ကိုမျိုးအောင်</v>
      </c>
      <c r="AL193" s="270" t="str">
        <f>Table4[[#This Row],[Township]]</f>
        <v>Maw La Myaing</v>
      </c>
      <c r="AM193" s="271" t="str">
        <f>Table4[[#This Row],[WholeSales]]</f>
        <v>WholeSales</v>
      </c>
      <c r="AN193" s="272" t="str">
        <f>Table4[[#This Row],[Particular]]</f>
        <v>လက်ဆောင်</v>
      </c>
      <c r="AO193" s="273" t="str">
        <f>Table4[[#This Row],[StockName]]</f>
        <v>ကောင်းကြည်-1Li</v>
      </c>
      <c r="AP193" s="268">
        <f>Table4[[#This Row],[Parking]]</f>
        <v>8.3333333333333329E-2</v>
      </c>
      <c r="AQ193" s="268">
        <f>Table4[[#This Row],[SalesBot]]</f>
        <v>1</v>
      </c>
      <c r="AR193" s="268">
        <f>Table4[[#This Row],[Liter]]</f>
        <v>1</v>
      </c>
    </row>
    <row r="194" spans="1:44" s="16" customFormat="1" hidden="1" x14ac:dyDescent="0.5">
      <c r="A194" s="3">
        <f t="shared" si="30"/>
        <v>2026</v>
      </c>
      <c r="B194" s="8">
        <f t="shared" si="31"/>
        <v>1</v>
      </c>
      <c r="C194" s="6">
        <v>46034</v>
      </c>
      <c r="D194" s="15">
        <f t="shared" ca="1" si="32"/>
        <v>46097</v>
      </c>
      <c r="E194" s="15" t="str">
        <f t="shared" ca="1" si="33"/>
        <v>2-Months</v>
      </c>
      <c r="F194" s="8" t="str">
        <f>VLOOKUP(N194,Stock[#Data],5,FALSE)</f>
        <v>BE</v>
      </c>
      <c r="G194" s="6"/>
      <c r="H194" s="15"/>
      <c r="I194" s="7" t="s">
        <v>110</v>
      </c>
      <c r="J194" s="8" t="str">
        <f>VLOOKUP(I194,Customers[#Data],2,FALSE)</f>
        <v>ပြည့်လျှံ</v>
      </c>
      <c r="K194" s="15" t="str">
        <f>VLOOKUP(I194,Customers[#Data],4,FALSE)</f>
        <v>Maw La Myaing</v>
      </c>
      <c r="L194" s="15" t="str">
        <f>VLOOKUP(I194,Customers[#Data],5,FALSE)</f>
        <v>WholeSales</v>
      </c>
      <c r="M194" s="7" t="s">
        <v>9</v>
      </c>
      <c r="N194" s="7" t="s">
        <v>522</v>
      </c>
      <c r="O194" s="14" t="str">
        <f>VLOOKUP(N194,Stock[#Data],2,FALSE)</f>
        <v>ဒဂုံမန်ကျည်း ကော်ဘူး (1 Liter)</v>
      </c>
      <c r="P194" s="44">
        <f>VLOOKUP(N194,Stock[#Data],3,FALSE)</f>
        <v>1</v>
      </c>
      <c r="Q194" s="3">
        <f>VLOOKUP(N194,Stock[#Data],4,FALSE)</f>
        <v>12</v>
      </c>
      <c r="R194" s="11">
        <v>1</v>
      </c>
      <c r="S194" s="45">
        <f>IFERROR(Table4[[#This Row],[Bottle]]/Table4[[#This Row],[ပါဝင်မှု]]+Table4[[#This Row],[SalesPK]],0)</f>
        <v>8.3333333333333329E-2</v>
      </c>
      <c r="T194" s="12"/>
      <c r="U194" s="10">
        <f>Table4[[#This Row],[ပါဝင်မှု]]*Table4[[#This Row],[SalesPK]]+Table4[[#This Row],[Bottle]]</f>
        <v>1</v>
      </c>
      <c r="V194" s="10">
        <f>Table4[[#This Row],[SalesBot]]*Table4[[#This Row],[ML]]</f>
        <v>1</v>
      </c>
      <c r="W194" s="1">
        <f>VLOOKUP(N194,Stock[#Data],6,FALSE)</f>
        <v>1600</v>
      </c>
      <c r="X194" s="8">
        <f>+Table4[[#This Row],[SalesBot]]*Table4[[#This Row],[နှုံး]]</f>
        <v>1600</v>
      </c>
      <c r="Y194" s="12"/>
      <c r="Z194" s="12"/>
      <c r="AA194" s="12"/>
      <c r="AB194" s="9"/>
      <c r="AC194" s="12"/>
      <c r="AD194" s="9"/>
      <c r="AE194" s="12"/>
      <c r="AF19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194" s="24"/>
      <c r="AH194" s="266">
        <f>Table4[[#This Row],[Date]]</f>
        <v>46034</v>
      </c>
      <c r="AI194" s="264" t="str">
        <f t="shared" si="20"/>
        <v>Jan</v>
      </c>
      <c r="AJ194" s="264" t="str">
        <f t="shared" si="21"/>
        <v>2026</v>
      </c>
      <c r="AK194" s="270" t="str">
        <f>Table4[[#This Row],[ကုန်သည်အမည်]]</f>
        <v>ပြည့်လျှံ</v>
      </c>
      <c r="AL194" s="270" t="str">
        <f>Table4[[#This Row],[Township]]</f>
        <v>Maw La Myaing</v>
      </c>
      <c r="AM194" s="271" t="str">
        <f>Table4[[#This Row],[WholeSales]]</f>
        <v>WholeSales</v>
      </c>
      <c r="AN194" s="272" t="str">
        <f>Table4[[#This Row],[Particular]]</f>
        <v>လက်ဆောင်</v>
      </c>
      <c r="AO194" s="273" t="str">
        <f>Table4[[#This Row],[StockName]]</f>
        <v>ဒဂုံမန်ကျည်း ကော်ဘူး (1 Liter)</v>
      </c>
      <c r="AP194" s="268">
        <f>Table4[[#This Row],[Parking]]</f>
        <v>8.3333333333333329E-2</v>
      </c>
      <c r="AQ194" s="268">
        <f>Table4[[#This Row],[SalesBot]]</f>
        <v>1</v>
      </c>
      <c r="AR194" s="268">
        <f>Table4[[#This Row],[Liter]]</f>
        <v>1</v>
      </c>
    </row>
    <row r="195" spans="1:44" s="16" customFormat="1" hidden="1" x14ac:dyDescent="0.5">
      <c r="A195" s="3">
        <f t="shared" si="30"/>
        <v>2026</v>
      </c>
      <c r="B195" s="8">
        <f t="shared" si="31"/>
        <v>1</v>
      </c>
      <c r="C195" s="6">
        <v>46034</v>
      </c>
      <c r="D195" s="15">
        <f t="shared" ca="1" si="32"/>
        <v>46097</v>
      </c>
      <c r="E195" s="15" t="str">
        <f t="shared" ca="1" si="33"/>
        <v>2-Months</v>
      </c>
      <c r="F195" s="8" t="str">
        <f>VLOOKUP(N195,Stock[#Data],5,FALSE)</f>
        <v>BE</v>
      </c>
      <c r="G195" s="6"/>
      <c r="H195" s="15"/>
      <c r="I195" s="7" t="s">
        <v>110</v>
      </c>
      <c r="J195" s="8" t="str">
        <f>VLOOKUP(I195,Customers[#Data],2,FALSE)</f>
        <v>ပြည့်လျှံ</v>
      </c>
      <c r="K195" s="15" t="str">
        <f>VLOOKUP(I195,Customers[#Data],4,FALSE)</f>
        <v>Maw La Myaing</v>
      </c>
      <c r="L195" s="15" t="str">
        <f>VLOOKUP(I195,Customers[#Data],5,FALSE)</f>
        <v>WholeSales</v>
      </c>
      <c r="M195" s="7" t="s">
        <v>9</v>
      </c>
      <c r="N195" s="7" t="s">
        <v>508</v>
      </c>
      <c r="O195" s="14" t="str">
        <f>VLOOKUP(N195,Stock[#Data],2,FALSE)</f>
        <v>ကောင်းကြည်-1Li</v>
      </c>
      <c r="P195" s="44">
        <f>VLOOKUP(N195,Stock[#Data],3,FALSE)</f>
        <v>1</v>
      </c>
      <c r="Q195" s="3">
        <f>VLOOKUP(N195,Stock[#Data],4,FALSE)</f>
        <v>12</v>
      </c>
      <c r="R195" s="11">
        <v>1</v>
      </c>
      <c r="S195" s="45">
        <f>IFERROR(Table4[[#This Row],[Bottle]]/Table4[[#This Row],[ပါဝင်မှု]]+Table4[[#This Row],[SalesPK]],0)</f>
        <v>8.3333333333333329E-2</v>
      </c>
      <c r="T195" s="12"/>
      <c r="U195" s="10">
        <f>Table4[[#This Row],[ပါဝင်မှု]]*Table4[[#This Row],[SalesPK]]+Table4[[#This Row],[Bottle]]</f>
        <v>1</v>
      </c>
      <c r="V195" s="10">
        <f>Table4[[#This Row],[SalesBot]]*Table4[[#This Row],[ML]]</f>
        <v>1</v>
      </c>
      <c r="W195" s="1">
        <f>VLOOKUP(N195,Stock[#Data],6,FALSE)</f>
        <v>1850</v>
      </c>
      <c r="X195" s="8">
        <f>+Table4[[#This Row],[SalesBot]]*Table4[[#This Row],[နှုံး]]</f>
        <v>1850</v>
      </c>
      <c r="Y195" s="12"/>
      <c r="Z195" s="12"/>
      <c r="AA195" s="12"/>
      <c r="AB195" s="9"/>
      <c r="AC195" s="12"/>
      <c r="AD195" s="9"/>
      <c r="AE195" s="12"/>
      <c r="AF19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195" s="24"/>
      <c r="AH195" s="266">
        <f>Table4[[#This Row],[Date]]</f>
        <v>46034</v>
      </c>
      <c r="AI195" s="264" t="str">
        <f t="shared" ref="AI195:AI258" si="34">TEXT(AH195,"mmm")</f>
        <v>Jan</v>
      </c>
      <c r="AJ195" s="264" t="str">
        <f t="shared" ref="AJ195:AJ258" si="35">TEXT(AH195,"yyyy")</f>
        <v>2026</v>
      </c>
      <c r="AK195" s="270" t="str">
        <f>Table4[[#This Row],[ကုန်သည်အမည်]]</f>
        <v>ပြည့်လျှံ</v>
      </c>
      <c r="AL195" s="270" t="str">
        <f>Table4[[#This Row],[Township]]</f>
        <v>Maw La Myaing</v>
      </c>
      <c r="AM195" s="271" t="str">
        <f>Table4[[#This Row],[WholeSales]]</f>
        <v>WholeSales</v>
      </c>
      <c r="AN195" s="272" t="str">
        <f>Table4[[#This Row],[Particular]]</f>
        <v>လက်ဆောင်</v>
      </c>
      <c r="AO195" s="273" t="str">
        <f>Table4[[#This Row],[StockName]]</f>
        <v>ကောင်းကြည်-1Li</v>
      </c>
      <c r="AP195" s="268">
        <f>Table4[[#This Row],[Parking]]</f>
        <v>8.3333333333333329E-2</v>
      </c>
      <c r="AQ195" s="268">
        <f>Table4[[#This Row],[SalesBot]]</f>
        <v>1</v>
      </c>
      <c r="AR195" s="268">
        <f>Table4[[#This Row],[Liter]]</f>
        <v>1</v>
      </c>
    </row>
    <row r="196" spans="1:44" s="16" customFormat="1" hidden="1" x14ac:dyDescent="0.5">
      <c r="A196" s="3">
        <f t="shared" si="26"/>
        <v>2026</v>
      </c>
      <c r="B196" s="8">
        <f t="shared" si="27"/>
        <v>1</v>
      </c>
      <c r="C196" s="6">
        <v>46034</v>
      </c>
      <c r="D196" s="15">
        <f t="shared" ca="1" si="28"/>
        <v>46097</v>
      </c>
      <c r="E196" s="15" t="str">
        <f t="shared" ca="1" si="29"/>
        <v>2-Months</v>
      </c>
      <c r="F196" s="8" t="str">
        <f>VLOOKUP(N196,Stock[#Data],5,FALSE)</f>
        <v>BE</v>
      </c>
      <c r="G196" s="6"/>
      <c r="H196" s="15"/>
      <c r="I196" s="7" t="s">
        <v>110</v>
      </c>
      <c r="J196" s="8" t="str">
        <f>VLOOKUP(I196,Customers[#Data],2,FALSE)</f>
        <v>ပြည့်လျှံ</v>
      </c>
      <c r="K196" s="15" t="str">
        <f>VLOOKUP(I196,Customers[#Data],4,FALSE)</f>
        <v>Maw La Myaing</v>
      </c>
      <c r="L196" s="15" t="str">
        <f>VLOOKUP(I196,Customers[#Data],5,FALSE)</f>
        <v>WholeSales</v>
      </c>
      <c r="M196" s="7" t="s">
        <v>9</v>
      </c>
      <c r="N196" s="7" t="s">
        <v>425</v>
      </c>
      <c r="O196" s="14" t="str">
        <f>VLOOKUP(N196,Stock[#Data],2,FALSE)</f>
        <v>ကောင်းကြည်-1Li</v>
      </c>
      <c r="P196" s="44">
        <f>VLOOKUP(N196,Stock[#Data],3,FALSE)</f>
        <v>1</v>
      </c>
      <c r="Q196" s="3">
        <f>VLOOKUP(N196,Stock[#Data],4,FALSE)</f>
        <v>12</v>
      </c>
      <c r="R196" s="11">
        <v>1</v>
      </c>
      <c r="S196" s="45">
        <f>IFERROR(Table4[[#This Row],[Bottle]]/Table4[[#This Row],[ပါဝင်မှု]]+Table4[[#This Row],[SalesPK]],0)</f>
        <v>8.3333333333333329E-2</v>
      </c>
      <c r="T196" s="12"/>
      <c r="U196" s="10">
        <f>Table4[[#This Row],[ပါဝင်မှု]]*Table4[[#This Row],[SalesPK]]+Table4[[#This Row],[Bottle]]</f>
        <v>1</v>
      </c>
      <c r="V196" s="10">
        <f>Table4[[#This Row],[SalesBot]]*Table4[[#This Row],[ML]]</f>
        <v>1</v>
      </c>
      <c r="W196" s="1">
        <f>VLOOKUP(N196,Stock[#Data],6,FALSE)</f>
        <v>1500</v>
      </c>
      <c r="X196" s="8">
        <f>+Table4[[#This Row],[SalesBot]]*Table4[[#This Row],[နှုံး]]</f>
        <v>1500</v>
      </c>
      <c r="Y196" s="12"/>
      <c r="Z196" s="12"/>
      <c r="AA196" s="12"/>
      <c r="AB196" s="9"/>
      <c r="AC196" s="12"/>
      <c r="AD196" s="9"/>
      <c r="AE196" s="12"/>
      <c r="AF19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196" s="24"/>
      <c r="AH196" s="266">
        <f>Table4[[#This Row],[Date]]</f>
        <v>46034</v>
      </c>
      <c r="AI196" s="264" t="str">
        <f t="shared" si="34"/>
        <v>Jan</v>
      </c>
      <c r="AJ196" s="264" t="str">
        <f t="shared" si="35"/>
        <v>2026</v>
      </c>
      <c r="AK196" s="270" t="str">
        <f>Table4[[#This Row],[ကုန်သည်အမည်]]</f>
        <v>ပြည့်လျှံ</v>
      </c>
      <c r="AL196" s="270" t="str">
        <f>Table4[[#This Row],[Township]]</f>
        <v>Maw La Myaing</v>
      </c>
      <c r="AM196" s="271" t="str">
        <f>Table4[[#This Row],[WholeSales]]</f>
        <v>WholeSales</v>
      </c>
      <c r="AN196" s="272" t="str">
        <f>Table4[[#This Row],[Particular]]</f>
        <v>လက်ဆောင်</v>
      </c>
      <c r="AO196" s="273" t="str">
        <f>Table4[[#This Row],[StockName]]</f>
        <v>ကောင်းကြည်-1Li</v>
      </c>
      <c r="AP196" s="268">
        <f>Table4[[#This Row],[Parking]]</f>
        <v>8.3333333333333329E-2</v>
      </c>
      <c r="AQ196" s="268">
        <f>Table4[[#This Row],[SalesBot]]</f>
        <v>1</v>
      </c>
      <c r="AR196" s="268">
        <f>Table4[[#This Row],[Liter]]</f>
        <v>1</v>
      </c>
    </row>
    <row r="197" spans="1:44" s="16" customFormat="1" hidden="1" x14ac:dyDescent="0.5">
      <c r="A197" s="3">
        <f t="shared" si="26"/>
        <v>2026</v>
      </c>
      <c r="B197" s="8">
        <f t="shared" si="27"/>
        <v>1</v>
      </c>
      <c r="C197" s="6">
        <v>46034</v>
      </c>
      <c r="D197" s="15">
        <f t="shared" ca="1" si="28"/>
        <v>46097</v>
      </c>
      <c r="E197" s="15" t="str">
        <f t="shared" ca="1" si="29"/>
        <v>2-Months</v>
      </c>
      <c r="F197" s="8" t="str">
        <f>VLOOKUP(N197,Stock[#Data],5,FALSE)</f>
        <v>BE</v>
      </c>
      <c r="G197" s="6"/>
      <c r="H197" s="15"/>
      <c r="I197" s="7" t="s">
        <v>554</v>
      </c>
      <c r="J197" s="8" t="str">
        <f>VLOOKUP(I197,Customers[#Data],2,FALSE)</f>
        <v>နန်းသဇင်</v>
      </c>
      <c r="K197" s="15" t="str">
        <f>VLOOKUP(I197,Customers[#Data],4,FALSE)</f>
        <v>Maw La Myaing</v>
      </c>
      <c r="L197" s="15" t="str">
        <f>VLOOKUP(I197,Customers[#Data],5,FALSE)</f>
        <v>Mini Whole Sales</v>
      </c>
      <c r="M197" s="7" t="s">
        <v>9</v>
      </c>
      <c r="N197" s="7" t="s">
        <v>522</v>
      </c>
      <c r="O197" s="14" t="str">
        <f>VLOOKUP(N197,Stock[#Data],2,FALSE)</f>
        <v>ဒဂုံမန်ကျည်း ကော်ဘူး (1 Liter)</v>
      </c>
      <c r="P197" s="44">
        <f>VLOOKUP(N197,Stock[#Data],3,FALSE)</f>
        <v>1</v>
      </c>
      <c r="Q197" s="3">
        <f>VLOOKUP(N197,Stock[#Data],4,FALSE)</f>
        <v>12</v>
      </c>
      <c r="R197" s="11">
        <v>1</v>
      </c>
      <c r="S197" s="45">
        <f>IFERROR(Table4[[#This Row],[Bottle]]/Table4[[#This Row],[ပါဝင်မှု]]+Table4[[#This Row],[SalesPK]],0)</f>
        <v>8.3333333333333329E-2</v>
      </c>
      <c r="T197" s="12"/>
      <c r="U197" s="10">
        <f>Table4[[#This Row],[ပါဝင်မှု]]*Table4[[#This Row],[SalesPK]]+Table4[[#This Row],[Bottle]]</f>
        <v>1</v>
      </c>
      <c r="V197" s="10">
        <f>Table4[[#This Row],[SalesBot]]*Table4[[#This Row],[ML]]</f>
        <v>1</v>
      </c>
      <c r="W197" s="1">
        <f>VLOOKUP(N197,Stock[#Data],6,FALSE)</f>
        <v>1600</v>
      </c>
      <c r="X197" s="8">
        <f>+Table4[[#This Row],[SalesBot]]*Table4[[#This Row],[နှုံး]]</f>
        <v>1600</v>
      </c>
      <c r="Y197" s="12"/>
      <c r="Z197" s="12"/>
      <c r="AA197" s="12"/>
      <c r="AB197" s="9"/>
      <c r="AC197" s="12"/>
      <c r="AD197" s="9"/>
      <c r="AE197" s="12"/>
      <c r="AF19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197" s="24"/>
      <c r="AH197" s="266">
        <f>Table4[[#This Row],[Date]]</f>
        <v>46034</v>
      </c>
      <c r="AI197" s="264" t="str">
        <f t="shared" si="34"/>
        <v>Jan</v>
      </c>
      <c r="AJ197" s="264" t="str">
        <f t="shared" si="35"/>
        <v>2026</v>
      </c>
      <c r="AK197" s="270" t="str">
        <f>Table4[[#This Row],[ကုန်သည်အမည်]]</f>
        <v>နန်းသဇင်</v>
      </c>
      <c r="AL197" s="270" t="str">
        <f>Table4[[#This Row],[Township]]</f>
        <v>Maw La Myaing</v>
      </c>
      <c r="AM197" s="271" t="str">
        <f>Table4[[#This Row],[WholeSales]]</f>
        <v>Mini Whole Sales</v>
      </c>
      <c r="AN197" s="272" t="str">
        <f>Table4[[#This Row],[Particular]]</f>
        <v>လက်ဆောင်</v>
      </c>
      <c r="AO197" s="273" t="str">
        <f>Table4[[#This Row],[StockName]]</f>
        <v>ဒဂုံမန်ကျည်း ကော်ဘူး (1 Liter)</v>
      </c>
      <c r="AP197" s="268">
        <f>Table4[[#This Row],[Parking]]</f>
        <v>8.3333333333333329E-2</v>
      </c>
      <c r="AQ197" s="268">
        <f>Table4[[#This Row],[SalesBot]]</f>
        <v>1</v>
      </c>
      <c r="AR197" s="268">
        <f>Table4[[#This Row],[Liter]]</f>
        <v>1</v>
      </c>
    </row>
    <row r="198" spans="1:44" s="16" customFormat="1" hidden="1" x14ac:dyDescent="0.5">
      <c r="A198" s="3">
        <f t="shared" si="26"/>
        <v>2026</v>
      </c>
      <c r="B198" s="8">
        <f t="shared" si="27"/>
        <v>1</v>
      </c>
      <c r="C198" s="6">
        <v>46034</v>
      </c>
      <c r="D198" s="15">
        <f t="shared" ca="1" si="28"/>
        <v>46097</v>
      </c>
      <c r="E198" s="15" t="str">
        <f t="shared" ca="1" si="29"/>
        <v>2-Months</v>
      </c>
      <c r="F198" s="8" t="str">
        <f>VLOOKUP(N198,Stock[#Data],5,FALSE)</f>
        <v>BE</v>
      </c>
      <c r="G198" s="6"/>
      <c r="H198" s="15"/>
      <c r="I198" s="7" t="s">
        <v>554</v>
      </c>
      <c r="J198" s="8" t="str">
        <f>VLOOKUP(I198,Customers[#Data],2,FALSE)</f>
        <v>နန်းသဇင်</v>
      </c>
      <c r="K198" s="15" t="str">
        <f>VLOOKUP(I198,Customers[#Data],4,FALSE)</f>
        <v>Maw La Myaing</v>
      </c>
      <c r="L198" s="15" t="str">
        <f>VLOOKUP(I198,Customers[#Data],5,FALSE)</f>
        <v>Mini Whole Sales</v>
      </c>
      <c r="M198" s="7" t="s">
        <v>9</v>
      </c>
      <c r="N198" s="7" t="s">
        <v>508</v>
      </c>
      <c r="O198" s="14" t="str">
        <f>VLOOKUP(N198,Stock[#Data],2,FALSE)</f>
        <v>ကောင်းကြည်-1Li</v>
      </c>
      <c r="P198" s="44">
        <f>VLOOKUP(N198,Stock[#Data],3,FALSE)</f>
        <v>1</v>
      </c>
      <c r="Q198" s="3">
        <f>VLOOKUP(N198,Stock[#Data],4,FALSE)</f>
        <v>12</v>
      </c>
      <c r="R198" s="11">
        <v>1</v>
      </c>
      <c r="S198" s="45">
        <f>IFERROR(Table4[[#This Row],[Bottle]]/Table4[[#This Row],[ပါဝင်မှု]]+Table4[[#This Row],[SalesPK]],0)</f>
        <v>8.3333333333333329E-2</v>
      </c>
      <c r="T198" s="12"/>
      <c r="U198" s="10">
        <f>Table4[[#This Row],[ပါဝင်မှု]]*Table4[[#This Row],[SalesPK]]+Table4[[#This Row],[Bottle]]</f>
        <v>1</v>
      </c>
      <c r="V198" s="10">
        <f>Table4[[#This Row],[SalesBot]]*Table4[[#This Row],[ML]]</f>
        <v>1</v>
      </c>
      <c r="W198" s="1">
        <f>VLOOKUP(N198,Stock[#Data],6,FALSE)</f>
        <v>1850</v>
      </c>
      <c r="X198" s="8">
        <f>+Table4[[#This Row],[SalesBot]]*Table4[[#This Row],[နှုံး]]</f>
        <v>1850</v>
      </c>
      <c r="Y198" s="12"/>
      <c r="Z198" s="12"/>
      <c r="AA198" s="12"/>
      <c r="AB198" s="9"/>
      <c r="AC198" s="12"/>
      <c r="AD198" s="9"/>
      <c r="AE198" s="12"/>
      <c r="AF19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198" s="24"/>
      <c r="AH198" s="266">
        <f>Table4[[#This Row],[Date]]</f>
        <v>46034</v>
      </c>
      <c r="AI198" s="264" t="str">
        <f t="shared" si="34"/>
        <v>Jan</v>
      </c>
      <c r="AJ198" s="264" t="str">
        <f t="shared" si="35"/>
        <v>2026</v>
      </c>
      <c r="AK198" s="270" t="str">
        <f>Table4[[#This Row],[ကုန်သည်အမည်]]</f>
        <v>နန်းသဇင်</v>
      </c>
      <c r="AL198" s="270" t="str">
        <f>Table4[[#This Row],[Township]]</f>
        <v>Maw La Myaing</v>
      </c>
      <c r="AM198" s="271" t="str">
        <f>Table4[[#This Row],[WholeSales]]</f>
        <v>Mini Whole Sales</v>
      </c>
      <c r="AN198" s="272" t="str">
        <f>Table4[[#This Row],[Particular]]</f>
        <v>လက်ဆောင်</v>
      </c>
      <c r="AO198" s="273" t="str">
        <f>Table4[[#This Row],[StockName]]</f>
        <v>ကောင်းကြည်-1Li</v>
      </c>
      <c r="AP198" s="268">
        <f>Table4[[#This Row],[Parking]]</f>
        <v>8.3333333333333329E-2</v>
      </c>
      <c r="AQ198" s="268">
        <f>Table4[[#This Row],[SalesBot]]</f>
        <v>1</v>
      </c>
      <c r="AR198" s="268">
        <f>Table4[[#This Row],[Liter]]</f>
        <v>1</v>
      </c>
    </row>
    <row r="199" spans="1:44" s="16" customFormat="1" hidden="1" x14ac:dyDescent="0.5">
      <c r="A199" s="3">
        <f t="shared" si="26"/>
        <v>2026</v>
      </c>
      <c r="B199" s="8">
        <f t="shared" si="27"/>
        <v>1</v>
      </c>
      <c r="C199" s="6">
        <v>46034</v>
      </c>
      <c r="D199" s="15">
        <f t="shared" ca="1" si="28"/>
        <v>46097</v>
      </c>
      <c r="E199" s="15" t="str">
        <f t="shared" ca="1" si="29"/>
        <v>2-Months</v>
      </c>
      <c r="F199" s="8" t="str">
        <f>VLOOKUP(N199,Stock[#Data],5,FALSE)</f>
        <v>BE</v>
      </c>
      <c r="G199" s="6"/>
      <c r="H199" s="15"/>
      <c r="I199" s="7" t="s">
        <v>554</v>
      </c>
      <c r="J199" s="8" t="str">
        <f>VLOOKUP(I199,Customers[#Data],2,FALSE)</f>
        <v>နန်းသဇင်</v>
      </c>
      <c r="K199" s="15" t="str">
        <f>VLOOKUP(I199,Customers[#Data],4,FALSE)</f>
        <v>Maw La Myaing</v>
      </c>
      <c r="L199" s="15" t="str">
        <f>VLOOKUP(I199,Customers[#Data],5,FALSE)</f>
        <v>Mini Whole Sales</v>
      </c>
      <c r="M199" s="7" t="s">
        <v>9</v>
      </c>
      <c r="N199" s="7" t="s">
        <v>425</v>
      </c>
      <c r="O199" s="14" t="str">
        <f>VLOOKUP(N199,Stock[#Data],2,FALSE)</f>
        <v>ကောင်းကြည်-1Li</v>
      </c>
      <c r="P199" s="44">
        <f>VLOOKUP(N199,Stock[#Data],3,FALSE)</f>
        <v>1</v>
      </c>
      <c r="Q199" s="3">
        <f>VLOOKUP(N199,Stock[#Data],4,FALSE)</f>
        <v>12</v>
      </c>
      <c r="R199" s="11">
        <v>1</v>
      </c>
      <c r="S199" s="45">
        <f>IFERROR(Table4[[#This Row],[Bottle]]/Table4[[#This Row],[ပါဝင်မှု]]+Table4[[#This Row],[SalesPK]],0)</f>
        <v>8.3333333333333329E-2</v>
      </c>
      <c r="T199" s="12"/>
      <c r="U199" s="10">
        <f>Table4[[#This Row],[ပါဝင်မှု]]*Table4[[#This Row],[SalesPK]]+Table4[[#This Row],[Bottle]]</f>
        <v>1</v>
      </c>
      <c r="V199" s="10">
        <f>Table4[[#This Row],[SalesBot]]*Table4[[#This Row],[ML]]</f>
        <v>1</v>
      </c>
      <c r="W199" s="1">
        <f>VLOOKUP(N199,Stock[#Data],6,FALSE)</f>
        <v>1500</v>
      </c>
      <c r="X199" s="8">
        <f>+Table4[[#This Row],[SalesBot]]*Table4[[#This Row],[နှုံး]]</f>
        <v>1500</v>
      </c>
      <c r="Y199" s="12"/>
      <c r="Z199" s="12"/>
      <c r="AA199" s="12"/>
      <c r="AB199" s="9"/>
      <c r="AC199" s="12"/>
      <c r="AD199" s="9"/>
      <c r="AE199" s="12"/>
      <c r="AF19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199" s="24"/>
      <c r="AH199" s="266">
        <f>Table4[[#This Row],[Date]]</f>
        <v>46034</v>
      </c>
      <c r="AI199" s="264" t="str">
        <f t="shared" si="34"/>
        <v>Jan</v>
      </c>
      <c r="AJ199" s="264" t="str">
        <f t="shared" si="35"/>
        <v>2026</v>
      </c>
      <c r="AK199" s="270" t="str">
        <f>Table4[[#This Row],[ကုန်သည်အမည်]]</f>
        <v>နန်းသဇင်</v>
      </c>
      <c r="AL199" s="270" t="str">
        <f>Table4[[#This Row],[Township]]</f>
        <v>Maw La Myaing</v>
      </c>
      <c r="AM199" s="271" t="str">
        <f>Table4[[#This Row],[WholeSales]]</f>
        <v>Mini Whole Sales</v>
      </c>
      <c r="AN199" s="272" t="str">
        <f>Table4[[#This Row],[Particular]]</f>
        <v>လက်ဆောင်</v>
      </c>
      <c r="AO199" s="273" t="str">
        <f>Table4[[#This Row],[StockName]]</f>
        <v>ကောင်းကြည်-1Li</v>
      </c>
      <c r="AP199" s="268">
        <f>Table4[[#This Row],[Parking]]</f>
        <v>8.3333333333333329E-2</v>
      </c>
      <c r="AQ199" s="268">
        <f>Table4[[#This Row],[SalesBot]]</f>
        <v>1</v>
      </c>
      <c r="AR199" s="268">
        <f>Table4[[#This Row],[Liter]]</f>
        <v>1</v>
      </c>
    </row>
    <row r="200" spans="1:44" s="16" customFormat="1" hidden="1" x14ac:dyDescent="0.5">
      <c r="A200" s="3">
        <f t="shared" si="26"/>
        <v>2026</v>
      </c>
      <c r="B200" s="8">
        <f t="shared" si="27"/>
        <v>1</v>
      </c>
      <c r="C200" s="6">
        <v>46035</v>
      </c>
      <c r="D200" s="15">
        <f t="shared" ca="1" si="28"/>
        <v>46097</v>
      </c>
      <c r="E200" s="15" t="str">
        <f t="shared" ca="1" si="29"/>
        <v>2-Months</v>
      </c>
      <c r="F200" s="8" t="str">
        <f>VLOOKUP(N200,Stock[#Data],5,FALSE)</f>
        <v>BE</v>
      </c>
      <c r="G200" s="82" t="s">
        <v>765</v>
      </c>
      <c r="H200" s="15"/>
      <c r="I200" s="7" t="s">
        <v>95</v>
      </c>
      <c r="J200" s="8" t="str">
        <f>VLOOKUP(I200,Customers[#Data],2,FALSE)</f>
        <v>ကျော်စတား</v>
      </c>
      <c r="K200" s="15" t="str">
        <f>VLOOKUP(I200,Customers[#Data],4,FALSE)</f>
        <v>Yay</v>
      </c>
      <c r="L200" s="15" t="str">
        <f>VLOOKUP(I200,Customers[#Data],5,FALSE)</f>
        <v>WholeSales</v>
      </c>
      <c r="M200" s="7" t="s">
        <v>7</v>
      </c>
      <c r="N200" s="7" t="s">
        <v>514</v>
      </c>
      <c r="O200" s="14" t="str">
        <f>VLOOKUP(N200,Stock[#Data],2,FALSE)</f>
        <v>ဇေယျဝတီ Red</v>
      </c>
      <c r="P200" s="44">
        <f>VLOOKUP(N200,Stock[#Data],3,FALSE)</f>
        <v>0.64</v>
      </c>
      <c r="Q200" s="3">
        <f>VLOOKUP(N200,Stock[#Data],4,FALSE)</f>
        <v>14</v>
      </c>
      <c r="R200" s="11"/>
      <c r="S200" s="45">
        <f>IFERROR(Table4[[#This Row],[Bottle]]/Table4[[#This Row],[ပါဝင်မှု]]+Table4[[#This Row],[SalesPK]],0)</f>
        <v>100</v>
      </c>
      <c r="T200" s="12">
        <v>100</v>
      </c>
      <c r="U200" s="10">
        <f>Table4[[#This Row],[ပါဝင်မှု]]*Table4[[#This Row],[SalesPK]]+Table4[[#This Row],[Bottle]]</f>
        <v>1400</v>
      </c>
      <c r="V200" s="10">
        <f>Table4[[#This Row],[SalesBot]]*Table4[[#This Row],[ML]]</f>
        <v>896</v>
      </c>
      <c r="W200" s="1">
        <f>VLOOKUP(N200,Stock[#Data],6,FALSE)</f>
        <v>1350</v>
      </c>
      <c r="X200" s="8">
        <f>+Table4[[#This Row],[SalesBot]]*Table4[[#This Row],[နှုံး]]</f>
        <v>1890000</v>
      </c>
      <c r="Y200" s="12"/>
      <c r="Z200" s="12"/>
      <c r="AA200" s="12"/>
      <c r="AB200" s="9">
        <v>46049</v>
      </c>
      <c r="AC200" s="12">
        <f>62000+1728000+100000</f>
        <v>1890000</v>
      </c>
      <c r="AD200" s="9"/>
      <c r="AE200" s="12"/>
      <c r="AF20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00" s="24"/>
      <c r="AH200" s="266">
        <f>Table4[[#This Row],[Date]]</f>
        <v>46035</v>
      </c>
      <c r="AI200" s="264" t="str">
        <f t="shared" si="34"/>
        <v>Jan</v>
      </c>
      <c r="AJ200" s="264" t="str">
        <f t="shared" si="35"/>
        <v>2026</v>
      </c>
      <c r="AK200" s="270" t="str">
        <f>Table4[[#This Row],[ကုန်သည်အမည်]]</f>
        <v>ကျော်စတား</v>
      </c>
      <c r="AL200" s="270" t="str">
        <f>Table4[[#This Row],[Township]]</f>
        <v>Yay</v>
      </c>
      <c r="AM200" s="271" t="str">
        <f>Table4[[#This Row],[WholeSales]]</f>
        <v>WholeSales</v>
      </c>
      <c r="AN200" s="272" t="str">
        <f>Table4[[#This Row],[Particular]]</f>
        <v>ကုန်ရောင်း(အကြွေး)</v>
      </c>
      <c r="AO200" s="273" t="str">
        <f>Table4[[#This Row],[StockName]]</f>
        <v>ဇေယျဝတီ Red</v>
      </c>
      <c r="AP200" s="268">
        <f>Table4[[#This Row],[Parking]]</f>
        <v>100</v>
      </c>
      <c r="AQ200" s="268">
        <f>Table4[[#This Row],[SalesBot]]</f>
        <v>1400</v>
      </c>
      <c r="AR200" s="268">
        <f>Table4[[#This Row],[Liter]]</f>
        <v>896</v>
      </c>
    </row>
    <row r="201" spans="1:44" s="16" customFormat="1" hidden="1" x14ac:dyDescent="0.5">
      <c r="A201" s="3">
        <f t="shared" ref="A201:A235" si="36">YEAR(C201)</f>
        <v>2026</v>
      </c>
      <c r="B201" s="8">
        <f t="shared" ref="B201:B235" si="37">MONTH(C201)</f>
        <v>1</v>
      </c>
      <c r="C201" s="6">
        <v>46035</v>
      </c>
      <c r="D201" s="15">
        <f t="shared" ref="D201:D235" ca="1" si="38">TODAY()</f>
        <v>46097</v>
      </c>
      <c r="E201" s="15" t="str">
        <f t="shared" ref="E201:E235" ca="1" si="39">DATEDIF(C201,D201,"M")&amp;"-Months"</f>
        <v>2-Months</v>
      </c>
      <c r="F201" s="8" t="str">
        <f>VLOOKUP(N201,Stock[#Data],5,FALSE)</f>
        <v>BE</v>
      </c>
      <c r="G201" s="82" t="s">
        <v>766</v>
      </c>
      <c r="H201" s="15"/>
      <c r="I201" s="7" t="s">
        <v>95</v>
      </c>
      <c r="J201" s="8" t="str">
        <f>VLOOKUP(I201,Customers[#Data],2,FALSE)</f>
        <v>ကျော်စတား</v>
      </c>
      <c r="K201" s="15" t="str">
        <f>VLOOKUP(I201,Customers[#Data],4,FALSE)</f>
        <v>Yay</v>
      </c>
      <c r="L201" s="15" t="str">
        <f>VLOOKUP(I201,Customers[#Data],5,FALSE)</f>
        <v>WholeSales</v>
      </c>
      <c r="M201" s="7" t="s">
        <v>7</v>
      </c>
      <c r="N201" s="7" t="s">
        <v>514</v>
      </c>
      <c r="O201" s="14" t="str">
        <f>VLOOKUP(N201,Stock[#Data],2,FALSE)</f>
        <v>ဇေယျဝတီ Red</v>
      </c>
      <c r="P201" s="44">
        <f>VLOOKUP(N201,Stock[#Data],3,FALSE)</f>
        <v>0.64</v>
      </c>
      <c r="Q201" s="3">
        <f>VLOOKUP(N201,Stock[#Data],4,FALSE)</f>
        <v>14</v>
      </c>
      <c r="R201" s="11"/>
      <c r="S201" s="45">
        <f>IFERROR(Table4[[#This Row],[Bottle]]/Table4[[#This Row],[ပါဝင်မှု]]+Table4[[#This Row],[SalesPK]],0)</f>
        <v>50</v>
      </c>
      <c r="T201" s="12">
        <v>50</v>
      </c>
      <c r="U201" s="10">
        <f>Table4[[#This Row],[ပါဝင်မှု]]*Table4[[#This Row],[SalesPK]]+Table4[[#This Row],[Bottle]]</f>
        <v>700</v>
      </c>
      <c r="V201" s="10">
        <f>Table4[[#This Row],[SalesBot]]*Table4[[#This Row],[ML]]</f>
        <v>448</v>
      </c>
      <c r="W201" s="1">
        <f>VLOOKUP(N201,Stock[#Data],6,FALSE)</f>
        <v>1350</v>
      </c>
      <c r="X201" s="8">
        <f>+Table4[[#This Row],[SalesBot]]*Table4[[#This Row],[နှုံး]]</f>
        <v>945000</v>
      </c>
      <c r="Y201" s="12"/>
      <c r="Z201" s="12"/>
      <c r="AA201" s="12"/>
      <c r="AB201" s="9">
        <v>46058</v>
      </c>
      <c r="AC201" s="12">
        <v>945000</v>
      </c>
      <c r="AD201" s="9"/>
      <c r="AE201" s="12"/>
      <c r="AF20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01" s="24"/>
      <c r="AH201" s="266">
        <f>Table4[[#This Row],[Date]]</f>
        <v>46035</v>
      </c>
      <c r="AI201" s="264" t="str">
        <f t="shared" si="34"/>
        <v>Jan</v>
      </c>
      <c r="AJ201" s="264" t="str">
        <f t="shared" si="35"/>
        <v>2026</v>
      </c>
      <c r="AK201" s="270" t="str">
        <f>Table4[[#This Row],[ကုန်သည်အမည်]]</f>
        <v>ကျော်စတား</v>
      </c>
      <c r="AL201" s="270" t="str">
        <f>Table4[[#This Row],[Township]]</f>
        <v>Yay</v>
      </c>
      <c r="AM201" s="271" t="str">
        <f>Table4[[#This Row],[WholeSales]]</f>
        <v>WholeSales</v>
      </c>
      <c r="AN201" s="272" t="str">
        <f>Table4[[#This Row],[Particular]]</f>
        <v>ကုန်ရောင်း(အကြွေး)</v>
      </c>
      <c r="AO201" s="273" t="str">
        <f>Table4[[#This Row],[StockName]]</f>
        <v>ဇေယျဝတီ Red</v>
      </c>
      <c r="AP201" s="268">
        <f>Table4[[#This Row],[Parking]]</f>
        <v>50</v>
      </c>
      <c r="AQ201" s="268">
        <f>Table4[[#This Row],[SalesBot]]</f>
        <v>700</v>
      </c>
      <c r="AR201" s="268">
        <f>Table4[[#This Row],[Liter]]</f>
        <v>448</v>
      </c>
    </row>
    <row r="202" spans="1:44" s="16" customFormat="1" hidden="1" x14ac:dyDescent="0.5">
      <c r="A202" s="3">
        <f t="shared" si="36"/>
        <v>2026</v>
      </c>
      <c r="B202" s="8">
        <f t="shared" si="37"/>
        <v>1</v>
      </c>
      <c r="C202" s="6">
        <v>46035</v>
      </c>
      <c r="D202" s="15">
        <f t="shared" ca="1" si="38"/>
        <v>46097</v>
      </c>
      <c r="E202" s="15" t="str">
        <f t="shared" ca="1" si="39"/>
        <v>2-Months</v>
      </c>
      <c r="F202" s="8" t="str">
        <f>VLOOKUP(N202,Stock[#Data],5,FALSE)</f>
        <v>BE</v>
      </c>
      <c r="G202" s="82" t="s">
        <v>766</v>
      </c>
      <c r="H202" s="15"/>
      <c r="I202" s="7" t="s">
        <v>95</v>
      </c>
      <c r="J202" s="8" t="str">
        <f>VLOOKUP(I202,Customers[#Data],2,FALSE)</f>
        <v>ကျော်စတား</v>
      </c>
      <c r="K202" s="15" t="str">
        <f>VLOOKUP(I202,Customers[#Data],4,FALSE)</f>
        <v>Yay</v>
      </c>
      <c r="L202" s="15" t="str">
        <f>VLOOKUP(I202,Customers[#Data],5,FALSE)</f>
        <v>WholeSales</v>
      </c>
      <c r="M202" s="7" t="s">
        <v>7</v>
      </c>
      <c r="N202" s="7" t="s">
        <v>517</v>
      </c>
      <c r="O202" s="14" t="str">
        <f>VLOOKUP(N202,Stock[#Data],2,FALSE)</f>
        <v>ဇေယျဝတီ Red (1 Liter) 30%</v>
      </c>
      <c r="P202" s="44">
        <f>VLOOKUP(N202,Stock[#Data],3,FALSE)</f>
        <v>1</v>
      </c>
      <c r="Q202" s="3">
        <f>VLOOKUP(N202,Stock[#Data],4,FALSE)</f>
        <v>12</v>
      </c>
      <c r="R202" s="11"/>
      <c r="S202" s="45">
        <f>IFERROR(Table4[[#This Row],[Bottle]]/Table4[[#This Row],[ပါဝင်မှု]]+Table4[[#This Row],[SalesPK]],0)</f>
        <v>150</v>
      </c>
      <c r="T202" s="12">
        <v>150</v>
      </c>
      <c r="U202" s="10">
        <f>Table4[[#This Row],[ပါဝင်မှု]]*Table4[[#This Row],[SalesPK]]+Table4[[#This Row],[Bottle]]</f>
        <v>1800</v>
      </c>
      <c r="V202" s="10">
        <f>Table4[[#This Row],[SalesBot]]*Table4[[#This Row],[ML]]</f>
        <v>1800</v>
      </c>
      <c r="W202" s="1">
        <f>VLOOKUP(N202,Stock[#Data],6,FALSE)</f>
        <v>1710</v>
      </c>
      <c r="X202" s="8">
        <f>+Table4[[#This Row],[SalesBot]]*Table4[[#This Row],[နှုံး]]</f>
        <v>3078000</v>
      </c>
      <c r="Y202" s="12"/>
      <c r="Z202" s="12"/>
      <c r="AA202" s="12"/>
      <c r="AB202" s="9">
        <v>46059</v>
      </c>
      <c r="AC202" s="12">
        <v>3078000</v>
      </c>
      <c r="AD202" s="9"/>
      <c r="AE202" s="12"/>
      <c r="AF20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02" s="24"/>
      <c r="AH202" s="266">
        <f>Table4[[#This Row],[Date]]</f>
        <v>46035</v>
      </c>
      <c r="AI202" s="264" t="str">
        <f t="shared" si="34"/>
        <v>Jan</v>
      </c>
      <c r="AJ202" s="264" t="str">
        <f t="shared" si="35"/>
        <v>2026</v>
      </c>
      <c r="AK202" s="270" t="str">
        <f>Table4[[#This Row],[ကုန်သည်အမည်]]</f>
        <v>ကျော်စတား</v>
      </c>
      <c r="AL202" s="270" t="str">
        <f>Table4[[#This Row],[Township]]</f>
        <v>Yay</v>
      </c>
      <c r="AM202" s="271" t="str">
        <f>Table4[[#This Row],[WholeSales]]</f>
        <v>WholeSales</v>
      </c>
      <c r="AN202" s="272" t="str">
        <f>Table4[[#This Row],[Particular]]</f>
        <v>ကုန်ရောင်း(အကြွေး)</v>
      </c>
      <c r="AO202" s="273" t="str">
        <f>Table4[[#This Row],[StockName]]</f>
        <v>ဇေယျဝတီ Red (1 Liter) 30%</v>
      </c>
      <c r="AP202" s="268">
        <f>Table4[[#This Row],[Parking]]</f>
        <v>150</v>
      </c>
      <c r="AQ202" s="268">
        <f>Table4[[#This Row],[SalesBot]]</f>
        <v>1800</v>
      </c>
      <c r="AR202" s="268">
        <f>Table4[[#This Row],[Liter]]</f>
        <v>1800</v>
      </c>
    </row>
    <row r="203" spans="1:44" s="16" customFormat="1" hidden="1" x14ac:dyDescent="0.5">
      <c r="A203" s="3">
        <f t="shared" si="36"/>
        <v>2026</v>
      </c>
      <c r="B203" s="8">
        <f t="shared" si="37"/>
        <v>1</v>
      </c>
      <c r="C203" s="6">
        <v>46035</v>
      </c>
      <c r="D203" s="15">
        <f t="shared" ca="1" si="38"/>
        <v>46097</v>
      </c>
      <c r="E203" s="15" t="str">
        <f t="shared" ca="1" si="39"/>
        <v>2-Months</v>
      </c>
      <c r="F203" s="8" t="str">
        <f>VLOOKUP(N203,Stock[#Data],5,FALSE)</f>
        <v>BE</v>
      </c>
      <c r="G203" s="82" t="s">
        <v>767</v>
      </c>
      <c r="H203" s="15"/>
      <c r="I203" s="7" t="s">
        <v>102</v>
      </c>
      <c r="J203" s="8" t="str">
        <f>VLOOKUP(I203,Customers[#Data],2,FALSE)</f>
        <v>ဦးပြည်အေး</v>
      </c>
      <c r="K203" s="15" t="str">
        <f>VLOOKUP(I203,Customers[#Data],4,FALSE)</f>
        <v>Paung</v>
      </c>
      <c r="L203" s="15" t="str">
        <f>VLOOKUP(I203,Customers[#Data],5,FALSE)</f>
        <v>SemiWholeSales</v>
      </c>
      <c r="M203" s="7" t="s">
        <v>6</v>
      </c>
      <c r="N203" s="7" t="s">
        <v>516</v>
      </c>
      <c r="O203" s="14" t="str">
        <f>VLOOKUP(N203,Stock[#Data],2,FALSE)</f>
        <v>ဇေ Vodka</v>
      </c>
      <c r="P203" s="44">
        <f>VLOOKUP(N203,Stock[#Data],3,FALSE)</f>
        <v>0.64</v>
      </c>
      <c r="Q203" s="3">
        <f>VLOOKUP(N203,Stock[#Data],4,FALSE)</f>
        <v>14</v>
      </c>
      <c r="R203" s="11"/>
      <c r="S203" s="45">
        <f>IFERROR(Table4[[#This Row],[Bottle]]/Table4[[#This Row],[ပါဝင်မှု]]+Table4[[#This Row],[SalesPK]],0)</f>
        <v>100</v>
      </c>
      <c r="T203" s="12">
        <v>100</v>
      </c>
      <c r="U203" s="10">
        <f>Table4[[#This Row],[ပါဝင်မှု]]*Table4[[#This Row],[SalesPK]]+Table4[[#This Row],[Bottle]]</f>
        <v>1400</v>
      </c>
      <c r="V203" s="10">
        <f>Table4[[#This Row],[SalesBot]]*Table4[[#This Row],[ML]]</f>
        <v>896</v>
      </c>
      <c r="W203" s="1">
        <f>VLOOKUP(N203,Stock[#Data],6,FALSE)</f>
        <v>1400</v>
      </c>
      <c r="X203" s="8">
        <f>+Table4[[#This Row],[SalesBot]]*Table4[[#This Row],[နှုံး]]</f>
        <v>1960000</v>
      </c>
      <c r="Y203" s="12"/>
      <c r="Z203" s="12"/>
      <c r="AA203" s="12"/>
      <c r="AB203" s="9"/>
      <c r="AC203" s="12">
        <v>1960000</v>
      </c>
      <c r="AD203" s="9"/>
      <c r="AE203" s="12"/>
      <c r="AF20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03" s="24"/>
      <c r="AH203" s="266">
        <f>Table4[[#This Row],[Date]]</f>
        <v>46035</v>
      </c>
      <c r="AI203" s="264" t="str">
        <f t="shared" si="34"/>
        <v>Jan</v>
      </c>
      <c r="AJ203" s="264" t="str">
        <f t="shared" si="35"/>
        <v>2026</v>
      </c>
      <c r="AK203" s="270" t="str">
        <f>Table4[[#This Row],[ကုန်သည်အမည်]]</f>
        <v>ဦးပြည်အေး</v>
      </c>
      <c r="AL203" s="270" t="str">
        <f>Table4[[#This Row],[Township]]</f>
        <v>Paung</v>
      </c>
      <c r="AM203" s="271" t="str">
        <f>Table4[[#This Row],[WholeSales]]</f>
        <v>SemiWholeSales</v>
      </c>
      <c r="AN203" s="272" t="str">
        <f>Table4[[#This Row],[Particular]]</f>
        <v>ကုန်ရောင်း(လက်ငင်း)</v>
      </c>
      <c r="AO203" s="273" t="str">
        <f>Table4[[#This Row],[StockName]]</f>
        <v>ဇေ Vodka</v>
      </c>
      <c r="AP203" s="268">
        <f>Table4[[#This Row],[Parking]]</f>
        <v>100</v>
      </c>
      <c r="AQ203" s="268">
        <f>Table4[[#This Row],[SalesBot]]</f>
        <v>1400</v>
      </c>
      <c r="AR203" s="268">
        <f>Table4[[#This Row],[Liter]]</f>
        <v>896</v>
      </c>
    </row>
    <row r="204" spans="1:44" s="16" customFormat="1" hidden="1" x14ac:dyDescent="0.5">
      <c r="A204" s="3">
        <f t="shared" si="36"/>
        <v>2026</v>
      </c>
      <c r="B204" s="8">
        <f t="shared" si="37"/>
        <v>1</v>
      </c>
      <c r="C204" s="6">
        <v>46035</v>
      </c>
      <c r="D204" s="15">
        <f t="shared" ca="1" si="38"/>
        <v>46097</v>
      </c>
      <c r="E204" s="15" t="str">
        <f t="shared" ca="1" si="39"/>
        <v>2-Months</v>
      </c>
      <c r="F204" s="8" t="str">
        <f>VLOOKUP(N204,Stock[#Data],5,FALSE)</f>
        <v>BE</v>
      </c>
      <c r="G204" s="82" t="s">
        <v>768</v>
      </c>
      <c r="H204" s="15"/>
      <c r="I204" s="7" t="s">
        <v>110</v>
      </c>
      <c r="J204" s="8" t="str">
        <f>VLOOKUP(I204,Customers[#Data],2,FALSE)</f>
        <v>ပြည့်လျှံ</v>
      </c>
      <c r="K204" s="15" t="str">
        <f>VLOOKUP(I204,Customers[#Data],4,FALSE)</f>
        <v>Maw La Myaing</v>
      </c>
      <c r="L204" s="15" t="str">
        <f>VLOOKUP(I204,Customers[#Data],5,FALSE)</f>
        <v>WholeSales</v>
      </c>
      <c r="M204" s="7" t="s">
        <v>6</v>
      </c>
      <c r="N204" s="7" t="s">
        <v>516</v>
      </c>
      <c r="O204" s="14" t="str">
        <f>VLOOKUP(N204,Stock[#Data],2,FALSE)</f>
        <v>ဇေ Vodka</v>
      </c>
      <c r="P204" s="44">
        <f>VLOOKUP(N204,Stock[#Data],3,FALSE)</f>
        <v>0.64</v>
      </c>
      <c r="Q204" s="3">
        <f>VLOOKUP(N204,Stock[#Data],4,FALSE)</f>
        <v>14</v>
      </c>
      <c r="R204" s="11"/>
      <c r="S204" s="45">
        <f>IFERROR(Table4[[#This Row],[Bottle]]/Table4[[#This Row],[ပါဝင်မှု]]+Table4[[#This Row],[SalesPK]],0)</f>
        <v>100</v>
      </c>
      <c r="T204" s="12">
        <v>100</v>
      </c>
      <c r="U204" s="10">
        <f>Table4[[#This Row],[ပါဝင်မှု]]*Table4[[#This Row],[SalesPK]]+Table4[[#This Row],[Bottle]]</f>
        <v>1400</v>
      </c>
      <c r="V204" s="10">
        <f>Table4[[#This Row],[SalesBot]]*Table4[[#This Row],[ML]]</f>
        <v>896</v>
      </c>
      <c r="W204" s="1">
        <f>VLOOKUP(N204,Stock[#Data],6,FALSE)</f>
        <v>1400</v>
      </c>
      <c r="X204" s="8">
        <f>+Table4[[#This Row],[SalesBot]]*Table4[[#This Row],[နှုံး]]</f>
        <v>1960000</v>
      </c>
      <c r="Y204" s="12"/>
      <c r="Z204" s="12"/>
      <c r="AA204" s="12"/>
      <c r="AB204" s="9"/>
      <c r="AC204" s="12">
        <v>1960000</v>
      </c>
      <c r="AD204" s="9"/>
      <c r="AE204" s="12"/>
      <c r="AF20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04" s="24"/>
      <c r="AH204" s="266">
        <f>Table4[[#This Row],[Date]]</f>
        <v>46035</v>
      </c>
      <c r="AI204" s="264" t="str">
        <f t="shared" si="34"/>
        <v>Jan</v>
      </c>
      <c r="AJ204" s="264" t="str">
        <f t="shared" si="35"/>
        <v>2026</v>
      </c>
      <c r="AK204" s="270" t="str">
        <f>Table4[[#This Row],[ကုန်သည်အမည်]]</f>
        <v>ပြည့်လျှံ</v>
      </c>
      <c r="AL204" s="270" t="str">
        <f>Table4[[#This Row],[Township]]</f>
        <v>Maw La Myaing</v>
      </c>
      <c r="AM204" s="271" t="str">
        <f>Table4[[#This Row],[WholeSales]]</f>
        <v>WholeSales</v>
      </c>
      <c r="AN204" s="272" t="str">
        <f>Table4[[#This Row],[Particular]]</f>
        <v>ကုန်ရောင်း(လက်ငင်း)</v>
      </c>
      <c r="AO204" s="273" t="str">
        <f>Table4[[#This Row],[StockName]]</f>
        <v>ဇေ Vodka</v>
      </c>
      <c r="AP204" s="268">
        <f>Table4[[#This Row],[Parking]]</f>
        <v>100</v>
      </c>
      <c r="AQ204" s="268">
        <f>Table4[[#This Row],[SalesBot]]</f>
        <v>1400</v>
      </c>
      <c r="AR204" s="268">
        <f>Table4[[#This Row],[Liter]]</f>
        <v>896</v>
      </c>
    </row>
    <row r="205" spans="1:44" s="16" customFormat="1" hidden="1" x14ac:dyDescent="0.5">
      <c r="A205" s="3">
        <f t="shared" si="36"/>
        <v>2026</v>
      </c>
      <c r="B205" s="8">
        <f t="shared" si="37"/>
        <v>1</v>
      </c>
      <c r="C205" s="6">
        <v>46035</v>
      </c>
      <c r="D205" s="15">
        <f t="shared" ca="1" si="38"/>
        <v>46097</v>
      </c>
      <c r="E205" s="15" t="str">
        <f t="shared" ca="1" si="39"/>
        <v>2-Months</v>
      </c>
      <c r="F205" s="8" t="str">
        <f>VLOOKUP(N205,Stock[#Data],5,FALSE)</f>
        <v>BE</v>
      </c>
      <c r="G205" s="82" t="s">
        <v>768</v>
      </c>
      <c r="H205" s="15"/>
      <c r="I205" s="7" t="s">
        <v>110</v>
      </c>
      <c r="J205" s="8" t="str">
        <f>VLOOKUP(I205,Customers[#Data],2,FALSE)</f>
        <v>ပြည့်လျှံ</v>
      </c>
      <c r="K205" s="15" t="str">
        <f>VLOOKUP(I205,Customers[#Data],4,FALSE)</f>
        <v>Maw La Myaing</v>
      </c>
      <c r="L205" s="15" t="str">
        <f>VLOOKUP(I205,Customers[#Data],5,FALSE)</f>
        <v>WholeSales</v>
      </c>
      <c r="M205" s="7" t="s">
        <v>6</v>
      </c>
      <c r="N205" s="7" t="s">
        <v>517</v>
      </c>
      <c r="O205" s="14" t="str">
        <f>VLOOKUP(N205,Stock[#Data],2,FALSE)</f>
        <v>ဇေယျဝတီ Red (1 Liter) 30%</v>
      </c>
      <c r="P205" s="44">
        <f>VLOOKUP(N205,Stock[#Data],3,FALSE)</f>
        <v>1</v>
      </c>
      <c r="Q205" s="3">
        <f>VLOOKUP(N205,Stock[#Data],4,FALSE)</f>
        <v>12</v>
      </c>
      <c r="R205" s="11"/>
      <c r="S205" s="45">
        <f>IFERROR(Table4[[#This Row],[Bottle]]/Table4[[#This Row],[ပါဝင်မှု]]+Table4[[#This Row],[SalesPK]],0)</f>
        <v>100</v>
      </c>
      <c r="T205" s="12">
        <v>100</v>
      </c>
      <c r="U205" s="10">
        <f>Table4[[#This Row],[ပါဝင်မှု]]*Table4[[#This Row],[SalesPK]]+Table4[[#This Row],[Bottle]]</f>
        <v>1200</v>
      </c>
      <c r="V205" s="10">
        <f>Table4[[#This Row],[SalesBot]]*Table4[[#This Row],[ML]]</f>
        <v>1200</v>
      </c>
      <c r="W205" s="1">
        <f>VLOOKUP(N205,Stock[#Data],6,FALSE)</f>
        <v>1710</v>
      </c>
      <c r="X205" s="8">
        <f>+Table4[[#This Row],[SalesBot]]*Table4[[#This Row],[နှုံး]]</f>
        <v>2052000</v>
      </c>
      <c r="Y205" s="12"/>
      <c r="Z205" s="12"/>
      <c r="AA205" s="12"/>
      <c r="AB205" s="9"/>
      <c r="AC205" s="12">
        <v>2052000</v>
      </c>
      <c r="AD205" s="9"/>
      <c r="AE205" s="12"/>
      <c r="AF20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05" s="24"/>
      <c r="AH205" s="266">
        <f>Table4[[#This Row],[Date]]</f>
        <v>46035</v>
      </c>
      <c r="AI205" s="264" t="str">
        <f t="shared" si="34"/>
        <v>Jan</v>
      </c>
      <c r="AJ205" s="264" t="str">
        <f t="shared" si="35"/>
        <v>2026</v>
      </c>
      <c r="AK205" s="270" t="str">
        <f>Table4[[#This Row],[ကုန်သည်အမည်]]</f>
        <v>ပြည့်လျှံ</v>
      </c>
      <c r="AL205" s="270" t="str">
        <f>Table4[[#This Row],[Township]]</f>
        <v>Maw La Myaing</v>
      </c>
      <c r="AM205" s="271" t="str">
        <f>Table4[[#This Row],[WholeSales]]</f>
        <v>WholeSales</v>
      </c>
      <c r="AN205" s="272" t="str">
        <f>Table4[[#This Row],[Particular]]</f>
        <v>ကုန်ရောင်း(လက်ငင်း)</v>
      </c>
      <c r="AO205" s="273" t="str">
        <f>Table4[[#This Row],[StockName]]</f>
        <v>ဇေယျဝတီ Red (1 Liter) 30%</v>
      </c>
      <c r="AP205" s="268">
        <f>Table4[[#This Row],[Parking]]</f>
        <v>100</v>
      </c>
      <c r="AQ205" s="268">
        <f>Table4[[#This Row],[SalesBot]]</f>
        <v>1200</v>
      </c>
      <c r="AR205" s="268">
        <f>Table4[[#This Row],[Liter]]</f>
        <v>1200</v>
      </c>
    </row>
    <row r="206" spans="1:44" s="16" customFormat="1" hidden="1" x14ac:dyDescent="0.5">
      <c r="A206" s="3">
        <f t="shared" si="36"/>
        <v>2026</v>
      </c>
      <c r="B206" s="8">
        <f t="shared" si="37"/>
        <v>1</v>
      </c>
      <c r="C206" s="6">
        <v>46035</v>
      </c>
      <c r="D206" s="15">
        <f t="shared" ca="1" si="38"/>
        <v>46097</v>
      </c>
      <c r="E206" s="15" t="str">
        <f t="shared" ca="1" si="39"/>
        <v>2-Months</v>
      </c>
      <c r="F206" s="8" t="str">
        <f>VLOOKUP(N206,Stock[#Data],5,FALSE)</f>
        <v>BE</v>
      </c>
      <c r="G206" s="82" t="s">
        <v>769</v>
      </c>
      <c r="H206" s="15"/>
      <c r="I206" s="7" t="s">
        <v>543</v>
      </c>
      <c r="J206" s="8" t="str">
        <f>VLOOKUP(I206,Customers[#Data],2,FALSE)</f>
        <v>ဒေါ်မိစိန်</v>
      </c>
      <c r="K206" s="15" t="str">
        <f>VLOOKUP(I206,Customers[#Data],4,FALSE)</f>
        <v>Yay</v>
      </c>
      <c r="L206" s="15" t="str">
        <f>VLOOKUP(I206,Customers[#Data],5,FALSE)</f>
        <v>SemiWholeSales</v>
      </c>
      <c r="M206" s="7" t="s">
        <v>6</v>
      </c>
      <c r="N206" s="7" t="s">
        <v>514</v>
      </c>
      <c r="O206" s="14" t="str">
        <f>VLOOKUP(N206,Stock[#Data],2,FALSE)</f>
        <v>ဇေယျဝတီ Red</v>
      </c>
      <c r="P206" s="44">
        <f>VLOOKUP(N206,Stock[#Data],3,FALSE)</f>
        <v>0.64</v>
      </c>
      <c r="Q206" s="3">
        <f>VLOOKUP(N206,Stock[#Data],4,FALSE)</f>
        <v>14</v>
      </c>
      <c r="R206" s="11"/>
      <c r="S206" s="45">
        <f>IFERROR(Table4[[#This Row],[Bottle]]/Table4[[#This Row],[ပါဝင်မှု]]+Table4[[#This Row],[SalesPK]],0)</f>
        <v>20</v>
      </c>
      <c r="T206" s="12">
        <v>20</v>
      </c>
      <c r="U206" s="10">
        <f>Table4[[#This Row],[ပါဝင်မှု]]*Table4[[#This Row],[SalesPK]]+Table4[[#This Row],[Bottle]]</f>
        <v>280</v>
      </c>
      <c r="V206" s="10">
        <f>Table4[[#This Row],[SalesBot]]*Table4[[#This Row],[ML]]</f>
        <v>179.20000000000002</v>
      </c>
      <c r="W206" s="1">
        <f>VLOOKUP(N206,Stock[#Data],6,FALSE)</f>
        <v>1350</v>
      </c>
      <c r="X206" s="8">
        <f>+Table4[[#This Row],[SalesBot]]*Table4[[#This Row],[နှုံး]]</f>
        <v>378000</v>
      </c>
      <c r="Y206" s="12"/>
      <c r="Z206" s="12"/>
      <c r="AA206" s="12"/>
      <c r="AB206" s="9"/>
      <c r="AC206" s="12">
        <v>378000</v>
      </c>
      <c r="AD206" s="9"/>
      <c r="AE206" s="12"/>
      <c r="AF20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06" s="24"/>
      <c r="AH206" s="266">
        <f>Table4[[#This Row],[Date]]</f>
        <v>46035</v>
      </c>
      <c r="AI206" s="264" t="str">
        <f t="shared" si="34"/>
        <v>Jan</v>
      </c>
      <c r="AJ206" s="264" t="str">
        <f t="shared" si="35"/>
        <v>2026</v>
      </c>
      <c r="AK206" s="270" t="str">
        <f>Table4[[#This Row],[ကုန်သည်အမည်]]</f>
        <v>ဒေါ်မိစိန်</v>
      </c>
      <c r="AL206" s="270" t="str">
        <f>Table4[[#This Row],[Township]]</f>
        <v>Yay</v>
      </c>
      <c r="AM206" s="271" t="str">
        <f>Table4[[#This Row],[WholeSales]]</f>
        <v>SemiWholeSales</v>
      </c>
      <c r="AN206" s="272" t="str">
        <f>Table4[[#This Row],[Particular]]</f>
        <v>ကုန်ရောင်း(လက်ငင်း)</v>
      </c>
      <c r="AO206" s="273" t="str">
        <f>Table4[[#This Row],[StockName]]</f>
        <v>ဇေယျဝတီ Red</v>
      </c>
      <c r="AP206" s="268">
        <f>Table4[[#This Row],[Parking]]</f>
        <v>20</v>
      </c>
      <c r="AQ206" s="268">
        <f>Table4[[#This Row],[SalesBot]]</f>
        <v>280</v>
      </c>
      <c r="AR206" s="268">
        <f>Table4[[#This Row],[Liter]]</f>
        <v>179.20000000000002</v>
      </c>
    </row>
    <row r="207" spans="1:44" s="16" customFormat="1" hidden="1" x14ac:dyDescent="0.5">
      <c r="A207" s="3">
        <f t="shared" si="36"/>
        <v>2026</v>
      </c>
      <c r="B207" s="8">
        <f t="shared" si="37"/>
        <v>1</v>
      </c>
      <c r="C207" s="6">
        <v>46035</v>
      </c>
      <c r="D207" s="15">
        <f t="shared" ca="1" si="38"/>
        <v>46097</v>
      </c>
      <c r="E207" s="15" t="str">
        <f t="shared" ca="1" si="39"/>
        <v>2-Months</v>
      </c>
      <c r="F207" s="8" t="str">
        <f>VLOOKUP(N207,Stock[#Data],5,FALSE)</f>
        <v>BE</v>
      </c>
      <c r="G207" s="82" t="s">
        <v>769</v>
      </c>
      <c r="H207" s="15"/>
      <c r="I207" s="7" t="s">
        <v>543</v>
      </c>
      <c r="J207" s="8" t="str">
        <f>VLOOKUP(I207,Customers[#Data],2,FALSE)</f>
        <v>ဒေါ်မိစိန်</v>
      </c>
      <c r="K207" s="15" t="str">
        <f>VLOOKUP(I207,Customers[#Data],4,FALSE)</f>
        <v>Yay</v>
      </c>
      <c r="L207" s="15" t="str">
        <f>VLOOKUP(I207,Customers[#Data],5,FALSE)</f>
        <v>SemiWholeSales</v>
      </c>
      <c r="M207" s="7" t="s">
        <v>6</v>
      </c>
      <c r="N207" s="7" t="s">
        <v>517</v>
      </c>
      <c r="O207" s="14" t="str">
        <f>VLOOKUP(N207,Stock[#Data],2,FALSE)</f>
        <v>ဇေယျဝတီ Red (1 Liter) 30%</v>
      </c>
      <c r="P207" s="44">
        <f>VLOOKUP(N207,Stock[#Data],3,FALSE)</f>
        <v>1</v>
      </c>
      <c r="Q207" s="3">
        <f>VLOOKUP(N207,Stock[#Data],4,FALSE)</f>
        <v>12</v>
      </c>
      <c r="R207" s="11"/>
      <c r="S207" s="45">
        <f>IFERROR(Table4[[#This Row],[Bottle]]/Table4[[#This Row],[ပါဝင်မှု]]+Table4[[#This Row],[SalesPK]],0)</f>
        <v>30</v>
      </c>
      <c r="T207" s="12">
        <v>30</v>
      </c>
      <c r="U207" s="10">
        <f>Table4[[#This Row],[ပါဝင်မှု]]*Table4[[#This Row],[SalesPK]]+Table4[[#This Row],[Bottle]]</f>
        <v>360</v>
      </c>
      <c r="V207" s="10">
        <f>Table4[[#This Row],[SalesBot]]*Table4[[#This Row],[ML]]</f>
        <v>360</v>
      </c>
      <c r="W207" s="1">
        <f>VLOOKUP(N207,Stock[#Data],6,FALSE)</f>
        <v>1710</v>
      </c>
      <c r="X207" s="8">
        <f>+Table4[[#This Row],[SalesBot]]*Table4[[#This Row],[နှုံး]]</f>
        <v>615600</v>
      </c>
      <c r="Y207" s="12"/>
      <c r="Z207" s="12"/>
      <c r="AA207" s="12"/>
      <c r="AB207" s="9"/>
      <c r="AC207" s="12">
        <v>615600</v>
      </c>
      <c r="AD207" s="9"/>
      <c r="AE207" s="12"/>
      <c r="AF20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07" s="24"/>
      <c r="AH207" s="266">
        <f>Table4[[#This Row],[Date]]</f>
        <v>46035</v>
      </c>
      <c r="AI207" s="264" t="str">
        <f t="shared" si="34"/>
        <v>Jan</v>
      </c>
      <c r="AJ207" s="264" t="str">
        <f t="shared" si="35"/>
        <v>2026</v>
      </c>
      <c r="AK207" s="270" t="str">
        <f>Table4[[#This Row],[ကုန်သည်အမည်]]</f>
        <v>ဒေါ်မိစိန်</v>
      </c>
      <c r="AL207" s="270" t="str">
        <f>Table4[[#This Row],[Township]]</f>
        <v>Yay</v>
      </c>
      <c r="AM207" s="271" t="str">
        <f>Table4[[#This Row],[WholeSales]]</f>
        <v>SemiWholeSales</v>
      </c>
      <c r="AN207" s="272" t="str">
        <f>Table4[[#This Row],[Particular]]</f>
        <v>ကုန်ရောင်း(လက်ငင်း)</v>
      </c>
      <c r="AO207" s="273" t="str">
        <f>Table4[[#This Row],[StockName]]</f>
        <v>ဇေယျဝတီ Red (1 Liter) 30%</v>
      </c>
      <c r="AP207" s="268">
        <f>Table4[[#This Row],[Parking]]</f>
        <v>30</v>
      </c>
      <c r="AQ207" s="268">
        <f>Table4[[#This Row],[SalesBot]]</f>
        <v>360</v>
      </c>
      <c r="AR207" s="268">
        <f>Table4[[#This Row],[Liter]]</f>
        <v>360</v>
      </c>
    </row>
    <row r="208" spans="1:44" s="16" customFormat="1" hidden="1" x14ac:dyDescent="0.5">
      <c r="A208" s="3">
        <f t="shared" si="36"/>
        <v>2026</v>
      </c>
      <c r="B208" s="8">
        <f t="shared" si="37"/>
        <v>1</v>
      </c>
      <c r="C208" s="6">
        <v>46035</v>
      </c>
      <c r="D208" s="15">
        <f t="shared" ca="1" si="38"/>
        <v>46097</v>
      </c>
      <c r="E208" s="15" t="str">
        <f t="shared" ca="1" si="39"/>
        <v>2-Months</v>
      </c>
      <c r="F208" s="8" t="str">
        <f>VLOOKUP(N208,Stock[#Data],5,FALSE)</f>
        <v>BE</v>
      </c>
      <c r="G208" s="82" t="s">
        <v>770</v>
      </c>
      <c r="H208" s="15"/>
      <c r="I208" s="7" t="s">
        <v>535</v>
      </c>
      <c r="J208" s="8" t="str">
        <f>VLOOKUP(I208,Customers[#Data],2,FALSE)</f>
        <v>ကိုရဲ</v>
      </c>
      <c r="K208" s="15" t="str">
        <f>VLOOKUP(I208,Customers[#Data],4,FALSE)</f>
        <v>Yay</v>
      </c>
      <c r="L208" s="15" t="str">
        <f>VLOOKUP(I208,Customers[#Data],5,FALSE)</f>
        <v>Van Sales</v>
      </c>
      <c r="M208" s="7" t="s">
        <v>6</v>
      </c>
      <c r="N208" s="7" t="s">
        <v>517</v>
      </c>
      <c r="O208" s="14" t="str">
        <f>VLOOKUP(N208,Stock[#Data],2,FALSE)</f>
        <v>ဇေယျဝတီ Red (1 Liter) 30%</v>
      </c>
      <c r="P208" s="44">
        <f>VLOOKUP(N208,Stock[#Data],3,FALSE)</f>
        <v>1</v>
      </c>
      <c r="Q208" s="3">
        <f>VLOOKUP(N208,Stock[#Data],4,FALSE)</f>
        <v>12</v>
      </c>
      <c r="R208" s="11"/>
      <c r="S208" s="45">
        <f>IFERROR(Table4[[#This Row],[Bottle]]/Table4[[#This Row],[ပါဝင်မှု]]+Table4[[#This Row],[SalesPK]],0)</f>
        <v>50</v>
      </c>
      <c r="T208" s="12">
        <v>50</v>
      </c>
      <c r="U208" s="10">
        <f>Table4[[#This Row],[ပါဝင်မှု]]*Table4[[#This Row],[SalesPK]]+Table4[[#This Row],[Bottle]]</f>
        <v>600</v>
      </c>
      <c r="V208" s="10">
        <f>Table4[[#This Row],[SalesBot]]*Table4[[#This Row],[ML]]</f>
        <v>600</v>
      </c>
      <c r="W208" s="1">
        <f>VLOOKUP(N208,Stock[#Data],6,FALSE)</f>
        <v>1710</v>
      </c>
      <c r="X208" s="8">
        <f>+Table4[[#This Row],[SalesBot]]*Table4[[#This Row],[နှုံး]]</f>
        <v>1026000</v>
      </c>
      <c r="Y208" s="12"/>
      <c r="Z208" s="12"/>
      <c r="AA208" s="12"/>
      <c r="AB208" s="9"/>
      <c r="AC208" s="12">
        <v>1026000</v>
      </c>
      <c r="AD208" s="9"/>
      <c r="AE208" s="12"/>
      <c r="AF20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08" s="24"/>
      <c r="AH208" s="266">
        <f>Table4[[#This Row],[Date]]</f>
        <v>46035</v>
      </c>
      <c r="AI208" s="264" t="str">
        <f t="shared" si="34"/>
        <v>Jan</v>
      </c>
      <c r="AJ208" s="264" t="str">
        <f t="shared" si="35"/>
        <v>2026</v>
      </c>
      <c r="AK208" s="270" t="str">
        <f>Table4[[#This Row],[ကုန်သည်အမည်]]</f>
        <v>ကိုရဲ</v>
      </c>
      <c r="AL208" s="270" t="str">
        <f>Table4[[#This Row],[Township]]</f>
        <v>Yay</v>
      </c>
      <c r="AM208" s="271" t="str">
        <f>Table4[[#This Row],[WholeSales]]</f>
        <v>Van Sales</v>
      </c>
      <c r="AN208" s="272" t="str">
        <f>Table4[[#This Row],[Particular]]</f>
        <v>ကုန်ရောင်း(လက်ငင်း)</v>
      </c>
      <c r="AO208" s="273" t="str">
        <f>Table4[[#This Row],[StockName]]</f>
        <v>ဇေယျဝတီ Red (1 Liter) 30%</v>
      </c>
      <c r="AP208" s="268">
        <f>Table4[[#This Row],[Parking]]</f>
        <v>50</v>
      </c>
      <c r="AQ208" s="268">
        <f>Table4[[#This Row],[SalesBot]]</f>
        <v>600</v>
      </c>
      <c r="AR208" s="268">
        <f>Table4[[#This Row],[Liter]]</f>
        <v>600</v>
      </c>
    </row>
    <row r="209" spans="1:44" s="16" customFormat="1" hidden="1" x14ac:dyDescent="0.5">
      <c r="A209" s="3">
        <f t="shared" si="36"/>
        <v>2026</v>
      </c>
      <c r="B209" s="8">
        <f t="shared" si="37"/>
        <v>1</v>
      </c>
      <c r="C209" s="6">
        <v>46035</v>
      </c>
      <c r="D209" s="15">
        <f t="shared" ca="1" si="38"/>
        <v>46097</v>
      </c>
      <c r="E209" s="15" t="str">
        <f t="shared" ca="1" si="39"/>
        <v>2-Months</v>
      </c>
      <c r="F209" s="8" t="str">
        <f>VLOOKUP(N209,Stock[#Data],5,FALSE)</f>
        <v>BE</v>
      </c>
      <c r="G209" s="82" t="s">
        <v>771</v>
      </c>
      <c r="H209" s="15"/>
      <c r="I209" s="7" t="s">
        <v>749</v>
      </c>
      <c r="J209" s="8" t="str">
        <f>VLOOKUP(I209,Customers[#Data],2,FALSE)</f>
        <v>ဦး၀င်းမြင့်</v>
      </c>
      <c r="K209" s="15" t="str">
        <f>VLOOKUP(I209,Customers[#Data],4,FALSE)</f>
        <v>Maw La Myaing</v>
      </c>
      <c r="L209" s="15" t="str">
        <f>VLOOKUP(I209,Customers[#Data],5,FALSE)</f>
        <v>Van Sales</v>
      </c>
      <c r="M209" s="7" t="s">
        <v>6</v>
      </c>
      <c r="N209" s="7" t="s">
        <v>519</v>
      </c>
      <c r="O209" s="14" t="str">
        <f>VLOOKUP(N209,Stock[#Data],2,FALSE)</f>
        <v>ဇေယျဝတီ High 43%</v>
      </c>
      <c r="P209" s="44">
        <f>VLOOKUP(N209,Stock[#Data],3,FALSE)</f>
        <v>0.64</v>
      </c>
      <c r="Q209" s="3">
        <f>VLOOKUP(N209,Stock[#Data],4,FALSE)</f>
        <v>14</v>
      </c>
      <c r="R209" s="11"/>
      <c r="S209" s="45">
        <f>IFERROR(Table4[[#This Row],[Bottle]]/Table4[[#This Row],[ပါဝင်မှု]]+Table4[[#This Row],[SalesPK]],0)</f>
        <v>50</v>
      </c>
      <c r="T209" s="12">
        <v>50</v>
      </c>
      <c r="U209" s="10">
        <f>Table4[[#This Row],[ပါဝင်မှု]]*Table4[[#This Row],[SalesPK]]+Table4[[#This Row],[Bottle]]</f>
        <v>700</v>
      </c>
      <c r="V209" s="10">
        <f>Table4[[#This Row],[SalesBot]]*Table4[[#This Row],[ML]]</f>
        <v>448</v>
      </c>
      <c r="W209" s="1">
        <f>VLOOKUP(N209,Stock[#Data],6,FALSE)</f>
        <v>1500</v>
      </c>
      <c r="X209" s="8">
        <f>+Table4[[#This Row],[SalesBot]]*Table4[[#This Row],[နှုံး]]</f>
        <v>1050000</v>
      </c>
      <c r="Y209" s="12"/>
      <c r="Z209" s="12"/>
      <c r="AA209" s="12"/>
      <c r="AB209" s="9"/>
      <c r="AC209" s="12">
        <v>1050000</v>
      </c>
      <c r="AD209" s="9"/>
      <c r="AE209" s="12"/>
      <c r="AF20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09" s="24"/>
      <c r="AH209" s="266">
        <f>Table4[[#This Row],[Date]]</f>
        <v>46035</v>
      </c>
      <c r="AI209" s="264" t="str">
        <f t="shared" si="34"/>
        <v>Jan</v>
      </c>
      <c r="AJ209" s="264" t="str">
        <f t="shared" si="35"/>
        <v>2026</v>
      </c>
      <c r="AK209" s="270" t="str">
        <f>Table4[[#This Row],[ကုန်သည်အမည်]]</f>
        <v>ဦး၀င်းမြင့်</v>
      </c>
      <c r="AL209" s="270" t="str">
        <f>Table4[[#This Row],[Township]]</f>
        <v>Maw La Myaing</v>
      </c>
      <c r="AM209" s="271" t="str">
        <f>Table4[[#This Row],[WholeSales]]</f>
        <v>Van Sales</v>
      </c>
      <c r="AN209" s="272" t="str">
        <f>Table4[[#This Row],[Particular]]</f>
        <v>ကုန်ရောင်း(လက်ငင်း)</v>
      </c>
      <c r="AO209" s="273" t="str">
        <f>Table4[[#This Row],[StockName]]</f>
        <v>ဇေယျဝတီ High 43%</v>
      </c>
      <c r="AP209" s="268">
        <f>Table4[[#This Row],[Parking]]</f>
        <v>50</v>
      </c>
      <c r="AQ209" s="268">
        <f>Table4[[#This Row],[SalesBot]]</f>
        <v>700</v>
      </c>
      <c r="AR209" s="268">
        <f>Table4[[#This Row],[Liter]]</f>
        <v>448</v>
      </c>
    </row>
    <row r="210" spans="1:44" s="16" customFormat="1" hidden="1" x14ac:dyDescent="0.5">
      <c r="A210" s="3">
        <f t="shared" si="36"/>
        <v>2026</v>
      </c>
      <c r="B210" s="8">
        <f t="shared" si="37"/>
        <v>1</v>
      </c>
      <c r="C210" s="6">
        <v>46035</v>
      </c>
      <c r="D210" s="15">
        <f t="shared" ca="1" si="38"/>
        <v>46097</v>
      </c>
      <c r="E210" s="15" t="str">
        <f t="shared" ca="1" si="39"/>
        <v>2-Months</v>
      </c>
      <c r="F210" s="8" t="str">
        <f>VLOOKUP(N210,Stock[#Data],5,FALSE)</f>
        <v>BE</v>
      </c>
      <c r="G210" s="82" t="s">
        <v>772</v>
      </c>
      <c r="H210" s="15"/>
      <c r="I210" s="7" t="s">
        <v>591</v>
      </c>
      <c r="J210" s="8" t="str">
        <f>VLOOKUP(I210,Customers[#Data],2,FALSE)</f>
        <v>ဒေါ်မြလေး</v>
      </c>
      <c r="K210" s="15" t="str">
        <f>VLOOKUP(I210,Customers[#Data],4,FALSE)</f>
        <v>Paung</v>
      </c>
      <c r="L210" s="15" t="str">
        <f>VLOOKUP(I210,Customers[#Data],5,FALSE)</f>
        <v>Van Sales</v>
      </c>
      <c r="M210" s="7" t="s">
        <v>6</v>
      </c>
      <c r="N210" s="7" t="s">
        <v>518</v>
      </c>
      <c r="O210" s="14" t="str">
        <f>VLOOKUP(N210,Stock[#Data],2,FALSE)</f>
        <v>"ဇေ" ကော်ဘူး (1 Liter)</v>
      </c>
      <c r="P210" s="44">
        <f>VLOOKUP(N210,Stock[#Data],3,FALSE)</f>
        <v>1</v>
      </c>
      <c r="Q210" s="3">
        <f>VLOOKUP(N210,Stock[#Data],4,FALSE)</f>
        <v>12</v>
      </c>
      <c r="R210" s="11"/>
      <c r="S210" s="45">
        <f>IFERROR(Table4[[#This Row],[Bottle]]/Table4[[#This Row],[ပါဝင်မှု]]+Table4[[#This Row],[SalesPK]],0)</f>
        <v>10</v>
      </c>
      <c r="T210" s="12">
        <v>10</v>
      </c>
      <c r="U210" s="10">
        <f>Table4[[#This Row],[ပါဝင်မှု]]*Table4[[#This Row],[SalesPK]]+Table4[[#This Row],[Bottle]]</f>
        <v>120</v>
      </c>
      <c r="V210" s="10">
        <f>Table4[[#This Row],[SalesBot]]*Table4[[#This Row],[ML]]</f>
        <v>120</v>
      </c>
      <c r="W210" s="1">
        <f>VLOOKUP(N210,Stock[#Data],6,FALSE)</f>
        <v>1675</v>
      </c>
      <c r="X210" s="8">
        <f>+Table4[[#This Row],[SalesBot]]*Table4[[#This Row],[နှုံး]]</f>
        <v>201000</v>
      </c>
      <c r="Y210" s="12"/>
      <c r="Z210" s="12"/>
      <c r="AA210" s="12"/>
      <c r="AB210" s="9"/>
      <c r="AC210" s="12">
        <v>201000</v>
      </c>
      <c r="AD210" s="9"/>
      <c r="AE210" s="12"/>
      <c r="AF21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10" s="24"/>
      <c r="AH210" s="266">
        <f>Table4[[#This Row],[Date]]</f>
        <v>46035</v>
      </c>
      <c r="AI210" s="264" t="str">
        <f t="shared" si="34"/>
        <v>Jan</v>
      </c>
      <c r="AJ210" s="264" t="str">
        <f t="shared" si="35"/>
        <v>2026</v>
      </c>
      <c r="AK210" s="270" t="str">
        <f>Table4[[#This Row],[ကုန်သည်အမည်]]</f>
        <v>ဒေါ်မြလေး</v>
      </c>
      <c r="AL210" s="270" t="str">
        <f>Table4[[#This Row],[Township]]</f>
        <v>Paung</v>
      </c>
      <c r="AM210" s="271" t="str">
        <f>Table4[[#This Row],[WholeSales]]</f>
        <v>Van Sales</v>
      </c>
      <c r="AN210" s="272" t="str">
        <f>Table4[[#This Row],[Particular]]</f>
        <v>ကုန်ရောင်း(လက်ငင်း)</v>
      </c>
      <c r="AO210" s="273" t="str">
        <f>Table4[[#This Row],[StockName]]</f>
        <v>"ဇေ" ကော်ဘူး (1 Liter)</v>
      </c>
      <c r="AP210" s="268">
        <f>Table4[[#This Row],[Parking]]</f>
        <v>10</v>
      </c>
      <c r="AQ210" s="268">
        <f>Table4[[#This Row],[SalesBot]]</f>
        <v>120</v>
      </c>
      <c r="AR210" s="268">
        <f>Table4[[#This Row],[Liter]]</f>
        <v>120</v>
      </c>
    </row>
    <row r="211" spans="1:44" s="16" customFormat="1" hidden="1" x14ac:dyDescent="0.5">
      <c r="A211" s="3">
        <f t="shared" si="36"/>
        <v>2026</v>
      </c>
      <c r="B211" s="8">
        <f t="shared" si="37"/>
        <v>1</v>
      </c>
      <c r="C211" s="6">
        <v>46035</v>
      </c>
      <c r="D211" s="15">
        <f t="shared" ca="1" si="38"/>
        <v>46097</v>
      </c>
      <c r="E211" s="15" t="str">
        <f t="shared" ca="1" si="39"/>
        <v>2-Months</v>
      </c>
      <c r="F211" s="8" t="str">
        <f>VLOOKUP(N211,Stock[#Data],5,FALSE)</f>
        <v>BE</v>
      </c>
      <c r="G211" s="82" t="s">
        <v>773</v>
      </c>
      <c r="H211" s="15"/>
      <c r="I211" s="7" t="s">
        <v>109</v>
      </c>
      <c r="J211" s="8" t="str">
        <f>VLOOKUP(I211,Customers[#Data],2,FALSE)</f>
        <v>ဦးမင်းလွင်</v>
      </c>
      <c r="K211" s="15" t="str">
        <f>VLOOKUP(I211,Customers[#Data],4,FALSE)</f>
        <v>Maw La Myaing</v>
      </c>
      <c r="L211" s="15" t="str">
        <f>VLOOKUP(I211,Customers[#Data],5,FALSE)</f>
        <v>WholeSales</v>
      </c>
      <c r="M211" s="7" t="s">
        <v>6</v>
      </c>
      <c r="N211" s="7" t="s">
        <v>521</v>
      </c>
      <c r="O211" s="14" t="str">
        <f>VLOOKUP(N211,Stock[#Data],2,FALSE)</f>
        <v>ဒဂုံအရက်သန့်</v>
      </c>
      <c r="P211" s="44">
        <f>VLOOKUP(N211,Stock[#Data],3,FALSE)</f>
        <v>0.64</v>
      </c>
      <c r="Q211" s="3">
        <f>VLOOKUP(N211,Stock[#Data],4,FALSE)</f>
        <v>24</v>
      </c>
      <c r="R211" s="11"/>
      <c r="S211" s="45">
        <f>IFERROR(Table4[[#This Row],[Bottle]]/Table4[[#This Row],[ပါဝင်မှု]]+Table4[[#This Row],[SalesPK]],0)</f>
        <v>40</v>
      </c>
      <c r="T211" s="12">
        <v>40</v>
      </c>
      <c r="U211" s="10">
        <f>Table4[[#This Row],[ပါဝင်မှု]]*Table4[[#This Row],[SalesPK]]+Table4[[#This Row],[Bottle]]</f>
        <v>960</v>
      </c>
      <c r="V211" s="10">
        <f>Table4[[#This Row],[SalesBot]]*Table4[[#This Row],[ML]]</f>
        <v>614.4</v>
      </c>
      <c r="W211" s="1">
        <f>VLOOKUP(N211,Stock[#Data],6,FALSE)</f>
        <v>1350</v>
      </c>
      <c r="X211" s="8">
        <f>+Table4[[#This Row],[SalesBot]]*Table4[[#This Row],[နှုံး]]</f>
        <v>1296000</v>
      </c>
      <c r="Y211" s="12"/>
      <c r="Z211" s="12"/>
      <c r="AA211" s="12"/>
      <c r="AB211" s="9"/>
      <c r="AC211" s="12">
        <v>1296000</v>
      </c>
      <c r="AD211" s="9"/>
      <c r="AE211" s="12"/>
      <c r="AF21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11" s="24"/>
      <c r="AH211" s="266">
        <f>Table4[[#This Row],[Date]]</f>
        <v>46035</v>
      </c>
      <c r="AI211" s="264" t="str">
        <f t="shared" si="34"/>
        <v>Jan</v>
      </c>
      <c r="AJ211" s="264" t="str">
        <f t="shared" si="35"/>
        <v>2026</v>
      </c>
      <c r="AK211" s="270" t="str">
        <f>Table4[[#This Row],[ကုန်သည်အမည်]]</f>
        <v>ဦးမင်းလွင်</v>
      </c>
      <c r="AL211" s="270" t="str">
        <f>Table4[[#This Row],[Township]]</f>
        <v>Maw La Myaing</v>
      </c>
      <c r="AM211" s="271" t="str">
        <f>Table4[[#This Row],[WholeSales]]</f>
        <v>WholeSales</v>
      </c>
      <c r="AN211" s="272" t="str">
        <f>Table4[[#This Row],[Particular]]</f>
        <v>ကုန်ရောင်း(လက်ငင်း)</v>
      </c>
      <c r="AO211" s="273" t="str">
        <f>Table4[[#This Row],[StockName]]</f>
        <v>ဒဂုံအရက်သန့်</v>
      </c>
      <c r="AP211" s="268">
        <f>Table4[[#This Row],[Parking]]</f>
        <v>40</v>
      </c>
      <c r="AQ211" s="268">
        <f>Table4[[#This Row],[SalesBot]]</f>
        <v>960</v>
      </c>
      <c r="AR211" s="268">
        <f>Table4[[#This Row],[Liter]]</f>
        <v>614.4</v>
      </c>
    </row>
    <row r="212" spans="1:44" s="16" customFormat="1" hidden="1" x14ac:dyDescent="0.5">
      <c r="A212" s="3">
        <f t="shared" si="36"/>
        <v>2026</v>
      </c>
      <c r="B212" s="8">
        <f t="shared" si="37"/>
        <v>1</v>
      </c>
      <c r="C212" s="6">
        <v>46035</v>
      </c>
      <c r="D212" s="15">
        <f t="shared" ca="1" si="38"/>
        <v>46097</v>
      </c>
      <c r="E212" s="15" t="str">
        <f t="shared" ca="1" si="39"/>
        <v>2-Months</v>
      </c>
      <c r="F212" s="8" t="str">
        <f>VLOOKUP(N212,Stock[#Data],5,FALSE)</f>
        <v>BE</v>
      </c>
      <c r="G212" s="82" t="s">
        <v>773</v>
      </c>
      <c r="H212" s="15"/>
      <c r="I212" s="7" t="s">
        <v>109</v>
      </c>
      <c r="J212" s="8" t="str">
        <f>VLOOKUP(I212,Customers[#Data],2,FALSE)</f>
        <v>ဦးမင်းလွင်</v>
      </c>
      <c r="K212" s="15" t="str">
        <f>VLOOKUP(I212,Customers[#Data],4,FALSE)</f>
        <v>Maw La Myaing</v>
      </c>
      <c r="L212" s="15" t="str">
        <f>VLOOKUP(I212,Customers[#Data],5,FALSE)</f>
        <v>WholeSales</v>
      </c>
      <c r="M212" s="7" t="s">
        <v>6</v>
      </c>
      <c r="N212" s="7" t="s">
        <v>526</v>
      </c>
      <c r="O212" s="14" t="str">
        <f>VLOOKUP(N212,Stock[#Data],2,FALSE)</f>
        <v>ဒဂုံနာနတ်ဝိုင်</v>
      </c>
      <c r="P212" s="44">
        <f>VLOOKUP(N212,Stock[#Data],3,FALSE)</f>
        <v>0.64</v>
      </c>
      <c r="Q212" s="3">
        <f>VLOOKUP(N212,Stock[#Data],4,FALSE)</f>
        <v>14</v>
      </c>
      <c r="R212" s="11"/>
      <c r="S212" s="45">
        <f>IFERROR(Table4[[#This Row],[Bottle]]/Table4[[#This Row],[ပါဝင်မှု]]+Table4[[#This Row],[SalesPK]],0)</f>
        <v>10</v>
      </c>
      <c r="T212" s="12">
        <v>10</v>
      </c>
      <c r="U212" s="10">
        <f>Table4[[#This Row],[ပါဝင်မှု]]*Table4[[#This Row],[SalesPK]]+Table4[[#This Row],[Bottle]]</f>
        <v>140</v>
      </c>
      <c r="V212" s="10">
        <f>Table4[[#This Row],[SalesBot]]*Table4[[#This Row],[ML]]</f>
        <v>89.600000000000009</v>
      </c>
      <c r="W212" s="1">
        <f>VLOOKUP(N212,Stock[#Data],6,FALSE)</f>
        <v>1350</v>
      </c>
      <c r="X212" s="8">
        <f>+Table4[[#This Row],[SalesBot]]*Table4[[#This Row],[နှုံး]]</f>
        <v>189000</v>
      </c>
      <c r="Y212" s="12"/>
      <c r="Z212" s="12"/>
      <c r="AA212" s="12"/>
      <c r="AB212" s="9"/>
      <c r="AC212" s="12">
        <v>189000</v>
      </c>
      <c r="AD212" s="9"/>
      <c r="AE212" s="12"/>
      <c r="AF21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12" s="24"/>
      <c r="AH212" s="266">
        <f>Table4[[#This Row],[Date]]</f>
        <v>46035</v>
      </c>
      <c r="AI212" s="264" t="str">
        <f t="shared" si="34"/>
        <v>Jan</v>
      </c>
      <c r="AJ212" s="264" t="str">
        <f t="shared" si="35"/>
        <v>2026</v>
      </c>
      <c r="AK212" s="270" t="str">
        <f>Table4[[#This Row],[ကုန်သည်အမည်]]</f>
        <v>ဦးမင်းလွင်</v>
      </c>
      <c r="AL212" s="270" t="str">
        <f>Table4[[#This Row],[Township]]</f>
        <v>Maw La Myaing</v>
      </c>
      <c r="AM212" s="271" t="str">
        <f>Table4[[#This Row],[WholeSales]]</f>
        <v>WholeSales</v>
      </c>
      <c r="AN212" s="272" t="str">
        <f>Table4[[#This Row],[Particular]]</f>
        <v>ကုန်ရောင်း(လက်ငင်း)</v>
      </c>
      <c r="AO212" s="273" t="str">
        <f>Table4[[#This Row],[StockName]]</f>
        <v>ဒဂုံနာနတ်ဝိုင်</v>
      </c>
      <c r="AP212" s="268">
        <f>Table4[[#This Row],[Parking]]</f>
        <v>10</v>
      </c>
      <c r="AQ212" s="268">
        <f>Table4[[#This Row],[SalesBot]]</f>
        <v>140</v>
      </c>
      <c r="AR212" s="268">
        <f>Table4[[#This Row],[Liter]]</f>
        <v>89.600000000000009</v>
      </c>
    </row>
    <row r="213" spans="1:44" s="16" customFormat="1" hidden="1" x14ac:dyDescent="0.5">
      <c r="A213" s="3">
        <f t="shared" si="36"/>
        <v>2026</v>
      </c>
      <c r="B213" s="8">
        <f t="shared" si="37"/>
        <v>1</v>
      </c>
      <c r="C213" s="6">
        <v>46035</v>
      </c>
      <c r="D213" s="15">
        <f t="shared" ca="1" si="38"/>
        <v>46097</v>
      </c>
      <c r="E213" s="15" t="str">
        <f t="shared" ca="1" si="39"/>
        <v>2-Months</v>
      </c>
      <c r="F213" s="8" t="str">
        <f>VLOOKUP(N213,Stock[#Data],5,FALSE)</f>
        <v>BE</v>
      </c>
      <c r="G213" s="82" t="s">
        <v>774</v>
      </c>
      <c r="H213" s="15"/>
      <c r="I213" s="7" t="s">
        <v>580</v>
      </c>
      <c r="J213" s="8" t="str">
        <f>VLOOKUP(I213,Customers[#Data],2,FALSE)</f>
        <v>ဒေါ်ချိုချို၀င်း</v>
      </c>
      <c r="K213" s="15" t="str">
        <f>VLOOKUP(I213,Customers[#Data],4,FALSE)</f>
        <v>Chang Sone</v>
      </c>
      <c r="L213" s="15" t="str">
        <f>VLOOKUP(I213,Customers[#Data],5,FALSE)</f>
        <v>Van Sales</v>
      </c>
      <c r="M213" s="7" t="s">
        <v>6</v>
      </c>
      <c r="N213" s="7" t="s">
        <v>516</v>
      </c>
      <c r="O213" s="14" t="str">
        <f>VLOOKUP(N213,Stock[#Data],2,FALSE)</f>
        <v>ဇေ Vodka</v>
      </c>
      <c r="P213" s="44">
        <f>VLOOKUP(N213,Stock[#Data],3,FALSE)</f>
        <v>0.64</v>
      </c>
      <c r="Q213" s="3">
        <f>VLOOKUP(N213,Stock[#Data],4,FALSE)</f>
        <v>14</v>
      </c>
      <c r="R213" s="11"/>
      <c r="S213" s="45">
        <f>IFERROR(Table4[[#This Row],[Bottle]]/Table4[[#This Row],[ပါဝင်မှု]]+Table4[[#This Row],[SalesPK]],0)</f>
        <v>5</v>
      </c>
      <c r="T213" s="12">
        <v>5</v>
      </c>
      <c r="U213" s="10">
        <f>Table4[[#This Row],[ပါဝင်မှု]]*Table4[[#This Row],[SalesPK]]+Table4[[#This Row],[Bottle]]</f>
        <v>70</v>
      </c>
      <c r="V213" s="10">
        <f>Table4[[#This Row],[SalesBot]]*Table4[[#This Row],[ML]]</f>
        <v>44.800000000000004</v>
      </c>
      <c r="W213" s="1">
        <f>VLOOKUP(N213,Stock[#Data],6,FALSE)</f>
        <v>1400</v>
      </c>
      <c r="X213" s="8">
        <f>+Table4[[#This Row],[SalesBot]]*Table4[[#This Row],[နှုံး]]</f>
        <v>98000</v>
      </c>
      <c r="Y213" s="12"/>
      <c r="Z213" s="12"/>
      <c r="AA213" s="12"/>
      <c r="AB213" s="9"/>
      <c r="AC213" s="12">
        <v>98000</v>
      </c>
      <c r="AD213" s="9"/>
      <c r="AE213" s="12"/>
      <c r="AF21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13" s="24"/>
      <c r="AH213" s="266">
        <f>Table4[[#This Row],[Date]]</f>
        <v>46035</v>
      </c>
      <c r="AI213" s="264" t="str">
        <f t="shared" si="34"/>
        <v>Jan</v>
      </c>
      <c r="AJ213" s="264" t="str">
        <f t="shared" si="35"/>
        <v>2026</v>
      </c>
      <c r="AK213" s="270" t="str">
        <f>Table4[[#This Row],[ကုန်သည်အမည်]]</f>
        <v>ဒေါ်ချိုချို၀င်း</v>
      </c>
      <c r="AL213" s="270" t="str">
        <f>Table4[[#This Row],[Township]]</f>
        <v>Chang Sone</v>
      </c>
      <c r="AM213" s="271" t="str">
        <f>Table4[[#This Row],[WholeSales]]</f>
        <v>Van Sales</v>
      </c>
      <c r="AN213" s="272" t="str">
        <f>Table4[[#This Row],[Particular]]</f>
        <v>ကုန်ရောင်း(လက်ငင်း)</v>
      </c>
      <c r="AO213" s="273" t="str">
        <f>Table4[[#This Row],[StockName]]</f>
        <v>ဇေ Vodka</v>
      </c>
      <c r="AP213" s="268">
        <f>Table4[[#This Row],[Parking]]</f>
        <v>5</v>
      </c>
      <c r="AQ213" s="268">
        <f>Table4[[#This Row],[SalesBot]]</f>
        <v>70</v>
      </c>
      <c r="AR213" s="268">
        <f>Table4[[#This Row],[Liter]]</f>
        <v>44.800000000000004</v>
      </c>
    </row>
    <row r="214" spans="1:44" s="16" customFormat="1" hidden="1" x14ac:dyDescent="0.5">
      <c r="A214" s="3">
        <f t="shared" si="36"/>
        <v>2026</v>
      </c>
      <c r="B214" s="8">
        <f t="shared" si="37"/>
        <v>1</v>
      </c>
      <c r="C214" s="6">
        <v>46035</v>
      </c>
      <c r="D214" s="15">
        <f t="shared" ca="1" si="38"/>
        <v>46097</v>
      </c>
      <c r="E214" s="15" t="str">
        <f t="shared" ca="1" si="39"/>
        <v>2-Months</v>
      </c>
      <c r="F214" s="8" t="str">
        <f>VLOOKUP(N214,Stock[#Data],5,FALSE)</f>
        <v>BE</v>
      </c>
      <c r="G214" s="82" t="s">
        <v>775</v>
      </c>
      <c r="H214" s="15"/>
      <c r="I214" s="7" t="s">
        <v>568</v>
      </c>
      <c r="J214" s="8" t="str">
        <f>VLOOKUP(I214,Customers[#Data],2,FALSE)</f>
        <v>စိမ်းလဲ့ကန်သာ</v>
      </c>
      <c r="K214" s="15" t="str">
        <f>VLOOKUP(I214,Customers[#Data],4,FALSE)</f>
        <v>Chang Sone</v>
      </c>
      <c r="L214" s="15" t="str">
        <f>VLOOKUP(I214,Customers[#Data],5,FALSE)</f>
        <v>Van Sales</v>
      </c>
      <c r="M214" s="7" t="s">
        <v>6</v>
      </c>
      <c r="N214" s="7" t="s">
        <v>514</v>
      </c>
      <c r="O214" s="14" t="str">
        <f>VLOOKUP(N214,Stock[#Data],2,FALSE)</f>
        <v>ဇေယျဝတီ Red</v>
      </c>
      <c r="P214" s="44">
        <f>VLOOKUP(N214,Stock[#Data],3,FALSE)</f>
        <v>0.64</v>
      </c>
      <c r="Q214" s="3">
        <f>VLOOKUP(N214,Stock[#Data],4,FALSE)</f>
        <v>14</v>
      </c>
      <c r="R214" s="11"/>
      <c r="S214" s="45">
        <f>IFERROR(Table4[[#This Row],[Bottle]]/Table4[[#This Row],[ပါဝင်မှု]]+Table4[[#This Row],[SalesPK]],0)</f>
        <v>50</v>
      </c>
      <c r="T214" s="12">
        <v>50</v>
      </c>
      <c r="U214" s="10">
        <f>Table4[[#This Row],[ပါဝင်မှု]]*Table4[[#This Row],[SalesPK]]+Table4[[#This Row],[Bottle]]</f>
        <v>700</v>
      </c>
      <c r="V214" s="10">
        <f>Table4[[#This Row],[SalesBot]]*Table4[[#This Row],[ML]]</f>
        <v>448</v>
      </c>
      <c r="W214" s="1">
        <f>VLOOKUP(N214,Stock[#Data],6,FALSE)</f>
        <v>1350</v>
      </c>
      <c r="X214" s="8">
        <f>+Table4[[#This Row],[SalesBot]]*Table4[[#This Row],[နှုံး]]</f>
        <v>945000</v>
      </c>
      <c r="Y214" s="12"/>
      <c r="Z214" s="12"/>
      <c r="AA214" s="12"/>
      <c r="AB214" s="9"/>
      <c r="AC214" s="12">
        <v>945000</v>
      </c>
      <c r="AD214" s="9"/>
      <c r="AE214" s="12"/>
      <c r="AF21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14" s="24"/>
      <c r="AH214" s="266">
        <f>Table4[[#This Row],[Date]]</f>
        <v>46035</v>
      </c>
      <c r="AI214" s="264" t="str">
        <f t="shared" si="34"/>
        <v>Jan</v>
      </c>
      <c r="AJ214" s="264" t="str">
        <f t="shared" si="35"/>
        <v>2026</v>
      </c>
      <c r="AK214" s="270" t="str">
        <f>Table4[[#This Row],[ကုန်သည်အမည်]]</f>
        <v>စိမ်းလဲ့ကန်သာ</v>
      </c>
      <c r="AL214" s="270" t="str">
        <f>Table4[[#This Row],[Township]]</f>
        <v>Chang Sone</v>
      </c>
      <c r="AM214" s="271" t="str">
        <f>Table4[[#This Row],[WholeSales]]</f>
        <v>Van Sales</v>
      </c>
      <c r="AN214" s="272" t="str">
        <f>Table4[[#This Row],[Particular]]</f>
        <v>ကုန်ရောင်း(လက်ငင်း)</v>
      </c>
      <c r="AO214" s="273" t="str">
        <f>Table4[[#This Row],[StockName]]</f>
        <v>ဇေယျဝတီ Red</v>
      </c>
      <c r="AP214" s="268">
        <f>Table4[[#This Row],[Parking]]</f>
        <v>50</v>
      </c>
      <c r="AQ214" s="268">
        <f>Table4[[#This Row],[SalesBot]]</f>
        <v>700</v>
      </c>
      <c r="AR214" s="268">
        <f>Table4[[#This Row],[Liter]]</f>
        <v>448</v>
      </c>
    </row>
    <row r="215" spans="1:44" s="16" customFormat="1" hidden="1" x14ac:dyDescent="0.5">
      <c r="A215" s="3">
        <f t="shared" si="36"/>
        <v>2026</v>
      </c>
      <c r="B215" s="8">
        <f t="shared" si="37"/>
        <v>1</v>
      </c>
      <c r="C215" s="6">
        <v>46035</v>
      </c>
      <c r="D215" s="15">
        <f t="shared" ca="1" si="38"/>
        <v>46097</v>
      </c>
      <c r="E215" s="15" t="str">
        <f t="shared" ca="1" si="39"/>
        <v>2-Months</v>
      </c>
      <c r="F215" s="8" t="str">
        <f>VLOOKUP(N215,Stock[#Data],5,FALSE)</f>
        <v>BE</v>
      </c>
      <c r="G215" s="82" t="s">
        <v>776</v>
      </c>
      <c r="H215" s="15"/>
      <c r="I215" s="7" t="s">
        <v>592</v>
      </c>
      <c r="J215" s="8" t="str">
        <f>VLOOKUP(I215,Customers[#Data],2,FALSE)</f>
        <v>မင်းထွန်းသိန်း</v>
      </c>
      <c r="K215" s="15" t="str">
        <f>VLOOKUP(I215,Customers[#Data],4,FALSE)</f>
        <v>Chang Sone</v>
      </c>
      <c r="L215" s="15" t="str">
        <f>VLOOKUP(I215,Customers[#Data],5,FALSE)</f>
        <v>Van Sales</v>
      </c>
      <c r="M215" s="7" t="s">
        <v>6</v>
      </c>
      <c r="N215" s="7" t="s">
        <v>519</v>
      </c>
      <c r="O215" s="14" t="str">
        <f>VLOOKUP(N215,Stock[#Data],2,FALSE)</f>
        <v>ဇေယျဝတီ High 43%</v>
      </c>
      <c r="P215" s="44">
        <f>VLOOKUP(N215,Stock[#Data],3,FALSE)</f>
        <v>0.64</v>
      </c>
      <c r="Q215" s="3">
        <f>VLOOKUP(N215,Stock[#Data],4,FALSE)</f>
        <v>14</v>
      </c>
      <c r="R215" s="11"/>
      <c r="S215" s="45">
        <f>IFERROR(Table4[[#This Row],[Bottle]]/Table4[[#This Row],[ပါဝင်မှု]]+Table4[[#This Row],[SalesPK]],0)</f>
        <v>5</v>
      </c>
      <c r="T215" s="12">
        <v>5</v>
      </c>
      <c r="U215" s="10">
        <f>Table4[[#This Row],[ပါဝင်မှု]]*Table4[[#This Row],[SalesPK]]+Table4[[#This Row],[Bottle]]</f>
        <v>70</v>
      </c>
      <c r="V215" s="10">
        <f>Table4[[#This Row],[SalesBot]]*Table4[[#This Row],[ML]]</f>
        <v>44.800000000000004</v>
      </c>
      <c r="W215" s="1">
        <f>VLOOKUP(N215,Stock[#Data],6,FALSE)</f>
        <v>1500</v>
      </c>
      <c r="X215" s="8">
        <f>+Table4[[#This Row],[SalesBot]]*Table4[[#This Row],[နှုံး]]</f>
        <v>105000</v>
      </c>
      <c r="Y215" s="12"/>
      <c r="Z215" s="12"/>
      <c r="AA215" s="12"/>
      <c r="AB215" s="9"/>
      <c r="AC215" s="12">
        <v>105000</v>
      </c>
      <c r="AD215" s="9"/>
      <c r="AE215" s="12"/>
      <c r="AF21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15" s="24"/>
      <c r="AH215" s="266">
        <f>Table4[[#This Row],[Date]]</f>
        <v>46035</v>
      </c>
      <c r="AI215" s="264" t="str">
        <f t="shared" si="34"/>
        <v>Jan</v>
      </c>
      <c r="AJ215" s="264" t="str">
        <f t="shared" si="35"/>
        <v>2026</v>
      </c>
      <c r="AK215" s="270" t="str">
        <f>Table4[[#This Row],[ကုန်သည်အမည်]]</f>
        <v>မင်းထွန်းသိန်း</v>
      </c>
      <c r="AL215" s="270" t="str">
        <f>Table4[[#This Row],[Township]]</f>
        <v>Chang Sone</v>
      </c>
      <c r="AM215" s="271" t="str">
        <f>Table4[[#This Row],[WholeSales]]</f>
        <v>Van Sales</v>
      </c>
      <c r="AN215" s="272" t="str">
        <f>Table4[[#This Row],[Particular]]</f>
        <v>ကုန်ရောင်း(လက်ငင်း)</v>
      </c>
      <c r="AO215" s="273" t="str">
        <f>Table4[[#This Row],[StockName]]</f>
        <v>ဇေယျဝတီ High 43%</v>
      </c>
      <c r="AP215" s="268">
        <f>Table4[[#This Row],[Parking]]</f>
        <v>5</v>
      </c>
      <c r="AQ215" s="268">
        <f>Table4[[#This Row],[SalesBot]]</f>
        <v>70</v>
      </c>
      <c r="AR215" s="268">
        <f>Table4[[#This Row],[Liter]]</f>
        <v>44.800000000000004</v>
      </c>
    </row>
    <row r="216" spans="1:44" s="16" customFormat="1" hidden="1" x14ac:dyDescent="0.5">
      <c r="A216" s="3">
        <f t="shared" si="36"/>
        <v>2026</v>
      </c>
      <c r="B216" s="8">
        <f t="shared" si="37"/>
        <v>1</v>
      </c>
      <c r="C216" s="6">
        <v>46036</v>
      </c>
      <c r="D216" s="15">
        <f t="shared" ca="1" si="38"/>
        <v>46097</v>
      </c>
      <c r="E216" s="15" t="str">
        <f t="shared" ca="1" si="39"/>
        <v>2-Months</v>
      </c>
      <c r="F216" s="8" t="str">
        <f>VLOOKUP(N216,Stock[#Data],5,FALSE)</f>
        <v>BE</v>
      </c>
      <c r="G216" s="82" t="s">
        <v>777</v>
      </c>
      <c r="H216" s="15"/>
      <c r="I216" s="7" t="s">
        <v>95</v>
      </c>
      <c r="J216" s="8" t="str">
        <f>VLOOKUP(I216,Customers[#Data],2,FALSE)</f>
        <v>ကျော်စတား</v>
      </c>
      <c r="K216" s="15" t="str">
        <f>VLOOKUP(I216,Customers[#Data],4,FALSE)</f>
        <v>Yay</v>
      </c>
      <c r="L216" s="15" t="str">
        <f>VLOOKUP(I216,Customers[#Data],5,FALSE)</f>
        <v>WholeSales</v>
      </c>
      <c r="M216" s="7" t="s">
        <v>7</v>
      </c>
      <c r="N216" s="7" t="s">
        <v>514</v>
      </c>
      <c r="O216" s="14" t="str">
        <f>VLOOKUP(N216,Stock[#Data],2,FALSE)</f>
        <v>ဇေယျဝတီ Red</v>
      </c>
      <c r="P216" s="44">
        <f>VLOOKUP(N216,Stock[#Data],3,FALSE)</f>
        <v>0.64</v>
      </c>
      <c r="Q216" s="3">
        <f>VLOOKUP(N216,Stock[#Data],4,FALSE)</f>
        <v>14</v>
      </c>
      <c r="R216" s="11"/>
      <c r="S216" s="45">
        <f>IFERROR(Table4[[#This Row],[Bottle]]/Table4[[#This Row],[ပါဝင်မှု]]+Table4[[#This Row],[SalesPK]],0)</f>
        <v>100</v>
      </c>
      <c r="T216" s="12">
        <v>100</v>
      </c>
      <c r="U216" s="10">
        <f>Table4[[#This Row],[ပါဝင်မှု]]*Table4[[#This Row],[SalesPK]]+Table4[[#This Row],[Bottle]]</f>
        <v>1400</v>
      </c>
      <c r="V216" s="10">
        <f>Table4[[#This Row],[SalesBot]]*Table4[[#This Row],[ML]]</f>
        <v>896</v>
      </c>
      <c r="W216" s="1">
        <f>VLOOKUP(N216,Stock[#Data],6,FALSE)</f>
        <v>1350</v>
      </c>
      <c r="X216" s="8">
        <f>+Table4[[#This Row],[SalesBot]]*Table4[[#This Row],[နှုံး]]</f>
        <v>1890000</v>
      </c>
      <c r="Y216" s="12"/>
      <c r="Z216" s="12"/>
      <c r="AA216" s="12"/>
      <c r="AB216" s="9">
        <v>46063</v>
      </c>
      <c r="AC216" s="12">
        <v>1890000</v>
      </c>
      <c r="AD216" s="9"/>
      <c r="AE216" s="12"/>
      <c r="AF21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16" s="24"/>
      <c r="AH216" s="266">
        <f>Table4[[#This Row],[Date]]</f>
        <v>46036</v>
      </c>
      <c r="AI216" s="264" t="str">
        <f t="shared" si="34"/>
        <v>Jan</v>
      </c>
      <c r="AJ216" s="264" t="str">
        <f t="shared" si="35"/>
        <v>2026</v>
      </c>
      <c r="AK216" s="270" t="str">
        <f>Table4[[#This Row],[ကုန်သည်အမည်]]</f>
        <v>ကျော်စတား</v>
      </c>
      <c r="AL216" s="270" t="str">
        <f>Table4[[#This Row],[Township]]</f>
        <v>Yay</v>
      </c>
      <c r="AM216" s="271" t="str">
        <f>Table4[[#This Row],[WholeSales]]</f>
        <v>WholeSales</v>
      </c>
      <c r="AN216" s="272" t="str">
        <f>Table4[[#This Row],[Particular]]</f>
        <v>ကုန်ရောင်း(အကြွေး)</v>
      </c>
      <c r="AO216" s="273" t="str">
        <f>Table4[[#This Row],[StockName]]</f>
        <v>ဇေယျဝတီ Red</v>
      </c>
      <c r="AP216" s="268">
        <f>Table4[[#This Row],[Parking]]</f>
        <v>100</v>
      </c>
      <c r="AQ216" s="268">
        <f>Table4[[#This Row],[SalesBot]]</f>
        <v>1400</v>
      </c>
      <c r="AR216" s="268">
        <f>Table4[[#This Row],[Liter]]</f>
        <v>896</v>
      </c>
    </row>
    <row r="217" spans="1:44" s="16" customFormat="1" hidden="1" x14ac:dyDescent="0.5">
      <c r="A217" s="3">
        <f t="shared" si="36"/>
        <v>2026</v>
      </c>
      <c r="B217" s="8">
        <f t="shared" si="37"/>
        <v>1</v>
      </c>
      <c r="C217" s="6">
        <v>46036</v>
      </c>
      <c r="D217" s="15">
        <f t="shared" ca="1" si="38"/>
        <v>46097</v>
      </c>
      <c r="E217" s="15" t="str">
        <f t="shared" ca="1" si="39"/>
        <v>2-Months</v>
      </c>
      <c r="F217" s="8" t="str">
        <f>VLOOKUP(N217,Stock[#Data],5,FALSE)</f>
        <v>BE</v>
      </c>
      <c r="G217" s="82" t="s">
        <v>778</v>
      </c>
      <c r="H217" s="15"/>
      <c r="I217" s="7" t="s">
        <v>95</v>
      </c>
      <c r="J217" s="8" t="str">
        <f>VLOOKUP(I217,Customers[#Data],2,FALSE)</f>
        <v>ကျော်စတား</v>
      </c>
      <c r="K217" s="15" t="str">
        <f>VLOOKUP(I217,Customers[#Data],4,FALSE)</f>
        <v>Yay</v>
      </c>
      <c r="L217" s="15" t="str">
        <f>VLOOKUP(I217,Customers[#Data],5,FALSE)</f>
        <v>WholeSales</v>
      </c>
      <c r="M217" s="7" t="s">
        <v>7</v>
      </c>
      <c r="N217" s="7" t="s">
        <v>514</v>
      </c>
      <c r="O217" s="14" t="str">
        <f>VLOOKUP(N217,Stock[#Data],2,FALSE)</f>
        <v>ဇေယျဝတီ Red</v>
      </c>
      <c r="P217" s="44">
        <f>VLOOKUP(N217,Stock[#Data],3,FALSE)</f>
        <v>0.64</v>
      </c>
      <c r="Q217" s="3">
        <f>VLOOKUP(N217,Stock[#Data],4,FALSE)</f>
        <v>14</v>
      </c>
      <c r="R217" s="11"/>
      <c r="S217" s="45">
        <f>IFERROR(Table4[[#This Row],[Bottle]]/Table4[[#This Row],[ပါဝင်မှု]]+Table4[[#This Row],[SalesPK]],0)</f>
        <v>100</v>
      </c>
      <c r="T217" s="12">
        <v>100</v>
      </c>
      <c r="U217" s="10">
        <f>Table4[[#This Row],[ပါဝင်မှု]]*Table4[[#This Row],[SalesPK]]+Table4[[#This Row],[Bottle]]</f>
        <v>1400</v>
      </c>
      <c r="V217" s="10">
        <f>Table4[[#This Row],[SalesBot]]*Table4[[#This Row],[ML]]</f>
        <v>896</v>
      </c>
      <c r="W217" s="1">
        <f>VLOOKUP(N217,Stock[#Data],6,FALSE)</f>
        <v>1350</v>
      </c>
      <c r="X217" s="8">
        <f>+Table4[[#This Row],[SalesBot]]*Table4[[#This Row],[နှုံး]]</f>
        <v>1890000</v>
      </c>
      <c r="Y217" s="12"/>
      <c r="Z217" s="12"/>
      <c r="AA217" s="12"/>
      <c r="AB217" s="9">
        <v>46072</v>
      </c>
      <c r="AC217" s="12">
        <v>1890000</v>
      </c>
      <c r="AD217" s="9"/>
      <c r="AE217" s="12"/>
      <c r="AF21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17" s="24"/>
      <c r="AH217" s="266">
        <f>Table4[[#This Row],[Date]]</f>
        <v>46036</v>
      </c>
      <c r="AI217" s="264" t="str">
        <f t="shared" si="34"/>
        <v>Jan</v>
      </c>
      <c r="AJ217" s="264" t="str">
        <f t="shared" si="35"/>
        <v>2026</v>
      </c>
      <c r="AK217" s="270" t="str">
        <f>Table4[[#This Row],[ကုန်သည်အမည်]]</f>
        <v>ကျော်စတား</v>
      </c>
      <c r="AL217" s="270" t="str">
        <f>Table4[[#This Row],[Township]]</f>
        <v>Yay</v>
      </c>
      <c r="AM217" s="271" t="str">
        <f>Table4[[#This Row],[WholeSales]]</f>
        <v>WholeSales</v>
      </c>
      <c r="AN217" s="272" t="str">
        <f>Table4[[#This Row],[Particular]]</f>
        <v>ကုန်ရောင်း(အကြွေး)</v>
      </c>
      <c r="AO217" s="273" t="str">
        <f>Table4[[#This Row],[StockName]]</f>
        <v>ဇေယျဝတီ Red</v>
      </c>
      <c r="AP217" s="268">
        <f>Table4[[#This Row],[Parking]]</f>
        <v>100</v>
      </c>
      <c r="AQ217" s="268">
        <f>Table4[[#This Row],[SalesBot]]</f>
        <v>1400</v>
      </c>
      <c r="AR217" s="268">
        <f>Table4[[#This Row],[Liter]]</f>
        <v>896</v>
      </c>
    </row>
    <row r="218" spans="1:44" s="16" customFormat="1" hidden="1" x14ac:dyDescent="0.5">
      <c r="A218" s="3">
        <f t="shared" si="36"/>
        <v>2026</v>
      </c>
      <c r="B218" s="8">
        <f t="shared" si="37"/>
        <v>1</v>
      </c>
      <c r="C218" s="6">
        <v>46036</v>
      </c>
      <c r="D218" s="15">
        <f t="shared" ca="1" si="38"/>
        <v>46097</v>
      </c>
      <c r="E218" s="15" t="str">
        <f t="shared" ca="1" si="39"/>
        <v>2-Months</v>
      </c>
      <c r="F218" s="8" t="str">
        <f>VLOOKUP(N218,Stock[#Data],5,FALSE)</f>
        <v>BE</v>
      </c>
      <c r="G218" s="82" t="s">
        <v>778</v>
      </c>
      <c r="H218" s="15"/>
      <c r="I218" s="7" t="s">
        <v>95</v>
      </c>
      <c r="J218" s="8" t="str">
        <f>VLOOKUP(I218,Customers[#Data],2,FALSE)</f>
        <v>ကျော်စတား</v>
      </c>
      <c r="K218" s="15" t="str">
        <f>VLOOKUP(I218,Customers[#Data],4,FALSE)</f>
        <v>Yay</v>
      </c>
      <c r="L218" s="15" t="str">
        <f>VLOOKUP(I218,Customers[#Data],5,FALSE)</f>
        <v>WholeSales</v>
      </c>
      <c r="M218" s="7" t="s">
        <v>7</v>
      </c>
      <c r="N218" s="7" t="s">
        <v>517</v>
      </c>
      <c r="O218" s="14" t="str">
        <f>VLOOKUP(N218,Stock[#Data],2,FALSE)</f>
        <v>ဇေယျဝတီ Red (1 Liter) 30%</v>
      </c>
      <c r="P218" s="44">
        <f>VLOOKUP(N218,Stock[#Data],3,FALSE)</f>
        <v>1</v>
      </c>
      <c r="Q218" s="3">
        <f>VLOOKUP(N218,Stock[#Data],4,FALSE)</f>
        <v>12</v>
      </c>
      <c r="R218" s="11"/>
      <c r="S218" s="45">
        <f>IFERROR(Table4[[#This Row],[Bottle]]/Table4[[#This Row],[ပါဝင်မှု]]+Table4[[#This Row],[SalesPK]],0)</f>
        <v>100</v>
      </c>
      <c r="T218" s="12">
        <v>100</v>
      </c>
      <c r="U218" s="10">
        <f>Table4[[#This Row],[ပါဝင်မှု]]*Table4[[#This Row],[SalesPK]]+Table4[[#This Row],[Bottle]]</f>
        <v>1200</v>
      </c>
      <c r="V218" s="10">
        <f>Table4[[#This Row],[SalesBot]]*Table4[[#This Row],[ML]]</f>
        <v>1200</v>
      </c>
      <c r="W218" s="1">
        <f>VLOOKUP(N218,Stock[#Data],6,FALSE)</f>
        <v>1710</v>
      </c>
      <c r="X218" s="8">
        <f>+Table4[[#This Row],[SalesBot]]*Table4[[#This Row],[နှုံး]]</f>
        <v>2052000</v>
      </c>
      <c r="Y218" s="12"/>
      <c r="Z218" s="12"/>
      <c r="AA218" s="12"/>
      <c r="AB218" s="9">
        <v>46086</v>
      </c>
      <c r="AC218" s="12">
        <v>2052000</v>
      </c>
      <c r="AD218" s="9"/>
      <c r="AE218" s="12"/>
      <c r="AF21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18" s="24"/>
      <c r="AH218" s="266">
        <f>Table4[[#This Row],[Date]]</f>
        <v>46036</v>
      </c>
      <c r="AI218" s="264" t="str">
        <f t="shared" si="34"/>
        <v>Jan</v>
      </c>
      <c r="AJ218" s="264" t="str">
        <f t="shared" si="35"/>
        <v>2026</v>
      </c>
      <c r="AK218" s="270" t="str">
        <f>Table4[[#This Row],[ကုန်သည်အမည်]]</f>
        <v>ကျော်စတား</v>
      </c>
      <c r="AL218" s="270" t="str">
        <f>Table4[[#This Row],[Township]]</f>
        <v>Yay</v>
      </c>
      <c r="AM218" s="271" t="str">
        <f>Table4[[#This Row],[WholeSales]]</f>
        <v>WholeSales</v>
      </c>
      <c r="AN218" s="272" t="str">
        <f>Table4[[#This Row],[Particular]]</f>
        <v>ကုန်ရောင်း(အကြွေး)</v>
      </c>
      <c r="AO218" s="273" t="str">
        <f>Table4[[#This Row],[StockName]]</f>
        <v>ဇေယျဝတီ Red (1 Liter) 30%</v>
      </c>
      <c r="AP218" s="268">
        <f>Table4[[#This Row],[Parking]]</f>
        <v>100</v>
      </c>
      <c r="AQ218" s="268">
        <f>Table4[[#This Row],[SalesBot]]</f>
        <v>1200</v>
      </c>
      <c r="AR218" s="268">
        <f>Table4[[#This Row],[Liter]]</f>
        <v>1200</v>
      </c>
    </row>
    <row r="219" spans="1:44" s="16" customFormat="1" hidden="1" x14ac:dyDescent="0.5">
      <c r="A219" s="3">
        <f t="shared" si="36"/>
        <v>2026</v>
      </c>
      <c r="B219" s="8">
        <f t="shared" si="37"/>
        <v>1</v>
      </c>
      <c r="C219" s="6">
        <v>46036</v>
      </c>
      <c r="D219" s="15">
        <f t="shared" ca="1" si="38"/>
        <v>46097</v>
      </c>
      <c r="E219" s="15" t="str">
        <f t="shared" ca="1" si="39"/>
        <v>2-Months</v>
      </c>
      <c r="F219" s="8" t="str">
        <f>VLOOKUP(N219,Stock[#Data],5,FALSE)</f>
        <v>BE</v>
      </c>
      <c r="G219" s="82" t="s">
        <v>779</v>
      </c>
      <c r="H219" s="15"/>
      <c r="I219" s="7" t="s">
        <v>101</v>
      </c>
      <c r="J219" s="8" t="str">
        <f>VLOOKUP(I219,Customers[#Data],2,FALSE)</f>
        <v>ကိုမောင်+မသူဇာ</v>
      </c>
      <c r="K219" s="15" t="str">
        <f>VLOOKUP(I219,Customers[#Data],4,FALSE)</f>
        <v>Yay</v>
      </c>
      <c r="L219" s="15" t="str">
        <f>VLOOKUP(I219,Customers[#Data],5,FALSE)</f>
        <v>WholeSales</v>
      </c>
      <c r="M219" s="7" t="s">
        <v>7</v>
      </c>
      <c r="N219" s="7" t="s">
        <v>517</v>
      </c>
      <c r="O219" s="14" t="str">
        <f>VLOOKUP(N219,Stock[#Data],2,FALSE)</f>
        <v>ဇေယျဝတီ Red (1 Liter) 30%</v>
      </c>
      <c r="P219" s="44">
        <f>VLOOKUP(N219,Stock[#Data],3,FALSE)</f>
        <v>1</v>
      </c>
      <c r="Q219" s="3">
        <f>VLOOKUP(N219,Stock[#Data],4,FALSE)</f>
        <v>12</v>
      </c>
      <c r="R219" s="11"/>
      <c r="S219" s="45">
        <f>IFERROR(Table4[[#This Row],[Bottle]]/Table4[[#This Row],[ပါဝင်မှု]]+Table4[[#This Row],[SalesPK]],0)</f>
        <v>100</v>
      </c>
      <c r="T219" s="12">
        <v>100</v>
      </c>
      <c r="U219" s="10">
        <f>Table4[[#This Row],[ပါဝင်မှု]]*Table4[[#This Row],[SalesPK]]+Table4[[#This Row],[Bottle]]</f>
        <v>1200</v>
      </c>
      <c r="V219" s="10">
        <f>Table4[[#This Row],[SalesBot]]*Table4[[#This Row],[ML]]</f>
        <v>1200</v>
      </c>
      <c r="W219" s="1">
        <f>VLOOKUP(N219,Stock[#Data],6,FALSE)</f>
        <v>1710</v>
      </c>
      <c r="X219" s="8">
        <f>+Table4[[#This Row],[SalesBot]]*Table4[[#This Row],[နှုံး]]</f>
        <v>2052000</v>
      </c>
      <c r="Y219" s="12"/>
      <c r="Z219" s="12"/>
      <c r="AA219" s="12"/>
      <c r="AB219" s="9"/>
      <c r="AC219" s="12"/>
      <c r="AD219" s="9"/>
      <c r="AE219" s="12"/>
      <c r="AF21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219" s="24"/>
      <c r="AH219" s="266">
        <f>Table4[[#This Row],[Date]]</f>
        <v>46036</v>
      </c>
      <c r="AI219" s="264" t="str">
        <f t="shared" si="34"/>
        <v>Jan</v>
      </c>
      <c r="AJ219" s="264" t="str">
        <f t="shared" si="35"/>
        <v>2026</v>
      </c>
      <c r="AK219" s="270" t="str">
        <f>Table4[[#This Row],[ကုန်သည်အမည်]]</f>
        <v>ကိုမောင်+မသူဇာ</v>
      </c>
      <c r="AL219" s="270" t="str">
        <f>Table4[[#This Row],[Township]]</f>
        <v>Yay</v>
      </c>
      <c r="AM219" s="271" t="str">
        <f>Table4[[#This Row],[WholeSales]]</f>
        <v>WholeSales</v>
      </c>
      <c r="AN219" s="272" t="str">
        <f>Table4[[#This Row],[Particular]]</f>
        <v>ကုန်ရောင်း(အကြွေး)</v>
      </c>
      <c r="AO219" s="273" t="str">
        <f>Table4[[#This Row],[StockName]]</f>
        <v>ဇေယျဝတီ Red (1 Liter) 30%</v>
      </c>
      <c r="AP219" s="268">
        <f>Table4[[#This Row],[Parking]]</f>
        <v>100</v>
      </c>
      <c r="AQ219" s="268">
        <f>Table4[[#This Row],[SalesBot]]</f>
        <v>1200</v>
      </c>
      <c r="AR219" s="268">
        <f>Table4[[#This Row],[Liter]]</f>
        <v>1200</v>
      </c>
    </row>
    <row r="220" spans="1:44" s="16" customFormat="1" hidden="1" x14ac:dyDescent="0.5">
      <c r="A220" s="3">
        <f t="shared" si="36"/>
        <v>2026</v>
      </c>
      <c r="B220" s="8">
        <f t="shared" si="37"/>
        <v>1</v>
      </c>
      <c r="C220" s="6">
        <v>46036</v>
      </c>
      <c r="D220" s="15">
        <f t="shared" ca="1" si="38"/>
        <v>46097</v>
      </c>
      <c r="E220" s="15" t="str">
        <f t="shared" ca="1" si="39"/>
        <v>2-Months</v>
      </c>
      <c r="F220" s="8" t="str">
        <f>VLOOKUP(N220,Stock[#Data],5,FALSE)</f>
        <v>BE</v>
      </c>
      <c r="G220" s="82" t="s">
        <v>780</v>
      </c>
      <c r="H220" s="15"/>
      <c r="I220" s="7" t="s">
        <v>82</v>
      </c>
      <c r="J220" s="8" t="str">
        <f>VLOOKUP(I220,Customers[#Data],2,FALSE)</f>
        <v>ဒေါ်ထွန်းမေ</v>
      </c>
      <c r="K220" s="15" t="str">
        <f>VLOOKUP(I220,Customers[#Data],4,FALSE)</f>
        <v>Maw La Myaing</v>
      </c>
      <c r="L220" s="15" t="str">
        <f>VLOOKUP(I220,Customers[#Data],5,FALSE)</f>
        <v>WholeSales</v>
      </c>
      <c r="M220" s="7" t="s">
        <v>6</v>
      </c>
      <c r="N220" s="7" t="s">
        <v>514</v>
      </c>
      <c r="O220" s="14" t="str">
        <f>VLOOKUP(N220,Stock[#Data],2,FALSE)</f>
        <v>ဇေယျဝတီ Red</v>
      </c>
      <c r="P220" s="44">
        <f>VLOOKUP(N220,Stock[#Data],3,FALSE)</f>
        <v>0.64</v>
      </c>
      <c r="Q220" s="3">
        <f>VLOOKUP(N220,Stock[#Data],4,FALSE)</f>
        <v>14</v>
      </c>
      <c r="R220" s="11"/>
      <c r="S220" s="45">
        <f>IFERROR(Table4[[#This Row],[Bottle]]/Table4[[#This Row],[ပါဝင်မှု]]+Table4[[#This Row],[SalesPK]],0)</f>
        <v>50</v>
      </c>
      <c r="T220" s="12">
        <v>50</v>
      </c>
      <c r="U220" s="10">
        <f>Table4[[#This Row],[ပါဝင်မှု]]*Table4[[#This Row],[SalesPK]]+Table4[[#This Row],[Bottle]]</f>
        <v>700</v>
      </c>
      <c r="V220" s="10">
        <f>Table4[[#This Row],[SalesBot]]*Table4[[#This Row],[ML]]</f>
        <v>448</v>
      </c>
      <c r="W220" s="1">
        <f>VLOOKUP(N220,Stock[#Data],6,FALSE)</f>
        <v>1350</v>
      </c>
      <c r="X220" s="8">
        <f>+Table4[[#This Row],[SalesBot]]*Table4[[#This Row],[နှုံး]]</f>
        <v>945000</v>
      </c>
      <c r="Y220" s="12"/>
      <c r="Z220" s="12"/>
      <c r="AA220" s="12"/>
      <c r="AB220" s="9"/>
      <c r="AC220" s="12"/>
      <c r="AD220" s="9"/>
      <c r="AE220" s="12"/>
      <c r="AF22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220" s="24"/>
      <c r="AH220" s="266">
        <f>Table4[[#This Row],[Date]]</f>
        <v>46036</v>
      </c>
      <c r="AI220" s="264" t="str">
        <f t="shared" si="34"/>
        <v>Jan</v>
      </c>
      <c r="AJ220" s="264" t="str">
        <f t="shared" si="35"/>
        <v>2026</v>
      </c>
      <c r="AK220" s="270" t="str">
        <f>Table4[[#This Row],[ကုန်သည်အမည်]]</f>
        <v>ဒေါ်ထွန်းမေ</v>
      </c>
      <c r="AL220" s="270" t="str">
        <f>Table4[[#This Row],[Township]]</f>
        <v>Maw La Myaing</v>
      </c>
      <c r="AM220" s="271" t="str">
        <f>Table4[[#This Row],[WholeSales]]</f>
        <v>WholeSales</v>
      </c>
      <c r="AN220" s="272" t="str">
        <f>Table4[[#This Row],[Particular]]</f>
        <v>ကုန်ရောင်း(လက်ငင်း)</v>
      </c>
      <c r="AO220" s="273" t="str">
        <f>Table4[[#This Row],[StockName]]</f>
        <v>ဇေယျဝတီ Red</v>
      </c>
      <c r="AP220" s="268">
        <f>Table4[[#This Row],[Parking]]</f>
        <v>50</v>
      </c>
      <c r="AQ220" s="268">
        <f>Table4[[#This Row],[SalesBot]]</f>
        <v>700</v>
      </c>
      <c r="AR220" s="268">
        <f>Table4[[#This Row],[Liter]]</f>
        <v>448</v>
      </c>
    </row>
    <row r="221" spans="1:44" s="16" customFormat="1" hidden="1" x14ac:dyDescent="0.5">
      <c r="A221" s="3">
        <f t="shared" si="36"/>
        <v>2026</v>
      </c>
      <c r="B221" s="8">
        <f t="shared" si="37"/>
        <v>1</v>
      </c>
      <c r="C221" s="6">
        <v>46036</v>
      </c>
      <c r="D221" s="15">
        <f t="shared" ca="1" si="38"/>
        <v>46097</v>
      </c>
      <c r="E221" s="15" t="str">
        <f t="shared" ca="1" si="39"/>
        <v>2-Months</v>
      </c>
      <c r="F221" s="8" t="str">
        <f>VLOOKUP(N221,Stock[#Data],5,FALSE)</f>
        <v>BE</v>
      </c>
      <c r="G221" s="82" t="s">
        <v>781</v>
      </c>
      <c r="H221" s="15" t="s">
        <v>127</v>
      </c>
      <c r="I221" s="7" t="s">
        <v>116</v>
      </c>
      <c r="J221" s="8" t="str">
        <f>VLOOKUP(I221,Customers[#Data],2,FALSE)</f>
        <v>စိတ်တိုင်းကျ</v>
      </c>
      <c r="K221" s="15" t="str">
        <f>VLOOKUP(I221,Customers[#Data],4,FALSE)</f>
        <v>Hpa-an</v>
      </c>
      <c r="L221" s="15" t="str">
        <f>VLOOKUP(I221,Customers[#Data],5,FALSE)</f>
        <v>SemiWholeSales</v>
      </c>
      <c r="M221" s="7" t="s">
        <v>6</v>
      </c>
      <c r="N221" s="7" t="s">
        <v>51</v>
      </c>
      <c r="O221" s="14" t="str">
        <f>VLOOKUP(N221,Stock[#Data],2,FALSE)</f>
        <v>ကောင်းကြည်</v>
      </c>
      <c r="P221" s="44">
        <f>VLOOKUP(N221,Stock[#Data],3,FALSE)</f>
        <v>0.64</v>
      </c>
      <c r="Q221" s="3">
        <f>VLOOKUP(N221,Stock[#Data],4,FALSE)</f>
        <v>14</v>
      </c>
      <c r="R221" s="11"/>
      <c r="S221" s="45">
        <f>IFERROR(Table4[[#This Row],[Bottle]]/Table4[[#This Row],[ပါဝင်မှု]]+Table4[[#This Row],[SalesPK]],0)</f>
        <v>200</v>
      </c>
      <c r="T221" s="12">
        <v>200</v>
      </c>
      <c r="U221" s="10">
        <f>Table4[[#This Row],[ပါဝင်မှု]]*Table4[[#This Row],[SalesPK]]+Table4[[#This Row],[Bottle]]</f>
        <v>2800</v>
      </c>
      <c r="V221" s="10">
        <f>Table4[[#This Row],[SalesBot]]*Table4[[#This Row],[ML]]</f>
        <v>1792</v>
      </c>
      <c r="W221" s="1">
        <f>VLOOKUP(N221,Stock[#Data],6,FALSE)</f>
        <v>1250</v>
      </c>
      <c r="X221" s="8">
        <f>+Table4[[#This Row],[SalesBot]]*Table4[[#This Row],[နှုံး]]</f>
        <v>3500000</v>
      </c>
      <c r="Y221" s="12"/>
      <c r="Z221" s="12"/>
      <c r="AA221" s="12"/>
      <c r="AB221" s="9"/>
      <c r="AC221" s="12"/>
      <c r="AD221" s="9"/>
      <c r="AE221" s="12"/>
      <c r="AF22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3500000</v>
      </c>
      <c r="AG221" s="24"/>
      <c r="AH221" s="266">
        <f>Table4[[#This Row],[Date]]</f>
        <v>46036</v>
      </c>
      <c r="AI221" s="264" t="str">
        <f t="shared" si="34"/>
        <v>Jan</v>
      </c>
      <c r="AJ221" s="264" t="str">
        <f t="shared" si="35"/>
        <v>2026</v>
      </c>
      <c r="AK221" s="270" t="str">
        <f>Table4[[#This Row],[ကုန်သည်အမည်]]</f>
        <v>စိတ်တိုင်းကျ</v>
      </c>
      <c r="AL221" s="270" t="str">
        <f>Table4[[#This Row],[Township]]</f>
        <v>Hpa-an</v>
      </c>
      <c r="AM221" s="271" t="str">
        <f>Table4[[#This Row],[WholeSales]]</f>
        <v>SemiWholeSales</v>
      </c>
      <c r="AN221" s="272" t="str">
        <f>Table4[[#This Row],[Particular]]</f>
        <v>ကုန်ရောင်း(လက်ငင်း)</v>
      </c>
      <c r="AO221" s="273" t="str">
        <f>Table4[[#This Row],[StockName]]</f>
        <v>ကောင်းကြည်</v>
      </c>
      <c r="AP221" s="268">
        <f>Table4[[#This Row],[Parking]]</f>
        <v>200</v>
      </c>
      <c r="AQ221" s="268">
        <f>Table4[[#This Row],[SalesBot]]</f>
        <v>2800</v>
      </c>
      <c r="AR221" s="268">
        <f>Table4[[#This Row],[Liter]]</f>
        <v>1792</v>
      </c>
    </row>
    <row r="222" spans="1:44" s="16" customFormat="1" hidden="1" x14ac:dyDescent="0.5">
      <c r="A222" s="3">
        <f t="shared" si="36"/>
        <v>2026</v>
      </c>
      <c r="B222" s="8">
        <f t="shared" si="37"/>
        <v>1</v>
      </c>
      <c r="C222" s="6">
        <v>46036</v>
      </c>
      <c r="D222" s="15">
        <f t="shared" ca="1" si="38"/>
        <v>46097</v>
      </c>
      <c r="E222" s="15" t="str">
        <f t="shared" ca="1" si="39"/>
        <v>2-Months</v>
      </c>
      <c r="F222" s="8" t="str">
        <f>VLOOKUP(N222,Stock[#Data],5,FALSE)</f>
        <v>BE</v>
      </c>
      <c r="G222" s="82" t="s">
        <v>782</v>
      </c>
      <c r="H222" s="15"/>
      <c r="I222" s="7" t="s">
        <v>116</v>
      </c>
      <c r="J222" s="8" t="str">
        <f>VLOOKUP(I222,Customers[#Data],2,FALSE)</f>
        <v>စိတ်တိုင်းကျ</v>
      </c>
      <c r="K222" s="15" t="str">
        <f>VLOOKUP(I222,Customers[#Data],4,FALSE)</f>
        <v>Hpa-an</v>
      </c>
      <c r="L222" s="15" t="str">
        <f>VLOOKUP(I222,Customers[#Data],5,FALSE)</f>
        <v>SemiWholeSales</v>
      </c>
      <c r="M222" s="7" t="s">
        <v>7</v>
      </c>
      <c r="N222" s="7" t="s">
        <v>533</v>
      </c>
      <c r="O222" s="14" t="str">
        <f>VLOOKUP(N222,Stock[#Data],2,FALSE)</f>
        <v>ရွှေမန်း</v>
      </c>
      <c r="P222" s="44">
        <f>VLOOKUP(N222,Stock[#Data],3,FALSE)</f>
        <v>0.64</v>
      </c>
      <c r="Q222" s="3">
        <f>VLOOKUP(N222,Stock[#Data],4,FALSE)</f>
        <v>14</v>
      </c>
      <c r="R222" s="11"/>
      <c r="S222" s="45">
        <f>IFERROR(Table4[[#This Row],[Bottle]]/Table4[[#This Row],[ပါဝင်မှု]]+Table4[[#This Row],[SalesPK]],0)</f>
        <v>4</v>
      </c>
      <c r="T222" s="12">
        <v>4</v>
      </c>
      <c r="U222" s="10">
        <f>Table4[[#This Row],[ပါဝင်မှု]]*Table4[[#This Row],[SalesPK]]+Table4[[#This Row],[Bottle]]</f>
        <v>56</v>
      </c>
      <c r="V222" s="10">
        <f>Table4[[#This Row],[SalesBot]]*Table4[[#This Row],[ML]]</f>
        <v>35.840000000000003</v>
      </c>
      <c r="W222" s="1">
        <f>VLOOKUP(N222,Stock[#Data],6,FALSE)</f>
        <v>1500</v>
      </c>
      <c r="X222" s="8">
        <f>+Table4[[#This Row],[SalesBot]]*Table4[[#This Row],[နှုံး]]</f>
        <v>84000</v>
      </c>
      <c r="Y222" s="12"/>
      <c r="Z222" s="12"/>
      <c r="AA222" s="12"/>
      <c r="AB222" s="9"/>
      <c r="AC222" s="12"/>
      <c r="AD222" s="9"/>
      <c r="AE222" s="12"/>
      <c r="AF22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84000</v>
      </c>
      <c r="AG222" s="24"/>
      <c r="AH222" s="266">
        <f>Table4[[#This Row],[Date]]</f>
        <v>46036</v>
      </c>
      <c r="AI222" s="264" t="str">
        <f t="shared" si="34"/>
        <v>Jan</v>
      </c>
      <c r="AJ222" s="264" t="str">
        <f t="shared" si="35"/>
        <v>2026</v>
      </c>
      <c r="AK222" s="270" t="str">
        <f>Table4[[#This Row],[ကုန်သည်အမည်]]</f>
        <v>စိတ်တိုင်းကျ</v>
      </c>
      <c r="AL222" s="270" t="str">
        <f>Table4[[#This Row],[Township]]</f>
        <v>Hpa-an</v>
      </c>
      <c r="AM222" s="271" t="str">
        <f>Table4[[#This Row],[WholeSales]]</f>
        <v>SemiWholeSales</v>
      </c>
      <c r="AN222" s="272" t="str">
        <f>Table4[[#This Row],[Particular]]</f>
        <v>ကုန်ရောင်း(အကြွေး)</v>
      </c>
      <c r="AO222" s="273" t="str">
        <f>Table4[[#This Row],[StockName]]</f>
        <v>ရွှေမန်း</v>
      </c>
      <c r="AP222" s="268">
        <f>Table4[[#This Row],[Parking]]</f>
        <v>4</v>
      </c>
      <c r="AQ222" s="268">
        <f>Table4[[#This Row],[SalesBot]]</f>
        <v>56</v>
      </c>
      <c r="AR222" s="268">
        <f>Table4[[#This Row],[Liter]]</f>
        <v>35.840000000000003</v>
      </c>
    </row>
    <row r="223" spans="1:44" s="16" customFormat="1" hidden="1" x14ac:dyDescent="0.5">
      <c r="A223" s="3">
        <f t="shared" si="36"/>
        <v>2026</v>
      </c>
      <c r="B223" s="8">
        <f t="shared" si="37"/>
        <v>1</v>
      </c>
      <c r="C223" s="6">
        <v>46036</v>
      </c>
      <c r="D223" s="15">
        <f t="shared" ca="1" si="38"/>
        <v>46097</v>
      </c>
      <c r="E223" s="15" t="str">
        <f t="shared" ca="1" si="39"/>
        <v>2-Months</v>
      </c>
      <c r="F223" s="8" t="str">
        <f>VLOOKUP(N223,Stock[#Data],5,FALSE)</f>
        <v>BE</v>
      </c>
      <c r="G223" s="82" t="s">
        <v>783</v>
      </c>
      <c r="H223" s="15" t="s">
        <v>439</v>
      </c>
      <c r="I223" s="7" t="s">
        <v>784</v>
      </c>
      <c r="J223" s="8" t="str">
        <f>VLOOKUP(I223,Customers[#Data],2,FALSE)</f>
        <v>မသီ</v>
      </c>
      <c r="K223" s="15" t="str">
        <f>VLOOKUP(I223,Customers[#Data],4,FALSE)</f>
        <v>Maw La Myaing</v>
      </c>
      <c r="L223" s="15" t="str">
        <f>VLOOKUP(I223,Customers[#Data],5,FALSE)</f>
        <v>Van Sales</v>
      </c>
      <c r="M223" s="7" t="s">
        <v>6</v>
      </c>
      <c r="N223" s="7" t="s">
        <v>516</v>
      </c>
      <c r="O223" s="14" t="str">
        <f>VLOOKUP(N223,Stock[#Data],2,FALSE)</f>
        <v>ဇေ Vodka</v>
      </c>
      <c r="P223" s="44">
        <f>VLOOKUP(N223,Stock[#Data],3,FALSE)</f>
        <v>0.64</v>
      </c>
      <c r="Q223" s="3">
        <f>VLOOKUP(N223,Stock[#Data],4,FALSE)</f>
        <v>14</v>
      </c>
      <c r="R223" s="11"/>
      <c r="S223" s="45">
        <f>IFERROR(Table4[[#This Row],[Bottle]]/Table4[[#This Row],[ပါဝင်မှု]]+Table4[[#This Row],[SalesPK]],0)</f>
        <v>3</v>
      </c>
      <c r="T223" s="12">
        <v>3</v>
      </c>
      <c r="U223" s="10">
        <f>Table4[[#This Row],[ပါဝင်မှု]]*Table4[[#This Row],[SalesPK]]+Table4[[#This Row],[Bottle]]</f>
        <v>42</v>
      </c>
      <c r="V223" s="10">
        <f>Table4[[#This Row],[SalesBot]]*Table4[[#This Row],[ML]]</f>
        <v>26.88</v>
      </c>
      <c r="W223" s="1">
        <f>VLOOKUP(N223,Stock[#Data],6,FALSE)</f>
        <v>1400</v>
      </c>
      <c r="X223" s="8">
        <f>+Table4[[#This Row],[SalesBot]]*Table4[[#This Row],[နှုံး]]</f>
        <v>58800</v>
      </c>
      <c r="Y223" s="12"/>
      <c r="Z223" s="12"/>
      <c r="AA223" s="12"/>
      <c r="AB223" s="9"/>
      <c r="AC223" s="12"/>
      <c r="AD223" s="9"/>
      <c r="AE223" s="12"/>
      <c r="AF22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58800</v>
      </c>
      <c r="AG223" s="24"/>
      <c r="AH223" s="266">
        <f>Table4[[#This Row],[Date]]</f>
        <v>46036</v>
      </c>
      <c r="AI223" s="264" t="str">
        <f t="shared" si="34"/>
        <v>Jan</v>
      </c>
      <c r="AJ223" s="264" t="str">
        <f t="shared" si="35"/>
        <v>2026</v>
      </c>
      <c r="AK223" s="270" t="str">
        <f>Table4[[#This Row],[ကုန်သည်အမည်]]</f>
        <v>မသီ</v>
      </c>
      <c r="AL223" s="270" t="str">
        <f>Table4[[#This Row],[Township]]</f>
        <v>Maw La Myaing</v>
      </c>
      <c r="AM223" s="271" t="str">
        <f>Table4[[#This Row],[WholeSales]]</f>
        <v>Van Sales</v>
      </c>
      <c r="AN223" s="272" t="str">
        <f>Table4[[#This Row],[Particular]]</f>
        <v>ကုန်ရောင်း(လက်ငင်း)</v>
      </c>
      <c r="AO223" s="273" t="str">
        <f>Table4[[#This Row],[StockName]]</f>
        <v>ဇေ Vodka</v>
      </c>
      <c r="AP223" s="268">
        <f>Table4[[#This Row],[Parking]]</f>
        <v>3</v>
      </c>
      <c r="AQ223" s="268">
        <f>Table4[[#This Row],[SalesBot]]</f>
        <v>42</v>
      </c>
      <c r="AR223" s="268">
        <f>Table4[[#This Row],[Liter]]</f>
        <v>26.88</v>
      </c>
    </row>
    <row r="224" spans="1:44" s="16" customFormat="1" hidden="1" x14ac:dyDescent="0.5">
      <c r="A224" s="3">
        <f t="shared" si="36"/>
        <v>2026</v>
      </c>
      <c r="B224" s="8">
        <f t="shared" si="37"/>
        <v>1</v>
      </c>
      <c r="C224" s="6">
        <v>46036</v>
      </c>
      <c r="D224" s="15">
        <f t="shared" ca="1" si="38"/>
        <v>46097</v>
      </c>
      <c r="E224" s="15" t="str">
        <f t="shared" ca="1" si="39"/>
        <v>2-Months</v>
      </c>
      <c r="F224" s="8" t="str">
        <f>VLOOKUP(N224,Stock[#Data],5,FALSE)</f>
        <v>BE</v>
      </c>
      <c r="G224" s="82" t="s">
        <v>785</v>
      </c>
      <c r="H224" s="15"/>
      <c r="I224" s="7" t="s">
        <v>555</v>
      </c>
      <c r="J224" s="8" t="str">
        <f>VLOOKUP(I224,Customers[#Data],2,FALSE)</f>
        <v>အနဲကြီး</v>
      </c>
      <c r="K224" s="15" t="str">
        <f>VLOOKUP(I224,Customers[#Data],4,FALSE)</f>
        <v>Maw La Myaing</v>
      </c>
      <c r="L224" s="15" t="str">
        <f>VLOOKUP(I224,Customers[#Data],5,FALSE)</f>
        <v>Mini Whole Sales</v>
      </c>
      <c r="M224" s="7" t="s">
        <v>6</v>
      </c>
      <c r="N224" s="7" t="s">
        <v>516</v>
      </c>
      <c r="O224" s="14" t="str">
        <f>VLOOKUP(N224,Stock[#Data],2,FALSE)</f>
        <v>ဇေ Vodka</v>
      </c>
      <c r="P224" s="44">
        <f>VLOOKUP(N224,Stock[#Data],3,FALSE)</f>
        <v>0.64</v>
      </c>
      <c r="Q224" s="3">
        <f>VLOOKUP(N224,Stock[#Data],4,FALSE)</f>
        <v>14</v>
      </c>
      <c r="R224" s="11"/>
      <c r="S224" s="45">
        <f>IFERROR(Table4[[#This Row],[Bottle]]/Table4[[#This Row],[ပါဝင်မှု]]+Table4[[#This Row],[SalesPK]],0)</f>
        <v>10</v>
      </c>
      <c r="T224" s="12">
        <v>10</v>
      </c>
      <c r="U224" s="10">
        <f>Table4[[#This Row],[ပါဝင်မှု]]*Table4[[#This Row],[SalesPK]]+Table4[[#This Row],[Bottle]]</f>
        <v>140</v>
      </c>
      <c r="V224" s="10">
        <f>Table4[[#This Row],[SalesBot]]*Table4[[#This Row],[ML]]</f>
        <v>89.600000000000009</v>
      </c>
      <c r="W224" s="1">
        <f>VLOOKUP(N224,Stock[#Data],6,FALSE)</f>
        <v>1400</v>
      </c>
      <c r="X224" s="8">
        <f>+Table4[[#This Row],[SalesBot]]*Table4[[#This Row],[နှုံး]]</f>
        <v>196000</v>
      </c>
      <c r="Y224" s="12"/>
      <c r="Z224" s="12"/>
      <c r="AA224" s="12"/>
      <c r="AB224" s="9"/>
      <c r="AC224" s="12"/>
      <c r="AD224" s="9"/>
      <c r="AE224" s="12"/>
      <c r="AF22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224" s="24"/>
      <c r="AH224" s="266">
        <f>Table4[[#This Row],[Date]]</f>
        <v>46036</v>
      </c>
      <c r="AI224" s="264" t="str">
        <f t="shared" si="34"/>
        <v>Jan</v>
      </c>
      <c r="AJ224" s="264" t="str">
        <f t="shared" si="35"/>
        <v>2026</v>
      </c>
      <c r="AK224" s="270" t="str">
        <f>Table4[[#This Row],[ကုန်သည်အမည်]]</f>
        <v>အနဲကြီး</v>
      </c>
      <c r="AL224" s="270" t="str">
        <f>Table4[[#This Row],[Township]]</f>
        <v>Maw La Myaing</v>
      </c>
      <c r="AM224" s="271" t="str">
        <f>Table4[[#This Row],[WholeSales]]</f>
        <v>Mini Whole Sales</v>
      </c>
      <c r="AN224" s="272" t="str">
        <f>Table4[[#This Row],[Particular]]</f>
        <v>ကုန်ရောင်း(လက်ငင်း)</v>
      </c>
      <c r="AO224" s="273" t="str">
        <f>Table4[[#This Row],[StockName]]</f>
        <v>ဇေ Vodka</v>
      </c>
      <c r="AP224" s="268">
        <f>Table4[[#This Row],[Parking]]</f>
        <v>10</v>
      </c>
      <c r="AQ224" s="268">
        <f>Table4[[#This Row],[SalesBot]]</f>
        <v>140</v>
      </c>
      <c r="AR224" s="268">
        <f>Table4[[#This Row],[Liter]]</f>
        <v>89.600000000000009</v>
      </c>
    </row>
    <row r="225" spans="1:44" s="16" customFormat="1" hidden="1" x14ac:dyDescent="0.5">
      <c r="A225" s="3">
        <f>YEAR(C225)</f>
        <v>2026</v>
      </c>
      <c r="B225" s="8">
        <f>MONTH(C225)</f>
        <v>1</v>
      </c>
      <c r="C225" s="6">
        <v>46036</v>
      </c>
      <c r="D225" s="15">
        <f ca="1">TODAY()</f>
        <v>46097</v>
      </c>
      <c r="E225" s="15" t="str">
        <f ca="1">DATEDIF(C225,D225,"M")&amp;"-Months"</f>
        <v>2-Months</v>
      </c>
      <c r="F225" s="8" t="str">
        <f>VLOOKUP(N225,Stock[#Data],5,FALSE)</f>
        <v>BE</v>
      </c>
      <c r="G225" s="82" t="s">
        <v>785</v>
      </c>
      <c r="H225" s="15"/>
      <c r="I225" s="7" t="s">
        <v>555</v>
      </c>
      <c r="J225" s="8" t="str">
        <f>VLOOKUP(I225,Customers[#Data],2,FALSE)</f>
        <v>အနဲကြီး</v>
      </c>
      <c r="K225" s="15" t="str">
        <f>VLOOKUP(I225,Customers[#Data],4,FALSE)</f>
        <v>Maw La Myaing</v>
      </c>
      <c r="L225" s="15" t="str">
        <f>VLOOKUP(I225,Customers[#Data],5,FALSE)</f>
        <v>Mini Whole Sales</v>
      </c>
      <c r="M225" s="7" t="s">
        <v>9</v>
      </c>
      <c r="N225" s="7" t="s">
        <v>522</v>
      </c>
      <c r="O225" s="14" t="str">
        <f>VLOOKUP(N225,Stock[#Data],2,FALSE)</f>
        <v>ဒဂုံမန်ကျည်း ကော်ဘူး (1 Liter)</v>
      </c>
      <c r="P225" s="44">
        <f>VLOOKUP(N225,Stock[#Data],3,FALSE)</f>
        <v>1</v>
      </c>
      <c r="Q225" s="3">
        <f>VLOOKUP(N225,Stock[#Data],4,FALSE)</f>
        <v>12</v>
      </c>
      <c r="R225" s="11">
        <v>3</v>
      </c>
      <c r="S225" s="45">
        <f>IFERROR(Table4[[#This Row],[Bottle]]/Table4[[#This Row],[ပါဝင်မှု]]+Table4[[#This Row],[SalesPK]],0)</f>
        <v>0.25</v>
      </c>
      <c r="T225" s="12"/>
      <c r="U225" s="10">
        <f>Table4[[#This Row],[ပါဝင်မှု]]*Table4[[#This Row],[SalesPK]]+Table4[[#This Row],[Bottle]]</f>
        <v>3</v>
      </c>
      <c r="V225" s="10">
        <f>Table4[[#This Row],[SalesBot]]*Table4[[#This Row],[ML]]</f>
        <v>3</v>
      </c>
      <c r="W225" s="1">
        <f>VLOOKUP(N225,Stock[#Data],6,FALSE)</f>
        <v>1600</v>
      </c>
      <c r="X225" s="8">
        <f>+Table4[[#This Row],[SalesBot]]*Table4[[#This Row],[နှုံး]]</f>
        <v>4800</v>
      </c>
      <c r="Y225" s="12"/>
      <c r="Z225" s="12"/>
      <c r="AA225" s="12"/>
      <c r="AB225" s="9"/>
      <c r="AC225" s="12"/>
      <c r="AD225" s="9"/>
      <c r="AE225" s="12"/>
      <c r="AF22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4800</v>
      </c>
      <c r="AG225" s="24"/>
      <c r="AH225" s="266">
        <f>Table4[[#This Row],[Date]]</f>
        <v>46036</v>
      </c>
      <c r="AI225" s="264" t="str">
        <f t="shared" si="34"/>
        <v>Jan</v>
      </c>
      <c r="AJ225" s="264" t="str">
        <f t="shared" si="35"/>
        <v>2026</v>
      </c>
      <c r="AK225" s="270" t="str">
        <f>Table4[[#This Row],[ကုန်သည်အမည်]]</f>
        <v>အနဲကြီး</v>
      </c>
      <c r="AL225" s="270" t="str">
        <f>Table4[[#This Row],[Township]]</f>
        <v>Maw La Myaing</v>
      </c>
      <c r="AM225" s="271" t="str">
        <f>Table4[[#This Row],[WholeSales]]</f>
        <v>Mini Whole Sales</v>
      </c>
      <c r="AN225" s="272" t="str">
        <f>Table4[[#This Row],[Particular]]</f>
        <v>လက်ဆောင်</v>
      </c>
      <c r="AO225" s="273" t="str">
        <f>Table4[[#This Row],[StockName]]</f>
        <v>ဒဂုံမန်ကျည်း ကော်ဘူး (1 Liter)</v>
      </c>
      <c r="AP225" s="268">
        <f>Table4[[#This Row],[Parking]]</f>
        <v>0.25</v>
      </c>
      <c r="AQ225" s="268">
        <f>Table4[[#This Row],[SalesBot]]</f>
        <v>3</v>
      </c>
      <c r="AR225" s="268">
        <f>Table4[[#This Row],[Liter]]</f>
        <v>3</v>
      </c>
    </row>
    <row r="226" spans="1:44" s="16" customFormat="1" hidden="1" x14ac:dyDescent="0.5">
      <c r="A226" s="3">
        <f>YEAR(C226)</f>
        <v>2026</v>
      </c>
      <c r="B226" s="8">
        <f>MONTH(C226)</f>
        <v>1</v>
      </c>
      <c r="C226" s="6">
        <v>46036</v>
      </c>
      <c r="D226" s="15">
        <f ca="1">TODAY()</f>
        <v>46097</v>
      </c>
      <c r="E226" s="15" t="str">
        <f ca="1">DATEDIF(C226,D226,"M")&amp;"-Months"</f>
        <v>2-Months</v>
      </c>
      <c r="F226" s="8" t="str">
        <f>VLOOKUP(N226,Stock[#Data],5,FALSE)</f>
        <v>BE</v>
      </c>
      <c r="G226" s="82" t="s">
        <v>785</v>
      </c>
      <c r="H226" s="15"/>
      <c r="I226" s="7" t="s">
        <v>555</v>
      </c>
      <c r="J226" s="8" t="str">
        <f>VLOOKUP(I226,Customers[#Data],2,FALSE)</f>
        <v>အနဲကြီး</v>
      </c>
      <c r="K226" s="15" t="str">
        <f>VLOOKUP(I226,Customers[#Data],4,FALSE)</f>
        <v>Maw La Myaing</v>
      </c>
      <c r="L226" s="15" t="str">
        <f>VLOOKUP(I226,Customers[#Data],5,FALSE)</f>
        <v>Mini Whole Sales</v>
      </c>
      <c r="M226" s="7" t="s">
        <v>9</v>
      </c>
      <c r="N226" s="7" t="s">
        <v>508</v>
      </c>
      <c r="O226" s="14" t="str">
        <f>VLOOKUP(N226,Stock[#Data],2,FALSE)</f>
        <v>ကောင်းကြည်-1Li</v>
      </c>
      <c r="P226" s="44">
        <f>VLOOKUP(N226,Stock[#Data],3,FALSE)</f>
        <v>1</v>
      </c>
      <c r="Q226" s="3">
        <f>VLOOKUP(N226,Stock[#Data],4,FALSE)</f>
        <v>12</v>
      </c>
      <c r="R226" s="11">
        <v>6</v>
      </c>
      <c r="S226" s="45">
        <f>IFERROR(Table4[[#This Row],[Bottle]]/Table4[[#This Row],[ပါဝင်မှု]]+Table4[[#This Row],[SalesPK]],0)</f>
        <v>0.5</v>
      </c>
      <c r="T226" s="12"/>
      <c r="U226" s="10">
        <f>Table4[[#This Row],[ပါဝင်မှု]]*Table4[[#This Row],[SalesPK]]+Table4[[#This Row],[Bottle]]</f>
        <v>6</v>
      </c>
      <c r="V226" s="10">
        <f>Table4[[#This Row],[SalesBot]]*Table4[[#This Row],[ML]]</f>
        <v>6</v>
      </c>
      <c r="W226" s="1">
        <f>VLOOKUP(N226,Stock[#Data],6,FALSE)</f>
        <v>1850</v>
      </c>
      <c r="X226" s="8">
        <f>+Table4[[#This Row],[SalesBot]]*Table4[[#This Row],[နှုံး]]</f>
        <v>11100</v>
      </c>
      <c r="Y226" s="12"/>
      <c r="Z226" s="12"/>
      <c r="AA226" s="12"/>
      <c r="AB226" s="9"/>
      <c r="AC226" s="12"/>
      <c r="AD226" s="9"/>
      <c r="AE226" s="12"/>
      <c r="AF22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11100</v>
      </c>
      <c r="AG226" s="24"/>
      <c r="AH226" s="266">
        <f>Table4[[#This Row],[Date]]</f>
        <v>46036</v>
      </c>
      <c r="AI226" s="264" t="str">
        <f t="shared" si="34"/>
        <v>Jan</v>
      </c>
      <c r="AJ226" s="264" t="str">
        <f t="shared" si="35"/>
        <v>2026</v>
      </c>
      <c r="AK226" s="270" t="str">
        <f>Table4[[#This Row],[ကုန်သည်အမည်]]</f>
        <v>အနဲကြီး</v>
      </c>
      <c r="AL226" s="270" t="str">
        <f>Table4[[#This Row],[Township]]</f>
        <v>Maw La Myaing</v>
      </c>
      <c r="AM226" s="271" t="str">
        <f>Table4[[#This Row],[WholeSales]]</f>
        <v>Mini Whole Sales</v>
      </c>
      <c r="AN226" s="272" t="str">
        <f>Table4[[#This Row],[Particular]]</f>
        <v>လက်ဆောင်</v>
      </c>
      <c r="AO226" s="273" t="str">
        <f>Table4[[#This Row],[StockName]]</f>
        <v>ကောင်းကြည်-1Li</v>
      </c>
      <c r="AP226" s="268">
        <f>Table4[[#This Row],[Parking]]</f>
        <v>0.5</v>
      </c>
      <c r="AQ226" s="268">
        <f>Table4[[#This Row],[SalesBot]]</f>
        <v>6</v>
      </c>
      <c r="AR226" s="268">
        <f>Table4[[#This Row],[Liter]]</f>
        <v>6</v>
      </c>
    </row>
    <row r="227" spans="1:44" s="16" customFormat="1" hidden="1" x14ac:dyDescent="0.5">
      <c r="A227" s="3">
        <f>YEAR(C227)</f>
        <v>2026</v>
      </c>
      <c r="B227" s="8">
        <f>MONTH(C227)</f>
        <v>1</v>
      </c>
      <c r="C227" s="6">
        <v>46036</v>
      </c>
      <c r="D227" s="15">
        <f ca="1">TODAY()</f>
        <v>46097</v>
      </c>
      <c r="E227" s="15" t="str">
        <f ca="1">DATEDIF(C227,D227,"M")&amp;"-Months"</f>
        <v>2-Months</v>
      </c>
      <c r="F227" s="8" t="str">
        <f>VLOOKUP(N227,Stock[#Data],5,FALSE)</f>
        <v>BE</v>
      </c>
      <c r="G227" s="82" t="s">
        <v>785</v>
      </c>
      <c r="H227" s="15"/>
      <c r="I227" s="7" t="s">
        <v>555</v>
      </c>
      <c r="J227" s="8" t="str">
        <f>VLOOKUP(I227,Customers[#Data],2,FALSE)</f>
        <v>အနဲကြီး</v>
      </c>
      <c r="K227" s="15" t="str">
        <f>VLOOKUP(I227,Customers[#Data],4,FALSE)</f>
        <v>Maw La Myaing</v>
      </c>
      <c r="L227" s="15" t="str">
        <f>VLOOKUP(I227,Customers[#Data],5,FALSE)</f>
        <v>Mini Whole Sales</v>
      </c>
      <c r="M227" s="7" t="s">
        <v>9</v>
      </c>
      <c r="N227" s="7" t="s">
        <v>425</v>
      </c>
      <c r="O227" s="14" t="str">
        <f>VLOOKUP(N227,Stock[#Data],2,FALSE)</f>
        <v>ကောင်းကြည်-1Li</v>
      </c>
      <c r="P227" s="44">
        <f>VLOOKUP(N227,Stock[#Data],3,FALSE)</f>
        <v>1</v>
      </c>
      <c r="Q227" s="3">
        <f>VLOOKUP(N227,Stock[#Data],4,FALSE)</f>
        <v>12</v>
      </c>
      <c r="R227" s="11">
        <v>6</v>
      </c>
      <c r="S227" s="45">
        <f>IFERROR(Table4[[#This Row],[Bottle]]/Table4[[#This Row],[ပါဝင်မှု]]+Table4[[#This Row],[SalesPK]],0)</f>
        <v>0.5</v>
      </c>
      <c r="T227" s="12"/>
      <c r="U227" s="10">
        <f>Table4[[#This Row],[ပါဝင်မှု]]*Table4[[#This Row],[SalesPK]]+Table4[[#This Row],[Bottle]]</f>
        <v>6</v>
      </c>
      <c r="V227" s="10">
        <f>Table4[[#This Row],[SalesBot]]*Table4[[#This Row],[ML]]</f>
        <v>6</v>
      </c>
      <c r="W227" s="1">
        <f>VLOOKUP(N227,Stock[#Data],6,FALSE)</f>
        <v>1500</v>
      </c>
      <c r="X227" s="8">
        <f>+Table4[[#This Row],[SalesBot]]*Table4[[#This Row],[နှုံး]]</f>
        <v>9000</v>
      </c>
      <c r="Y227" s="12"/>
      <c r="Z227" s="12"/>
      <c r="AA227" s="12"/>
      <c r="AB227" s="9"/>
      <c r="AC227" s="12"/>
      <c r="AD227" s="9"/>
      <c r="AE227" s="12"/>
      <c r="AF22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9000</v>
      </c>
      <c r="AG227" s="24"/>
      <c r="AH227" s="266">
        <f>Table4[[#This Row],[Date]]</f>
        <v>46036</v>
      </c>
      <c r="AI227" s="264" t="str">
        <f t="shared" si="34"/>
        <v>Jan</v>
      </c>
      <c r="AJ227" s="264" t="str">
        <f t="shared" si="35"/>
        <v>2026</v>
      </c>
      <c r="AK227" s="270" t="str">
        <f>Table4[[#This Row],[ကုန်သည်အမည်]]</f>
        <v>အနဲကြီး</v>
      </c>
      <c r="AL227" s="270" t="str">
        <f>Table4[[#This Row],[Township]]</f>
        <v>Maw La Myaing</v>
      </c>
      <c r="AM227" s="271" t="str">
        <f>Table4[[#This Row],[WholeSales]]</f>
        <v>Mini Whole Sales</v>
      </c>
      <c r="AN227" s="272" t="str">
        <f>Table4[[#This Row],[Particular]]</f>
        <v>လက်ဆောင်</v>
      </c>
      <c r="AO227" s="273" t="str">
        <f>Table4[[#This Row],[StockName]]</f>
        <v>ကောင်းကြည်-1Li</v>
      </c>
      <c r="AP227" s="268">
        <f>Table4[[#This Row],[Parking]]</f>
        <v>0.5</v>
      </c>
      <c r="AQ227" s="268">
        <f>Table4[[#This Row],[SalesBot]]</f>
        <v>6</v>
      </c>
      <c r="AR227" s="268">
        <f>Table4[[#This Row],[Liter]]</f>
        <v>6</v>
      </c>
    </row>
    <row r="228" spans="1:44" s="16" customFormat="1" hidden="1" x14ac:dyDescent="0.5">
      <c r="A228" s="3">
        <f t="shared" si="36"/>
        <v>2026</v>
      </c>
      <c r="B228" s="8">
        <f t="shared" si="37"/>
        <v>1</v>
      </c>
      <c r="C228" s="6">
        <v>46036</v>
      </c>
      <c r="D228" s="15">
        <f t="shared" ca="1" si="38"/>
        <v>46097</v>
      </c>
      <c r="E228" s="15" t="str">
        <f t="shared" ca="1" si="39"/>
        <v>2-Months</v>
      </c>
      <c r="F228" s="8" t="str">
        <f>VLOOKUP(N228,Stock[#Data],5,FALSE)</f>
        <v>BE</v>
      </c>
      <c r="G228" s="82" t="s">
        <v>786</v>
      </c>
      <c r="H228" s="15"/>
      <c r="I228" s="7" t="s">
        <v>314</v>
      </c>
      <c r="J228" s="8" t="str">
        <f>VLOOKUP(I228,Customers[#Data],2,FALSE)</f>
        <v>ကိုကျော်မြင့်</v>
      </c>
      <c r="K228" s="15" t="str">
        <f>VLOOKUP(I228,Customers[#Data],4,FALSE)</f>
        <v>Maw La Myaing</v>
      </c>
      <c r="L228" s="15" t="str">
        <f>VLOOKUP(I228,Customers[#Data],5,FALSE)</f>
        <v>Van Sales</v>
      </c>
      <c r="M228" s="7" t="s">
        <v>6</v>
      </c>
      <c r="N228" s="7" t="s">
        <v>516</v>
      </c>
      <c r="O228" s="14" t="str">
        <f>VLOOKUP(N228,Stock[#Data],2,FALSE)</f>
        <v>ဇေ Vodka</v>
      </c>
      <c r="P228" s="44">
        <f>VLOOKUP(N228,Stock[#Data],3,FALSE)</f>
        <v>0.64</v>
      </c>
      <c r="Q228" s="3">
        <f>VLOOKUP(N228,Stock[#Data],4,FALSE)</f>
        <v>14</v>
      </c>
      <c r="R228" s="11"/>
      <c r="S228" s="45">
        <f>IFERROR(Table4[[#This Row],[Bottle]]/Table4[[#This Row],[ပါဝင်မှု]]+Table4[[#This Row],[SalesPK]],0)</f>
        <v>7</v>
      </c>
      <c r="T228" s="12">
        <v>7</v>
      </c>
      <c r="U228" s="10">
        <f>Table4[[#This Row],[ပါဝင်မှု]]*Table4[[#This Row],[SalesPK]]+Table4[[#This Row],[Bottle]]</f>
        <v>98</v>
      </c>
      <c r="V228" s="10">
        <f>Table4[[#This Row],[SalesBot]]*Table4[[#This Row],[ML]]</f>
        <v>62.72</v>
      </c>
      <c r="W228" s="1">
        <f>VLOOKUP(N228,Stock[#Data],6,FALSE)</f>
        <v>1400</v>
      </c>
      <c r="X228" s="8">
        <f>+Table4[[#This Row],[SalesBot]]*Table4[[#This Row],[နှုံး]]</f>
        <v>137200</v>
      </c>
      <c r="Y228" s="12"/>
      <c r="Z228" s="12"/>
      <c r="AA228" s="12"/>
      <c r="AB228" s="9"/>
      <c r="AC228" s="12"/>
      <c r="AD228" s="9"/>
      <c r="AE228" s="12"/>
      <c r="AF22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137200</v>
      </c>
      <c r="AG228" s="24"/>
      <c r="AH228" s="266">
        <f>Table4[[#This Row],[Date]]</f>
        <v>46036</v>
      </c>
      <c r="AI228" s="264" t="str">
        <f t="shared" si="34"/>
        <v>Jan</v>
      </c>
      <c r="AJ228" s="264" t="str">
        <f t="shared" si="35"/>
        <v>2026</v>
      </c>
      <c r="AK228" s="270" t="str">
        <f>Table4[[#This Row],[ကုန်သည်အမည်]]</f>
        <v>ကိုကျော်မြင့်</v>
      </c>
      <c r="AL228" s="270" t="str">
        <f>Table4[[#This Row],[Township]]</f>
        <v>Maw La Myaing</v>
      </c>
      <c r="AM228" s="271" t="str">
        <f>Table4[[#This Row],[WholeSales]]</f>
        <v>Van Sales</v>
      </c>
      <c r="AN228" s="272" t="str">
        <f>Table4[[#This Row],[Particular]]</f>
        <v>ကုန်ရောင်း(လက်ငင်း)</v>
      </c>
      <c r="AO228" s="273" t="str">
        <f>Table4[[#This Row],[StockName]]</f>
        <v>ဇေ Vodka</v>
      </c>
      <c r="AP228" s="268">
        <f>Table4[[#This Row],[Parking]]</f>
        <v>7</v>
      </c>
      <c r="AQ228" s="268">
        <f>Table4[[#This Row],[SalesBot]]</f>
        <v>98</v>
      </c>
      <c r="AR228" s="268">
        <f>Table4[[#This Row],[Liter]]</f>
        <v>62.72</v>
      </c>
    </row>
    <row r="229" spans="1:44" s="16" customFormat="1" hidden="1" x14ac:dyDescent="0.5">
      <c r="A229" s="3">
        <f t="shared" si="36"/>
        <v>2026</v>
      </c>
      <c r="B229" s="8">
        <f t="shared" si="37"/>
        <v>1</v>
      </c>
      <c r="C229" s="6">
        <v>46036</v>
      </c>
      <c r="D229" s="15">
        <f t="shared" ca="1" si="38"/>
        <v>46097</v>
      </c>
      <c r="E229" s="15" t="str">
        <f t="shared" ca="1" si="39"/>
        <v>2-Months</v>
      </c>
      <c r="F229" s="8" t="str">
        <f>VLOOKUP(N229,Stock[#Data],5,FALSE)</f>
        <v>BE</v>
      </c>
      <c r="G229" s="82" t="s">
        <v>786</v>
      </c>
      <c r="H229" s="15"/>
      <c r="I229" s="7" t="s">
        <v>579</v>
      </c>
      <c r="J229" s="8" t="str">
        <f>VLOOKUP(I229,Customers[#Data],2,FALSE)</f>
        <v>ကောင်းခေတ်</v>
      </c>
      <c r="K229" s="15" t="str">
        <f>VLOOKUP(I229,Customers[#Data],4,FALSE)</f>
        <v>Maw La Myaing</v>
      </c>
      <c r="L229" s="15" t="str">
        <f>VLOOKUP(I229,Customers[#Data],5,FALSE)</f>
        <v>Van Sales</v>
      </c>
      <c r="M229" s="7" t="s">
        <v>6</v>
      </c>
      <c r="N229" s="7" t="s">
        <v>516</v>
      </c>
      <c r="O229" s="14" t="str">
        <f>VLOOKUP(N229,Stock[#Data],2,FALSE)</f>
        <v>ဇေ Vodka</v>
      </c>
      <c r="P229" s="44">
        <f>VLOOKUP(N229,Stock[#Data],3,FALSE)</f>
        <v>0.64</v>
      </c>
      <c r="Q229" s="3">
        <f>VLOOKUP(N229,Stock[#Data],4,FALSE)</f>
        <v>14</v>
      </c>
      <c r="R229" s="11"/>
      <c r="S229" s="45">
        <f>IFERROR(Table4[[#This Row],[Bottle]]/Table4[[#This Row],[ပါဝင်မှု]]+Table4[[#This Row],[SalesPK]],0)</f>
        <v>5</v>
      </c>
      <c r="T229" s="12">
        <v>5</v>
      </c>
      <c r="U229" s="10">
        <f>Table4[[#This Row],[ပါဝင်မှု]]*Table4[[#This Row],[SalesPK]]+Table4[[#This Row],[Bottle]]</f>
        <v>70</v>
      </c>
      <c r="V229" s="10">
        <f>Table4[[#This Row],[SalesBot]]*Table4[[#This Row],[ML]]</f>
        <v>44.800000000000004</v>
      </c>
      <c r="W229" s="1">
        <f>VLOOKUP(N229,Stock[#Data],6,FALSE)</f>
        <v>1400</v>
      </c>
      <c r="X229" s="8">
        <f>+Table4[[#This Row],[SalesBot]]*Table4[[#This Row],[နှုံး]]</f>
        <v>98000</v>
      </c>
      <c r="Y229" s="12"/>
      <c r="Z229" s="12"/>
      <c r="AA229" s="12"/>
      <c r="AB229" s="9"/>
      <c r="AC229" s="12"/>
      <c r="AD229" s="9"/>
      <c r="AE229" s="12"/>
      <c r="AF22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</v>
      </c>
      <c r="AG229" s="24"/>
      <c r="AH229" s="266">
        <f>Table4[[#This Row],[Date]]</f>
        <v>46036</v>
      </c>
      <c r="AI229" s="264" t="str">
        <f t="shared" si="34"/>
        <v>Jan</v>
      </c>
      <c r="AJ229" s="264" t="str">
        <f t="shared" si="35"/>
        <v>2026</v>
      </c>
      <c r="AK229" s="270" t="str">
        <f>Table4[[#This Row],[ကုန်သည်အမည်]]</f>
        <v>ကောင်းခေတ်</v>
      </c>
      <c r="AL229" s="270" t="str">
        <f>Table4[[#This Row],[Township]]</f>
        <v>Maw La Myaing</v>
      </c>
      <c r="AM229" s="271" t="str">
        <f>Table4[[#This Row],[WholeSales]]</f>
        <v>Van Sales</v>
      </c>
      <c r="AN229" s="272" t="str">
        <f>Table4[[#This Row],[Particular]]</f>
        <v>ကုန်ရောင်း(လက်ငင်း)</v>
      </c>
      <c r="AO229" s="273" t="str">
        <f>Table4[[#This Row],[StockName]]</f>
        <v>ဇေ Vodka</v>
      </c>
      <c r="AP229" s="268">
        <f>Table4[[#This Row],[Parking]]</f>
        <v>5</v>
      </c>
      <c r="AQ229" s="268">
        <f>Table4[[#This Row],[SalesBot]]</f>
        <v>70</v>
      </c>
      <c r="AR229" s="268">
        <f>Table4[[#This Row],[Liter]]</f>
        <v>44.800000000000004</v>
      </c>
    </row>
    <row r="230" spans="1:44" s="16" customFormat="1" hidden="1" x14ac:dyDescent="0.5">
      <c r="A230" s="3">
        <f t="shared" si="36"/>
        <v>2026</v>
      </c>
      <c r="B230" s="8">
        <f t="shared" si="37"/>
        <v>1</v>
      </c>
      <c r="C230" s="6">
        <v>46036</v>
      </c>
      <c r="D230" s="15">
        <f t="shared" ca="1" si="38"/>
        <v>46097</v>
      </c>
      <c r="E230" s="15" t="str">
        <f t="shared" ca="1" si="39"/>
        <v>2-Months</v>
      </c>
      <c r="F230" s="8" t="str">
        <f>VLOOKUP(N230,Stock[#Data],5,FALSE)</f>
        <v>BE</v>
      </c>
      <c r="G230" s="82" t="s">
        <v>786</v>
      </c>
      <c r="H230" s="15"/>
      <c r="I230" s="7" t="s">
        <v>579</v>
      </c>
      <c r="J230" s="8" t="str">
        <f>VLOOKUP(I230,Customers[#Data],2,FALSE)</f>
        <v>ကောင်းခေတ်</v>
      </c>
      <c r="K230" s="15" t="str">
        <f>VLOOKUP(I230,Customers[#Data],4,FALSE)</f>
        <v>Maw La Myaing</v>
      </c>
      <c r="L230" s="15" t="str">
        <f>VLOOKUP(I230,Customers[#Data],5,FALSE)</f>
        <v>Van Sales</v>
      </c>
      <c r="M230" s="7" t="s">
        <v>6</v>
      </c>
      <c r="N230" s="7" t="s">
        <v>518</v>
      </c>
      <c r="O230" s="14" t="str">
        <f>VLOOKUP(N230,Stock[#Data],2,FALSE)</f>
        <v>"ဇေ" ကော်ဘူး (1 Liter)</v>
      </c>
      <c r="P230" s="44">
        <f>VLOOKUP(N230,Stock[#Data],3,FALSE)</f>
        <v>1</v>
      </c>
      <c r="Q230" s="3">
        <f>VLOOKUP(N230,Stock[#Data],4,FALSE)</f>
        <v>12</v>
      </c>
      <c r="R230" s="11"/>
      <c r="S230" s="45">
        <f>IFERROR(Table4[[#This Row],[Bottle]]/Table4[[#This Row],[ပါဝင်မှု]]+Table4[[#This Row],[SalesPK]],0)</f>
        <v>5</v>
      </c>
      <c r="T230" s="12">
        <v>5</v>
      </c>
      <c r="U230" s="10">
        <f>Table4[[#This Row],[ပါဝင်မှု]]*Table4[[#This Row],[SalesPK]]+Table4[[#This Row],[Bottle]]</f>
        <v>60</v>
      </c>
      <c r="V230" s="10">
        <f>Table4[[#This Row],[SalesBot]]*Table4[[#This Row],[ML]]</f>
        <v>60</v>
      </c>
      <c r="W230" s="1">
        <f>VLOOKUP(N230,Stock[#Data],6,FALSE)</f>
        <v>1675</v>
      </c>
      <c r="X230" s="8">
        <f>+Table4[[#This Row],[SalesBot]]*Table4[[#This Row],[နှုံး]]</f>
        <v>100500</v>
      </c>
      <c r="Y230" s="12"/>
      <c r="Z230" s="12"/>
      <c r="AA230" s="12"/>
      <c r="AB230" s="9"/>
      <c r="AC230" s="12"/>
      <c r="AD230" s="9"/>
      <c r="AE230" s="12"/>
      <c r="AF23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230" s="24"/>
      <c r="AH230" s="266">
        <f>Table4[[#This Row],[Date]]</f>
        <v>46036</v>
      </c>
      <c r="AI230" s="264" t="str">
        <f t="shared" si="34"/>
        <v>Jan</v>
      </c>
      <c r="AJ230" s="264" t="str">
        <f t="shared" si="35"/>
        <v>2026</v>
      </c>
      <c r="AK230" s="270" t="str">
        <f>Table4[[#This Row],[ကုန်သည်အမည်]]</f>
        <v>ကောင်းခေတ်</v>
      </c>
      <c r="AL230" s="270" t="str">
        <f>Table4[[#This Row],[Township]]</f>
        <v>Maw La Myaing</v>
      </c>
      <c r="AM230" s="271" t="str">
        <f>Table4[[#This Row],[WholeSales]]</f>
        <v>Van Sales</v>
      </c>
      <c r="AN230" s="272" t="str">
        <f>Table4[[#This Row],[Particular]]</f>
        <v>ကုန်ရောင်း(လက်ငင်း)</v>
      </c>
      <c r="AO230" s="273" t="str">
        <f>Table4[[#This Row],[StockName]]</f>
        <v>"ဇေ" ကော်ဘူး (1 Liter)</v>
      </c>
      <c r="AP230" s="268">
        <f>Table4[[#This Row],[Parking]]</f>
        <v>5</v>
      </c>
      <c r="AQ230" s="268">
        <f>Table4[[#This Row],[SalesBot]]</f>
        <v>60</v>
      </c>
      <c r="AR230" s="268">
        <f>Table4[[#This Row],[Liter]]</f>
        <v>60</v>
      </c>
    </row>
    <row r="231" spans="1:44" s="16" customFormat="1" hidden="1" x14ac:dyDescent="0.5">
      <c r="A231" s="3">
        <f t="shared" si="36"/>
        <v>2026</v>
      </c>
      <c r="B231" s="8">
        <f t="shared" si="37"/>
        <v>1</v>
      </c>
      <c r="C231" s="6">
        <v>46036</v>
      </c>
      <c r="D231" s="15">
        <f t="shared" ca="1" si="38"/>
        <v>46097</v>
      </c>
      <c r="E231" s="15" t="str">
        <f t="shared" ca="1" si="39"/>
        <v>2-Months</v>
      </c>
      <c r="F231" s="8" t="str">
        <f>VLOOKUP(N231,Stock[#Data],5,FALSE)</f>
        <v>BE</v>
      </c>
      <c r="G231" s="82" t="s">
        <v>787</v>
      </c>
      <c r="H231" s="15"/>
      <c r="I231" s="7" t="s">
        <v>560</v>
      </c>
      <c r="J231" s="8" t="str">
        <f>VLOOKUP(I231,Customers[#Data],2,FALSE)</f>
        <v>မသန္တာ</v>
      </c>
      <c r="K231" s="15" t="str">
        <f>VLOOKUP(I231,Customers[#Data],4,FALSE)</f>
        <v>Maw La Myaing</v>
      </c>
      <c r="L231" s="15" t="str">
        <f>VLOOKUP(I231,Customers[#Data],5,FALSE)</f>
        <v>Van Sales</v>
      </c>
      <c r="M231" s="7" t="s">
        <v>6</v>
      </c>
      <c r="N231" s="7" t="s">
        <v>518</v>
      </c>
      <c r="O231" s="14" t="str">
        <f>VLOOKUP(N231,Stock[#Data],2,FALSE)</f>
        <v>"ဇေ" ကော်ဘူး (1 Liter)</v>
      </c>
      <c r="P231" s="44">
        <f>VLOOKUP(N231,Stock[#Data],3,FALSE)</f>
        <v>1</v>
      </c>
      <c r="Q231" s="3">
        <f>VLOOKUP(N231,Stock[#Data],4,FALSE)</f>
        <v>12</v>
      </c>
      <c r="R231" s="11"/>
      <c r="S231" s="45">
        <f>IFERROR(Table4[[#This Row],[Bottle]]/Table4[[#This Row],[ပါဝင်မှု]]+Table4[[#This Row],[SalesPK]],0)</f>
        <v>5</v>
      </c>
      <c r="T231" s="12">
        <v>5</v>
      </c>
      <c r="U231" s="10">
        <f>Table4[[#This Row],[ပါဝင်မှု]]*Table4[[#This Row],[SalesPK]]+Table4[[#This Row],[Bottle]]</f>
        <v>60</v>
      </c>
      <c r="V231" s="10">
        <f>Table4[[#This Row],[SalesBot]]*Table4[[#This Row],[ML]]</f>
        <v>60</v>
      </c>
      <c r="W231" s="1">
        <f>VLOOKUP(N231,Stock[#Data],6,FALSE)</f>
        <v>1675</v>
      </c>
      <c r="X231" s="8">
        <f>+Table4[[#This Row],[SalesBot]]*Table4[[#This Row],[နှုံး]]</f>
        <v>100500</v>
      </c>
      <c r="Y231" s="12"/>
      <c r="Z231" s="12"/>
      <c r="AA231" s="12"/>
      <c r="AB231" s="9"/>
      <c r="AC231" s="12"/>
      <c r="AD231" s="9"/>
      <c r="AE231" s="12"/>
      <c r="AF23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231" s="24"/>
      <c r="AH231" s="266">
        <f>Table4[[#This Row],[Date]]</f>
        <v>46036</v>
      </c>
      <c r="AI231" s="264" t="str">
        <f t="shared" si="34"/>
        <v>Jan</v>
      </c>
      <c r="AJ231" s="264" t="str">
        <f t="shared" si="35"/>
        <v>2026</v>
      </c>
      <c r="AK231" s="270" t="str">
        <f>Table4[[#This Row],[ကုန်သည်အမည်]]</f>
        <v>မသန္တာ</v>
      </c>
      <c r="AL231" s="270" t="str">
        <f>Table4[[#This Row],[Township]]</f>
        <v>Maw La Myaing</v>
      </c>
      <c r="AM231" s="271" t="str">
        <f>Table4[[#This Row],[WholeSales]]</f>
        <v>Van Sales</v>
      </c>
      <c r="AN231" s="272" t="str">
        <f>Table4[[#This Row],[Particular]]</f>
        <v>ကုန်ရောင်း(လက်ငင်း)</v>
      </c>
      <c r="AO231" s="273" t="str">
        <f>Table4[[#This Row],[StockName]]</f>
        <v>"ဇေ" ကော်ဘူး (1 Liter)</v>
      </c>
      <c r="AP231" s="268">
        <f>Table4[[#This Row],[Parking]]</f>
        <v>5</v>
      </c>
      <c r="AQ231" s="268">
        <f>Table4[[#This Row],[SalesBot]]</f>
        <v>60</v>
      </c>
      <c r="AR231" s="268">
        <f>Table4[[#This Row],[Liter]]</f>
        <v>60</v>
      </c>
    </row>
    <row r="232" spans="1:44" s="16" customFormat="1" hidden="1" x14ac:dyDescent="0.5">
      <c r="A232" s="3">
        <f t="shared" si="36"/>
        <v>2026</v>
      </c>
      <c r="B232" s="8">
        <f t="shared" si="37"/>
        <v>1</v>
      </c>
      <c r="C232" s="6">
        <v>46036</v>
      </c>
      <c r="D232" s="15">
        <f t="shared" ca="1" si="38"/>
        <v>46097</v>
      </c>
      <c r="E232" s="15" t="str">
        <f t="shared" ca="1" si="39"/>
        <v>2-Months</v>
      </c>
      <c r="F232" s="8" t="str">
        <f>VLOOKUP(N232,Stock[#Data],5,FALSE)</f>
        <v>BE</v>
      </c>
      <c r="G232" s="82" t="s">
        <v>788</v>
      </c>
      <c r="H232" s="15"/>
      <c r="I232" s="7" t="s">
        <v>267</v>
      </c>
      <c r="J232" s="8" t="str">
        <f>VLOOKUP(I232,Customers[#Data],2,FALSE)</f>
        <v>Hi Hi</v>
      </c>
      <c r="K232" s="15" t="str">
        <f>VLOOKUP(I232,Customers[#Data],4,FALSE)</f>
        <v>Maw La Myaing</v>
      </c>
      <c r="L232" s="15" t="str">
        <f>VLOOKUP(I232,Customers[#Data],5,FALSE)</f>
        <v>Van Sales</v>
      </c>
      <c r="M232" s="7" t="s">
        <v>6</v>
      </c>
      <c r="N232" s="7" t="s">
        <v>516</v>
      </c>
      <c r="O232" s="14" t="str">
        <f>VLOOKUP(N232,Stock[#Data],2,FALSE)</f>
        <v>ဇေ Vodka</v>
      </c>
      <c r="P232" s="44">
        <f>VLOOKUP(N232,Stock[#Data],3,FALSE)</f>
        <v>0.64</v>
      </c>
      <c r="Q232" s="3">
        <f>VLOOKUP(N232,Stock[#Data],4,FALSE)</f>
        <v>14</v>
      </c>
      <c r="R232" s="11"/>
      <c r="S232" s="45">
        <f>IFERROR(Table4[[#This Row],[Bottle]]/Table4[[#This Row],[ပါဝင်မှု]]+Table4[[#This Row],[SalesPK]],0)</f>
        <v>2</v>
      </c>
      <c r="T232" s="12">
        <v>2</v>
      </c>
      <c r="U232" s="10">
        <f>Table4[[#This Row],[ပါဝင်မှု]]*Table4[[#This Row],[SalesPK]]+Table4[[#This Row],[Bottle]]</f>
        <v>28</v>
      </c>
      <c r="V232" s="10">
        <f>Table4[[#This Row],[SalesBot]]*Table4[[#This Row],[ML]]</f>
        <v>17.920000000000002</v>
      </c>
      <c r="W232" s="1">
        <f>VLOOKUP(N232,Stock[#Data],6,FALSE)</f>
        <v>1400</v>
      </c>
      <c r="X232" s="8">
        <f>+Table4[[#This Row],[SalesBot]]*Table4[[#This Row],[နှုံး]]</f>
        <v>39200</v>
      </c>
      <c r="Y232" s="12"/>
      <c r="Z232" s="12"/>
      <c r="AA232" s="12"/>
      <c r="AB232" s="9"/>
      <c r="AC232" s="12"/>
      <c r="AD232" s="9"/>
      <c r="AE232" s="12"/>
      <c r="AF23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39200</v>
      </c>
      <c r="AG232" s="24"/>
      <c r="AH232" s="266">
        <f>Table4[[#This Row],[Date]]</f>
        <v>46036</v>
      </c>
      <c r="AI232" s="264" t="str">
        <f t="shared" si="34"/>
        <v>Jan</v>
      </c>
      <c r="AJ232" s="264" t="str">
        <f t="shared" si="35"/>
        <v>2026</v>
      </c>
      <c r="AK232" s="270" t="str">
        <f>Table4[[#This Row],[ကုန်သည်အမည်]]</f>
        <v>Hi Hi</v>
      </c>
      <c r="AL232" s="270" t="str">
        <f>Table4[[#This Row],[Township]]</f>
        <v>Maw La Myaing</v>
      </c>
      <c r="AM232" s="271" t="str">
        <f>Table4[[#This Row],[WholeSales]]</f>
        <v>Van Sales</v>
      </c>
      <c r="AN232" s="272" t="str">
        <f>Table4[[#This Row],[Particular]]</f>
        <v>ကုန်ရောင်း(လက်ငင်း)</v>
      </c>
      <c r="AO232" s="273" t="str">
        <f>Table4[[#This Row],[StockName]]</f>
        <v>ဇေ Vodka</v>
      </c>
      <c r="AP232" s="268">
        <f>Table4[[#This Row],[Parking]]</f>
        <v>2</v>
      </c>
      <c r="AQ232" s="268">
        <f>Table4[[#This Row],[SalesBot]]</f>
        <v>28</v>
      </c>
      <c r="AR232" s="268">
        <f>Table4[[#This Row],[Liter]]</f>
        <v>17.920000000000002</v>
      </c>
    </row>
    <row r="233" spans="1:44" s="16" customFormat="1" hidden="1" x14ac:dyDescent="0.5">
      <c r="A233" s="3">
        <f t="shared" si="36"/>
        <v>2026</v>
      </c>
      <c r="B233" s="8">
        <f t="shared" si="37"/>
        <v>1</v>
      </c>
      <c r="C233" s="6">
        <v>46036</v>
      </c>
      <c r="D233" s="15">
        <f t="shared" ca="1" si="38"/>
        <v>46097</v>
      </c>
      <c r="E233" s="15" t="str">
        <f t="shared" ca="1" si="39"/>
        <v>2-Months</v>
      </c>
      <c r="F233" s="8" t="str">
        <f>VLOOKUP(N233,Stock[#Data],5,FALSE)</f>
        <v>BE</v>
      </c>
      <c r="G233" s="82" t="s">
        <v>788</v>
      </c>
      <c r="H233" s="15"/>
      <c r="I233" s="7" t="s">
        <v>267</v>
      </c>
      <c r="J233" s="8" t="str">
        <f>VLOOKUP(I233,Customers[#Data],2,FALSE)</f>
        <v>Hi Hi</v>
      </c>
      <c r="K233" s="15" t="str">
        <f>VLOOKUP(I233,Customers[#Data],4,FALSE)</f>
        <v>Maw La Myaing</v>
      </c>
      <c r="L233" s="15" t="str">
        <f>VLOOKUP(I233,Customers[#Data],5,FALSE)</f>
        <v>Van Sales</v>
      </c>
      <c r="M233" s="7" t="s">
        <v>6</v>
      </c>
      <c r="N233" s="7" t="s">
        <v>518</v>
      </c>
      <c r="O233" s="14" t="str">
        <f>VLOOKUP(N233,Stock[#Data],2,FALSE)</f>
        <v>"ဇေ" ကော်ဘူး (1 Liter)</v>
      </c>
      <c r="P233" s="44">
        <f>VLOOKUP(N233,Stock[#Data],3,FALSE)</f>
        <v>1</v>
      </c>
      <c r="Q233" s="3">
        <f>VLOOKUP(N233,Stock[#Data],4,FALSE)</f>
        <v>12</v>
      </c>
      <c r="R233" s="11"/>
      <c r="S233" s="45">
        <f>IFERROR(Table4[[#This Row],[Bottle]]/Table4[[#This Row],[ပါဝင်မှု]]+Table4[[#This Row],[SalesPK]],0)</f>
        <v>3</v>
      </c>
      <c r="T233" s="12">
        <v>3</v>
      </c>
      <c r="U233" s="10">
        <f>Table4[[#This Row],[ပါဝင်မှု]]*Table4[[#This Row],[SalesPK]]+Table4[[#This Row],[Bottle]]</f>
        <v>36</v>
      </c>
      <c r="V233" s="10">
        <f>Table4[[#This Row],[SalesBot]]*Table4[[#This Row],[ML]]</f>
        <v>36</v>
      </c>
      <c r="W233" s="1">
        <f>VLOOKUP(N233,Stock[#Data],6,FALSE)</f>
        <v>1675</v>
      </c>
      <c r="X233" s="8">
        <f>+Table4[[#This Row],[SalesBot]]*Table4[[#This Row],[နှုံး]]</f>
        <v>60300</v>
      </c>
      <c r="Y233" s="12"/>
      <c r="Z233" s="12"/>
      <c r="AA233" s="12"/>
      <c r="AB233" s="9"/>
      <c r="AC233" s="12"/>
      <c r="AD233" s="9"/>
      <c r="AE233" s="12"/>
      <c r="AF23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60300</v>
      </c>
      <c r="AG233" s="24"/>
      <c r="AH233" s="266">
        <f>Table4[[#This Row],[Date]]</f>
        <v>46036</v>
      </c>
      <c r="AI233" s="264" t="str">
        <f t="shared" si="34"/>
        <v>Jan</v>
      </c>
      <c r="AJ233" s="264" t="str">
        <f t="shared" si="35"/>
        <v>2026</v>
      </c>
      <c r="AK233" s="270" t="str">
        <f>Table4[[#This Row],[ကုန်သည်အမည်]]</f>
        <v>Hi Hi</v>
      </c>
      <c r="AL233" s="270" t="str">
        <f>Table4[[#This Row],[Township]]</f>
        <v>Maw La Myaing</v>
      </c>
      <c r="AM233" s="271" t="str">
        <f>Table4[[#This Row],[WholeSales]]</f>
        <v>Van Sales</v>
      </c>
      <c r="AN233" s="272" t="str">
        <f>Table4[[#This Row],[Particular]]</f>
        <v>ကုန်ရောင်း(လက်ငင်း)</v>
      </c>
      <c r="AO233" s="273" t="str">
        <f>Table4[[#This Row],[StockName]]</f>
        <v>"ဇေ" ကော်ဘူး (1 Liter)</v>
      </c>
      <c r="AP233" s="268">
        <f>Table4[[#This Row],[Parking]]</f>
        <v>3</v>
      </c>
      <c r="AQ233" s="268">
        <f>Table4[[#This Row],[SalesBot]]</f>
        <v>36</v>
      </c>
      <c r="AR233" s="268">
        <f>Table4[[#This Row],[Liter]]</f>
        <v>36</v>
      </c>
    </row>
    <row r="234" spans="1:44" s="16" customFormat="1" hidden="1" x14ac:dyDescent="0.5">
      <c r="A234" s="3">
        <f t="shared" si="36"/>
        <v>2026</v>
      </c>
      <c r="B234" s="8">
        <f t="shared" si="37"/>
        <v>1</v>
      </c>
      <c r="C234" s="6">
        <v>46036</v>
      </c>
      <c r="D234" s="15">
        <f t="shared" ca="1" si="38"/>
        <v>46097</v>
      </c>
      <c r="E234" s="15" t="str">
        <f t="shared" ca="1" si="39"/>
        <v>2-Months</v>
      </c>
      <c r="F234" s="8" t="str">
        <f>VLOOKUP(N234,Stock[#Data],5,FALSE)</f>
        <v>BE</v>
      </c>
      <c r="G234" s="82" t="s">
        <v>789</v>
      </c>
      <c r="H234" s="15"/>
      <c r="I234" s="7" t="s">
        <v>790</v>
      </c>
      <c r="J234" s="8" t="str">
        <f>VLOOKUP(I234,Customers[#Data],2,FALSE)</f>
        <v>လရောင်ဝင်း</v>
      </c>
      <c r="K234" s="15" t="str">
        <f>VLOOKUP(I234,Customers[#Data],4,FALSE)</f>
        <v>Maw La Myaing</v>
      </c>
      <c r="L234" s="15" t="str">
        <f>VLOOKUP(I234,Customers[#Data],5,FALSE)</f>
        <v>Van Sales</v>
      </c>
      <c r="M234" s="7" t="s">
        <v>6</v>
      </c>
      <c r="N234" s="7" t="s">
        <v>515</v>
      </c>
      <c r="O234" s="14" t="str">
        <f>VLOOKUP(N234,Stock[#Data],2,FALSE)</f>
        <v>ဇေ Vodka</v>
      </c>
      <c r="P234" s="44">
        <f>VLOOKUP(N234,Stock[#Data],3,FALSE)</f>
        <v>0.7</v>
      </c>
      <c r="Q234" s="3">
        <f>VLOOKUP(N234,Stock[#Data],4,FALSE)</f>
        <v>12</v>
      </c>
      <c r="R234" s="11">
        <v>4</v>
      </c>
      <c r="S234" s="45">
        <f>IFERROR(Table4[[#This Row],[Bottle]]/Table4[[#This Row],[ပါဝင်မှု]]+Table4[[#This Row],[SalesPK]],0)</f>
        <v>0.33333333333333331</v>
      </c>
      <c r="T234" s="12"/>
      <c r="U234" s="10">
        <f>Table4[[#This Row],[ပါဝင်မှု]]*Table4[[#This Row],[SalesPK]]+Table4[[#This Row],[Bottle]]</f>
        <v>4</v>
      </c>
      <c r="V234" s="10">
        <f>Table4[[#This Row],[SalesBot]]*Table4[[#This Row],[ML]]</f>
        <v>2.8</v>
      </c>
      <c r="W234" s="1">
        <f>VLOOKUP(N234,Stock[#Data],6,FALSE)</f>
        <v>2020</v>
      </c>
      <c r="X234" s="8">
        <f>+Table4[[#This Row],[SalesBot]]*Table4[[#This Row],[နှုံး]]</f>
        <v>8080</v>
      </c>
      <c r="Y234" s="12"/>
      <c r="Z234" s="12"/>
      <c r="AA234" s="12"/>
      <c r="AB234" s="9"/>
      <c r="AC234" s="12"/>
      <c r="AD234" s="9"/>
      <c r="AE234" s="12"/>
      <c r="AF23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8080</v>
      </c>
      <c r="AG234" s="24"/>
      <c r="AH234" s="266">
        <f>Table4[[#This Row],[Date]]</f>
        <v>46036</v>
      </c>
      <c r="AI234" s="264" t="str">
        <f t="shared" si="34"/>
        <v>Jan</v>
      </c>
      <c r="AJ234" s="264" t="str">
        <f t="shared" si="35"/>
        <v>2026</v>
      </c>
      <c r="AK234" s="270" t="str">
        <f>Table4[[#This Row],[ကုန်သည်အမည်]]</f>
        <v>လရောင်ဝင်း</v>
      </c>
      <c r="AL234" s="270" t="str">
        <f>Table4[[#This Row],[Township]]</f>
        <v>Maw La Myaing</v>
      </c>
      <c r="AM234" s="271" t="str">
        <f>Table4[[#This Row],[WholeSales]]</f>
        <v>Van Sales</v>
      </c>
      <c r="AN234" s="272" t="str">
        <f>Table4[[#This Row],[Particular]]</f>
        <v>ကုန်ရောင်း(လက်ငင်း)</v>
      </c>
      <c r="AO234" s="273" t="str">
        <f>Table4[[#This Row],[StockName]]</f>
        <v>ဇေ Vodka</v>
      </c>
      <c r="AP234" s="268">
        <f>Table4[[#This Row],[Parking]]</f>
        <v>0.33333333333333331</v>
      </c>
      <c r="AQ234" s="268">
        <f>Table4[[#This Row],[SalesBot]]</f>
        <v>4</v>
      </c>
      <c r="AR234" s="268">
        <f>Table4[[#This Row],[Liter]]</f>
        <v>2.8</v>
      </c>
    </row>
    <row r="235" spans="1:44" s="16" customFormat="1" hidden="1" x14ac:dyDescent="0.5">
      <c r="A235" s="3">
        <f t="shared" si="36"/>
        <v>2026</v>
      </c>
      <c r="B235" s="8">
        <f t="shared" si="37"/>
        <v>1</v>
      </c>
      <c r="C235" s="6">
        <v>46036</v>
      </c>
      <c r="D235" s="15">
        <f t="shared" ca="1" si="38"/>
        <v>46097</v>
      </c>
      <c r="E235" s="15" t="str">
        <f t="shared" ca="1" si="39"/>
        <v>2-Months</v>
      </c>
      <c r="F235" s="8" t="str">
        <f>VLOOKUP(N235,Stock[#Data],5,FALSE)</f>
        <v>BE</v>
      </c>
      <c r="G235" s="82" t="s">
        <v>857</v>
      </c>
      <c r="H235" s="15"/>
      <c r="I235" s="7" t="s">
        <v>792</v>
      </c>
      <c r="J235" s="8" t="str">
        <f>VLOOKUP(I235,Customers[#Data],2,FALSE)</f>
        <v>Friday Mon</v>
      </c>
      <c r="K235" s="15" t="str">
        <f>VLOOKUP(I235,Customers[#Data],4,FALSE)</f>
        <v>Maw La Myaing</v>
      </c>
      <c r="L235" s="15" t="str">
        <f>VLOOKUP(I235,Customers[#Data],5,FALSE)</f>
        <v>Van Sales</v>
      </c>
      <c r="M235" s="7" t="s">
        <v>6</v>
      </c>
      <c r="N235" s="7" t="s">
        <v>515</v>
      </c>
      <c r="O235" s="14" t="str">
        <f>VLOOKUP(N235,Stock[#Data],2,FALSE)</f>
        <v>ဇေ Vodka</v>
      </c>
      <c r="P235" s="44">
        <f>VLOOKUP(N235,Stock[#Data],3,FALSE)</f>
        <v>0.7</v>
      </c>
      <c r="Q235" s="3">
        <f>VLOOKUP(N235,Stock[#Data],4,FALSE)</f>
        <v>12</v>
      </c>
      <c r="R235" s="11">
        <v>5</v>
      </c>
      <c r="S235" s="45">
        <f>IFERROR(Table4[[#This Row],[Bottle]]/Table4[[#This Row],[ပါဝင်မှု]]+Table4[[#This Row],[SalesPK]],0)</f>
        <v>0.41666666666666669</v>
      </c>
      <c r="T235" s="12"/>
      <c r="U235" s="10">
        <f>Table4[[#This Row],[ပါဝင်မှု]]*Table4[[#This Row],[SalesPK]]+Table4[[#This Row],[Bottle]]</f>
        <v>5</v>
      </c>
      <c r="V235" s="10">
        <f>Table4[[#This Row],[SalesBot]]*Table4[[#This Row],[ML]]</f>
        <v>3.5</v>
      </c>
      <c r="W235" s="1">
        <f>VLOOKUP(N235,Stock[#Data],6,FALSE)</f>
        <v>2020</v>
      </c>
      <c r="X235" s="8">
        <f>+Table4[[#This Row],[SalesBot]]*Table4[[#This Row],[နှုံး]]</f>
        <v>10100</v>
      </c>
      <c r="Y235" s="12"/>
      <c r="Z235" s="12"/>
      <c r="AA235" s="12"/>
      <c r="AB235" s="9"/>
      <c r="AC235" s="12"/>
      <c r="AD235" s="9"/>
      <c r="AE235" s="12"/>
      <c r="AF23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10100</v>
      </c>
      <c r="AG235" s="24"/>
      <c r="AH235" s="266">
        <f>Table4[[#This Row],[Date]]</f>
        <v>46036</v>
      </c>
      <c r="AI235" s="264" t="str">
        <f t="shared" si="34"/>
        <v>Jan</v>
      </c>
      <c r="AJ235" s="264" t="str">
        <f t="shared" si="35"/>
        <v>2026</v>
      </c>
      <c r="AK235" s="270" t="str">
        <f>Table4[[#This Row],[ကုန်သည်အမည်]]</f>
        <v>Friday Mon</v>
      </c>
      <c r="AL235" s="270" t="str">
        <f>Table4[[#This Row],[Township]]</f>
        <v>Maw La Myaing</v>
      </c>
      <c r="AM235" s="271" t="str">
        <f>Table4[[#This Row],[WholeSales]]</f>
        <v>Van Sales</v>
      </c>
      <c r="AN235" s="272" t="str">
        <f>Table4[[#This Row],[Particular]]</f>
        <v>ကုန်ရောင်း(လက်ငင်း)</v>
      </c>
      <c r="AO235" s="273" t="str">
        <f>Table4[[#This Row],[StockName]]</f>
        <v>ဇေ Vodka</v>
      </c>
      <c r="AP235" s="268">
        <f>Table4[[#This Row],[Parking]]</f>
        <v>0.41666666666666669</v>
      </c>
      <c r="AQ235" s="268">
        <f>Table4[[#This Row],[SalesBot]]</f>
        <v>5</v>
      </c>
      <c r="AR235" s="268">
        <f>Table4[[#This Row],[Liter]]</f>
        <v>3.5</v>
      </c>
    </row>
    <row r="236" spans="1:44" s="16" customFormat="1" hidden="1" x14ac:dyDescent="0.5">
      <c r="A236" s="3">
        <f t="shared" ref="A236:A517" si="40">YEAR(C236)</f>
        <v>2026</v>
      </c>
      <c r="B236" s="8">
        <f t="shared" ref="B236:B517" si="41">MONTH(C236)</f>
        <v>1</v>
      </c>
      <c r="C236" s="6">
        <v>46036</v>
      </c>
      <c r="D236" s="15">
        <f t="shared" ref="D236:D517" ca="1" si="42">TODAY()</f>
        <v>46097</v>
      </c>
      <c r="E236" s="15" t="str">
        <f t="shared" ref="E236:E517" ca="1" si="43">DATEDIF(C236,D236,"M")&amp;"-Months"</f>
        <v>2-Months</v>
      </c>
      <c r="F236" s="8" t="str">
        <f>VLOOKUP(N236,Stock[#Data],5,FALSE)</f>
        <v>BE</v>
      </c>
      <c r="G236" s="82" t="s">
        <v>858</v>
      </c>
      <c r="H236" s="15"/>
      <c r="I236" s="7" t="s">
        <v>793</v>
      </c>
      <c r="J236" s="8" t="str">
        <f>VLOOKUP(I236,Customers[#Data],2,FALSE)</f>
        <v>ဖြိုးဝေဝင်း</v>
      </c>
      <c r="K236" s="15" t="str">
        <f>VLOOKUP(I236,Customers[#Data],4,FALSE)</f>
        <v>Maw La Myaing</v>
      </c>
      <c r="L236" s="15" t="str">
        <f>VLOOKUP(I236,Customers[#Data],5,FALSE)</f>
        <v>Van Sales</v>
      </c>
      <c r="M236" s="7" t="s">
        <v>6</v>
      </c>
      <c r="N236" s="7" t="s">
        <v>51</v>
      </c>
      <c r="O236" s="14" t="str">
        <f>VLOOKUP(N236,Stock[#Data],2,FALSE)</f>
        <v>ကောင်းကြည်</v>
      </c>
      <c r="P236" s="44">
        <f>VLOOKUP(N236,Stock[#Data],3,FALSE)</f>
        <v>0.64</v>
      </c>
      <c r="Q236" s="3">
        <f>VLOOKUP(N236,Stock[#Data],4,FALSE)</f>
        <v>14</v>
      </c>
      <c r="R236" s="11"/>
      <c r="S236" s="45">
        <f>IFERROR(Table4[[#This Row],[Bottle]]/Table4[[#This Row],[ပါဝင်မှု]]+Table4[[#This Row],[SalesPK]],0)</f>
        <v>3</v>
      </c>
      <c r="T236" s="12">
        <v>3</v>
      </c>
      <c r="U236" s="46">
        <f>Table4[[#This Row],[ပါဝင်မှု]]*Table4[[#This Row],[SalesPK]]+Table4[[#This Row],[Bottle]]</f>
        <v>42</v>
      </c>
      <c r="V236" s="10">
        <f>Table4[[#This Row],[SalesBot]]*Table4[[#This Row],[ML]]</f>
        <v>26.88</v>
      </c>
      <c r="W236" s="1">
        <f>VLOOKUP(N236,Stock[#Data],6,FALSE)</f>
        <v>1250</v>
      </c>
      <c r="X236" s="8">
        <f>+Table4[[#This Row],[SalesBot]]*Table4[[#This Row],[နှုံး]]</f>
        <v>52500</v>
      </c>
      <c r="Y236" s="12"/>
      <c r="Z236" s="12"/>
      <c r="AA236" s="12"/>
      <c r="AB236" s="9"/>
      <c r="AC236" s="12">
        <v>52500</v>
      </c>
      <c r="AD236" s="9"/>
      <c r="AE236" s="12"/>
      <c r="AF23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36" s="24"/>
      <c r="AH236" s="266">
        <f>Table4[[#This Row],[Date]]</f>
        <v>46036</v>
      </c>
      <c r="AI236" s="264" t="str">
        <f t="shared" si="34"/>
        <v>Jan</v>
      </c>
      <c r="AJ236" s="264" t="str">
        <f t="shared" si="35"/>
        <v>2026</v>
      </c>
      <c r="AK236" s="270" t="str">
        <f>Table4[[#This Row],[ကုန်သည်အမည်]]</f>
        <v>ဖြိုးဝေဝင်း</v>
      </c>
      <c r="AL236" s="270" t="str">
        <f>Table4[[#This Row],[Township]]</f>
        <v>Maw La Myaing</v>
      </c>
      <c r="AM236" s="271" t="str">
        <f>Table4[[#This Row],[WholeSales]]</f>
        <v>Van Sales</v>
      </c>
      <c r="AN236" s="272" t="str">
        <f>Table4[[#This Row],[Particular]]</f>
        <v>ကုန်ရောင်း(လက်ငင်း)</v>
      </c>
      <c r="AO236" s="273" t="str">
        <f>Table4[[#This Row],[StockName]]</f>
        <v>ကောင်းကြည်</v>
      </c>
      <c r="AP236" s="268">
        <f>Table4[[#This Row],[Parking]]</f>
        <v>3</v>
      </c>
      <c r="AQ236" s="268">
        <f>Table4[[#This Row],[SalesBot]]</f>
        <v>42</v>
      </c>
      <c r="AR236" s="268">
        <f>Table4[[#This Row],[Liter]]</f>
        <v>26.88</v>
      </c>
    </row>
    <row r="237" spans="1:44" s="16" customFormat="1" hidden="1" x14ac:dyDescent="0.5">
      <c r="A237" s="3">
        <f t="shared" si="40"/>
        <v>2026</v>
      </c>
      <c r="B237" s="8">
        <f t="shared" si="41"/>
        <v>1</v>
      </c>
      <c r="C237" s="6">
        <v>46036</v>
      </c>
      <c r="D237" s="15">
        <f t="shared" ca="1" si="42"/>
        <v>46097</v>
      </c>
      <c r="E237" s="15" t="str">
        <f t="shared" ca="1" si="43"/>
        <v>2-Months</v>
      </c>
      <c r="F237" s="8" t="str">
        <f>VLOOKUP(N237,Stock[#Data],5,FALSE)</f>
        <v>BE</v>
      </c>
      <c r="G237" s="82" t="s">
        <v>858</v>
      </c>
      <c r="H237" s="15"/>
      <c r="I237" s="7" t="s">
        <v>793</v>
      </c>
      <c r="J237" s="8" t="str">
        <f>VLOOKUP(I237,Customers[#Data],2,FALSE)</f>
        <v>ဖြိုးဝေဝင်း</v>
      </c>
      <c r="K237" s="15" t="str">
        <f>VLOOKUP(I237,Customers[#Data],4,FALSE)</f>
        <v>Maw La Myaing</v>
      </c>
      <c r="L237" s="15" t="str">
        <f>VLOOKUP(I237,Customers[#Data],5,FALSE)</f>
        <v>Van Sales</v>
      </c>
      <c r="M237" s="7" t="s">
        <v>6</v>
      </c>
      <c r="N237" s="7" t="s">
        <v>515</v>
      </c>
      <c r="O237" s="14" t="str">
        <f>VLOOKUP(N237,Stock[#Data],2,FALSE)</f>
        <v>ဇေ Vodka</v>
      </c>
      <c r="P237" s="44">
        <f>VLOOKUP(N237,Stock[#Data],3,FALSE)</f>
        <v>0.7</v>
      </c>
      <c r="Q237" s="3">
        <f>VLOOKUP(N237,Stock[#Data],4,FALSE)</f>
        <v>12</v>
      </c>
      <c r="R237" s="11"/>
      <c r="S237" s="45">
        <f>IFERROR(Table4[[#This Row],[Bottle]]/Table4[[#This Row],[ပါဝင်မှု]]+Table4[[#This Row],[SalesPK]],0)</f>
        <v>2</v>
      </c>
      <c r="T237" s="12">
        <v>2</v>
      </c>
      <c r="U237" s="10">
        <f>Table4[[#This Row],[ပါဝင်မှု]]*Table4[[#This Row],[SalesPK]]+Table4[[#This Row],[Bottle]]</f>
        <v>24</v>
      </c>
      <c r="V237" s="10">
        <f>Table4[[#This Row],[SalesBot]]*Table4[[#This Row],[ML]]</f>
        <v>16.799999999999997</v>
      </c>
      <c r="W237" s="1">
        <f>VLOOKUP(N237,Stock[#Data],6,FALSE)</f>
        <v>2020</v>
      </c>
      <c r="X237" s="8">
        <f>+Table4[[#This Row],[SalesBot]]*Table4[[#This Row],[နှုံး]]</f>
        <v>48480</v>
      </c>
      <c r="Y237" s="12"/>
      <c r="Z237" s="12"/>
      <c r="AA237" s="12"/>
      <c r="AB237" s="9"/>
      <c r="AC237" s="12">
        <v>48480</v>
      </c>
      <c r="AD237" s="9"/>
      <c r="AE237" s="12"/>
      <c r="AF23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37" s="24"/>
      <c r="AH237" s="266">
        <f>Table4[[#This Row],[Date]]</f>
        <v>46036</v>
      </c>
      <c r="AI237" s="264" t="str">
        <f t="shared" si="34"/>
        <v>Jan</v>
      </c>
      <c r="AJ237" s="264" t="str">
        <f t="shared" si="35"/>
        <v>2026</v>
      </c>
      <c r="AK237" s="270" t="str">
        <f>Table4[[#This Row],[ကုန်သည်အမည်]]</f>
        <v>ဖြိုးဝေဝင်း</v>
      </c>
      <c r="AL237" s="270" t="str">
        <f>Table4[[#This Row],[Township]]</f>
        <v>Maw La Myaing</v>
      </c>
      <c r="AM237" s="271" t="str">
        <f>Table4[[#This Row],[WholeSales]]</f>
        <v>Van Sales</v>
      </c>
      <c r="AN237" s="272" t="str">
        <f>Table4[[#This Row],[Particular]]</f>
        <v>ကုန်ရောင်း(လက်ငင်း)</v>
      </c>
      <c r="AO237" s="273" t="str">
        <f>Table4[[#This Row],[StockName]]</f>
        <v>ဇေ Vodka</v>
      </c>
      <c r="AP237" s="268">
        <f>Table4[[#This Row],[Parking]]</f>
        <v>2</v>
      </c>
      <c r="AQ237" s="268">
        <f>Table4[[#This Row],[SalesBot]]</f>
        <v>24</v>
      </c>
      <c r="AR237" s="268">
        <f>Table4[[#This Row],[Liter]]</f>
        <v>16.799999999999997</v>
      </c>
    </row>
    <row r="238" spans="1:44" s="16" customFormat="1" hidden="1" x14ac:dyDescent="0.5">
      <c r="A238" s="3">
        <f t="shared" si="40"/>
        <v>2026</v>
      </c>
      <c r="B238" s="8">
        <f t="shared" si="41"/>
        <v>1</v>
      </c>
      <c r="C238" s="6">
        <v>46036</v>
      </c>
      <c r="D238" s="15">
        <f t="shared" ca="1" si="42"/>
        <v>46097</v>
      </c>
      <c r="E238" s="15" t="str">
        <f t="shared" ca="1" si="43"/>
        <v>2-Months</v>
      </c>
      <c r="F238" s="8" t="str">
        <f>VLOOKUP(N238,Stock[#Data],5,FALSE)</f>
        <v>BE</v>
      </c>
      <c r="G238" s="82" t="s">
        <v>858</v>
      </c>
      <c r="H238" s="15"/>
      <c r="I238" s="7" t="s">
        <v>793</v>
      </c>
      <c r="J238" s="8" t="str">
        <f>VLOOKUP(I238,Customers[#Data],2,FALSE)</f>
        <v>ဖြိုးဝေဝင်း</v>
      </c>
      <c r="K238" s="15" t="str">
        <f>VLOOKUP(I238,Customers[#Data],4,FALSE)</f>
        <v>Maw La Myaing</v>
      </c>
      <c r="L238" s="15" t="str">
        <f>VLOOKUP(I238,Customers[#Data],5,FALSE)</f>
        <v>Van Sales</v>
      </c>
      <c r="M238" s="7" t="s">
        <v>6</v>
      </c>
      <c r="N238" s="7" t="s">
        <v>526</v>
      </c>
      <c r="O238" s="14" t="str">
        <f>VLOOKUP(N238,Stock[#Data],2,FALSE)</f>
        <v>ဒဂုံနာနတ်ဝိုင်</v>
      </c>
      <c r="P238" s="44">
        <f>VLOOKUP(N238,Stock[#Data],3,FALSE)</f>
        <v>0.64</v>
      </c>
      <c r="Q238" s="3">
        <f>VLOOKUP(N238,Stock[#Data],4,FALSE)</f>
        <v>14</v>
      </c>
      <c r="R238" s="11">
        <v>7</v>
      </c>
      <c r="S238" s="45">
        <f>IFERROR(Table4[[#This Row],[Bottle]]/Table4[[#This Row],[ပါဝင်မှု]]+Table4[[#This Row],[SalesPK]],0)</f>
        <v>0.5</v>
      </c>
      <c r="T238" s="12"/>
      <c r="U238" s="10">
        <f>Table4[[#This Row],[ပါဝင်မှု]]*Table4[[#This Row],[SalesPK]]+Table4[[#This Row],[Bottle]]</f>
        <v>7</v>
      </c>
      <c r="V238" s="10">
        <f>Table4[[#This Row],[SalesBot]]*Table4[[#This Row],[ML]]</f>
        <v>4.4800000000000004</v>
      </c>
      <c r="W238" s="1">
        <f>VLOOKUP(N238,Stock[#Data],6,FALSE)</f>
        <v>1350</v>
      </c>
      <c r="X238" s="8">
        <f>+Table4[[#This Row],[SalesBot]]*Table4[[#This Row],[နှုံး]]</f>
        <v>9450</v>
      </c>
      <c r="Y238" s="12"/>
      <c r="Z238" s="12"/>
      <c r="AA238" s="12"/>
      <c r="AB238" s="9"/>
      <c r="AC238" s="12">
        <v>9450</v>
      </c>
      <c r="AD238" s="9"/>
      <c r="AE238" s="12"/>
      <c r="AF23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38" s="24"/>
      <c r="AH238" s="266">
        <f>Table4[[#This Row],[Date]]</f>
        <v>46036</v>
      </c>
      <c r="AI238" s="264" t="str">
        <f t="shared" si="34"/>
        <v>Jan</v>
      </c>
      <c r="AJ238" s="264" t="str">
        <f t="shared" si="35"/>
        <v>2026</v>
      </c>
      <c r="AK238" s="270" t="str">
        <f>Table4[[#This Row],[ကုန်သည်အမည်]]</f>
        <v>ဖြိုးဝေဝင်း</v>
      </c>
      <c r="AL238" s="270" t="str">
        <f>Table4[[#This Row],[Township]]</f>
        <v>Maw La Myaing</v>
      </c>
      <c r="AM238" s="271" t="str">
        <f>Table4[[#This Row],[WholeSales]]</f>
        <v>Van Sales</v>
      </c>
      <c r="AN238" s="272" t="str">
        <f>Table4[[#This Row],[Particular]]</f>
        <v>ကုန်ရောင်း(လက်ငင်း)</v>
      </c>
      <c r="AO238" s="273" t="str">
        <f>Table4[[#This Row],[StockName]]</f>
        <v>ဒဂုံနာနတ်ဝိုင်</v>
      </c>
      <c r="AP238" s="268">
        <f>Table4[[#This Row],[Parking]]</f>
        <v>0.5</v>
      </c>
      <c r="AQ238" s="268">
        <f>Table4[[#This Row],[SalesBot]]</f>
        <v>7</v>
      </c>
      <c r="AR238" s="268">
        <f>Table4[[#This Row],[Liter]]</f>
        <v>4.4800000000000004</v>
      </c>
    </row>
    <row r="239" spans="1:44" s="16" customFormat="1" hidden="1" x14ac:dyDescent="0.5">
      <c r="A239" s="3">
        <f t="shared" si="40"/>
        <v>2026</v>
      </c>
      <c r="B239" s="8">
        <f t="shared" si="41"/>
        <v>1</v>
      </c>
      <c r="C239" s="6">
        <v>46036</v>
      </c>
      <c r="D239" s="15">
        <f t="shared" ca="1" si="42"/>
        <v>46097</v>
      </c>
      <c r="E239" s="15" t="str">
        <f t="shared" ca="1" si="43"/>
        <v>2-Months</v>
      </c>
      <c r="F239" s="8" t="str">
        <f>VLOOKUP(N239,Stock[#Data],5,FALSE)</f>
        <v>BE</v>
      </c>
      <c r="G239" s="82" t="s">
        <v>859</v>
      </c>
      <c r="H239" s="15"/>
      <c r="I239" s="7" t="s">
        <v>793</v>
      </c>
      <c r="J239" s="8" t="str">
        <f>VLOOKUP(I239,Customers[#Data],2,FALSE)</f>
        <v>ဖြိုးဝေဝင်း</v>
      </c>
      <c r="K239" s="15" t="str">
        <f>VLOOKUP(I239,Customers[#Data],4,FALSE)</f>
        <v>Maw La Myaing</v>
      </c>
      <c r="L239" s="15" t="str">
        <f>VLOOKUP(I239,Customers[#Data],5,FALSE)</f>
        <v>Van Sales</v>
      </c>
      <c r="M239" s="7" t="s">
        <v>6</v>
      </c>
      <c r="N239" s="7" t="s">
        <v>508</v>
      </c>
      <c r="O239" s="14" t="str">
        <f>VLOOKUP(N239,Stock[#Data],2,FALSE)</f>
        <v>ကောင်းကြည်-1Li</v>
      </c>
      <c r="P239" s="44">
        <f>VLOOKUP(N239,Stock[#Data],3,FALSE)</f>
        <v>1</v>
      </c>
      <c r="Q239" s="3">
        <f>VLOOKUP(N239,Stock[#Data],4,FALSE)</f>
        <v>12</v>
      </c>
      <c r="R239" s="11"/>
      <c r="S239" s="45">
        <f>IFERROR(Table4[[#This Row],[Bottle]]/Table4[[#This Row],[ပါဝင်မှု]]+Table4[[#This Row],[SalesPK]],0)</f>
        <v>1</v>
      </c>
      <c r="T239" s="12">
        <v>1</v>
      </c>
      <c r="U239" s="10">
        <f>Table4[[#This Row],[ပါဝင်မှု]]*Table4[[#This Row],[SalesPK]]+Table4[[#This Row],[Bottle]]</f>
        <v>12</v>
      </c>
      <c r="V239" s="10">
        <f>Table4[[#This Row],[SalesBot]]*Table4[[#This Row],[ML]]</f>
        <v>12</v>
      </c>
      <c r="W239" s="1">
        <f>VLOOKUP(N239,Stock[#Data],6,FALSE)</f>
        <v>1850</v>
      </c>
      <c r="X239" s="8">
        <f>+Table4[[#This Row],[SalesBot]]*Table4[[#This Row],[နှုံး]]</f>
        <v>22200</v>
      </c>
      <c r="Y239" s="12"/>
      <c r="Z239" s="12"/>
      <c r="AA239" s="12"/>
      <c r="AB239" s="9"/>
      <c r="AC239" s="12">
        <v>22200</v>
      </c>
      <c r="AD239" s="9"/>
      <c r="AE239" s="12"/>
      <c r="AF23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39" s="24"/>
      <c r="AH239" s="266">
        <f>Table4[[#This Row],[Date]]</f>
        <v>46036</v>
      </c>
      <c r="AI239" s="264" t="str">
        <f t="shared" si="34"/>
        <v>Jan</v>
      </c>
      <c r="AJ239" s="264" t="str">
        <f t="shared" si="35"/>
        <v>2026</v>
      </c>
      <c r="AK239" s="270" t="str">
        <f>Table4[[#This Row],[ကုန်သည်အမည်]]</f>
        <v>ဖြိုးဝေဝင်း</v>
      </c>
      <c r="AL239" s="270" t="str">
        <f>Table4[[#This Row],[Township]]</f>
        <v>Maw La Myaing</v>
      </c>
      <c r="AM239" s="271" t="str">
        <f>Table4[[#This Row],[WholeSales]]</f>
        <v>Van Sales</v>
      </c>
      <c r="AN239" s="272" t="str">
        <f>Table4[[#This Row],[Particular]]</f>
        <v>ကုန်ရောင်း(လက်ငင်း)</v>
      </c>
      <c r="AO239" s="273" t="str">
        <f>Table4[[#This Row],[StockName]]</f>
        <v>ကောင်းကြည်-1Li</v>
      </c>
      <c r="AP239" s="268">
        <f>Table4[[#This Row],[Parking]]</f>
        <v>1</v>
      </c>
      <c r="AQ239" s="268">
        <f>Table4[[#This Row],[SalesBot]]</f>
        <v>12</v>
      </c>
      <c r="AR239" s="268">
        <f>Table4[[#This Row],[Liter]]</f>
        <v>12</v>
      </c>
    </row>
    <row r="240" spans="1:44" s="16" customFormat="1" hidden="1" x14ac:dyDescent="0.5">
      <c r="A240" s="3">
        <f t="shared" si="40"/>
        <v>2026</v>
      </c>
      <c r="B240" s="8">
        <f t="shared" si="41"/>
        <v>1</v>
      </c>
      <c r="C240" s="6">
        <v>46036</v>
      </c>
      <c r="D240" s="15">
        <f t="shared" ca="1" si="42"/>
        <v>46097</v>
      </c>
      <c r="E240" s="15" t="str">
        <f t="shared" ca="1" si="43"/>
        <v>2-Months</v>
      </c>
      <c r="F240" s="8" t="str">
        <f>VLOOKUP(N240,Stock[#Data],5,FALSE)</f>
        <v>BE</v>
      </c>
      <c r="G240" s="82" t="s">
        <v>859</v>
      </c>
      <c r="H240" s="15"/>
      <c r="I240" s="7" t="s">
        <v>793</v>
      </c>
      <c r="J240" s="8" t="str">
        <f>VLOOKUP(I240,Customers[#Data],2,FALSE)</f>
        <v>ဖြိုးဝေဝင်း</v>
      </c>
      <c r="K240" s="15" t="str">
        <f>VLOOKUP(I240,Customers[#Data],4,FALSE)</f>
        <v>Maw La Myaing</v>
      </c>
      <c r="L240" s="15" t="str">
        <f>VLOOKUP(I240,Customers[#Data],5,FALSE)</f>
        <v>Van Sales</v>
      </c>
      <c r="M240" s="7" t="s">
        <v>6</v>
      </c>
      <c r="N240" s="7" t="s">
        <v>425</v>
      </c>
      <c r="O240" s="14" t="str">
        <f>VLOOKUP(N240,Stock[#Data],2,FALSE)</f>
        <v>ကောင်းကြည်-1Li</v>
      </c>
      <c r="P240" s="44">
        <f>VLOOKUP(N240,Stock[#Data],3,FALSE)</f>
        <v>1</v>
      </c>
      <c r="Q240" s="3">
        <f>VLOOKUP(N240,Stock[#Data],4,FALSE)</f>
        <v>12</v>
      </c>
      <c r="R240" s="11"/>
      <c r="S240" s="45">
        <f>IFERROR(Table4[[#This Row],[Bottle]]/Table4[[#This Row],[ပါဝင်မှု]]+Table4[[#This Row],[SalesPK]],0)</f>
        <v>1</v>
      </c>
      <c r="T240" s="12">
        <v>1</v>
      </c>
      <c r="U240" s="10">
        <f>Table4[[#This Row],[ပါဝင်မှု]]*Table4[[#This Row],[SalesPK]]+Table4[[#This Row],[Bottle]]</f>
        <v>12</v>
      </c>
      <c r="V240" s="10">
        <f>Table4[[#This Row],[SalesBot]]*Table4[[#This Row],[ML]]</f>
        <v>12</v>
      </c>
      <c r="W240" s="1">
        <f>VLOOKUP(N240,Stock[#Data],6,FALSE)</f>
        <v>1500</v>
      </c>
      <c r="X240" s="8">
        <f>+Table4[[#This Row],[SalesBot]]*Table4[[#This Row],[နှုံး]]</f>
        <v>18000</v>
      </c>
      <c r="Y240" s="12"/>
      <c r="Z240" s="12"/>
      <c r="AA240" s="12"/>
      <c r="AB240" s="9"/>
      <c r="AC240" s="12">
        <v>18000</v>
      </c>
      <c r="AD240" s="9"/>
      <c r="AE240" s="12"/>
      <c r="AF24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40" s="24"/>
      <c r="AH240" s="266">
        <f>Table4[[#This Row],[Date]]</f>
        <v>46036</v>
      </c>
      <c r="AI240" s="264" t="str">
        <f t="shared" si="34"/>
        <v>Jan</v>
      </c>
      <c r="AJ240" s="264" t="str">
        <f t="shared" si="35"/>
        <v>2026</v>
      </c>
      <c r="AK240" s="270" t="str">
        <f>Table4[[#This Row],[ကုန်သည်အမည်]]</f>
        <v>ဖြိုးဝေဝင်း</v>
      </c>
      <c r="AL240" s="270" t="str">
        <f>Table4[[#This Row],[Township]]</f>
        <v>Maw La Myaing</v>
      </c>
      <c r="AM240" s="271" t="str">
        <f>Table4[[#This Row],[WholeSales]]</f>
        <v>Van Sales</v>
      </c>
      <c r="AN240" s="272" t="str">
        <f>Table4[[#This Row],[Particular]]</f>
        <v>ကုန်ရောင်း(လက်ငင်း)</v>
      </c>
      <c r="AO240" s="273" t="str">
        <f>Table4[[#This Row],[StockName]]</f>
        <v>ကောင်းကြည်-1Li</v>
      </c>
      <c r="AP240" s="268">
        <f>Table4[[#This Row],[Parking]]</f>
        <v>1</v>
      </c>
      <c r="AQ240" s="268">
        <f>Table4[[#This Row],[SalesBot]]</f>
        <v>12</v>
      </c>
      <c r="AR240" s="268">
        <f>Table4[[#This Row],[Liter]]</f>
        <v>12</v>
      </c>
    </row>
    <row r="241" spans="1:44" s="16" customFormat="1" hidden="1" x14ac:dyDescent="0.5">
      <c r="A241" s="3">
        <f t="shared" si="40"/>
        <v>2026</v>
      </c>
      <c r="B241" s="8">
        <f t="shared" si="41"/>
        <v>1</v>
      </c>
      <c r="C241" s="6">
        <v>46036</v>
      </c>
      <c r="D241" s="15">
        <f t="shared" ca="1" si="42"/>
        <v>46097</v>
      </c>
      <c r="E241" s="15" t="str">
        <f t="shared" ca="1" si="43"/>
        <v>2-Months</v>
      </c>
      <c r="F241" s="8" t="str">
        <f>VLOOKUP(N241,Stock[#Data],5,FALSE)</f>
        <v>BE</v>
      </c>
      <c r="G241" s="82" t="s">
        <v>860</v>
      </c>
      <c r="H241" s="15"/>
      <c r="I241" s="7" t="s">
        <v>77</v>
      </c>
      <c r="J241" s="8" t="str">
        <f>VLOOKUP(I241,Customers[#Data],2,FALSE)</f>
        <v>KP</v>
      </c>
      <c r="K241" s="15" t="str">
        <f>VLOOKUP(I241,Customers[#Data],4,FALSE)</f>
        <v>Maw La Myaing</v>
      </c>
      <c r="L241" s="15" t="str">
        <f>VLOOKUP(I241,Customers[#Data],5,FALSE)</f>
        <v>SemiWholeSales</v>
      </c>
      <c r="M241" s="7" t="s">
        <v>6</v>
      </c>
      <c r="N241" s="7" t="s">
        <v>522</v>
      </c>
      <c r="O241" s="14" t="str">
        <f>VLOOKUP(N241,Stock[#Data],2,FALSE)</f>
        <v>ဒဂုံမန်ကျည်း ကော်ဘူး (1 Liter)</v>
      </c>
      <c r="P241" s="44">
        <f>VLOOKUP(N241,Stock[#Data],3,FALSE)</f>
        <v>1</v>
      </c>
      <c r="Q241" s="3">
        <f>VLOOKUP(N241,Stock[#Data],4,FALSE)</f>
        <v>12</v>
      </c>
      <c r="R241" s="11">
        <v>2</v>
      </c>
      <c r="S241" s="45">
        <f>IFERROR(Table4[[#This Row],[Bottle]]/Table4[[#This Row],[ပါဝင်မှု]]+Table4[[#This Row],[SalesPK]],0)</f>
        <v>0.16666666666666666</v>
      </c>
      <c r="T241" s="12"/>
      <c r="U241" s="10">
        <f>Table4[[#This Row],[ပါဝင်မှု]]*Table4[[#This Row],[SalesPK]]+Table4[[#This Row],[Bottle]]</f>
        <v>2</v>
      </c>
      <c r="V241" s="10">
        <f>Table4[[#This Row],[SalesBot]]*Table4[[#This Row],[ML]]</f>
        <v>2</v>
      </c>
      <c r="W241" s="1">
        <f>VLOOKUP(N241,Stock[#Data],6,FALSE)</f>
        <v>1600</v>
      </c>
      <c r="X241" s="8">
        <f>+Table4[[#This Row],[SalesBot]]*Table4[[#This Row],[နှုံး]]</f>
        <v>3200</v>
      </c>
      <c r="Y241" s="12"/>
      <c r="Z241" s="12"/>
      <c r="AA241" s="12"/>
      <c r="AB241" s="9"/>
      <c r="AC241" s="12">
        <v>3200</v>
      </c>
      <c r="AD241" s="9"/>
      <c r="AE241" s="12"/>
      <c r="AF24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41" s="24"/>
      <c r="AH241" s="266">
        <f>Table4[[#This Row],[Date]]</f>
        <v>46036</v>
      </c>
      <c r="AI241" s="264" t="str">
        <f t="shared" si="34"/>
        <v>Jan</v>
      </c>
      <c r="AJ241" s="264" t="str">
        <f t="shared" si="35"/>
        <v>2026</v>
      </c>
      <c r="AK241" s="270" t="str">
        <f>Table4[[#This Row],[ကုန်သည်အမည်]]</f>
        <v>KP</v>
      </c>
      <c r="AL241" s="270" t="str">
        <f>Table4[[#This Row],[Township]]</f>
        <v>Maw La Myaing</v>
      </c>
      <c r="AM241" s="271" t="str">
        <f>Table4[[#This Row],[WholeSales]]</f>
        <v>SemiWholeSales</v>
      </c>
      <c r="AN241" s="272" t="str">
        <f>Table4[[#This Row],[Particular]]</f>
        <v>ကုန်ရောင်း(လက်ငင်း)</v>
      </c>
      <c r="AO241" s="273" t="str">
        <f>Table4[[#This Row],[StockName]]</f>
        <v>ဒဂုံမန်ကျည်း ကော်ဘူး (1 Liter)</v>
      </c>
      <c r="AP241" s="268">
        <f>Table4[[#This Row],[Parking]]</f>
        <v>0.16666666666666666</v>
      </c>
      <c r="AQ241" s="268">
        <f>Table4[[#This Row],[SalesBot]]</f>
        <v>2</v>
      </c>
      <c r="AR241" s="268">
        <f>Table4[[#This Row],[Liter]]</f>
        <v>2</v>
      </c>
    </row>
    <row r="242" spans="1:44" s="16" customFormat="1" hidden="1" x14ac:dyDescent="0.5">
      <c r="A242" s="3">
        <f t="shared" si="40"/>
        <v>2026</v>
      </c>
      <c r="B242" s="8">
        <f t="shared" si="41"/>
        <v>1</v>
      </c>
      <c r="C242" s="6">
        <v>46036</v>
      </c>
      <c r="D242" s="15">
        <f t="shared" ca="1" si="42"/>
        <v>46097</v>
      </c>
      <c r="E242" s="15" t="str">
        <f t="shared" ca="1" si="43"/>
        <v>2-Months</v>
      </c>
      <c r="F242" s="8" t="str">
        <f>VLOOKUP(N242,Stock[#Data],5,FALSE)</f>
        <v>BE</v>
      </c>
      <c r="G242" s="82" t="s">
        <v>860</v>
      </c>
      <c r="H242" s="15"/>
      <c r="I242" s="7" t="s">
        <v>77</v>
      </c>
      <c r="J242" s="8" t="str">
        <f>VLOOKUP(I242,Customers[#Data],2,FALSE)</f>
        <v>KP</v>
      </c>
      <c r="K242" s="15" t="str">
        <f>VLOOKUP(I242,Customers[#Data],4,FALSE)</f>
        <v>Maw La Myaing</v>
      </c>
      <c r="L242" s="15" t="str">
        <f>VLOOKUP(I242,Customers[#Data],5,FALSE)</f>
        <v>SemiWholeSales</v>
      </c>
      <c r="M242" s="7" t="s">
        <v>6</v>
      </c>
      <c r="N242" s="7" t="s">
        <v>508</v>
      </c>
      <c r="O242" s="14" t="str">
        <f>VLOOKUP(N242,Stock[#Data],2,FALSE)</f>
        <v>ကောင်းကြည်-1Li</v>
      </c>
      <c r="P242" s="44">
        <f>VLOOKUP(N242,Stock[#Data],3,FALSE)</f>
        <v>1</v>
      </c>
      <c r="Q242" s="3">
        <f>VLOOKUP(N242,Stock[#Data],4,FALSE)</f>
        <v>12</v>
      </c>
      <c r="R242" s="11">
        <v>2</v>
      </c>
      <c r="S242" s="45">
        <f>IFERROR(Table4[[#This Row],[Bottle]]/Table4[[#This Row],[ပါဝင်မှု]]+Table4[[#This Row],[SalesPK]],0)</f>
        <v>0.16666666666666666</v>
      </c>
      <c r="T242" s="12"/>
      <c r="U242" s="10">
        <f>Table4[[#This Row],[ပါဝင်မှု]]*Table4[[#This Row],[SalesPK]]+Table4[[#This Row],[Bottle]]</f>
        <v>2</v>
      </c>
      <c r="V242" s="10">
        <f>Table4[[#This Row],[SalesBot]]*Table4[[#This Row],[ML]]</f>
        <v>2</v>
      </c>
      <c r="W242" s="1">
        <f>VLOOKUP(N242,Stock[#Data],6,FALSE)</f>
        <v>1850</v>
      </c>
      <c r="X242" s="8">
        <f>+Table4[[#This Row],[SalesBot]]*Table4[[#This Row],[နှုံး]]</f>
        <v>3700</v>
      </c>
      <c r="Y242" s="12"/>
      <c r="Z242" s="12"/>
      <c r="AA242" s="12"/>
      <c r="AB242" s="9"/>
      <c r="AC242" s="12">
        <v>3700</v>
      </c>
      <c r="AD242" s="9"/>
      <c r="AE242" s="12"/>
      <c r="AF24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42" s="24"/>
      <c r="AH242" s="266">
        <f>Table4[[#This Row],[Date]]</f>
        <v>46036</v>
      </c>
      <c r="AI242" s="264" t="str">
        <f t="shared" si="34"/>
        <v>Jan</v>
      </c>
      <c r="AJ242" s="264" t="str">
        <f t="shared" si="35"/>
        <v>2026</v>
      </c>
      <c r="AK242" s="270" t="str">
        <f>Table4[[#This Row],[ကုန်သည်အမည်]]</f>
        <v>KP</v>
      </c>
      <c r="AL242" s="270" t="str">
        <f>Table4[[#This Row],[Township]]</f>
        <v>Maw La Myaing</v>
      </c>
      <c r="AM242" s="271" t="str">
        <f>Table4[[#This Row],[WholeSales]]</f>
        <v>SemiWholeSales</v>
      </c>
      <c r="AN242" s="272" t="str">
        <f>Table4[[#This Row],[Particular]]</f>
        <v>ကုန်ရောင်း(လက်ငင်း)</v>
      </c>
      <c r="AO242" s="273" t="str">
        <f>Table4[[#This Row],[StockName]]</f>
        <v>ကောင်းကြည်-1Li</v>
      </c>
      <c r="AP242" s="268">
        <f>Table4[[#This Row],[Parking]]</f>
        <v>0.16666666666666666</v>
      </c>
      <c r="AQ242" s="268">
        <f>Table4[[#This Row],[SalesBot]]</f>
        <v>2</v>
      </c>
      <c r="AR242" s="268">
        <f>Table4[[#This Row],[Liter]]</f>
        <v>2</v>
      </c>
    </row>
    <row r="243" spans="1:44" s="16" customFormat="1" hidden="1" x14ac:dyDescent="0.5">
      <c r="A243" s="3">
        <f t="shared" si="40"/>
        <v>2026</v>
      </c>
      <c r="B243" s="8">
        <f t="shared" si="41"/>
        <v>1</v>
      </c>
      <c r="C243" s="6">
        <v>46036</v>
      </c>
      <c r="D243" s="15">
        <f t="shared" ca="1" si="42"/>
        <v>46097</v>
      </c>
      <c r="E243" s="15" t="str">
        <f t="shared" ca="1" si="43"/>
        <v>2-Months</v>
      </c>
      <c r="F243" s="8" t="str">
        <f>VLOOKUP(N243,Stock[#Data],5,FALSE)</f>
        <v>BE</v>
      </c>
      <c r="G243" s="82" t="s">
        <v>860</v>
      </c>
      <c r="H243" s="15"/>
      <c r="I243" s="7" t="s">
        <v>77</v>
      </c>
      <c r="J243" s="8" t="str">
        <f>VLOOKUP(I243,Customers[#Data],2,FALSE)</f>
        <v>KP</v>
      </c>
      <c r="K243" s="15" t="str">
        <f>VLOOKUP(I243,Customers[#Data],4,FALSE)</f>
        <v>Maw La Myaing</v>
      </c>
      <c r="L243" s="15" t="str">
        <f>VLOOKUP(I243,Customers[#Data],5,FALSE)</f>
        <v>SemiWholeSales</v>
      </c>
      <c r="M243" s="7" t="s">
        <v>6</v>
      </c>
      <c r="N243" s="7" t="s">
        <v>425</v>
      </c>
      <c r="O243" s="14" t="str">
        <f>VLOOKUP(N243,Stock[#Data],2,FALSE)</f>
        <v>ကောင်းကြည်-1Li</v>
      </c>
      <c r="P243" s="44">
        <f>VLOOKUP(N243,Stock[#Data],3,FALSE)</f>
        <v>1</v>
      </c>
      <c r="Q243" s="3">
        <f>VLOOKUP(N243,Stock[#Data],4,FALSE)</f>
        <v>12</v>
      </c>
      <c r="R243" s="11">
        <v>2</v>
      </c>
      <c r="S243" s="45">
        <f>IFERROR(Table4[[#This Row],[Bottle]]/Table4[[#This Row],[ပါဝင်မှု]]+Table4[[#This Row],[SalesPK]],0)</f>
        <v>0.16666666666666666</v>
      </c>
      <c r="T243" s="12"/>
      <c r="U243" s="10">
        <f>Table4[[#This Row],[ပါဝင်မှု]]*Table4[[#This Row],[SalesPK]]+Table4[[#This Row],[Bottle]]</f>
        <v>2</v>
      </c>
      <c r="V243" s="10">
        <f>Table4[[#This Row],[SalesBot]]*Table4[[#This Row],[ML]]</f>
        <v>2</v>
      </c>
      <c r="W243" s="1">
        <f>VLOOKUP(N243,Stock[#Data],6,FALSE)</f>
        <v>1500</v>
      </c>
      <c r="X243" s="8">
        <f>+Table4[[#This Row],[SalesBot]]*Table4[[#This Row],[နှုံး]]</f>
        <v>3000</v>
      </c>
      <c r="Y243" s="12"/>
      <c r="Z243" s="12"/>
      <c r="AA243" s="12"/>
      <c r="AB243" s="9"/>
      <c r="AC243" s="12">
        <v>3000</v>
      </c>
      <c r="AD243" s="9"/>
      <c r="AE243" s="12"/>
      <c r="AF24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43" s="24"/>
      <c r="AH243" s="266">
        <f>Table4[[#This Row],[Date]]</f>
        <v>46036</v>
      </c>
      <c r="AI243" s="264" t="str">
        <f t="shared" si="34"/>
        <v>Jan</v>
      </c>
      <c r="AJ243" s="264" t="str">
        <f t="shared" si="35"/>
        <v>2026</v>
      </c>
      <c r="AK243" s="270" t="str">
        <f>Table4[[#This Row],[ကုန်သည်အမည်]]</f>
        <v>KP</v>
      </c>
      <c r="AL243" s="270" t="str">
        <f>Table4[[#This Row],[Township]]</f>
        <v>Maw La Myaing</v>
      </c>
      <c r="AM243" s="271" t="str">
        <f>Table4[[#This Row],[WholeSales]]</f>
        <v>SemiWholeSales</v>
      </c>
      <c r="AN243" s="272" t="str">
        <f>Table4[[#This Row],[Particular]]</f>
        <v>ကုန်ရောင်း(လက်ငင်း)</v>
      </c>
      <c r="AO243" s="273" t="str">
        <f>Table4[[#This Row],[StockName]]</f>
        <v>ကောင်းကြည်-1Li</v>
      </c>
      <c r="AP243" s="268">
        <f>Table4[[#This Row],[Parking]]</f>
        <v>0.16666666666666666</v>
      </c>
      <c r="AQ243" s="268">
        <f>Table4[[#This Row],[SalesBot]]</f>
        <v>2</v>
      </c>
      <c r="AR243" s="268">
        <f>Table4[[#This Row],[Liter]]</f>
        <v>2</v>
      </c>
    </row>
    <row r="244" spans="1:44" s="16" customFormat="1" hidden="1" x14ac:dyDescent="0.5">
      <c r="A244" s="3">
        <f t="shared" si="40"/>
        <v>2026</v>
      </c>
      <c r="B244" s="8">
        <f t="shared" si="41"/>
        <v>1</v>
      </c>
      <c r="C244" s="6">
        <v>46036</v>
      </c>
      <c r="D244" s="15">
        <f t="shared" ca="1" si="42"/>
        <v>46097</v>
      </c>
      <c r="E244" s="15" t="str">
        <f t="shared" ca="1" si="43"/>
        <v>2-Months</v>
      </c>
      <c r="F244" s="8" t="str">
        <f>VLOOKUP(N244,Stock[#Data],5,FALSE)</f>
        <v>BE</v>
      </c>
      <c r="G244" s="82" t="s">
        <v>860</v>
      </c>
      <c r="H244" s="15"/>
      <c r="I244" s="7" t="s">
        <v>784</v>
      </c>
      <c r="J244" s="8" t="str">
        <f>VLOOKUP(I244,Customers[#Data],2,FALSE)</f>
        <v>မသီ</v>
      </c>
      <c r="K244" s="15" t="str">
        <f>VLOOKUP(I244,Customers[#Data],4,FALSE)</f>
        <v>Maw La Myaing</v>
      </c>
      <c r="L244" s="15" t="str">
        <f>VLOOKUP(I244,Customers[#Data],5,FALSE)</f>
        <v>Van Sales</v>
      </c>
      <c r="M244" s="7" t="s">
        <v>6</v>
      </c>
      <c r="N244" s="7" t="s">
        <v>522</v>
      </c>
      <c r="O244" s="14" t="str">
        <f>VLOOKUP(N244,Stock[#Data],2,FALSE)</f>
        <v>ဒဂုံမန်ကျည်း ကော်ဘူး (1 Liter)</v>
      </c>
      <c r="P244" s="44">
        <f>VLOOKUP(N244,Stock[#Data],3,FALSE)</f>
        <v>1</v>
      </c>
      <c r="Q244" s="3">
        <f>VLOOKUP(N244,Stock[#Data],4,FALSE)</f>
        <v>12</v>
      </c>
      <c r="R244" s="11">
        <v>5</v>
      </c>
      <c r="S244" s="45">
        <f>IFERROR(Table4[[#This Row],[Bottle]]/Table4[[#This Row],[ပါဝင်မှု]]+Table4[[#This Row],[SalesPK]],0)</f>
        <v>0.41666666666666669</v>
      </c>
      <c r="T244" s="12"/>
      <c r="U244" s="10">
        <f>Table4[[#This Row],[ပါဝင်မှု]]*Table4[[#This Row],[SalesPK]]+Table4[[#This Row],[Bottle]]</f>
        <v>5</v>
      </c>
      <c r="V244" s="10">
        <f>Table4[[#This Row],[SalesBot]]*Table4[[#This Row],[ML]]</f>
        <v>5</v>
      </c>
      <c r="W244" s="1">
        <f>VLOOKUP(N244,Stock[#Data],6,FALSE)</f>
        <v>1600</v>
      </c>
      <c r="X244" s="8">
        <f>+Table4[[#This Row],[SalesBot]]*Table4[[#This Row],[နှုံး]]</f>
        <v>8000</v>
      </c>
      <c r="Y244" s="12"/>
      <c r="Z244" s="12"/>
      <c r="AA244" s="12"/>
      <c r="AB244" s="9"/>
      <c r="AC244" s="12">
        <v>8000</v>
      </c>
      <c r="AD244" s="9"/>
      <c r="AE244" s="12"/>
      <c r="AF24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44" s="24"/>
      <c r="AH244" s="266">
        <f>Table4[[#This Row],[Date]]</f>
        <v>46036</v>
      </c>
      <c r="AI244" s="264" t="str">
        <f t="shared" si="34"/>
        <v>Jan</v>
      </c>
      <c r="AJ244" s="264" t="str">
        <f t="shared" si="35"/>
        <v>2026</v>
      </c>
      <c r="AK244" s="270" t="str">
        <f>Table4[[#This Row],[ကုန်သည်အမည်]]</f>
        <v>မသီ</v>
      </c>
      <c r="AL244" s="270" t="str">
        <f>Table4[[#This Row],[Township]]</f>
        <v>Maw La Myaing</v>
      </c>
      <c r="AM244" s="271" t="str">
        <f>Table4[[#This Row],[WholeSales]]</f>
        <v>Van Sales</v>
      </c>
      <c r="AN244" s="272" t="str">
        <f>Table4[[#This Row],[Particular]]</f>
        <v>ကုန်ရောင်း(လက်ငင်း)</v>
      </c>
      <c r="AO244" s="273" t="str">
        <f>Table4[[#This Row],[StockName]]</f>
        <v>ဒဂုံမန်ကျည်း ကော်ဘူး (1 Liter)</v>
      </c>
      <c r="AP244" s="268">
        <f>Table4[[#This Row],[Parking]]</f>
        <v>0.41666666666666669</v>
      </c>
      <c r="AQ244" s="268">
        <f>Table4[[#This Row],[SalesBot]]</f>
        <v>5</v>
      </c>
      <c r="AR244" s="268">
        <f>Table4[[#This Row],[Liter]]</f>
        <v>5</v>
      </c>
    </row>
    <row r="245" spans="1:44" s="16" customFormat="1" hidden="1" x14ac:dyDescent="0.5">
      <c r="A245" s="3">
        <f t="shared" si="40"/>
        <v>2026</v>
      </c>
      <c r="B245" s="8">
        <f t="shared" si="41"/>
        <v>1</v>
      </c>
      <c r="C245" s="6">
        <v>46036</v>
      </c>
      <c r="D245" s="15">
        <f t="shared" ca="1" si="42"/>
        <v>46097</v>
      </c>
      <c r="E245" s="15" t="str">
        <f t="shared" ca="1" si="43"/>
        <v>2-Months</v>
      </c>
      <c r="F245" s="8" t="str">
        <f>VLOOKUP(N245,Stock[#Data],5,FALSE)</f>
        <v>BE</v>
      </c>
      <c r="G245" s="82" t="s">
        <v>860</v>
      </c>
      <c r="H245" s="15"/>
      <c r="I245" s="7" t="s">
        <v>784</v>
      </c>
      <c r="J245" s="8" t="str">
        <f>VLOOKUP(I245,Customers[#Data],2,FALSE)</f>
        <v>မသီ</v>
      </c>
      <c r="K245" s="15" t="str">
        <f>VLOOKUP(I245,Customers[#Data],4,FALSE)</f>
        <v>Maw La Myaing</v>
      </c>
      <c r="L245" s="15" t="str">
        <f>VLOOKUP(I245,Customers[#Data],5,FALSE)</f>
        <v>Van Sales</v>
      </c>
      <c r="M245" s="7" t="s">
        <v>6</v>
      </c>
      <c r="N245" s="7" t="s">
        <v>508</v>
      </c>
      <c r="O245" s="14" t="str">
        <f>VLOOKUP(N245,Stock[#Data],2,FALSE)</f>
        <v>ကောင်းကြည်-1Li</v>
      </c>
      <c r="P245" s="44">
        <f>VLOOKUP(N245,Stock[#Data],3,FALSE)</f>
        <v>1</v>
      </c>
      <c r="Q245" s="3">
        <f>VLOOKUP(N245,Stock[#Data],4,FALSE)</f>
        <v>12</v>
      </c>
      <c r="R245" s="11">
        <v>6</v>
      </c>
      <c r="S245" s="45">
        <f>IFERROR(Table4[[#This Row],[Bottle]]/Table4[[#This Row],[ပါဝင်မှု]]+Table4[[#This Row],[SalesPK]],0)</f>
        <v>0.5</v>
      </c>
      <c r="T245" s="12"/>
      <c r="U245" s="10">
        <f>Table4[[#This Row],[ပါဝင်မှု]]*Table4[[#This Row],[SalesPK]]+Table4[[#This Row],[Bottle]]</f>
        <v>6</v>
      </c>
      <c r="V245" s="10">
        <f>Table4[[#This Row],[SalesBot]]*Table4[[#This Row],[ML]]</f>
        <v>6</v>
      </c>
      <c r="W245" s="1">
        <f>VLOOKUP(N245,Stock[#Data],6,FALSE)</f>
        <v>1850</v>
      </c>
      <c r="X245" s="8">
        <f>+Table4[[#This Row],[SalesBot]]*Table4[[#This Row],[နှုံး]]</f>
        <v>11100</v>
      </c>
      <c r="Y245" s="12"/>
      <c r="Z245" s="12"/>
      <c r="AA245" s="12"/>
      <c r="AB245" s="9"/>
      <c r="AC245" s="12">
        <v>11100</v>
      </c>
      <c r="AD245" s="9"/>
      <c r="AE245" s="12"/>
      <c r="AF24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45" s="24"/>
      <c r="AH245" s="266">
        <f>Table4[[#This Row],[Date]]</f>
        <v>46036</v>
      </c>
      <c r="AI245" s="264" t="str">
        <f t="shared" si="34"/>
        <v>Jan</v>
      </c>
      <c r="AJ245" s="264" t="str">
        <f t="shared" si="35"/>
        <v>2026</v>
      </c>
      <c r="AK245" s="270" t="str">
        <f>Table4[[#This Row],[ကုန်သည်အမည်]]</f>
        <v>မသီ</v>
      </c>
      <c r="AL245" s="270" t="str">
        <f>Table4[[#This Row],[Township]]</f>
        <v>Maw La Myaing</v>
      </c>
      <c r="AM245" s="271" t="str">
        <f>Table4[[#This Row],[WholeSales]]</f>
        <v>Van Sales</v>
      </c>
      <c r="AN245" s="272" t="str">
        <f>Table4[[#This Row],[Particular]]</f>
        <v>ကုန်ရောင်း(လက်ငင်း)</v>
      </c>
      <c r="AO245" s="273" t="str">
        <f>Table4[[#This Row],[StockName]]</f>
        <v>ကောင်းကြည်-1Li</v>
      </c>
      <c r="AP245" s="268">
        <f>Table4[[#This Row],[Parking]]</f>
        <v>0.5</v>
      </c>
      <c r="AQ245" s="268">
        <f>Table4[[#This Row],[SalesBot]]</f>
        <v>6</v>
      </c>
      <c r="AR245" s="268">
        <f>Table4[[#This Row],[Liter]]</f>
        <v>6</v>
      </c>
    </row>
    <row r="246" spans="1:44" s="16" customFormat="1" hidden="1" x14ac:dyDescent="0.5">
      <c r="A246" s="3">
        <f t="shared" si="40"/>
        <v>2026</v>
      </c>
      <c r="B246" s="8">
        <f t="shared" si="41"/>
        <v>1</v>
      </c>
      <c r="C246" s="6">
        <v>46036</v>
      </c>
      <c r="D246" s="15">
        <f t="shared" ca="1" si="42"/>
        <v>46097</v>
      </c>
      <c r="E246" s="15" t="str">
        <f t="shared" ca="1" si="43"/>
        <v>2-Months</v>
      </c>
      <c r="F246" s="8" t="str">
        <f>VLOOKUP(N246,Stock[#Data],5,FALSE)</f>
        <v>BE</v>
      </c>
      <c r="G246" s="82" t="s">
        <v>860</v>
      </c>
      <c r="H246" s="15"/>
      <c r="I246" s="7" t="s">
        <v>784</v>
      </c>
      <c r="J246" s="8" t="str">
        <f>VLOOKUP(I246,Customers[#Data],2,FALSE)</f>
        <v>မသီ</v>
      </c>
      <c r="K246" s="15" t="str">
        <f>VLOOKUP(I246,Customers[#Data],4,FALSE)</f>
        <v>Maw La Myaing</v>
      </c>
      <c r="L246" s="15" t="str">
        <f>VLOOKUP(I246,Customers[#Data],5,FALSE)</f>
        <v>Van Sales</v>
      </c>
      <c r="M246" s="7" t="s">
        <v>6</v>
      </c>
      <c r="N246" s="7" t="s">
        <v>425</v>
      </c>
      <c r="O246" s="14" t="str">
        <f>VLOOKUP(N246,Stock[#Data],2,FALSE)</f>
        <v>ကောင်းကြည်-1Li</v>
      </c>
      <c r="P246" s="44">
        <f>VLOOKUP(N246,Stock[#Data],3,FALSE)</f>
        <v>1</v>
      </c>
      <c r="Q246" s="3">
        <f>VLOOKUP(N246,Stock[#Data],4,FALSE)</f>
        <v>12</v>
      </c>
      <c r="R246" s="11">
        <v>6</v>
      </c>
      <c r="S246" s="45">
        <f>IFERROR(Table4[[#This Row],[Bottle]]/Table4[[#This Row],[ပါဝင်မှု]]+Table4[[#This Row],[SalesPK]],0)</f>
        <v>0.5</v>
      </c>
      <c r="T246" s="12"/>
      <c r="U246" s="10">
        <f>Table4[[#This Row],[ပါဝင်မှု]]*Table4[[#This Row],[SalesPK]]+Table4[[#This Row],[Bottle]]</f>
        <v>6</v>
      </c>
      <c r="V246" s="10">
        <f>Table4[[#This Row],[SalesBot]]*Table4[[#This Row],[ML]]</f>
        <v>6</v>
      </c>
      <c r="W246" s="1">
        <f>VLOOKUP(N246,Stock[#Data],6,FALSE)</f>
        <v>1500</v>
      </c>
      <c r="X246" s="8">
        <f>+Table4[[#This Row],[SalesBot]]*Table4[[#This Row],[နှုံး]]</f>
        <v>9000</v>
      </c>
      <c r="Y246" s="12"/>
      <c r="Z246" s="12"/>
      <c r="AA246" s="12"/>
      <c r="AB246" s="9"/>
      <c r="AC246" s="12">
        <v>9000</v>
      </c>
      <c r="AD246" s="9"/>
      <c r="AE246" s="12"/>
      <c r="AF24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46" s="24"/>
      <c r="AH246" s="266">
        <f>Table4[[#This Row],[Date]]</f>
        <v>46036</v>
      </c>
      <c r="AI246" s="264" t="str">
        <f t="shared" si="34"/>
        <v>Jan</v>
      </c>
      <c r="AJ246" s="264" t="str">
        <f t="shared" si="35"/>
        <v>2026</v>
      </c>
      <c r="AK246" s="270" t="str">
        <f>Table4[[#This Row],[ကုန်သည်အမည်]]</f>
        <v>မသီ</v>
      </c>
      <c r="AL246" s="270" t="str">
        <f>Table4[[#This Row],[Township]]</f>
        <v>Maw La Myaing</v>
      </c>
      <c r="AM246" s="271" t="str">
        <f>Table4[[#This Row],[WholeSales]]</f>
        <v>Van Sales</v>
      </c>
      <c r="AN246" s="272" t="str">
        <f>Table4[[#This Row],[Particular]]</f>
        <v>ကုန်ရောင်း(လက်ငင်း)</v>
      </c>
      <c r="AO246" s="273" t="str">
        <f>Table4[[#This Row],[StockName]]</f>
        <v>ကောင်းကြည်-1Li</v>
      </c>
      <c r="AP246" s="268">
        <f>Table4[[#This Row],[Parking]]</f>
        <v>0.5</v>
      </c>
      <c r="AQ246" s="268">
        <f>Table4[[#This Row],[SalesBot]]</f>
        <v>6</v>
      </c>
      <c r="AR246" s="268">
        <f>Table4[[#This Row],[Liter]]</f>
        <v>6</v>
      </c>
    </row>
    <row r="247" spans="1:44" s="16" customFormat="1" hidden="1" x14ac:dyDescent="0.5">
      <c r="A247" s="3">
        <f t="shared" si="40"/>
        <v>2026</v>
      </c>
      <c r="B247" s="8">
        <f t="shared" si="41"/>
        <v>1</v>
      </c>
      <c r="C247" s="6">
        <v>46036</v>
      </c>
      <c r="D247" s="15">
        <f t="shared" ca="1" si="42"/>
        <v>46097</v>
      </c>
      <c r="E247" s="15" t="str">
        <f t="shared" ca="1" si="43"/>
        <v>2-Months</v>
      </c>
      <c r="F247" s="8" t="str">
        <f>VLOOKUP(N247,Stock[#Data],5,FALSE)</f>
        <v>BE</v>
      </c>
      <c r="G247" s="82" t="s">
        <v>861</v>
      </c>
      <c r="H247" s="15"/>
      <c r="I247" s="7" t="s">
        <v>569</v>
      </c>
      <c r="J247" s="8" t="str">
        <f>VLOOKUP(I247,Customers[#Data],2,FALSE)</f>
        <v>ကိုပိန်</v>
      </c>
      <c r="K247" s="15" t="str">
        <f>VLOOKUP(I247,Customers[#Data],4,FALSE)</f>
        <v>Maw La Myaing</v>
      </c>
      <c r="L247" s="15" t="str">
        <f>VLOOKUP(I247,Customers[#Data],5,FALSE)</f>
        <v>Van Sales</v>
      </c>
      <c r="M247" s="7" t="s">
        <v>6</v>
      </c>
      <c r="N247" s="7" t="s">
        <v>425</v>
      </c>
      <c r="O247" s="14" t="str">
        <f>VLOOKUP(N247,Stock[#Data],2,FALSE)</f>
        <v>ကောင်းကြည်-1Li</v>
      </c>
      <c r="P247" s="44">
        <f>VLOOKUP(N247,Stock[#Data],3,FALSE)</f>
        <v>1</v>
      </c>
      <c r="Q247" s="3">
        <f>VLOOKUP(N247,Stock[#Data],4,FALSE)</f>
        <v>12</v>
      </c>
      <c r="R247" s="11">
        <v>5</v>
      </c>
      <c r="S247" s="45">
        <f>IFERROR(Table4[[#This Row],[Bottle]]/Table4[[#This Row],[ပါဝင်မှု]]+Table4[[#This Row],[SalesPK]],0)</f>
        <v>0.41666666666666669</v>
      </c>
      <c r="T247" s="12"/>
      <c r="U247" s="10">
        <f>Table4[[#This Row],[ပါဝင်မှု]]*Table4[[#This Row],[SalesPK]]+Table4[[#This Row],[Bottle]]</f>
        <v>5</v>
      </c>
      <c r="V247" s="10">
        <f>Table4[[#This Row],[SalesBot]]*Table4[[#This Row],[ML]]</f>
        <v>5</v>
      </c>
      <c r="W247" s="1">
        <f>VLOOKUP(N247,Stock[#Data],6,FALSE)</f>
        <v>1500</v>
      </c>
      <c r="X247" s="8">
        <f>+Table4[[#This Row],[SalesBot]]*Table4[[#This Row],[နှုံး]]</f>
        <v>7500</v>
      </c>
      <c r="Y247" s="12"/>
      <c r="Z247" s="12"/>
      <c r="AA247" s="12"/>
      <c r="AB247" s="9"/>
      <c r="AC247" s="12">
        <v>7500</v>
      </c>
      <c r="AD247" s="9"/>
      <c r="AE247" s="12"/>
      <c r="AF24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47" s="24"/>
      <c r="AH247" s="266">
        <f>Table4[[#This Row],[Date]]</f>
        <v>46036</v>
      </c>
      <c r="AI247" s="264" t="str">
        <f t="shared" si="34"/>
        <v>Jan</v>
      </c>
      <c r="AJ247" s="264" t="str">
        <f t="shared" si="35"/>
        <v>2026</v>
      </c>
      <c r="AK247" s="270" t="str">
        <f>Table4[[#This Row],[ကုန်သည်အမည်]]</f>
        <v>ကိုပိန်</v>
      </c>
      <c r="AL247" s="270" t="str">
        <f>Table4[[#This Row],[Township]]</f>
        <v>Maw La Myaing</v>
      </c>
      <c r="AM247" s="271" t="str">
        <f>Table4[[#This Row],[WholeSales]]</f>
        <v>Van Sales</v>
      </c>
      <c r="AN247" s="272" t="str">
        <f>Table4[[#This Row],[Particular]]</f>
        <v>ကုန်ရောင်း(လက်ငင်း)</v>
      </c>
      <c r="AO247" s="273" t="str">
        <f>Table4[[#This Row],[StockName]]</f>
        <v>ကောင်းကြည်-1Li</v>
      </c>
      <c r="AP247" s="268">
        <f>Table4[[#This Row],[Parking]]</f>
        <v>0.41666666666666669</v>
      </c>
      <c r="AQ247" s="268">
        <f>Table4[[#This Row],[SalesBot]]</f>
        <v>5</v>
      </c>
      <c r="AR247" s="268">
        <f>Table4[[#This Row],[Liter]]</f>
        <v>5</v>
      </c>
    </row>
    <row r="248" spans="1:44" s="16" customFormat="1" hidden="1" x14ac:dyDescent="0.5">
      <c r="A248" s="3">
        <f t="shared" si="40"/>
        <v>2026</v>
      </c>
      <c r="B248" s="8">
        <f t="shared" si="41"/>
        <v>1</v>
      </c>
      <c r="C248" s="6">
        <v>46036</v>
      </c>
      <c r="D248" s="15">
        <f t="shared" ca="1" si="42"/>
        <v>46097</v>
      </c>
      <c r="E248" s="15" t="str">
        <f t="shared" ca="1" si="43"/>
        <v>2-Months</v>
      </c>
      <c r="F248" s="8" t="str">
        <f>VLOOKUP(N248,Stock[#Data],5,FALSE)</f>
        <v>BE</v>
      </c>
      <c r="G248" s="82" t="s">
        <v>862</v>
      </c>
      <c r="H248" s="15"/>
      <c r="I248" s="7" t="s">
        <v>795</v>
      </c>
      <c r="J248" s="8" t="str">
        <f>VLOOKUP(I248,Customers[#Data],2,FALSE)</f>
        <v>ဦးစောမောင်</v>
      </c>
      <c r="K248" s="15" t="str">
        <f>VLOOKUP(I248,Customers[#Data],4,FALSE)</f>
        <v>Maw La Myaing</v>
      </c>
      <c r="L248" s="15" t="str">
        <f>VLOOKUP(I248,Customers[#Data],5,FALSE)</f>
        <v>Van Sales</v>
      </c>
      <c r="M248" s="7" t="s">
        <v>6</v>
      </c>
      <c r="N248" s="7" t="s">
        <v>425</v>
      </c>
      <c r="O248" s="14" t="str">
        <f>VLOOKUP(N248,Stock[#Data],2,FALSE)</f>
        <v>ကောင်းကြည်-1Li</v>
      </c>
      <c r="P248" s="44">
        <f>VLOOKUP(N248,Stock[#Data],3,FALSE)</f>
        <v>1</v>
      </c>
      <c r="Q248" s="3">
        <f>VLOOKUP(N248,Stock[#Data],4,FALSE)</f>
        <v>12</v>
      </c>
      <c r="R248" s="11">
        <v>7</v>
      </c>
      <c r="S248" s="45">
        <f>IFERROR(Table4[[#This Row],[Bottle]]/Table4[[#This Row],[ပါဝင်မှု]]+Table4[[#This Row],[SalesPK]],0)</f>
        <v>0.58333333333333337</v>
      </c>
      <c r="T248" s="12"/>
      <c r="U248" s="10">
        <f>Table4[[#This Row],[ပါဝင်မှု]]*Table4[[#This Row],[SalesPK]]+Table4[[#This Row],[Bottle]]</f>
        <v>7</v>
      </c>
      <c r="V248" s="10">
        <f>Table4[[#This Row],[SalesBot]]*Table4[[#This Row],[ML]]</f>
        <v>7</v>
      </c>
      <c r="W248" s="1">
        <f>VLOOKUP(N248,Stock[#Data],6,FALSE)</f>
        <v>1500</v>
      </c>
      <c r="X248" s="8">
        <f>+Table4[[#This Row],[SalesBot]]*Table4[[#This Row],[နှုံး]]</f>
        <v>10500</v>
      </c>
      <c r="Y248" s="12"/>
      <c r="Z248" s="12"/>
      <c r="AA248" s="12"/>
      <c r="AB248" s="9"/>
      <c r="AC248" s="12">
        <v>10500</v>
      </c>
      <c r="AD248" s="9"/>
      <c r="AE248" s="12"/>
      <c r="AF24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48" s="24"/>
      <c r="AH248" s="266">
        <f>Table4[[#This Row],[Date]]</f>
        <v>46036</v>
      </c>
      <c r="AI248" s="264" t="str">
        <f t="shared" si="34"/>
        <v>Jan</v>
      </c>
      <c r="AJ248" s="264" t="str">
        <f t="shared" si="35"/>
        <v>2026</v>
      </c>
      <c r="AK248" s="270" t="str">
        <f>Table4[[#This Row],[ကုန်သည်အမည်]]</f>
        <v>ဦးစောမောင်</v>
      </c>
      <c r="AL248" s="270" t="str">
        <f>Table4[[#This Row],[Township]]</f>
        <v>Maw La Myaing</v>
      </c>
      <c r="AM248" s="271" t="str">
        <f>Table4[[#This Row],[WholeSales]]</f>
        <v>Van Sales</v>
      </c>
      <c r="AN248" s="272" t="str">
        <f>Table4[[#This Row],[Particular]]</f>
        <v>ကုန်ရောင်း(လက်ငင်း)</v>
      </c>
      <c r="AO248" s="273" t="str">
        <f>Table4[[#This Row],[StockName]]</f>
        <v>ကောင်းကြည်-1Li</v>
      </c>
      <c r="AP248" s="268">
        <f>Table4[[#This Row],[Parking]]</f>
        <v>0.58333333333333337</v>
      </c>
      <c r="AQ248" s="268">
        <f>Table4[[#This Row],[SalesBot]]</f>
        <v>7</v>
      </c>
      <c r="AR248" s="268">
        <f>Table4[[#This Row],[Liter]]</f>
        <v>7</v>
      </c>
    </row>
    <row r="249" spans="1:44" s="16" customFormat="1" hidden="1" x14ac:dyDescent="0.5">
      <c r="A249" s="3">
        <f t="shared" si="40"/>
        <v>2026</v>
      </c>
      <c r="B249" s="8">
        <f t="shared" si="41"/>
        <v>1</v>
      </c>
      <c r="C249" s="6">
        <v>46037</v>
      </c>
      <c r="D249" s="15">
        <f t="shared" ca="1" si="42"/>
        <v>46097</v>
      </c>
      <c r="E249" s="15" t="str">
        <f t="shared" ca="1" si="43"/>
        <v>2-Months</v>
      </c>
      <c r="F249" s="8" t="str">
        <f>VLOOKUP(N249,Stock[#Data],5,FALSE)</f>
        <v>BE</v>
      </c>
      <c r="G249" s="82" t="s">
        <v>863</v>
      </c>
      <c r="H249" s="15"/>
      <c r="I249" s="7" t="s">
        <v>538</v>
      </c>
      <c r="J249" s="8" t="str">
        <f>VLOOKUP(I249,Customers[#Data],2,FALSE)</f>
        <v>ဒေါ်နွယ်နွယ်ရီ(ရွှေတောင်ကြား)</v>
      </c>
      <c r="K249" s="15" t="str">
        <f>VLOOKUP(I249,Customers[#Data],4,FALSE)</f>
        <v>Yay</v>
      </c>
      <c r="L249" s="15" t="str">
        <f>VLOOKUP(I249,Customers[#Data],5,FALSE)</f>
        <v>WholeSales</v>
      </c>
      <c r="M249" s="7" t="s">
        <v>7</v>
      </c>
      <c r="N249" s="7" t="s">
        <v>517</v>
      </c>
      <c r="O249" s="14" t="str">
        <f>VLOOKUP(N249,Stock[#Data],2,FALSE)</f>
        <v>ဇေယျဝတီ Red (1 Liter) 30%</v>
      </c>
      <c r="P249" s="44">
        <f>VLOOKUP(N249,Stock[#Data],3,FALSE)</f>
        <v>1</v>
      </c>
      <c r="Q249" s="3">
        <f>VLOOKUP(N249,Stock[#Data],4,FALSE)</f>
        <v>12</v>
      </c>
      <c r="R249" s="11"/>
      <c r="S249" s="45">
        <f>IFERROR(Table4[[#This Row],[Bottle]]/Table4[[#This Row],[ပါဝင်မှု]]+Table4[[#This Row],[SalesPK]],0)</f>
        <v>100</v>
      </c>
      <c r="T249" s="12">
        <v>100</v>
      </c>
      <c r="U249" s="10">
        <f>Table4[[#This Row],[ပါဝင်မှု]]*Table4[[#This Row],[SalesPK]]+Table4[[#This Row],[Bottle]]</f>
        <v>1200</v>
      </c>
      <c r="V249" s="10">
        <f>Table4[[#This Row],[SalesBot]]*Table4[[#This Row],[ML]]</f>
        <v>1200</v>
      </c>
      <c r="W249" s="1">
        <f>VLOOKUP(N249,Stock[#Data],6,FALSE)</f>
        <v>1710</v>
      </c>
      <c r="X249" s="8">
        <f>+Table4[[#This Row],[SalesBot]]*Table4[[#This Row],[နှုံး]]</f>
        <v>2052000</v>
      </c>
      <c r="Y249" s="12"/>
      <c r="Z249" s="12"/>
      <c r="AA249" s="12"/>
      <c r="AB249" s="9"/>
      <c r="AC249" s="12"/>
      <c r="AD249" s="9"/>
      <c r="AE249" s="12"/>
      <c r="AF24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249" s="24"/>
      <c r="AH249" s="266">
        <f>Table4[[#This Row],[Date]]</f>
        <v>46037</v>
      </c>
      <c r="AI249" s="264" t="str">
        <f t="shared" si="34"/>
        <v>Jan</v>
      </c>
      <c r="AJ249" s="264" t="str">
        <f t="shared" si="35"/>
        <v>2026</v>
      </c>
      <c r="AK249" s="270" t="str">
        <f>Table4[[#This Row],[ကုန်သည်အမည်]]</f>
        <v>ဒေါ်နွယ်နွယ်ရီ(ရွှေတောင်ကြား)</v>
      </c>
      <c r="AL249" s="270" t="str">
        <f>Table4[[#This Row],[Township]]</f>
        <v>Yay</v>
      </c>
      <c r="AM249" s="271" t="str">
        <f>Table4[[#This Row],[WholeSales]]</f>
        <v>WholeSales</v>
      </c>
      <c r="AN249" s="272" t="str">
        <f>Table4[[#This Row],[Particular]]</f>
        <v>ကုန်ရောင်း(အကြွေး)</v>
      </c>
      <c r="AO249" s="273" t="str">
        <f>Table4[[#This Row],[StockName]]</f>
        <v>ဇေယျဝတီ Red (1 Liter) 30%</v>
      </c>
      <c r="AP249" s="268">
        <f>Table4[[#This Row],[Parking]]</f>
        <v>100</v>
      </c>
      <c r="AQ249" s="268">
        <f>Table4[[#This Row],[SalesBot]]</f>
        <v>1200</v>
      </c>
      <c r="AR249" s="268">
        <f>Table4[[#This Row],[Liter]]</f>
        <v>1200</v>
      </c>
    </row>
    <row r="250" spans="1:44" s="16" customFormat="1" hidden="1" x14ac:dyDescent="0.5">
      <c r="A250" s="3">
        <f t="shared" si="40"/>
        <v>2026</v>
      </c>
      <c r="B250" s="8">
        <f t="shared" si="41"/>
        <v>1</v>
      </c>
      <c r="C250" s="6">
        <v>46037</v>
      </c>
      <c r="D250" s="15">
        <f t="shared" ca="1" si="42"/>
        <v>46097</v>
      </c>
      <c r="E250" s="15" t="str">
        <f t="shared" ca="1" si="43"/>
        <v>2-Months</v>
      </c>
      <c r="F250" s="8" t="str">
        <f>VLOOKUP(N250,Stock[#Data],5,FALSE)</f>
        <v>BE</v>
      </c>
      <c r="G250" s="82" t="s">
        <v>864</v>
      </c>
      <c r="H250" s="15"/>
      <c r="I250" s="7" t="s">
        <v>95</v>
      </c>
      <c r="J250" s="8" t="str">
        <f>VLOOKUP(I250,Customers[#Data],2,FALSE)</f>
        <v>ကျော်စတား</v>
      </c>
      <c r="K250" s="15" t="str">
        <f>VLOOKUP(I250,Customers[#Data],4,FALSE)</f>
        <v>Yay</v>
      </c>
      <c r="L250" s="15" t="str">
        <f>VLOOKUP(I250,Customers[#Data],5,FALSE)</f>
        <v>WholeSales</v>
      </c>
      <c r="M250" s="7" t="s">
        <v>7</v>
      </c>
      <c r="N250" s="7" t="s">
        <v>514</v>
      </c>
      <c r="O250" s="14" t="str">
        <f>VLOOKUP(N250,Stock[#Data],2,FALSE)</f>
        <v>ဇေယျဝတီ Red</v>
      </c>
      <c r="P250" s="44">
        <f>VLOOKUP(N250,Stock[#Data],3,FALSE)</f>
        <v>0.64</v>
      </c>
      <c r="Q250" s="3">
        <f>VLOOKUP(N250,Stock[#Data],4,FALSE)</f>
        <v>14</v>
      </c>
      <c r="R250" s="11"/>
      <c r="S250" s="45">
        <f>IFERROR(Table4[[#This Row],[Bottle]]/Table4[[#This Row],[ပါဝင်မှု]]+Table4[[#This Row],[SalesPK]],0)</f>
        <v>50</v>
      </c>
      <c r="T250" s="12">
        <v>50</v>
      </c>
      <c r="U250" s="10">
        <f>Table4[[#This Row],[ပါဝင်မှု]]*Table4[[#This Row],[SalesPK]]+Table4[[#This Row],[Bottle]]</f>
        <v>700</v>
      </c>
      <c r="V250" s="10">
        <f>Table4[[#This Row],[SalesBot]]*Table4[[#This Row],[ML]]</f>
        <v>448</v>
      </c>
      <c r="W250" s="1">
        <f>VLOOKUP(N250,Stock[#Data],6,FALSE)</f>
        <v>1350</v>
      </c>
      <c r="X250" s="8">
        <f>+Table4[[#This Row],[SalesBot]]*Table4[[#This Row],[နှုံး]]</f>
        <v>945000</v>
      </c>
      <c r="Y250" s="12"/>
      <c r="Z250" s="12"/>
      <c r="AA250" s="12"/>
      <c r="AB250" s="9">
        <v>46087</v>
      </c>
      <c r="AC250" s="12">
        <v>945000</v>
      </c>
      <c r="AD250" s="9"/>
      <c r="AE250" s="12"/>
      <c r="AF25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50" s="24"/>
      <c r="AH250" s="266">
        <f>Table4[[#This Row],[Date]]</f>
        <v>46037</v>
      </c>
      <c r="AI250" s="264" t="str">
        <f t="shared" si="34"/>
        <v>Jan</v>
      </c>
      <c r="AJ250" s="264" t="str">
        <f t="shared" si="35"/>
        <v>2026</v>
      </c>
      <c r="AK250" s="270" t="str">
        <f>Table4[[#This Row],[ကုန်သည်အမည်]]</f>
        <v>ကျော်စတား</v>
      </c>
      <c r="AL250" s="270" t="str">
        <f>Table4[[#This Row],[Township]]</f>
        <v>Yay</v>
      </c>
      <c r="AM250" s="271" t="str">
        <f>Table4[[#This Row],[WholeSales]]</f>
        <v>WholeSales</v>
      </c>
      <c r="AN250" s="272" t="str">
        <f>Table4[[#This Row],[Particular]]</f>
        <v>ကုန်ရောင်း(အကြွေး)</v>
      </c>
      <c r="AO250" s="273" t="str">
        <f>Table4[[#This Row],[StockName]]</f>
        <v>ဇေယျဝတီ Red</v>
      </c>
      <c r="AP250" s="268">
        <f>Table4[[#This Row],[Parking]]</f>
        <v>50</v>
      </c>
      <c r="AQ250" s="268">
        <f>Table4[[#This Row],[SalesBot]]</f>
        <v>700</v>
      </c>
      <c r="AR250" s="268">
        <f>Table4[[#This Row],[Liter]]</f>
        <v>448</v>
      </c>
    </row>
    <row r="251" spans="1:44" s="16" customFormat="1" hidden="1" x14ac:dyDescent="0.5">
      <c r="A251" s="3">
        <f t="shared" si="40"/>
        <v>2026</v>
      </c>
      <c r="B251" s="8">
        <f t="shared" si="41"/>
        <v>1</v>
      </c>
      <c r="C251" s="6">
        <v>46037</v>
      </c>
      <c r="D251" s="15">
        <f t="shared" ca="1" si="42"/>
        <v>46097</v>
      </c>
      <c r="E251" s="15" t="str">
        <f t="shared" ca="1" si="43"/>
        <v>2-Months</v>
      </c>
      <c r="F251" s="8" t="str">
        <f>VLOOKUP(N251,Stock[#Data],5,FALSE)</f>
        <v>BE</v>
      </c>
      <c r="G251" s="82" t="s">
        <v>864</v>
      </c>
      <c r="H251" s="15"/>
      <c r="I251" s="7" t="s">
        <v>95</v>
      </c>
      <c r="J251" s="8" t="str">
        <f>VLOOKUP(I251,Customers[#Data],2,FALSE)</f>
        <v>ကျော်စတား</v>
      </c>
      <c r="K251" s="15" t="str">
        <f>VLOOKUP(I251,Customers[#Data],4,FALSE)</f>
        <v>Yay</v>
      </c>
      <c r="L251" s="15" t="str">
        <f>VLOOKUP(I251,Customers[#Data],5,FALSE)</f>
        <v>WholeSales</v>
      </c>
      <c r="M251" s="7" t="s">
        <v>7</v>
      </c>
      <c r="N251" s="7" t="s">
        <v>517</v>
      </c>
      <c r="O251" s="14" t="str">
        <f>VLOOKUP(N251,Stock[#Data],2,FALSE)</f>
        <v>ဇေယျဝတီ Red (1 Liter) 30%</v>
      </c>
      <c r="P251" s="44">
        <f>VLOOKUP(N251,Stock[#Data],3,FALSE)</f>
        <v>1</v>
      </c>
      <c r="Q251" s="3">
        <f>VLOOKUP(N251,Stock[#Data],4,FALSE)</f>
        <v>12</v>
      </c>
      <c r="R251" s="11"/>
      <c r="S251" s="45">
        <f>IFERROR(Table4[[#This Row],[Bottle]]/Table4[[#This Row],[ပါဝင်မှု]]+Table4[[#This Row],[SalesPK]],0)</f>
        <v>150</v>
      </c>
      <c r="T251" s="12">
        <v>150</v>
      </c>
      <c r="U251" s="10">
        <f>Table4[[#This Row],[ပါဝင်မှု]]*Table4[[#This Row],[SalesPK]]+Table4[[#This Row],[Bottle]]</f>
        <v>1800</v>
      </c>
      <c r="V251" s="10">
        <f>Table4[[#This Row],[SalesBot]]*Table4[[#This Row],[ML]]</f>
        <v>1800</v>
      </c>
      <c r="W251" s="1">
        <f>VLOOKUP(N251,Stock[#Data],6,FALSE)</f>
        <v>1710</v>
      </c>
      <c r="X251" s="8">
        <f>+Table4[[#This Row],[SalesBot]]*Table4[[#This Row],[နှုံး]]</f>
        <v>3078000</v>
      </c>
      <c r="Y251" s="12"/>
      <c r="Z251" s="12"/>
      <c r="AA251" s="12"/>
      <c r="AB251" s="9"/>
      <c r="AC251" s="12">
        <v>3078000</v>
      </c>
      <c r="AD251" s="9"/>
      <c r="AE251" s="12"/>
      <c r="AF25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51" s="24"/>
      <c r="AH251" s="266">
        <f>Table4[[#This Row],[Date]]</f>
        <v>46037</v>
      </c>
      <c r="AI251" s="264" t="str">
        <f t="shared" si="34"/>
        <v>Jan</v>
      </c>
      <c r="AJ251" s="264" t="str">
        <f t="shared" si="35"/>
        <v>2026</v>
      </c>
      <c r="AK251" s="270" t="str">
        <f>Table4[[#This Row],[ကုန်သည်အမည်]]</f>
        <v>ကျော်စတား</v>
      </c>
      <c r="AL251" s="270" t="str">
        <f>Table4[[#This Row],[Township]]</f>
        <v>Yay</v>
      </c>
      <c r="AM251" s="271" t="str">
        <f>Table4[[#This Row],[WholeSales]]</f>
        <v>WholeSales</v>
      </c>
      <c r="AN251" s="272" t="str">
        <f>Table4[[#This Row],[Particular]]</f>
        <v>ကုန်ရောင်း(အကြွေး)</v>
      </c>
      <c r="AO251" s="273" t="str">
        <f>Table4[[#This Row],[StockName]]</f>
        <v>ဇေယျဝတီ Red (1 Liter) 30%</v>
      </c>
      <c r="AP251" s="268">
        <f>Table4[[#This Row],[Parking]]</f>
        <v>150</v>
      </c>
      <c r="AQ251" s="268">
        <f>Table4[[#This Row],[SalesBot]]</f>
        <v>1800</v>
      </c>
      <c r="AR251" s="268">
        <f>Table4[[#This Row],[Liter]]</f>
        <v>1800</v>
      </c>
    </row>
    <row r="252" spans="1:44" s="16" customFormat="1" hidden="1" x14ac:dyDescent="0.5">
      <c r="A252" s="3">
        <f t="shared" ref="A252:A303" si="44">YEAR(C252)</f>
        <v>2026</v>
      </c>
      <c r="B252" s="8">
        <f t="shared" ref="B252:B303" si="45">MONTH(C252)</f>
        <v>1</v>
      </c>
      <c r="C252" s="6">
        <v>46037</v>
      </c>
      <c r="D252" s="15">
        <f t="shared" ref="D252:D303" ca="1" si="46">TODAY()</f>
        <v>46097</v>
      </c>
      <c r="E252" s="15" t="str">
        <f t="shared" ref="E252:E303" ca="1" si="47">DATEDIF(C252,D252,"M")&amp;"-Months"</f>
        <v>2-Months</v>
      </c>
      <c r="F252" s="8" t="str">
        <f>VLOOKUP(N252,Stock[#Data],5,FALSE)</f>
        <v>BE</v>
      </c>
      <c r="G252" s="82" t="s">
        <v>864</v>
      </c>
      <c r="H252" s="15"/>
      <c r="I252" s="7" t="s">
        <v>86</v>
      </c>
      <c r="J252" s="8" t="str">
        <f>VLOOKUP(I252,Customers[#Data],2,FALSE)</f>
        <v>ဒေါ်စိန်ယုံ</v>
      </c>
      <c r="K252" s="15" t="str">
        <f>VLOOKUP(I252,Customers[#Data],4,FALSE)</f>
        <v>Mudon</v>
      </c>
      <c r="L252" s="15" t="str">
        <f>VLOOKUP(I252,Customers[#Data],5,FALSE)</f>
        <v>Mini Whole Sales</v>
      </c>
      <c r="M252" s="7" t="s">
        <v>6</v>
      </c>
      <c r="N252" s="7" t="s">
        <v>520</v>
      </c>
      <c r="O252" s="14" t="str">
        <f>VLOOKUP(N252,Stock[#Data],2,FALSE)</f>
        <v>ဇေယျဝတီ  Red(ပု)</v>
      </c>
      <c r="P252" s="44">
        <f>VLOOKUP(N252,Stock[#Data],3,FALSE)</f>
        <v>0.64</v>
      </c>
      <c r="Q252" s="3">
        <f>VLOOKUP(N252,Stock[#Data],4,FALSE)</f>
        <v>14</v>
      </c>
      <c r="R252" s="11"/>
      <c r="S252" s="45">
        <f>IFERROR(Table4[[#This Row],[Bottle]]/Table4[[#This Row],[ပါဝင်မှု]]+Table4[[#This Row],[SalesPK]],0)</f>
        <v>20</v>
      </c>
      <c r="T252" s="12">
        <v>20</v>
      </c>
      <c r="U252" s="10">
        <f>Table4[[#This Row],[ပါဝင်မှု]]*Table4[[#This Row],[SalesPK]]+Table4[[#This Row],[Bottle]]</f>
        <v>280</v>
      </c>
      <c r="V252" s="10">
        <f>Table4[[#This Row],[SalesBot]]*Table4[[#This Row],[ML]]</f>
        <v>179.20000000000002</v>
      </c>
      <c r="W252" s="1">
        <f>VLOOKUP(N252,Stock[#Data],6,FALSE)</f>
        <v>1800</v>
      </c>
      <c r="X252" s="8">
        <f>+Table4[[#This Row],[SalesBot]]*Table4[[#This Row],[နှုံး]]</f>
        <v>504000</v>
      </c>
      <c r="Y252" s="12"/>
      <c r="Z252" s="12"/>
      <c r="AA252" s="12"/>
      <c r="AB252" s="9"/>
      <c r="AC252" s="12">
        <v>504000</v>
      </c>
      <c r="AD252" s="9"/>
      <c r="AE252" s="12"/>
      <c r="AF25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52" s="24"/>
      <c r="AH252" s="266">
        <f>Table4[[#This Row],[Date]]</f>
        <v>46037</v>
      </c>
      <c r="AI252" s="264" t="str">
        <f t="shared" si="34"/>
        <v>Jan</v>
      </c>
      <c r="AJ252" s="264" t="str">
        <f t="shared" si="35"/>
        <v>2026</v>
      </c>
      <c r="AK252" s="270" t="str">
        <f>Table4[[#This Row],[ကုန်သည်အမည်]]</f>
        <v>ဒေါ်စိန်ယုံ</v>
      </c>
      <c r="AL252" s="270" t="str">
        <f>Table4[[#This Row],[Township]]</f>
        <v>Mudon</v>
      </c>
      <c r="AM252" s="271" t="str">
        <f>Table4[[#This Row],[WholeSales]]</f>
        <v>Mini Whole Sales</v>
      </c>
      <c r="AN252" s="272" t="str">
        <f>Table4[[#This Row],[Particular]]</f>
        <v>ကုန်ရောင်း(လက်ငင်း)</v>
      </c>
      <c r="AO252" s="273" t="str">
        <f>Table4[[#This Row],[StockName]]</f>
        <v>ဇေယျဝတီ  Red(ပု)</v>
      </c>
      <c r="AP252" s="268">
        <f>Table4[[#This Row],[Parking]]</f>
        <v>20</v>
      </c>
      <c r="AQ252" s="268">
        <f>Table4[[#This Row],[SalesBot]]</f>
        <v>280</v>
      </c>
      <c r="AR252" s="268">
        <f>Table4[[#This Row],[Liter]]</f>
        <v>179.20000000000002</v>
      </c>
    </row>
    <row r="253" spans="1:44" s="16" customFormat="1" hidden="1" x14ac:dyDescent="0.5">
      <c r="A253" s="3">
        <f t="shared" si="44"/>
        <v>2026</v>
      </c>
      <c r="B253" s="8">
        <f t="shared" si="45"/>
        <v>1</v>
      </c>
      <c r="C253" s="6">
        <v>46037</v>
      </c>
      <c r="D253" s="15">
        <f t="shared" ca="1" si="46"/>
        <v>46097</v>
      </c>
      <c r="E253" s="15" t="str">
        <f t="shared" ca="1" si="47"/>
        <v>2-Months</v>
      </c>
      <c r="F253" s="8" t="str">
        <f>VLOOKUP(N253,Stock[#Data],5,FALSE)</f>
        <v>BE</v>
      </c>
      <c r="G253" s="82" t="s">
        <v>865</v>
      </c>
      <c r="H253" s="15"/>
      <c r="I253" s="7" t="s">
        <v>563</v>
      </c>
      <c r="J253" s="8" t="str">
        <f>VLOOKUP(I253,Customers[#Data],2,FALSE)</f>
        <v>အမောင်</v>
      </c>
      <c r="K253" s="15" t="str">
        <f>VLOOKUP(I253,Customers[#Data],4,FALSE)</f>
        <v>Mudon</v>
      </c>
      <c r="L253" s="15" t="str">
        <f>VLOOKUP(I253,Customers[#Data],5,FALSE)</f>
        <v>Van Sales</v>
      </c>
      <c r="M253" s="7" t="s">
        <v>6</v>
      </c>
      <c r="N253" s="7" t="s">
        <v>520</v>
      </c>
      <c r="O253" s="14" t="str">
        <f>VLOOKUP(N253,Stock[#Data],2,FALSE)</f>
        <v>ဇေယျဝတီ  Red(ပု)</v>
      </c>
      <c r="P253" s="44">
        <f>VLOOKUP(N253,Stock[#Data],3,FALSE)</f>
        <v>0.64</v>
      </c>
      <c r="Q253" s="3">
        <f>VLOOKUP(N253,Stock[#Data],4,FALSE)</f>
        <v>14</v>
      </c>
      <c r="R253" s="11"/>
      <c r="S253" s="45">
        <f>IFERROR(Table4[[#This Row],[Bottle]]/Table4[[#This Row],[ပါဝင်မှု]]+Table4[[#This Row],[SalesPK]],0)</f>
        <v>25</v>
      </c>
      <c r="T253" s="12">
        <v>25</v>
      </c>
      <c r="U253" s="10">
        <f>Table4[[#This Row],[ပါဝင်မှု]]*Table4[[#This Row],[SalesPK]]+Table4[[#This Row],[Bottle]]</f>
        <v>350</v>
      </c>
      <c r="V253" s="10">
        <f>Table4[[#This Row],[SalesBot]]*Table4[[#This Row],[ML]]</f>
        <v>224</v>
      </c>
      <c r="W253" s="1">
        <f>VLOOKUP(N253,Stock[#Data],6,FALSE)</f>
        <v>1800</v>
      </c>
      <c r="X253" s="8">
        <f>+Table4[[#This Row],[SalesBot]]*Table4[[#This Row],[နှုံး]]</f>
        <v>630000</v>
      </c>
      <c r="Y253" s="12"/>
      <c r="Z253" s="12"/>
      <c r="AA253" s="12"/>
      <c r="AB253" s="9"/>
      <c r="AC253" s="12">
        <v>630000</v>
      </c>
      <c r="AD253" s="9"/>
      <c r="AE253" s="12"/>
      <c r="AF25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53" s="24"/>
      <c r="AH253" s="266">
        <f>Table4[[#This Row],[Date]]</f>
        <v>46037</v>
      </c>
      <c r="AI253" s="264" t="str">
        <f t="shared" si="34"/>
        <v>Jan</v>
      </c>
      <c r="AJ253" s="264" t="str">
        <f t="shared" si="35"/>
        <v>2026</v>
      </c>
      <c r="AK253" s="270" t="str">
        <f>Table4[[#This Row],[ကုန်သည်အမည်]]</f>
        <v>အမောင်</v>
      </c>
      <c r="AL253" s="270" t="str">
        <f>Table4[[#This Row],[Township]]</f>
        <v>Mudon</v>
      </c>
      <c r="AM253" s="271" t="str">
        <f>Table4[[#This Row],[WholeSales]]</f>
        <v>Van Sales</v>
      </c>
      <c r="AN253" s="272" t="str">
        <f>Table4[[#This Row],[Particular]]</f>
        <v>ကုန်ရောင်း(လက်ငင်း)</v>
      </c>
      <c r="AO253" s="273" t="str">
        <f>Table4[[#This Row],[StockName]]</f>
        <v>ဇေယျဝတီ  Red(ပု)</v>
      </c>
      <c r="AP253" s="268">
        <f>Table4[[#This Row],[Parking]]</f>
        <v>25</v>
      </c>
      <c r="AQ253" s="268">
        <f>Table4[[#This Row],[SalesBot]]</f>
        <v>350</v>
      </c>
      <c r="AR253" s="268">
        <f>Table4[[#This Row],[Liter]]</f>
        <v>224</v>
      </c>
    </row>
    <row r="254" spans="1:44" s="16" customFormat="1" hidden="1" x14ac:dyDescent="0.5">
      <c r="A254" s="3">
        <f t="shared" si="44"/>
        <v>2026</v>
      </c>
      <c r="B254" s="8">
        <f t="shared" si="45"/>
        <v>1</v>
      </c>
      <c r="C254" s="6">
        <v>46037</v>
      </c>
      <c r="D254" s="15">
        <f t="shared" ca="1" si="46"/>
        <v>46097</v>
      </c>
      <c r="E254" s="15" t="str">
        <f t="shared" ca="1" si="47"/>
        <v>2-Months</v>
      </c>
      <c r="F254" s="8" t="str">
        <f>VLOOKUP(N254,Stock[#Data],5,FALSE)</f>
        <v>BE</v>
      </c>
      <c r="G254" s="82" t="s">
        <v>866</v>
      </c>
      <c r="H254" s="15"/>
      <c r="I254" s="7" t="s">
        <v>546</v>
      </c>
      <c r="J254" s="8" t="str">
        <f>VLOOKUP(I254,Customers[#Data],2,FALSE)</f>
        <v>မသီတာ၀င်း</v>
      </c>
      <c r="K254" s="15" t="str">
        <f>VLOOKUP(I254,Customers[#Data],4,FALSE)</f>
        <v>Mudon</v>
      </c>
      <c r="L254" s="15" t="str">
        <f>VLOOKUP(I254,Customers[#Data],5,FALSE)</f>
        <v>SemiWholeSales</v>
      </c>
      <c r="M254" s="7" t="s">
        <v>6</v>
      </c>
      <c r="N254" s="7" t="s">
        <v>520</v>
      </c>
      <c r="O254" s="14" t="str">
        <f>VLOOKUP(N254,Stock[#Data],2,FALSE)</f>
        <v>ဇေယျဝတီ  Red(ပု)</v>
      </c>
      <c r="P254" s="44">
        <f>VLOOKUP(N254,Stock[#Data],3,FALSE)</f>
        <v>0.64</v>
      </c>
      <c r="Q254" s="3">
        <f>VLOOKUP(N254,Stock[#Data],4,FALSE)</f>
        <v>14</v>
      </c>
      <c r="R254" s="11"/>
      <c r="S254" s="45">
        <f>IFERROR(Table4[[#This Row],[Bottle]]/Table4[[#This Row],[ပါဝင်မှု]]+Table4[[#This Row],[SalesPK]],0)</f>
        <v>25</v>
      </c>
      <c r="T254" s="12">
        <v>25</v>
      </c>
      <c r="U254" s="10">
        <f>Table4[[#This Row],[ပါဝင်မှု]]*Table4[[#This Row],[SalesPK]]+Table4[[#This Row],[Bottle]]</f>
        <v>350</v>
      </c>
      <c r="V254" s="10">
        <f>Table4[[#This Row],[SalesBot]]*Table4[[#This Row],[ML]]</f>
        <v>224</v>
      </c>
      <c r="W254" s="1">
        <f>VLOOKUP(N254,Stock[#Data],6,FALSE)</f>
        <v>1800</v>
      </c>
      <c r="X254" s="8">
        <f>+Table4[[#This Row],[SalesBot]]*Table4[[#This Row],[နှုံး]]</f>
        <v>630000</v>
      </c>
      <c r="Y254" s="12"/>
      <c r="Z254" s="12"/>
      <c r="AA254" s="12"/>
      <c r="AB254" s="9"/>
      <c r="AC254" s="12">
        <v>630000</v>
      </c>
      <c r="AD254" s="9"/>
      <c r="AE254" s="12"/>
      <c r="AF25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54" s="24"/>
      <c r="AH254" s="266">
        <f>Table4[[#This Row],[Date]]</f>
        <v>46037</v>
      </c>
      <c r="AI254" s="264" t="str">
        <f t="shared" si="34"/>
        <v>Jan</v>
      </c>
      <c r="AJ254" s="264" t="str">
        <f t="shared" si="35"/>
        <v>2026</v>
      </c>
      <c r="AK254" s="270" t="str">
        <f>Table4[[#This Row],[ကုန်သည်အမည်]]</f>
        <v>မသီတာ၀င်း</v>
      </c>
      <c r="AL254" s="270" t="str">
        <f>Table4[[#This Row],[Township]]</f>
        <v>Mudon</v>
      </c>
      <c r="AM254" s="271" t="str">
        <f>Table4[[#This Row],[WholeSales]]</f>
        <v>SemiWholeSales</v>
      </c>
      <c r="AN254" s="272" t="str">
        <f>Table4[[#This Row],[Particular]]</f>
        <v>ကုန်ရောင်း(လက်ငင်း)</v>
      </c>
      <c r="AO254" s="273" t="str">
        <f>Table4[[#This Row],[StockName]]</f>
        <v>ဇေယျဝတီ  Red(ပု)</v>
      </c>
      <c r="AP254" s="268">
        <f>Table4[[#This Row],[Parking]]</f>
        <v>25</v>
      </c>
      <c r="AQ254" s="268">
        <f>Table4[[#This Row],[SalesBot]]</f>
        <v>350</v>
      </c>
      <c r="AR254" s="268">
        <f>Table4[[#This Row],[Liter]]</f>
        <v>224</v>
      </c>
    </row>
    <row r="255" spans="1:44" s="16" customFormat="1" hidden="1" x14ac:dyDescent="0.5">
      <c r="A255" s="3">
        <f t="shared" si="44"/>
        <v>2026</v>
      </c>
      <c r="B255" s="8">
        <f t="shared" si="45"/>
        <v>1</v>
      </c>
      <c r="C255" s="6">
        <v>46037</v>
      </c>
      <c r="D255" s="15">
        <f t="shared" ca="1" si="46"/>
        <v>46097</v>
      </c>
      <c r="E255" s="15" t="str">
        <f t="shared" ca="1" si="47"/>
        <v>2-Months</v>
      </c>
      <c r="F255" s="8" t="str">
        <f>VLOOKUP(N255,Stock[#Data],5,FALSE)</f>
        <v>BE</v>
      </c>
      <c r="G255" s="82" t="s">
        <v>867</v>
      </c>
      <c r="H255" s="15"/>
      <c r="I255" s="7" t="s">
        <v>541</v>
      </c>
      <c r="J255" s="8" t="str">
        <f>VLOOKUP(I255,Customers[#Data],2,FALSE)</f>
        <v>ကိုကျော်ရွှေ</v>
      </c>
      <c r="K255" s="15" t="str">
        <f>VLOOKUP(I255,Customers[#Data],4,FALSE)</f>
        <v>Mudon</v>
      </c>
      <c r="L255" s="15" t="str">
        <f>VLOOKUP(I255,Customers[#Data],5,FALSE)</f>
        <v>SemiWholeSales</v>
      </c>
      <c r="M255" s="7" t="s">
        <v>6</v>
      </c>
      <c r="N255" s="7" t="s">
        <v>520</v>
      </c>
      <c r="O255" s="14" t="str">
        <f>VLOOKUP(N255,Stock[#Data],2,FALSE)</f>
        <v>ဇေယျဝတီ  Red(ပု)</v>
      </c>
      <c r="P255" s="44">
        <f>VLOOKUP(N255,Stock[#Data],3,FALSE)</f>
        <v>0.64</v>
      </c>
      <c r="Q255" s="3">
        <f>VLOOKUP(N255,Stock[#Data],4,FALSE)</f>
        <v>14</v>
      </c>
      <c r="R255" s="11"/>
      <c r="S255" s="45">
        <f>IFERROR(Table4[[#This Row],[Bottle]]/Table4[[#This Row],[ပါဝင်မှု]]+Table4[[#This Row],[SalesPK]],0)</f>
        <v>50</v>
      </c>
      <c r="T255" s="12">
        <v>50</v>
      </c>
      <c r="U255" s="10">
        <f>Table4[[#This Row],[ပါဝင်မှု]]*Table4[[#This Row],[SalesPK]]+Table4[[#This Row],[Bottle]]</f>
        <v>700</v>
      </c>
      <c r="V255" s="10">
        <f>Table4[[#This Row],[SalesBot]]*Table4[[#This Row],[ML]]</f>
        <v>448</v>
      </c>
      <c r="W255" s="1">
        <f>VLOOKUP(N255,Stock[#Data],6,FALSE)</f>
        <v>1800</v>
      </c>
      <c r="X255" s="8">
        <f>+Table4[[#This Row],[SalesBot]]*Table4[[#This Row],[နှုံး]]</f>
        <v>1260000</v>
      </c>
      <c r="Y255" s="12"/>
      <c r="Z255" s="12"/>
      <c r="AA255" s="12"/>
      <c r="AB255" s="9"/>
      <c r="AC255" s="12">
        <v>1260000</v>
      </c>
      <c r="AD255" s="9"/>
      <c r="AE255" s="12"/>
      <c r="AF25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55" s="24"/>
      <c r="AH255" s="266">
        <f>Table4[[#This Row],[Date]]</f>
        <v>46037</v>
      </c>
      <c r="AI255" s="264" t="str">
        <f t="shared" si="34"/>
        <v>Jan</v>
      </c>
      <c r="AJ255" s="264" t="str">
        <f t="shared" si="35"/>
        <v>2026</v>
      </c>
      <c r="AK255" s="270" t="str">
        <f>Table4[[#This Row],[ကုန်သည်အမည်]]</f>
        <v>ကိုကျော်ရွှေ</v>
      </c>
      <c r="AL255" s="270" t="str">
        <f>Table4[[#This Row],[Township]]</f>
        <v>Mudon</v>
      </c>
      <c r="AM255" s="271" t="str">
        <f>Table4[[#This Row],[WholeSales]]</f>
        <v>SemiWholeSales</v>
      </c>
      <c r="AN255" s="272" t="str">
        <f>Table4[[#This Row],[Particular]]</f>
        <v>ကုန်ရောင်း(လက်ငင်း)</v>
      </c>
      <c r="AO255" s="273" t="str">
        <f>Table4[[#This Row],[StockName]]</f>
        <v>ဇေယျဝတီ  Red(ပု)</v>
      </c>
      <c r="AP255" s="268">
        <f>Table4[[#This Row],[Parking]]</f>
        <v>50</v>
      </c>
      <c r="AQ255" s="268">
        <f>Table4[[#This Row],[SalesBot]]</f>
        <v>700</v>
      </c>
      <c r="AR255" s="268">
        <f>Table4[[#This Row],[Liter]]</f>
        <v>448</v>
      </c>
    </row>
    <row r="256" spans="1:44" s="16" customFormat="1" hidden="1" x14ac:dyDescent="0.5">
      <c r="A256" s="3">
        <f t="shared" si="44"/>
        <v>2026</v>
      </c>
      <c r="B256" s="8">
        <f t="shared" si="45"/>
        <v>1</v>
      </c>
      <c r="C256" s="6">
        <v>46037</v>
      </c>
      <c r="D256" s="15">
        <f t="shared" ca="1" si="46"/>
        <v>46097</v>
      </c>
      <c r="E256" s="15" t="str">
        <f t="shared" ca="1" si="47"/>
        <v>2-Months</v>
      </c>
      <c r="F256" s="8" t="str">
        <f>VLOOKUP(N256,Stock[#Data],5,FALSE)</f>
        <v>BE</v>
      </c>
      <c r="G256" s="82" t="s">
        <v>867</v>
      </c>
      <c r="H256" s="15"/>
      <c r="I256" s="7" t="s">
        <v>541</v>
      </c>
      <c r="J256" s="8" t="str">
        <f>VLOOKUP(I256,Customers[#Data],2,FALSE)</f>
        <v>ကိုကျော်ရွှေ</v>
      </c>
      <c r="K256" s="15" t="str">
        <f>VLOOKUP(I256,Customers[#Data],4,FALSE)</f>
        <v>Mudon</v>
      </c>
      <c r="L256" s="15" t="str">
        <f>VLOOKUP(I256,Customers[#Data],5,FALSE)</f>
        <v>SemiWholeSales</v>
      </c>
      <c r="M256" s="7" t="s">
        <v>6</v>
      </c>
      <c r="N256" s="7" t="s">
        <v>517</v>
      </c>
      <c r="O256" s="14" t="str">
        <f>VLOOKUP(N256,Stock[#Data],2,FALSE)</f>
        <v>ဇေယျဝတီ Red (1 Liter) 30%</v>
      </c>
      <c r="P256" s="44">
        <f>VLOOKUP(N256,Stock[#Data],3,FALSE)</f>
        <v>1</v>
      </c>
      <c r="Q256" s="3">
        <f>VLOOKUP(N256,Stock[#Data],4,FALSE)</f>
        <v>12</v>
      </c>
      <c r="R256" s="11"/>
      <c r="S256" s="45">
        <f>IFERROR(Table4[[#This Row],[Bottle]]/Table4[[#This Row],[ပါဝင်မှု]]+Table4[[#This Row],[SalesPK]],0)</f>
        <v>10</v>
      </c>
      <c r="T256" s="12">
        <v>10</v>
      </c>
      <c r="U256" s="10">
        <f>Table4[[#This Row],[ပါဝင်မှု]]*Table4[[#This Row],[SalesPK]]+Table4[[#This Row],[Bottle]]</f>
        <v>120</v>
      </c>
      <c r="V256" s="10">
        <f>Table4[[#This Row],[SalesBot]]*Table4[[#This Row],[ML]]</f>
        <v>120</v>
      </c>
      <c r="W256" s="1">
        <f>VLOOKUP(N256,Stock[#Data],6,FALSE)</f>
        <v>1710</v>
      </c>
      <c r="X256" s="8">
        <f>+Table4[[#This Row],[SalesBot]]*Table4[[#This Row],[နှုံး]]</f>
        <v>205200</v>
      </c>
      <c r="Y256" s="12"/>
      <c r="Z256" s="12"/>
      <c r="AA256" s="12"/>
      <c r="AB256" s="9"/>
      <c r="AC256" s="12">
        <v>205200</v>
      </c>
      <c r="AD256" s="9"/>
      <c r="AE256" s="12"/>
      <c r="AF25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56" s="24"/>
      <c r="AH256" s="266">
        <f>Table4[[#This Row],[Date]]</f>
        <v>46037</v>
      </c>
      <c r="AI256" s="264" t="str">
        <f t="shared" si="34"/>
        <v>Jan</v>
      </c>
      <c r="AJ256" s="264" t="str">
        <f t="shared" si="35"/>
        <v>2026</v>
      </c>
      <c r="AK256" s="270" t="str">
        <f>Table4[[#This Row],[ကုန်သည်အမည်]]</f>
        <v>ကိုကျော်ရွှေ</v>
      </c>
      <c r="AL256" s="270" t="str">
        <f>Table4[[#This Row],[Township]]</f>
        <v>Mudon</v>
      </c>
      <c r="AM256" s="271" t="str">
        <f>Table4[[#This Row],[WholeSales]]</f>
        <v>SemiWholeSales</v>
      </c>
      <c r="AN256" s="272" t="str">
        <f>Table4[[#This Row],[Particular]]</f>
        <v>ကုန်ရောင်း(လက်ငင်း)</v>
      </c>
      <c r="AO256" s="273" t="str">
        <f>Table4[[#This Row],[StockName]]</f>
        <v>ဇေယျဝတီ Red (1 Liter) 30%</v>
      </c>
      <c r="AP256" s="268">
        <f>Table4[[#This Row],[Parking]]</f>
        <v>10</v>
      </c>
      <c r="AQ256" s="268">
        <f>Table4[[#This Row],[SalesBot]]</f>
        <v>120</v>
      </c>
      <c r="AR256" s="268">
        <f>Table4[[#This Row],[Liter]]</f>
        <v>120</v>
      </c>
    </row>
    <row r="257" spans="1:44" s="16" customFormat="1" hidden="1" x14ac:dyDescent="0.5">
      <c r="A257" s="3">
        <f t="shared" si="44"/>
        <v>2026</v>
      </c>
      <c r="B257" s="8">
        <f t="shared" si="45"/>
        <v>1</v>
      </c>
      <c r="C257" s="6">
        <v>46037</v>
      </c>
      <c r="D257" s="15">
        <f t="shared" ca="1" si="46"/>
        <v>46097</v>
      </c>
      <c r="E257" s="15" t="str">
        <f t="shared" ca="1" si="47"/>
        <v>2-Months</v>
      </c>
      <c r="F257" s="8" t="str">
        <f>VLOOKUP(N257,Stock[#Data],5,FALSE)</f>
        <v>BE</v>
      </c>
      <c r="G257" s="82" t="s">
        <v>868</v>
      </c>
      <c r="H257" s="15"/>
      <c r="I257" s="7" t="s">
        <v>109</v>
      </c>
      <c r="J257" s="8" t="str">
        <f>VLOOKUP(I257,Customers[#Data],2,FALSE)</f>
        <v>ဦးမင်းလွင်</v>
      </c>
      <c r="K257" s="15" t="str">
        <f>VLOOKUP(I257,Customers[#Data],4,FALSE)</f>
        <v>Maw La Myaing</v>
      </c>
      <c r="L257" s="15" t="str">
        <f>VLOOKUP(I257,Customers[#Data],5,FALSE)</f>
        <v>WholeSales</v>
      </c>
      <c r="M257" s="7" t="s">
        <v>6</v>
      </c>
      <c r="N257" s="7" t="s">
        <v>521</v>
      </c>
      <c r="O257" s="14" t="str">
        <f>VLOOKUP(N257,Stock[#Data],2,FALSE)</f>
        <v>ဒဂုံအရက်သန့်</v>
      </c>
      <c r="P257" s="44">
        <f>VLOOKUP(N257,Stock[#Data],3,FALSE)</f>
        <v>0.64</v>
      </c>
      <c r="Q257" s="3">
        <f>VLOOKUP(N257,Stock[#Data],4,FALSE)</f>
        <v>24</v>
      </c>
      <c r="R257" s="11"/>
      <c r="S257" s="45">
        <f>IFERROR(Table4[[#This Row],[Bottle]]/Table4[[#This Row],[ပါဝင်မှု]]+Table4[[#This Row],[SalesPK]],0)</f>
        <v>50</v>
      </c>
      <c r="T257" s="12">
        <v>50</v>
      </c>
      <c r="U257" s="10">
        <f>Table4[[#This Row],[ပါဝင်မှု]]*Table4[[#This Row],[SalesPK]]+Table4[[#This Row],[Bottle]]</f>
        <v>1200</v>
      </c>
      <c r="V257" s="10">
        <f>Table4[[#This Row],[SalesBot]]*Table4[[#This Row],[ML]]</f>
        <v>768</v>
      </c>
      <c r="W257" s="1">
        <f>VLOOKUP(N257,Stock[#Data],6,FALSE)</f>
        <v>1350</v>
      </c>
      <c r="X257" s="8">
        <f>+Table4[[#This Row],[SalesBot]]*Table4[[#This Row],[နှုံး]]</f>
        <v>1620000</v>
      </c>
      <c r="Y257" s="12"/>
      <c r="Z257" s="12"/>
      <c r="AA257" s="12"/>
      <c r="AB257" s="9"/>
      <c r="AC257" s="12">
        <v>1620000</v>
      </c>
      <c r="AD257" s="9"/>
      <c r="AE257" s="12"/>
      <c r="AF25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57" s="24"/>
      <c r="AH257" s="266">
        <f>Table4[[#This Row],[Date]]</f>
        <v>46037</v>
      </c>
      <c r="AI257" s="264" t="str">
        <f t="shared" si="34"/>
        <v>Jan</v>
      </c>
      <c r="AJ257" s="264" t="str">
        <f t="shared" si="35"/>
        <v>2026</v>
      </c>
      <c r="AK257" s="270" t="str">
        <f>Table4[[#This Row],[ကုန်သည်အမည်]]</f>
        <v>ဦးမင်းလွင်</v>
      </c>
      <c r="AL257" s="270" t="str">
        <f>Table4[[#This Row],[Township]]</f>
        <v>Maw La Myaing</v>
      </c>
      <c r="AM257" s="271" t="str">
        <f>Table4[[#This Row],[WholeSales]]</f>
        <v>WholeSales</v>
      </c>
      <c r="AN257" s="272" t="str">
        <f>Table4[[#This Row],[Particular]]</f>
        <v>ကုန်ရောင်း(လက်ငင်း)</v>
      </c>
      <c r="AO257" s="273" t="str">
        <f>Table4[[#This Row],[StockName]]</f>
        <v>ဒဂုံအရက်သန့်</v>
      </c>
      <c r="AP257" s="268">
        <f>Table4[[#This Row],[Parking]]</f>
        <v>50</v>
      </c>
      <c r="AQ257" s="268">
        <f>Table4[[#This Row],[SalesBot]]</f>
        <v>1200</v>
      </c>
      <c r="AR257" s="268">
        <f>Table4[[#This Row],[Liter]]</f>
        <v>768</v>
      </c>
    </row>
    <row r="258" spans="1:44" s="16" customFormat="1" hidden="1" x14ac:dyDescent="0.5">
      <c r="A258" s="3">
        <f t="shared" si="44"/>
        <v>2026</v>
      </c>
      <c r="B258" s="8">
        <f t="shared" si="45"/>
        <v>1</v>
      </c>
      <c r="C258" s="6">
        <v>46037</v>
      </c>
      <c r="D258" s="15">
        <f t="shared" ca="1" si="46"/>
        <v>46097</v>
      </c>
      <c r="E258" s="15" t="str">
        <f t="shared" ca="1" si="47"/>
        <v>2-Months</v>
      </c>
      <c r="F258" s="8" t="str">
        <f>VLOOKUP(N258,Stock[#Data],5,FALSE)</f>
        <v>BE</v>
      </c>
      <c r="G258" s="82" t="s">
        <v>869</v>
      </c>
      <c r="H258" s="15"/>
      <c r="I258" s="7" t="s">
        <v>827</v>
      </c>
      <c r="J258" s="8" t="str">
        <f>VLOOKUP(I258,Customers[#Data],2,FALSE)</f>
        <v>မိုးဆန်းချာလီ</v>
      </c>
      <c r="K258" s="15" t="str">
        <f>VLOOKUP(I258,Customers[#Data],4,FALSE)</f>
        <v>Thein Zayet</v>
      </c>
      <c r="L258" s="15" t="str">
        <f>VLOOKUP(I258,Customers[#Data],5,FALSE)</f>
        <v>WholeSales</v>
      </c>
      <c r="M258" s="7" t="s">
        <v>6</v>
      </c>
      <c r="N258" s="7" t="s">
        <v>514</v>
      </c>
      <c r="O258" s="14" t="str">
        <f>VLOOKUP(N258,Stock[#Data],2,FALSE)</f>
        <v>ဇေယျဝတီ Red</v>
      </c>
      <c r="P258" s="44">
        <f>VLOOKUP(N258,Stock[#Data],3,FALSE)</f>
        <v>0.64</v>
      </c>
      <c r="Q258" s="3">
        <f>VLOOKUP(N258,Stock[#Data],4,FALSE)</f>
        <v>14</v>
      </c>
      <c r="R258" s="11"/>
      <c r="S258" s="45">
        <f>IFERROR(Table4[[#This Row],[Bottle]]/Table4[[#This Row],[ပါဝင်မှု]]+Table4[[#This Row],[SalesPK]],0)</f>
        <v>150</v>
      </c>
      <c r="T258" s="12">
        <v>150</v>
      </c>
      <c r="U258" s="10">
        <f>Table4[[#This Row],[ပါဝင်မှု]]*Table4[[#This Row],[SalesPK]]+Table4[[#This Row],[Bottle]]</f>
        <v>2100</v>
      </c>
      <c r="V258" s="10">
        <f>Table4[[#This Row],[SalesBot]]*Table4[[#This Row],[ML]]</f>
        <v>1344</v>
      </c>
      <c r="W258" s="1">
        <f>VLOOKUP(N258,Stock[#Data],6,FALSE)</f>
        <v>1350</v>
      </c>
      <c r="X258" s="8">
        <f>+Table4[[#This Row],[SalesBot]]*Table4[[#This Row],[နှုံး]]</f>
        <v>2835000</v>
      </c>
      <c r="Y258" s="12"/>
      <c r="Z258" s="12"/>
      <c r="AA258" s="12"/>
      <c r="AB258" s="9"/>
      <c r="AC258" s="12">
        <v>2835000</v>
      </c>
      <c r="AD258" s="9"/>
      <c r="AE258" s="12"/>
      <c r="AF25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58" s="24"/>
      <c r="AH258" s="266">
        <f>Table4[[#This Row],[Date]]</f>
        <v>46037</v>
      </c>
      <c r="AI258" s="264" t="str">
        <f t="shared" si="34"/>
        <v>Jan</v>
      </c>
      <c r="AJ258" s="264" t="str">
        <f t="shared" si="35"/>
        <v>2026</v>
      </c>
      <c r="AK258" s="270" t="str">
        <f>Table4[[#This Row],[ကုန်သည်အမည်]]</f>
        <v>မိုးဆန်းချာလီ</v>
      </c>
      <c r="AL258" s="270" t="str">
        <f>Table4[[#This Row],[Township]]</f>
        <v>Thein Zayet</v>
      </c>
      <c r="AM258" s="271" t="str">
        <f>Table4[[#This Row],[WholeSales]]</f>
        <v>WholeSales</v>
      </c>
      <c r="AN258" s="272" t="str">
        <f>Table4[[#This Row],[Particular]]</f>
        <v>ကုန်ရောင်း(လက်ငင်း)</v>
      </c>
      <c r="AO258" s="273" t="str">
        <f>Table4[[#This Row],[StockName]]</f>
        <v>ဇေယျဝတီ Red</v>
      </c>
      <c r="AP258" s="268">
        <f>Table4[[#This Row],[Parking]]</f>
        <v>150</v>
      </c>
      <c r="AQ258" s="268">
        <f>Table4[[#This Row],[SalesBot]]</f>
        <v>2100</v>
      </c>
      <c r="AR258" s="268">
        <f>Table4[[#This Row],[Liter]]</f>
        <v>1344</v>
      </c>
    </row>
    <row r="259" spans="1:44" s="16" customFormat="1" hidden="1" x14ac:dyDescent="0.5">
      <c r="A259" s="3">
        <f t="shared" si="44"/>
        <v>2026</v>
      </c>
      <c r="B259" s="8">
        <f t="shared" si="45"/>
        <v>1</v>
      </c>
      <c r="C259" s="6">
        <v>46037</v>
      </c>
      <c r="D259" s="15">
        <f t="shared" ca="1" si="46"/>
        <v>46097</v>
      </c>
      <c r="E259" s="15" t="str">
        <f t="shared" ca="1" si="47"/>
        <v>2-Months</v>
      </c>
      <c r="F259" s="8" t="str">
        <f>VLOOKUP(N259,Stock[#Data],5,FALSE)</f>
        <v>BE</v>
      </c>
      <c r="G259" s="82" t="s">
        <v>869</v>
      </c>
      <c r="H259" s="15"/>
      <c r="I259" s="7" t="s">
        <v>827</v>
      </c>
      <c r="J259" s="8" t="str">
        <f>VLOOKUP(I259,Customers[#Data],2,FALSE)</f>
        <v>မိုးဆန်းချာလီ</v>
      </c>
      <c r="K259" s="15" t="str">
        <f>VLOOKUP(I259,Customers[#Data],4,FALSE)</f>
        <v>Thein Zayet</v>
      </c>
      <c r="L259" s="15" t="str">
        <f>VLOOKUP(I259,Customers[#Data],5,FALSE)</f>
        <v>WholeSales</v>
      </c>
      <c r="M259" s="7" t="s">
        <v>6</v>
      </c>
      <c r="N259" s="7" t="s">
        <v>521</v>
      </c>
      <c r="O259" s="14" t="str">
        <f>VLOOKUP(N259,Stock[#Data],2,FALSE)</f>
        <v>ဒဂုံအရက်သန့်</v>
      </c>
      <c r="P259" s="44">
        <f>VLOOKUP(N259,Stock[#Data],3,FALSE)</f>
        <v>0.64</v>
      </c>
      <c r="Q259" s="3">
        <f>VLOOKUP(N259,Stock[#Data],4,FALSE)</f>
        <v>24</v>
      </c>
      <c r="R259" s="11"/>
      <c r="S259" s="45">
        <f>IFERROR(Table4[[#This Row],[Bottle]]/Table4[[#This Row],[ပါဝင်မှု]]+Table4[[#This Row],[SalesPK]],0)</f>
        <v>20</v>
      </c>
      <c r="T259" s="12">
        <v>20</v>
      </c>
      <c r="U259" s="10">
        <f>Table4[[#This Row],[ပါဝင်မှု]]*Table4[[#This Row],[SalesPK]]+Table4[[#This Row],[Bottle]]</f>
        <v>480</v>
      </c>
      <c r="V259" s="10">
        <f>Table4[[#This Row],[SalesBot]]*Table4[[#This Row],[ML]]</f>
        <v>307.2</v>
      </c>
      <c r="W259" s="1">
        <f>VLOOKUP(N259,Stock[#Data],6,FALSE)</f>
        <v>1350</v>
      </c>
      <c r="X259" s="8">
        <f>+Table4[[#This Row],[SalesBot]]*Table4[[#This Row],[နှုံး]]</f>
        <v>648000</v>
      </c>
      <c r="Y259" s="12"/>
      <c r="Z259" s="12"/>
      <c r="AA259" s="12"/>
      <c r="AB259" s="9"/>
      <c r="AC259" s="12">
        <v>648000</v>
      </c>
      <c r="AD259" s="9"/>
      <c r="AE259" s="12"/>
      <c r="AF25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59" s="24"/>
      <c r="AH259" s="266">
        <f>Table4[[#This Row],[Date]]</f>
        <v>46037</v>
      </c>
      <c r="AI259" s="264" t="str">
        <f t="shared" ref="AI259:AI322" si="48">TEXT(AH259,"mmm")</f>
        <v>Jan</v>
      </c>
      <c r="AJ259" s="264" t="str">
        <f t="shared" ref="AJ259:AJ322" si="49">TEXT(AH259,"yyyy")</f>
        <v>2026</v>
      </c>
      <c r="AK259" s="270" t="str">
        <f>Table4[[#This Row],[ကုန်သည်အမည်]]</f>
        <v>မိုးဆန်းချာလီ</v>
      </c>
      <c r="AL259" s="270" t="str">
        <f>Table4[[#This Row],[Township]]</f>
        <v>Thein Zayet</v>
      </c>
      <c r="AM259" s="271" t="str">
        <f>Table4[[#This Row],[WholeSales]]</f>
        <v>WholeSales</v>
      </c>
      <c r="AN259" s="272" t="str">
        <f>Table4[[#This Row],[Particular]]</f>
        <v>ကုန်ရောင်း(လက်ငင်း)</v>
      </c>
      <c r="AO259" s="273" t="str">
        <f>Table4[[#This Row],[StockName]]</f>
        <v>ဒဂုံအရက်သန့်</v>
      </c>
      <c r="AP259" s="268">
        <f>Table4[[#This Row],[Parking]]</f>
        <v>20</v>
      </c>
      <c r="AQ259" s="268">
        <f>Table4[[#This Row],[SalesBot]]</f>
        <v>480</v>
      </c>
      <c r="AR259" s="268">
        <f>Table4[[#This Row],[Liter]]</f>
        <v>307.2</v>
      </c>
    </row>
    <row r="260" spans="1:44" s="16" customFormat="1" hidden="1" x14ac:dyDescent="0.5">
      <c r="A260" s="3">
        <f t="shared" si="44"/>
        <v>2026</v>
      </c>
      <c r="B260" s="8">
        <f t="shared" si="45"/>
        <v>1</v>
      </c>
      <c r="C260" s="6">
        <v>46037</v>
      </c>
      <c r="D260" s="15">
        <f t="shared" ca="1" si="46"/>
        <v>46097</v>
      </c>
      <c r="E260" s="15" t="str">
        <f t="shared" ca="1" si="47"/>
        <v>2-Months</v>
      </c>
      <c r="F260" s="8" t="str">
        <f>VLOOKUP(N260,Stock[#Data],5,FALSE)</f>
        <v>BE</v>
      </c>
      <c r="G260" s="82" t="s">
        <v>869</v>
      </c>
      <c r="H260" s="15"/>
      <c r="I260" s="7" t="s">
        <v>827</v>
      </c>
      <c r="J260" s="8" t="str">
        <f>VLOOKUP(I260,Customers[#Data],2,FALSE)</f>
        <v>မိုးဆန်းချာလီ</v>
      </c>
      <c r="K260" s="15" t="str">
        <f>VLOOKUP(I260,Customers[#Data],4,FALSE)</f>
        <v>Thein Zayet</v>
      </c>
      <c r="L260" s="15" t="str">
        <f>VLOOKUP(I260,Customers[#Data],5,FALSE)</f>
        <v>WholeSales</v>
      </c>
      <c r="M260" s="7" t="s">
        <v>6</v>
      </c>
      <c r="N260" s="7" t="s">
        <v>517</v>
      </c>
      <c r="O260" s="14" t="str">
        <f>VLOOKUP(N260,Stock[#Data],2,FALSE)</f>
        <v>ဇေယျဝတီ Red (1 Liter) 30%</v>
      </c>
      <c r="P260" s="44">
        <f>VLOOKUP(N260,Stock[#Data],3,FALSE)</f>
        <v>1</v>
      </c>
      <c r="Q260" s="3">
        <f>VLOOKUP(N260,Stock[#Data],4,FALSE)</f>
        <v>12</v>
      </c>
      <c r="R260" s="11"/>
      <c r="S260" s="45">
        <f>IFERROR(Table4[[#This Row],[Bottle]]/Table4[[#This Row],[ပါဝင်မှု]]+Table4[[#This Row],[SalesPK]],0)</f>
        <v>50</v>
      </c>
      <c r="T260" s="12">
        <v>50</v>
      </c>
      <c r="U260" s="10">
        <f>Table4[[#This Row],[ပါဝင်မှု]]*Table4[[#This Row],[SalesPK]]+Table4[[#This Row],[Bottle]]</f>
        <v>600</v>
      </c>
      <c r="V260" s="10">
        <f>Table4[[#This Row],[SalesBot]]*Table4[[#This Row],[ML]]</f>
        <v>600</v>
      </c>
      <c r="W260" s="1">
        <f>VLOOKUP(N260,Stock[#Data],6,FALSE)</f>
        <v>1710</v>
      </c>
      <c r="X260" s="8">
        <f>+Table4[[#This Row],[SalesBot]]*Table4[[#This Row],[နှုံး]]</f>
        <v>1026000</v>
      </c>
      <c r="Y260" s="12"/>
      <c r="Z260" s="12"/>
      <c r="AA260" s="12"/>
      <c r="AB260" s="9"/>
      <c r="AC260" s="12">
        <v>1026000</v>
      </c>
      <c r="AD260" s="9"/>
      <c r="AE260" s="12"/>
      <c r="AF26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60" s="24"/>
      <c r="AH260" s="266">
        <f>Table4[[#This Row],[Date]]</f>
        <v>46037</v>
      </c>
      <c r="AI260" s="264" t="str">
        <f t="shared" si="48"/>
        <v>Jan</v>
      </c>
      <c r="AJ260" s="264" t="str">
        <f t="shared" si="49"/>
        <v>2026</v>
      </c>
      <c r="AK260" s="270" t="str">
        <f>Table4[[#This Row],[ကုန်သည်အမည်]]</f>
        <v>မိုးဆန်းချာလီ</v>
      </c>
      <c r="AL260" s="270" t="str">
        <f>Table4[[#This Row],[Township]]</f>
        <v>Thein Zayet</v>
      </c>
      <c r="AM260" s="271" t="str">
        <f>Table4[[#This Row],[WholeSales]]</f>
        <v>WholeSales</v>
      </c>
      <c r="AN260" s="272" t="str">
        <f>Table4[[#This Row],[Particular]]</f>
        <v>ကုန်ရောင်း(လက်ငင်း)</v>
      </c>
      <c r="AO260" s="273" t="str">
        <f>Table4[[#This Row],[StockName]]</f>
        <v>ဇေယျဝတီ Red (1 Liter) 30%</v>
      </c>
      <c r="AP260" s="268">
        <f>Table4[[#This Row],[Parking]]</f>
        <v>50</v>
      </c>
      <c r="AQ260" s="268">
        <f>Table4[[#This Row],[SalesBot]]</f>
        <v>600</v>
      </c>
      <c r="AR260" s="268">
        <f>Table4[[#This Row],[Liter]]</f>
        <v>600</v>
      </c>
    </row>
    <row r="261" spans="1:44" s="16" customFormat="1" hidden="1" x14ac:dyDescent="0.5">
      <c r="A261" s="3">
        <f>YEAR(C261)</f>
        <v>2026</v>
      </c>
      <c r="B261" s="8">
        <f>MONTH(C261)</f>
        <v>1</v>
      </c>
      <c r="C261" s="6">
        <v>46037</v>
      </c>
      <c r="D261" s="15">
        <f ca="1">TODAY()</f>
        <v>46097</v>
      </c>
      <c r="E261" s="15" t="str">
        <f ca="1">DATEDIF(C261,D261,"M")&amp;"-Months"</f>
        <v>2-Months</v>
      </c>
      <c r="F261" s="8" t="str">
        <f>VLOOKUP(N261,Stock[#Data],5,FALSE)</f>
        <v>BE</v>
      </c>
      <c r="G261" s="82" t="s">
        <v>870</v>
      </c>
      <c r="H261" s="15"/>
      <c r="I261" s="7" t="s">
        <v>97</v>
      </c>
      <c r="J261" s="8" t="str">
        <f>VLOOKUP(I261,Customers[#Data],2,FALSE)</f>
        <v>ကိုဘာဘူ</v>
      </c>
      <c r="K261" s="15" t="str">
        <f>VLOOKUP(I261,Customers[#Data],4,FALSE)</f>
        <v>Hpa-an</v>
      </c>
      <c r="L261" s="15" t="str">
        <f>VLOOKUP(I261,Customers[#Data],5,FALSE)</f>
        <v>SemiWholeSales</v>
      </c>
      <c r="M261" s="7" t="s">
        <v>9</v>
      </c>
      <c r="N261" s="7" t="s">
        <v>514</v>
      </c>
      <c r="O261" s="14" t="str">
        <f>VLOOKUP(N261,Stock[#Data],2,FALSE)</f>
        <v>ဇေယျဝတီ Red</v>
      </c>
      <c r="P261" s="44">
        <f>VLOOKUP(N261,Stock[#Data],3,FALSE)</f>
        <v>0.64</v>
      </c>
      <c r="Q261" s="3">
        <f>VLOOKUP(N261,Stock[#Data],4,FALSE)</f>
        <v>14</v>
      </c>
      <c r="R261" s="11">
        <v>6</v>
      </c>
      <c r="S261" s="45">
        <f>IFERROR(Table4[[#This Row],[Bottle]]/Table4[[#This Row],[ပါဝင်မှု]]+Table4[[#This Row],[SalesPK]],0)</f>
        <v>0.42857142857142855</v>
      </c>
      <c r="T261" s="12"/>
      <c r="U261" s="10">
        <f>Table4[[#This Row],[ပါဝင်မှု]]*Table4[[#This Row],[SalesPK]]+Table4[[#This Row],[Bottle]]</f>
        <v>6</v>
      </c>
      <c r="V261" s="10">
        <f>Table4[[#This Row],[SalesBot]]*Table4[[#This Row],[ML]]</f>
        <v>3.84</v>
      </c>
      <c r="W261" s="1">
        <f>VLOOKUP(N261,Stock[#Data],6,FALSE)</f>
        <v>1350</v>
      </c>
      <c r="X261" s="8">
        <f>+Table4[[#This Row],[SalesBot]]*Table4[[#This Row],[နှုံး]]</f>
        <v>8100</v>
      </c>
      <c r="Y261" s="12"/>
      <c r="Z261" s="12"/>
      <c r="AA261" s="12"/>
      <c r="AB261" s="9"/>
      <c r="AC261" s="12"/>
      <c r="AD261" s="9"/>
      <c r="AE261" s="12"/>
      <c r="AF26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8100</v>
      </c>
      <c r="AG261" s="24"/>
      <c r="AH261" s="266">
        <f>Table4[[#This Row],[Date]]</f>
        <v>46037</v>
      </c>
      <c r="AI261" s="264" t="str">
        <f t="shared" si="48"/>
        <v>Jan</v>
      </c>
      <c r="AJ261" s="264" t="str">
        <f t="shared" si="49"/>
        <v>2026</v>
      </c>
      <c r="AK261" s="270" t="str">
        <f>Table4[[#This Row],[ကုန်သည်အမည်]]</f>
        <v>ကိုဘာဘူ</v>
      </c>
      <c r="AL261" s="270" t="str">
        <f>Table4[[#This Row],[Township]]</f>
        <v>Hpa-an</v>
      </c>
      <c r="AM261" s="271" t="str">
        <f>Table4[[#This Row],[WholeSales]]</f>
        <v>SemiWholeSales</v>
      </c>
      <c r="AN261" s="272" t="str">
        <f>Table4[[#This Row],[Particular]]</f>
        <v>လက်ဆောင်</v>
      </c>
      <c r="AO261" s="273" t="str">
        <f>Table4[[#This Row],[StockName]]</f>
        <v>ဇေယျဝတီ Red</v>
      </c>
      <c r="AP261" s="268">
        <f>Table4[[#This Row],[Parking]]</f>
        <v>0.42857142857142855</v>
      </c>
      <c r="AQ261" s="268">
        <f>Table4[[#This Row],[SalesBot]]</f>
        <v>6</v>
      </c>
      <c r="AR261" s="268">
        <f>Table4[[#This Row],[Liter]]</f>
        <v>3.84</v>
      </c>
    </row>
    <row r="262" spans="1:44" s="16" customFormat="1" hidden="1" x14ac:dyDescent="0.5">
      <c r="A262" s="3">
        <f t="shared" si="44"/>
        <v>2026</v>
      </c>
      <c r="B262" s="8">
        <f t="shared" si="45"/>
        <v>1</v>
      </c>
      <c r="C262" s="6">
        <v>46037</v>
      </c>
      <c r="D262" s="15">
        <f t="shared" ca="1" si="46"/>
        <v>46097</v>
      </c>
      <c r="E262" s="15" t="str">
        <f t="shared" ca="1" si="47"/>
        <v>2-Months</v>
      </c>
      <c r="F262" s="8" t="str">
        <f>VLOOKUP(N262,Stock[#Data],5,FALSE)</f>
        <v>BE</v>
      </c>
      <c r="G262" s="82" t="s">
        <v>870</v>
      </c>
      <c r="H262" s="15"/>
      <c r="I262" s="7" t="s">
        <v>97</v>
      </c>
      <c r="J262" s="8" t="str">
        <f>VLOOKUP(I262,Customers[#Data],2,FALSE)</f>
        <v>ကိုဘာဘူ</v>
      </c>
      <c r="K262" s="15" t="str">
        <f>VLOOKUP(I262,Customers[#Data],4,FALSE)</f>
        <v>Hpa-an</v>
      </c>
      <c r="L262" s="15" t="str">
        <f>VLOOKUP(I262,Customers[#Data],5,FALSE)</f>
        <v>SemiWholeSales</v>
      </c>
      <c r="M262" s="7" t="s">
        <v>6</v>
      </c>
      <c r="N262" s="7" t="s">
        <v>514</v>
      </c>
      <c r="O262" s="14" t="str">
        <f>VLOOKUP(N262,Stock[#Data],2,FALSE)</f>
        <v>ဇေယျဝတီ Red</v>
      </c>
      <c r="P262" s="44">
        <f>VLOOKUP(N262,Stock[#Data],3,FALSE)</f>
        <v>0.64</v>
      </c>
      <c r="Q262" s="3">
        <f>VLOOKUP(N262,Stock[#Data],4,FALSE)</f>
        <v>14</v>
      </c>
      <c r="R262" s="11"/>
      <c r="S262" s="45">
        <f>IFERROR(Table4[[#This Row],[Bottle]]/Table4[[#This Row],[ပါဝင်မှု]]+Table4[[#This Row],[SalesPK]],0)</f>
        <v>130</v>
      </c>
      <c r="T262" s="12">
        <v>130</v>
      </c>
      <c r="U262" s="10">
        <f>Table4[[#This Row],[ပါဝင်မှု]]*Table4[[#This Row],[SalesPK]]+Table4[[#This Row],[Bottle]]</f>
        <v>1820</v>
      </c>
      <c r="V262" s="10">
        <f>Table4[[#This Row],[SalesBot]]*Table4[[#This Row],[ML]]</f>
        <v>1164.8</v>
      </c>
      <c r="W262" s="1">
        <f>VLOOKUP(N262,Stock[#Data],6,FALSE)</f>
        <v>1350</v>
      </c>
      <c r="X262" s="8">
        <f>+Table4[[#This Row],[SalesBot]]*Table4[[#This Row],[နှုံး]]</f>
        <v>2457000</v>
      </c>
      <c r="Y262" s="12"/>
      <c r="Z262" s="12"/>
      <c r="AA262" s="12"/>
      <c r="AB262" s="9"/>
      <c r="AC262" s="12">
        <v>2457000</v>
      </c>
      <c r="AD262" s="9"/>
      <c r="AE262" s="12"/>
      <c r="AF26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62" s="24"/>
      <c r="AH262" s="266">
        <f>Table4[[#This Row],[Date]]</f>
        <v>46037</v>
      </c>
      <c r="AI262" s="264" t="str">
        <f t="shared" si="48"/>
        <v>Jan</v>
      </c>
      <c r="AJ262" s="264" t="str">
        <f t="shared" si="49"/>
        <v>2026</v>
      </c>
      <c r="AK262" s="270" t="str">
        <f>Table4[[#This Row],[ကုန်သည်အမည်]]</f>
        <v>ကိုဘာဘူ</v>
      </c>
      <c r="AL262" s="270" t="str">
        <f>Table4[[#This Row],[Township]]</f>
        <v>Hpa-an</v>
      </c>
      <c r="AM262" s="271" t="str">
        <f>Table4[[#This Row],[WholeSales]]</f>
        <v>SemiWholeSales</v>
      </c>
      <c r="AN262" s="272" t="str">
        <f>Table4[[#This Row],[Particular]]</f>
        <v>ကုန်ရောင်း(လက်ငင်း)</v>
      </c>
      <c r="AO262" s="273" t="str">
        <f>Table4[[#This Row],[StockName]]</f>
        <v>ဇေယျဝတီ Red</v>
      </c>
      <c r="AP262" s="268">
        <f>Table4[[#This Row],[Parking]]</f>
        <v>130</v>
      </c>
      <c r="AQ262" s="268">
        <f>Table4[[#This Row],[SalesBot]]</f>
        <v>1820</v>
      </c>
      <c r="AR262" s="268">
        <f>Table4[[#This Row],[Liter]]</f>
        <v>1164.8</v>
      </c>
    </row>
    <row r="263" spans="1:44" s="16" customFormat="1" hidden="1" x14ac:dyDescent="0.5">
      <c r="A263" s="3">
        <f t="shared" si="44"/>
        <v>2026</v>
      </c>
      <c r="B263" s="8">
        <f t="shared" si="45"/>
        <v>1</v>
      </c>
      <c r="C263" s="6">
        <v>46037</v>
      </c>
      <c r="D263" s="15">
        <f t="shared" ca="1" si="46"/>
        <v>46097</v>
      </c>
      <c r="E263" s="15" t="str">
        <f t="shared" ca="1" si="47"/>
        <v>2-Months</v>
      </c>
      <c r="F263" s="8" t="str">
        <f>VLOOKUP(N263,Stock[#Data],5,FALSE)</f>
        <v>BE</v>
      </c>
      <c r="G263" s="82" t="s">
        <v>870</v>
      </c>
      <c r="H263" s="15"/>
      <c r="I263" s="7" t="s">
        <v>97</v>
      </c>
      <c r="J263" s="8" t="str">
        <f>VLOOKUP(I263,Customers[#Data],2,FALSE)</f>
        <v>ကိုဘာဘူ</v>
      </c>
      <c r="K263" s="15" t="str">
        <f>VLOOKUP(I263,Customers[#Data],4,FALSE)</f>
        <v>Hpa-an</v>
      </c>
      <c r="L263" s="15" t="str">
        <f>VLOOKUP(I263,Customers[#Data],5,FALSE)</f>
        <v>SemiWholeSales</v>
      </c>
      <c r="M263" s="7" t="s">
        <v>6</v>
      </c>
      <c r="N263" s="7" t="s">
        <v>517</v>
      </c>
      <c r="O263" s="14" t="str">
        <f>VLOOKUP(N263,Stock[#Data],2,FALSE)</f>
        <v>ဇေယျဝတီ Red (1 Liter) 30%</v>
      </c>
      <c r="P263" s="44">
        <f>VLOOKUP(N263,Stock[#Data],3,FALSE)</f>
        <v>1</v>
      </c>
      <c r="Q263" s="3">
        <f>VLOOKUP(N263,Stock[#Data],4,FALSE)</f>
        <v>12</v>
      </c>
      <c r="R263" s="11"/>
      <c r="S263" s="45">
        <f>IFERROR(Table4[[#This Row],[Bottle]]/Table4[[#This Row],[ပါဝင်မှု]]+Table4[[#This Row],[SalesPK]],0)</f>
        <v>70</v>
      </c>
      <c r="T263" s="12">
        <v>70</v>
      </c>
      <c r="U263" s="10">
        <f>Table4[[#This Row],[ပါဝင်မှု]]*Table4[[#This Row],[SalesPK]]+Table4[[#This Row],[Bottle]]</f>
        <v>840</v>
      </c>
      <c r="V263" s="10">
        <f>Table4[[#This Row],[SalesBot]]*Table4[[#This Row],[ML]]</f>
        <v>840</v>
      </c>
      <c r="W263" s="1">
        <f>VLOOKUP(N263,Stock[#Data],6,FALSE)</f>
        <v>1710</v>
      </c>
      <c r="X263" s="8">
        <f>+Table4[[#This Row],[SalesBot]]*Table4[[#This Row],[နှုံး]]</f>
        <v>1436400</v>
      </c>
      <c r="Y263" s="12"/>
      <c r="Z263" s="12"/>
      <c r="AA263" s="12"/>
      <c r="AB263" s="9"/>
      <c r="AC263" s="12">
        <v>1436400</v>
      </c>
      <c r="AD263" s="9"/>
      <c r="AE263" s="12"/>
      <c r="AF26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63" s="24"/>
      <c r="AH263" s="266">
        <f>Table4[[#This Row],[Date]]</f>
        <v>46037</v>
      </c>
      <c r="AI263" s="264" t="str">
        <f t="shared" si="48"/>
        <v>Jan</v>
      </c>
      <c r="AJ263" s="264" t="str">
        <f t="shared" si="49"/>
        <v>2026</v>
      </c>
      <c r="AK263" s="270" t="str">
        <f>Table4[[#This Row],[ကုန်သည်အမည်]]</f>
        <v>ကိုဘာဘူ</v>
      </c>
      <c r="AL263" s="270" t="str">
        <f>Table4[[#This Row],[Township]]</f>
        <v>Hpa-an</v>
      </c>
      <c r="AM263" s="271" t="str">
        <f>Table4[[#This Row],[WholeSales]]</f>
        <v>SemiWholeSales</v>
      </c>
      <c r="AN263" s="272" t="str">
        <f>Table4[[#This Row],[Particular]]</f>
        <v>ကုန်ရောင်း(လက်ငင်း)</v>
      </c>
      <c r="AO263" s="273" t="str">
        <f>Table4[[#This Row],[StockName]]</f>
        <v>ဇေယျဝတီ Red (1 Liter) 30%</v>
      </c>
      <c r="AP263" s="268">
        <f>Table4[[#This Row],[Parking]]</f>
        <v>70</v>
      </c>
      <c r="AQ263" s="268">
        <f>Table4[[#This Row],[SalesBot]]</f>
        <v>840</v>
      </c>
      <c r="AR263" s="268">
        <f>Table4[[#This Row],[Liter]]</f>
        <v>840</v>
      </c>
    </row>
    <row r="264" spans="1:44" s="16" customFormat="1" hidden="1" x14ac:dyDescent="0.5">
      <c r="A264" s="3">
        <f t="shared" ref="A264:A301" si="50">YEAR(C264)</f>
        <v>2026</v>
      </c>
      <c r="B264" s="8">
        <f t="shared" ref="B264:B301" si="51">MONTH(C264)</f>
        <v>1</v>
      </c>
      <c r="C264" s="6">
        <v>46038</v>
      </c>
      <c r="D264" s="15">
        <f t="shared" ref="D264:D301" ca="1" si="52">TODAY()</f>
        <v>46097</v>
      </c>
      <c r="E264" s="15" t="str">
        <f t="shared" ref="E264:E301" ca="1" si="53">DATEDIF(C264,D264,"M")&amp;"-Months"</f>
        <v>2-Months</v>
      </c>
      <c r="F264" s="8" t="str">
        <f>VLOOKUP(N264,Stock[#Data],5,FALSE)</f>
        <v>BE</v>
      </c>
      <c r="G264" s="82" t="s">
        <v>1063</v>
      </c>
      <c r="H264" s="15"/>
      <c r="I264" s="7" t="s">
        <v>93</v>
      </c>
      <c r="J264" s="8" t="str">
        <f>VLOOKUP(I264,Customers[#Data],2,FALSE)</f>
        <v>မဝင့်ဝါထိုက်(ရွှေပင်လယ်)</v>
      </c>
      <c r="K264" s="15" t="str">
        <f>VLOOKUP(I264,Customers[#Data],4,FALSE)</f>
        <v>Yay</v>
      </c>
      <c r="L264" s="15" t="str">
        <f>VLOOKUP(I264,Customers[#Data],5,FALSE)</f>
        <v>WholeSales</v>
      </c>
      <c r="M264" s="7" t="s">
        <v>120</v>
      </c>
      <c r="N264" s="7" t="s">
        <v>514</v>
      </c>
      <c r="O264" s="14" t="str">
        <f>VLOOKUP(N264,Stock[#Data],2,FALSE)</f>
        <v>ဇေယျဝတီ Red</v>
      </c>
      <c r="P264" s="44">
        <f>VLOOKUP(N264,Stock[#Data],3,FALSE)</f>
        <v>0.64</v>
      </c>
      <c r="Q264" s="3">
        <f>VLOOKUP(N264,Stock[#Data],4,FALSE)</f>
        <v>14</v>
      </c>
      <c r="R264" s="11"/>
      <c r="S264" s="45">
        <f>IFERROR(Table4[[#This Row],[Bottle]]/Table4[[#This Row],[ပါဝင်မှု]]+Table4[[#This Row],[SalesPK]],0)</f>
        <v>100</v>
      </c>
      <c r="T264" s="12">
        <v>100</v>
      </c>
      <c r="U264" s="10">
        <f>Table4[[#This Row],[ပါဝင်မှု]]*Table4[[#This Row],[SalesPK]]+Table4[[#This Row],[Bottle]]</f>
        <v>1400</v>
      </c>
      <c r="V264" s="10">
        <f>Table4[[#This Row],[SalesBot]]*Table4[[#This Row],[ML]]</f>
        <v>896</v>
      </c>
      <c r="W264" s="1">
        <f>VLOOKUP(N264,Stock[#Data],6,FALSE)</f>
        <v>1350</v>
      </c>
      <c r="X264" s="8">
        <f>+Table4[[#This Row],[SalesBot]]*Table4[[#This Row],[နှုံး]]</f>
        <v>1890000</v>
      </c>
      <c r="Y264" s="12"/>
      <c r="Z264" s="12"/>
      <c r="AA264" s="12"/>
      <c r="AB264" s="9"/>
      <c r="AC264" s="12"/>
      <c r="AD264" s="9"/>
      <c r="AE264" s="12"/>
      <c r="AF26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264" s="24"/>
      <c r="AH264" s="266">
        <f>Table4[[#This Row],[Date]]</f>
        <v>46038</v>
      </c>
      <c r="AI264" s="264" t="str">
        <f t="shared" si="48"/>
        <v>Jan</v>
      </c>
      <c r="AJ264" s="264" t="str">
        <f t="shared" si="49"/>
        <v>2026</v>
      </c>
      <c r="AK264" s="270" t="str">
        <f>Table4[[#This Row],[ကုန်သည်အမည်]]</f>
        <v>မဝင့်ဝါထိုက်(ရွှေပင်လယ်)</v>
      </c>
      <c r="AL264" s="270" t="str">
        <f>Table4[[#This Row],[Township]]</f>
        <v>Yay</v>
      </c>
      <c r="AM264" s="271" t="str">
        <f>Table4[[#This Row],[WholeSales]]</f>
        <v>WholeSales</v>
      </c>
      <c r="AN264" s="272" t="str">
        <f>Table4[[#This Row],[Particular]]</f>
        <v>ကြိုရောင်း</v>
      </c>
      <c r="AO264" s="273" t="str">
        <f>Table4[[#This Row],[StockName]]</f>
        <v>ဇေယျဝတီ Red</v>
      </c>
      <c r="AP264" s="268">
        <f>Table4[[#This Row],[Parking]]</f>
        <v>100</v>
      </c>
      <c r="AQ264" s="268">
        <f>Table4[[#This Row],[SalesBot]]</f>
        <v>1400</v>
      </c>
      <c r="AR264" s="268">
        <f>Table4[[#This Row],[Liter]]</f>
        <v>896</v>
      </c>
    </row>
    <row r="265" spans="1:44" s="16" customFormat="1" hidden="1" x14ac:dyDescent="0.5">
      <c r="A265" s="3">
        <f t="shared" si="50"/>
        <v>2026</v>
      </c>
      <c r="B265" s="8">
        <f t="shared" si="51"/>
        <v>1</v>
      </c>
      <c r="C265" s="6">
        <v>46038</v>
      </c>
      <c r="D265" s="15">
        <f t="shared" ca="1" si="52"/>
        <v>46097</v>
      </c>
      <c r="E265" s="15" t="str">
        <f t="shared" ca="1" si="53"/>
        <v>2-Months</v>
      </c>
      <c r="F265" s="8" t="str">
        <f>VLOOKUP(N265,Stock[#Data],5,FALSE)</f>
        <v>BE</v>
      </c>
      <c r="G265" s="82" t="s">
        <v>1064</v>
      </c>
      <c r="H265" s="15"/>
      <c r="I265" s="7" t="s">
        <v>95</v>
      </c>
      <c r="J265" s="8" t="str">
        <f>VLOOKUP(I265,Customers[#Data],2,FALSE)</f>
        <v>ကျော်စတား</v>
      </c>
      <c r="K265" s="15" t="str">
        <f>VLOOKUP(I265,Customers[#Data],4,FALSE)</f>
        <v>Yay</v>
      </c>
      <c r="L265" s="15" t="str">
        <f>VLOOKUP(I265,Customers[#Data],5,FALSE)</f>
        <v>WholeSales</v>
      </c>
      <c r="M265" s="7" t="s">
        <v>7</v>
      </c>
      <c r="N265" s="7" t="s">
        <v>514</v>
      </c>
      <c r="O265" s="14" t="str">
        <f>VLOOKUP(N265,Stock[#Data],2,FALSE)</f>
        <v>ဇေယျဝတီ Red</v>
      </c>
      <c r="P265" s="44">
        <f>VLOOKUP(N265,Stock[#Data],3,FALSE)</f>
        <v>0.64</v>
      </c>
      <c r="Q265" s="3">
        <f>VLOOKUP(N265,Stock[#Data],4,FALSE)</f>
        <v>14</v>
      </c>
      <c r="R265" s="11"/>
      <c r="S265" s="45">
        <f>IFERROR(Table4[[#This Row],[Bottle]]/Table4[[#This Row],[ပါဝင်မှု]]+Table4[[#This Row],[SalesPK]],0)</f>
        <v>100</v>
      </c>
      <c r="T265" s="12">
        <v>100</v>
      </c>
      <c r="U265" s="10">
        <f>Table4[[#This Row],[ပါဝင်မှု]]*Table4[[#This Row],[SalesPK]]+Table4[[#This Row],[Bottle]]</f>
        <v>1400</v>
      </c>
      <c r="V265" s="10">
        <f>Table4[[#This Row],[SalesBot]]*Table4[[#This Row],[ML]]</f>
        <v>896</v>
      </c>
      <c r="W265" s="1">
        <f>VLOOKUP(N265,Stock[#Data],6,FALSE)</f>
        <v>1350</v>
      </c>
      <c r="X265" s="8">
        <f>+Table4[[#This Row],[SalesBot]]*Table4[[#This Row],[နှုံး]]</f>
        <v>1890000</v>
      </c>
      <c r="Y265" s="12"/>
      <c r="Z265" s="12"/>
      <c r="AA265" s="12"/>
      <c r="AB265" s="9"/>
      <c r="AC265" s="12">
        <v>1890000</v>
      </c>
      <c r="AD265" s="9"/>
      <c r="AE265" s="12"/>
      <c r="AF26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65" s="24"/>
      <c r="AH265" s="266">
        <f>Table4[[#This Row],[Date]]</f>
        <v>46038</v>
      </c>
      <c r="AI265" s="264" t="str">
        <f t="shared" si="48"/>
        <v>Jan</v>
      </c>
      <c r="AJ265" s="264" t="str">
        <f t="shared" si="49"/>
        <v>2026</v>
      </c>
      <c r="AK265" s="270" t="str">
        <f>Table4[[#This Row],[ကုန်သည်အမည်]]</f>
        <v>ကျော်စတား</v>
      </c>
      <c r="AL265" s="270" t="str">
        <f>Table4[[#This Row],[Township]]</f>
        <v>Yay</v>
      </c>
      <c r="AM265" s="271" t="str">
        <f>Table4[[#This Row],[WholeSales]]</f>
        <v>WholeSales</v>
      </c>
      <c r="AN265" s="272" t="str">
        <f>Table4[[#This Row],[Particular]]</f>
        <v>ကုန်ရောင်း(အကြွေး)</v>
      </c>
      <c r="AO265" s="273" t="str">
        <f>Table4[[#This Row],[StockName]]</f>
        <v>ဇေယျဝတီ Red</v>
      </c>
      <c r="AP265" s="268">
        <f>Table4[[#This Row],[Parking]]</f>
        <v>100</v>
      </c>
      <c r="AQ265" s="268">
        <f>Table4[[#This Row],[SalesBot]]</f>
        <v>1400</v>
      </c>
      <c r="AR265" s="268">
        <f>Table4[[#This Row],[Liter]]</f>
        <v>896</v>
      </c>
    </row>
    <row r="266" spans="1:44" s="16" customFormat="1" hidden="1" x14ac:dyDescent="0.5">
      <c r="A266" s="3">
        <f t="shared" si="50"/>
        <v>2026</v>
      </c>
      <c r="B266" s="8">
        <f t="shared" si="51"/>
        <v>1</v>
      </c>
      <c r="C266" s="6">
        <v>46038</v>
      </c>
      <c r="D266" s="15">
        <f t="shared" ca="1" si="52"/>
        <v>46097</v>
      </c>
      <c r="E266" s="15" t="str">
        <f t="shared" ca="1" si="53"/>
        <v>2-Months</v>
      </c>
      <c r="F266" s="8" t="str">
        <f>VLOOKUP(N266,Stock[#Data],5,FALSE)</f>
        <v>BE</v>
      </c>
      <c r="G266" s="82" t="s">
        <v>1065</v>
      </c>
      <c r="H266" s="15"/>
      <c r="I266" s="7" t="s">
        <v>95</v>
      </c>
      <c r="J266" s="8" t="str">
        <f>VLOOKUP(I266,Customers[#Data],2,FALSE)</f>
        <v>ကျော်စတား</v>
      </c>
      <c r="K266" s="15" t="str">
        <f>VLOOKUP(I266,Customers[#Data],4,FALSE)</f>
        <v>Yay</v>
      </c>
      <c r="L266" s="15" t="str">
        <f>VLOOKUP(I266,Customers[#Data],5,FALSE)</f>
        <v>WholeSales</v>
      </c>
      <c r="M266" s="7" t="s">
        <v>7</v>
      </c>
      <c r="N266" s="7" t="s">
        <v>514</v>
      </c>
      <c r="O266" s="14" t="str">
        <f>VLOOKUP(N266,Stock[#Data],2,FALSE)</f>
        <v>ဇေယျဝတီ Red</v>
      </c>
      <c r="P266" s="44">
        <f>VLOOKUP(N266,Stock[#Data],3,FALSE)</f>
        <v>0.64</v>
      </c>
      <c r="Q266" s="3">
        <f>VLOOKUP(N266,Stock[#Data],4,FALSE)</f>
        <v>14</v>
      </c>
      <c r="R266" s="11"/>
      <c r="S266" s="45">
        <f>IFERROR(Table4[[#This Row],[Bottle]]/Table4[[#This Row],[ပါဝင်မှု]]+Table4[[#This Row],[SalesPK]],0)</f>
        <v>100</v>
      </c>
      <c r="T266" s="12">
        <v>100</v>
      </c>
      <c r="U266" s="10">
        <f>Table4[[#This Row],[ပါဝင်မှု]]*Table4[[#This Row],[SalesPK]]+Table4[[#This Row],[Bottle]]</f>
        <v>1400</v>
      </c>
      <c r="V266" s="10">
        <f>Table4[[#This Row],[SalesBot]]*Table4[[#This Row],[ML]]</f>
        <v>896</v>
      </c>
      <c r="W266" s="1">
        <f>VLOOKUP(N266,Stock[#Data],6,FALSE)</f>
        <v>1350</v>
      </c>
      <c r="X266" s="8">
        <f>+Table4[[#This Row],[SalesBot]]*Table4[[#This Row],[နှုံး]]</f>
        <v>1890000</v>
      </c>
      <c r="Y266" s="12"/>
      <c r="Z266" s="12"/>
      <c r="AA266" s="12"/>
      <c r="AB266" s="9"/>
      <c r="AC266" s="12"/>
      <c r="AD266" s="9"/>
      <c r="AE266" s="12"/>
      <c r="AF26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266" s="24"/>
      <c r="AH266" s="266">
        <f>Table4[[#This Row],[Date]]</f>
        <v>46038</v>
      </c>
      <c r="AI266" s="264" t="str">
        <f t="shared" si="48"/>
        <v>Jan</v>
      </c>
      <c r="AJ266" s="264" t="str">
        <f t="shared" si="49"/>
        <v>2026</v>
      </c>
      <c r="AK266" s="270" t="str">
        <f>Table4[[#This Row],[ကုန်သည်အမည်]]</f>
        <v>ကျော်စတား</v>
      </c>
      <c r="AL266" s="270" t="str">
        <f>Table4[[#This Row],[Township]]</f>
        <v>Yay</v>
      </c>
      <c r="AM266" s="271" t="str">
        <f>Table4[[#This Row],[WholeSales]]</f>
        <v>WholeSales</v>
      </c>
      <c r="AN266" s="272" t="str">
        <f>Table4[[#This Row],[Particular]]</f>
        <v>ကုန်ရောင်း(အကြွေး)</v>
      </c>
      <c r="AO266" s="273" t="str">
        <f>Table4[[#This Row],[StockName]]</f>
        <v>ဇေယျဝတီ Red</v>
      </c>
      <c r="AP266" s="268">
        <f>Table4[[#This Row],[Parking]]</f>
        <v>100</v>
      </c>
      <c r="AQ266" s="268">
        <f>Table4[[#This Row],[SalesBot]]</f>
        <v>1400</v>
      </c>
      <c r="AR266" s="268">
        <f>Table4[[#This Row],[Liter]]</f>
        <v>896</v>
      </c>
    </row>
    <row r="267" spans="1:44" s="16" customFormat="1" hidden="1" x14ac:dyDescent="0.5">
      <c r="A267" s="3">
        <f t="shared" si="50"/>
        <v>2026</v>
      </c>
      <c r="B267" s="8">
        <f t="shared" si="51"/>
        <v>1</v>
      </c>
      <c r="C267" s="6">
        <v>46038</v>
      </c>
      <c r="D267" s="15">
        <f t="shared" ca="1" si="52"/>
        <v>46097</v>
      </c>
      <c r="E267" s="15" t="str">
        <f t="shared" ca="1" si="53"/>
        <v>2-Months</v>
      </c>
      <c r="F267" s="8" t="str">
        <f>VLOOKUP(N267,Stock[#Data],5,FALSE)</f>
        <v>BE</v>
      </c>
      <c r="G267" s="82" t="s">
        <v>1066</v>
      </c>
      <c r="H267" s="15"/>
      <c r="I267" s="7" t="s">
        <v>101</v>
      </c>
      <c r="J267" s="8" t="str">
        <f>VLOOKUP(I267,Customers[#Data],2,FALSE)</f>
        <v>ကိုမောင်+မသူဇာ</v>
      </c>
      <c r="K267" s="15" t="str">
        <f>VLOOKUP(I267,Customers[#Data],4,FALSE)</f>
        <v>Yay</v>
      </c>
      <c r="L267" s="15" t="str">
        <f>VLOOKUP(I267,Customers[#Data],5,FALSE)</f>
        <v>WholeSales</v>
      </c>
      <c r="M267" s="7" t="s">
        <v>7</v>
      </c>
      <c r="N267" s="7" t="s">
        <v>517</v>
      </c>
      <c r="O267" s="14" t="str">
        <f>VLOOKUP(N267,Stock[#Data],2,FALSE)</f>
        <v>ဇေယျဝတီ Red (1 Liter) 30%</v>
      </c>
      <c r="P267" s="44">
        <f>VLOOKUP(N267,Stock[#Data],3,FALSE)</f>
        <v>1</v>
      </c>
      <c r="Q267" s="3">
        <f>VLOOKUP(N267,Stock[#Data],4,FALSE)</f>
        <v>12</v>
      </c>
      <c r="R267" s="11"/>
      <c r="S267" s="45">
        <f>IFERROR(Table4[[#This Row],[Bottle]]/Table4[[#This Row],[ပါဝင်မှု]]+Table4[[#This Row],[SalesPK]],0)</f>
        <v>100</v>
      </c>
      <c r="T267" s="12">
        <v>100</v>
      </c>
      <c r="U267" s="10">
        <f>Table4[[#This Row],[ပါဝင်မှု]]*Table4[[#This Row],[SalesPK]]+Table4[[#This Row],[Bottle]]</f>
        <v>1200</v>
      </c>
      <c r="V267" s="10">
        <f>Table4[[#This Row],[SalesBot]]*Table4[[#This Row],[ML]]</f>
        <v>1200</v>
      </c>
      <c r="W267" s="1">
        <f>VLOOKUP(N267,Stock[#Data],6,FALSE)</f>
        <v>1710</v>
      </c>
      <c r="X267" s="8">
        <f>+Table4[[#This Row],[SalesBot]]*Table4[[#This Row],[နှုံး]]</f>
        <v>2052000</v>
      </c>
      <c r="Y267" s="12"/>
      <c r="Z267" s="12"/>
      <c r="AA267" s="12"/>
      <c r="AB267" s="9"/>
      <c r="AC267" s="12"/>
      <c r="AD267" s="9"/>
      <c r="AE267" s="12"/>
      <c r="AF26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267" s="24"/>
      <c r="AH267" s="266">
        <f>Table4[[#This Row],[Date]]</f>
        <v>46038</v>
      </c>
      <c r="AI267" s="264" t="str">
        <f t="shared" si="48"/>
        <v>Jan</v>
      </c>
      <c r="AJ267" s="264" t="str">
        <f t="shared" si="49"/>
        <v>2026</v>
      </c>
      <c r="AK267" s="270" t="str">
        <f>Table4[[#This Row],[ကုန်သည်အမည်]]</f>
        <v>ကိုမောင်+မသူဇာ</v>
      </c>
      <c r="AL267" s="270" t="str">
        <f>Table4[[#This Row],[Township]]</f>
        <v>Yay</v>
      </c>
      <c r="AM267" s="271" t="str">
        <f>Table4[[#This Row],[WholeSales]]</f>
        <v>WholeSales</v>
      </c>
      <c r="AN267" s="272" t="str">
        <f>Table4[[#This Row],[Particular]]</f>
        <v>ကုန်ရောင်း(အကြွေး)</v>
      </c>
      <c r="AO267" s="273" t="str">
        <f>Table4[[#This Row],[StockName]]</f>
        <v>ဇေယျဝတီ Red (1 Liter) 30%</v>
      </c>
      <c r="AP267" s="268">
        <f>Table4[[#This Row],[Parking]]</f>
        <v>100</v>
      </c>
      <c r="AQ267" s="268">
        <f>Table4[[#This Row],[SalesBot]]</f>
        <v>1200</v>
      </c>
      <c r="AR267" s="268">
        <f>Table4[[#This Row],[Liter]]</f>
        <v>1200</v>
      </c>
    </row>
    <row r="268" spans="1:44" s="16" customFormat="1" hidden="1" x14ac:dyDescent="0.5">
      <c r="A268" s="3">
        <f t="shared" si="50"/>
        <v>2026</v>
      </c>
      <c r="B268" s="8">
        <f t="shared" si="51"/>
        <v>1</v>
      </c>
      <c r="C268" s="6">
        <v>46038</v>
      </c>
      <c r="D268" s="15">
        <f t="shared" ca="1" si="52"/>
        <v>46097</v>
      </c>
      <c r="E268" s="15" t="str">
        <f t="shared" ca="1" si="53"/>
        <v>2-Months</v>
      </c>
      <c r="F268" s="8" t="str">
        <f>VLOOKUP(N268,Stock[#Data],5,FALSE)</f>
        <v>BE</v>
      </c>
      <c r="G268" s="82" t="s">
        <v>1067</v>
      </c>
      <c r="H268" s="15"/>
      <c r="I268" s="7" t="s">
        <v>81</v>
      </c>
      <c r="J268" s="8" t="str">
        <f>VLOOKUP(I268,Customers[#Data],2,FALSE)</f>
        <v>OMG</v>
      </c>
      <c r="K268" s="15" t="str">
        <f>VLOOKUP(I268,Customers[#Data],4,FALSE)</f>
        <v>Maw La Myaing</v>
      </c>
      <c r="L268" s="15" t="str">
        <f>VLOOKUP(I268,Customers[#Data],5,FALSE)</f>
        <v>Van Sales</v>
      </c>
      <c r="M268" s="7" t="s">
        <v>6</v>
      </c>
      <c r="N268" s="7" t="s">
        <v>516</v>
      </c>
      <c r="O268" s="14" t="str">
        <f>VLOOKUP(N268,Stock[#Data],2,FALSE)</f>
        <v>ဇေ Vodka</v>
      </c>
      <c r="P268" s="44">
        <f>VLOOKUP(N268,Stock[#Data],3,FALSE)</f>
        <v>0.64</v>
      </c>
      <c r="Q268" s="3">
        <f>VLOOKUP(N268,Stock[#Data],4,FALSE)</f>
        <v>14</v>
      </c>
      <c r="R268" s="11"/>
      <c r="S268" s="45">
        <f>IFERROR(Table4[[#This Row],[Bottle]]/Table4[[#This Row],[ပါဝင်မှု]]+Table4[[#This Row],[SalesPK]],0)</f>
        <v>5</v>
      </c>
      <c r="T268" s="12">
        <v>5</v>
      </c>
      <c r="U268" s="10">
        <f>Table4[[#This Row],[ပါဝင်မှု]]*Table4[[#This Row],[SalesPK]]+Table4[[#This Row],[Bottle]]</f>
        <v>70</v>
      </c>
      <c r="V268" s="10">
        <f>Table4[[#This Row],[SalesBot]]*Table4[[#This Row],[ML]]</f>
        <v>44.800000000000004</v>
      </c>
      <c r="W268" s="1">
        <f>VLOOKUP(N268,Stock[#Data],6,FALSE)</f>
        <v>1400</v>
      </c>
      <c r="X268" s="8">
        <f>+Table4[[#This Row],[SalesBot]]*Table4[[#This Row],[နှုံး]]</f>
        <v>98000</v>
      </c>
      <c r="Y268" s="12"/>
      <c r="Z268" s="12"/>
      <c r="AA268" s="12"/>
      <c r="AB268" s="9"/>
      <c r="AC268" s="12">
        <v>98000</v>
      </c>
      <c r="AD268" s="9"/>
      <c r="AE268" s="12"/>
      <c r="AF26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68" s="24"/>
      <c r="AH268" s="266">
        <f>Table4[[#This Row],[Date]]</f>
        <v>46038</v>
      </c>
      <c r="AI268" s="264" t="str">
        <f t="shared" si="48"/>
        <v>Jan</v>
      </c>
      <c r="AJ268" s="264" t="str">
        <f t="shared" si="49"/>
        <v>2026</v>
      </c>
      <c r="AK268" s="270" t="str">
        <f>Table4[[#This Row],[ကုန်သည်အမည်]]</f>
        <v>OMG</v>
      </c>
      <c r="AL268" s="270" t="str">
        <f>Table4[[#This Row],[Township]]</f>
        <v>Maw La Myaing</v>
      </c>
      <c r="AM268" s="271" t="str">
        <f>Table4[[#This Row],[WholeSales]]</f>
        <v>Van Sales</v>
      </c>
      <c r="AN268" s="272" t="str">
        <f>Table4[[#This Row],[Particular]]</f>
        <v>ကုန်ရောင်း(လက်ငင်း)</v>
      </c>
      <c r="AO268" s="273" t="str">
        <f>Table4[[#This Row],[StockName]]</f>
        <v>ဇေ Vodka</v>
      </c>
      <c r="AP268" s="268">
        <f>Table4[[#This Row],[Parking]]</f>
        <v>5</v>
      </c>
      <c r="AQ268" s="268">
        <f>Table4[[#This Row],[SalesBot]]</f>
        <v>70</v>
      </c>
      <c r="AR268" s="268">
        <f>Table4[[#This Row],[Liter]]</f>
        <v>44.800000000000004</v>
      </c>
    </row>
    <row r="269" spans="1:44" s="16" customFormat="1" hidden="1" x14ac:dyDescent="0.5">
      <c r="A269" s="3">
        <f t="shared" si="50"/>
        <v>2026</v>
      </c>
      <c r="B269" s="8">
        <f t="shared" si="51"/>
        <v>1</v>
      </c>
      <c r="C269" s="6">
        <v>46038</v>
      </c>
      <c r="D269" s="15">
        <f t="shared" ca="1" si="52"/>
        <v>46097</v>
      </c>
      <c r="E269" s="15" t="str">
        <f t="shared" ca="1" si="53"/>
        <v>2-Months</v>
      </c>
      <c r="F269" s="8" t="str">
        <f>VLOOKUP(N269,Stock[#Data],5,FALSE)</f>
        <v>BE</v>
      </c>
      <c r="G269" s="82" t="s">
        <v>1068</v>
      </c>
      <c r="H269" s="15"/>
      <c r="I269" s="7" t="s">
        <v>106</v>
      </c>
      <c r="J269" s="8" t="str">
        <f>VLOOKUP(I269,Customers[#Data],2,FALSE)</f>
        <v>ကိုမျိုးအောင်</v>
      </c>
      <c r="K269" s="15" t="str">
        <f>VLOOKUP(I269,Customers[#Data],4,FALSE)</f>
        <v>Maw La Myaing</v>
      </c>
      <c r="L269" s="15" t="str">
        <f>VLOOKUP(I269,Customers[#Data],5,FALSE)</f>
        <v>WholeSales</v>
      </c>
      <c r="M269" s="7" t="s">
        <v>6</v>
      </c>
      <c r="N269" s="7" t="s">
        <v>516</v>
      </c>
      <c r="O269" s="14" t="str">
        <f>VLOOKUP(N269,Stock[#Data],2,FALSE)</f>
        <v>ဇေ Vodka</v>
      </c>
      <c r="P269" s="44">
        <f>VLOOKUP(N269,Stock[#Data],3,FALSE)</f>
        <v>0.64</v>
      </c>
      <c r="Q269" s="3">
        <f>VLOOKUP(N269,Stock[#Data],4,FALSE)</f>
        <v>14</v>
      </c>
      <c r="R269" s="11"/>
      <c r="S269" s="45">
        <f>IFERROR(Table4[[#This Row],[Bottle]]/Table4[[#This Row],[ပါဝင်မှု]]+Table4[[#This Row],[SalesPK]],0)</f>
        <v>15</v>
      </c>
      <c r="T269" s="12">
        <v>15</v>
      </c>
      <c r="U269" s="10">
        <f>Table4[[#This Row],[ပါဝင်မှု]]*Table4[[#This Row],[SalesPK]]+Table4[[#This Row],[Bottle]]</f>
        <v>210</v>
      </c>
      <c r="V269" s="10">
        <f>Table4[[#This Row],[SalesBot]]*Table4[[#This Row],[ML]]</f>
        <v>134.4</v>
      </c>
      <c r="W269" s="1">
        <f>VLOOKUP(N269,Stock[#Data],6,FALSE)</f>
        <v>1400</v>
      </c>
      <c r="X269" s="8">
        <f>+Table4[[#This Row],[SalesBot]]*Table4[[#This Row],[နှုံး]]</f>
        <v>294000</v>
      </c>
      <c r="Y269" s="12"/>
      <c r="Z269" s="12"/>
      <c r="AA269" s="12"/>
      <c r="AB269" s="9"/>
      <c r="AC269" s="12">
        <v>294000</v>
      </c>
      <c r="AD269" s="9"/>
      <c r="AE269" s="12"/>
      <c r="AF26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69" s="24"/>
      <c r="AH269" s="266">
        <f>Table4[[#This Row],[Date]]</f>
        <v>46038</v>
      </c>
      <c r="AI269" s="264" t="str">
        <f t="shared" si="48"/>
        <v>Jan</v>
      </c>
      <c r="AJ269" s="264" t="str">
        <f t="shared" si="49"/>
        <v>2026</v>
      </c>
      <c r="AK269" s="270" t="str">
        <f>Table4[[#This Row],[ကုန်သည်အမည်]]</f>
        <v>ကိုမျိုးအောင်</v>
      </c>
      <c r="AL269" s="270" t="str">
        <f>Table4[[#This Row],[Township]]</f>
        <v>Maw La Myaing</v>
      </c>
      <c r="AM269" s="271" t="str">
        <f>Table4[[#This Row],[WholeSales]]</f>
        <v>WholeSales</v>
      </c>
      <c r="AN269" s="272" t="str">
        <f>Table4[[#This Row],[Particular]]</f>
        <v>ကုန်ရောင်း(လက်ငင်း)</v>
      </c>
      <c r="AO269" s="273" t="str">
        <f>Table4[[#This Row],[StockName]]</f>
        <v>ဇေ Vodka</v>
      </c>
      <c r="AP269" s="268">
        <f>Table4[[#This Row],[Parking]]</f>
        <v>15</v>
      </c>
      <c r="AQ269" s="268">
        <f>Table4[[#This Row],[SalesBot]]</f>
        <v>210</v>
      </c>
      <c r="AR269" s="268">
        <f>Table4[[#This Row],[Liter]]</f>
        <v>134.4</v>
      </c>
    </row>
    <row r="270" spans="1:44" s="16" customFormat="1" hidden="1" x14ac:dyDescent="0.5">
      <c r="A270" s="3">
        <f t="shared" si="50"/>
        <v>2026</v>
      </c>
      <c r="B270" s="8">
        <f t="shared" si="51"/>
        <v>1</v>
      </c>
      <c r="C270" s="6">
        <v>46038</v>
      </c>
      <c r="D270" s="15">
        <f t="shared" ca="1" si="52"/>
        <v>46097</v>
      </c>
      <c r="E270" s="15" t="str">
        <f t="shared" ca="1" si="53"/>
        <v>2-Months</v>
      </c>
      <c r="F270" s="8" t="str">
        <f>VLOOKUP(N270,Stock[#Data],5,FALSE)</f>
        <v>BE</v>
      </c>
      <c r="G270" s="82" t="s">
        <v>1068</v>
      </c>
      <c r="H270" s="15"/>
      <c r="I270" s="7" t="s">
        <v>106</v>
      </c>
      <c r="J270" s="8" t="str">
        <f>VLOOKUP(I270,Customers[#Data],2,FALSE)</f>
        <v>ကိုမျိုးအောင်</v>
      </c>
      <c r="K270" s="15" t="str">
        <f>VLOOKUP(I270,Customers[#Data],4,FALSE)</f>
        <v>Maw La Myaing</v>
      </c>
      <c r="L270" s="15" t="str">
        <f>VLOOKUP(I270,Customers[#Data],5,FALSE)</f>
        <v>WholeSales</v>
      </c>
      <c r="M270" s="7" t="s">
        <v>6</v>
      </c>
      <c r="N270" s="7" t="s">
        <v>519</v>
      </c>
      <c r="O270" s="14" t="str">
        <f>VLOOKUP(N270,Stock[#Data],2,FALSE)</f>
        <v>ဇေယျဝတီ High 43%</v>
      </c>
      <c r="P270" s="44">
        <f>VLOOKUP(N270,Stock[#Data],3,FALSE)</f>
        <v>0.64</v>
      </c>
      <c r="Q270" s="3">
        <f>VLOOKUP(N270,Stock[#Data],4,FALSE)</f>
        <v>14</v>
      </c>
      <c r="R270" s="11"/>
      <c r="S270" s="45">
        <f>IFERROR(Table4[[#This Row],[Bottle]]/Table4[[#This Row],[ပါဝင်မှု]]+Table4[[#This Row],[SalesPK]],0)</f>
        <v>20</v>
      </c>
      <c r="T270" s="12">
        <v>20</v>
      </c>
      <c r="U270" s="10">
        <f>Table4[[#This Row],[ပါဝင်မှု]]*Table4[[#This Row],[SalesPK]]+Table4[[#This Row],[Bottle]]</f>
        <v>280</v>
      </c>
      <c r="V270" s="10">
        <f>Table4[[#This Row],[SalesBot]]*Table4[[#This Row],[ML]]</f>
        <v>179.20000000000002</v>
      </c>
      <c r="W270" s="1">
        <f>VLOOKUP(N270,Stock[#Data],6,FALSE)</f>
        <v>1500</v>
      </c>
      <c r="X270" s="8">
        <f>+Table4[[#This Row],[SalesBot]]*Table4[[#This Row],[နှုံး]]</f>
        <v>420000</v>
      </c>
      <c r="Y270" s="12"/>
      <c r="Z270" s="12"/>
      <c r="AA270" s="12"/>
      <c r="AB270" s="9"/>
      <c r="AC270" s="12">
        <v>420000</v>
      </c>
      <c r="AD270" s="9"/>
      <c r="AE270" s="12"/>
      <c r="AF27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70" s="24"/>
      <c r="AH270" s="266">
        <f>Table4[[#This Row],[Date]]</f>
        <v>46038</v>
      </c>
      <c r="AI270" s="264" t="str">
        <f t="shared" si="48"/>
        <v>Jan</v>
      </c>
      <c r="AJ270" s="264" t="str">
        <f t="shared" si="49"/>
        <v>2026</v>
      </c>
      <c r="AK270" s="270" t="str">
        <f>Table4[[#This Row],[ကုန်သည်အမည်]]</f>
        <v>ကိုမျိုးအောင်</v>
      </c>
      <c r="AL270" s="270" t="str">
        <f>Table4[[#This Row],[Township]]</f>
        <v>Maw La Myaing</v>
      </c>
      <c r="AM270" s="271" t="str">
        <f>Table4[[#This Row],[WholeSales]]</f>
        <v>WholeSales</v>
      </c>
      <c r="AN270" s="272" t="str">
        <f>Table4[[#This Row],[Particular]]</f>
        <v>ကုန်ရောင်း(လက်ငင်း)</v>
      </c>
      <c r="AO270" s="273" t="str">
        <f>Table4[[#This Row],[StockName]]</f>
        <v>ဇေယျဝတီ High 43%</v>
      </c>
      <c r="AP270" s="268">
        <f>Table4[[#This Row],[Parking]]</f>
        <v>20</v>
      </c>
      <c r="AQ270" s="268">
        <f>Table4[[#This Row],[SalesBot]]</f>
        <v>280</v>
      </c>
      <c r="AR270" s="268">
        <f>Table4[[#This Row],[Liter]]</f>
        <v>179.20000000000002</v>
      </c>
    </row>
    <row r="271" spans="1:44" s="16" customFormat="1" hidden="1" x14ac:dyDescent="0.5">
      <c r="A271" s="3">
        <f t="shared" si="50"/>
        <v>2026</v>
      </c>
      <c r="B271" s="8">
        <f t="shared" si="51"/>
        <v>1</v>
      </c>
      <c r="C271" s="6">
        <v>46038</v>
      </c>
      <c r="D271" s="15">
        <f t="shared" ca="1" si="52"/>
        <v>46097</v>
      </c>
      <c r="E271" s="15" t="str">
        <f t="shared" ca="1" si="53"/>
        <v>2-Months</v>
      </c>
      <c r="F271" s="8" t="str">
        <f>VLOOKUP(N271,Stock[#Data],5,FALSE)</f>
        <v>BE</v>
      </c>
      <c r="G271" s="82" t="s">
        <v>1069</v>
      </c>
      <c r="H271" s="15"/>
      <c r="I271" s="7" t="s">
        <v>106</v>
      </c>
      <c r="J271" s="8" t="str">
        <f>VLOOKUP(I271,Customers[#Data],2,FALSE)</f>
        <v>ကိုမျိုးအောင်</v>
      </c>
      <c r="K271" s="15" t="str">
        <f>VLOOKUP(I271,Customers[#Data],4,FALSE)</f>
        <v>Maw La Myaing</v>
      </c>
      <c r="L271" s="15" t="str">
        <f>VLOOKUP(I271,Customers[#Data],5,FALSE)</f>
        <v>WholeSales</v>
      </c>
      <c r="M271" s="7" t="s">
        <v>6</v>
      </c>
      <c r="N271" s="7" t="s">
        <v>516</v>
      </c>
      <c r="O271" s="14" t="str">
        <f>VLOOKUP(N271,Stock[#Data],2,FALSE)</f>
        <v>ဇေ Vodka</v>
      </c>
      <c r="P271" s="44">
        <f>VLOOKUP(N271,Stock[#Data],3,FALSE)</f>
        <v>0.64</v>
      </c>
      <c r="Q271" s="3">
        <f>VLOOKUP(N271,Stock[#Data],4,FALSE)</f>
        <v>14</v>
      </c>
      <c r="R271" s="11"/>
      <c r="S271" s="45">
        <f>IFERROR(Table4[[#This Row],[Bottle]]/Table4[[#This Row],[ပါဝင်မှု]]+Table4[[#This Row],[SalesPK]],0)</f>
        <v>20</v>
      </c>
      <c r="T271" s="12">
        <v>20</v>
      </c>
      <c r="U271" s="10">
        <f>Table4[[#This Row],[ပါဝင်မှု]]*Table4[[#This Row],[SalesPK]]+Table4[[#This Row],[Bottle]]</f>
        <v>280</v>
      </c>
      <c r="V271" s="10">
        <f>Table4[[#This Row],[SalesBot]]*Table4[[#This Row],[ML]]</f>
        <v>179.20000000000002</v>
      </c>
      <c r="W271" s="1">
        <f>VLOOKUP(N271,Stock[#Data],6,FALSE)</f>
        <v>1400</v>
      </c>
      <c r="X271" s="8">
        <f>+Table4[[#This Row],[SalesBot]]*Table4[[#This Row],[နှုံး]]</f>
        <v>392000</v>
      </c>
      <c r="Y271" s="12"/>
      <c r="Z271" s="12"/>
      <c r="AA271" s="12"/>
      <c r="AB271" s="9"/>
      <c r="AC271" s="12">
        <v>392000</v>
      </c>
      <c r="AD271" s="9"/>
      <c r="AE271" s="12"/>
      <c r="AF27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71" s="24"/>
      <c r="AH271" s="266">
        <f>Table4[[#This Row],[Date]]</f>
        <v>46038</v>
      </c>
      <c r="AI271" s="264" t="str">
        <f t="shared" si="48"/>
        <v>Jan</v>
      </c>
      <c r="AJ271" s="264" t="str">
        <f t="shared" si="49"/>
        <v>2026</v>
      </c>
      <c r="AK271" s="270" t="str">
        <f>Table4[[#This Row],[ကုန်သည်အမည်]]</f>
        <v>ကိုမျိုးအောင်</v>
      </c>
      <c r="AL271" s="270" t="str">
        <f>Table4[[#This Row],[Township]]</f>
        <v>Maw La Myaing</v>
      </c>
      <c r="AM271" s="271" t="str">
        <f>Table4[[#This Row],[WholeSales]]</f>
        <v>WholeSales</v>
      </c>
      <c r="AN271" s="272" t="str">
        <f>Table4[[#This Row],[Particular]]</f>
        <v>ကုန်ရောင်း(လက်ငင်း)</v>
      </c>
      <c r="AO271" s="273" t="str">
        <f>Table4[[#This Row],[StockName]]</f>
        <v>ဇေ Vodka</v>
      </c>
      <c r="AP271" s="268">
        <f>Table4[[#This Row],[Parking]]</f>
        <v>20</v>
      </c>
      <c r="AQ271" s="268">
        <f>Table4[[#This Row],[SalesBot]]</f>
        <v>280</v>
      </c>
      <c r="AR271" s="268">
        <f>Table4[[#This Row],[Liter]]</f>
        <v>179.20000000000002</v>
      </c>
    </row>
    <row r="272" spans="1:44" s="16" customFormat="1" hidden="1" x14ac:dyDescent="0.5">
      <c r="A272" s="3">
        <f t="shared" si="50"/>
        <v>2026</v>
      </c>
      <c r="B272" s="8">
        <f t="shared" si="51"/>
        <v>1</v>
      </c>
      <c r="C272" s="6">
        <v>46038</v>
      </c>
      <c r="D272" s="15">
        <f t="shared" ca="1" si="52"/>
        <v>46097</v>
      </c>
      <c r="E272" s="15" t="str">
        <f t="shared" ca="1" si="53"/>
        <v>2-Months</v>
      </c>
      <c r="F272" s="8" t="str">
        <f>VLOOKUP(N272,Stock[#Data],5,FALSE)</f>
        <v>BE</v>
      </c>
      <c r="G272" s="82" t="s">
        <v>1069</v>
      </c>
      <c r="H272" s="15"/>
      <c r="I272" s="7" t="s">
        <v>106</v>
      </c>
      <c r="J272" s="8" t="str">
        <f>VLOOKUP(I272,Customers[#Data],2,FALSE)</f>
        <v>ကိုမျိုးအောင်</v>
      </c>
      <c r="K272" s="15" t="str">
        <f>VLOOKUP(I272,Customers[#Data],4,FALSE)</f>
        <v>Maw La Myaing</v>
      </c>
      <c r="L272" s="15" t="str">
        <f>VLOOKUP(I272,Customers[#Data],5,FALSE)</f>
        <v>WholeSales</v>
      </c>
      <c r="M272" s="7" t="s">
        <v>6</v>
      </c>
      <c r="N272" s="7" t="s">
        <v>517</v>
      </c>
      <c r="O272" s="14" t="str">
        <f>VLOOKUP(N272,Stock[#Data],2,FALSE)</f>
        <v>ဇေယျဝတီ Red (1 Liter) 30%</v>
      </c>
      <c r="P272" s="44">
        <f>VLOOKUP(N272,Stock[#Data],3,FALSE)</f>
        <v>1</v>
      </c>
      <c r="Q272" s="3">
        <f>VLOOKUP(N272,Stock[#Data],4,FALSE)</f>
        <v>12</v>
      </c>
      <c r="R272" s="11"/>
      <c r="S272" s="45">
        <f>IFERROR(Table4[[#This Row],[Bottle]]/Table4[[#This Row],[ပါဝင်မှု]]+Table4[[#This Row],[SalesPK]],0)</f>
        <v>30</v>
      </c>
      <c r="T272" s="12">
        <v>30</v>
      </c>
      <c r="U272" s="10">
        <f>Table4[[#This Row],[ပါဝင်မှု]]*Table4[[#This Row],[SalesPK]]+Table4[[#This Row],[Bottle]]</f>
        <v>360</v>
      </c>
      <c r="V272" s="10">
        <f>Table4[[#This Row],[SalesBot]]*Table4[[#This Row],[ML]]</f>
        <v>360</v>
      </c>
      <c r="W272" s="1">
        <f>VLOOKUP(N272,Stock[#Data],6,FALSE)</f>
        <v>1710</v>
      </c>
      <c r="X272" s="8">
        <f>+Table4[[#This Row],[SalesBot]]*Table4[[#This Row],[နှုံး]]</f>
        <v>615600</v>
      </c>
      <c r="Y272" s="12"/>
      <c r="Z272" s="12"/>
      <c r="AA272" s="12"/>
      <c r="AB272" s="9"/>
      <c r="AC272" s="12">
        <v>615600</v>
      </c>
      <c r="AD272" s="9"/>
      <c r="AE272" s="12"/>
      <c r="AF27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72" s="24"/>
      <c r="AH272" s="266">
        <f>Table4[[#This Row],[Date]]</f>
        <v>46038</v>
      </c>
      <c r="AI272" s="264" t="str">
        <f t="shared" si="48"/>
        <v>Jan</v>
      </c>
      <c r="AJ272" s="264" t="str">
        <f t="shared" si="49"/>
        <v>2026</v>
      </c>
      <c r="AK272" s="270" t="str">
        <f>Table4[[#This Row],[ကုန်သည်အမည်]]</f>
        <v>ကိုမျိုးအောင်</v>
      </c>
      <c r="AL272" s="270" t="str">
        <f>Table4[[#This Row],[Township]]</f>
        <v>Maw La Myaing</v>
      </c>
      <c r="AM272" s="271" t="str">
        <f>Table4[[#This Row],[WholeSales]]</f>
        <v>WholeSales</v>
      </c>
      <c r="AN272" s="272" t="str">
        <f>Table4[[#This Row],[Particular]]</f>
        <v>ကုန်ရောင်း(လက်ငင်း)</v>
      </c>
      <c r="AO272" s="273" t="str">
        <f>Table4[[#This Row],[StockName]]</f>
        <v>ဇေယျဝတီ Red (1 Liter) 30%</v>
      </c>
      <c r="AP272" s="268">
        <f>Table4[[#This Row],[Parking]]</f>
        <v>30</v>
      </c>
      <c r="AQ272" s="268">
        <f>Table4[[#This Row],[SalesBot]]</f>
        <v>360</v>
      </c>
      <c r="AR272" s="268">
        <f>Table4[[#This Row],[Liter]]</f>
        <v>360</v>
      </c>
    </row>
    <row r="273" spans="1:44" s="16" customFormat="1" hidden="1" x14ac:dyDescent="0.5">
      <c r="A273" s="3">
        <f t="shared" si="50"/>
        <v>2026</v>
      </c>
      <c r="B273" s="8">
        <f t="shared" si="51"/>
        <v>1</v>
      </c>
      <c r="C273" s="6">
        <v>46038</v>
      </c>
      <c r="D273" s="15">
        <f t="shared" ca="1" si="52"/>
        <v>46097</v>
      </c>
      <c r="E273" s="15" t="str">
        <f t="shared" ca="1" si="53"/>
        <v>2-Months</v>
      </c>
      <c r="F273" s="8" t="str">
        <f>VLOOKUP(N273,Stock[#Data],5,FALSE)</f>
        <v>BE</v>
      </c>
      <c r="G273" s="82" t="s">
        <v>1070</v>
      </c>
      <c r="H273" s="15"/>
      <c r="I273" s="7" t="s">
        <v>487</v>
      </c>
      <c r="J273" s="8" t="str">
        <f>VLOOKUP(I273,Customers[#Data],2,FALSE)</f>
        <v>ချယ်ရီမြိုင်</v>
      </c>
      <c r="K273" s="15" t="str">
        <f>VLOOKUP(I273,Customers[#Data],4,FALSE)</f>
        <v>Maw La Myaing</v>
      </c>
      <c r="L273" s="15" t="str">
        <f>VLOOKUP(I273,Customers[#Data],5,FALSE)</f>
        <v>Van Sales</v>
      </c>
      <c r="M273" s="7" t="s">
        <v>6</v>
      </c>
      <c r="N273" s="7" t="s">
        <v>516</v>
      </c>
      <c r="O273" s="14" t="str">
        <f>VLOOKUP(N273,Stock[#Data],2,FALSE)</f>
        <v>ဇေ Vodka</v>
      </c>
      <c r="P273" s="44">
        <f>VLOOKUP(N273,Stock[#Data],3,FALSE)</f>
        <v>0.64</v>
      </c>
      <c r="Q273" s="3">
        <f>VLOOKUP(N273,Stock[#Data],4,FALSE)</f>
        <v>14</v>
      </c>
      <c r="R273" s="11"/>
      <c r="S273" s="45">
        <f>IFERROR(Table4[[#This Row],[Bottle]]/Table4[[#This Row],[ပါဝင်မှု]]+Table4[[#This Row],[SalesPK]],0)</f>
        <v>10</v>
      </c>
      <c r="T273" s="12">
        <v>10</v>
      </c>
      <c r="U273" s="10">
        <f>Table4[[#This Row],[ပါဝင်မှု]]*Table4[[#This Row],[SalesPK]]+Table4[[#This Row],[Bottle]]</f>
        <v>140</v>
      </c>
      <c r="V273" s="10">
        <f>Table4[[#This Row],[SalesBot]]*Table4[[#This Row],[ML]]</f>
        <v>89.600000000000009</v>
      </c>
      <c r="W273" s="1">
        <f>VLOOKUP(N273,Stock[#Data],6,FALSE)</f>
        <v>1400</v>
      </c>
      <c r="X273" s="8">
        <f>+Table4[[#This Row],[SalesBot]]*Table4[[#This Row],[နှုံး]]</f>
        <v>196000</v>
      </c>
      <c r="Y273" s="12"/>
      <c r="Z273" s="12"/>
      <c r="AA273" s="12"/>
      <c r="AB273" s="9"/>
      <c r="AC273" s="12">
        <v>196000</v>
      </c>
      <c r="AD273" s="9"/>
      <c r="AE273" s="12"/>
      <c r="AF27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73" s="24"/>
      <c r="AH273" s="266">
        <f>Table4[[#This Row],[Date]]</f>
        <v>46038</v>
      </c>
      <c r="AI273" s="264" t="str">
        <f t="shared" si="48"/>
        <v>Jan</v>
      </c>
      <c r="AJ273" s="264" t="str">
        <f t="shared" si="49"/>
        <v>2026</v>
      </c>
      <c r="AK273" s="270" t="str">
        <f>Table4[[#This Row],[ကုန်သည်အမည်]]</f>
        <v>ချယ်ရီမြိုင်</v>
      </c>
      <c r="AL273" s="270" t="str">
        <f>Table4[[#This Row],[Township]]</f>
        <v>Maw La Myaing</v>
      </c>
      <c r="AM273" s="271" t="str">
        <f>Table4[[#This Row],[WholeSales]]</f>
        <v>Van Sales</v>
      </c>
      <c r="AN273" s="272" t="str">
        <f>Table4[[#This Row],[Particular]]</f>
        <v>ကုန်ရောင်း(လက်ငင်း)</v>
      </c>
      <c r="AO273" s="273" t="str">
        <f>Table4[[#This Row],[StockName]]</f>
        <v>ဇေ Vodka</v>
      </c>
      <c r="AP273" s="268">
        <f>Table4[[#This Row],[Parking]]</f>
        <v>10</v>
      </c>
      <c r="AQ273" s="268">
        <f>Table4[[#This Row],[SalesBot]]</f>
        <v>140</v>
      </c>
      <c r="AR273" s="268">
        <f>Table4[[#This Row],[Liter]]</f>
        <v>89.600000000000009</v>
      </c>
    </row>
    <row r="274" spans="1:44" s="16" customFormat="1" hidden="1" x14ac:dyDescent="0.5">
      <c r="A274" s="3">
        <f t="shared" si="50"/>
        <v>2026</v>
      </c>
      <c r="B274" s="8">
        <f t="shared" si="51"/>
        <v>1</v>
      </c>
      <c r="C274" s="6">
        <v>46038</v>
      </c>
      <c r="D274" s="15">
        <f t="shared" ca="1" si="52"/>
        <v>46097</v>
      </c>
      <c r="E274" s="15" t="str">
        <f t="shared" ca="1" si="53"/>
        <v>2-Months</v>
      </c>
      <c r="F274" s="8" t="str">
        <f>VLOOKUP(N274,Stock[#Data],5,FALSE)</f>
        <v>BE</v>
      </c>
      <c r="G274" s="82" t="s">
        <v>1070</v>
      </c>
      <c r="H274" s="15"/>
      <c r="I274" s="7" t="s">
        <v>487</v>
      </c>
      <c r="J274" s="8" t="str">
        <f>VLOOKUP(I274,Customers[#Data],2,FALSE)</f>
        <v>ချယ်ရီမြိုင်</v>
      </c>
      <c r="K274" s="15" t="str">
        <f>VLOOKUP(I274,Customers[#Data],4,FALSE)</f>
        <v>Maw La Myaing</v>
      </c>
      <c r="L274" s="15" t="str">
        <f>VLOOKUP(I274,Customers[#Data],5,FALSE)</f>
        <v>Van Sales</v>
      </c>
      <c r="M274" s="7" t="s">
        <v>6</v>
      </c>
      <c r="N274" s="7" t="s">
        <v>518</v>
      </c>
      <c r="O274" s="14" t="str">
        <f>VLOOKUP(N274,Stock[#Data],2,FALSE)</f>
        <v>"ဇေ" ကော်ဘူး (1 Liter)</v>
      </c>
      <c r="P274" s="44">
        <f>VLOOKUP(N274,Stock[#Data],3,FALSE)</f>
        <v>1</v>
      </c>
      <c r="Q274" s="3">
        <f>VLOOKUP(N274,Stock[#Data],4,FALSE)</f>
        <v>12</v>
      </c>
      <c r="R274" s="11"/>
      <c r="S274" s="45">
        <f>IFERROR(Table4[[#This Row],[Bottle]]/Table4[[#This Row],[ပါဝင်မှု]]+Table4[[#This Row],[SalesPK]],0)</f>
        <v>3</v>
      </c>
      <c r="T274" s="12">
        <v>3</v>
      </c>
      <c r="U274" s="10">
        <f>Table4[[#This Row],[ပါဝင်မှု]]*Table4[[#This Row],[SalesPK]]+Table4[[#This Row],[Bottle]]</f>
        <v>36</v>
      </c>
      <c r="V274" s="10">
        <f>Table4[[#This Row],[SalesBot]]*Table4[[#This Row],[ML]]</f>
        <v>36</v>
      </c>
      <c r="W274" s="1">
        <f>VLOOKUP(N274,Stock[#Data],6,FALSE)</f>
        <v>1675</v>
      </c>
      <c r="X274" s="8">
        <f>+Table4[[#This Row],[SalesBot]]*Table4[[#This Row],[နှုံး]]</f>
        <v>60300</v>
      </c>
      <c r="Y274" s="12"/>
      <c r="Z274" s="12"/>
      <c r="AA274" s="12"/>
      <c r="AB274" s="9"/>
      <c r="AC274" s="12">
        <v>60300</v>
      </c>
      <c r="AD274" s="9"/>
      <c r="AE274" s="12"/>
      <c r="AF27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74" s="24"/>
      <c r="AH274" s="266">
        <f>Table4[[#This Row],[Date]]</f>
        <v>46038</v>
      </c>
      <c r="AI274" s="264" t="str">
        <f t="shared" si="48"/>
        <v>Jan</v>
      </c>
      <c r="AJ274" s="264" t="str">
        <f t="shared" si="49"/>
        <v>2026</v>
      </c>
      <c r="AK274" s="270" t="str">
        <f>Table4[[#This Row],[ကုန်သည်အမည်]]</f>
        <v>ချယ်ရီမြိုင်</v>
      </c>
      <c r="AL274" s="270" t="str">
        <f>Table4[[#This Row],[Township]]</f>
        <v>Maw La Myaing</v>
      </c>
      <c r="AM274" s="271" t="str">
        <f>Table4[[#This Row],[WholeSales]]</f>
        <v>Van Sales</v>
      </c>
      <c r="AN274" s="272" t="str">
        <f>Table4[[#This Row],[Particular]]</f>
        <v>ကုန်ရောင်း(လက်ငင်း)</v>
      </c>
      <c r="AO274" s="273" t="str">
        <f>Table4[[#This Row],[StockName]]</f>
        <v>"ဇေ" ကော်ဘူး (1 Liter)</v>
      </c>
      <c r="AP274" s="268">
        <f>Table4[[#This Row],[Parking]]</f>
        <v>3</v>
      </c>
      <c r="AQ274" s="268">
        <f>Table4[[#This Row],[SalesBot]]</f>
        <v>36</v>
      </c>
      <c r="AR274" s="268">
        <f>Table4[[#This Row],[Liter]]</f>
        <v>36</v>
      </c>
    </row>
    <row r="275" spans="1:44" s="16" customFormat="1" hidden="1" x14ac:dyDescent="0.5">
      <c r="A275" s="3">
        <f t="shared" si="50"/>
        <v>2026</v>
      </c>
      <c r="B275" s="8">
        <f t="shared" si="51"/>
        <v>1</v>
      </c>
      <c r="C275" s="6">
        <v>46038</v>
      </c>
      <c r="D275" s="15">
        <f t="shared" ca="1" si="52"/>
        <v>46097</v>
      </c>
      <c r="E275" s="15" t="str">
        <f t="shared" ca="1" si="53"/>
        <v>2-Months</v>
      </c>
      <c r="F275" s="8" t="str">
        <f>VLOOKUP(N275,Stock[#Data],5,FALSE)</f>
        <v>BE</v>
      </c>
      <c r="G275" s="82" t="s">
        <v>1071</v>
      </c>
      <c r="H275" s="15"/>
      <c r="I275" s="7" t="s">
        <v>111</v>
      </c>
      <c r="J275" s="8" t="str">
        <f>VLOOKUP(I275,Customers[#Data],2,FALSE)</f>
        <v>လင်းသစ်</v>
      </c>
      <c r="K275" s="15" t="str">
        <f>VLOOKUP(I275,Customers[#Data],4,FALSE)</f>
        <v>Yay</v>
      </c>
      <c r="L275" s="15" t="str">
        <f>VLOOKUP(I275,Customers[#Data],5,FALSE)</f>
        <v>WholeSales</v>
      </c>
      <c r="M275" s="7" t="s">
        <v>6</v>
      </c>
      <c r="N275" s="7" t="s">
        <v>514</v>
      </c>
      <c r="O275" s="14" t="str">
        <f>VLOOKUP(N275,Stock[#Data],2,FALSE)</f>
        <v>ဇေယျဝတီ Red</v>
      </c>
      <c r="P275" s="44">
        <f>VLOOKUP(N275,Stock[#Data],3,FALSE)</f>
        <v>0.64</v>
      </c>
      <c r="Q275" s="3">
        <f>VLOOKUP(N275,Stock[#Data],4,FALSE)</f>
        <v>14</v>
      </c>
      <c r="R275" s="11"/>
      <c r="S275" s="45">
        <f>IFERROR(Table4[[#This Row],[Bottle]]/Table4[[#This Row],[ပါဝင်မှု]]+Table4[[#This Row],[SalesPK]],0)</f>
        <v>25</v>
      </c>
      <c r="T275" s="12">
        <v>25</v>
      </c>
      <c r="U275" s="10">
        <f>Table4[[#This Row],[ပါဝင်မှု]]*Table4[[#This Row],[SalesPK]]+Table4[[#This Row],[Bottle]]</f>
        <v>350</v>
      </c>
      <c r="V275" s="10">
        <f>Table4[[#This Row],[SalesBot]]*Table4[[#This Row],[ML]]</f>
        <v>224</v>
      </c>
      <c r="W275" s="1">
        <f>VLOOKUP(N275,Stock[#Data],6,FALSE)</f>
        <v>1350</v>
      </c>
      <c r="X275" s="8">
        <f>+Table4[[#This Row],[SalesBot]]*Table4[[#This Row],[နှုံး]]</f>
        <v>472500</v>
      </c>
      <c r="Y275" s="12"/>
      <c r="Z275" s="12"/>
      <c r="AA275" s="12"/>
      <c r="AB275" s="9"/>
      <c r="AC275" s="12">
        <v>472500</v>
      </c>
      <c r="AD275" s="9"/>
      <c r="AE275" s="12"/>
      <c r="AF27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75" s="24"/>
      <c r="AH275" s="266">
        <f>Table4[[#This Row],[Date]]</f>
        <v>46038</v>
      </c>
      <c r="AI275" s="264" t="str">
        <f t="shared" si="48"/>
        <v>Jan</v>
      </c>
      <c r="AJ275" s="264" t="str">
        <f t="shared" si="49"/>
        <v>2026</v>
      </c>
      <c r="AK275" s="270" t="str">
        <f>Table4[[#This Row],[ကုန်သည်အမည်]]</f>
        <v>လင်းသစ်</v>
      </c>
      <c r="AL275" s="270" t="str">
        <f>Table4[[#This Row],[Township]]</f>
        <v>Yay</v>
      </c>
      <c r="AM275" s="271" t="str">
        <f>Table4[[#This Row],[WholeSales]]</f>
        <v>WholeSales</v>
      </c>
      <c r="AN275" s="272" t="str">
        <f>Table4[[#This Row],[Particular]]</f>
        <v>ကုန်ရောင်း(လက်ငင်း)</v>
      </c>
      <c r="AO275" s="273" t="str">
        <f>Table4[[#This Row],[StockName]]</f>
        <v>ဇေယျဝတီ Red</v>
      </c>
      <c r="AP275" s="268">
        <f>Table4[[#This Row],[Parking]]</f>
        <v>25</v>
      </c>
      <c r="AQ275" s="268">
        <f>Table4[[#This Row],[SalesBot]]</f>
        <v>350</v>
      </c>
      <c r="AR275" s="268">
        <f>Table4[[#This Row],[Liter]]</f>
        <v>224</v>
      </c>
    </row>
    <row r="276" spans="1:44" s="16" customFormat="1" hidden="1" x14ac:dyDescent="0.5">
      <c r="A276" s="3">
        <f t="shared" si="50"/>
        <v>2026</v>
      </c>
      <c r="B276" s="8">
        <f t="shared" si="51"/>
        <v>1</v>
      </c>
      <c r="C276" s="6">
        <v>46038</v>
      </c>
      <c r="D276" s="15">
        <f t="shared" ca="1" si="52"/>
        <v>46097</v>
      </c>
      <c r="E276" s="15" t="str">
        <f t="shared" ca="1" si="53"/>
        <v>2-Months</v>
      </c>
      <c r="F276" s="8" t="str">
        <f>VLOOKUP(N276,Stock[#Data],5,FALSE)</f>
        <v>BE</v>
      </c>
      <c r="G276" s="82" t="s">
        <v>1071</v>
      </c>
      <c r="H276" s="15"/>
      <c r="I276" s="7" t="s">
        <v>111</v>
      </c>
      <c r="J276" s="8" t="str">
        <f>VLOOKUP(I276,Customers[#Data],2,FALSE)</f>
        <v>လင်းသစ်</v>
      </c>
      <c r="K276" s="15" t="str">
        <f>VLOOKUP(I276,Customers[#Data],4,FALSE)</f>
        <v>Yay</v>
      </c>
      <c r="L276" s="15" t="str">
        <f>VLOOKUP(I276,Customers[#Data],5,FALSE)</f>
        <v>WholeSales</v>
      </c>
      <c r="M276" s="7" t="s">
        <v>6</v>
      </c>
      <c r="N276" s="7" t="s">
        <v>517</v>
      </c>
      <c r="O276" s="14" t="str">
        <f>VLOOKUP(N276,Stock[#Data],2,FALSE)</f>
        <v>ဇေယျဝတီ Red (1 Liter) 30%</v>
      </c>
      <c r="P276" s="44">
        <f>VLOOKUP(N276,Stock[#Data],3,FALSE)</f>
        <v>1</v>
      </c>
      <c r="Q276" s="3">
        <f>VLOOKUP(N276,Stock[#Data],4,FALSE)</f>
        <v>12</v>
      </c>
      <c r="R276" s="11"/>
      <c r="S276" s="45">
        <f>IFERROR(Table4[[#This Row],[Bottle]]/Table4[[#This Row],[ပါဝင်မှု]]+Table4[[#This Row],[SalesPK]],0)</f>
        <v>25</v>
      </c>
      <c r="T276" s="12">
        <v>25</v>
      </c>
      <c r="U276" s="10">
        <f>Table4[[#This Row],[ပါဝင်မှု]]*Table4[[#This Row],[SalesPK]]+Table4[[#This Row],[Bottle]]</f>
        <v>300</v>
      </c>
      <c r="V276" s="10">
        <f>Table4[[#This Row],[SalesBot]]*Table4[[#This Row],[ML]]</f>
        <v>300</v>
      </c>
      <c r="W276" s="1">
        <f>VLOOKUP(N276,Stock[#Data],6,FALSE)</f>
        <v>1710</v>
      </c>
      <c r="X276" s="8">
        <f>+Table4[[#This Row],[SalesBot]]*Table4[[#This Row],[နှုံး]]</f>
        <v>513000</v>
      </c>
      <c r="Y276" s="12"/>
      <c r="Z276" s="12"/>
      <c r="AA276" s="12"/>
      <c r="AB276" s="9"/>
      <c r="AC276" s="12">
        <v>513000</v>
      </c>
      <c r="AD276" s="9"/>
      <c r="AE276" s="12"/>
      <c r="AF27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76" s="24"/>
      <c r="AH276" s="266">
        <f>Table4[[#This Row],[Date]]</f>
        <v>46038</v>
      </c>
      <c r="AI276" s="264" t="str">
        <f t="shared" si="48"/>
        <v>Jan</v>
      </c>
      <c r="AJ276" s="264" t="str">
        <f t="shared" si="49"/>
        <v>2026</v>
      </c>
      <c r="AK276" s="270" t="str">
        <f>Table4[[#This Row],[ကုန်သည်အမည်]]</f>
        <v>လင်းသစ်</v>
      </c>
      <c r="AL276" s="270" t="str">
        <f>Table4[[#This Row],[Township]]</f>
        <v>Yay</v>
      </c>
      <c r="AM276" s="271" t="str">
        <f>Table4[[#This Row],[WholeSales]]</f>
        <v>WholeSales</v>
      </c>
      <c r="AN276" s="272" t="str">
        <f>Table4[[#This Row],[Particular]]</f>
        <v>ကုန်ရောင်း(လက်ငင်း)</v>
      </c>
      <c r="AO276" s="273" t="str">
        <f>Table4[[#This Row],[StockName]]</f>
        <v>ဇေယျဝတီ Red (1 Liter) 30%</v>
      </c>
      <c r="AP276" s="268">
        <f>Table4[[#This Row],[Parking]]</f>
        <v>25</v>
      </c>
      <c r="AQ276" s="268">
        <f>Table4[[#This Row],[SalesBot]]</f>
        <v>300</v>
      </c>
      <c r="AR276" s="268">
        <f>Table4[[#This Row],[Liter]]</f>
        <v>300</v>
      </c>
    </row>
    <row r="277" spans="1:44" s="16" customFormat="1" hidden="1" x14ac:dyDescent="0.5">
      <c r="A277" s="3">
        <f t="shared" si="50"/>
        <v>2026</v>
      </c>
      <c r="B277" s="8">
        <f t="shared" si="51"/>
        <v>1</v>
      </c>
      <c r="C277" s="6">
        <v>46038</v>
      </c>
      <c r="D277" s="15">
        <f t="shared" ca="1" si="52"/>
        <v>46097</v>
      </c>
      <c r="E277" s="15" t="str">
        <f t="shared" ca="1" si="53"/>
        <v>2-Months</v>
      </c>
      <c r="F277" s="8" t="str">
        <f>VLOOKUP(N277,Stock[#Data],5,FALSE)</f>
        <v>BE</v>
      </c>
      <c r="G277" s="82" t="s">
        <v>1072</v>
      </c>
      <c r="H277" s="15"/>
      <c r="I277" s="7" t="s">
        <v>107</v>
      </c>
      <c r="J277" s="8" t="str">
        <f>VLOOKUP(I277,Customers[#Data],2,FALSE)</f>
        <v>မင်းမင်းထွန်း</v>
      </c>
      <c r="K277" s="15" t="str">
        <f>VLOOKUP(I277,Customers[#Data],4,FALSE)</f>
        <v>Paung</v>
      </c>
      <c r="L277" s="15" t="str">
        <f>VLOOKUP(I277,Customers[#Data],5,FALSE)</f>
        <v>Van Sales</v>
      </c>
      <c r="M277" s="7" t="s">
        <v>6</v>
      </c>
      <c r="N277" s="7" t="s">
        <v>520</v>
      </c>
      <c r="O277" s="14" t="str">
        <f>VLOOKUP(N277,Stock[#Data],2,FALSE)</f>
        <v>ဇေယျဝတီ  Red(ပု)</v>
      </c>
      <c r="P277" s="44">
        <f>VLOOKUP(N277,Stock[#Data],3,FALSE)</f>
        <v>0.64</v>
      </c>
      <c r="Q277" s="3">
        <f>VLOOKUP(N277,Stock[#Data],4,FALSE)</f>
        <v>14</v>
      </c>
      <c r="R277" s="11"/>
      <c r="S277" s="45">
        <f>IFERROR(Table4[[#This Row],[Bottle]]/Table4[[#This Row],[ပါဝင်မှု]]+Table4[[#This Row],[SalesPK]],0)</f>
        <v>15</v>
      </c>
      <c r="T277" s="12">
        <v>15</v>
      </c>
      <c r="U277" s="10">
        <f>Table4[[#This Row],[ပါဝင်မှု]]*Table4[[#This Row],[SalesPK]]+Table4[[#This Row],[Bottle]]</f>
        <v>210</v>
      </c>
      <c r="V277" s="10">
        <f>Table4[[#This Row],[SalesBot]]*Table4[[#This Row],[ML]]</f>
        <v>134.4</v>
      </c>
      <c r="W277" s="1">
        <f>VLOOKUP(N277,Stock[#Data],6,FALSE)</f>
        <v>1800</v>
      </c>
      <c r="X277" s="8">
        <f>+Table4[[#This Row],[SalesBot]]*Table4[[#This Row],[နှုံး]]</f>
        <v>378000</v>
      </c>
      <c r="Y277" s="12"/>
      <c r="Z277" s="12"/>
      <c r="AA277" s="12"/>
      <c r="AB277" s="9"/>
      <c r="AC277" s="12">
        <v>378000</v>
      </c>
      <c r="AD277" s="9"/>
      <c r="AE277" s="12"/>
      <c r="AF27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77" s="24"/>
      <c r="AH277" s="266">
        <f>Table4[[#This Row],[Date]]</f>
        <v>46038</v>
      </c>
      <c r="AI277" s="264" t="str">
        <f t="shared" si="48"/>
        <v>Jan</v>
      </c>
      <c r="AJ277" s="264" t="str">
        <f t="shared" si="49"/>
        <v>2026</v>
      </c>
      <c r="AK277" s="270" t="str">
        <f>Table4[[#This Row],[ကုန်သည်အမည်]]</f>
        <v>မင်းမင်းထွန်း</v>
      </c>
      <c r="AL277" s="270" t="str">
        <f>Table4[[#This Row],[Township]]</f>
        <v>Paung</v>
      </c>
      <c r="AM277" s="271" t="str">
        <f>Table4[[#This Row],[WholeSales]]</f>
        <v>Van Sales</v>
      </c>
      <c r="AN277" s="272" t="str">
        <f>Table4[[#This Row],[Particular]]</f>
        <v>ကုန်ရောင်း(လက်ငင်း)</v>
      </c>
      <c r="AO277" s="273" t="str">
        <f>Table4[[#This Row],[StockName]]</f>
        <v>ဇေယျဝတီ  Red(ပု)</v>
      </c>
      <c r="AP277" s="268">
        <f>Table4[[#This Row],[Parking]]</f>
        <v>15</v>
      </c>
      <c r="AQ277" s="268">
        <f>Table4[[#This Row],[SalesBot]]</f>
        <v>210</v>
      </c>
      <c r="AR277" s="268">
        <f>Table4[[#This Row],[Liter]]</f>
        <v>134.4</v>
      </c>
    </row>
    <row r="278" spans="1:44" s="16" customFormat="1" hidden="1" x14ac:dyDescent="0.5">
      <c r="A278" s="3">
        <f t="shared" si="50"/>
        <v>2026</v>
      </c>
      <c r="B278" s="8">
        <f t="shared" si="51"/>
        <v>1</v>
      </c>
      <c r="C278" s="6">
        <v>46038</v>
      </c>
      <c r="D278" s="15">
        <f t="shared" ca="1" si="52"/>
        <v>46097</v>
      </c>
      <c r="E278" s="15" t="str">
        <f t="shared" ca="1" si="53"/>
        <v>2-Months</v>
      </c>
      <c r="F278" s="8" t="str">
        <f>VLOOKUP(N278,Stock[#Data],5,FALSE)</f>
        <v>BE</v>
      </c>
      <c r="G278" s="82" t="s">
        <v>1073</v>
      </c>
      <c r="H278" s="15"/>
      <c r="I278" s="7" t="s">
        <v>535</v>
      </c>
      <c r="J278" s="8" t="str">
        <f>VLOOKUP(I278,Customers[#Data],2,FALSE)</f>
        <v>ကိုရဲ</v>
      </c>
      <c r="K278" s="15" t="str">
        <f>VLOOKUP(I278,Customers[#Data],4,FALSE)</f>
        <v>Yay</v>
      </c>
      <c r="L278" s="15" t="str">
        <f>VLOOKUP(I278,Customers[#Data],5,FALSE)</f>
        <v>Van Sales</v>
      </c>
      <c r="M278" s="7" t="s">
        <v>6</v>
      </c>
      <c r="N278" s="7" t="s">
        <v>517</v>
      </c>
      <c r="O278" s="14" t="str">
        <f>VLOOKUP(N278,Stock[#Data],2,FALSE)</f>
        <v>ဇေယျဝတီ Red (1 Liter) 30%</v>
      </c>
      <c r="P278" s="44">
        <f>VLOOKUP(N278,Stock[#Data],3,FALSE)</f>
        <v>1</v>
      </c>
      <c r="Q278" s="3">
        <f>VLOOKUP(N278,Stock[#Data],4,FALSE)</f>
        <v>12</v>
      </c>
      <c r="R278" s="11"/>
      <c r="S278" s="45">
        <f>IFERROR(Table4[[#This Row],[Bottle]]/Table4[[#This Row],[ပါဝင်မှု]]+Table4[[#This Row],[SalesPK]],0)</f>
        <v>50</v>
      </c>
      <c r="T278" s="12">
        <v>50</v>
      </c>
      <c r="U278" s="10">
        <f>Table4[[#This Row],[ပါဝင်မှု]]*Table4[[#This Row],[SalesPK]]+Table4[[#This Row],[Bottle]]</f>
        <v>600</v>
      </c>
      <c r="V278" s="10">
        <f>Table4[[#This Row],[SalesBot]]*Table4[[#This Row],[ML]]</f>
        <v>600</v>
      </c>
      <c r="W278" s="1">
        <f>VLOOKUP(N278,Stock[#Data],6,FALSE)</f>
        <v>1710</v>
      </c>
      <c r="X278" s="8">
        <f>+Table4[[#This Row],[SalesBot]]*Table4[[#This Row],[နှုံး]]</f>
        <v>1026000</v>
      </c>
      <c r="Y278" s="12"/>
      <c r="Z278" s="12"/>
      <c r="AA278" s="12"/>
      <c r="AB278" s="9"/>
      <c r="AC278" s="12">
        <v>1026000</v>
      </c>
      <c r="AD278" s="9"/>
      <c r="AE278" s="12"/>
      <c r="AF27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78" s="24"/>
      <c r="AH278" s="266">
        <f>Table4[[#This Row],[Date]]</f>
        <v>46038</v>
      </c>
      <c r="AI278" s="264" t="str">
        <f t="shared" si="48"/>
        <v>Jan</v>
      </c>
      <c r="AJ278" s="264" t="str">
        <f t="shared" si="49"/>
        <v>2026</v>
      </c>
      <c r="AK278" s="270" t="str">
        <f>Table4[[#This Row],[ကုန်သည်အမည်]]</f>
        <v>ကိုရဲ</v>
      </c>
      <c r="AL278" s="270" t="str">
        <f>Table4[[#This Row],[Township]]</f>
        <v>Yay</v>
      </c>
      <c r="AM278" s="271" t="str">
        <f>Table4[[#This Row],[WholeSales]]</f>
        <v>Van Sales</v>
      </c>
      <c r="AN278" s="272" t="str">
        <f>Table4[[#This Row],[Particular]]</f>
        <v>ကုန်ရောင်း(လက်ငင်း)</v>
      </c>
      <c r="AO278" s="273" t="str">
        <f>Table4[[#This Row],[StockName]]</f>
        <v>ဇေယျဝတီ Red (1 Liter) 30%</v>
      </c>
      <c r="AP278" s="268">
        <f>Table4[[#This Row],[Parking]]</f>
        <v>50</v>
      </c>
      <c r="AQ278" s="268">
        <f>Table4[[#This Row],[SalesBot]]</f>
        <v>600</v>
      </c>
      <c r="AR278" s="268">
        <f>Table4[[#This Row],[Liter]]</f>
        <v>600</v>
      </c>
    </row>
    <row r="279" spans="1:44" s="16" customFormat="1" hidden="1" x14ac:dyDescent="0.5">
      <c r="A279" s="3">
        <f t="shared" si="50"/>
        <v>2026</v>
      </c>
      <c r="B279" s="8">
        <f t="shared" si="51"/>
        <v>1</v>
      </c>
      <c r="C279" s="6">
        <v>46038</v>
      </c>
      <c r="D279" s="15">
        <f t="shared" ca="1" si="52"/>
        <v>46097</v>
      </c>
      <c r="E279" s="15" t="str">
        <f t="shared" ca="1" si="53"/>
        <v>2-Months</v>
      </c>
      <c r="F279" s="8" t="str">
        <f>VLOOKUP(N279,Stock[#Data],5,FALSE)</f>
        <v>BE</v>
      </c>
      <c r="G279" s="82" t="s">
        <v>1074</v>
      </c>
      <c r="H279" s="15"/>
      <c r="I279" s="7" t="s">
        <v>816</v>
      </c>
      <c r="J279" s="8" t="str">
        <f>VLOOKUP(I279,Customers[#Data],2,FALSE)</f>
        <v>မ‌ရွှေစင်</v>
      </c>
      <c r="K279" s="15" t="str">
        <f>VLOOKUP(I279,Customers[#Data],4,FALSE)</f>
        <v>ThaHtone</v>
      </c>
      <c r="L279" s="15" t="str">
        <f>VLOOKUP(I279,Customers[#Data],5,FALSE)</f>
        <v>Van Sales</v>
      </c>
      <c r="M279" s="7" t="s">
        <v>6</v>
      </c>
      <c r="N279" s="7" t="s">
        <v>510</v>
      </c>
      <c r="O279" s="14" t="str">
        <f>VLOOKUP(N279,Stock[#Data],2,FALSE)</f>
        <v>မိုးနဲကွန်ကီ</v>
      </c>
      <c r="P279" s="44">
        <f>VLOOKUP(N279,Stock[#Data],3,FALSE)</f>
        <v>0.64</v>
      </c>
      <c r="Q279" s="3">
        <f>VLOOKUP(N279,Stock[#Data],4,FALSE)</f>
        <v>14</v>
      </c>
      <c r="R279" s="11"/>
      <c r="S279" s="45">
        <f>IFERROR(Table4[[#This Row],[Bottle]]/Table4[[#This Row],[ပါဝင်မှု]]+Table4[[#This Row],[SalesPK]],0)</f>
        <v>50</v>
      </c>
      <c r="T279" s="12">
        <v>50</v>
      </c>
      <c r="U279" s="10">
        <f>Table4[[#This Row],[ပါဝင်မှု]]*Table4[[#This Row],[SalesPK]]+Table4[[#This Row],[Bottle]]</f>
        <v>700</v>
      </c>
      <c r="V279" s="10">
        <f>Table4[[#This Row],[SalesBot]]*Table4[[#This Row],[ML]]</f>
        <v>448</v>
      </c>
      <c r="W279" s="1">
        <f>VLOOKUP(N279,Stock[#Data],6,FALSE)</f>
        <v>1500</v>
      </c>
      <c r="X279" s="8">
        <f>+Table4[[#This Row],[SalesBot]]*Table4[[#This Row],[နှုံး]]</f>
        <v>1050000</v>
      </c>
      <c r="Y279" s="12"/>
      <c r="Z279" s="12"/>
      <c r="AA279" s="12"/>
      <c r="AB279" s="9"/>
      <c r="AC279" s="12">
        <v>1050000</v>
      </c>
      <c r="AD279" s="9"/>
      <c r="AE279" s="12"/>
      <c r="AF27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79" s="24"/>
      <c r="AH279" s="266">
        <f>Table4[[#This Row],[Date]]</f>
        <v>46038</v>
      </c>
      <c r="AI279" s="264" t="str">
        <f t="shared" si="48"/>
        <v>Jan</v>
      </c>
      <c r="AJ279" s="264" t="str">
        <f t="shared" si="49"/>
        <v>2026</v>
      </c>
      <c r="AK279" s="270" t="str">
        <f>Table4[[#This Row],[ကုန်သည်အမည်]]</f>
        <v>မ‌ရွှေစင်</v>
      </c>
      <c r="AL279" s="270" t="str">
        <f>Table4[[#This Row],[Township]]</f>
        <v>ThaHtone</v>
      </c>
      <c r="AM279" s="271" t="str">
        <f>Table4[[#This Row],[WholeSales]]</f>
        <v>Van Sales</v>
      </c>
      <c r="AN279" s="272" t="str">
        <f>Table4[[#This Row],[Particular]]</f>
        <v>ကုန်ရောင်း(လက်ငင်း)</v>
      </c>
      <c r="AO279" s="273" t="str">
        <f>Table4[[#This Row],[StockName]]</f>
        <v>မိုးနဲကွန်ကီ</v>
      </c>
      <c r="AP279" s="268">
        <f>Table4[[#This Row],[Parking]]</f>
        <v>50</v>
      </c>
      <c r="AQ279" s="268">
        <f>Table4[[#This Row],[SalesBot]]</f>
        <v>700</v>
      </c>
      <c r="AR279" s="268">
        <f>Table4[[#This Row],[Liter]]</f>
        <v>448</v>
      </c>
    </row>
    <row r="280" spans="1:44" s="16" customFormat="1" hidden="1" x14ac:dyDescent="0.5">
      <c r="A280" s="3">
        <f t="shared" si="50"/>
        <v>2026</v>
      </c>
      <c r="B280" s="8">
        <f t="shared" si="51"/>
        <v>1</v>
      </c>
      <c r="C280" s="6">
        <v>46039</v>
      </c>
      <c r="D280" s="15">
        <f t="shared" ca="1" si="52"/>
        <v>46097</v>
      </c>
      <c r="E280" s="15" t="str">
        <f t="shared" ca="1" si="53"/>
        <v>1-Months</v>
      </c>
      <c r="F280" s="8" t="str">
        <f>VLOOKUP(N280,Stock[#Data],5,FALSE)</f>
        <v>BE</v>
      </c>
      <c r="G280" s="82" t="s">
        <v>1075</v>
      </c>
      <c r="H280" s="15"/>
      <c r="I280" s="7" t="s">
        <v>82</v>
      </c>
      <c r="J280" s="8" t="str">
        <f>VLOOKUP(I280,Customers[#Data],2,FALSE)</f>
        <v>ဒေါ်ထွန်းမေ</v>
      </c>
      <c r="K280" s="15" t="str">
        <f>VLOOKUP(I280,Customers[#Data],4,FALSE)</f>
        <v>Maw La Myaing</v>
      </c>
      <c r="L280" s="15" t="str">
        <f>VLOOKUP(I280,Customers[#Data],5,FALSE)</f>
        <v>WholeSales</v>
      </c>
      <c r="M280" s="7" t="s">
        <v>7</v>
      </c>
      <c r="N280" s="7" t="s">
        <v>521</v>
      </c>
      <c r="O280" s="14" t="str">
        <f>VLOOKUP(N280,Stock[#Data],2,FALSE)</f>
        <v>ဒဂုံအရက်သန့်</v>
      </c>
      <c r="P280" s="44">
        <f>VLOOKUP(N280,Stock[#Data],3,FALSE)</f>
        <v>0.64</v>
      </c>
      <c r="Q280" s="3">
        <f>VLOOKUP(N280,Stock[#Data],4,FALSE)</f>
        <v>24</v>
      </c>
      <c r="R280" s="11"/>
      <c r="S280" s="45">
        <f>IFERROR(Table4[[#This Row],[Bottle]]/Table4[[#This Row],[ပါဝင်မှု]]+Table4[[#This Row],[SalesPK]],0)</f>
        <v>60</v>
      </c>
      <c r="T280" s="12">
        <v>60</v>
      </c>
      <c r="U280" s="10">
        <f>Table4[[#This Row],[ပါဝင်မှု]]*Table4[[#This Row],[SalesPK]]+Table4[[#This Row],[Bottle]]</f>
        <v>1440</v>
      </c>
      <c r="V280" s="10">
        <f>Table4[[#This Row],[SalesBot]]*Table4[[#This Row],[ML]]</f>
        <v>921.6</v>
      </c>
      <c r="W280" s="1">
        <f>VLOOKUP(N280,Stock[#Data],6,FALSE)</f>
        <v>1350</v>
      </c>
      <c r="X280" s="8">
        <f>+Table4[[#This Row],[SalesBot]]*Table4[[#This Row],[နှုံး]]</f>
        <v>1944000</v>
      </c>
      <c r="Y280" s="12"/>
      <c r="Z280" s="12"/>
      <c r="AA280" s="12"/>
      <c r="AB280" s="9">
        <v>46042</v>
      </c>
      <c r="AC280" s="12">
        <v>1944000</v>
      </c>
      <c r="AD280" s="9"/>
      <c r="AE280" s="12"/>
      <c r="AF28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80" s="24"/>
      <c r="AH280" s="266">
        <f>Table4[[#This Row],[Date]]</f>
        <v>46039</v>
      </c>
      <c r="AI280" s="264" t="str">
        <f t="shared" si="48"/>
        <v>Jan</v>
      </c>
      <c r="AJ280" s="264" t="str">
        <f t="shared" si="49"/>
        <v>2026</v>
      </c>
      <c r="AK280" s="270" t="str">
        <f>Table4[[#This Row],[ကုန်သည်အမည်]]</f>
        <v>ဒေါ်ထွန်းမေ</v>
      </c>
      <c r="AL280" s="270" t="str">
        <f>Table4[[#This Row],[Township]]</f>
        <v>Maw La Myaing</v>
      </c>
      <c r="AM280" s="271" t="str">
        <f>Table4[[#This Row],[WholeSales]]</f>
        <v>WholeSales</v>
      </c>
      <c r="AN280" s="272" t="str">
        <f>Table4[[#This Row],[Particular]]</f>
        <v>ကုန်ရောင်း(အကြွေး)</v>
      </c>
      <c r="AO280" s="273" t="str">
        <f>Table4[[#This Row],[StockName]]</f>
        <v>ဒဂုံအရက်သန့်</v>
      </c>
      <c r="AP280" s="268">
        <f>Table4[[#This Row],[Parking]]</f>
        <v>60</v>
      </c>
      <c r="AQ280" s="268">
        <f>Table4[[#This Row],[SalesBot]]</f>
        <v>1440</v>
      </c>
      <c r="AR280" s="268">
        <f>Table4[[#This Row],[Liter]]</f>
        <v>921.6</v>
      </c>
    </row>
    <row r="281" spans="1:44" s="16" customFormat="1" hidden="1" x14ac:dyDescent="0.5">
      <c r="A281" s="3">
        <f t="shared" si="50"/>
        <v>2026</v>
      </c>
      <c r="B281" s="8">
        <f t="shared" si="51"/>
        <v>1</v>
      </c>
      <c r="C281" s="6">
        <v>46039</v>
      </c>
      <c r="D281" s="15">
        <f t="shared" ca="1" si="52"/>
        <v>46097</v>
      </c>
      <c r="E281" s="15" t="str">
        <f t="shared" ca="1" si="53"/>
        <v>1-Months</v>
      </c>
      <c r="F281" s="8" t="str">
        <f>VLOOKUP(N281,Stock[#Data],5,FALSE)</f>
        <v>BE</v>
      </c>
      <c r="G281" s="82" t="s">
        <v>1076</v>
      </c>
      <c r="H281" s="15"/>
      <c r="I281" s="7" t="s">
        <v>538</v>
      </c>
      <c r="J281" s="8" t="str">
        <f>VLOOKUP(I281,Customers[#Data],2,FALSE)</f>
        <v>ဒေါ်နွယ်နွယ်ရီ(ရွှေတောင်ကြား)</v>
      </c>
      <c r="K281" s="15" t="str">
        <f>VLOOKUP(I281,Customers[#Data],4,FALSE)</f>
        <v>Yay</v>
      </c>
      <c r="L281" s="15" t="str">
        <f>VLOOKUP(I281,Customers[#Data],5,FALSE)</f>
        <v>WholeSales</v>
      </c>
      <c r="M281" s="7" t="s">
        <v>7</v>
      </c>
      <c r="N281" s="7" t="s">
        <v>514</v>
      </c>
      <c r="O281" s="14" t="str">
        <f>VLOOKUP(N281,Stock[#Data],2,FALSE)</f>
        <v>ဇေယျဝတီ Red</v>
      </c>
      <c r="P281" s="44">
        <f>VLOOKUP(N281,Stock[#Data],3,FALSE)</f>
        <v>0.64</v>
      </c>
      <c r="Q281" s="3">
        <f>VLOOKUP(N281,Stock[#Data],4,FALSE)</f>
        <v>14</v>
      </c>
      <c r="R281" s="11"/>
      <c r="S281" s="45">
        <f>IFERROR(Table4[[#This Row],[Bottle]]/Table4[[#This Row],[ပါဝင်မှု]]+Table4[[#This Row],[SalesPK]],0)</f>
        <v>500</v>
      </c>
      <c r="T281" s="12">
        <v>500</v>
      </c>
      <c r="U281" s="10">
        <f>Table4[[#This Row],[ပါဝင်မှု]]*Table4[[#This Row],[SalesPK]]+Table4[[#This Row],[Bottle]]</f>
        <v>7000</v>
      </c>
      <c r="V281" s="10">
        <f>Table4[[#This Row],[SalesBot]]*Table4[[#This Row],[ML]]</f>
        <v>4480</v>
      </c>
      <c r="W281" s="1">
        <f>VLOOKUP(N281,Stock[#Data],6,FALSE)</f>
        <v>1350</v>
      </c>
      <c r="X281" s="8">
        <f>+Table4[[#This Row],[SalesBot]]*Table4[[#This Row],[နှုံး]]</f>
        <v>9450000</v>
      </c>
      <c r="Y281" s="12"/>
      <c r="Z281" s="12"/>
      <c r="AA281" s="12"/>
      <c r="AB281" s="9"/>
      <c r="AC281" s="12"/>
      <c r="AD281" s="9"/>
      <c r="AE281" s="12"/>
      <c r="AF28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9450000</v>
      </c>
      <c r="AG281" s="24"/>
      <c r="AH281" s="266">
        <f>Table4[[#This Row],[Date]]</f>
        <v>46039</v>
      </c>
      <c r="AI281" s="264" t="str">
        <f t="shared" si="48"/>
        <v>Jan</v>
      </c>
      <c r="AJ281" s="264" t="str">
        <f t="shared" si="49"/>
        <v>2026</v>
      </c>
      <c r="AK281" s="270" t="str">
        <f>Table4[[#This Row],[ကုန်သည်အမည်]]</f>
        <v>ဒေါ်နွယ်နွယ်ရီ(ရွှေတောင်ကြား)</v>
      </c>
      <c r="AL281" s="270" t="str">
        <f>Table4[[#This Row],[Township]]</f>
        <v>Yay</v>
      </c>
      <c r="AM281" s="271" t="str">
        <f>Table4[[#This Row],[WholeSales]]</f>
        <v>WholeSales</v>
      </c>
      <c r="AN281" s="272" t="str">
        <f>Table4[[#This Row],[Particular]]</f>
        <v>ကုန်ရောင်း(အကြွေး)</v>
      </c>
      <c r="AO281" s="273" t="str">
        <f>Table4[[#This Row],[StockName]]</f>
        <v>ဇေယျဝတီ Red</v>
      </c>
      <c r="AP281" s="268">
        <f>Table4[[#This Row],[Parking]]</f>
        <v>500</v>
      </c>
      <c r="AQ281" s="268">
        <f>Table4[[#This Row],[SalesBot]]</f>
        <v>7000</v>
      </c>
      <c r="AR281" s="268">
        <f>Table4[[#This Row],[Liter]]</f>
        <v>4480</v>
      </c>
    </row>
    <row r="282" spans="1:44" s="16" customFormat="1" hidden="1" x14ac:dyDescent="0.5">
      <c r="A282" s="3">
        <f t="shared" si="50"/>
        <v>2026</v>
      </c>
      <c r="B282" s="8">
        <f t="shared" si="51"/>
        <v>1</v>
      </c>
      <c r="C282" s="6">
        <v>46039</v>
      </c>
      <c r="D282" s="15">
        <f t="shared" ca="1" si="52"/>
        <v>46097</v>
      </c>
      <c r="E282" s="15" t="str">
        <f t="shared" ca="1" si="53"/>
        <v>1-Months</v>
      </c>
      <c r="F282" s="8" t="str">
        <f>VLOOKUP(N282,Stock[#Data],5,FALSE)</f>
        <v>BE</v>
      </c>
      <c r="G282" s="82" t="s">
        <v>1077</v>
      </c>
      <c r="H282" s="15"/>
      <c r="I282" s="7" t="s">
        <v>95</v>
      </c>
      <c r="J282" s="8" t="str">
        <f>VLOOKUP(I282,Customers[#Data],2,FALSE)</f>
        <v>ကျော်စတား</v>
      </c>
      <c r="K282" s="15" t="str">
        <f>VLOOKUP(I282,Customers[#Data],4,FALSE)</f>
        <v>Yay</v>
      </c>
      <c r="L282" s="15" t="str">
        <f>VLOOKUP(I282,Customers[#Data],5,FALSE)</f>
        <v>WholeSales</v>
      </c>
      <c r="M282" s="7" t="s">
        <v>7</v>
      </c>
      <c r="N282" s="7" t="s">
        <v>514</v>
      </c>
      <c r="O282" s="14" t="str">
        <f>VLOOKUP(N282,Stock[#Data],2,FALSE)</f>
        <v>ဇေယျဝတီ Red</v>
      </c>
      <c r="P282" s="44">
        <f>VLOOKUP(N282,Stock[#Data],3,FALSE)</f>
        <v>0.64</v>
      </c>
      <c r="Q282" s="3">
        <f>VLOOKUP(N282,Stock[#Data],4,FALSE)</f>
        <v>14</v>
      </c>
      <c r="R282" s="11"/>
      <c r="S282" s="45">
        <f>IFERROR(Table4[[#This Row],[Bottle]]/Table4[[#This Row],[ပါဝင်မှု]]+Table4[[#This Row],[SalesPK]],0)</f>
        <v>100</v>
      </c>
      <c r="T282" s="12">
        <v>100</v>
      </c>
      <c r="U282" s="10">
        <f>Table4[[#This Row],[ပါဝင်မှု]]*Table4[[#This Row],[SalesPK]]+Table4[[#This Row],[Bottle]]</f>
        <v>1400</v>
      </c>
      <c r="V282" s="10">
        <f>Table4[[#This Row],[SalesBot]]*Table4[[#This Row],[ML]]</f>
        <v>896</v>
      </c>
      <c r="W282" s="1">
        <f>VLOOKUP(N282,Stock[#Data],6,FALSE)</f>
        <v>1350</v>
      </c>
      <c r="X282" s="8">
        <f>+Table4[[#This Row],[SalesBot]]*Table4[[#This Row],[နှုံး]]</f>
        <v>1890000</v>
      </c>
      <c r="Y282" s="12"/>
      <c r="Z282" s="12"/>
      <c r="AA282" s="12"/>
      <c r="AB282" s="9"/>
      <c r="AC282" s="12"/>
      <c r="AD282" s="9"/>
      <c r="AE282" s="12"/>
      <c r="AF28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282" s="24"/>
      <c r="AH282" s="266">
        <f>Table4[[#This Row],[Date]]</f>
        <v>46039</v>
      </c>
      <c r="AI282" s="264" t="str">
        <f t="shared" si="48"/>
        <v>Jan</v>
      </c>
      <c r="AJ282" s="264" t="str">
        <f t="shared" si="49"/>
        <v>2026</v>
      </c>
      <c r="AK282" s="270" t="str">
        <f>Table4[[#This Row],[ကုန်သည်အမည်]]</f>
        <v>ကျော်စတား</v>
      </c>
      <c r="AL282" s="270" t="str">
        <f>Table4[[#This Row],[Township]]</f>
        <v>Yay</v>
      </c>
      <c r="AM282" s="271" t="str">
        <f>Table4[[#This Row],[WholeSales]]</f>
        <v>WholeSales</v>
      </c>
      <c r="AN282" s="272" t="str">
        <f>Table4[[#This Row],[Particular]]</f>
        <v>ကုန်ရောင်း(အကြွေး)</v>
      </c>
      <c r="AO282" s="273" t="str">
        <f>Table4[[#This Row],[StockName]]</f>
        <v>ဇေယျဝတီ Red</v>
      </c>
      <c r="AP282" s="268">
        <f>Table4[[#This Row],[Parking]]</f>
        <v>100</v>
      </c>
      <c r="AQ282" s="268">
        <f>Table4[[#This Row],[SalesBot]]</f>
        <v>1400</v>
      </c>
      <c r="AR282" s="268">
        <f>Table4[[#This Row],[Liter]]</f>
        <v>896</v>
      </c>
    </row>
    <row r="283" spans="1:44" s="16" customFormat="1" hidden="1" x14ac:dyDescent="0.5">
      <c r="A283" s="3">
        <f t="shared" si="50"/>
        <v>2026</v>
      </c>
      <c r="B283" s="8">
        <f t="shared" si="51"/>
        <v>1</v>
      </c>
      <c r="C283" s="6">
        <v>46039</v>
      </c>
      <c r="D283" s="15">
        <f t="shared" ca="1" si="52"/>
        <v>46097</v>
      </c>
      <c r="E283" s="15" t="str">
        <f t="shared" ca="1" si="53"/>
        <v>1-Months</v>
      </c>
      <c r="F283" s="8" t="str">
        <f>VLOOKUP(N283,Stock[#Data],5,FALSE)</f>
        <v>BE</v>
      </c>
      <c r="G283" s="82" t="s">
        <v>1077</v>
      </c>
      <c r="H283" s="15"/>
      <c r="I283" s="7" t="s">
        <v>95</v>
      </c>
      <c r="J283" s="8" t="str">
        <f>VLOOKUP(I283,Customers[#Data],2,FALSE)</f>
        <v>ကျော်စတား</v>
      </c>
      <c r="K283" s="15" t="str">
        <f>VLOOKUP(I283,Customers[#Data],4,FALSE)</f>
        <v>Yay</v>
      </c>
      <c r="L283" s="15" t="str">
        <f>VLOOKUP(I283,Customers[#Data],5,FALSE)</f>
        <v>WholeSales</v>
      </c>
      <c r="M283" s="7" t="s">
        <v>7</v>
      </c>
      <c r="N283" s="7" t="s">
        <v>517</v>
      </c>
      <c r="O283" s="14" t="str">
        <f>VLOOKUP(N283,Stock[#Data],2,FALSE)</f>
        <v>ဇေယျဝတီ Red (1 Liter) 30%</v>
      </c>
      <c r="P283" s="44">
        <f>VLOOKUP(N283,Stock[#Data],3,FALSE)</f>
        <v>1</v>
      </c>
      <c r="Q283" s="3">
        <f>VLOOKUP(N283,Stock[#Data],4,FALSE)</f>
        <v>12</v>
      </c>
      <c r="R283" s="11"/>
      <c r="S283" s="45">
        <f>IFERROR(Table4[[#This Row],[Bottle]]/Table4[[#This Row],[ပါဝင်မှု]]+Table4[[#This Row],[SalesPK]],0)</f>
        <v>130</v>
      </c>
      <c r="T283" s="12">
        <v>130</v>
      </c>
      <c r="U283" s="10">
        <f>Table4[[#This Row],[ပါဝင်မှု]]*Table4[[#This Row],[SalesPK]]+Table4[[#This Row],[Bottle]]</f>
        <v>1560</v>
      </c>
      <c r="V283" s="10">
        <f>Table4[[#This Row],[SalesBot]]*Table4[[#This Row],[ML]]</f>
        <v>1560</v>
      </c>
      <c r="W283" s="1">
        <f>VLOOKUP(N283,Stock[#Data],6,FALSE)</f>
        <v>1710</v>
      </c>
      <c r="X283" s="8">
        <f>+Table4[[#This Row],[SalesBot]]*Table4[[#This Row],[နှုံး]]</f>
        <v>2667600</v>
      </c>
      <c r="Y283" s="12"/>
      <c r="Z283" s="12"/>
      <c r="AA283" s="12"/>
      <c r="AB283" s="9"/>
      <c r="AC283" s="12"/>
      <c r="AD283" s="9"/>
      <c r="AE283" s="12"/>
      <c r="AF28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2667600</v>
      </c>
      <c r="AG283" s="24"/>
      <c r="AH283" s="266">
        <f>Table4[[#This Row],[Date]]</f>
        <v>46039</v>
      </c>
      <c r="AI283" s="264" t="str">
        <f t="shared" si="48"/>
        <v>Jan</v>
      </c>
      <c r="AJ283" s="264" t="str">
        <f t="shared" si="49"/>
        <v>2026</v>
      </c>
      <c r="AK283" s="270" t="str">
        <f>Table4[[#This Row],[ကုန်သည်အမည်]]</f>
        <v>ကျော်စတား</v>
      </c>
      <c r="AL283" s="270" t="str">
        <f>Table4[[#This Row],[Township]]</f>
        <v>Yay</v>
      </c>
      <c r="AM283" s="271" t="str">
        <f>Table4[[#This Row],[WholeSales]]</f>
        <v>WholeSales</v>
      </c>
      <c r="AN283" s="272" t="str">
        <f>Table4[[#This Row],[Particular]]</f>
        <v>ကုန်ရောင်း(အကြွေး)</v>
      </c>
      <c r="AO283" s="273" t="str">
        <f>Table4[[#This Row],[StockName]]</f>
        <v>ဇေယျဝတီ Red (1 Liter) 30%</v>
      </c>
      <c r="AP283" s="268">
        <f>Table4[[#This Row],[Parking]]</f>
        <v>130</v>
      </c>
      <c r="AQ283" s="268">
        <f>Table4[[#This Row],[SalesBot]]</f>
        <v>1560</v>
      </c>
      <c r="AR283" s="268">
        <f>Table4[[#This Row],[Liter]]</f>
        <v>1560</v>
      </c>
    </row>
    <row r="284" spans="1:44" s="16" customFormat="1" hidden="1" x14ac:dyDescent="0.5">
      <c r="A284" s="3">
        <f t="shared" si="50"/>
        <v>2026</v>
      </c>
      <c r="B284" s="8">
        <f t="shared" si="51"/>
        <v>1</v>
      </c>
      <c r="C284" s="6">
        <v>46039</v>
      </c>
      <c r="D284" s="15">
        <f t="shared" ca="1" si="52"/>
        <v>46097</v>
      </c>
      <c r="E284" s="15" t="str">
        <f t="shared" ca="1" si="53"/>
        <v>1-Months</v>
      </c>
      <c r="F284" s="8" t="str">
        <f>VLOOKUP(N284,Stock[#Data],5,FALSE)</f>
        <v>BE</v>
      </c>
      <c r="G284" s="82" t="s">
        <v>1078</v>
      </c>
      <c r="H284" s="15"/>
      <c r="I284" s="7" t="s">
        <v>101</v>
      </c>
      <c r="J284" s="8" t="str">
        <f>VLOOKUP(I284,Customers[#Data],2,FALSE)</f>
        <v>ကိုမောင်+မသူဇာ</v>
      </c>
      <c r="K284" s="15" t="str">
        <f>VLOOKUP(I284,Customers[#Data],4,FALSE)</f>
        <v>Yay</v>
      </c>
      <c r="L284" s="15" t="str">
        <f>VLOOKUP(I284,Customers[#Data],5,FALSE)</f>
        <v>WholeSales</v>
      </c>
      <c r="M284" s="7" t="s">
        <v>7</v>
      </c>
      <c r="N284" s="7" t="s">
        <v>517</v>
      </c>
      <c r="O284" s="14" t="str">
        <f>VLOOKUP(N284,Stock[#Data],2,FALSE)</f>
        <v>ဇေယျဝတီ Red (1 Liter) 30%</v>
      </c>
      <c r="P284" s="44">
        <f>VLOOKUP(N284,Stock[#Data],3,FALSE)</f>
        <v>1</v>
      </c>
      <c r="Q284" s="3">
        <f>VLOOKUP(N284,Stock[#Data],4,FALSE)</f>
        <v>12</v>
      </c>
      <c r="R284" s="11"/>
      <c r="S284" s="45">
        <f>IFERROR(Table4[[#This Row],[Bottle]]/Table4[[#This Row],[ပါဝင်မှု]]+Table4[[#This Row],[SalesPK]],0)</f>
        <v>50</v>
      </c>
      <c r="T284" s="12">
        <v>50</v>
      </c>
      <c r="U284" s="10">
        <f>Table4[[#This Row],[ပါဝင်မှု]]*Table4[[#This Row],[SalesPK]]+Table4[[#This Row],[Bottle]]</f>
        <v>600</v>
      </c>
      <c r="V284" s="10">
        <f>Table4[[#This Row],[SalesBot]]*Table4[[#This Row],[ML]]</f>
        <v>600</v>
      </c>
      <c r="W284" s="1">
        <f>VLOOKUP(N284,Stock[#Data],6,FALSE)</f>
        <v>1710</v>
      </c>
      <c r="X284" s="8">
        <f>+Table4[[#This Row],[SalesBot]]*Table4[[#This Row],[နှုံး]]</f>
        <v>1026000</v>
      </c>
      <c r="Y284" s="12"/>
      <c r="Z284" s="12"/>
      <c r="AA284" s="12"/>
      <c r="AB284" s="9"/>
      <c r="AC284" s="12"/>
      <c r="AD284" s="9"/>
      <c r="AE284" s="12"/>
      <c r="AF28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284" s="24"/>
      <c r="AH284" s="266">
        <f>Table4[[#This Row],[Date]]</f>
        <v>46039</v>
      </c>
      <c r="AI284" s="264" t="str">
        <f t="shared" si="48"/>
        <v>Jan</v>
      </c>
      <c r="AJ284" s="264" t="str">
        <f t="shared" si="49"/>
        <v>2026</v>
      </c>
      <c r="AK284" s="270" t="str">
        <f>Table4[[#This Row],[ကုန်သည်အမည်]]</f>
        <v>ကိုမောင်+မသူဇာ</v>
      </c>
      <c r="AL284" s="270" t="str">
        <f>Table4[[#This Row],[Township]]</f>
        <v>Yay</v>
      </c>
      <c r="AM284" s="271" t="str">
        <f>Table4[[#This Row],[WholeSales]]</f>
        <v>WholeSales</v>
      </c>
      <c r="AN284" s="272" t="str">
        <f>Table4[[#This Row],[Particular]]</f>
        <v>ကုန်ရောင်း(အကြွေး)</v>
      </c>
      <c r="AO284" s="273" t="str">
        <f>Table4[[#This Row],[StockName]]</f>
        <v>ဇေယျဝတီ Red (1 Liter) 30%</v>
      </c>
      <c r="AP284" s="268">
        <f>Table4[[#This Row],[Parking]]</f>
        <v>50</v>
      </c>
      <c r="AQ284" s="268">
        <f>Table4[[#This Row],[SalesBot]]</f>
        <v>600</v>
      </c>
      <c r="AR284" s="268">
        <f>Table4[[#This Row],[Liter]]</f>
        <v>600</v>
      </c>
    </row>
    <row r="285" spans="1:44" s="16" customFormat="1" hidden="1" x14ac:dyDescent="0.5">
      <c r="A285" s="3">
        <f t="shared" si="50"/>
        <v>2026</v>
      </c>
      <c r="B285" s="8">
        <f t="shared" si="51"/>
        <v>1</v>
      </c>
      <c r="C285" s="6">
        <v>46039</v>
      </c>
      <c r="D285" s="15">
        <f t="shared" ca="1" si="52"/>
        <v>46097</v>
      </c>
      <c r="E285" s="15" t="str">
        <f t="shared" ca="1" si="53"/>
        <v>1-Months</v>
      </c>
      <c r="F285" s="8" t="str">
        <f>VLOOKUP(N285,Stock[#Data],5,FALSE)</f>
        <v>BE</v>
      </c>
      <c r="G285" s="82" t="s">
        <v>1079</v>
      </c>
      <c r="H285" s="15"/>
      <c r="I285" s="7" t="s">
        <v>538</v>
      </c>
      <c r="J285" s="8" t="str">
        <f>VLOOKUP(I285,Customers[#Data],2,FALSE)</f>
        <v>ဒေါ်နွယ်နွယ်ရီ(ရွှေတောင်ကြား)</v>
      </c>
      <c r="K285" s="15" t="str">
        <f>VLOOKUP(I285,Customers[#Data],4,FALSE)</f>
        <v>Yay</v>
      </c>
      <c r="L285" s="15" t="str">
        <f>VLOOKUP(I285,Customers[#Data],5,FALSE)</f>
        <v>WholeSales</v>
      </c>
      <c r="M285" s="7" t="s">
        <v>7</v>
      </c>
      <c r="N285" s="7" t="s">
        <v>517</v>
      </c>
      <c r="O285" s="14" t="str">
        <f>VLOOKUP(N285,Stock[#Data],2,FALSE)</f>
        <v>ဇေယျဝတီ Red (1 Liter) 30%</v>
      </c>
      <c r="P285" s="44">
        <f>VLOOKUP(N285,Stock[#Data],3,FALSE)</f>
        <v>1</v>
      </c>
      <c r="Q285" s="3">
        <f>VLOOKUP(N285,Stock[#Data],4,FALSE)</f>
        <v>12</v>
      </c>
      <c r="R285" s="11"/>
      <c r="S285" s="45">
        <f>IFERROR(Table4[[#This Row],[Bottle]]/Table4[[#This Row],[ပါဝင်မှု]]+Table4[[#This Row],[SalesPK]],0)</f>
        <v>100</v>
      </c>
      <c r="T285" s="12">
        <v>100</v>
      </c>
      <c r="U285" s="10">
        <f>Table4[[#This Row],[ပါဝင်မှု]]*Table4[[#This Row],[SalesPK]]+Table4[[#This Row],[Bottle]]</f>
        <v>1200</v>
      </c>
      <c r="V285" s="10">
        <f>Table4[[#This Row],[SalesBot]]*Table4[[#This Row],[ML]]</f>
        <v>1200</v>
      </c>
      <c r="W285" s="1">
        <f>VLOOKUP(N285,Stock[#Data],6,FALSE)</f>
        <v>1710</v>
      </c>
      <c r="X285" s="8">
        <f>+Table4[[#This Row],[SalesBot]]*Table4[[#This Row],[နှုံး]]</f>
        <v>2052000</v>
      </c>
      <c r="Y285" s="12"/>
      <c r="Z285" s="12"/>
      <c r="AA285" s="12"/>
      <c r="AB285" s="9"/>
      <c r="AC285" s="12"/>
      <c r="AD285" s="9"/>
      <c r="AE285" s="12"/>
      <c r="AF28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285" s="24"/>
      <c r="AH285" s="266">
        <f>Table4[[#This Row],[Date]]</f>
        <v>46039</v>
      </c>
      <c r="AI285" s="264" t="str">
        <f t="shared" si="48"/>
        <v>Jan</v>
      </c>
      <c r="AJ285" s="264" t="str">
        <f t="shared" si="49"/>
        <v>2026</v>
      </c>
      <c r="AK285" s="270" t="str">
        <f>Table4[[#This Row],[ကုန်သည်အမည်]]</f>
        <v>ဒေါ်နွယ်နွယ်ရီ(ရွှေတောင်ကြား)</v>
      </c>
      <c r="AL285" s="270" t="str">
        <f>Table4[[#This Row],[Township]]</f>
        <v>Yay</v>
      </c>
      <c r="AM285" s="271" t="str">
        <f>Table4[[#This Row],[WholeSales]]</f>
        <v>WholeSales</v>
      </c>
      <c r="AN285" s="272" t="str">
        <f>Table4[[#This Row],[Particular]]</f>
        <v>ကုန်ရောင်း(အကြွေး)</v>
      </c>
      <c r="AO285" s="273" t="str">
        <f>Table4[[#This Row],[StockName]]</f>
        <v>ဇေယျဝတီ Red (1 Liter) 30%</v>
      </c>
      <c r="AP285" s="268">
        <f>Table4[[#This Row],[Parking]]</f>
        <v>100</v>
      </c>
      <c r="AQ285" s="268">
        <f>Table4[[#This Row],[SalesBot]]</f>
        <v>1200</v>
      </c>
      <c r="AR285" s="268">
        <f>Table4[[#This Row],[Liter]]</f>
        <v>1200</v>
      </c>
    </row>
    <row r="286" spans="1:44" s="16" customFormat="1" hidden="1" x14ac:dyDescent="0.5">
      <c r="A286" s="3">
        <f t="shared" si="50"/>
        <v>2026</v>
      </c>
      <c r="B286" s="8">
        <f t="shared" si="51"/>
        <v>1</v>
      </c>
      <c r="C286" s="6">
        <v>46039</v>
      </c>
      <c r="D286" s="15">
        <f t="shared" ca="1" si="52"/>
        <v>46097</v>
      </c>
      <c r="E286" s="15" t="str">
        <f t="shared" ca="1" si="53"/>
        <v>1-Months</v>
      </c>
      <c r="F286" s="8" t="str">
        <f>VLOOKUP(N286,Stock[#Data],5,FALSE)</f>
        <v>BE</v>
      </c>
      <c r="G286" s="82" t="s">
        <v>1080</v>
      </c>
      <c r="H286" s="15"/>
      <c r="I286" s="7" t="s">
        <v>82</v>
      </c>
      <c r="J286" s="8" t="str">
        <f>VLOOKUP(I286,Customers[#Data],2,FALSE)</f>
        <v>ဒေါ်ထွန်းမေ</v>
      </c>
      <c r="K286" s="15" t="str">
        <f>VLOOKUP(I286,Customers[#Data],4,FALSE)</f>
        <v>Maw La Myaing</v>
      </c>
      <c r="L286" s="15" t="str">
        <f>VLOOKUP(I286,Customers[#Data],5,FALSE)</f>
        <v>WholeSales</v>
      </c>
      <c r="M286" s="7" t="s">
        <v>6</v>
      </c>
      <c r="N286" s="7" t="s">
        <v>514</v>
      </c>
      <c r="O286" s="14" t="str">
        <f>VLOOKUP(N286,Stock[#Data],2,FALSE)</f>
        <v>ဇေယျဝတီ Red</v>
      </c>
      <c r="P286" s="44">
        <f>VLOOKUP(N286,Stock[#Data],3,FALSE)</f>
        <v>0.64</v>
      </c>
      <c r="Q286" s="3">
        <f>VLOOKUP(N286,Stock[#Data],4,FALSE)</f>
        <v>14</v>
      </c>
      <c r="R286" s="11"/>
      <c r="S286" s="45">
        <f>IFERROR(Table4[[#This Row],[Bottle]]/Table4[[#This Row],[ပါဝင်မှု]]+Table4[[#This Row],[SalesPK]],0)</f>
        <v>25</v>
      </c>
      <c r="T286" s="12">
        <v>25</v>
      </c>
      <c r="U286" s="10">
        <f>Table4[[#This Row],[ပါဝင်မှု]]*Table4[[#This Row],[SalesPK]]+Table4[[#This Row],[Bottle]]</f>
        <v>350</v>
      </c>
      <c r="V286" s="10">
        <f>Table4[[#This Row],[SalesBot]]*Table4[[#This Row],[ML]]</f>
        <v>224</v>
      </c>
      <c r="W286" s="1">
        <f>VLOOKUP(N286,Stock[#Data],6,FALSE)</f>
        <v>1350</v>
      </c>
      <c r="X286" s="8">
        <f>+Table4[[#This Row],[SalesBot]]*Table4[[#This Row],[နှုံး]]</f>
        <v>472500</v>
      </c>
      <c r="Y286" s="12"/>
      <c r="Z286" s="12"/>
      <c r="AA286" s="12"/>
      <c r="AB286" s="9"/>
      <c r="AC286" s="12">
        <v>472500</v>
      </c>
      <c r="AD286" s="9"/>
      <c r="AE286" s="12"/>
      <c r="AF28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86" s="24"/>
      <c r="AH286" s="266">
        <f>Table4[[#This Row],[Date]]</f>
        <v>46039</v>
      </c>
      <c r="AI286" s="264" t="str">
        <f t="shared" si="48"/>
        <v>Jan</v>
      </c>
      <c r="AJ286" s="264" t="str">
        <f t="shared" si="49"/>
        <v>2026</v>
      </c>
      <c r="AK286" s="270" t="str">
        <f>Table4[[#This Row],[ကုန်သည်အမည်]]</f>
        <v>ဒေါ်ထွန်းမေ</v>
      </c>
      <c r="AL286" s="270" t="str">
        <f>Table4[[#This Row],[Township]]</f>
        <v>Maw La Myaing</v>
      </c>
      <c r="AM286" s="271" t="str">
        <f>Table4[[#This Row],[WholeSales]]</f>
        <v>WholeSales</v>
      </c>
      <c r="AN286" s="272" t="str">
        <f>Table4[[#This Row],[Particular]]</f>
        <v>ကုန်ရောင်း(လက်ငင်း)</v>
      </c>
      <c r="AO286" s="273" t="str">
        <f>Table4[[#This Row],[StockName]]</f>
        <v>ဇေယျဝတီ Red</v>
      </c>
      <c r="AP286" s="268">
        <f>Table4[[#This Row],[Parking]]</f>
        <v>25</v>
      </c>
      <c r="AQ286" s="268">
        <f>Table4[[#This Row],[SalesBot]]</f>
        <v>350</v>
      </c>
      <c r="AR286" s="268">
        <f>Table4[[#This Row],[Liter]]</f>
        <v>224</v>
      </c>
    </row>
    <row r="287" spans="1:44" s="16" customFormat="1" hidden="1" x14ac:dyDescent="0.5">
      <c r="A287" s="3">
        <f t="shared" si="50"/>
        <v>2026</v>
      </c>
      <c r="B287" s="8">
        <f t="shared" si="51"/>
        <v>1</v>
      </c>
      <c r="C287" s="6">
        <v>46039</v>
      </c>
      <c r="D287" s="15">
        <f t="shared" ca="1" si="52"/>
        <v>46097</v>
      </c>
      <c r="E287" s="15" t="str">
        <f t="shared" ca="1" si="53"/>
        <v>1-Months</v>
      </c>
      <c r="F287" s="8" t="str">
        <f>VLOOKUP(N287,Stock[#Data],5,FALSE)</f>
        <v>BE</v>
      </c>
      <c r="G287" s="82" t="s">
        <v>1081</v>
      </c>
      <c r="H287" s="15"/>
      <c r="I287" s="7" t="s">
        <v>588</v>
      </c>
      <c r="J287" s="8" t="str">
        <f>VLOOKUP(I287,Customers[#Data],2,FALSE)</f>
        <v>ပြုံးပန်း‌ေ</v>
      </c>
      <c r="K287" s="15" t="str">
        <f>VLOOKUP(I287,Customers[#Data],4,FALSE)</f>
        <v>Maw La Myaing</v>
      </c>
      <c r="L287" s="15" t="str">
        <f>VLOOKUP(I287,Customers[#Data],5,FALSE)</f>
        <v>Van Sales</v>
      </c>
      <c r="M287" s="7" t="s">
        <v>6</v>
      </c>
      <c r="N287" s="7" t="s">
        <v>518</v>
      </c>
      <c r="O287" s="14" t="str">
        <f>VLOOKUP(N287,Stock[#Data],2,FALSE)</f>
        <v>"ဇေ" ကော်ဘူး (1 Liter)</v>
      </c>
      <c r="P287" s="44">
        <f>VLOOKUP(N287,Stock[#Data],3,FALSE)</f>
        <v>1</v>
      </c>
      <c r="Q287" s="3">
        <f>VLOOKUP(N287,Stock[#Data],4,FALSE)</f>
        <v>12</v>
      </c>
      <c r="R287" s="11"/>
      <c r="S287" s="45">
        <f>IFERROR(Table4[[#This Row],[Bottle]]/Table4[[#This Row],[ပါဝင်မှု]]+Table4[[#This Row],[SalesPK]],0)</f>
        <v>5</v>
      </c>
      <c r="T287" s="12">
        <v>5</v>
      </c>
      <c r="U287" s="10">
        <f>Table4[[#This Row],[ပါဝင်မှု]]*Table4[[#This Row],[SalesPK]]+Table4[[#This Row],[Bottle]]</f>
        <v>60</v>
      </c>
      <c r="V287" s="10">
        <f>Table4[[#This Row],[SalesBot]]*Table4[[#This Row],[ML]]</f>
        <v>60</v>
      </c>
      <c r="W287" s="1">
        <f>VLOOKUP(N287,Stock[#Data],6,FALSE)</f>
        <v>1675</v>
      </c>
      <c r="X287" s="8">
        <f>+Table4[[#This Row],[SalesBot]]*Table4[[#This Row],[နှုံး]]</f>
        <v>100500</v>
      </c>
      <c r="Y287" s="12"/>
      <c r="Z287" s="12"/>
      <c r="AA287" s="12"/>
      <c r="AB287" s="9"/>
      <c r="AC287" s="12">
        <v>100500</v>
      </c>
      <c r="AD287" s="9"/>
      <c r="AE287" s="12"/>
      <c r="AF28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87" s="24"/>
      <c r="AH287" s="266">
        <f>Table4[[#This Row],[Date]]</f>
        <v>46039</v>
      </c>
      <c r="AI287" s="264" t="str">
        <f t="shared" si="48"/>
        <v>Jan</v>
      </c>
      <c r="AJ287" s="264" t="str">
        <f t="shared" si="49"/>
        <v>2026</v>
      </c>
      <c r="AK287" s="270" t="str">
        <f>Table4[[#This Row],[ကုန်သည်အမည်]]</f>
        <v>ပြုံးပန်း‌ေ</v>
      </c>
      <c r="AL287" s="270" t="str">
        <f>Table4[[#This Row],[Township]]</f>
        <v>Maw La Myaing</v>
      </c>
      <c r="AM287" s="271" t="str">
        <f>Table4[[#This Row],[WholeSales]]</f>
        <v>Van Sales</v>
      </c>
      <c r="AN287" s="272" t="str">
        <f>Table4[[#This Row],[Particular]]</f>
        <v>ကုန်ရောင်း(လက်ငင်း)</v>
      </c>
      <c r="AO287" s="273" t="str">
        <f>Table4[[#This Row],[StockName]]</f>
        <v>"ဇေ" ကော်ဘူး (1 Liter)</v>
      </c>
      <c r="AP287" s="268">
        <f>Table4[[#This Row],[Parking]]</f>
        <v>5</v>
      </c>
      <c r="AQ287" s="268">
        <f>Table4[[#This Row],[SalesBot]]</f>
        <v>60</v>
      </c>
      <c r="AR287" s="268">
        <f>Table4[[#This Row],[Liter]]</f>
        <v>60</v>
      </c>
    </row>
    <row r="288" spans="1:44" s="16" customFormat="1" hidden="1" x14ac:dyDescent="0.5">
      <c r="A288" s="3">
        <f t="shared" si="50"/>
        <v>2026</v>
      </c>
      <c r="B288" s="8">
        <f t="shared" si="51"/>
        <v>1</v>
      </c>
      <c r="C288" s="6">
        <v>46039</v>
      </c>
      <c r="D288" s="15">
        <f t="shared" ca="1" si="52"/>
        <v>46097</v>
      </c>
      <c r="E288" s="15" t="str">
        <f t="shared" ca="1" si="53"/>
        <v>1-Months</v>
      </c>
      <c r="F288" s="8" t="str">
        <f>VLOOKUP(N288,Stock[#Data],5,FALSE)</f>
        <v>BE</v>
      </c>
      <c r="G288" s="82" t="s">
        <v>1082</v>
      </c>
      <c r="H288" s="15"/>
      <c r="I288" s="7" t="s">
        <v>321</v>
      </c>
      <c r="J288" s="8" t="str">
        <f>VLOOKUP(I288,Customers[#Data],2,FALSE)</f>
        <v>စူပါ</v>
      </c>
      <c r="K288" s="15" t="str">
        <f>VLOOKUP(I288,Customers[#Data],4,FALSE)</f>
        <v>Mudon</v>
      </c>
      <c r="L288" s="15" t="str">
        <f>VLOOKUP(I288,Customers[#Data],5,FALSE)</f>
        <v>Van Sales</v>
      </c>
      <c r="M288" s="7" t="s">
        <v>6</v>
      </c>
      <c r="N288" s="7" t="s">
        <v>517</v>
      </c>
      <c r="O288" s="14" t="str">
        <f>VLOOKUP(N288,Stock[#Data],2,FALSE)</f>
        <v>ဇေယျဝတီ Red (1 Liter) 30%</v>
      </c>
      <c r="P288" s="44">
        <f>VLOOKUP(N288,Stock[#Data],3,FALSE)</f>
        <v>1</v>
      </c>
      <c r="Q288" s="3">
        <f>VLOOKUP(N288,Stock[#Data],4,FALSE)</f>
        <v>12</v>
      </c>
      <c r="R288" s="11"/>
      <c r="S288" s="45">
        <f>IFERROR(Table4[[#This Row],[Bottle]]/Table4[[#This Row],[ပါဝင်မှု]]+Table4[[#This Row],[SalesPK]],0)</f>
        <v>50</v>
      </c>
      <c r="T288" s="12">
        <v>50</v>
      </c>
      <c r="U288" s="10">
        <f>Table4[[#This Row],[ပါဝင်မှု]]*Table4[[#This Row],[SalesPK]]+Table4[[#This Row],[Bottle]]</f>
        <v>600</v>
      </c>
      <c r="V288" s="10">
        <f>Table4[[#This Row],[SalesBot]]*Table4[[#This Row],[ML]]</f>
        <v>600</v>
      </c>
      <c r="W288" s="1">
        <f>VLOOKUP(N288,Stock[#Data],6,FALSE)</f>
        <v>1710</v>
      </c>
      <c r="X288" s="8">
        <f>+Table4[[#This Row],[SalesBot]]*Table4[[#This Row],[နှုံး]]</f>
        <v>1026000</v>
      </c>
      <c r="Y288" s="12"/>
      <c r="Z288" s="12"/>
      <c r="AA288" s="12"/>
      <c r="AB288" s="9"/>
      <c r="AC288" s="12">
        <v>1026000</v>
      </c>
      <c r="AD288" s="9"/>
      <c r="AE288" s="12"/>
      <c r="AF28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88" s="24"/>
      <c r="AH288" s="266">
        <f>Table4[[#This Row],[Date]]</f>
        <v>46039</v>
      </c>
      <c r="AI288" s="264" t="str">
        <f t="shared" si="48"/>
        <v>Jan</v>
      </c>
      <c r="AJ288" s="264" t="str">
        <f t="shared" si="49"/>
        <v>2026</v>
      </c>
      <c r="AK288" s="270" t="str">
        <f>Table4[[#This Row],[ကုန်သည်အမည်]]</f>
        <v>စူပါ</v>
      </c>
      <c r="AL288" s="270" t="str">
        <f>Table4[[#This Row],[Township]]</f>
        <v>Mudon</v>
      </c>
      <c r="AM288" s="271" t="str">
        <f>Table4[[#This Row],[WholeSales]]</f>
        <v>Van Sales</v>
      </c>
      <c r="AN288" s="272" t="str">
        <f>Table4[[#This Row],[Particular]]</f>
        <v>ကုန်ရောင်း(လက်ငင်း)</v>
      </c>
      <c r="AO288" s="273" t="str">
        <f>Table4[[#This Row],[StockName]]</f>
        <v>ဇေယျဝတီ Red (1 Liter) 30%</v>
      </c>
      <c r="AP288" s="268">
        <f>Table4[[#This Row],[Parking]]</f>
        <v>50</v>
      </c>
      <c r="AQ288" s="268">
        <f>Table4[[#This Row],[SalesBot]]</f>
        <v>600</v>
      </c>
      <c r="AR288" s="268">
        <f>Table4[[#This Row],[Liter]]</f>
        <v>600</v>
      </c>
    </row>
    <row r="289" spans="1:44" s="16" customFormat="1" hidden="1" x14ac:dyDescent="0.5">
      <c r="A289" s="3">
        <f t="shared" si="50"/>
        <v>2026</v>
      </c>
      <c r="B289" s="8">
        <f t="shared" si="51"/>
        <v>1</v>
      </c>
      <c r="C289" s="6">
        <v>46039</v>
      </c>
      <c r="D289" s="15">
        <f t="shared" ca="1" si="52"/>
        <v>46097</v>
      </c>
      <c r="E289" s="15" t="str">
        <f t="shared" ca="1" si="53"/>
        <v>1-Months</v>
      </c>
      <c r="F289" s="8" t="str">
        <f>VLOOKUP(N289,Stock[#Data],5,FALSE)</f>
        <v>BE</v>
      </c>
      <c r="G289" s="82" t="s">
        <v>1083</v>
      </c>
      <c r="H289" s="15"/>
      <c r="I289" s="7" t="s">
        <v>145</v>
      </c>
      <c r="J289" s="8" t="str">
        <f>VLOOKUP(I289,Customers[#Data],2,FALSE)</f>
        <v>ကိုအာနိုး</v>
      </c>
      <c r="K289" s="15" t="str">
        <f>VLOOKUP(I289,Customers[#Data],4,FALSE)</f>
        <v>yaY</v>
      </c>
      <c r="L289" s="15" t="str">
        <f>VLOOKUP(I289,Customers[#Data],5,FALSE)</f>
        <v>Van Sales</v>
      </c>
      <c r="M289" s="7" t="s">
        <v>6</v>
      </c>
      <c r="N289" s="7" t="s">
        <v>517</v>
      </c>
      <c r="O289" s="14" t="str">
        <f>VLOOKUP(N289,Stock[#Data],2,FALSE)</f>
        <v>ဇေယျဝတီ Red (1 Liter) 30%</v>
      </c>
      <c r="P289" s="44">
        <f>VLOOKUP(N289,Stock[#Data],3,FALSE)</f>
        <v>1</v>
      </c>
      <c r="Q289" s="3">
        <f>VLOOKUP(N289,Stock[#Data],4,FALSE)</f>
        <v>12</v>
      </c>
      <c r="R289" s="11"/>
      <c r="S289" s="45">
        <f>IFERROR(Table4[[#This Row],[Bottle]]/Table4[[#This Row],[ပါဝင်မှု]]+Table4[[#This Row],[SalesPK]],0)</f>
        <v>30</v>
      </c>
      <c r="T289" s="12">
        <v>30</v>
      </c>
      <c r="U289" s="10">
        <f>Table4[[#This Row],[ပါဝင်မှု]]*Table4[[#This Row],[SalesPK]]+Table4[[#This Row],[Bottle]]</f>
        <v>360</v>
      </c>
      <c r="V289" s="10">
        <f>Table4[[#This Row],[SalesBot]]*Table4[[#This Row],[ML]]</f>
        <v>360</v>
      </c>
      <c r="W289" s="1">
        <f>VLOOKUP(N289,Stock[#Data],6,FALSE)</f>
        <v>1710</v>
      </c>
      <c r="X289" s="8">
        <f>+Table4[[#This Row],[SalesBot]]*Table4[[#This Row],[နှုံး]]</f>
        <v>615600</v>
      </c>
      <c r="Y289" s="12"/>
      <c r="Z289" s="12"/>
      <c r="AA289" s="12"/>
      <c r="AB289" s="9"/>
      <c r="AC289" s="12">
        <v>615600</v>
      </c>
      <c r="AD289" s="9"/>
      <c r="AE289" s="12"/>
      <c r="AF28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89" s="24"/>
      <c r="AH289" s="266">
        <f>Table4[[#This Row],[Date]]</f>
        <v>46039</v>
      </c>
      <c r="AI289" s="264" t="str">
        <f t="shared" si="48"/>
        <v>Jan</v>
      </c>
      <c r="AJ289" s="264" t="str">
        <f t="shared" si="49"/>
        <v>2026</v>
      </c>
      <c r="AK289" s="270" t="str">
        <f>Table4[[#This Row],[ကုန်သည်အမည်]]</f>
        <v>ကိုအာနိုး</v>
      </c>
      <c r="AL289" s="270" t="str">
        <f>Table4[[#This Row],[Township]]</f>
        <v>yaY</v>
      </c>
      <c r="AM289" s="271" t="str">
        <f>Table4[[#This Row],[WholeSales]]</f>
        <v>Van Sales</v>
      </c>
      <c r="AN289" s="272" t="str">
        <f>Table4[[#This Row],[Particular]]</f>
        <v>ကုန်ရောင်း(လက်ငင်း)</v>
      </c>
      <c r="AO289" s="273" t="str">
        <f>Table4[[#This Row],[StockName]]</f>
        <v>ဇေယျဝတီ Red (1 Liter) 30%</v>
      </c>
      <c r="AP289" s="268">
        <f>Table4[[#This Row],[Parking]]</f>
        <v>30</v>
      </c>
      <c r="AQ289" s="268">
        <f>Table4[[#This Row],[SalesBot]]</f>
        <v>360</v>
      </c>
      <c r="AR289" s="268">
        <f>Table4[[#This Row],[Liter]]</f>
        <v>360</v>
      </c>
    </row>
    <row r="290" spans="1:44" s="16" customFormat="1" hidden="1" x14ac:dyDescent="0.5">
      <c r="A290" s="3">
        <f t="shared" si="50"/>
        <v>2026</v>
      </c>
      <c r="B290" s="8">
        <f t="shared" si="51"/>
        <v>1</v>
      </c>
      <c r="C290" s="6">
        <v>46041</v>
      </c>
      <c r="D290" s="15">
        <f t="shared" ca="1" si="52"/>
        <v>46097</v>
      </c>
      <c r="E290" s="15" t="str">
        <f t="shared" ca="1" si="53"/>
        <v>1-Months</v>
      </c>
      <c r="F290" s="8" t="str">
        <f>VLOOKUP(N290,Stock[#Data],5,FALSE)</f>
        <v>BE</v>
      </c>
      <c r="G290" s="82" t="s">
        <v>1084</v>
      </c>
      <c r="H290" s="15"/>
      <c r="I290" s="7" t="s">
        <v>544</v>
      </c>
      <c r="J290" s="8" t="str">
        <f>VLOOKUP(I290,Customers[#Data],2,FALSE)</f>
        <v>မစန္ဒာ</v>
      </c>
      <c r="K290" s="15" t="str">
        <f>VLOOKUP(I290,Customers[#Data],4,FALSE)</f>
        <v>Hpa-an</v>
      </c>
      <c r="L290" s="15" t="str">
        <f>VLOOKUP(I290,Customers[#Data],5,FALSE)</f>
        <v>SemiWholeSales</v>
      </c>
      <c r="M290" s="7" t="s">
        <v>6</v>
      </c>
      <c r="N290" s="7" t="s">
        <v>514</v>
      </c>
      <c r="O290" s="14" t="str">
        <f>VLOOKUP(N290,Stock[#Data],2,FALSE)</f>
        <v>ဇေယျဝတီ Red</v>
      </c>
      <c r="P290" s="44">
        <f>VLOOKUP(N290,Stock[#Data],3,FALSE)</f>
        <v>0.64</v>
      </c>
      <c r="Q290" s="3">
        <f>VLOOKUP(N290,Stock[#Data],4,FALSE)</f>
        <v>14</v>
      </c>
      <c r="R290" s="11"/>
      <c r="S290" s="45">
        <f>IFERROR(Table4[[#This Row],[Bottle]]/Table4[[#This Row],[ပါဝင်မှု]]+Table4[[#This Row],[SalesPK]],0)</f>
        <v>100</v>
      </c>
      <c r="T290" s="12">
        <v>100</v>
      </c>
      <c r="U290" s="10">
        <f>Table4[[#This Row],[ပါဝင်မှု]]*Table4[[#This Row],[SalesPK]]+Table4[[#This Row],[Bottle]]</f>
        <v>1400</v>
      </c>
      <c r="V290" s="10">
        <f>Table4[[#This Row],[SalesBot]]*Table4[[#This Row],[ML]]</f>
        <v>896</v>
      </c>
      <c r="W290" s="1">
        <f>VLOOKUP(N290,Stock[#Data],6,FALSE)</f>
        <v>1350</v>
      </c>
      <c r="X290" s="8">
        <f>+Table4[[#This Row],[SalesBot]]*Table4[[#This Row],[နှုံး]]</f>
        <v>1890000</v>
      </c>
      <c r="Y290" s="12"/>
      <c r="Z290" s="12"/>
      <c r="AA290" s="12"/>
      <c r="AB290" s="9"/>
      <c r="AC290" s="12">
        <v>1890000</v>
      </c>
      <c r="AD290" s="9"/>
      <c r="AE290" s="12"/>
      <c r="AF29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90" s="24"/>
      <c r="AH290" s="266">
        <f>Table4[[#This Row],[Date]]</f>
        <v>46041</v>
      </c>
      <c r="AI290" s="264" t="str">
        <f t="shared" si="48"/>
        <v>Jan</v>
      </c>
      <c r="AJ290" s="264" t="str">
        <f t="shared" si="49"/>
        <v>2026</v>
      </c>
      <c r="AK290" s="270" t="str">
        <f>Table4[[#This Row],[ကုန်သည်အမည်]]</f>
        <v>မစန္ဒာ</v>
      </c>
      <c r="AL290" s="270" t="str">
        <f>Table4[[#This Row],[Township]]</f>
        <v>Hpa-an</v>
      </c>
      <c r="AM290" s="271" t="str">
        <f>Table4[[#This Row],[WholeSales]]</f>
        <v>SemiWholeSales</v>
      </c>
      <c r="AN290" s="272" t="str">
        <f>Table4[[#This Row],[Particular]]</f>
        <v>ကုန်ရောင်း(လက်ငင်း)</v>
      </c>
      <c r="AO290" s="273" t="str">
        <f>Table4[[#This Row],[StockName]]</f>
        <v>ဇေယျဝတီ Red</v>
      </c>
      <c r="AP290" s="268">
        <f>Table4[[#This Row],[Parking]]</f>
        <v>100</v>
      </c>
      <c r="AQ290" s="268">
        <f>Table4[[#This Row],[SalesBot]]</f>
        <v>1400</v>
      </c>
      <c r="AR290" s="268">
        <f>Table4[[#This Row],[Liter]]</f>
        <v>896</v>
      </c>
    </row>
    <row r="291" spans="1:44" s="16" customFormat="1" hidden="1" x14ac:dyDescent="0.5">
      <c r="A291" s="3">
        <f t="shared" si="50"/>
        <v>2026</v>
      </c>
      <c r="B291" s="8">
        <f t="shared" si="51"/>
        <v>1</v>
      </c>
      <c r="C291" s="6">
        <v>46041</v>
      </c>
      <c r="D291" s="15">
        <f t="shared" ca="1" si="52"/>
        <v>46097</v>
      </c>
      <c r="E291" s="15" t="str">
        <f t="shared" ca="1" si="53"/>
        <v>1-Months</v>
      </c>
      <c r="F291" s="8" t="str">
        <f>VLOOKUP(N291,Stock[#Data],5,FALSE)</f>
        <v>BE</v>
      </c>
      <c r="G291" s="82" t="s">
        <v>1084</v>
      </c>
      <c r="H291" s="15"/>
      <c r="I291" s="7" t="s">
        <v>544</v>
      </c>
      <c r="J291" s="8" t="str">
        <f>VLOOKUP(I291,Customers[#Data],2,FALSE)</f>
        <v>မစန္ဒာ</v>
      </c>
      <c r="K291" s="15" t="str">
        <f>VLOOKUP(I291,Customers[#Data],4,FALSE)</f>
        <v>Hpa-an</v>
      </c>
      <c r="L291" s="15" t="str">
        <f>VLOOKUP(I291,Customers[#Data],5,FALSE)</f>
        <v>SemiWholeSales</v>
      </c>
      <c r="M291" s="7" t="s">
        <v>6</v>
      </c>
      <c r="N291" s="7" t="s">
        <v>517</v>
      </c>
      <c r="O291" s="14" t="str">
        <f>VLOOKUP(N291,Stock[#Data],2,FALSE)</f>
        <v>ဇေယျဝတီ Red (1 Liter) 30%</v>
      </c>
      <c r="P291" s="44">
        <f>VLOOKUP(N291,Stock[#Data],3,FALSE)</f>
        <v>1</v>
      </c>
      <c r="Q291" s="3">
        <f>VLOOKUP(N291,Stock[#Data],4,FALSE)</f>
        <v>12</v>
      </c>
      <c r="R291" s="11"/>
      <c r="S291" s="45">
        <f>IFERROR(Table4[[#This Row],[Bottle]]/Table4[[#This Row],[ပါဝင်မှု]]+Table4[[#This Row],[SalesPK]],0)</f>
        <v>100</v>
      </c>
      <c r="T291" s="12">
        <v>100</v>
      </c>
      <c r="U291" s="10">
        <f>Table4[[#This Row],[ပါဝင်မှု]]*Table4[[#This Row],[SalesPK]]+Table4[[#This Row],[Bottle]]</f>
        <v>1200</v>
      </c>
      <c r="V291" s="10">
        <f>Table4[[#This Row],[SalesBot]]*Table4[[#This Row],[ML]]</f>
        <v>1200</v>
      </c>
      <c r="W291" s="1">
        <f>VLOOKUP(N291,Stock[#Data],6,FALSE)</f>
        <v>1710</v>
      </c>
      <c r="X291" s="8">
        <f>+Table4[[#This Row],[SalesBot]]*Table4[[#This Row],[နှုံး]]</f>
        <v>2052000</v>
      </c>
      <c r="Y291" s="12"/>
      <c r="Z291" s="12"/>
      <c r="AA291" s="12"/>
      <c r="AB291" s="9"/>
      <c r="AC291" s="12">
        <v>2052000</v>
      </c>
      <c r="AD291" s="9"/>
      <c r="AE291" s="12"/>
      <c r="AF29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91" s="24"/>
      <c r="AH291" s="266">
        <f>Table4[[#This Row],[Date]]</f>
        <v>46041</v>
      </c>
      <c r="AI291" s="264" t="str">
        <f t="shared" si="48"/>
        <v>Jan</v>
      </c>
      <c r="AJ291" s="264" t="str">
        <f t="shared" si="49"/>
        <v>2026</v>
      </c>
      <c r="AK291" s="270" t="str">
        <f>Table4[[#This Row],[ကုန်သည်အမည်]]</f>
        <v>မစန္ဒာ</v>
      </c>
      <c r="AL291" s="270" t="str">
        <f>Table4[[#This Row],[Township]]</f>
        <v>Hpa-an</v>
      </c>
      <c r="AM291" s="271" t="str">
        <f>Table4[[#This Row],[WholeSales]]</f>
        <v>SemiWholeSales</v>
      </c>
      <c r="AN291" s="272" t="str">
        <f>Table4[[#This Row],[Particular]]</f>
        <v>ကုန်ရောင်း(လက်ငင်း)</v>
      </c>
      <c r="AO291" s="273" t="str">
        <f>Table4[[#This Row],[StockName]]</f>
        <v>ဇေယျဝတီ Red (1 Liter) 30%</v>
      </c>
      <c r="AP291" s="268">
        <f>Table4[[#This Row],[Parking]]</f>
        <v>100</v>
      </c>
      <c r="AQ291" s="268">
        <f>Table4[[#This Row],[SalesBot]]</f>
        <v>1200</v>
      </c>
      <c r="AR291" s="268">
        <f>Table4[[#This Row],[Liter]]</f>
        <v>1200</v>
      </c>
    </row>
    <row r="292" spans="1:44" s="16" customFormat="1" hidden="1" x14ac:dyDescent="0.5">
      <c r="A292" s="3">
        <f t="shared" si="50"/>
        <v>2026</v>
      </c>
      <c r="B292" s="8">
        <f t="shared" si="51"/>
        <v>1</v>
      </c>
      <c r="C292" s="6">
        <v>46041</v>
      </c>
      <c r="D292" s="15">
        <f t="shared" ca="1" si="52"/>
        <v>46097</v>
      </c>
      <c r="E292" s="15" t="str">
        <f t="shared" ca="1" si="53"/>
        <v>1-Months</v>
      </c>
      <c r="F292" s="8" t="str">
        <f>VLOOKUP(N292,Stock[#Data],5,FALSE)</f>
        <v>BE</v>
      </c>
      <c r="G292" s="82" t="s">
        <v>1085</v>
      </c>
      <c r="H292" s="15"/>
      <c r="I292" s="7" t="s">
        <v>296</v>
      </c>
      <c r="J292" s="8" t="str">
        <f>VLOOKUP(I292,Customers[#Data],2,FALSE)</f>
        <v>A1</v>
      </c>
      <c r="K292" s="15" t="str">
        <f>VLOOKUP(I292,Customers[#Data],4,FALSE)</f>
        <v>Maw La Myaing</v>
      </c>
      <c r="L292" s="15" t="str">
        <f>VLOOKUP(I292,Customers[#Data],5,FALSE)</f>
        <v>SemiWholeSales</v>
      </c>
      <c r="M292" s="7" t="s">
        <v>6</v>
      </c>
      <c r="N292" s="7" t="s">
        <v>516</v>
      </c>
      <c r="O292" s="14" t="str">
        <f>VLOOKUP(N292,Stock[#Data],2,FALSE)</f>
        <v>ဇေ Vodka</v>
      </c>
      <c r="P292" s="44">
        <f>VLOOKUP(N292,Stock[#Data],3,FALSE)</f>
        <v>0.64</v>
      </c>
      <c r="Q292" s="3">
        <f>VLOOKUP(N292,Stock[#Data],4,FALSE)</f>
        <v>14</v>
      </c>
      <c r="R292" s="11"/>
      <c r="S292" s="45">
        <f>IFERROR(Table4[[#This Row],[Bottle]]/Table4[[#This Row],[ပါဝင်မှု]]+Table4[[#This Row],[SalesPK]],0)</f>
        <v>25</v>
      </c>
      <c r="T292" s="12">
        <v>25</v>
      </c>
      <c r="U292" s="10">
        <f>Table4[[#This Row],[ပါဝင်မှု]]*Table4[[#This Row],[SalesPK]]+Table4[[#This Row],[Bottle]]</f>
        <v>350</v>
      </c>
      <c r="V292" s="10">
        <f>Table4[[#This Row],[SalesBot]]*Table4[[#This Row],[ML]]</f>
        <v>224</v>
      </c>
      <c r="W292" s="1">
        <f>VLOOKUP(N292,Stock[#Data],6,FALSE)</f>
        <v>1400</v>
      </c>
      <c r="X292" s="8">
        <f>+Table4[[#This Row],[SalesBot]]*Table4[[#This Row],[နှုံး]]</f>
        <v>490000</v>
      </c>
      <c r="Y292" s="12"/>
      <c r="Z292" s="12"/>
      <c r="AA292" s="12"/>
      <c r="AB292" s="9"/>
      <c r="AC292" s="12">
        <v>490000</v>
      </c>
      <c r="AD292" s="9"/>
      <c r="AE292" s="12"/>
      <c r="AF29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92" s="24"/>
      <c r="AH292" s="266">
        <f>Table4[[#This Row],[Date]]</f>
        <v>46041</v>
      </c>
      <c r="AI292" s="264" t="str">
        <f t="shared" si="48"/>
        <v>Jan</v>
      </c>
      <c r="AJ292" s="264" t="str">
        <f t="shared" si="49"/>
        <v>2026</v>
      </c>
      <c r="AK292" s="270" t="str">
        <f>Table4[[#This Row],[ကုန်သည်အမည်]]</f>
        <v>A1</v>
      </c>
      <c r="AL292" s="270" t="str">
        <f>Table4[[#This Row],[Township]]</f>
        <v>Maw La Myaing</v>
      </c>
      <c r="AM292" s="271" t="str">
        <f>Table4[[#This Row],[WholeSales]]</f>
        <v>SemiWholeSales</v>
      </c>
      <c r="AN292" s="272" t="str">
        <f>Table4[[#This Row],[Particular]]</f>
        <v>ကုန်ရောင်း(လက်ငင်း)</v>
      </c>
      <c r="AO292" s="273" t="str">
        <f>Table4[[#This Row],[StockName]]</f>
        <v>ဇေ Vodka</v>
      </c>
      <c r="AP292" s="268">
        <f>Table4[[#This Row],[Parking]]</f>
        <v>25</v>
      </c>
      <c r="AQ292" s="268">
        <f>Table4[[#This Row],[SalesBot]]</f>
        <v>350</v>
      </c>
      <c r="AR292" s="268">
        <f>Table4[[#This Row],[Liter]]</f>
        <v>224</v>
      </c>
    </row>
    <row r="293" spans="1:44" s="16" customFormat="1" hidden="1" x14ac:dyDescent="0.5">
      <c r="A293" s="3">
        <f t="shared" si="50"/>
        <v>2026</v>
      </c>
      <c r="B293" s="8">
        <f t="shared" si="51"/>
        <v>1</v>
      </c>
      <c r="C293" s="6">
        <v>46041</v>
      </c>
      <c r="D293" s="15">
        <f t="shared" ca="1" si="52"/>
        <v>46097</v>
      </c>
      <c r="E293" s="15" t="str">
        <f t="shared" ca="1" si="53"/>
        <v>1-Months</v>
      </c>
      <c r="F293" s="8" t="str">
        <f>VLOOKUP(N293,Stock[#Data],5,FALSE)</f>
        <v>BE</v>
      </c>
      <c r="G293" s="82" t="s">
        <v>1085</v>
      </c>
      <c r="H293" s="15"/>
      <c r="I293" s="7" t="s">
        <v>296</v>
      </c>
      <c r="J293" s="8" t="str">
        <f>VLOOKUP(I293,Customers[#Data],2,FALSE)</f>
        <v>A1</v>
      </c>
      <c r="K293" s="15" t="str">
        <f>VLOOKUP(I293,Customers[#Data],4,FALSE)</f>
        <v>Maw La Myaing</v>
      </c>
      <c r="L293" s="15" t="str">
        <f>VLOOKUP(I293,Customers[#Data],5,FALSE)</f>
        <v>SemiWholeSales</v>
      </c>
      <c r="M293" s="7" t="s">
        <v>6</v>
      </c>
      <c r="N293" s="7" t="s">
        <v>518</v>
      </c>
      <c r="O293" s="14" t="str">
        <f>VLOOKUP(N293,Stock[#Data],2,FALSE)</f>
        <v>"ဇေ" ကော်ဘူး (1 Liter)</v>
      </c>
      <c r="P293" s="44">
        <f>VLOOKUP(N293,Stock[#Data],3,FALSE)</f>
        <v>1</v>
      </c>
      <c r="Q293" s="3">
        <f>VLOOKUP(N293,Stock[#Data],4,FALSE)</f>
        <v>12</v>
      </c>
      <c r="R293" s="11"/>
      <c r="S293" s="45">
        <f>IFERROR(Table4[[#This Row],[Bottle]]/Table4[[#This Row],[ပါဝင်မှု]]+Table4[[#This Row],[SalesPK]],0)</f>
        <v>15</v>
      </c>
      <c r="T293" s="12">
        <v>15</v>
      </c>
      <c r="U293" s="10">
        <f>Table4[[#This Row],[ပါဝင်မှု]]*Table4[[#This Row],[SalesPK]]+Table4[[#This Row],[Bottle]]</f>
        <v>180</v>
      </c>
      <c r="V293" s="10">
        <f>Table4[[#This Row],[SalesBot]]*Table4[[#This Row],[ML]]</f>
        <v>180</v>
      </c>
      <c r="W293" s="1">
        <f>VLOOKUP(N293,Stock[#Data],6,FALSE)</f>
        <v>1675</v>
      </c>
      <c r="X293" s="8">
        <f>+Table4[[#This Row],[SalesBot]]*Table4[[#This Row],[နှုံး]]</f>
        <v>301500</v>
      </c>
      <c r="Y293" s="12"/>
      <c r="Z293" s="12"/>
      <c r="AA293" s="12"/>
      <c r="AB293" s="9"/>
      <c r="AC293" s="12">
        <v>301500</v>
      </c>
      <c r="AD293" s="9"/>
      <c r="AE293" s="12"/>
      <c r="AF29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93" s="24"/>
      <c r="AH293" s="266">
        <f>Table4[[#This Row],[Date]]</f>
        <v>46041</v>
      </c>
      <c r="AI293" s="264" t="str">
        <f t="shared" si="48"/>
        <v>Jan</v>
      </c>
      <c r="AJ293" s="264" t="str">
        <f t="shared" si="49"/>
        <v>2026</v>
      </c>
      <c r="AK293" s="270" t="str">
        <f>Table4[[#This Row],[ကုန်သည်အမည်]]</f>
        <v>A1</v>
      </c>
      <c r="AL293" s="270" t="str">
        <f>Table4[[#This Row],[Township]]</f>
        <v>Maw La Myaing</v>
      </c>
      <c r="AM293" s="271" t="str">
        <f>Table4[[#This Row],[WholeSales]]</f>
        <v>SemiWholeSales</v>
      </c>
      <c r="AN293" s="272" t="str">
        <f>Table4[[#This Row],[Particular]]</f>
        <v>ကုန်ရောင်း(လက်ငင်း)</v>
      </c>
      <c r="AO293" s="273" t="str">
        <f>Table4[[#This Row],[StockName]]</f>
        <v>"ဇေ" ကော်ဘူး (1 Liter)</v>
      </c>
      <c r="AP293" s="268">
        <f>Table4[[#This Row],[Parking]]</f>
        <v>15</v>
      </c>
      <c r="AQ293" s="268">
        <f>Table4[[#This Row],[SalesBot]]</f>
        <v>180</v>
      </c>
      <c r="AR293" s="268">
        <f>Table4[[#This Row],[Liter]]</f>
        <v>180</v>
      </c>
    </row>
    <row r="294" spans="1:44" s="16" customFormat="1" hidden="1" x14ac:dyDescent="0.5">
      <c r="A294" s="3">
        <f t="shared" si="50"/>
        <v>2026</v>
      </c>
      <c r="B294" s="8">
        <f t="shared" si="51"/>
        <v>1</v>
      </c>
      <c r="C294" s="6">
        <v>46041</v>
      </c>
      <c r="D294" s="15">
        <f t="shared" ca="1" si="52"/>
        <v>46097</v>
      </c>
      <c r="E294" s="15" t="str">
        <f t="shared" ca="1" si="53"/>
        <v>1-Months</v>
      </c>
      <c r="F294" s="8" t="str">
        <f>VLOOKUP(N294,Stock[#Data],5,FALSE)</f>
        <v>BE</v>
      </c>
      <c r="G294" s="82" t="s">
        <v>1086</v>
      </c>
      <c r="H294" s="15"/>
      <c r="I294" s="7" t="s">
        <v>566</v>
      </c>
      <c r="J294" s="8" t="str">
        <f>VLOOKUP(I294,Customers[#Data],2,FALSE)</f>
        <v>ဖြိုး‌‌ေစံ</v>
      </c>
      <c r="K294" s="15" t="str">
        <f>VLOOKUP(I294,Customers[#Data],4,FALSE)</f>
        <v>Maw La Myaing</v>
      </c>
      <c r="L294" s="15" t="str">
        <f>VLOOKUP(I294,Customers[#Data],5,FALSE)</f>
        <v>Van Sales</v>
      </c>
      <c r="M294" s="7" t="s">
        <v>6</v>
      </c>
      <c r="N294" s="7" t="s">
        <v>516</v>
      </c>
      <c r="O294" s="14" t="str">
        <f>VLOOKUP(N294,Stock[#Data],2,FALSE)</f>
        <v>ဇေ Vodka</v>
      </c>
      <c r="P294" s="44">
        <f>VLOOKUP(N294,Stock[#Data],3,FALSE)</f>
        <v>0.64</v>
      </c>
      <c r="Q294" s="3">
        <f>VLOOKUP(N294,Stock[#Data],4,FALSE)</f>
        <v>14</v>
      </c>
      <c r="R294" s="11"/>
      <c r="S294" s="45">
        <f>IFERROR(Table4[[#This Row],[Bottle]]/Table4[[#This Row],[ပါဝင်မှု]]+Table4[[#This Row],[SalesPK]],0)</f>
        <v>5</v>
      </c>
      <c r="T294" s="12">
        <v>5</v>
      </c>
      <c r="U294" s="10">
        <f>Table4[[#This Row],[ပါဝင်မှု]]*Table4[[#This Row],[SalesPK]]+Table4[[#This Row],[Bottle]]</f>
        <v>70</v>
      </c>
      <c r="V294" s="10">
        <f>Table4[[#This Row],[SalesBot]]*Table4[[#This Row],[ML]]</f>
        <v>44.800000000000004</v>
      </c>
      <c r="W294" s="1">
        <f>VLOOKUP(N294,Stock[#Data],6,FALSE)</f>
        <v>1400</v>
      </c>
      <c r="X294" s="8">
        <f>+Table4[[#This Row],[SalesBot]]*Table4[[#This Row],[နှုံး]]</f>
        <v>98000</v>
      </c>
      <c r="Y294" s="12"/>
      <c r="Z294" s="12"/>
      <c r="AA294" s="12"/>
      <c r="AB294" s="9"/>
      <c r="AC294" s="12">
        <v>98000</v>
      </c>
      <c r="AD294" s="9"/>
      <c r="AE294" s="12"/>
      <c r="AF29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94" s="24"/>
      <c r="AH294" s="266">
        <f>Table4[[#This Row],[Date]]</f>
        <v>46041</v>
      </c>
      <c r="AI294" s="264" t="str">
        <f t="shared" si="48"/>
        <v>Jan</v>
      </c>
      <c r="AJ294" s="264" t="str">
        <f t="shared" si="49"/>
        <v>2026</v>
      </c>
      <c r="AK294" s="270" t="str">
        <f>Table4[[#This Row],[ကုန်သည်အမည်]]</f>
        <v>ဖြိုး‌‌ေစံ</v>
      </c>
      <c r="AL294" s="270" t="str">
        <f>Table4[[#This Row],[Township]]</f>
        <v>Maw La Myaing</v>
      </c>
      <c r="AM294" s="271" t="str">
        <f>Table4[[#This Row],[WholeSales]]</f>
        <v>Van Sales</v>
      </c>
      <c r="AN294" s="272" t="str">
        <f>Table4[[#This Row],[Particular]]</f>
        <v>ကုန်ရောင်း(လက်ငင်း)</v>
      </c>
      <c r="AO294" s="273" t="str">
        <f>Table4[[#This Row],[StockName]]</f>
        <v>ဇေ Vodka</v>
      </c>
      <c r="AP294" s="268">
        <f>Table4[[#This Row],[Parking]]</f>
        <v>5</v>
      </c>
      <c r="AQ294" s="268">
        <f>Table4[[#This Row],[SalesBot]]</f>
        <v>70</v>
      </c>
      <c r="AR294" s="268">
        <f>Table4[[#This Row],[Liter]]</f>
        <v>44.800000000000004</v>
      </c>
    </row>
    <row r="295" spans="1:44" s="16" customFormat="1" hidden="1" x14ac:dyDescent="0.5">
      <c r="A295" s="3">
        <f t="shared" si="50"/>
        <v>2026</v>
      </c>
      <c r="B295" s="8">
        <f t="shared" si="51"/>
        <v>1</v>
      </c>
      <c r="C295" s="6">
        <v>46041</v>
      </c>
      <c r="D295" s="15">
        <f t="shared" ca="1" si="52"/>
        <v>46097</v>
      </c>
      <c r="E295" s="15" t="str">
        <f t="shared" ca="1" si="53"/>
        <v>1-Months</v>
      </c>
      <c r="F295" s="8" t="str">
        <f>VLOOKUP(N295,Stock[#Data],5,FALSE)</f>
        <v>BE</v>
      </c>
      <c r="G295" s="82" t="s">
        <v>1086</v>
      </c>
      <c r="H295" s="15"/>
      <c r="I295" s="7" t="s">
        <v>566</v>
      </c>
      <c r="J295" s="8" t="str">
        <f>VLOOKUP(I295,Customers[#Data],2,FALSE)</f>
        <v>ဖြိုး‌‌ေစံ</v>
      </c>
      <c r="K295" s="15" t="str">
        <f>VLOOKUP(I295,Customers[#Data],4,FALSE)</f>
        <v>Maw La Myaing</v>
      </c>
      <c r="L295" s="15" t="str">
        <f>VLOOKUP(I295,Customers[#Data],5,FALSE)</f>
        <v>Van Sales</v>
      </c>
      <c r="M295" s="7" t="s">
        <v>6</v>
      </c>
      <c r="N295" s="7" t="s">
        <v>518</v>
      </c>
      <c r="O295" s="14" t="str">
        <f>VLOOKUP(N295,Stock[#Data],2,FALSE)</f>
        <v>"ဇေ" ကော်ဘူး (1 Liter)</v>
      </c>
      <c r="P295" s="44">
        <f>VLOOKUP(N295,Stock[#Data],3,FALSE)</f>
        <v>1</v>
      </c>
      <c r="Q295" s="3">
        <f>VLOOKUP(N295,Stock[#Data],4,FALSE)</f>
        <v>12</v>
      </c>
      <c r="R295" s="11"/>
      <c r="S295" s="45">
        <f>IFERROR(Table4[[#This Row],[Bottle]]/Table4[[#This Row],[ပါဝင်မှု]]+Table4[[#This Row],[SalesPK]],0)</f>
        <v>25</v>
      </c>
      <c r="T295" s="12">
        <v>25</v>
      </c>
      <c r="U295" s="10">
        <f>Table4[[#This Row],[ပါဝင်မှု]]*Table4[[#This Row],[SalesPK]]+Table4[[#This Row],[Bottle]]</f>
        <v>300</v>
      </c>
      <c r="V295" s="10">
        <f>Table4[[#This Row],[SalesBot]]*Table4[[#This Row],[ML]]</f>
        <v>300</v>
      </c>
      <c r="W295" s="1">
        <f>VLOOKUP(N295,Stock[#Data],6,FALSE)</f>
        <v>1675</v>
      </c>
      <c r="X295" s="8">
        <f>+Table4[[#This Row],[SalesBot]]*Table4[[#This Row],[နှုံး]]</f>
        <v>502500</v>
      </c>
      <c r="Y295" s="12"/>
      <c r="Z295" s="12"/>
      <c r="AA295" s="12"/>
      <c r="AB295" s="9"/>
      <c r="AC295" s="12">
        <v>502500</v>
      </c>
      <c r="AD295" s="9"/>
      <c r="AE295" s="12"/>
      <c r="AF29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95" s="24"/>
      <c r="AH295" s="266">
        <f>Table4[[#This Row],[Date]]</f>
        <v>46041</v>
      </c>
      <c r="AI295" s="264" t="str">
        <f t="shared" si="48"/>
        <v>Jan</v>
      </c>
      <c r="AJ295" s="264" t="str">
        <f t="shared" si="49"/>
        <v>2026</v>
      </c>
      <c r="AK295" s="270" t="str">
        <f>Table4[[#This Row],[ကုန်သည်အမည်]]</f>
        <v>ဖြိုး‌‌ေစံ</v>
      </c>
      <c r="AL295" s="270" t="str">
        <f>Table4[[#This Row],[Township]]</f>
        <v>Maw La Myaing</v>
      </c>
      <c r="AM295" s="271" t="str">
        <f>Table4[[#This Row],[WholeSales]]</f>
        <v>Van Sales</v>
      </c>
      <c r="AN295" s="272" t="str">
        <f>Table4[[#This Row],[Particular]]</f>
        <v>ကုန်ရောင်း(လက်ငင်း)</v>
      </c>
      <c r="AO295" s="273" t="str">
        <f>Table4[[#This Row],[StockName]]</f>
        <v>"ဇေ" ကော်ဘူး (1 Liter)</v>
      </c>
      <c r="AP295" s="268">
        <f>Table4[[#This Row],[Parking]]</f>
        <v>25</v>
      </c>
      <c r="AQ295" s="268">
        <f>Table4[[#This Row],[SalesBot]]</f>
        <v>300</v>
      </c>
      <c r="AR295" s="268">
        <f>Table4[[#This Row],[Liter]]</f>
        <v>300</v>
      </c>
    </row>
    <row r="296" spans="1:44" s="16" customFormat="1" hidden="1" x14ac:dyDescent="0.5">
      <c r="A296" s="3">
        <f t="shared" si="50"/>
        <v>2026</v>
      </c>
      <c r="B296" s="8">
        <f t="shared" si="51"/>
        <v>1</v>
      </c>
      <c r="C296" s="6">
        <v>46041</v>
      </c>
      <c r="D296" s="15">
        <f t="shared" ca="1" si="52"/>
        <v>46097</v>
      </c>
      <c r="E296" s="15" t="str">
        <f t="shared" ca="1" si="53"/>
        <v>1-Months</v>
      </c>
      <c r="F296" s="8" t="str">
        <f>VLOOKUP(N296,Stock[#Data],5,FALSE)</f>
        <v>BE</v>
      </c>
      <c r="G296" s="82" t="s">
        <v>1087</v>
      </c>
      <c r="H296" s="15"/>
      <c r="I296" s="7" t="s">
        <v>543</v>
      </c>
      <c r="J296" s="8" t="str">
        <f>VLOOKUP(I296,Customers[#Data],2,FALSE)</f>
        <v>ဒေါ်မိစိန်</v>
      </c>
      <c r="K296" s="15" t="str">
        <f>VLOOKUP(I296,Customers[#Data],4,FALSE)</f>
        <v>Yay</v>
      </c>
      <c r="L296" s="15" t="str">
        <f>VLOOKUP(I296,Customers[#Data],5,FALSE)</f>
        <v>SemiWholeSales</v>
      </c>
      <c r="M296" s="7" t="s">
        <v>6</v>
      </c>
      <c r="N296" s="7" t="s">
        <v>514</v>
      </c>
      <c r="O296" s="14" t="str">
        <f>VLOOKUP(N296,Stock[#Data],2,FALSE)</f>
        <v>ဇေယျဝတီ Red</v>
      </c>
      <c r="P296" s="44">
        <f>VLOOKUP(N296,Stock[#Data],3,FALSE)</f>
        <v>0.64</v>
      </c>
      <c r="Q296" s="3">
        <f>VLOOKUP(N296,Stock[#Data],4,FALSE)</f>
        <v>14</v>
      </c>
      <c r="R296" s="11"/>
      <c r="S296" s="45">
        <f>IFERROR(Table4[[#This Row],[Bottle]]/Table4[[#This Row],[ပါဝင်မှု]]+Table4[[#This Row],[SalesPK]],0)</f>
        <v>30</v>
      </c>
      <c r="T296" s="12">
        <v>30</v>
      </c>
      <c r="U296" s="10">
        <f>Table4[[#This Row],[ပါဝင်မှု]]*Table4[[#This Row],[SalesPK]]+Table4[[#This Row],[Bottle]]</f>
        <v>420</v>
      </c>
      <c r="V296" s="10">
        <f>Table4[[#This Row],[SalesBot]]*Table4[[#This Row],[ML]]</f>
        <v>268.8</v>
      </c>
      <c r="W296" s="1">
        <f>VLOOKUP(N296,Stock[#Data],6,FALSE)</f>
        <v>1350</v>
      </c>
      <c r="X296" s="8">
        <f>+Table4[[#This Row],[SalesBot]]*Table4[[#This Row],[နှုံး]]</f>
        <v>567000</v>
      </c>
      <c r="Y296" s="12"/>
      <c r="Z296" s="12"/>
      <c r="AA296" s="12"/>
      <c r="AB296" s="9"/>
      <c r="AC296" s="12">
        <v>567000</v>
      </c>
      <c r="AD296" s="9"/>
      <c r="AE296" s="12"/>
      <c r="AF29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96" s="24"/>
      <c r="AH296" s="266">
        <f>Table4[[#This Row],[Date]]</f>
        <v>46041</v>
      </c>
      <c r="AI296" s="264" t="str">
        <f t="shared" si="48"/>
        <v>Jan</v>
      </c>
      <c r="AJ296" s="264" t="str">
        <f t="shared" si="49"/>
        <v>2026</v>
      </c>
      <c r="AK296" s="270" t="str">
        <f>Table4[[#This Row],[ကုန်သည်အမည်]]</f>
        <v>ဒေါ်မိစိန်</v>
      </c>
      <c r="AL296" s="270" t="str">
        <f>Table4[[#This Row],[Township]]</f>
        <v>Yay</v>
      </c>
      <c r="AM296" s="271" t="str">
        <f>Table4[[#This Row],[WholeSales]]</f>
        <v>SemiWholeSales</v>
      </c>
      <c r="AN296" s="272" t="str">
        <f>Table4[[#This Row],[Particular]]</f>
        <v>ကုန်ရောင်း(လက်ငင်း)</v>
      </c>
      <c r="AO296" s="273" t="str">
        <f>Table4[[#This Row],[StockName]]</f>
        <v>ဇေယျဝတီ Red</v>
      </c>
      <c r="AP296" s="268">
        <f>Table4[[#This Row],[Parking]]</f>
        <v>30</v>
      </c>
      <c r="AQ296" s="268">
        <f>Table4[[#This Row],[SalesBot]]</f>
        <v>420</v>
      </c>
      <c r="AR296" s="268">
        <f>Table4[[#This Row],[Liter]]</f>
        <v>268.8</v>
      </c>
    </row>
    <row r="297" spans="1:44" s="16" customFormat="1" hidden="1" x14ac:dyDescent="0.5">
      <c r="A297" s="3">
        <f t="shared" si="50"/>
        <v>2026</v>
      </c>
      <c r="B297" s="8">
        <f t="shared" si="51"/>
        <v>1</v>
      </c>
      <c r="C297" s="6">
        <v>46041</v>
      </c>
      <c r="D297" s="15">
        <f t="shared" ca="1" si="52"/>
        <v>46097</v>
      </c>
      <c r="E297" s="15" t="str">
        <f t="shared" ca="1" si="53"/>
        <v>1-Months</v>
      </c>
      <c r="F297" s="8" t="str">
        <f>VLOOKUP(N297,Stock[#Data],5,FALSE)</f>
        <v>BE</v>
      </c>
      <c r="G297" s="82" t="s">
        <v>1087</v>
      </c>
      <c r="H297" s="15"/>
      <c r="I297" s="7" t="s">
        <v>543</v>
      </c>
      <c r="J297" s="8" t="str">
        <f>VLOOKUP(I297,Customers[#Data],2,FALSE)</f>
        <v>ဒေါ်မိစိန်</v>
      </c>
      <c r="K297" s="15" t="str">
        <f>VLOOKUP(I297,Customers[#Data],4,FALSE)</f>
        <v>Yay</v>
      </c>
      <c r="L297" s="15" t="str">
        <f>VLOOKUP(I297,Customers[#Data],5,FALSE)</f>
        <v>SemiWholeSales</v>
      </c>
      <c r="M297" s="7" t="s">
        <v>6</v>
      </c>
      <c r="N297" s="7" t="s">
        <v>517</v>
      </c>
      <c r="O297" s="14" t="str">
        <f>VLOOKUP(N297,Stock[#Data],2,FALSE)</f>
        <v>ဇေယျဝတီ Red (1 Liter) 30%</v>
      </c>
      <c r="P297" s="44">
        <f>VLOOKUP(N297,Stock[#Data],3,FALSE)</f>
        <v>1</v>
      </c>
      <c r="Q297" s="3">
        <f>VLOOKUP(N297,Stock[#Data],4,FALSE)</f>
        <v>12</v>
      </c>
      <c r="R297" s="11"/>
      <c r="S297" s="45">
        <f>IFERROR(Table4[[#This Row],[Bottle]]/Table4[[#This Row],[ပါဝင်မှု]]+Table4[[#This Row],[SalesPK]],0)</f>
        <v>50</v>
      </c>
      <c r="T297" s="12">
        <v>50</v>
      </c>
      <c r="U297" s="10">
        <f>Table4[[#This Row],[ပါဝင်မှု]]*Table4[[#This Row],[SalesPK]]+Table4[[#This Row],[Bottle]]</f>
        <v>600</v>
      </c>
      <c r="V297" s="10">
        <f>Table4[[#This Row],[SalesBot]]*Table4[[#This Row],[ML]]</f>
        <v>600</v>
      </c>
      <c r="W297" s="1">
        <f>VLOOKUP(N297,Stock[#Data],6,FALSE)</f>
        <v>1710</v>
      </c>
      <c r="X297" s="8">
        <f>+Table4[[#This Row],[SalesBot]]*Table4[[#This Row],[နှုံး]]</f>
        <v>1026000</v>
      </c>
      <c r="Y297" s="12"/>
      <c r="Z297" s="12"/>
      <c r="AA297" s="12"/>
      <c r="AB297" s="9"/>
      <c r="AC297" s="12">
        <v>1026000</v>
      </c>
      <c r="AD297" s="9"/>
      <c r="AE297" s="12"/>
      <c r="AF29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97" s="24"/>
      <c r="AH297" s="266">
        <f>Table4[[#This Row],[Date]]</f>
        <v>46041</v>
      </c>
      <c r="AI297" s="264" t="str">
        <f t="shared" si="48"/>
        <v>Jan</v>
      </c>
      <c r="AJ297" s="264" t="str">
        <f t="shared" si="49"/>
        <v>2026</v>
      </c>
      <c r="AK297" s="270" t="str">
        <f>Table4[[#This Row],[ကုန်သည်အမည်]]</f>
        <v>ဒေါ်မိစိန်</v>
      </c>
      <c r="AL297" s="270" t="str">
        <f>Table4[[#This Row],[Township]]</f>
        <v>Yay</v>
      </c>
      <c r="AM297" s="271" t="str">
        <f>Table4[[#This Row],[WholeSales]]</f>
        <v>SemiWholeSales</v>
      </c>
      <c r="AN297" s="272" t="str">
        <f>Table4[[#This Row],[Particular]]</f>
        <v>ကုန်ရောင်း(လက်ငင်း)</v>
      </c>
      <c r="AO297" s="273" t="str">
        <f>Table4[[#This Row],[StockName]]</f>
        <v>ဇေယျဝတီ Red (1 Liter) 30%</v>
      </c>
      <c r="AP297" s="268">
        <f>Table4[[#This Row],[Parking]]</f>
        <v>50</v>
      </c>
      <c r="AQ297" s="268">
        <f>Table4[[#This Row],[SalesBot]]</f>
        <v>600</v>
      </c>
      <c r="AR297" s="268">
        <f>Table4[[#This Row],[Liter]]</f>
        <v>600</v>
      </c>
    </row>
    <row r="298" spans="1:44" s="16" customFormat="1" hidden="1" x14ac:dyDescent="0.5">
      <c r="A298" s="3">
        <f t="shared" si="50"/>
        <v>2026</v>
      </c>
      <c r="B298" s="8">
        <f t="shared" si="51"/>
        <v>1</v>
      </c>
      <c r="C298" s="6">
        <v>46041</v>
      </c>
      <c r="D298" s="15">
        <f t="shared" ca="1" si="52"/>
        <v>46097</v>
      </c>
      <c r="E298" s="15" t="str">
        <f t="shared" ca="1" si="53"/>
        <v>1-Months</v>
      </c>
      <c r="F298" s="8" t="str">
        <f>VLOOKUP(N298,Stock[#Data],5,FALSE)</f>
        <v>BE</v>
      </c>
      <c r="G298" s="82" t="s">
        <v>1088</v>
      </c>
      <c r="H298" s="15"/>
      <c r="I298" s="7" t="s">
        <v>101</v>
      </c>
      <c r="J298" s="8" t="str">
        <f>VLOOKUP(I298,Customers[#Data],2,FALSE)</f>
        <v>ကိုမောင်+မသူဇာ</v>
      </c>
      <c r="K298" s="15" t="str">
        <f>VLOOKUP(I298,Customers[#Data],4,FALSE)</f>
        <v>Yay</v>
      </c>
      <c r="L298" s="15" t="str">
        <f>VLOOKUP(I298,Customers[#Data],5,FALSE)</f>
        <v>WholeSales</v>
      </c>
      <c r="M298" s="7" t="s">
        <v>6</v>
      </c>
      <c r="N298" s="7" t="s">
        <v>514</v>
      </c>
      <c r="O298" s="14" t="str">
        <f>VLOOKUP(N298,Stock[#Data],2,FALSE)</f>
        <v>ဇေယျဝတီ Red</v>
      </c>
      <c r="P298" s="44">
        <f>VLOOKUP(N298,Stock[#Data],3,FALSE)</f>
        <v>0.64</v>
      </c>
      <c r="Q298" s="3">
        <f>VLOOKUP(N298,Stock[#Data],4,FALSE)</f>
        <v>14</v>
      </c>
      <c r="R298" s="11"/>
      <c r="S298" s="45">
        <f>IFERROR(Table4[[#This Row],[Bottle]]/Table4[[#This Row],[ပါဝင်မှု]]+Table4[[#This Row],[SalesPK]],0)</f>
        <v>30</v>
      </c>
      <c r="T298" s="12">
        <v>30</v>
      </c>
      <c r="U298" s="10">
        <f>Table4[[#This Row],[ပါဝင်မှု]]*Table4[[#This Row],[SalesPK]]+Table4[[#This Row],[Bottle]]</f>
        <v>420</v>
      </c>
      <c r="V298" s="10">
        <f>Table4[[#This Row],[SalesBot]]*Table4[[#This Row],[ML]]</f>
        <v>268.8</v>
      </c>
      <c r="W298" s="1">
        <f>VLOOKUP(N298,Stock[#Data],6,FALSE)</f>
        <v>1350</v>
      </c>
      <c r="X298" s="8">
        <f>+Table4[[#This Row],[SalesBot]]*Table4[[#This Row],[နှုံး]]</f>
        <v>567000</v>
      </c>
      <c r="Y298" s="12"/>
      <c r="Z298" s="12"/>
      <c r="AA298" s="12"/>
      <c r="AB298" s="9"/>
      <c r="AC298" s="12">
        <v>567000</v>
      </c>
      <c r="AD298" s="9"/>
      <c r="AE298" s="12"/>
      <c r="AF29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98" s="24"/>
      <c r="AH298" s="266">
        <f>Table4[[#This Row],[Date]]</f>
        <v>46041</v>
      </c>
      <c r="AI298" s="264" t="str">
        <f t="shared" si="48"/>
        <v>Jan</v>
      </c>
      <c r="AJ298" s="264" t="str">
        <f t="shared" si="49"/>
        <v>2026</v>
      </c>
      <c r="AK298" s="270" t="str">
        <f>Table4[[#This Row],[ကုန်သည်အမည်]]</f>
        <v>ကိုမောင်+မသူဇာ</v>
      </c>
      <c r="AL298" s="270" t="str">
        <f>Table4[[#This Row],[Township]]</f>
        <v>Yay</v>
      </c>
      <c r="AM298" s="271" t="str">
        <f>Table4[[#This Row],[WholeSales]]</f>
        <v>WholeSales</v>
      </c>
      <c r="AN298" s="272" t="str">
        <f>Table4[[#This Row],[Particular]]</f>
        <v>ကုန်ရောင်း(လက်ငင်း)</v>
      </c>
      <c r="AO298" s="273" t="str">
        <f>Table4[[#This Row],[StockName]]</f>
        <v>ဇေယျဝတီ Red</v>
      </c>
      <c r="AP298" s="268">
        <f>Table4[[#This Row],[Parking]]</f>
        <v>30</v>
      </c>
      <c r="AQ298" s="268">
        <f>Table4[[#This Row],[SalesBot]]</f>
        <v>420</v>
      </c>
      <c r="AR298" s="268">
        <f>Table4[[#This Row],[Liter]]</f>
        <v>268.8</v>
      </c>
    </row>
    <row r="299" spans="1:44" s="16" customFormat="1" hidden="1" x14ac:dyDescent="0.5">
      <c r="A299" s="3">
        <f t="shared" si="50"/>
        <v>2026</v>
      </c>
      <c r="B299" s="8">
        <f t="shared" si="51"/>
        <v>1</v>
      </c>
      <c r="C299" s="6">
        <v>46041</v>
      </c>
      <c r="D299" s="15">
        <f t="shared" ca="1" si="52"/>
        <v>46097</v>
      </c>
      <c r="E299" s="15" t="str">
        <f t="shared" ca="1" si="53"/>
        <v>1-Months</v>
      </c>
      <c r="F299" s="8" t="str">
        <f>VLOOKUP(N299,Stock[#Data],5,FALSE)</f>
        <v>BE</v>
      </c>
      <c r="G299" s="82" t="s">
        <v>1089</v>
      </c>
      <c r="H299" s="15"/>
      <c r="I299" s="7" t="s">
        <v>813</v>
      </c>
      <c r="J299" s="8" t="str">
        <f>VLOOKUP(I299,Customers[#Data],2,FALSE)</f>
        <v>မနှင်းပွင့်ဖြူ</v>
      </c>
      <c r="K299" s="15" t="str">
        <f>VLOOKUP(I299,Customers[#Data],4,FALSE)</f>
        <v>Yay</v>
      </c>
      <c r="L299" s="15" t="str">
        <f>VLOOKUP(I299,Customers[#Data],5,FALSE)</f>
        <v>Van Sales</v>
      </c>
      <c r="M299" s="7" t="s">
        <v>6</v>
      </c>
      <c r="N299" s="7" t="s">
        <v>517</v>
      </c>
      <c r="O299" s="14" t="str">
        <f>VLOOKUP(N299,Stock[#Data],2,FALSE)</f>
        <v>ဇေယျဝတီ Red (1 Liter) 30%</v>
      </c>
      <c r="P299" s="44">
        <f>VLOOKUP(N299,Stock[#Data],3,FALSE)</f>
        <v>1</v>
      </c>
      <c r="Q299" s="3">
        <f>VLOOKUP(N299,Stock[#Data],4,FALSE)</f>
        <v>12</v>
      </c>
      <c r="R299" s="11"/>
      <c r="S299" s="45">
        <f>IFERROR(Table4[[#This Row],[Bottle]]/Table4[[#This Row],[ပါဝင်မှု]]+Table4[[#This Row],[SalesPK]],0)</f>
        <v>100</v>
      </c>
      <c r="T299" s="12">
        <v>100</v>
      </c>
      <c r="U299" s="10">
        <f>Table4[[#This Row],[ပါဝင်မှု]]*Table4[[#This Row],[SalesPK]]+Table4[[#This Row],[Bottle]]</f>
        <v>1200</v>
      </c>
      <c r="V299" s="10">
        <f>Table4[[#This Row],[SalesBot]]*Table4[[#This Row],[ML]]</f>
        <v>1200</v>
      </c>
      <c r="W299" s="1">
        <f>VLOOKUP(N299,Stock[#Data],6,FALSE)</f>
        <v>1710</v>
      </c>
      <c r="X299" s="8">
        <f>+Table4[[#This Row],[SalesBot]]*Table4[[#This Row],[နှုံး]]</f>
        <v>2052000</v>
      </c>
      <c r="Y299" s="12"/>
      <c r="Z299" s="12"/>
      <c r="AA299" s="12"/>
      <c r="AB299" s="9"/>
      <c r="AC299" s="12">
        <v>2052000</v>
      </c>
      <c r="AD299" s="9"/>
      <c r="AE299" s="12"/>
      <c r="AF29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299" s="24"/>
      <c r="AH299" s="266">
        <f>Table4[[#This Row],[Date]]</f>
        <v>46041</v>
      </c>
      <c r="AI299" s="264" t="str">
        <f t="shared" si="48"/>
        <v>Jan</v>
      </c>
      <c r="AJ299" s="264" t="str">
        <f t="shared" si="49"/>
        <v>2026</v>
      </c>
      <c r="AK299" s="270" t="str">
        <f>Table4[[#This Row],[ကုန်သည်အမည်]]</f>
        <v>မနှင်းပွင့်ဖြူ</v>
      </c>
      <c r="AL299" s="270" t="str">
        <f>Table4[[#This Row],[Township]]</f>
        <v>Yay</v>
      </c>
      <c r="AM299" s="271" t="str">
        <f>Table4[[#This Row],[WholeSales]]</f>
        <v>Van Sales</v>
      </c>
      <c r="AN299" s="272" t="str">
        <f>Table4[[#This Row],[Particular]]</f>
        <v>ကုန်ရောင်း(လက်ငင်း)</v>
      </c>
      <c r="AO299" s="273" t="str">
        <f>Table4[[#This Row],[StockName]]</f>
        <v>ဇေယျဝတီ Red (1 Liter) 30%</v>
      </c>
      <c r="AP299" s="268">
        <f>Table4[[#This Row],[Parking]]</f>
        <v>100</v>
      </c>
      <c r="AQ299" s="268">
        <f>Table4[[#This Row],[SalesBot]]</f>
        <v>1200</v>
      </c>
      <c r="AR299" s="268">
        <f>Table4[[#This Row],[Liter]]</f>
        <v>1200</v>
      </c>
    </row>
    <row r="300" spans="1:44" s="16" customFormat="1" hidden="1" x14ac:dyDescent="0.5">
      <c r="A300" s="3">
        <f t="shared" si="50"/>
        <v>2026</v>
      </c>
      <c r="B300" s="8">
        <f t="shared" si="51"/>
        <v>1</v>
      </c>
      <c r="C300" s="6">
        <v>46041</v>
      </c>
      <c r="D300" s="15">
        <f t="shared" ca="1" si="52"/>
        <v>46097</v>
      </c>
      <c r="E300" s="15" t="str">
        <f t="shared" ca="1" si="53"/>
        <v>1-Months</v>
      </c>
      <c r="F300" s="8" t="str">
        <f>VLOOKUP(N300,Stock[#Data],5,FALSE)</f>
        <v>BE</v>
      </c>
      <c r="G300" s="82" t="s">
        <v>1090</v>
      </c>
      <c r="H300" s="15"/>
      <c r="I300" s="7" t="s">
        <v>541</v>
      </c>
      <c r="J300" s="8" t="str">
        <f>VLOOKUP(I300,Customers[#Data],2,FALSE)</f>
        <v>ကိုကျော်ရွှေ</v>
      </c>
      <c r="K300" s="15" t="str">
        <f>VLOOKUP(I300,Customers[#Data],4,FALSE)</f>
        <v>Mudon</v>
      </c>
      <c r="L300" s="15" t="str">
        <f>VLOOKUP(I300,Customers[#Data],5,FALSE)</f>
        <v>SemiWholeSales</v>
      </c>
      <c r="M300" s="7" t="s">
        <v>6</v>
      </c>
      <c r="N300" s="7" t="s">
        <v>520</v>
      </c>
      <c r="O300" s="14" t="str">
        <f>VLOOKUP(N300,Stock[#Data],2,FALSE)</f>
        <v>ဇေယျဝတီ  Red(ပု)</v>
      </c>
      <c r="P300" s="44">
        <f>VLOOKUP(N300,Stock[#Data],3,FALSE)</f>
        <v>0.64</v>
      </c>
      <c r="Q300" s="3">
        <f>VLOOKUP(N300,Stock[#Data],4,FALSE)</f>
        <v>14</v>
      </c>
      <c r="R300" s="11"/>
      <c r="S300" s="45">
        <f>IFERROR(Table4[[#This Row],[Bottle]]/Table4[[#This Row],[ပါဝင်မှု]]+Table4[[#This Row],[SalesPK]],0)</f>
        <v>50</v>
      </c>
      <c r="T300" s="12">
        <v>50</v>
      </c>
      <c r="U300" s="10">
        <f>Table4[[#This Row],[ပါဝင်မှု]]*Table4[[#This Row],[SalesPK]]+Table4[[#This Row],[Bottle]]</f>
        <v>700</v>
      </c>
      <c r="V300" s="10">
        <f>Table4[[#This Row],[SalesBot]]*Table4[[#This Row],[ML]]</f>
        <v>448</v>
      </c>
      <c r="W300" s="1">
        <f>VLOOKUP(N300,Stock[#Data],6,FALSE)</f>
        <v>1800</v>
      </c>
      <c r="X300" s="8">
        <f>+Table4[[#This Row],[SalesBot]]*Table4[[#This Row],[နှုံး]]</f>
        <v>1260000</v>
      </c>
      <c r="Y300" s="12"/>
      <c r="Z300" s="12"/>
      <c r="AA300" s="12"/>
      <c r="AB300" s="9"/>
      <c r="AC300" s="12">
        <v>1260000</v>
      </c>
      <c r="AD300" s="9"/>
      <c r="AE300" s="12"/>
      <c r="AF30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00" s="24"/>
      <c r="AH300" s="266">
        <f>Table4[[#This Row],[Date]]</f>
        <v>46041</v>
      </c>
      <c r="AI300" s="264" t="str">
        <f t="shared" si="48"/>
        <v>Jan</v>
      </c>
      <c r="AJ300" s="264" t="str">
        <f t="shared" si="49"/>
        <v>2026</v>
      </c>
      <c r="AK300" s="270" t="str">
        <f>Table4[[#This Row],[ကုန်သည်အမည်]]</f>
        <v>ကိုကျော်ရွှေ</v>
      </c>
      <c r="AL300" s="270" t="str">
        <f>Table4[[#This Row],[Township]]</f>
        <v>Mudon</v>
      </c>
      <c r="AM300" s="271" t="str">
        <f>Table4[[#This Row],[WholeSales]]</f>
        <v>SemiWholeSales</v>
      </c>
      <c r="AN300" s="272" t="str">
        <f>Table4[[#This Row],[Particular]]</f>
        <v>ကုန်ရောင်း(လက်ငင်း)</v>
      </c>
      <c r="AO300" s="273" t="str">
        <f>Table4[[#This Row],[StockName]]</f>
        <v>ဇေယျဝတီ  Red(ပု)</v>
      </c>
      <c r="AP300" s="268">
        <f>Table4[[#This Row],[Parking]]</f>
        <v>50</v>
      </c>
      <c r="AQ300" s="268">
        <f>Table4[[#This Row],[SalesBot]]</f>
        <v>700</v>
      </c>
      <c r="AR300" s="268">
        <f>Table4[[#This Row],[Liter]]</f>
        <v>448</v>
      </c>
    </row>
    <row r="301" spans="1:44" s="16" customFormat="1" hidden="1" x14ac:dyDescent="0.5">
      <c r="A301" s="3">
        <f t="shared" si="50"/>
        <v>2026</v>
      </c>
      <c r="B301" s="8">
        <f t="shared" si="51"/>
        <v>1</v>
      </c>
      <c r="C301" s="6">
        <v>46041</v>
      </c>
      <c r="D301" s="15">
        <f t="shared" ca="1" si="52"/>
        <v>46097</v>
      </c>
      <c r="E301" s="15" t="str">
        <f t="shared" ca="1" si="53"/>
        <v>1-Months</v>
      </c>
      <c r="F301" s="8" t="str">
        <f>VLOOKUP(N301,Stock[#Data],5,FALSE)</f>
        <v>BE</v>
      </c>
      <c r="G301" s="82" t="s">
        <v>1091</v>
      </c>
      <c r="H301" s="15"/>
      <c r="I301" s="7" t="s">
        <v>1092</v>
      </c>
      <c r="J301" s="8" t="str">
        <f>VLOOKUP(I301,Customers[#Data],2,FALSE)</f>
        <v>ဖောင်တိန်</v>
      </c>
      <c r="K301" s="15" t="str">
        <f>VLOOKUP(I301,Customers[#Data],4,FALSE)</f>
        <v>Mudon</v>
      </c>
      <c r="L301" s="15" t="str">
        <f>VLOOKUP(I301,Customers[#Data],5,FALSE)</f>
        <v>Van Sales</v>
      </c>
      <c r="M301" s="7" t="s">
        <v>6</v>
      </c>
      <c r="N301" s="7" t="s">
        <v>520</v>
      </c>
      <c r="O301" s="14" t="str">
        <f>VLOOKUP(N301,Stock[#Data],2,FALSE)</f>
        <v>ဇေယျဝတီ  Red(ပု)</v>
      </c>
      <c r="P301" s="44">
        <f>VLOOKUP(N301,Stock[#Data],3,FALSE)</f>
        <v>0.64</v>
      </c>
      <c r="Q301" s="3">
        <f>VLOOKUP(N301,Stock[#Data],4,FALSE)</f>
        <v>14</v>
      </c>
      <c r="R301" s="11"/>
      <c r="S301" s="45">
        <f>IFERROR(Table4[[#This Row],[Bottle]]/Table4[[#This Row],[ပါဝင်မှု]]+Table4[[#This Row],[SalesPK]],0)</f>
        <v>30</v>
      </c>
      <c r="T301" s="12">
        <v>30</v>
      </c>
      <c r="U301" s="10">
        <f>Table4[[#This Row],[ပါဝင်မှု]]*Table4[[#This Row],[SalesPK]]+Table4[[#This Row],[Bottle]]</f>
        <v>420</v>
      </c>
      <c r="V301" s="10">
        <f>Table4[[#This Row],[SalesBot]]*Table4[[#This Row],[ML]]</f>
        <v>268.8</v>
      </c>
      <c r="W301" s="1">
        <f>VLOOKUP(N301,Stock[#Data],6,FALSE)</f>
        <v>1800</v>
      </c>
      <c r="X301" s="8">
        <f>+Table4[[#This Row],[SalesBot]]*Table4[[#This Row],[နှုံး]]</f>
        <v>756000</v>
      </c>
      <c r="Y301" s="12"/>
      <c r="Z301" s="12"/>
      <c r="AA301" s="12"/>
      <c r="AB301" s="9"/>
      <c r="AC301" s="12">
        <v>756000</v>
      </c>
      <c r="AD301" s="9"/>
      <c r="AE301" s="12"/>
      <c r="AF30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01" s="24"/>
      <c r="AH301" s="266">
        <f>Table4[[#This Row],[Date]]</f>
        <v>46041</v>
      </c>
      <c r="AI301" s="264" t="str">
        <f t="shared" si="48"/>
        <v>Jan</v>
      </c>
      <c r="AJ301" s="264" t="str">
        <f t="shared" si="49"/>
        <v>2026</v>
      </c>
      <c r="AK301" s="270" t="str">
        <f>Table4[[#This Row],[ကုန်သည်အမည်]]</f>
        <v>ဖောင်တိန်</v>
      </c>
      <c r="AL301" s="270" t="str">
        <f>Table4[[#This Row],[Township]]</f>
        <v>Mudon</v>
      </c>
      <c r="AM301" s="271" t="str">
        <f>Table4[[#This Row],[WholeSales]]</f>
        <v>Van Sales</v>
      </c>
      <c r="AN301" s="272" t="str">
        <f>Table4[[#This Row],[Particular]]</f>
        <v>ကုန်ရောင်း(လက်ငင်း)</v>
      </c>
      <c r="AO301" s="273" t="str">
        <f>Table4[[#This Row],[StockName]]</f>
        <v>ဇေယျဝတီ  Red(ပု)</v>
      </c>
      <c r="AP301" s="268">
        <f>Table4[[#This Row],[Parking]]</f>
        <v>30</v>
      </c>
      <c r="AQ301" s="268">
        <f>Table4[[#This Row],[SalesBot]]</f>
        <v>420</v>
      </c>
      <c r="AR301" s="268">
        <f>Table4[[#This Row],[Liter]]</f>
        <v>268.8</v>
      </c>
    </row>
    <row r="302" spans="1:44" s="16" customFormat="1" hidden="1" x14ac:dyDescent="0.5">
      <c r="A302" s="3">
        <f t="shared" si="44"/>
        <v>2026</v>
      </c>
      <c r="B302" s="8">
        <f t="shared" si="45"/>
        <v>1</v>
      </c>
      <c r="C302" s="6">
        <v>46041</v>
      </c>
      <c r="D302" s="15">
        <f t="shared" ca="1" si="46"/>
        <v>46097</v>
      </c>
      <c r="E302" s="15" t="str">
        <f t="shared" ca="1" si="47"/>
        <v>1-Months</v>
      </c>
      <c r="F302" s="8" t="str">
        <f>VLOOKUP(N302,Stock[#Data],5,FALSE)</f>
        <v>BE</v>
      </c>
      <c r="G302" s="82" t="s">
        <v>1091</v>
      </c>
      <c r="H302" s="15"/>
      <c r="I302" s="7" t="s">
        <v>1092</v>
      </c>
      <c r="J302" s="8" t="str">
        <f>VLOOKUP(I302,Customers[#Data],2,FALSE)</f>
        <v>ဖောင်တိန်</v>
      </c>
      <c r="K302" s="15" t="str">
        <f>VLOOKUP(I302,Customers[#Data],4,FALSE)</f>
        <v>Mudon</v>
      </c>
      <c r="L302" s="15" t="str">
        <f>VLOOKUP(I302,Customers[#Data],5,FALSE)</f>
        <v>Van Sales</v>
      </c>
      <c r="M302" s="7" t="s">
        <v>6</v>
      </c>
      <c r="N302" s="7" t="s">
        <v>508</v>
      </c>
      <c r="O302" s="14" t="str">
        <f>VLOOKUP(N302,Stock[#Data],2,FALSE)</f>
        <v>ကောင်းကြည်-1Li</v>
      </c>
      <c r="P302" s="44">
        <f>VLOOKUP(N302,Stock[#Data],3,FALSE)</f>
        <v>1</v>
      </c>
      <c r="Q302" s="3">
        <f>VLOOKUP(N302,Stock[#Data],4,FALSE)</f>
        <v>12</v>
      </c>
      <c r="R302" s="11"/>
      <c r="S302" s="45">
        <f>IFERROR(Table4[[#This Row],[Bottle]]/Table4[[#This Row],[ပါဝင်မှု]]+Table4[[#This Row],[SalesPK]],0)</f>
        <v>2</v>
      </c>
      <c r="T302" s="12">
        <v>2</v>
      </c>
      <c r="U302" s="10">
        <f>Table4[[#This Row],[ပါဝင်မှု]]*Table4[[#This Row],[SalesPK]]+Table4[[#This Row],[Bottle]]</f>
        <v>24</v>
      </c>
      <c r="V302" s="10">
        <f>Table4[[#This Row],[SalesBot]]*Table4[[#This Row],[ML]]</f>
        <v>24</v>
      </c>
      <c r="W302" s="1">
        <f>VLOOKUP(N302,Stock[#Data],6,FALSE)</f>
        <v>1850</v>
      </c>
      <c r="X302" s="8">
        <f>+Table4[[#This Row],[SalesBot]]*Table4[[#This Row],[နှုံး]]</f>
        <v>44400</v>
      </c>
      <c r="Y302" s="12"/>
      <c r="Z302" s="12"/>
      <c r="AA302" s="12"/>
      <c r="AB302" s="9"/>
      <c r="AC302" s="12">
        <v>44400</v>
      </c>
      <c r="AD302" s="9"/>
      <c r="AE302" s="12"/>
      <c r="AF30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02" s="24"/>
      <c r="AH302" s="266">
        <f>Table4[[#This Row],[Date]]</f>
        <v>46041</v>
      </c>
      <c r="AI302" s="264" t="str">
        <f t="shared" si="48"/>
        <v>Jan</v>
      </c>
      <c r="AJ302" s="264" t="str">
        <f t="shared" si="49"/>
        <v>2026</v>
      </c>
      <c r="AK302" s="270" t="str">
        <f>Table4[[#This Row],[ကုန်သည်အမည်]]</f>
        <v>ဖောင်တိန်</v>
      </c>
      <c r="AL302" s="270" t="str">
        <f>Table4[[#This Row],[Township]]</f>
        <v>Mudon</v>
      </c>
      <c r="AM302" s="271" t="str">
        <f>Table4[[#This Row],[WholeSales]]</f>
        <v>Van Sales</v>
      </c>
      <c r="AN302" s="272" t="str">
        <f>Table4[[#This Row],[Particular]]</f>
        <v>ကုန်ရောင်း(လက်ငင်း)</v>
      </c>
      <c r="AO302" s="273" t="str">
        <f>Table4[[#This Row],[StockName]]</f>
        <v>ကောင်းကြည်-1Li</v>
      </c>
      <c r="AP302" s="268">
        <f>Table4[[#This Row],[Parking]]</f>
        <v>2</v>
      </c>
      <c r="AQ302" s="268">
        <f>Table4[[#This Row],[SalesBot]]</f>
        <v>24</v>
      </c>
      <c r="AR302" s="268">
        <f>Table4[[#This Row],[Liter]]</f>
        <v>24</v>
      </c>
    </row>
    <row r="303" spans="1:44" s="16" customFormat="1" hidden="1" x14ac:dyDescent="0.5">
      <c r="A303" s="3">
        <f t="shared" si="44"/>
        <v>2026</v>
      </c>
      <c r="B303" s="8">
        <f t="shared" si="45"/>
        <v>1</v>
      </c>
      <c r="C303" s="6">
        <v>46041</v>
      </c>
      <c r="D303" s="15">
        <f t="shared" ca="1" si="46"/>
        <v>46097</v>
      </c>
      <c r="E303" s="15" t="str">
        <f t="shared" ca="1" si="47"/>
        <v>1-Months</v>
      </c>
      <c r="F303" s="8" t="str">
        <f>VLOOKUP(N303,Stock[#Data],5,FALSE)</f>
        <v>BE</v>
      </c>
      <c r="G303" s="82" t="s">
        <v>1094</v>
      </c>
      <c r="H303" s="15"/>
      <c r="I303" s="7" t="s">
        <v>816</v>
      </c>
      <c r="J303" s="8" t="str">
        <f>VLOOKUP(I303,Customers[#Data],2,FALSE)</f>
        <v>မ‌ရွှေစင်</v>
      </c>
      <c r="K303" s="15" t="str">
        <f>VLOOKUP(I303,Customers[#Data],4,FALSE)</f>
        <v>ThaHtone</v>
      </c>
      <c r="L303" s="15" t="str">
        <f>VLOOKUP(I303,Customers[#Data],5,FALSE)</f>
        <v>Van Sales</v>
      </c>
      <c r="M303" s="7" t="s">
        <v>6</v>
      </c>
      <c r="N303" s="7" t="s">
        <v>1095</v>
      </c>
      <c r="O303" s="14" t="str">
        <f>VLOOKUP(N303,Stock[#Data],2,FALSE)</f>
        <v>မိုးနဲကွန်ကီ</v>
      </c>
      <c r="P303" s="44">
        <f>VLOOKUP(N303,Stock[#Data],3,FALSE)</f>
        <v>0.64</v>
      </c>
      <c r="Q303" s="3">
        <f>VLOOKUP(N303,Stock[#Data],4,FALSE)</f>
        <v>14</v>
      </c>
      <c r="R303" s="11"/>
      <c r="S303" s="45">
        <f>IFERROR(Table4[[#This Row],[Bottle]]/Table4[[#This Row],[ပါဝင်မှု]]+Table4[[#This Row],[SalesPK]],0)</f>
        <v>50</v>
      </c>
      <c r="T303" s="12">
        <v>50</v>
      </c>
      <c r="U303" s="10">
        <f>Table4[[#This Row],[ပါဝင်မှု]]*Table4[[#This Row],[SalesPK]]+Table4[[#This Row],[Bottle]]</f>
        <v>700</v>
      </c>
      <c r="V303" s="10">
        <f>Table4[[#This Row],[SalesBot]]*Table4[[#This Row],[ML]]</f>
        <v>448</v>
      </c>
      <c r="W303" s="1">
        <f>VLOOKUP(N303,Stock[#Data],6,FALSE)</f>
        <v>1700</v>
      </c>
      <c r="X303" s="8">
        <f>+Table4[[#This Row],[SalesBot]]*Table4[[#This Row],[နှုံး]]</f>
        <v>1190000</v>
      </c>
      <c r="Y303" s="12"/>
      <c r="Z303" s="12"/>
      <c r="AA303" s="12"/>
      <c r="AB303" s="9"/>
      <c r="AC303" s="12">
        <v>1190000</v>
      </c>
      <c r="AD303" s="9"/>
      <c r="AE303" s="12"/>
      <c r="AF30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03" s="24"/>
      <c r="AH303" s="266">
        <f>Table4[[#This Row],[Date]]</f>
        <v>46041</v>
      </c>
      <c r="AI303" s="264" t="str">
        <f t="shared" si="48"/>
        <v>Jan</v>
      </c>
      <c r="AJ303" s="264" t="str">
        <f t="shared" si="49"/>
        <v>2026</v>
      </c>
      <c r="AK303" s="270" t="str">
        <f>Table4[[#This Row],[ကုန်သည်အမည်]]</f>
        <v>မ‌ရွှေစင်</v>
      </c>
      <c r="AL303" s="270" t="str">
        <f>Table4[[#This Row],[Township]]</f>
        <v>ThaHtone</v>
      </c>
      <c r="AM303" s="271" t="str">
        <f>Table4[[#This Row],[WholeSales]]</f>
        <v>Van Sales</v>
      </c>
      <c r="AN303" s="272" t="str">
        <f>Table4[[#This Row],[Particular]]</f>
        <v>ကုန်ရောင်း(လက်ငင်း)</v>
      </c>
      <c r="AO303" s="273" t="str">
        <f>Table4[[#This Row],[StockName]]</f>
        <v>မိုးနဲကွန်ကီ</v>
      </c>
      <c r="AP303" s="268">
        <f>Table4[[#This Row],[Parking]]</f>
        <v>50</v>
      </c>
      <c r="AQ303" s="268">
        <f>Table4[[#This Row],[SalesBot]]</f>
        <v>700</v>
      </c>
      <c r="AR303" s="268">
        <f>Table4[[#This Row],[Liter]]</f>
        <v>448</v>
      </c>
    </row>
    <row r="304" spans="1:44" s="16" customFormat="1" hidden="1" x14ac:dyDescent="0.5">
      <c r="A304" s="3">
        <f t="shared" si="40"/>
        <v>2026</v>
      </c>
      <c r="B304" s="8">
        <f t="shared" si="41"/>
        <v>1</v>
      </c>
      <c r="C304" s="6">
        <v>46041</v>
      </c>
      <c r="D304" s="15">
        <f t="shared" ca="1" si="42"/>
        <v>46097</v>
      </c>
      <c r="E304" s="15" t="str">
        <f t="shared" ca="1" si="43"/>
        <v>1-Months</v>
      </c>
      <c r="F304" s="8" t="str">
        <f>VLOOKUP(N304,Stock[#Data],5,FALSE)</f>
        <v>BE</v>
      </c>
      <c r="G304" s="82" t="s">
        <v>1096</v>
      </c>
      <c r="H304" s="15"/>
      <c r="I304" s="7" t="s">
        <v>95</v>
      </c>
      <c r="J304" s="8" t="str">
        <f>VLOOKUP(I304,Customers[#Data],2,FALSE)</f>
        <v>ကျော်စတား</v>
      </c>
      <c r="K304" s="15" t="str">
        <f>VLOOKUP(I304,Customers[#Data],4,FALSE)</f>
        <v>Yay</v>
      </c>
      <c r="L304" s="15" t="str">
        <f>VLOOKUP(I304,Customers[#Data],5,FALSE)</f>
        <v>WholeSales</v>
      </c>
      <c r="M304" s="7" t="s">
        <v>7</v>
      </c>
      <c r="N304" s="7" t="s">
        <v>514</v>
      </c>
      <c r="O304" s="14" t="str">
        <f>VLOOKUP(N304,Stock[#Data],2,FALSE)</f>
        <v>ဇေယျဝတီ Red</v>
      </c>
      <c r="P304" s="44">
        <f>VLOOKUP(N304,Stock[#Data],3,FALSE)</f>
        <v>0.64</v>
      </c>
      <c r="Q304" s="3">
        <f>VLOOKUP(N304,Stock[#Data],4,FALSE)</f>
        <v>14</v>
      </c>
      <c r="R304" s="11"/>
      <c r="S304" s="45">
        <f>IFERROR(Table4[[#This Row],[Bottle]]/Table4[[#This Row],[ပါဝင်မှု]]+Table4[[#This Row],[SalesPK]],0)</f>
        <v>60</v>
      </c>
      <c r="T304" s="12">
        <v>60</v>
      </c>
      <c r="U304" s="10">
        <f>Table4[[#This Row],[ပါဝင်မှု]]*Table4[[#This Row],[SalesPK]]+Table4[[#This Row],[Bottle]]</f>
        <v>840</v>
      </c>
      <c r="V304" s="10">
        <f>Table4[[#This Row],[SalesBot]]*Table4[[#This Row],[ML]]</f>
        <v>537.6</v>
      </c>
      <c r="W304" s="1">
        <f>VLOOKUP(N304,Stock[#Data],6,FALSE)</f>
        <v>1350</v>
      </c>
      <c r="X304" s="8">
        <f>+Table4[[#This Row],[SalesBot]]*Table4[[#This Row],[နှုံး]]</f>
        <v>1134000</v>
      </c>
      <c r="Y304" s="12"/>
      <c r="Z304" s="12"/>
      <c r="AA304" s="12"/>
      <c r="AB304" s="9"/>
      <c r="AC304" s="12"/>
      <c r="AD304" s="9"/>
      <c r="AE304" s="12"/>
      <c r="AF30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1134000</v>
      </c>
      <c r="AG304" s="24"/>
      <c r="AH304" s="266">
        <f>Table4[[#This Row],[Date]]</f>
        <v>46041</v>
      </c>
      <c r="AI304" s="264" t="str">
        <f t="shared" si="48"/>
        <v>Jan</v>
      </c>
      <c r="AJ304" s="264" t="str">
        <f t="shared" si="49"/>
        <v>2026</v>
      </c>
      <c r="AK304" s="270" t="str">
        <f>Table4[[#This Row],[ကုန်သည်အမည်]]</f>
        <v>ကျော်စတား</v>
      </c>
      <c r="AL304" s="270" t="str">
        <f>Table4[[#This Row],[Township]]</f>
        <v>Yay</v>
      </c>
      <c r="AM304" s="271" t="str">
        <f>Table4[[#This Row],[WholeSales]]</f>
        <v>WholeSales</v>
      </c>
      <c r="AN304" s="272" t="str">
        <f>Table4[[#This Row],[Particular]]</f>
        <v>ကုန်ရောင်း(အကြွေး)</v>
      </c>
      <c r="AO304" s="273" t="str">
        <f>Table4[[#This Row],[StockName]]</f>
        <v>ဇေယျဝတီ Red</v>
      </c>
      <c r="AP304" s="268">
        <f>Table4[[#This Row],[Parking]]</f>
        <v>60</v>
      </c>
      <c r="AQ304" s="268">
        <f>Table4[[#This Row],[SalesBot]]</f>
        <v>840</v>
      </c>
      <c r="AR304" s="268">
        <f>Table4[[#This Row],[Liter]]</f>
        <v>537.6</v>
      </c>
    </row>
    <row r="305" spans="1:44" s="16" customFormat="1" hidden="1" x14ac:dyDescent="0.5">
      <c r="A305" s="3">
        <f t="shared" si="40"/>
        <v>2026</v>
      </c>
      <c r="B305" s="8">
        <f t="shared" si="41"/>
        <v>1</v>
      </c>
      <c r="C305" s="6">
        <v>46041</v>
      </c>
      <c r="D305" s="15">
        <f t="shared" ca="1" si="42"/>
        <v>46097</v>
      </c>
      <c r="E305" s="15" t="str">
        <f t="shared" ca="1" si="43"/>
        <v>1-Months</v>
      </c>
      <c r="F305" s="8" t="str">
        <f>VLOOKUP(N305,Stock[#Data],5,FALSE)</f>
        <v>BE</v>
      </c>
      <c r="G305" s="82" t="s">
        <v>1096</v>
      </c>
      <c r="H305" s="15"/>
      <c r="I305" s="7" t="s">
        <v>95</v>
      </c>
      <c r="J305" s="8" t="str">
        <f>VLOOKUP(I305,Customers[#Data],2,FALSE)</f>
        <v>ကျော်စတား</v>
      </c>
      <c r="K305" s="15" t="str">
        <f>VLOOKUP(I305,Customers[#Data],4,FALSE)</f>
        <v>Yay</v>
      </c>
      <c r="L305" s="15" t="str">
        <f>VLOOKUP(I305,Customers[#Data],5,FALSE)</f>
        <v>WholeSales</v>
      </c>
      <c r="M305" s="7" t="s">
        <v>7</v>
      </c>
      <c r="N305" s="7" t="s">
        <v>517</v>
      </c>
      <c r="O305" s="14" t="str">
        <f>VLOOKUP(N305,Stock[#Data],2,FALSE)</f>
        <v>ဇေယျဝတီ Red (1 Liter) 30%</v>
      </c>
      <c r="P305" s="44">
        <f>VLOOKUP(N305,Stock[#Data],3,FALSE)</f>
        <v>1</v>
      </c>
      <c r="Q305" s="3">
        <f>VLOOKUP(N305,Stock[#Data],4,FALSE)</f>
        <v>12</v>
      </c>
      <c r="R305" s="11"/>
      <c r="S305" s="45">
        <f>IFERROR(Table4[[#This Row],[Bottle]]/Table4[[#This Row],[ပါဝင်မှု]]+Table4[[#This Row],[SalesPK]],0)</f>
        <v>50</v>
      </c>
      <c r="T305" s="12">
        <v>50</v>
      </c>
      <c r="U305" s="10">
        <f>Table4[[#This Row],[ပါဝင်မှု]]*Table4[[#This Row],[SalesPK]]+Table4[[#This Row],[Bottle]]</f>
        <v>600</v>
      </c>
      <c r="V305" s="10">
        <f>Table4[[#This Row],[SalesBot]]*Table4[[#This Row],[ML]]</f>
        <v>600</v>
      </c>
      <c r="W305" s="1">
        <f>VLOOKUP(N305,Stock[#Data],6,FALSE)</f>
        <v>1710</v>
      </c>
      <c r="X305" s="8">
        <f>+Table4[[#This Row],[SalesBot]]*Table4[[#This Row],[နှုံး]]</f>
        <v>1026000</v>
      </c>
      <c r="Y305" s="12"/>
      <c r="Z305" s="12"/>
      <c r="AA305" s="12"/>
      <c r="AB305" s="9"/>
      <c r="AC305" s="12"/>
      <c r="AD305" s="9"/>
      <c r="AE305" s="12"/>
      <c r="AF30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305" s="24"/>
      <c r="AH305" s="266">
        <f>Table4[[#This Row],[Date]]</f>
        <v>46041</v>
      </c>
      <c r="AI305" s="264" t="str">
        <f t="shared" si="48"/>
        <v>Jan</v>
      </c>
      <c r="AJ305" s="264" t="str">
        <f t="shared" si="49"/>
        <v>2026</v>
      </c>
      <c r="AK305" s="270" t="str">
        <f>Table4[[#This Row],[ကုန်သည်အမည်]]</f>
        <v>ကျော်စတား</v>
      </c>
      <c r="AL305" s="270" t="str">
        <f>Table4[[#This Row],[Township]]</f>
        <v>Yay</v>
      </c>
      <c r="AM305" s="271" t="str">
        <f>Table4[[#This Row],[WholeSales]]</f>
        <v>WholeSales</v>
      </c>
      <c r="AN305" s="272" t="str">
        <f>Table4[[#This Row],[Particular]]</f>
        <v>ကုန်ရောင်း(အကြွေး)</v>
      </c>
      <c r="AO305" s="273" t="str">
        <f>Table4[[#This Row],[StockName]]</f>
        <v>ဇေယျဝတီ Red (1 Liter) 30%</v>
      </c>
      <c r="AP305" s="268">
        <f>Table4[[#This Row],[Parking]]</f>
        <v>50</v>
      </c>
      <c r="AQ305" s="268">
        <f>Table4[[#This Row],[SalesBot]]</f>
        <v>600</v>
      </c>
      <c r="AR305" s="268">
        <f>Table4[[#This Row],[Liter]]</f>
        <v>600</v>
      </c>
    </row>
    <row r="306" spans="1:44" s="16" customFormat="1" hidden="1" x14ac:dyDescent="0.5">
      <c r="A306" s="3">
        <f t="shared" si="40"/>
        <v>2026</v>
      </c>
      <c r="B306" s="8">
        <f t="shared" si="41"/>
        <v>1</v>
      </c>
      <c r="C306" s="6">
        <v>46041</v>
      </c>
      <c r="D306" s="15">
        <f t="shared" ca="1" si="42"/>
        <v>46097</v>
      </c>
      <c r="E306" s="15" t="str">
        <f t="shared" ca="1" si="43"/>
        <v>1-Months</v>
      </c>
      <c r="F306" s="8" t="str">
        <f>VLOOKUP(N306,Stock[#Data],5,FALSE)</f>
        <v>BE</v>
      </c>
      <c r="G306" s="82" t="s">
        <v>1097</v>
      </c>
      <c r="H306" s="15"/>
      <c r="I306" s="7" t="s">
        <v>95</v>
      </c>
      <c r="J306" s="8" t="str">
        <f>VLOOKUP(I306,Customers[#Data],2,FALSE)</f>
        <v>ကျော်စတား</v>
      </c>
      <c r="K306" s="15" t="str">
        <f>VLOOKUP(I306,Customers[#Data],4,FALSE)</f>
        <v>Yay</v>
      </c>
      <c r="L306" s="15" t="str">
        <f>VLOOKUP(I306,Customers[#Data],5,FALSE)</f>
        <v>WholeSales</v>
      </c>
      <c r="M306" s="7" t="s">
        <v>7</v>
      </c>
      <c r="N306" s="7" t="s">
        <v>514</v>
      </c>
      <c r="O306" s="14" t="str">
        <f>VLOOKUP(N306,Stock[#Data],2,FALSE)</f>
        <v>ဇေယျဝတီ Red</v>
      </c>
      <c r="P306" s="44">
        <f>VLOOKUP(N306,Stock[#Data],3,FALSE)</f>
        <v>0.64</v>
      </c>
      <c r="Q306" s="3">
        <f>VLOOKUP(N306,Stock[#Data],4,FALSE)</f>
        <v>14</v>
      </c>
      <c r="R306" s="11"/>
      <c r="S306" s="45">
        <f>IFERROR(Table4[[#This Row],[Bottle]]/Table4[[#This Row],[ပါဝင်မှု]]+Table4[[#This Row],[SalesPK]],0)</f>
        <v>70</v>
      </c>
      <c r="T306" s="12">
        <v>70</v>
      </c>
      <c r="U306" s="10">
        <f>Table4[[#This Row],[ပါဝင်မှု]]*Table4[[#This Row],[SalesPK]]+Table4[[#This Row],[Bottle]]</f>
        <v>980</v>
      </c>
      <c r="V306" s="10">
        <f>Table4[[#This Row],[SalesBot]]*Table4[[#This Row],[ML]]</f>
        <v>627.20000000000005</v>
      </c>
      <c r="W306" s="1">
        <f>VLOOKUP(N306,Stock[#Data],6,FALSE)</f>
        <v>1350</v>
      </c>
      <c r="X306" s="8">
        <f>+Table4[[#This Row],[SalesBot]]*Table4[[#This Row],[နှုံး]]</f>
        <v>1323000</v>
      </c>
      <c r="Y306" s="12"/>
      <c r="Z306" s="12"/>
      <c r="AA306" s="12"/>
      <c r="AB306" s="9"/>
      <c r="AC306" s="12"/>
      <c r="AD306" s="9"/>
      <c r="AE306" s="12"/>
      <c r="AF30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1323000</v>
      </c>
      <c r="AG306" s="24"/>
      <c r="AH306" s="266">
        <f>Table4[[#This Row],[Date]]</f>
        <v>46041</v>
      </c>
      <c r="AI306" s="264" t="str">
        <f t="shared" si="48"/>
        <v>Jan</v>
      </c>
      <c r="AJ306" s="264" t="str">
        <f t="shared" si="49"/>
        <v>2026</v>
      </c>
      <c r="AK306" s="270" t="str">
        <f>Table4[[#This Row],[ကုန်သည်အမည်]]</f>
        <v>ကျော်စတား</v>
      </c>
      <c r="AL306" s="270" t="str">
        <f>Table4[[#This Row],[Township]]</f>
        <v>Yay</v>
      </c>
      <c r="AM306" s="271" t="str">
        <f>Table4[[#This Row],[WholeSales]]</f>
        <v>WholeSales</v>
      </c>
      <c r="AN306" s="272" t="str">
        <f>Table4[[#This Row],[Particular]]</f>
        <v>ကုန်ရောင်း(အကြွေး)</v>
      </c>
      <c r="AO306" s="273" t="str">
        <f>Table4[[#This Row],[StockName]]</f>
        <v>ဇေယျဝတီ Red</v>
      </c>
      <c r="AP306" s="268">
        <f>Table4[[#This Row],[Parking]]</f>
        <v>70</v>
      </c>
      <c r="AQ306" s="268">
        <f>Table4[[#This Row],[SalesBot]]</f>
        <v>980</v>
      </c>
      <c r="AR306" s="268">
        <f>Table4[[#This Row],[Liter]]</f>
        <v>627.20000000000005</v>
      </c>
    </row>
    <row r="307" spans="1:44" s="16" customFormat="1" hidden="1" x14ac:dyDescent="0.5">
      <c r="A307" s="3">
        <f t="shared" si="40"/>
        <v>2026</v>
      </c>
      <c r="B307" s="8">
        <f t="shared" si="41"/>
        <v>1</v>
      </c>
      <c r="C307" s="6">
        <v>46041</v>
      </c>
      <c r="D307" s="15">
        <f t="shared" ca="1" si="42"/>
        <v>46097</v>
      </c>
      <c r="E307" s="15" t="str">
        <f t="shared" ca="1" si="43"/>
        <v>1-Months</v>
      </c>
      <c r="F307" s="8" t="str">
        <f>VLOOKUP(N307,Stock[#Data],5,FALSE)</f>
        <v>BE</v>
      </c>
      <c r="G307" s="82" t="s">
        <v>1097</v>
      </c>
      <c r="H307" s="15"/>
      <c r="I307" s="7" t="s">
        <v>95</v>
      </c>
      <c r="J307" s="8" t="str">
        <f>VLOOKUP(I307,Customers[#Data],2,FALSE)</f>
        <v>ကျော်စတား</v>
      </c>
      <c r="K307" s="15" t="str">
        <f>VLOOKUP(I307,Customers[#Data],4,FALSE)</f>
        <v>Yay</v>
      </c>
      <c r="L307" s="15" t="str">
        <f>VLOOKUP(I307,Customers[#Data],5,FALSE)</f>
        <v>WholeSales</v>
      </c>
      <c r="M307" s="7" t="s">
        <v>7</v>
      </c>
      <c r="N307" s="7" t="s">
        <v>517</v>
      </c>
      <c r="O307" s="14" t="str">
        <f>VLOOKUP(N307,Stock[#Data],2,FALSE)</f>
        <v>ဇေယျဝတီ Red (1 Liter) 30%</v>
      </c>
      <c r="P307" s="44">
        <f>VLOOKUP(N307,Stock[#Data],3,FALSE)</f>
        <v>1</v>
      </c>
      <c r="Q307" s="3">
        <f>VLOOKUP(N307,Stock[#Data],4,FALSE)</f>
        <v>12</v>
      </c>
      <c r="R307" s="11"/>
      <c r="S307" s="45">
        <f>IFERROR(Table4[[#This Row],[Bottle]]/Table4[[#This Row],[ပါဝင်မှု]]+Table4[[#This Row],[SalesPK]],0)</f>
        <v>150</v>
      </c>
      <c r="T307" s="12">
        <v>150</v>
      </c>
      <c r="U307" s="10">
        <f>Table4[[#This Row],[ပါဝင်မှု]]*Table4[[#This Row],[SalesPK]]+Table4[[#This Row],[Bottle]]</f>
        <v>1800</v>
      </c>
      <c r="V307" s="10">
        <f>Table4[[#This Row],[SalesBot]]*Table4[[#This Row],[ML]]</f>
        <v>1800</v>
      </c>
      <c r="W307" s="1">
        <f>VLOOKUP(N307,Stock[#Data],6,FALSE)</f>
        <v>1710</v>
      </c>
      <c r="X307" s="8">
        <f>+Table4[[#This Row],[SalesBot]]*Table4[[#This Row],[နှုံး]]</f>
        <v>3078000</v>
      </c>
      <c r="Y307" s="12"/>
      <c r="Z307" s="12"/>
      <c r="AA307" s="12"/>
      <c r="AB307" s="9"/>
      <c r="AC307" s="12"/>
      <c r="AD307" s="9"/>
      <c r="AE307" s="12"/>
      <c r="AF30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3078000</v>
      </c>
      <c r="AG307" s="24"/>
      <c r="AH307" s="266">
        <f>Table4[[#This Row],[Date]]</f>
        <v>46041</v>
      </c>
      <c r="AI307" s="264" t="str">
        <f t="shared" si="48"/>
        <v>Jan</v>
      </c>
      <c r="AJ307" s="264" t="str">
        <f t="shared" si="49"/>
        <v>2026</v>
      </c>
      <c r="AK307" s="270" t="str">
        <f>Table4[[#This Row],[ကုန်သည်အမည်]]</f>
        <v>ကျော်စတား</v>
      </c>
      <c r="AL307" s="270" t="str">
        <f>Table4[[#This Row],[Township]]</f>
        <v>Yay</v>
      </c>
      <c r="AM307" s="271" t="str">
        <f>Table4[[#This Row],[WholeSales]]</f>
        <v>WholeSales</v>
      </c>
      <c r="AN307" s="272" t="str">
        <f>Table4[[#This Row],[Particular]]</f>
        <v>ကုန်ရောင်း(အကြွေး)</v>
      </c>
      <c r="AO307" s="273" t="str">
        <f>Table4[[#This Row],[StockName]]</f>
        <v>ဇေယျဝတီ Red (1 Liter) 30%</v>
      </c>
      <c r="AP307" s="268">
        <f>Table4[[#This Row],[Parking]]</f>
        <v>150</v>
      </c>
      <c r="AQ307" s="268">
        <f>Table4[[#This Row],[SalesBot]]</f>
        <v>1800</v>
      </c>
      <c r="AR307" s="268">
        <f>Table4[[#This Row],[Liter]]</f>
        <v>1800</v>
      </c>
    </row>
    <row r="308" spans="1:44" s="16" customFormat="1" hidden="1" x14ac:dyDescent="0.5">
      <c r="A308" s="3">
        <f t="shared" ref="A308:A321" si="54">YEAR(C308)</f>
        <v>2026</v>
      </c>
      <c r="B308" s="8">
        <f t="shared" ref="B308:B321" si="55">MONTH(C308)</f>
        <v>1</v>
      </c>
      <c r="C308" s="6">
        <v>46041</v>
      </c>
      <c r="D308" s="15">
        <f t="shared" ref="D308:D321" ca="1" si="56">TODAY()</f>
        <v>46097</v>
      </c>
      <c r="E308" s="15" t="str">
        <f t="shared" ref="E308:E321" ca="1" si="57">DATEDIF(C308,D308,"M")&amp;"-Months"</f>
        <v>1-Months</v>
      </c>
      <c r="F308" s="8" t="str">
        <f>VLOOKUP(N308,Stock[#Data],5,FALSE)</f>
        <v>BE</v>
      </c>
      <c r="G308" s="82" t="s">
        <v>1098</v>
      </c>
      <c r="H308" s="15"/>
      <c r="I308" s="7" t="s">
        <v>95</v>
      </c>
      <c r="J308" s="8" t="str">
        <f>VLOOKUP(I308,Customers[#Data],2,FALSE)</f>
        <v>ကျော်စတား</v>
      </c>
      <c r="K308" s="15" t="str">
        <f>VLOOKUP(I308,Customers[#Data],4,FALSE)</f>
        <v>Yay</v>
      </c>
      <c r="L308" s="15" t="str">
        <f>VLOOKUP(I308,Customers[#Data],5,FALSE)</f>
        <v>WholeSales</v>
      </c>
      <c r="M308" s="7" t="s">
        <v>7</v>
      </c>
      <c r="N308" s="7" t="s">
        <v>514</v>
      </c>
      <c r="O308" s="14" t="str">
        <f>VLOOKUP(N308,Stock[#Data],2,FALSE)</f>
        <v>ဇေယျဝတီ Red</v>
      </c>
      <c r="P308" s="44">
        <f>VLOOKUP(N308,Stock[#Data],3,FALSE)</f>
        <v>0.64</v>
      </c>
      <c r="Q308" s="3">
        <f>VLOOKUP(N308,Stock[#Data],4,FALSE)</f>
        <v>14</v>
      </c>
      <c r="R308" s="11"/>
      <c r="S308" s="45">
        <f>IFERROR(Table4[[#This Row],[Bottle]]/Table4[[#This Row],[ပါဝင်မှု]]+Table4[[#This Row],[SalesPK]],0)</f>
        <v>100</v>
      </c>
      <c r="T308" s="12">
        <v>100</v>
      </c>
      <c r="U308" s="10">
        <f>Table4[[#This Row],[ပါဝင်မှု]]*Table4[[#This Row],[SalesPK]]+Table4[[#This Row],[Bottle]]</f>
        <v>1400</v>
      </c>
      <c r="V308" s="10">
        <f>Table4[[#This Row],[SalesBot]]*Table4[[#This Row],[ML]]</f>
        <v>896</v>
      </c>
      <c r="W308" s="1">
        <f>VLOOKUP(N308,Stock[#Data],6,FALSE)</f>
        <v>1350</v>
      </c>
      <c r="X308" s="8">
        <f>+Table4[[#This Row],[SalesBot]]*Table4[[#This Row],[နှုံး]]</f>
        <v>1890000</v>
      </c>
      <c r="Y308" s="12"/>
      <c r="Z308" s="12"/>
      <c r="AA308" s="12"/>
      <c r="AB308" s="9"/>
      <c r="AC308" s="12"/>
      <c r="AD308" s="9"/>
      <c r="AE308" s="12"/>
      <c r="AF30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308" s="24"/>
      <c r="AH308" s="266">
        <f>Table4[[#This Row],[Date]]</f>
        <v>46041</v>
      </c>
      <c r="AI308" s="264" t="str">
        <f t="shared" si="48"/>
        <v>Jan</v>
      </c>
      <c r="AJ308" s="264" t="str">
        <f t="shared" si="49"/>
        <v>2026</v>
      </c>
      <c r="AK308" s="270" t="str">
        <f>Table4[[#This Row],[ကုန်သည်အမည်]]</f>
        <v>ကျော်စတား</v>
      </c>
      <c r="AL308" s="270" t="str">
        <f>Table4[[#This Row],[Township]]</f>
        <v>Yay</v>
      </c>
      <c r="AM308" s="271" t="str">
        <f>Table4[[#This Row],[WholeSales]]</f>
        <v>WholeSales</v>
      </c>
      <c r="AN308" s="272" t="str">
        <f>Table4[[#This Row],[Particular]]</f>
        <v>ကုန်ရောင်း(အကြွေး)</v>
      </c>
      <c r="AO308" s="273" t="str">
        <f>Table4[[#This Row],[StockName]]</f>
        <v>ဇေယျဝတီ Red</v>
      </c>
      <c r="AP308" s="268">
        <f>Table4[[#This Row],[Parking]]</f>
        <v>100</v>
      </c>
      <c r="AQ308" s="268">
        <f>Table4[[#This Row],[SalesBot]]</f>
        <v>1400</v>
      </c>
      <c r="AR308" s="268">
        <f>Table4[[#This Row],[Liter]]</f>
        <v>896</v>
      </c>
    </row>
    <row r="309" spans="1:44" s="16" customFormat="1" hidden="1" x14ac:dyDescent="0.5">
      <c r="A309" s="3">
        <f t="shared" si="54"/>
        <v>2026</v>
      </c>
      <c r="B309" s="8">
        <f t="shared" si="55"/>
        <v>1</v>
      </c>
      <c r="C309" s="6">
        <v>46042</v>
      </c>
      <c r="D309" s="15">
        <f t="shared" ca="1" si="56"/>
        <v>46097</v>
      </c>
      <c r="E309" s="15" t="str">
        <f t="shared" ca="1" si="57"/>
        <v>1-Months</v>
      </c>
      <c r="F309" s="8" t="str">
        <f>VLOOKUP(N309,Stock[#Data],5,FALSE)</f>
        <v>BE</v>
      </c>
      <c r="G309" s="82" t="s">
        <v>1099</v>
      </c>
      <c r="H309" s="15"/>
      <c r="I309" s="7" t="s">
        <v>95</v>
      </c>
      <c r="J309" s="8" t="str">
        <f>VLOOKUP(I309,Customers[#Data],2,FALSE)</f>
        <v>ကျော်စတား</v>
      </c>
      <c r="K309" s="15" t="str">
        <f>VLOOKUP(I309,Customers[#Data],4,FALSE)</f>
        <v>Yay</v>
      </c>
      <c r="L309" s="15" t="str">
        <f>VLOOKUP(I309,Customers[#Data],5,FALSE)</f>
        <v>WholeSales</v>
      </c>
      <c r="M309" s="7" t="s">
        <v>7</v>
      </c>
      <c r="N309" s="7" t="s">
        <v>514</v>
      </c>
      <c r="O309" s="14" t="str">
        <f>VLOOKUP(N309,Stock[#Data],2,FALSE)</f>
        <v>ဇေယျဝတီ Red</v>
      </c>
      <c r="P309" s="44">
        <f>VLOOKUP(N309,Stock[#Data],3,FALSE)</f>
        <v>0.64</v>
      </c>
      <c r="Q309" s="3">
        <f>VLOOKUP(N309,Stock[#Data],4,FALSE)</f>
        <v>14</v>
      </c>
      <c r="R309" s="11"/>
      <c r="S309" s="45">
        <f>IFERROR(Table4[[#This Row],[Bottle]]/Table4[[#This Row],[ပါဝင်မှု]]+Table4[[#This Row],[SalesPK]],0)</f>
        <v>170</v>
      </c>
      <c r="T309" s="12">
        <v>170</v>
      </c>
      <c r="U309" s="10">
        <f>Table4[[#This Row],[ပါဝင်မှု]]*Table4[[#This Row],[SalesPK]]+Table4[[#This Row],[Bottle]]</f>
        <v>2380</v>
      </c>
      <c r="V309" s="10">
        <f>Table4[[#This Row],[SalesBot]]*Table4[[#This Row],[ML]]</f>
        <v>1523.2</v>
      </c>
      <c r="W309" s="1">
        <f>VLOOKUP(N309,Stock[#Data],6,FALSE)</f>
        <v>1350</v>
      </c>
      <c r="X309" s="8">
        <f>+Table4[[#This Row],[SalesBot]]*Table4[[#This Row],[နှုံး]]</f>
        <v>3213000</v>
      </c>
      <c r="Y309" s="12"/>
      <c r="Z309" s="12"/>
      <c r="AA309" s="12"/>
      <c r="AB309" s="9"/>
      <c r="AC309" s="12"/>
      <c r="AD309" s="9"/>
      <c r="AE309" s="12"/>
      <c r="AF30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3213000</v>
      </c>
      <c r="AG309" s="24"/>
      <c r="AH309" s="266">
        <f>Table4[[#This Row],[Date]]</f>
        <v>46042</v>
      </c>
      <c r="AI309" s="264" t="str">
        <f t="shared" si="48"/>
        <v>Jan</v>
      </c>
      <c r="AJ309" s="264" t="str">
        <f t="shared" si="49"/>
        <v>2026</v>
      </c>
      <c r="AK309" s="270" t="str">
        <f>Table4[[#This Row],[ကုန်သည်အမည်]]</f>
        <v>ကျော်စတား</v>
      </c>
      <c r="AL309" s="270" t="str">
        <f>Table4[[#This Row],[Township]]</f>
        <v>Yay</v>
      </c>
      <c r="AM309" s="271" t="str">
        <f>Table4[[#This Row],[WholeSales]]</f>
        <v>WholeSales</v>
      </c>
      <c r="AN309" s="272" t="str">
        <f>Table4[[#This Row],[Particular]]</f>
        <v>ကုန်ရောင်း(အကြွေး)</v>
      </c>
      <c r="AO309" s="273" t="str">
        <f>Table4[[#This Row],[StockName]]</f>
        <v>ဇေယျဝတီ Red</v>
      </c>
      <c r="AP309" s="268">
        <f>Table4[[#This Row],[Parking]]</f>
        <v>170</v>
      </c>
      <c r="AQ309" s="268">
        <f>Table4[[#This Row],[SalesBot]]</f>
        <v>2380</v>
      </c>
      <c r="AR309" s="268">
        <f>Table4[[#This Row],[Liter]]</f>
        <v>1523.2</v>
      </c>
    </row>
    <row r="310" spans="1:44" s="16" customFormat="1" hidden="1" x14ac:dyDescent="0.5">
      <c r="A310" s="3">
        <f t="shared" si="54"/>
        <v>2026</v>
      </c>
      <c r="B310" s="8">
        <f t="shared" si="55"/>
        <v>1</v>
      </c>
      <c r="C310" s="6">
        <v>46042</v>
      </c>
      <c r="D310" s="15">
        <f t="shared" ca="1" si="56"/>
        <v>46097</v>
      </c>
      <c r="E310" s="15" t="str">
        <f t="shared" ca="1" si="57"/>
        <v>1-Months</v>
      </c>
      <c r="F310" s="8" t="str">
        <f>VLOOKUP(N310,Stock[#Data],5,FALSE)</f>
        <v>BE</v>
      </c>
      <c r="G310" s="82" t="s">
        <v>1099</v>
      </c>
      <c r="H310" s="15"/>
      <c r="I310" s="7" t="s">
        <v>95</v>
      </c>
      <c r="J310" s="8" t="str">
        <f>VLOOKUP(I310,Customers[#Data],2,FALSE)</f>
        <v>ကျော်စတား</v>
      </c>
      <c r="K310" s="15" t="str">
        <f>VLOOKUP(I310,Customers[#Data],4,FALSE)</f>
        <v>Yay</v>
      </c>
      <c r="L310" s="15" t="str">
        <f>VLOOKUP(I310,Customers[#Data],5,FALSE)</f>
        <v>WholeSales</v>
      </c>
      <c r="M310" s="7" t="s">
        <v>7</v>
      </c>
      <c r="N310" s="7" t="s">
        <v>517</v>
      </c>
      <c r="O310" s="14" t="str">
        <f>VLOOKUP(N310,Stock[#Data],2,FALSE)</f>
        <v>ဇေယျဝတီ Red (1 Liter) 30%</v>
      </c>
      <c r="P310" s="44">
        <f>VLOOKUP(N310,Stock[#Data],3,FALSE)</f>
        <v>1</v>
      </c>
      <c r="Q310" s="3">
        <f>VLOOKUP(N310,Stock[#Data],4,FALSE)</f>
        <v>12</v>
      </c>
      <c r="R310" s="11"/>
      <c r="S310" s="45">
        <f>IFERROR(Table4[[#This Row],[Bottle]]/Table4[[#This Row],[ပါဝင်မှု]]+Table4[[#This Row],[SalesPK]],0)</f>
        <v>100</v>
      </c>
      <c r="T310" s="12">
        <v>100</v>
      </c>
      <c r="U310" s="10">
        <f>Table4[[#This Row],[ပါဝင်မှု]]*Table4[[#This Row],[SalesPK]]+Table4[[#This Row],[Bottle]]</f>
        <v>1200</v>
      </c>
      <c r="V310" s="10">
        <f>Table4[[#This Row],[SalesBot]]*Table4[[#This Row],[ML]]</f>
        <v>1200</v>
      </c>
      <c r="W310" s="1">
        <f>VLOOKUP(N310,Stock[#Data],6,FALSE)</f>
        <v>1710</v>
      </c>
      <c r="X310" s="8">
        <f>+Table4[[#This Row],[SalesBot]]*Table4[[#This Row],[နှုံး]]</f>
        <v>2052000</v>
      </c>
      <c r="Y310" s="12"/>
      <c r="Z310" s="12"/>
      <c r="AA310" s="12"/>
      <c r="AB310" s="9"/>
      <c r="AC310" s="12"/>
      <c r="AD310" s="9"/>
      <c r="AE310" s="12"/>
      <c r="AF31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310" s="24"/>
      <c r="AH310" s="266">
        <f>Table4[[#This Row],[Date]]</f>
        <v>46042</v>
      </c>
      <c r="AI310" s="264" t="str">
        <f t="shared" si="48"/>
        <v>Jan</v>
      </c>
      <c r="AJ310" s="264" t="str">
        <f t="shared" si="49"/>
        <v>2026</v>
      </c>
      <c r="AK310" s="270" t="str">
        <f>Table4[[#This Row],[ကုန်သည်အမည်]]</f>
        <v>ကျော်စတား</v>
      </c>
      <c r="AL310" s="270" t="str">
        <f>Table4[[#This Row],[Township]]</f>
        <v>Yay</v>
      </c>
      <c r="AM310" s="271" t="str">
        <f>Table4[[#This Row],[WholeSales]]</f>
        <v>WholeSales</v>
      </c>
      <c r="AN310" s="272" t="str">
        <f>Table4[[#This Row],[Particular]]</f>
        <v>ကုန်ရောင်း(အကြွေး)</v>
      </c>
      <c r="AO310" s="273" t="str">
        <f>Table4[[#This Row],[StockName]]</f>
        <v>ဇေယျဝတီ Red (1 Liter) 30%</v>
      </c>
      <c r="AP310" s="268">
        <f>Table4[[#This Row],[Parking]]</f>
        <v>100</v>
      </c>
      <c r="AQ310" s="268">
        <f>Table4[[#This Row],[SalesBot]]</f>
        <v>1200</v>
      </c>
      <c r="AR310" s="268">
        <f>Table4[[#This Row],[Liter]]</f>
        <v>1200</v>
      </c>
    </row>
    <row r="311" spans="1:44" s="16" customFormat="1" hidden="1" x14ac:dyDescent="0.5">
      <c r="A311" s="3">
        <f t="shared" si="54"/>
        <v>2026</v>
      </c>
      <c r="B311" s="8">
        <f t="shared" si="55"/>
        <v>1</v>
      </c>
      <c r="C311" s="6">
        <v>46042</v>
      </c>
      <c r="D311" s="15">
        <f t="shared" ca="1" si="56"/>
        <v>46097</v>
      </c>
      <c r="E311" s="15" t="str">
        <f t="shared" ca="1" si="57"/>
        <v>1-Months</v>
      </c>
      <c r="F311" s="8" t="str">
        <f>VLOOKUP(N311,Stock[#Data],5,FALSE)</f>
        <v>BE</v>
      </c>
      <c r="G311" s="82" t="s">
        <v>1100</v>
      </c>
      <c r="H311" s="15"/>
      <c r="I311" s="7" t="s">
        <v>82</v>
      </c>
      <c r="J311" s="8" t="str">
        <f>VLOOKUP(I311,Customers[#Data],2,FALSE)</f>
        <v>ဒေါ်ထွန်းမေ</v>
      </c>
      <c r="K311" s="15" t="str">
        <f>VLOOKUP(I311,Customers[#Data],4,FALSE)</f>
        <v>Maw La Myaing</v>
      </c>
      <c r="L311" s="15" t="str">
        <f>VLOOKUP(I311,Customers[#Data],5,FALSE)</f>
        <v>WholeSales</v>
      </c>
      <c r="M311" s="7" t="s">
        <v>7</v>
      </c>
      <c r="N311" s="7" t="s">
        <v>521</v>
      </c>
      <c r="O311" s="14" t="str">
        <f>VLOOKUP(N311,Stock[#Data],2,FALSE)</f>
        <v>ဒဂုံအရက်သန့်</v>
      </c>
      <c r="P311" s="44">
        <f>VLOOKUP(N311,Stock[#Data],3,FALSE)</f>
        <v>0.64</v>
      </c>
      <c r="Q311" s="3">
        <f>VLOOKUP(N311,Stock[#Data],4,FALSE)</f>
        <v>24</v>
      </c>
      <c r="R311" s="11"/>
      <c r="S311" s="45">
        <f>IFERROR(Table4[[#This Row],[Bottle]]/Table4[[#This Row],[ပါဝင်မှု]]+Table4[[#This Row],[SalesPK]],0)</f>
        <v>60</v>
      </c>
      <c r="T311" s="12">
        <v>60</v>
      </c>
      <c r="U311" s="10">
        <f>Table4[[#This Row],[ပါဝင်မှု]]*Table4[[#This Row],[SalesPK]]+Table4[[#This Row],[Bottle]]</f>
        <v>1440</v>
      </c>
      <c r="V311" s="10">
        <f>Table4[[#This Row],[SalesBot]]*Table4[[#This Row],[ML]]</f>
        <v>921.6</v>
      </c>
      <c r="W311" s="1">
        <f>VLOOKUP(N311,Stock[#Data],6,FALSE)</f>
        <v>1350</v>
      </c>
      <c r="X311" s="8">
        <f>+Table4[[#This Row],[SalesBot]]*Table4[[#This Row],[နှုံး]]</f>
        <v>1944000</v>
      </c>
      <c r="Y311" s="12"/>
      <c r="Z311" s="12"/>
      <c r="AA311" s="12"/>
      <c r="AB311" s="9">
        <v>46058</v>
      </c>
      <c r="AC311" s="12">
        <v>1944000</v>
      </c>
      <c r="AD311" s="9"/>
      <c r="AE311" s="12"/>
      <c r="AF31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11" s="24"/>
      <c r="AH311" s="266">
        <f>Table4[[#This Row],[Date]]</f>
        <v>46042</v>
      </c>
      <c r="AI311" s="264" t="str">
        <f t="shared" si="48"/>
        <v>Jan</v>
      </c>
      <c r="AJ311" s="264" t="str">
        <f t="shared" si="49"/>
        <v>2026</v>
      </c>
      <c r="AK311" s="270" t="str">
        <f>Table4[[#This Row],[ကုန်သည်အမည်]]</f>
        <v>ဒေါ်ထွန်းမေ</v>
      </c>
      <c r="AL311" s="270" t="str">
        <f>Table4[[#This Row],[Township]]</f>
        <v>Maw La Myaing</v>
      </c>
      <c r="AM311" s="271" t="str">
        <f>Table4[[#This Row],[WholeSales]]</f>
        <v>WholeSales</v>
      </c>
      <c r="AN311" s="272" t="str">
        <f>Table4[[#This Row],[Particular]]</f>
        <v>ကုန်ရောင်း(အကြွေး)</v>
      </c>
      <c r="AO311" s="273" t="str">
        <f>Table4[[#This Row],[StockName]]</f>
        <v>ဒဂုံအရက်သန့်</v>
      </c>
      <c r="AP311" s="268">
        <f>Table4[[#This Row],[Parking]]</f>
        <v>60</v>
      </c>
      <c r="AQ311" s="268">
        <f>Table4[[#This Row],[SalesBot]]</f>
        <v>1440</v>
      </c>
      <c r="AR311" s="268">
        <f>Table4[[#This Row],[Liter]]</f>
        <v>921.6</v>
      </c>
    </row>
    <row r="312" spans="1:44" s="16" customFormat="1" hidden="1" x14ac:dyDescent="0.5">
      <c r="A312" s="3">
        <f t="shared" si="54"/>
        <v>2026</v>
      </c>
      <c r="B312" s="8">
        <f t="shared" si="55"/>
        <v>1</v>
      </c>
      <c r="C312" s="6">
        <v>46042</v>
      </c>
      <c r="D312" s="15">
        <f t="shared" ca="1" si="56"/>
        <v>46097</v>
      </c>
      <c r="E312" s="15" t="str">
        <f t="shared" ca="1" si="57"/>
        <v>1-Months</v>
      </c>
      <c r="F312" s="8" t="str">
        <f>VLOOKUP(N312,Stock[#Data],5,FALSE)</f>
        <v>BE</v>
      </c>
      <c r="G312" s="82" t="s">
        <v>1101</v>
      </c>
      <c r="H312" s="15"/>
      <c r="I312" s="7" t="s">
        <v>108</v>
      </c>
      <c r="J312" s="8" t="str">
        <f>VLOOKUP(I312,Customers[#Data],2,FALSE)</f>
        <v>ကိုညီညီဆွေ</v>
      </c>
      <c r="K312" s="15" t="str">
        <f>VLOOKUP(I312,Customers[#Data],4,FALSE)</f>
        <v>Maw La Myaing</v>
      </c>
      <c r="L312" s="15" t="str">
        <f>VLOOKUP(I312,Customers[#Data],5,FALSE)</f>
        <v>WholeSales</v>
      </c>
      <c r="M312" s="7" t="s">
        <v>6</v>
      </c>
      <c r="N312" s="7" t="s">
        <v>516</v>
      </c>
      <c r="O312" s="14" t="str">
        <f>VLOOKUP(N312,Stock[#Data],2,FALSE)</f>
        <v>ဇေ Vodka</v>
      </c>
      <c r="P312" s="44">
        <f>VLOOKUP(N312,Stock[#Data],3,FALSE)</f>
        <v>0.64</v>
      </c>
      <c r="Q312" s="3">
        <f>VLOOKUP(N312,Stock[#Data],4,FALSE)</f>
        <v>14</v>
      </c>
      <c r="R312" s="11"/>
      <c r="S312" s="45">
        <f>IFERROR(Table4[[#This Row],[Bottle]]/Table4[[#This Row],[ပါဝင်မှု]]+Table4[[#This Row],[SalesPK]],0)</f>
        <v>50</v>
      </c>
      <c r="T312" s="12">
        <v>50</v>
      </c>
      <c r="U312" s="10">
        <f>Table4[[#This Row],[ပါဝင်မှု]]*Table4[[#This Row],[SalesPK]]+Table4[[#This Row],[Bottle]]</f>
        <v>700</v>
      </c>
      <c r="V312" s="10">
        <f>Table4[[#This Row],[SalesBot]]*Table4[[#This Row],[ML]]</f>
        <v>448</v>
      </c>
      <c r="W312" s="1">
        <f>VLOOKUP(N312,Stock[#Data],6,FALSE)</f>
        <v>1400</v>
      </c>
      <c r="X312" s="8">
        <f>+Table4[[#This Row],[SalesBot]]*Table4[[#This Row],[နှုံး]]</f>
        <v>980000</v>
      </c>
      <c r="Y312" s="12"/>
      <c r="Z312" s="12"/>
      <c r="AA312" s="12"/>
      <c r="AB312" s="9"/>
      <c r="AC312" s="12">
        <v>980000</v>
      </c>
      <c r="AD312" s="9"/>
      <c r="AE312" s="12"/>
      <c r="AF31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12" s="24"/>
      <c r="AH312" s="266">
        <f>Table4[[#This Row],[Date]]</f>
        <v>46042</v>
      </c>
      <c r="AI312" s="264" t="str">
        <f t="shared" si="48"/>
        <v>Jan</v>
      </c>
      <c r="AJ312" s="264" t="str">
        <f t="shared" si="49"/>
        <v>2026</v>
      </c>
      <c r="AK312" s="270" t="str">
        <f>Table4[[#This Row],[ကုန်သည်အမည်]]</f>
        <v>ကိုညီညီဆွေ</v>
      </c>
      <c r="AL312" s="270" t="str">
        <f>Table4[[#This Row],[Township]]</f>
        <v>Maw La Myaing</v>
      </c>
      <c r="AM312" s="271" t="str">
        <f>Table4[[#This Row],[WholeSales]]</f>
        <v>WholeSales</v>
      </c>
      <c r="AN312" s="272" t="str">
        <f>Table4[[#This Row],[Particular]]</f>
        <v>ကုန်ရောင်း(လက်ငင်း)</v>
      </c>
      <c r="AO312" s="273" t="str">
        <f>Table4[[#This Row],[StockName]]</f>
        <v>ဇေ Vodka</v>
      </c>
      <c r="AP312" s="268">
        <f>Table4[[#This Row],[Parking]]</f>
        <v>50</v>
      </c>
      <c r="AQ312" s="268">
        <f>Table4[[#This Row],[SalesBot]]</f>
        <v>700</v>
      </c>
      <c r="AR312" s="268">
        <f>Table4[[#This Row],[Liter]]</f>
        <v>448</v>
      </c>
    </row>
    <row r="313" spans="1:44" s="16" customFormat="1" hidden="1" x14ac:dyDescent="0.5">
      <c r="A313" s="3">
        <f t="shared" si="54"/>
        <v>2026</v>
      </c>
      <c r="B313" s="8">
        <f t="shared" si="55"/>
        <v>1</v>
      </c>
      <c r="C313" s="6">
        <v>46042</v>
      </c>
      <c r="D313" s="15">
        <f t="shared" ca="1" si="56"/>
        <v>46097</v>
      </c>
      <c r="E313" s="15" t="str">
        <f t="shared" ca="1" si="57"/>
        <v>1-Months</v>
      </c>
      <c r="F313" s="8" t="str">
        <f>VLOOKUP(N313,Stock[#Data],5,FALSE)</f>
        <v>BE</v>
      </c>
      <c r="G313" s="82" t="s">
        <v>1101</v>
      </c>
      <c r="H313" s="15"/>
      <c r="I313" s="7" t="s">
        <v>108</v>
      </c>
      <c r="J313" s="8" t="str">
        <f>VLOOKUP(I313,Customers[#Data],2,FALSE)</f>
        <v>ကိုညီညီဆွေ</v>
      </c>
      <c r="K313" s="15" t="str">
        <f>VLOOKUP(I313,Customers[#Data],4,FALSE)</f>
        <v>Maw La Myaing</v>
      </c>
      <c r="L313" s="15" t="str">
        <f>VLOOKUP(I313,Customers[#Data],5,FALSE)</f>
        <v>WholeSales</v>
      </c>
      <c r="M313" s="7" t="s">
        <v>6</v>
      </c>
      <c r="N313" s="7" t="s">
        <v>517</v>
      </c>
      <c r="O313" s="14" t="str">
        <f>VLOOKUP(N313,Stock[#Data],2,FALSE)</f>
        <v>ဇေယျဝတီ Red (1 Liter) 30%</v>
      </c>
      <c r="P313" s="44">
        <f>VLOOKUP(N313,Stock[#Data],3,FALSE)</f>
        <v>1</v>
      </c>
      <c r="Q313" s="3">
        <f>VLOOKUP(N313,Stock[#Data],4,FALSE)</f>
        <v>12</v>
      </c>
      <c r="R313" s="11"/>
      <c r="S313" s="45">
        <f>IFERROR(Table4[[#This Row],[Bottle]]/Table4[[#This Row],[ပါဝင်မှု]]+Table4[[#This Row],[SalesPK]],0)</f>
        <v>50</v>
      </c>
      <c r="T313" s="12">
        <v>50</v>
      </c>
      <c r="U313" s="10">
        <f>Table4[[#This Row],[ပါဝင်မှု]]*Table4[[#This Row],[SalesPK]]+Table4[[#This Row],[Bottle]]</f>
        <v>600</v>
      </c>
      <c r="V313" s="10">
        <f>Table4[[#This Row],[SalesBot]]*Table4[[#This Row],[ML]]</f>
        <v>600</v>
      </c>
      <c r="W313" s="1">
        <f>VLOOKUP(N313,Stock[#Data],6,FALSE)</f>
        <v>1710</v>
      </c>
      <c r="X313" s="8">
        <f>+Table4[[#This Row],[SalesBot]]*Table4[[#This Row],[နှုံး]]</f>
        <v>1026000</v>
      </c>
      <c r="Y313" s="12"/>
      <c r="Z313" s="12"/>
      <c r="AA313" s="12"/>
      <c r="AB313" s="9"/>
      <c r="AC313" s="12">
        <v>1026000</v>
      </c>
      <c r="AD313" s="9"/>
      <c r="AE313" s="12"/>
      <c r="AF31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13" s="24"/>
      <c r="AH313" s="266">
        <f>Table4[[#This Row],[Date]]</f>
        <v>46042</v>
      </c>
      <c r="AI313" s="264" t="str">
        <f t="shared" si="48"/>
        <v>Jan</v>
      </c>
      <c r="AJ313" s="264" t="str">
        <f t="shared" si="49"/>
        <v>2026</v>
      </c>
      <c r="AK313" s="270" t="str">
        <f>Table4[[#This Row],[ကုန်သည်အမည်]]</f>
        <v>ကိုညီညီဆွေ</v>
      </c>
      <c r="AL313" s="270" t="str">
        <f>Table4[[#This Row],[Township]]</f>
        <v>Maw La Myaing</v>
      </c>
      <c r="AM313" s="271" t="str">
        <f>Table4[[#This Row],[WholeSales]]</f>
        <v>WholeSales</v>
      </c>
      <c r="AN313" s="272" t="str">
        <f>Table4[[#This Row],[Particular]]</f>
        <v>ကုန်ရောင်း(လက်ငင်း)</v>
      </c>
      <c r="AO313" s="273" t="str">
        <f>Table4[[#This Row],[StockName]]</f>
        <v>ဇေယျဝတီ Red (1 Liter) 30%</v>
      </c>
      <c r="AP313" s="268">
        <f>Table4[[#This Row],[Parking]]</f>
        <v>50</v>
      </c>
      <c r="AQ313" s="268">
        <f>Table4[[#This Row],[SalesBot]]</f>
        <v>600</v>
      </c>
      <c r="AR313" s="268">
        <f>Table4[[#This Row],[Liter]]</f>
        <v>600</v>
      </c>
    </row>
    <row r="314" spans="1:44" s="16" customFormat="1" hidden="1" x14ac:dyDescent="0.5">
      <c r="A314" s="3">
        <f t="shared" si="54"/>
        <v>2026</v>
      </c>
      <c r="B314" s="8">
        <f t="shared" si="55"/>
        <v>1</v>
      </c>
      <c r="C314" s="6">
        <v>46042</v>
      </c>
      <c r="D314" s="15">
        <f t="shared" ca="1" si="56"/>
        <v>46097</v>
      </c>
      <c r="E314" s="15" t="str">
        <f t="shared" ca="1" si="57"/>
        <v>1-Months</v>
      </c>
      <c r="F314" s="8" t="str">
        <f>VLOOKUP(N314,Stock[#Data],5,FALSE)</f>
        <v>BE</v>
      </c>
      <c r="G314" s="82" t="s">
        <v>1101</v>
      </c>
      <c r="H314" s="15"/>
      <c r="I314" s="7" t="s">
        <v>108</v>
      </c>
      <c r="J314" s="8" t="str">
        <f>VLOOKUP(I314,Customers[#Data],2,FALSE)</f>
        <v>ကိုညီညီဆွေ</v>
      </c>
      <c r="K314" s="15" t="str">
        <f>VLOOKUP(I314,Customers[#Data],4,FALSE)</f>
        <v>Maw La Myaing</v>
      </c>
      <c r="L314" s="15" t="str">
        <f>VLOOKUP(I314,Customers[#Data],5,FALSE)</f>
        <v>WholeSales</v>
      </c>
      <c r="M314" s="7" t="s">
        <v>6</v>
      </c>
      <c r="N314" s="7" t="s">
        <v>518</v>
      </c>
      <c r="O314" s="14" t="str">
        <f>VLOOKUP(N314,Stock[#Data],2,FALSE)</f>
        <v>"ဇေ" ကော်ဘူး (1 Liter)</v>
      </c>
      <c r="P314" s="44">
        <f>VLOOKUP(N314,Stock[#Data],3,FALSE)</f>
        <v>1</v>
      </c>
      <c r="Q314" s="3">
        <f>VLOOKUP(N314,Stock[#Data],4,FALSE)</f>
        <v>12</v>
      </c>
      <c r="R314" s="11"/>
      <c r="S314" s="45">
        <f>IFERROR(Table4[[#This Row],[Bottle]]/Table4[[#This Row],[ပါဝင်မှု]]+Table4[[#This Row],[SalesPK]],0)</f>
        <v>50</v>
      </c>
      <c r="T314" s="12">
        <v>50</v>
      </c>
      <c r="U314" s="10">
        <f>Table4[[#This Row],[ပါဝင်မှု]]*Table4[[#This Row],[SalesPK]]+Table4[[#This Row],[Bottle]]</f>
        <v>600</v>
      </c>
      <c r="V314" s="10">
        <f>Table4[[#This Row],[SalesBot]]*Table4[[#This Row],[ML]]</f>
        <v>600</v>
      </c>
      <c r="W314" s="1">
        <f>VLOOKUP(N314,Stock[#Data],6,FALSE)</f>
        <v>1675</v>
      </c>
      <c r="X314" s="8">
        <f>+Table4[[#This Row],[SalesBot]]*Table4[[#This Row],[နှုံး]]</f>
        <v>1005000</v>
      </c>
      <c r="Y314" s="12"/>
      <c r="Z314" s="12"/>
      <c r="AA314" s="12"/>
      <c r="AB314" s="9"/>
      <c r="AC314" s="12">
        <v>1005000</v>
      </c>
      <c r="AD314" s="9"/>
      <c r="AE314" s="12"/>
      <c r="AF31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14" s="24"/>
      <c r="AH314" s="266">
        <f>Table4[[#This Row],[Date]]</f>
        <v>46042</v>
      </c>
      <c r="AI314" s="264" t="str">
        <f t="shared" si="48"/>
        <v>Jan</v>
      </c>
      <c r="AJ314" s="264" t="str">
        <f t="shared" si="49"/>
        <v>2026</v>
      </c>
      <c r="AK314" s="270" t="str">
        <f>Table4[[#This Row],[ကုန်သည်အမည်]]</f>
        <v>ကိုညီညီဆွေ</v>
      </c>
      <c r="AL314" s="270" t="str">
        <f>Table4[[#This Row],[Township]]</f>
        <v>Maw La Myaing</v>
      </c>
      <c r="AM314" s="271" t="str">
        <f>Table4[[#This Row],[WholeSales]]</f>
        <v>WholeSales</v>
      </c>
      <c r="AN314" s="272" t="str">
        <f>Table4[[#This Row],[Particular]]</f>
        <v>ကုန်ရောင်း(လက်ငင်း)</v>
      </c>
      <c r="AO314" s="273" t="str">
        <f>Table4[[#This Row],[StockName]]</f>
        <v>"ဇေ" ကော်ဘူး (1 Liter)</v>
      </c>
      <c r="AP314" s="268">
        <f>Table4[[#This Row],[Parking]]</f>
        <v>50</v>
      </c>
      <c r="AQ314" s="268">
        <f>Table4[[#This Row],[SalesBot]]</f>
        <v>600</v>
      </c>
      <c r="AR314" s="268">
        <f>Table4[[#This Row],[Liter]]</f>
        <v>600</v>
      </c>
    </row>
    <row r="315" spans="1:44" s="16" customFormat="1" hidden="1" x14ac:dyDescent="0.5">
      <c r="A315" s="3">
        <f t="shared" si="54"/>
        <v>2026</v>
      </c>
      <c r="B315" s="8">
        <f t="shared" si="55"/>
        <v>1</v>
      </c>
      <c r="C315" s="6">
        <v>46042</v>
      </c>
      <c r="D315" s="15">
        <f t="shared" ca="1" si="56"/>
        <v>46097</v>
      </c>
      <c r="E315" s="15" t="str">
        <f t="shared" ca="1" si="57"/>
        <v>1-Months</v>
      </c>
      <c r="F315" s="8" t="str">
        <f>VLOOKUP(N315,Stock[#Data],5,FALSE)</f>
        <v>BE</v>
      </c>
      <c r="G315" s="82" t="s">
        <v>1102</v>
      </c>
      <c r="H315" s="15"/>
      <c r="I315" s="7" t="s">
        <v>550</v>
      </c>
      <c r="J315" s="8" t="str">
        <f>VLOOKUP(I315,Customers[#Data],2,FALSE)</f>
        <v>ဆေးသစ္စာ</v>
      </c>
      <c r="K315" s="15" t="str">
        <f>VLOOKUP(I315,Customers[#Data],4,FALSE)</f>
        <v>Maw La Myaing</v>
      </c>
      <c r="L315" s="15" t="str">
        <f>VLOOKUP(I315,Customers[#Data],5,FALSE)</f>
        <v>Mini Whole Sales</v>
      </c>
      <c r="M315" s="7" t="s">
        <v>6</v>
      </c>
      <c r="N315" s="7" t="s">
        <v>516</v>
      </c>
      <c r="O315" s="14" t="str">
        <f>VLOOKUP(N315,Stock[#Data],2,FALSE)</f>
        <v>ဇေ Vodka</v>
      </c>
      <c r="P315" s="44">
        <f>VLOOKUP(N315,Stock[#Data],3,FALSE)</f>
        <v>0.64</v>
      </c>
      <c r="Q315" s="3">
        <f>VLOOKUP(N315,Stock[#Data],4,FALSE)</f>
        <v>14</v>
      </c>
      <c r="R315" s="11"/>
      <c r="S315" s="45">
        <f>IFERROR(Table4[[#This Row],[Bottle]]/Table4[[#This Row],[ပါဝင်မှု]]+Table4[[#This Row],[SalesPK]],0)</f>
        <v>50</v>
      </c>
      <c r="T315" s="12">
        <v>50</v>
      </c>
      <c r="U315" s="10">
        <f>Table4[[#This Row],[ပါဝင်မှု]]*Table4[[#This Row],[SalesPK]]+Table4[[#This Row],[Bottle]]</f>
        <v>700</v>
      </c>
      <c r="V315" s="10">
        <f>Table4[[#This Row],[SalesBot]]*Table4[[#This Row],[ML]]</f>
        <v>448</v>
      </c>
      <c r="W315" s="1">
        <f>VLOOKUP(N315,Stock[#Data],6,FALSE)</f>
        <v>1400</v>
      </c>
      <c r="X315" s="8">
        <f>+Table4[[#This Row],[SalesBot]]*Table4[[#This Row],[နှုံး]]</f>
        <v>980000</v>
      </c>
      <c r="Y315" s="12"/>
      <c r="Z315" s="12"/>
      <c r="AA315" s="12"/>
      <c r="AB315" s="9"/>
      <c r="AC315" s="12">
        <v>980000</v>
      </c>
      <c r="AD315" s="9"/>
      <c r="AE315" s="12"/>
      <c r="AF31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15" s="24"/>
      <c r="AH315" s="266">
        <f>Table4[[#This Row],[Date]]</f>
        <v>46042</v>
      </c>
      <c r="AI315" s="264" t="str">
        <f t="shared" si="48"/>
        <v>Jan</v>
      </c>
      <c r="AJ315" s="264" t="str">
        <f t="shared" si="49"/>
        <v>2026</v>
      </c>
      <c r="AK315" s="270" t="str">
        <f>Table4[[#This Row],[ကုန်သည်အမည်]]</f>
        <v>ဆေးသစ္စာ</v>
      </c>
      <c r="AL315" s="270" t="str">
        <f>Table4[[#This Row],[Township]]</f>
        <v>Maw La Myaing</v>
      </c>
      <c r="AM315" s="271" t="str">
        <f>Table4[[#This Row],[WholeSales]]</f>
        <v>Mini Whole Sales</v>
      </c>
      <c r="AN315" s="272" t="str">
        <f>Table4[[#This Row],[Particular]]</f>
        <v>ကုန်ရောင်း(လက်ငင်း)</v>
      </c>
      <c r="AO315" s="273" t="str">
        <f>Table4[[#This Row],[StockName]]</f>
        <v>ဇေ Vodka</v>
      </c>
      <c r="AP315" s="268">
        <f>Table4[[#This Row],[Parking]]</f>
        <v>50</v>
      </c>
      <c r="AQ315" s="268">
        <f>Table4[[#This Row],[SalesBot]]</f>
        <v>700</v>
      </c>
      <c r="AR315" s="268">
        <f>Table4[[#This Row],[Liter]]</f>
        <v>448</v>
      </c>
    </row>
    <row r="316" spans="1:44" s="16" customFormat="1" hidden="1" x14ac:dyDescent="0.5">
      <c r="A316" s="3">
        <f t="shared" si="54"/>
        <v>2026</v>
      </c>
      <c r="B316" s="8">
        <f t="shared" si="55"/>
        <v>1</v>
      </c>
      <c r="C316" s="6">
        <v>46042</v>
      </c>
      <c r="D316" s="15">
        <f t="shared" ca="1" si="56"/>
        <v>46097</v>
      </c>
      <c r="E316" s="15" t="str">
        <f t="shared" ca="1" si="57"/>
        <v>1-Months</v>
      </c>
      <c r="F316" s="8" t="str">
        <f>VLOOKUP(N316,Stock[#Data],5,FALSE)</f>
        <v>BE</v>
      </c>
      <c r="G316" s="82" t="s">
        <v>1103</v>
      </c>
      <c r="H316" s="15"/>
      <c r="I316" s="7" t="s">
        <v>82</v>
      </c>
      <c r="J316" s="8" t="str">
        <f>VLOOKUP(I316,Customers[#Data],2,FALSE)</f>
        <v>ဒေါ်ထွန်းမေ</v>
      </c>
      <c r="K316" s="15" t="str">
        <f>VLOOKUP(I316,Customers[#Data],4,FALSE)</f>
        <v>Maw La Myaing</v>
      </c>
      <c r="L316" s="15" t="str">
        <f>VLOOKUP(I316,Customers[#Data],5,FALSE)</f>
        <v>WholeSales</v>
      </c>
      <c r="M316" s="7" t="s">
        <v>6</v>
      </c>
      <c r="N316" s="7" t="s">
        <v>514</v>
      </c>
      <c r="O316" s="14" t="str">
        <f>VLOOKUP(N316,Stock[#Data],2,FALSE)</f>
        <v>ဇေယျဝတီ Red</v>
      </c>
      <c r="P316" s="44">
        <f>VLOOKUP(N316,Stock[#Data],3,FALSE)</f>
        <v>0.64</v>
      </c>
      <c r="Q316" s="3">
        <f>VLOOKUP(N316,Stock[#Data],4,FALSE)</f>
        <v>14</v>
      </c>
      <c r="R316" s="11"/>
      <c r="S316" s="45">
        <f>IFERROR(Table4[[#This Row],[Bottle]]/Table4[[#This Row],[ပါဝင်မှု]]+Table4[[#This Row],[SalesPK]],0)</f>
        <v>25</v>
      </c>
      <c r="T316" s="12">
        <v>25</v>
      </c>
      <c r="U316" s="10">
        <f>Table4[[#This Row],[ပါဝင်မှု]]*Table4[[#This Row],[SalesPK]]+Table4[[#This Row],[Bottle]]</f>
        <v>350</v>
      </c>
      <c r="V316" s="10">
        <f>Table4[[#This Row],[SalesBot]]*Table4[[#This Row],[ML]]</f>
        <v>224</v>
      </c>
      <c r="W316" s="1">
        <f>VLOOKUP(N316,Stock[#Data],6,FALSE)</f>
        <v>1350</v>
      </c>
      <c r="X316" s="8">
        <f>+Table4[[#This Row],[SalesBot]]*Table4[[#This Row],[နှုံး]]</f>
        <v>472500</v>
      </c>
      <c r="Y316" s="12"/>
      <c r="Z316" s="12"/>
      <c r="AA316" s="12"/>
      <c r="AB316" s="9"/>
      <c r="AC316" s="12">
        <v>472500</v>
      </c>
      <c r="AD316" s="9"/>
      <c r="AE316" s="12"/>
      <c r="AF31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16" s="24"/>
      <c r="AH316" s="266">
        <f>Table4[[#This Row],[Date]]</f>
        <v>46042</v>
      </c>
      <c r="AI316" s="264" t="str">
        <f t="shared" si="48"/>
        <v>Jan</v>
      </c>
      <c r="AJ316" s="264" t="str">
        <f t="shared" si="49"/>
        <v>2026</v>
      </c>
      <c r="AK316" s="270" t="str">
        <f>Table4[[#This Row],[ကုန်သည်အမည်]]</f>
        <v>ဒေါ်ထွန်းမေ</v>
      </c>
      <c r="AL316" s="270" t="str">
        <f>Table4[[#This Row],[Township]]</f>
        <v>Maw La Myaing</v>
      </c>
      <c r="AM316" s="271" t="str">
        <f>Table4[[#This Row],[WholeSales]]</f>
        <v>WholeSales</v>
      </c>
      <c r="AN316" s="272" t="str">
        <f>Table4[[#This Row],[Particular]]</f>
        <v>ကုန်ရောင်း(လက်ငင်း)</v>
      </c>
      <c r="AO316" s="273" t="str">
        <f>Table4[[#This Row],[StockName]]</f>
        <v>ဇေယျဝတီ Red</v>
      </c>
      <c r="AP316" s="268">
        <f>Table4[[#This Row],[Parking]]</f>
        <v>25</v>
      </c>
      <c r="AQ316" s="268">
        <f>Table4[[#This Row],[SalesBot]]</f>
        <v>350</v>
      </c>
      <c r="AR316" s="268">
        <f>Table4[[#This Row],[Liter]]</f>
        <v>224</v>
      </c>
    </row>
    <row r="317" spans="1:44" s="16" customFormat="1" hidden="1" x14ac:dyDescent="0.5">
      <c r="A317" s="3">
        <f>YEAR(C317)</f>
        <v>2026</v>
      </c>
      <c r="B317" s="8">
        <f>MONTH(C317)</f>
        <v>1</v>
      </c>
      <c r="C317" s="6">
        <v>46042</v>
      </c>
      <c r="D317" s="15">
        <f ca="1">TODAY()</f>
        <v>46097</v>
      </c>
      <c r="E317" s="15" t="str">
        <f ca="1">DATEDIF(C317,D317,"M")&amp;"-Months"</f>
        <v>1-Months</v>
      </c>
      <c r="F317" s="8" t="str">
        <f>VLOOKUP(N317,Stock[#Data],5,FALSE)</f>
        <v>BE</v>
      </c>
      <c r="G317" s="82" t="s">
        <v>1103</v>
      </c>
      <c r="H317" s="15"/>
      <c r="I317" s="7" t="s">
        <v>82</v>
      </c>
      <c r="J317" s="8" t="str">
        <f>VLOOKUP(I317,Customers[#Data],2,FALSE)</f>
        <v>ဒေါ်ထွန်းမေ</v>
      </c>
      <c r="K317" s="15" t="str">
        <f>VLOOKUP(I317,Customers[#Data],4,FALSE)</f>
        <v>Maw La Myaing</v>
      </c>
      <c r="L317" s="15" t="str">
        <f>VLOOKUP(I317,Customers[#Data],5,FALSE)</f>
        <v>WholeSales</v>
      </c>
      <c r="M317" s="7" t="s">
        <v>9</v>
      </c>
      <c r="N317" s="7" t="s">
        <v>508</v>
      </c>
      <c r="O317" s="14" t="str">
        <f>VLOOKUP(N317,Stock[#Data],2,FALSE)</f>
        <v>ကောင်းကြည်-1Li</v>
      </c>
      <c r="P317" s="44">
        <f>VLOOKUP(N317,Stock[#Data],3,FALSE)</f>
        <v>1</v>
      </c>
      <c r="Q317" s="3">
        <f>VLOOKUP(N317,Stock[#Data],4,FALSE)</f>
        <v>12</v>
      </c>
      <c r="R317" s="11">
        <v>1</v>
      </c>
      <c r="S317" s="45">
        <f>IFERROR(Table4[[#This Row],[Bottle]]/Table4[[#This Row],[ပါဝင်မှု]]+Table4[[#This Row],[SalesPK]],0)</f>
        <v>8.3333333333333329E-2</v>
      </c>
      <c r="T317" s="12"/>
      <c r="U317" s="10">
        <f>Table4[[#This Row],[ပါဝင်မှု]]*Table4[[#This Row],[SalesPK]]+Table4[[#This Row],[Bottle]]</f>
        <v>1</v>
      </c>
      <c r="V317" s="10">
        <f>Table4[[#This Row],[SalesBot]]*Table4[[#This Row],[ML]]</f>
        <v>1</v>
      </c>
      <c r="W317" s="1">
        <f>VLOOKUP(N317,Stock[#Data],6,FALSE)</f>
        <v>1850</v>
      </c>
      <c r="X317" s="8">
        <f>+Table4[[#This Row],[SalesBot]]*Table4[[#This Row],[နှုံး]]</f>
        <v>1850</v>
      </c>
      <c r="Y317" s="12"/>
      <c r="Z317" s="12"/>
      <c r="AA317" s="12"/>
      <c r="AB317" s="9"/>
      <c r="AC317" s="12"/>
      <c r="AD317" s="9"/>
      <c r="AE317" s="12"/>
      <c r="AF31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317" s="24"/>
      <c r="AH317" s="266">
        <f>Table4[[#This Row],[Date]]</f>
        <v>46042</v>
      </c>
      <c r="AI317" s="264" t="str">
        <f t="shared" si="48"/>
        <v>Jan</v>
      </c>
      <c r="AJ317" s="264" t="str">
        <f t="shared" si="49"/>
        <v>2026</v>
      </c>
      <c r="AK317" s="270" t="str">
        <f>Table4[[#This Row],[ကုန်သည်အမည်]]</f>
        <v>ဒေါ်ထွန်းမေ</v>
      </c>
      <c r="AL317" s="270" t="str">
        <f>Table4[[#This Row],[Township]]</f>
        <v>Maw La Myaing</v>
      </c>
      <c r="AM317" s="271" t="str">
        <f>Table4[[#This Row],[WholeSales]]</f>
        <v>WholeSales</v>
      </c>
      <c r="AN317" s="272" t="str">
        <f>Table4[[#This Row],[Particular]]</f>
        <v>လက်ဆောင်</v>
      </c>
      <c r="AO317" s="273" t="str">
        <f>Table4[[#This Row],[StockName]]</f>
        <v>ကောင်းကြည်-1Li</v>
      </c>
      <c r="AP317" s="268">
        <f>Table4[[#This Row],[Parking]]</f>
        <v>8.3333333333333329E-2</v>
      </c>
      <c r="AQ317" s="268">
        <f>Table4[[#This Row],[SalesBot]]</f>
        <v>1</v>
      </c>
      <c r="AR317" s="268">
        <f>Table4[[#This Row],[Liter]]</f>
        <v>1</v>
      </c>
    </row>
    <row r="318" spans="1:44" s="16" customFormat="1" hidden="1" x14ac:dyDescent="0.5">
      <c r="A318" s="3">
        <f t="shared" si="54"/>
        <v>2026</v>
      </c>
      <c r="B318" s="8">
        <f t="shared" si="55"/>
        <v>1</v>
      </c>
      <c r="C318" s="6">
        <v>46042</v>
      </c>
      <c r="D318" s="15">
        <f t="shared" ca="1" si="56"/>
        <v>46097</v>
      </c>
      <c r="E318" s="15" t="str">
        <f t="shared" ca="1" si="57"/>
        <v>1-Months</v>
      </c>
      <c r="F318" s="8" t="str">
        <f>VLOOKUP(N318,Stock[#Data],5,FALSE)</f>
        <v>BE</v>
      </c>
      <c r="G318" s="82" t="s">
        <v>1104</v>
      </c>
      <c r="H318" s="15"/>
      <c r="I318" s="7" t="s">
        <v>109</v>
      </c>
      <c r="J318" s="8" t="str">
        <f>VLOOKUP(I318,Customers[#Data],2,FALSE)</f>
        <v>ဦးမင်းလွင်</v>
      </c>
      <c r="K318" s="15" t="str">
        <f>VLOOKUP(I318,Customers[#Data],4,FALSE)</f>
        <v>Maw La Myaing</v>
      </c>
      <c r="L318" s="15" t="str">
        <f>VLOOKUP(I318,Customers[#Data],5,FALSE)</f>
        <v>WholeSales</v>
      </c>
      <c r="M318" s="7" t="s">
        <v>6</v>
      </c>
      <c r="N318" s="7" t="s">
        <v>521</v>
      </c>
      <c r="O318" s="14" t="str">
        <f>VLOOKUP(N318,Stock[#Data],2,FALSE)</f>
        <v>ဒဂုံအရက်သန့်</v>
      </c>
      <c r="P318" s="44">
        <f>VLOOKUP(N318,Stock[#Data],3,FALSE)</f>
        <v>0.64</v>
      </c>
      <c r="Q318" s="3">
        <f>VLOOKUP(N318,Stock[#Data],4,FALSE)</f>
        <v>24</v>
      </c>
      <c r="R318" s="11"/>
      <c r="S318" s="45">
        <f>IFERROR(Table4[[#This Row],[Bottle]]/Table4[[#This Row],[ပါဝင်မှု]]+Table4[[#This Row],[SalesPK]],0)</f>
        <v>59</v>
      </c>
      <c r="T318" s="12">
        <v>59</v>
      </c>
      <c r="U318" s="10">
        <f>Table4[[#This Row],[ပါဝင်မှု]]*Table4[[#This Row],[SalesPK]]+Table4[[#This Row],[Bottle]]</f>
        <v>1416</v>
      </c>
      <c r="V318" s="10">
        <f>Table4[[#This Row],[SalesBot]]*Table4[[#This Row],[ML]]</f>
        <v>906.24</v>
      </c>
      <c r="W318" s="1">
        <f>VLOOKUP(N318,Stock[#Data],6,FALSE)</f>
        <v>1350</v>
      </c>
      <c r="X318" s="8">
        <f>+Table4[[#This Row],[SalesBot]]*Table4[[#This Row],[နှုံး]]</f>
        <v>1911600</v>
      </c>
      <c r="Y318" s="12"/>
      <c r="Z318" s="12"/>
      <c r="AA318" s="12"/>
      <c r="AB318" s="9"/>
      <c r="AC318" s="12">
        <v>1911600</v>
      </c>
      <c r="AD318" s="9"/>
      <c r="AE318" s="12"/>
      <c r="AF31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18" s="24"/>
      <c r="AH318" s="266">
        <f>Table4[[#This Row],[Date]]</f>
        <v>46042</v>
      </c>
      <c r="AI318" s="264" t="str">
        <f t="shared" si="48"/>
        <v>Jan</v>
      </c>
      <c r="AJ318" s="264" t="str">
        <f t="shared" si="49"/>
        <v>2026</v>
      </c>
      <c r="AK318" s="270" t="str">
        <f>Table4[[#This Row],[ကုန်သည်အမည်]]</f>
        <v>ဦးမင်းလွင်</v>
      </c>
      <c r="AL318" s="270" t="str">
        <f>Table4[[#This Row],[Township]]</f>
        <v>Maw La Myaing</v>
      </c>
      <c r="AM318" s="271" t="str">
        <f>Table4[[#This Row],[WholeSales]]</f>
        <v>WholeSales</v>
      </c>
      <c r="AN318" s="272" t="str">
        <f>Table4[[#This Row],[Particular]]</f>
        <v>ကုန်ရောင်း(လက်ငင်း)</v>
      </c>
      <c r="AO318" s="273" t="str">
        <f>Table4[[#This Row],[StockName]]</f>
        <v>ဒဂုံအရက်သန့်</v>
      </c>
      <c r="AP318" s="268">
        <f>Table4[[#This Row],[Parking]]</f>
        <v>59</v>
      </c>
      <c r="AQ318" s="268">
        <f>Table4[[#This Row],[SalesBot]]</f>
        <v>1416</v>
      </c>
      <c r="AR318" s="268">
        <f>Table4[[#This Row],[Liter]]</f>
        <v>906.24</v>
      </c>
    </row>
    <row r="319" spans="1:44" s="16" customFormat="1" hidden="1" x14ac:dyDescent="0.5">
      <c r="A319" s="3">
        <f t="shared" si="54"/>
        <v>2026</v>
      </c>
      <c r="B319" s="8">
        <f t="shared" si="55"/>
        <v>1</v>
      </c>
      <c r="C319" s="6">
        <v>46042</v>
      </c>
      <c r="D319" s="15">
        <f t="shared" ca="1" si="56"/>
        <v>46097</v>
      </c>
      <c r="E319" s="15" t="str">
        <f t="shared" ca="1" si="57"/>
        <v>1-Months</v>
      </c>
      <c r="F319" s="8" t="str">
        <f>VLOOKUP(N319,Stock[#Data],5,FALSE)</f>
        <v>BE</v>
      </c>
      <c r="G319" s="82" t="s">
        <v>1094</v>
      </c>
      <c r="H319" s="15"/>
      <c r="I319" s="7" t="s">
        <v>77</v>
      </c>
      <c r="J319" s="8" t="str">
        <f>VLOOKUP(I319,Customers[#Data],2,FALSE)</f>
        <v>KP</v>
      </c>
      <c r="K319" s="15" t="str">
        <f>VLOOKUP(I319,Customers[#Data],4,FALSE)</f>
        <v>Maw La Myaing</v>
      </c>
      <c r="L319" s="15" t="str">
        <f>VLOOKUP(I319,Customers[#Data],5,FALSE)</f>
        <v>SemiWholeSales</v>
      </c>
      <c r="M319" s="7" t="s">
        <v>6</v>
      </c>
      <c r="N319" s="7" t="s">
        <v>522</v>
      </c>
      <c r="O319" s="14" t="str">
        <f>VLOOKUP(N319,Stock[#Data],2,FALSE)</f>
        <v>ဒဂုံမန်ကျည်း ကော်ဘူး (1 Liter)</v>
      </c>
      <c r="P319" s="44">
        <f>VLOOKUP(N319,Stock[#Data],3,FALSE)</f>
        <v>1</v>
      </c>
      <c r="Q319" s="3">
        <f>VLOOKUP(N319,Stock[#Data],4,FALSE)</f>
        <v>12</v>
      </c>
      <c r="R319" s="11"/>
      <c r="S319" s="45">
        <f>IFERROR(Table4[[#This Row],[Bottle]]/Table4[[#This Row],[ပါဝင်မှု]]+Table4[[#This Row],[SalesPK]],0)</f>
        <v>2</v>
      </c>
      <c r="T319" s="12">
        <v>2</v>
      </c>
      <c r="U319" s="10">
        <f>Table4[[#This Row],[ပါဝင်မှု]]*Table4[[#This Row],[SalesPK]]+Table4[[#This Row],[Bottle]]</f>
        <v>24</v>
      </c>
      <c r="V319" s="10">
        <f>Table4[[#This Row],[SalesBot]]*Table4[[#This Row],[ML]]</f>
        <v>24</v>
      </c>
      <c r="W319" s="1">
        <f>VLOOKUP(N319,Stock[#Data],6,FALSE)</f>
        <v>1600</v>
      </c>
      <c r="X319" s="8">
        <f>+Table4[[#This Row],[SalesBot]]*Table4[[#This Row],[နှုံး]]</f>
        <v>38400</v>
      </c>
      <c r="Y319" s="12"/>
      <c r="Z319" s="12"/>
      <c r="AA319" s="12"/>
      <c r="AB319" s="9"/>
      <c r="AC319" s="12">
        <v>38400</v>
      </c>
      <c r="AD319" s="9"/>
      <c r="AE319" s="12"/>
      <c r="AF31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19" s="24"/>
      <c r="AH319" s="266">
        <f>Table4[[#This Row],[Date]]</f>
        <v>46042</v>
      </c>
      <c r="AI319" s="264" t="str">
        <f t="shared" si="48"/>
        <v>Jan</v>
      </c>
      <c r="AJ319" s="264" t="str">
        <f t="shared" si="49"/>
        <v>2026</v>
      </c>
      <c r="AK319" s="270" t="str">
        <f>Table4[[#This Row],[ကုန်သည်အမည်]]</f>
        <v>KP</v>
      </c>
      <c r="AL319" s="270" t="str">
        <f>Table4[[#This Row],[Township]]</f>
        <v>Maw La Myaing</v>
      </c>
      <c r="AM319" s="271" t="str">
        <f>Table4[[#This Row],[WholeSales]]</f>
        <v>SemiWholeSales</v>
      </c>
      <c r="AN319" s="272" t="str">
        <f>Table4[[#This Row],[Particular]]</f>
        <v>ကုန်ရောင်း(လက်ငင်း)</v>
      </c>
      <c r="AO319" s="273" t="str">
        <f>Table4[[#This Row],[StockName]]</f>
        <v>ဒဂုံမန်ကျည်း ကော်ဘူး (1 Liter)</v>
      </c>
      <c r="AP319" s="268">
        <f>Table4[[#This Row],[Parking]]</f>
        <v>2</v>
      </c>
      <c r="AQ319" s="268">
        <f>Table4[[#This Row],[SalesBot]]</f>
        <v>24</v>
      </c>
      <c r="AR319" s="268">
        <f>Table4[[#This Row],[Liter]]</f>
        <v>24</v>
      </c>
    </row>
    <row r="320" spans="1:44" s="16" customFormat="1" hidden="1" x14ac:dyDescent="0.5">
      <c r="A320" s="3">
        <f t="shared" si="54"/>
        <v>2026</v>
      </c>
      <c r="B320" s="8">
        <f t="shared" si="55"/>
        <v>1</v>
      </c>
      <c r="C320" s="6">
        <v>46042</v>
      </c>
      <c r="D320" s="15">
        <f t="shared" ca="1" si="56"/>
        <v>46097</v>
      </c>
      <c r="E320" s="15" t="str">
        <f t="shared" ca="1" si="57"/>
        <v>1-Months</v>
      </c>
      <c r="F320" s="8" t="str">
        <f>VLOOKUP(N320,Stock[#Data],5,FALSE)</f>
        <v>BE</v>
      </c>
      <c r="G320" s="82" t="s">
        <v>1094</v>
      </c>
      <c r="H320" s="15"/>
      <c r="I320" s="7" t="s">
        <v>77</v>
      </c>
      <c r="J320" s="8" t="str">
        <f>VLOOKUP(I320,Customers[#Data],2,FALSE)</f>
        <v>KP</v>
      </c>
      <c r="K320" s="15" t="str">
        <f>VLOOKUP(I320,Customers[#Data],4,FALSE)</f>
        <v>Maw La Myaing</v>
      </c>
      <c r="L320" s="15" t="str">
        <f>VLOOKUP(I320,Customers[#Data],5,FALSE)</f>
        <v>SemiWholeSales</v>
      </c>
      <c r="M320" s="7" t="s">
        <v>6</v>
      </c>
      <c r="N320" s="7" t="s">
        <v>508</v>
      </c>
      <c r="O320" s="14" t="str">
        <f>VLOOKUP(N320,Stock[#Data],2,FALSE)</f>
        <v>ကောင်းကြည်-1Li</v>
      </c>
      <c r="P320" s="44">
        <f>VLOOKUP(N320,Stock[#Data],3,FALSE)</f>
        <v>1</v>
      </c>
      <c r="Q320" s="3">
        <f>VLOOKUP(N320,Stock[#Data],4,FALSE)</f>
        <v>12</v>
      </c>
      <c r="R320" s="11"/>
      <c r="S320" s="45">
        <f>IFERROR(Table4[[#This Row],[Bottle]]/Table4[[#This Row],[ပါဝင်မှု]]+Table4[[#This Row],[SalesPK]],0)</f>
        <v>3</v>
      </c>
      <c r="T320" s="12">
        <v>3</v>
      </c>
      <c r="U320" s="10">
        <f>Table4[[#This Row],[ပါဝင်မှု]]*Table4[[#This Row],[SalesPK]]+Table4[[#This Row],[Bottle]]</f>
        <v>36</v>
      </c>
      <c r="V320" s="10">
        <f>Table4[[#This Row],[SalesBot]]*Table4[[#This Row],[ML]]</f>
        <v>36</v>
      </c>
      <c r="W320" s="1">
        <f>VLOOKUP(N320,Stock[#Data],6,FALSE)</f>
        <v>1850</v>
      </c>
      <c r="X320" s="8">
        <f>+Table4[[#This Row],[SalesBot]]*Table4[[#This Row],[နှုံး]]</f>
        <v>66600</v>
      </c>
      <c r="Y320" s="12"/>
      <c r="Z320" s="12"/>
      <c r="AA320" s="12"/>
      <c r="AB320" s="9"/>
      <c r="AC320" s="12">
        <v>66600</v>
      </c>
      <c r="AD320" s="9"/>
      <c r="AE320" s="12"/>
      <c r="AF32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20" s="24"/>
      <c r="AH320" s="266">
        <f>Table4[[#This Row],[Date]]</f>
        <v>46042</v>
      </c>
      <c r="AI320" s="264" t="str">
        <f t="shared" si="48"/>
        <v>Jan</v>
      </c>
      <c r="AJ320" s="264" t="str">
        <f t="shared" si="49"/>
        <v>2026</v>
      </c>
      <c r="AK320" s="270" t="str">
        <f>Table4[[#This Row],[ကုန်သည်အမည်]]</f>
        <v>KP</v>
      </c>
      <c r="AL320" s="270" t="str">
        <f>Table4[[#This Row],[Township]]</f>
        <v>Maw La Myaing</v>
      </c>
      <c r="AM320" s="271" t="str">
        <f>Table4[[#This Row],[WholeSales]]</f>
        <v>SemiWholeSales</v>
      </c>
      <c r="AN320" s="272" t="str">
        <f>Table4[[#This Row],[Particular]]</f>
        <v>ကုန်ရောင်း(လက်ငင်း)</v>
      </c>
      <c r="AO320" s="273" t="str">
        <f>Table4[[#This Row],[StockName]]</f>
        <v>ကောင်းကြည်-1Li</v>
      </c>
      <c r="AP320" s="268">
        <f>Table4[[#This Row],[Parking]]</f>
        <v>3</v>
      </c>
      <c r="AQ320" s="268">
        <f>Table4[[#This Row],[SalesBot]]</f>
        <v>36</v>
      </c>
      <c r="AR320" s="268">
        <f>Table4[[#This Row],[Liter]]</f>
        <v>36</v>
      </c>
    </row>
    <row r="321" spans="1:44" s="16" customFormat="1" hidden="1" x14ac:dyDescent="0.5">
      <c r="A321" s="3">
        <f t="shared" si="54"/>
        <v>2026</v>
      </c>
      <c r="B321" s="8">
        <f t="shared" si="55"/>
        <v>1</v>
      </c>
      <c r="C321" s="6">
        <v>46042</v>
      </c>
      <c r="D321" s="15">
        <f t="shared" ca="1" si="56"/>
        <v>46097</v>
      </c>
      <c r="E321" s="15" t="str">
        <f t="shared" ca="1" si="57"/>
        <v>1-Months</v>
      </c>
      <c r="F321" s="8" t="str">
        <f>VLOOKUP(N321,Stock[#Data],5,FALSE)</f>
        <v>BE</v>
      </c>
      <c r="G321" s="82" t="s">
        <v>1105</v>
      </c>
      <c r="H321" s="15"/>
      <c r="I321" s="7" t="s">
        <v>595</v>
      </c>
      <c r="J321" s="8" t="str">
        <f>VLOOKUP(I321,Customers[#Data],2,FALSE)</f>
        <v>နော်သင်းစုလှိုင်</v>
      </c>
      <c r="K321" s="15" t="str">
        <f>VLOOKUP(I321,Customers[#Data],4,FALSE)</f>
        <v>KawKareik</v>
      </c>
      <c r="L321" s="15" t="str">
        <f>VLOOKUP(I321,Customers[#Data],5,FALSE)</f>
        <v>Van Sales</v>
      </c>
      <c r="M321" s="7" t="s">
        <v>6</v>
      </c>
      <c r="N321" s="7" t="s">
        <v>508</v>
      </c>
      <c r="O321" s="14" t="str">
        <f>VLOOKUP(N321,Stock[#Data],2,FALSE)</f>
        <v>ကောင်းကြည်-1Li</v>
      </c>
      <c r="P321" s="44">
        <f>VLOOKUP(N321,Stock[#Data],3,FALSE)</f>
        <v>1</v>
      </c>
      <c r="Q321" s="3">
        <f>VLOOKUP(N321,Stock[#Data],4,FALSE)</f>
        <v>12</v>
      </c>
      <c r="R321" s="11"/>
      <c r="S321" s="45">
        <f>IFERROR(Table4[[#This Row],[Bottle]]/Table4[[#This Row],[ပါဝင်မှု]]+Table4[[#This Row],[SalesPK]],0)</f>
        <v>10</v>
      </c>
      <c r="T321" s="12">
        <v>10</v>
      </c>
      <c r="U321" s="10">
        <f>Table4[[#This Row],[ပါဝင်မှု]]*Table4[[#This Row],[SalesPK]]+Table4[[#This Row],[Bottle]]</f>
        <v>120</v>
      </c>
      <c r="V321" s="10">
        <f>Table4[[#This Row],[SalesBot]]*Table4[[#This Row],[ML]]</f>
        <v>120</v>
      </c>
      <c r="W321" s="1">
        <f>VLOOKUP(N321,Stock[#Data],6,FALSE)</f>
        <v>1850</v>
      </c>
      <c r="X321" s="8">
        <f>+Table4[[#This Row],[SalesBot]]*Table4[[#This Row],[နှုံး]]</f>
        <v>222000</v>
      </c>
      <c r="Y321" s="12"/>
      <c r="Z321" s="12"/>
      <c r="AA321" s="12"/>
      <c r="AB321" s="9"/>
      <c r="AC321" s="12">
        <v>222000</v>
      </c>
      <c r="AD321" s="9"/>
      <c r="AE321" s="12"/>
      <c r="AF32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21" s="24"/>
      <c r="AH321" s="266">
        <f>Table4[[#This Row],[Date]]</f>
        <v>46042</v>
      </c>
      <c r="AI321" s="264" t="str">
        <f t="shared" si="48"/>
        <v>Jan</v>
      </c>
      <c r="AJ321" s="264" t="str">
        <f t="shared" si="49"/>
        <v>2026</v>
      </c>
      <c r="AK321" s="270" t="str">
        <f>Table4[[#This Row],[ကုန်သည်အမည်]]</f>
        <v>နော်သင်းစုလှိုင်</v>
      </c>
      <c r="AL321" s="270" t="str">
        <f>Table4[[#This Row],[Township]]</f>
        <v>KawKareik</v>
      </c>
      <c r="AM321" s="271" t="str">
        <f>Table4[[#This Row],[WholeSales]]</f>
        <v>Van Sales</v>
      </c>
      <c r="AN321" s="272" t="str">
        <f>Table4[[#This Row],[Particular]]</f>
        <v>ကုန်ရောင်း(လက်ငင်း)</v>
      </c>
      <c r="AO321" s="273" t="str">
        <f>Table4[[#This Row],[StockName]]</f>
        <v>ကောင်းကြည်-1Li</v>
      </c>
      <c r="AP321" s="268">
        <f>Table4[[#This Row],[Parking]]</f>
        <v>10</v>
      </c>
      <c r="AQ321" s="268">
        <f>Table4[[#This Row],[SalesBot]]</f>
        <v>120</v>
      </c>
      <c r="AR321" s="268">
        <f>Table4[[#This Row],[Liter]]</f>
        <v>120</v>
      </c>
    </row>
    <row r="322" spans="1:44" s="16" customFormat="1" hidden="1" x14ac:dyDescent="0.5">
      <c r="A322" s="3">
        <f t="shared" ref="A322:A345" si="58">YEAR(C322)</f>
        <v>2026</v>
      </c>
      <c r="B322" s="8">
        <f t="shared" ref="B322:B345" si="59">MONTH(C322)</f>
        <v>1</v>
      </c>
      <c r="C322" s="6">
        <v>46043</v>
      </c>
      <c r="D322" s="15">
        <f t="shared" ref="D322:D345" ca="1" si="60">TODAY()</f>
        <v>46097</v>
      </c>
      <c r="E322" s="15" t="str">
        <f t="shared" ref="E322:E345" ca="1" si="61">DATEDIF(C322,D322,"M")&amp;"-Months"</f>
        <v>1-Months</v>
      </c>
      <c r="F322" s="8" t="str">
        <f>VLOOKUP(N322,Stock[#Data],5,FALSE)</f>
        <v>BE</v>
      </c>
      <c r="G322" s="82" t="s">
        <v>1106</v>
      </c>
      <c r="H322" s="15" t="s">
        <v>126</v>
      </c>
      <c r="I322" s="7" t="s">
        <v>539</v>
      </c>
      <c r="J322" s="8" t="str">
        <f>VLOOKUP(I322,Customers[#Data],2,FALSE)</f>
        <v>၀င်းအောင်ရွှေ</v>
      </c>
      <c r="K322" s="15" t="str">
        <f>VLOOKUP(I322,Customers[#Data],4,FALSE)</f>
        <v>Hpa-an</v>
      </c>
      <c r="L322" s="15" t="str">
        <f>VLOOKUP(I322,Customers[#Data],5,FALSE)</f>
        <v>SemiWholeSales</v>
      </c>
      <c r="M322" s="7" t="s">
        <v>6</v>
      </c>
      <c r="N322" s="7" t="s">
        <v>514</v>
      </c>
      <c r="O322" s="14" t="str">
        <f>VLOOKUP(N322,Stock[#Data],2,FALSE)</f>
        <v>ဇေယျဝတီ Red</v>
      </c>
      <c r="P322" s="44">
        <f>VLOOKUP(N322,Stock[#Data],3,FALSE)</f>
        <v>0.64</v>
      </c>
      <c r="Q322" s="3">
        <f>VLOOKUP(N322,Stock[#Data],4,FALSE)</f>
        <v>14</v>
      </c>
      <c r="R322" s="11"/>
      <c r="S322" s="45">
        <f>IFERROR(Table4[[#This Row],[Bottle]]/Table4[[#This Row],[ပါဝင်မှု]]+Table4[[#This Row],[SalesPK]],0)</f>
        <v>200</v>
      </c>
      <c r="T322" s="12">
        <v>200</v>
      </c>
      <c r="U322" s="10">
        <f>Table4[[#This Row],[ပါဝင်မှု]]*Table4[[#This Row],[SalesPK]]+Table4[[#This Row],[Bottle]]</f>
        <v>2800</v>
      </c>
      <c r="V322" s="10">
        <f>Table4[[#This Row],[SalesBot]]*Table4[[#This Row],[ML]]</f>
        <v>1792</v>
      </c>
      <c r="W322" s="1">
        <f>VLOOKUP(N322,Stock[#Data],6,FALSE)</f>
        <v>1350</v>
      </c>
      <c r="X322" s="8">
        <f>+Table4[[#This Row],[SalesBot]]*Table4[[#This Row],[နှုံး]]</f>
        <v>3780000</v>
      </c>
      <c r="Y322" s="12"/>
      <c r="Z322" s="12"/>
      <c r="AA322" s="12"/>
      <c r="AB322" s="9"/>
      <c r="AC322" s="12"/>
      <c r="AD322" s="9"/>
      <c r="AE322" s="12"/>
      <c r="AF32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3780000</v>
      </c>
      <c r="AG322" s="24"/>
      <c r="AH322" s="266">
        <f>Table4[[#This Row],[Date]]</f>
        <v>46043</v>
      </c>
      <c r="AI322" s="264" t="str">
        <f t="shared" si="48"/>
        <v>Jan</v>
      </c>
      <c r="AJ322" s="264" t="str">
        <f t="shared" si="49"/>
        <v>2026</v>
      </c>
      <c r="AK322" s="270" t="str">
        <f>Table4[[#This Row],[ကုန်သည်အမည်]]</f>
        <v>၀င်းအောင်ရွှေ</v>
      </c>
      <c r="AL322" s="270" t="str">
        <f>Table4[[#This Row],[Township]]</f>
        <v>Hpa-an</v>
      </c>
      <c r="AM322" s="271" t="str">
        <f>Table4[[#This Row],[WholeSales]]</f>
        <v>SemiWholeSales</v>
      </c>
      <c r="AN322" s="272" t="str">
        <f>Table4[[#This Row],[Particular]]</f>
        <v>ကုန်ရောင်း(လက်ငင်း)</v>
      </c>
      <c r="AO322" s="273" t="str">
        <f>Table4[[#This Row],[StockName]]</f>
        <v>ဇေယျဝတီ Red</v>
      </c>
      <c r="AP322" s="268">
        <f>Table4[[#This Row],[Parking]]</f>
        <v>200</v>
      </c>
      <c r="AQ322" s="268">
        <f>Table4[[#This Row],[SalesBot]]</f>
        <v>2800</v>
      </c>
      <c r="AR322" s="268">
        <f>Table4[[#This Row],[Liter]]</f>
        <v>1792</v>
      </c>
    </row>
    <row r="323" spans="1:44" s="16" customFormat="1" hidden="1" x14ac:dyDescent="0.5">
      <c r="A323" s="3">
        <f t="shared" si="58"/>
        <v>2026</v>
      </c>
      <c r="B323" s="8">
        <f t="shared" si="59"/>
        <v>1</v>
      </c>
      <c r="C323" s="6">
        <v>46043</v>
      </c>
      <c r="D323" s="15">
        <f t="shared" ca="1" si="60"/>
        <v>46097</v>
      </c>
      <c r="E323" s="15" t="str">
        <f t="shared" ca="1" si="61"/>
        <v>1-Months</v>
      </c>
      <c r="F323" s="8" t="str">
        <f>VLOOKUP(N323,Stock[#Data],5,FALSE)</f>
        <v>BE</v>
      </c>
      <c r="G323" s="82" t="s">
        <v>1106</v>
      </c>
      <c r="H323" s="15" t="s">
        <v>126</v>
      </c>
      <c r="I323" s="7" t="s">
        <v>539</v>
      </c>
      <c r="J323" s="8" t="str">
        <f>VLOOKUP(I323,Customers[#Data],2,FALSE)</f>
        <v>၀င်းအောင်ရွှေ</v>
      </c>
      <c r="K323" s="15" t="str">
        <f>VLOOKUP(I323,Customers[#Data],4,FALSE)</f>
        <v>Hpa-an</v>
      </c>
      <c r="L323" s="15" t="str">
        <f>VLOOKUP(I323,Customers[#Data],5,FALSE)</f>
        <v>SemiWholeSales</v>
      </c>
      <c r="M323" s="7" t="s">
        <v>6</v>
      </c>
      <c r="N323" s="7" t="s">
        <v>508</v>
      </c>
      <c r="O323" s="14" t="str">
        <f>VLOOKUP(N323,Stock[#Data],2,FALSE)</f>
        <v>ကောင်းကြည်-1Li</v>
      </c>
      <c r="P323" s="44">
        <f>VLOOKUP(N323,Stock[#Data],3,FALSE)</f>
        <v>1</v>
      </c>
      <c r="Q323" s="3">
        <f>VLOOKUP(N323,Stock[#Data],4,FALSE)</f>
        <v>12</v>
      </c>
      <c r="R323" s="11"/>
      <c r="S323" s="45">
        <f>IFERROR(Table4[[#This Row],[Bottle]]/Table4[[#This Row],[ပါဝင်မှု]]+Table4[[#This Row],[SalesPK]],0)</f>
        <v>10</v>
      </c>
      <c r="T323" s="12">
        <v>10</v>
      </c>
      <c r="U323" s="10">
        <f>Table4[[#This Row],[ပါဝင်မှု]]*Table4[[#This Row],[SalesPK]]+Table4[[#This Row],[Bottle]]</f>
        <v>120</v>
      </c>
      <c r="V323" s="10">
        <f>Table4[[#This Row],[SalesBot]]*Table4[[#This Row],[ML]]</f>
        <v>120</v>
      </c>
      <c r="W323" s="1">
        <f>VLOOKUP(N323,Stock[#Data],6,FALSE)</f>
        <v>1850</v>
      </c>
      <c r="X323" s="8">
        <f>+Table4[[#This Row],[SalesBot]]*Table4[[#This Row],[နှုံး]]</f>
        <v>222000</v>
      </c>
      <c r="Y323" s="12"/>
      <c r="Z323" s="12"/>
      <c r="AA323" s="12"/>
      <c r="AB323" s="9"/>
      <c r="AC323" s="12"/>
      <c r="AD323" s="9"/>
      <c r="AE323" s="12"/>
      <c r="AF32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222000</v>
      </c>
      <c r="AG323" s="24"/>
      <c r="AH323" s="266">
        <f>Table4[[#This Row],[Date]]</f>
        <v>46043</v>
      </c>
      <c r="AI323" s="264" t="str">
        <f t="shared" ref="AI323:AI386" si="62">TEXT(AH323,"mmm")</f>
        <v>Jan</v>
      </c>
      <c r="AJ323" s="264" t="str">
        <f t="shared" ref="AJ323:AJ386" si="63">TEXT(AH323,"yyyy")</f>
        <v>2026</v>
      </c>
      <c r="AK323" s="270" t="str">
        <f>Table4[[#This Row],[ကုန်သည်အမည်]]</f>
        <v>၀င်းအောင်ရွှေ</v>
      </c>
      <c r="AL323" s="270" t="str">
        <f>Table4[[#This Row],[Township]]</f>
        <v>Hpa-an</v>
      </c>
      <c r="AM323" s="271" t="str">
        <f>Table4[[#This Row],[WholeSales]]</f>
        <v>SemiWholeSales</v>
      </c>
      <c r="AN323" s="272" t="str">
        <f>Table4[[#This Row],[Particular]]</f>
        <v>ကုန်ရောင်း(လက်ငင်း)</v>
      </c>
      <c r="AO323" s="273" t="str">
        <f>Table4[[#This Row],[StockName]]</f>
        <v>ကောင်းကြည်-1Li</v>
      </c>
      <c r="AP323" s="268">
        <f>Table4[[#This Row],[Parking]]</f>
        <v>10</v>
      </c>
      <c r="AQ323" s="268">
        <f>Table4[[#This Row],[SalesBot]]</f>
        <v>120</v>
      </c>
      <c r="AR323" s="268">
        <f>Table4[[#This Row],[Liter]]</f>
        <v>120</v>
      </c>
    </row>
    <row r="324" spans="1:44" s="16" customFormat="1" hidden="1" x14ac:dyDescent="0.5">
      <c r="A324" s="3">
        <f t="shared" si="58"/>
        <v>2026</v>
      </c>
      <c r="B324" s="8">
        <f t="shared" si="59"/>
        <v>1</v>
      </c>
      <c r="C324" s="6">
        <v>46043</v>
      </c>
      <c r="D324" s="15">
        <f t="shared" ca="1" si="60"/>
        <v>46097</v>
      </c>
      <c r="E324" s="15" t="str">
        <f t="shared" ca="1" si="61"/>
        <v>1-Months</v>
      </c>
      <c r="F324" s="8" t="str">
        <f>VLOOKUP(N324,Stock[#Data],5,FALSE)</f>
        <v>BE</v>
      </c>
      <c r="G324" s="82" t="s">
        <v>1107</v>
      </c>
      <c r="H324" s="15"/>
      <c r="I324" s="7" t="s">
        <v>540</v>
      </c>
      <c r="J324" s="8" t="str">
        <f>VLOOKUP(I324,Customers[#Data],2,FALSE)</f>
        <v>ကိုမွန်လေး</v>
      </c>
      <c r="K324" s="15" t="str">
        <f>VLOOKUP(I324,Customers[#Data],4,FALSE)</f>
        <v>Yay</v>
      </c>
      <c r="L324" s="15" t="str">
        <f>VLOOKUP(I324,Customers[#Data],5,FALSE)</f>
        <v>SemiWholeSales</v>
      </c>
      <c r="M324" s="7" t="s">
        <v>6</v>
      </c>
      <c r="N324" s="7" t="s">
        <v>514</v>
      </c>
      <c r="O324" s="14" t="str">
        <f>VLOOKUP(N324,Stock[#Data],2,FALSE)</f>
        <v>ဇေယျဝတီ Red</v>
      </c>
      <c r="P324" s="44">
        <f>VLOOKUP(N324,Stock[#Data],3,FALSE)</f>
        <v>0.64</v>
      </c>
      <c r="Q324" s="3">
        <f>VLOOKUP(N324,Stock[#Data],4,FALSE)</f>
        <v>14</v>
      </c>
      <c r="R324" s="11"/>
      <c r="S324" s="45">
        <f>IFERROR(Table4[[#This Row],[Bottle]]/Table4[[#This Row],[ပါဝင်မှု]]+Table4[[#This Row],[SalesPK]],0)</f>
        <v>50</v>
      </c>
      <c r="T324" s="12">
        <v>50</v>
      </c>
      <c r="U324" s="10">
        <f>Table4[[#This Row],[ပါဝင်မှု]]*Table4[[#This Row],[SalesPK]]+Table4[[#This Row],[Bottle]]</f>
        <v>700</v>
      </c>
      <c r="V324" s="10">
        <f>Table4[[#This Row],[SalesBot]]*Table4[[#This Row],[ML]]</f>
        <v>448</v>
      </c>
      <c r="W324" s="1">
        <f>VLOOKUP(N324,Stock[#Data],6,FALSE)</f>
        <v>1350</v>
      </c>
      <c r="X324" s="8">
        <f>+Table4[[#This Row],[SalesBot]]*Table4[[#This Row],[နှုံး]]</f>
        <v>945000</v>
      </c>
      <c r="Y324" s="12"/>
      <c r="Z324" s="12"/>
      <c r="AA324" s="12"/>
      <c r="AB324" s="9"/>
      <c r="AC324" s="12"/>
      <c r="AD324" s="9"/>
      <c r="AE324" s="12"/>
      <c r="AF32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324" s="24"/>
      <c r="AH324" s="266">
        <f>Table4[[#This Row],[Date]]</f>
        <v>46043</v>
      </c>
      <c r="AI324" s="264" t="str">
        <f t="shared" si="62"/>
        <v>Jan</v>
      </c>
      <c r="AJ324" s="264" t="str">
        <f t="shared" si="63"/>
        <v>2026</v>
      </c>
      <c r="AK324" s="270" t="str">
        <f>Table4[[#This Row],[ကုန်သည်အမည်]]</f>
        <v>ကိုမွန်လေး</v>
      </c>
      <c r="AL324" s="270" t="str">
        <f>Table4[[#This Row],[Township]]</f>
        <v>Yay</v>
      </c>
      <c r="AM324" s="271" t="str">
        <f>Table4[[#This Row],[WholeSales]]</f>
        <v>SemiWholeSales</v>
      </c>
      <c r="AN324" s="272" t="str">
        <f>Table4[[#This Row],[Particular]]</f>
        <v>ကုန်ရောင်း(လက်ငင်း)</v>
      </c>
      <c r="AO324" s="273" t="str">
        <f>Table4[[#This Row],[StockName]]</f>
        <v>ဇေယျဝတီ Red</v>
      </c>
      <c r="AP324" s="268">
        <f>Table4[[#This Row],[Parking]]</f>
        <v>50</v>
      </c>
      <c r="AQ324" s="268">
        <f>Table4[[#This Row],[SalesBot]]</f>
        <v>700</v>
      </c>
      <c r="AR324" s="268">
        <f>Table4[[#This Row],[Liter]]</f>
        <v>448</v>
      </c>
    </row>
    <row r="325" spans="1:44" s="16" customFormat="1" hidden="1" x14ac:dyDescent="0.5">
      <c r="A325" s="3">
        <f t="shared" si="58"/>
        <v>2026</v>
      </c>
      <c r="B325" s="8">
        <f t="shared" si="59"/>
        <v>1</v>
      </c>
      <c r="C325" s="6">
        <v>46043</v>
      </c>
      <c r="D325" s="15">
        <f t="shared" ca="1" si="60"/>
        <v>46097</v>
      </c>
      <c r="E325" s="15" t="str">
        <f t="shared" ca="1" si="61"/>
        <v>1-Months</v>
      </c>
      <c r="F325" s="8" t="str">
        <f>VLOOKUP(N325,Stock[#Data],5,FALSE)</f>
        <v>BE</v>
      </c>
      <c r="G325" s="82" t="s">
        <v>1107</v>
      </c>
      <c r="H325" s="15"/>
      <c r="I325" s="7" t="s">
        <v>540</v>
      </c>
      <c r="J325" s="8" t="str">
        <f>VLOOKUP(I325,Customers[#Data],2,FALSE)</f>
        <v>ကိုမွန်လေး</v>
      </c>
      <c r="K325" s="15" t="str">
        <f>VLOOKUP(I325,Customers[#Data],4,FALSE)</f>
        <v>Yay</v>
      </c>
      <c r="L325" s="15" t="str">
        <f>VLOOKUP(I325,Customers[#Data],5,FALSE)</f>
        <v>SemiWholeSales</v>
      </c>
      <c r="M325" s="7" t="s">
        <v>6</v>
      </c>
      <c r="N325" s="7" t="s">
        <v>517</v>
      </c>
      <c r="O325" s="14" t="str">
        <f>VLOOKUP(N325,Stock[#Data],2,FALSE)</f>
        <v>ဇေယျဝတီ Red (1 Liter) 30%</v>
      </c>
      <c r="P325" s="44">
        <f>VLOOKUP(N325,Stock[#Data],3,FALSE)</f>
        <v>1</v>
      </c>
      <c r="Q325" s="3">
        <f>VLOOKUP(N325,Stock[#Data],4,FALSE)</f>
        <v>12</v>
      </c>
      <c r="R325" s="11"/>
      <c r="S325" s="45">
        <f>IFERROR(Table4[[#This Row],[Bottle]]/Table4[[#This Row],[ပါဝင်မှု]]+Table4[[#This Row],[SalesPK]],0)</f>
        <v>50</v>
      </c>
      <c r="T325" s="12">
        <v>50</v>
      </c>
      <c r="U325" s="10">
        <f>Table4[[#This Row],[ပါဝင်မှု]]*Table4[[#This Row],[SalesPK]]+Table4[[#This Row],[Bottle]]</f>
        <v>600</v>
      </c>
      <c r="V325" s="10">
        <f>Table4[[#This Row],[SalesBot]]*Table4[[#This Row],[ML]]</f>
        <v>600</v>
      </c>
      <c r="W325" s="1">
        <f>VLOOKUP(N325,Stock[#Data],6,FALSE)</f>
        <v>1710</v>
      </c>
      <c r="X325" s="8">
        <f>+Table4[[#This Row],[SalesBot]]*Table4[[#This Row],[နှုံး]]</f>
        <v>1026000</v>
      </c>
      <c r="Y325" s="12"/>
      <c r="Z325" s="12"/>
      <c r="AA325" s="12"/>
      <c r="AB325" s="9"/>
      <c r="AC325" s="12"/>
      <c r="AD325" s="9"/>
      <c r="AE325" s="12"/>
      <c r="AF32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325" s="24"/>
      <c r="AH325" s="266">
        <f>Table4[[#This Row],[Date]]</f>
        <v>46043</v>
      </c>
      <c r="AI325" s="264" t="str">
        <f t="shared" si="62"/>
        <v>Jan</v>
      </c>
      <c r="AJ325" s="264" t="str">
        <f t="shared" si="63"/>
        <v>2026</v>
      </c>
      <c r="AK325" s="270" t="str">
        <f>Table4[[#This Row],[ကုန်သည်အမည်]]</f>
        <v>ကိုမွန်လေး</v>
      </c>
      <c r="AL325" s="270" t="str">
        <f>Table4[[#This Row],[Township]]</f>
        <v>Yay</v>
      </c>
      <c r="AM325" s="271" t="str">
        <f>Table4[[#This Row],[WholeSales]]</f>
        <v>SemiWholeSales</v>
      </c>
      <c r="AN325" s="272" t="str">
        <f>Table4[[#This Row],[Particular]]</f>
        <v>ကုန်ရောင်း(လက်ငင်း)</v>
      </c>
      <c r="AO325" s="273" t="str">
        <f>Table4[[#This Row],[StockName]]</f>
        <v>ဇေယျဝတီ Red (1 Liter) 30%</v>
      </c>
      <c r="AP325" s="268">
        <f>Table4[[#This Row],[Parking]]</f>
        <v>50</v>
      </c>
      <c r="AQ325" s="268">
        <f>Table4[[#This Row],[SalesBot]]</f>
        <v>600</v>
      </c>
      <c r="AR325" s="268">
        <f>Table4[[#This Row],[Liter]]</f>
        <v>600</v>
      </c>
    </row>
    <row r="326" spans="1:44" s="16" customFormat="1" hidden="1" x14ac:dyDescent="0.5">
      <c r="A326" s="3">
        <f t="shared" si="58"/>
        <v>2026</v>
      </c>
      <c r="B326" s="8">
        <f t="shared" si="59"/>
        <v>1</v>
      </c>
      <c r="C326" s="6">
        <v>46043</v>
      </c>
      <c r="D326" s="15">
        <f t="shared" ca="1" si="60"/>
        <v>46097</v>
      </c>
      <c r="E326" s="15" t="str">
        <f t="shared" ca="1" si="61"/>
        <v>1-Months</v>
      </c>
      <c r="F326" s="8" t="str">
        <f>VLOOKUP(N326,Stock[#Data],5,FALSE)</f>
        <v>BE</v>
      </c>
      <c r="G326" s="82" t="s">
        <v>1108</v>
      </c>
      <c r="H326" s="15"/>
      <c r="I326" s="7" t="s">
        <v>1109</v>
      </c>
      <c r="J326" s="8" t="str">
        <f>VLOOKUP(I326,Customers[#Data],2,FALSE)</f>
        <v>မဇာဇာဦး</v>
      </c>
      <c r="K326" s="15" t="str">
        <f>VLOOKUP(I326,Customers[#Data],4,FALSE)</f>
        <v>Yay</v>
      </c>
      <c r="L326" s="15" t="str">
        <f>VLOOKUP(I326,Customers[#Data],5,FALSE)</f>
        <v>Van Sales</v>
      </c>
      <c r="M326" s="7" t="s">
        <v>6</v>
      </c>
      <c r="N326" s="7" t="s">
        <v>517</v>
      </c>
      <c r="O326" s="14" t="str">
        <f>VLOOKUP(N326,Stock[#Data],2,FALSE)</f>
        <v>ဇေယျဝတီ Red (1 Liter) 30%</v>
      </c>
      <c r="P326" s="44">
        <f>VLOOKUP(N326,Stock[#Data],3,FALSE)</f>
        <v>1</v>
      </c>
      <c r="Q326" s="3">
        <f>VLOOKUP(N326,Stock[#Data],4,FALSE)</f>
        <v>12</v>
      </c>
      <c r="R326" s="11"/>
      <c r="S326" s="45">
        <f>IFERROR(Table4[[#This Row],[Bottle]]/Table4[[#This Row],[ပါဝင်မှု]]+Table4[[#This Row],[SalesPK]],0)</f>
        <v>50</v>
      </c>
      <c r="T326" s="12">
        <v>50</v>
      </c>
      <c r="U326" s="10">
        <f>Table4[[#This Row],[ပါဝင်မှု]]*Table4[[#This Row],[SalesPK]]+Table4[[#This Row],[Bottle]]</f>
        <v>600</v>
      </c>
      <c r="V326" s="10">
        <f>Table4[[#This Row],[SalesBot]]*Table4[[#This Row],[ML]]</f>
        <v>600</v>
      </c>
      <c r="W326" s="1">
        <f>VLOOKUP(N326,Stock[#Data],6,FALSE)</f>
        <v>1710</v>
      </c>
      <c r="X326" s="8">
        <f>+Table4[[#This Row],[SalesBot]]*Table4[[#This Row],[နှုံး]]</f>
        <v>1026000</v>
      </c>
      <c r="Y326" s="12"/>
      <c r="Z326" s="12"/>
      <c r="AA326" s="12"/>
      <c r="AB326" s="9"/>
      <c r="AC326" s="12"/>
      <c r="AD326" s="9"/>
      <c r="AE326" s="12"/>
      <c r="AF32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326" s="24"/>
      <c r="AH326" s="266">
        <f>Table4[[#This Row],[Date]]</f>
        <v>46043</v>
      </c>
      <c r="AI326" s="264" t="str">
        <f t="shared" si="62"/>
        <v>Jan</v>
      </c>
      <c r="AJ326" s="264" t="str">
        <f t="shared" si="63"/>
        <v>2026</v>
      </c>
      <c r="AK326" s="270" t="str">
        <f>Table4[[#This Row],[ကုန်သည်အမည်]]</f>
        <v>မဇာဇာဦး</v>
      </c>
      <c r="AL326" s="270" t="str">
        <f>Table4[[#This Row],[Township]]</f>
        <v>Yay</v>
      </c>
      <c r="AM326" s="271" t="str">
        <f>Table4[[#This Row],[WholeSales]]</f>
        <v>Van Sales</v>
      </c>
      <c r="AN326" s="272" t="str">
        <f>Table4[[#This Row],[Particular]]</f>
        <v>ကုန်ရောင်း(လက်ငင်း)</v>
      </c>
      <c r="AO326" s="273" t="str">
        <f>Table4[[#This Row],[StockName]]</f>
        <v>ဇေယျဝတီ Red (1 Liter) 30%</v>
      </c>
      <c r="AP326" s="268">
        <f>Table4[[#This Row],[Parking]]</f>
        <v>50</v>
      </c>
      <c r="AQ326" s="268">
        <f>Table4[[#This Row],[SalesBot]]</f>
        <v>600</v>
      </c>
      <c r="AR326" s="268">
        <f>Table4[[#This Row],[Liter]]</f>
        <v>600</v>
      </c>
    </row>
    <row r="327" spans="1:44" s="16" customFormat="1" hidden="1" x14ac:dyDescent="0.5">
      <c r="A327" s="3">
        <f t="shared" si="58"/>
        <v>2026</v>
      </c>
      <c r="B327" s="8">
        <f t="shared" si="59"/>
        <v>1</v>
      </c>
      <c r="C327" s="6">
        <v>46043</v>
      </c>
      <c r="D327" s="15">
        <f t="shared" ca="1" si="60"/>
        <v>46097</v>
      </c>
      <c r="E327" s="15" t="str">
        <f t="shared" ca="1" si="61"/>
        <v>1-Months</v>
      </c>
      <c r="F327" s="8" t="str">
        <f>VLOOKUP(N327,Stock[#Data],5,FALSE)</f>
        <v>BE</v>
      </c>
      <c r="G327" s="82" t="s">
        <v>1111</v>
      </c>
      <c r="H327" s="15"/>
      <c r="I327" s="7" t="s">
        <v>95</v>
      </c>
      <c r="J327" s="8" t="str">
        <f>VLOOKUP(I327,Customers[#Data],2,FALSE)</f>
        <v>ကျော်စတား</v>
      </c>
      <c r="K327" s="15" t="str">
        <f>VLOOKUP(I327,Customers[#Data],4,FALSE)</f>
        <v>Yay</v>
      </c>
      <c r="L327" s="15" t="str">
        <f>VLOOKUP(I327,Customers[#Data],5,FALSE)</f>
        <v>WholeSales</v>
      </c>
      <c r="M327" s="7" t="s">
        <v>7</v>
      </c>
      <c r="N327" s="7" t="s">
        <v>517</v>
      </c>
      <c r="O327" s="14" t="str">
        <f>VLOOKUP(N327,Stock[#Data],2,FALSE)</f>
        <v>ဇေယျဝတီ Red (1 Liter) 30%</v>
      </c>
      <c r="P327" s="44">
        <f>VLOOKUP(N327,Stock[#Data],3,FALSE)</f>
        <v>1</v>
      </c>
      <c r="Q327" s="3">
        <f>VLOOKUP(N327,Stock[#Data],4,FALSE)</f>
        <v>12</v>
      </c>
      <c r="R327" s="11"/>
      <c r="S327" s="45">
        <f>IFERROR(Table4[[#This Row],[Bottle]]/Table4[[#This Row],[ပါဝင်မှု]]+Table4[[#This Row],[SalesPK]],0)</f>
        <v>250</v>
      </c>
      <c r="T327" s="12">
        <v>250</v>
      </c>
      <c r="U327" s="10">
        <f>Table4[[#This Row],[ပါဝင်မှု]]*Table4[[#This Row],[SalesPK]]+Table4[[#This Row],[Bottle]]</f>
        <v>3000</v>
      </c>
      <c r="V327" s="10">
        <f>Table4[[#This Row],[SalesBot]]*Table4[[#This Row],[ML]]</f>
        <v>3000</v>
      </c>
      <c r="W327" s="1">
        <f>VLOOKUP(N327,Stock[#Data],6,FALSE)</f>
        <v>1710</v>
      </c>
      <c r="X327" s="8">
        <f>+Table4[[#This Row],[SalesBot]]*Table4[[#This Row],[နှုံး]]</f>
        <v>5130000</v>
      </c>
      <c r="Y327" s="12"/>
      <c r="Z327" s="12"/>
      <c r="AA327" s="12"/>
      <c r="AB327" s="9"/>
      <c r="AC327" s="12"/>
      <c r="AD327" s="9"/>
      <c r="AE327" s="12"/>
      <c r="AF32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5130000</v>
      </c>
      <c r="AG327" s="24"/>
      <c r="AH327" s="266">
        <f>Table4[[#This Row],[Date]]</f>
        <v>46043</v>
      </c>
      <c r="AI327" s="264" t="str">
        <f t="shared" si="62"/>
        <v>Jan</v>
      </c>
      <c r="AJ327" s="264" t="str">
        <f t="shared" si="63"/>
        <v>2026</v>
      </c>
      <c r="AK327" s="270" t="str">
        <f>Table4[[#This Row],[ကုန်သည်အမည်]]</f>
        <v>ကျော်စတား</v>
      </c>
      <c r="AL327" s="270" t="str">
        <f>Table4[[#This Row],[Township]]</f>
        <v>Yay</v>
      </c>
      <c r="AM327" s="271" t="str">
        <f>Table4[[#This Row],[WholeSales]]</f>
        <v>WholeSales</v>
      </c>
      <c r="AN327" s="272" t="str">
        <f>Table4[[#This Row],[Particular]]</f>
        <v>ကုန်ရောင်း(အကြွေး)</v>
      </c>
      <c r="AO327" s="273" t="str">
        <f>Table4[[#This Row],[StockName]]</f>
        <v>ဇေယျဝတီ Red (1 Liter) 30%</v>
      </c>
      <c r="AP327" s="268">
        <f>Table4[[#This Row],[Parking]]</f>
        <v>250</v>
      </c>
      <c r="AQ327" s="268">
        <f>Table4[[#This Row],[SalesBot]]</f>
        <v>3000</v>
      </c>
      <c r="AR327" s="268">
        <f>Table4[[#This Row],[Liter]]</f>
        <v>3000</v>
      </c>
    </row>
    <row r="328" spans="1:44" s="16" customFormat="1" hidden="1" x14ac:dyDescent="0.5">
      <c r="A328" s="3">
        <f t="shared" si="58"/>
        <v>2026</v>
      </c>
      <c r="B328" s="8">
        <f t="shared" si="59"/>
        <v>1</v>
      </c>
      <c r="C328" s="6">
        <v>46043</v>
      </c>
      <c r="D328" s="15">
        <f t="shared" ca="1" si="60"/>
        <v>46097</v>
      </c>
      <c r="E328" s="15" t="str">
        <f t="shared" ca="1" si="61"/>
        <v>1-Months</v>
      </c>
      <c r="F328" s="8" t="str">
        <f>VLOOKUP(N328,Stock[#Data],5,FALSE)</f>
        <v>BE</v>
      </c>
      <c r="G328" s="82" t="s">
        <v>1112</v>
      </c>
      <c r="H328" s="15"/>
      <c r="I328" s="7" t="s">
        <v>95</v>
      </c>
      <c r="J328" s="8" t="str">
        <f>VLOOKUP(I328,Customers[#Data],2,FALSE)</f>
        <v>ကျော်စတား</v>
      </c>
      <c r="K328" s="15" t="str">
        <f>VLOOKUP(I328,Customers[#Data],4,FALSE)</f>
        <v>Yay</v>
      </c>
      <c r="L328" s="15" t="str">
        <f>VLOOKUP(I328,Customers[#Data],5,FALSE)</f>
        <v>WholeSales</v>
      </c>
      <c r="M328" s="7" t="s">
        <v>7</v>
      </c>
      <c r="N328" s="7" t="s">
        <v>514</v>
      </c>
      <c r="O328" s="14" t="str">
        <f>VLOOKUP(N328,Stock[#Data],2,FALSE)</f>
        <v>ဇေယျဝတီ Red</v>
      </c>
      <c r="P328" s="44">
        <f>VLOOKUP(N328,Stock[#Data],3,FALSE)</f>
        <v>0.64</v>
      </c>
      <c r="Q328" s="3">
        <f>VLOOKUP(N328,Stock[#Data],4,FALSE)</f>
        <v>14</v>
      </c>
      <c r="R328" s="11"/>
      <c r="S328" s="45">
        <f>IFERROR(Table4[[#This Row],[Bottle]]/Table4[[#This Row],[ပါဝင်မှု]]+Table4[[#This Row],[SalesPK]],0)</f>
        <v>200</v>
      </c>
      <c r="T328" s="12">
        <v>200</v>
      </c>
      <c r="U328" s="10">
        <f>Table4[[#This Row],[ပါဝင်မှု]]*Table4[[#This Row],[SalesPK]]+Table4[[#This Row],[Bottle]]</f>
        <v>2800</v>
      </c>
      <c r="V328" s="10">
        <f>Table4[[#This Row],[SalesBot]]*Table4[[#This Row],[ML]]</f>
        <v>1792</v>
      </c>
      <c r="W328" s="1">
        <f>VLOOKUP(N328,Stock[#Data],6,FALSE)</f>
        <v>1350</v>
      </c>
      <c r="X328" s="8">
        <f>+Table4[[#This Row],[SalesBot]]*Table4[[#This Row],[နှုံး]]</f>
        <v>3780000</v>
      </c>
      <c r="Y328" s="12"/>
      <c r="Z328" s="12"/>
      <c r="AA328" s="12"/>
      <c r="AB328" s="9"/>
      <c r="AC328" s="12"/>
      <c r="AD328" s="9"/>
      <c r="AE328" s="12"/>
      <c r="AF32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3780000</v>
      </c>
      <c r="AG328" s="24"/>
      <c r="AH328" s="266">
        <f>Table4[[#This Row],[Date]]</f>
        <v>46043</v>
      </c>
      <c r="AI328" s="264" t="str">
        <f t="shared" si="62"/>
        <v>Jan</v>
      </c>
      <c r="AJ328" s="264" t="str">
        <f t="shared" si="63"/>
        <v>2026</v>
      </c>
      <c r="AK328" s="270" t="str">
        <f>Table4[[#This Row],[ကုန်သည်အမည်]]</f>
        <v>ကျော်စတား</v>
      </c>
      <c r="AL328" s="270" t="str">
        <f>Table4[[#This Row],[Township]]</f>
        <v>Yay</v>
      </c>
      <c r="AM328" s="271" t="str">
        <f>Table4[[#This Row],[WholeSales]]</f>
        <v>WholeSales</v>
      </c>
      <c r="AN328" s="272" t="str">
        <f>Table4[[#This Row],[Particular]]</f>
        <v>ကုန်ရောင်း(အကြွေး)</v>
      </c>
      <c r="AO328" s="273" t="str">
        <f>Table4[[#This Row],[StockName]]</f>
        <v>ဇေယျဝတီ Red</v>
      </c>
      <c r="AP328" s="268">
        <f>Table4[[#This Row],[Parking]]</f>
        <v>200</v>
      </c>
      <c r="AQ328" s="268">
        <f>Table4[[#This Row],[SalesBot]]</f>
        <v>2800</v>
      </c>
      <c r="AR328" s="268">
        <f>Table4[[#This Row],[Liter]]</f>
        <v>1792</v>
      </c>
    </row>
    <row r="329" spans="1:44" s="16" customFormat="1" hidden="1" x14ac:dyDescent="0.5">
      <c r="A329" s="3">
        <f t="shared" si="58"/>
        <v>2026</v>
      </c>
      <c r="B329" s="8">
        <f t="shared" si="59"/>
        <v>1</v>
      </c>
      <c r="C329" s="6">
        <v>46043</v>
      </c>
      <c r="D329" s="15">
        <f t="shared" ca="1" si="60"/>
        <v>46097</v>
      </c>
      <c r="E329" s="15" t="str">
        <f t="shared" ca="1" si="61"/>
        <v>1-Months</v>
      </c>
      <c r="F329" s="8" t="str">
        <f>VLOOKUP(N329,Stock[#Data],5,FALSE)</f>
        <v>BE</v>
      </c>
      <c r="G329" s="82" t="s">
        <v>1113</v>
      </c>
      <c r="H329" s="15"/>
      <c r="I329" s="7" t="s">
        <v>93</v>
      </c>
      <c r="J329" s="8" t="str">
        <f>VLOOKUP(I329,Customers[#Data],2,FALSE)</f>
        <v>မဝင့်ဝါထိုက်(ရွှေပင်လယ်)</v>
      </c>
      <c r="K329" s="15" t="str">
        <f>VLOOKUP(I329,Customers[#Data],4,FALSE)</f>
        <v>Yay</v>
      </c>
      <c r="L329" s="15" t="str">
        <f>VLOOKUP(I329,Customers[#Data],5,FALSE)</f>
        <v>WholeSales</v>
      </c>
      <c r="M329" s="7" t="s">
        <v>120</v>
      </c>
      <c r="N329" s="7" t="s">
        <v>517</v>
      </c>
      <c r="O329" s="14" t="str">
        <f>VLOOKUP(N329,Stock[#Data],2,FALSE)</f>
        <v>ဇေယျဝတီ Red (1 Liter) 30%</v>
      </c>
      <c r="P329" s="44">
        <f>VLOOKUP(N329,Stock[#Data],3,FALSE)</f>
        <v>1</v>
      </c>
      <c r="Q329" s="3">
        <f>VLOOKUP(N329,Stock[#Data],4,FALSE)</f>
        <v>12</v>
      </c>
      <c r="R329" s="11"/>
      <c r="S329" s="45">
        <f>IFERROR(Table4[[#This Row],[Bottle]]/Table4[[#This Row],[ပါဝင်မှု]]+Table4[[#This Row],[SalesPK]],0)</f>
        <v>100</v>
      </c>
      <c r="T329" s="12">
        <v>100</v>
      </c>
      <c r="U329" s="10">
        <f>Table4[[#This Row],[ပါဝင်မှု]]*Table4[[#This Row],[SalesPK]]+Table4[[#This Row],[Bottle]]</f>
        <v>1200</v>
      </c>
      <c r="V329" s="10">
        <f>Table4[[#This Row],[SalesBot]]*Table4[[#This Row],[ML]]</f>
        <v>1200</v>
      </c>
      <c r="W329" s="1">
        <f>VLOOKUP(N329,Stock[#Data],6,FALSE)</f>
        <v>1710</v>
      </c>
      <c r="X329" s="8">
        <f>+Table4[[#This Row],[SalesBot]]*Table4[[#This Row],[နှုံး]]</f>
        <v>2052000</v>
      </c>
      <c r="Y329" s="12"/>
      <c r="Z329" s="12"/>
      <c r="AA329" s="12"/>
      <c r="AB329" s="9"/>
      <c r="AC329" s="12"/>
      <c r="AD329" s="9"/>
      <c r="AE329" s="12"/>
      <c r="AF32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329" s="24"/>
      <c r="AH329" s="266">
        <f>Table4[[#This Row],[Date]]</f>
        <v>46043</v>
      </c>
      <c r="AI329" s="264" t="str">
        <f t="shared" si="62"/>
        <v>Jan</v>
      </c>
      <c r="AJ329" s="264" t="str">
        <f t="shared" si="63"/>
        <v>2026</v>
      </c>
      <c r="AK329" s="270" t="str">
        <f>Table4[[#This Row],[ကုန်သည်အမည်]]</f>
        <v>မဝင့်ဝါထိုက်(ရွှေပင်လယ်)</v>
      </c>
      <c r="AL329" s="270" t="str">
        <f>Table4[[#This Row],[Township]]</f>
        <v>Yay</v>
      </c>
      <c r="AM329" s="271" t="str">
        <f>Table4[[#This Row],[WholeSales]]</f>
        <v>WholeSales</v>
      </c>
      <c r="AN329" s="272" t="str">
        <f>Table4[[#This Row],[Particular]]</f>
        <v>ကြိုရောင်း</v>
      </c>
      <c r="AO329" s="273" t="str">
        <f>Table4[[#This Row],[StockName]]</f>
        <v>ဇေယျဝတီ Red (1 Liter) 30%</v>
      </c>
      <c r="AP329" s="268">
        <f>Table4[[#This Row],[Parking]]</f>
        <v>100</v>
      </c>
      <c r="AQ329" s="268">
        <f>Table4[[#This Row],[SalesBot]]</f>
        <v>1200</v>
      </c>
      <c r="AR329" s="268">
        <f>Table4[[#This Row],[Liter]]</f>
        <v>1200</v>
      </c>
    </row>
    <row r="330" spans="1:44" s="16" customFormat="1" hidden="1" x14ac:dyDescent="0.5">
      <c r="A330" s="3">
        <f t="shared" si="58"/>
        <v>2026</v>
      </c>
      <c r="B330" s="8">
        <f t="shared" si="59"/>
        <v>1</v>
      </c>
      <c r="C330" s="6">
        <v>46043</v>
      </c>
      <c r="D330" s="15">
        <f t="shared" ca="1" si="60"/>
        <v>46097</v>
      </c>
      <c r="E330" s="15" t="str">
        <f t="shared" ca="1" si="61"/>
        <v>1-Months</v>
      </c>
      <c r="F330" s="8" t="str">
        <f>VLOOKUP(N330,Stock[#Data],5,FALSE)</f>
        <v>BE</v>
      </c>
      <c r="G330" s="82" t="s">
        <v>1114</v>
      </c>
      <c r="H330" s="15" t="s">
        <v>439</v>
      </c>
      <c r="I330" s="7" t="s">
        <v>1115</v>
      </c>
      <c r="J330" s="8" t="str">
        <f>VLOOKUP(I330,Customers[#Data],2,FALSE)</f>
        <v>ဖြိူးဝေဦး</v>
      </c>
      <c r="K330" s="15" t="str">
        <f>VLOOKUP(I330,Customers[#Data],4,FALSE)</f>
        <v>Maw La Myaing</v>
      </c>
      <c r="L330" s="15" t="str">
        <f>VLOOKUP(I330,Customers[#Data],5,FALSE)</f>
        <v>Van Sales</v>
      </c>
      <c r="M330" s="7" t="s">
        <v>6</v>
      </c>
      <c r="N330" s="7" t="s">
        <v>518</v>
      </c>
      <c r="O330" s="14" t="str">
        <f>VLOOKUP(N330,Stock[#Data],2,FALSE)</f>
        <v>"ဇေ" ကော်ဘူး (1 Liter)</v>
      </c>
      <c r="P330" s="44">
        <f>VLOOKUP(N330,Stock[#Data],3,FALSE)</f>
        <v>1</v>
      </c>
      <c r="Q330" s="3">
        <f>VLOOKUP(N330,Stock[#Data],4,FALSE)</f>
        <v>12</v>
      </c>
      <c r="R330" s="11"/>
      <c r="S330" s="45">
        <f>IFERROR(Table4[[#This Row],[Bottle]]/Table4[[#This Row],[ပါဝင်မှု]]+Table4[[#This Row],[SalesPK]],0)</f>
        <v>5</v>
      </c>
      <c r="T330" s="12">
        <v>5</v>
      </c>
      <c r="U330" s="10">
        <f>Table4[[#This Row],[ပါဝင်မှု]]*Table4[[#This Row],[SalesPK]]+Table4[[#This Row],[Bottle]]</f>
        <v>60</v>
      </c>
      <c r="V330" s="10">
        <f>Table4[[#This Row],[SalesBot]]*Table4[[#This Row],[ML]]</f>
        <v>60</v>
      </c>
      <c r="W330" s="1">
        <f>VLOOKUP(N330,Stock[#Data],6,FALSE)</f>
        <v>1675</v>
      </c>
      <c r="X330" s="8">
        <f>+Table4[[#This Row],[SalesBot]]*Table4[[#This Row],[နှုံး]]</f>
        <v>100500</v>
      </c>
      <c r="Y330" s="12"/>
      <c r="Z330" s="12"/>
      <c r="AA330" s="12"/>
      <c r="AB330" s="9"/>
      <c r="AC330" s="12"/>
      <c r="AD330" s="9"/>
      <c r="AE330" s="12"/>
      <c r="AF33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330" s="24"/>
      <c r="AH330" s="266">
        <f>Table4[[#This Row],[Date]]</f>
        <v>46043</v>
      </c>
      <c r="AI330" s="264" t="str">
        <f t="shared" si="62"/>
        <v>Jan</v>
      </c>
      <c r="AJ330" s="264" t="str">
        <f t="shared" si="63"/>
        <v>2026</v>
      </c>
      <c r="AK330" s="270" t="str">
        <f>Table4[[#This Row],[ကုန်သည်အမည်]]</f>
        <v>ဖြိူးဝေဦး</v>
      </c>
      <c r="AL330" s="270" t="str">
        <f>Table4[[#This Row],[Township]]</f>
        <v>Maw La Myaing</v>
      </c>
      <c r="AM330" s="271" t="str">
        <f>Table4[[#This Row],[WholeSales]]</f>
        <v>Van Sales</v>
      </c>
      <c r="AN330" s="272" t="str">
        <f>Table4[[#This Row],[Particular]]</f>
        <v>ကုန်ရောင်း(လက်ငင်း)</v>
      </c>
      <c r="AO330" s="273" t="str">
        <f>Table4[[#This Row],[StockName]]</f>
        <v>"ဇေ" ကော်ဘူး (1 Liter)</v>
      </c>
      <c r="AP330" s="268">
        <f>Table4[[#This Row],[Parking]]</f>
        <v>5</v>
      </c>
      <c r="AQ330" s="268">
        <f>Table4[[#This Row],[SalesBot]]</f>
        <v>60</v>
      </c>
      <c r="AR330" s="268">
        <f>Table4[[#This Row],[Liter]]</f>
        <v>60</v>
      </c>
    </row>
    <row r="331" spans="1:44" s="16" customFormat="1" hidden="1" x14ac:dyDescent="0.5">
      <c r="A331" s="3">
        <f t="shared" si="58"/>
        <v>2026</v>
      </c>
      <c r="B331" s="8">
        <f t="shared" si="59"/>
        <v>1</v>
      </c>
      <c r="C331" s="6">
        <v>46043</v>
      </c>
      <c r="D331" s="15">
        <f t="shared" ca="1" si="60"/>
        <v>46097</v>
      </c>
      <c r="E331" s="15" t="str">
        <f t="shared" ca="1" si="61"/>
        <v>1-Months</v>
      </c>
      <c r="F331" s="8" t="str">
        <f>VLOOKUP(N331,Stock[#Data],5,FALSE)</f>
        <v>BE</v>
      </c>
      <c r="G331" s="82" t="s">
        <v>1114</v>
      </c>
      <c r="H331" s="15" t="s">
        <v>439</v>
      </c>
      <c r="I331" s="7" t="s">
        <v>1115</v>
      </c>
      <c r="J331" s="8" t="str">
        <f>VLOOKUP(I331,Customers[#Data],2,FALSE)</f>
        <v>ဖြိူးဝေဦး</v>
      </c>
      <c r="K331" s="15" t="str">
        <f>VLOOKUP(I331,Customers[#Data],4,FALSE)</f>
        <v>Maw La Myaing</v>
      </c>
      <c r="L331" s="15" t="str">
        <f>VLOOKUP(I331,Customers[#Data],5,FALSE)</f>
        <v>Van Sales</v>
      </c>
      <c r="M331" s="7" t="s">
        <v>6</v>
      </c>
      <c r="N331" s="7" t="s">
        <v>522</v>
      </c>
      <c r="O331" s="14" t="str">
        <f>VLOOKUP(N331,Stock[#Data],2,FALSE)</f>
        <v>ဒဂုံမန်ကျည်း ကော်ဘူး (1 Liter)</v>
      </c>
      <c r="P331" s="44">
        <f>VLOOKUP(N331,Stock[#Data],3,FALSE)</f>
        <v>1</v>
      </c>
      <c r="Q331" s="3">
        <f>VLOOKUP(N331,Stock[#Data],4,FALSE)</f>
        <v>12</v>
      </c>
      <c r="R331" s="11">
        <v>1</v>
      </c>
      <c r="S331" s="45">
        <f>IFERROR(Table4[[#This Row],[Bottle]]/Table4[[#This Row],[ပါဝင်မှု]]+Table4[[#This Row],[SalesPK]],0)</f>
        <v>8.3333333333333329E-2</v>
      </c>
      <c r="T331" s="12"/>
      <c r="U331" s="10">
        <f>Table4[[#This Row],[ပါဝင်မှု]]*Table4[[#This Row],[SalesPK]]+Table4[[#This Row],[Bottle]]</f>
        <v>1</v>
      </c>
      <c r="V331" s="10">
        <f>Table4[[#This Row],[SalesBot]]*Table4[[#This Row],[ML]]</f>
        <v>1</v>
      </c>
      <c r="W331" s="1">
        <f>VLOOKUP(N331,Stock[#Data],6,FALSE)</f>
        <v>1600</v>
      </c>
      <c r="X331" s="8">
        <f>+Table4[[#This Row],[SalesBot]]*Table4[[#This Row],[နှုံး]]</f>
        <v>1600</v>
      </c>
      <c r="Y331" s="12"/>
      <c r="Z331" s="12"/>
      <c r="AA331" s="12"/>
      <c r="AB331" s="9"/>
      <c r="AC331" s="12"/>
      <c r="AD331" s="9"/>
      <c r="AE331" s="12"/>
      <c r="AF33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331" s="24"/>
      <c r="AH331" s="266">
        <f>Table4[[#This Row],[Date]]</f>
        <v>46043</v>
      </c>
      <c r="AI331" s="264" t="str">
        <f t="shared" si="62"/>
        <v>Jan</v>
      </c>
      <c r="AJ331" s="264" t="str">
        <f t="shared" si="63"/>
        <v>2026</v>
      </c>
      <c r="AK331" s="270" t="str">
        <f>Table4[[#This Row],[ကုန်သည်အမည်]]</f>
        <v>ဖြိူးဝေဦး</v>
      </c>
      <c r="AL331" s="270" t="str">
        <f>Table4[[#This Row],[Township]]</f>
        <v>Maw La Myaing</v>
      </c>
      <c r="AM331" s="271" t="str">
        <f>Table4[[#This Row],[WholeSales]]</f>
        <v>Van Sales</v>
      </c>
      <c r="AN331" s="272" t="str">
        <f>Table4[[#This Row],[Particular]]</f>
        <v>ကုန်ရောင်း(လက်ငင်း)</v>
      </c>
      <c r="AO331" s="273" t="str">
        <f>Table4[[#This Row],[StockName]]</f>
        <v>ဒဂုံမန်ကျည်း ကော်ဘူး (1 Liter)</v>
      </c>
      <c r="AP331" s="268">
        <f>Table4[[#This Row],[Parking]]</f>
        <v>8.3333333333333329E-2</v>
      </c>
      <c r="AQ331" s="268">
        <f>Table4[[#This Row],[SalesBot]]</f>
        <v>1</v>
      </c>
      <c r="AR331" s="268">
        <f>Table4[[#This Row],[Liter]]</f>
        <v>1</v>
      </c>
    </row>
    <row r="332" spans="1:44" s="16" customFormat="1" hidden="1" x14ac:dyDescent="0.5">
      <c r="A332" s="3">
        <f t="shared" si="58"/>
        <v>2026</v>
      </c>
      <c r="B332" s="8">
        <f t="shared" si="59"/>
        <v>1</v>
      </c>
      <c r="C332" s="6">
        <v>46043</v>
      </c>
      <c r="D332" s="15">
        <f t="shared" ca="1" si="60"/>
        <v>46097</v>
      </c>
      <c r="E332" s="15" t="str">
        <f t="shared" ca="1" si="61"/>
        <v>1-Months</v>
      </c>
      <c r="F332" s="8" t="str">
        <f>VLOOKUP(N332,Stock[#Data],5,FALSE)</f>
        <v>BE</v>
      </c>
      <c r="G332" s="82" t="s">
        <v>1119</v>
      </c>
      <c r="H332" s="15" t="s">
        <v>439</v>
      </c>
      <c r="I332" s="7" t="s">
        <v>852</v>
      </c>
      <c r="J332" s="8" t="str">
        <f>VLOOKUP(I332,Customers[#Data],2,FALSE)</f>
        <v>ဦးဘိုနီ</v>
      </c>
      <c r="K332" s="15" t="str">
        <f>VLOOKUP(I332,Customers[#Data],4,FALSE)</f>
        <v>Maw La Myaing</v>
      </c>
      <c r="L332" s="15" t="str">
        <f>VLOOKUP(I332,Customers[#Data],5,FALSE)</f>
        <v>Van Sales</v>
      </c>
      <c r="M332" s="7" t="s">
        <v>6</v>
      </c>
      <c r="N332" s="7" t="s">
        <v>522</v>
      </c>
      <c r="O332" s="14" t="str">
        <f>VLOOKUP(N332,Stock[#Data],2,FALSE)</f>
        <v>ဒဂုံမန်ကျည်း ကော်ဘူး (1 Liter)</v>
      </c>
      <c r="P332" s="44">
        <f>VLOOKUP(N332,Stock[#Data],3,FALSE)</f>
        <v>1</v>
      </c>
      <c r="Q332" s="3">
        <f>VLOOKUP(N332,Stock[#Data],4,FALSE)</f>
        <v>12</v>
      </c>
      <c r="R332" s="11">
        <v>3</v>
      </c>
      <c r="S332" s="45">
        <f>IFERROR(Table4[[#This Row],[Bottle]]/Table4[[#This Row],[ပါဝင်မှု]]+Table4[[#This Row],[SalesPK]],0)</f>
        <v>0.25</v>
      </c>
      <c r="T332" s="12"/>
      <c r="U332" s="10">
        <f>Table4[[#This Row],[ပါဝင်မှု]]*Table4[[#This Row],[SalesPK]]+Table4[[#This Row],[Bottle]]</f>
        <v>3</v>
      </c>
      <c r="V332" s="10">
        <f>Table4[[#This Row],[SalesBot]]*Table4[[#This Row],[ML]]</f>
        <v>3</v>
      </c>
      <c r="W332" s="1">
        <f>VLOOKUP(N332,Stock[#Data],6,FALSE)</f>
        <v>1600</v>
      </c>
      <c r="X332" s="8">
        <f>+Table4[[#This Row],[SalesBot]]*Table4[[#This Row],[နှုံး]]</f>
        <v>4800</v>
      </c>
      <c r="Y332" s="12"/>
      <c r="Z332" s="12"/>
      <c r="AA332" s="12"/>
      <c r="AB332" s="9"/>
      <c r="AC332" s="12"/>
      <c r="AD332" s="9"/>
      <c r="AE332" s="12"/>
      <c r="AF33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4800</v>
      </c>
      <c r="AG332" s="24"/>
      <c r="AH332" s="266">
        <f>Table4[[#This Row],[Date]]</f>
        <v>46043</v>
      </c>
      <c r="AI332" s="264" t="str">
        <f t="shared" si="62"/>
        <v>Jan</v>
      </c>
      <c r="AJ332" s="264" t="str">
        <f t="shared" si="63"/>
        <v>2026</v>
      </c>
      <c r="AK332" s="270" t="str">
        <f>Table4[[#This Row],[ကုန်သည်အမည်]]</f>
        <v>ဦးဘိုနီ</v>
      </c>
      <c r="AL332" s="270" t="str">
        <f>Table4[[#This Row],[Township]]</f>
        <v>Maw La Myaing</v>
      </c>
      <c r="AM332" s="271" t="str">
        <f>Table4[[#This Row],[WholeSales]]</f>
        <v>Van Sales</v>
      </c>
      <c r="AN332" s="272" t="str">
        <f>Table4[[#This Row],[Particular]]</f>
        <v>ကုန်ရောင်း(လက်ငင်း)</v>
      </c>
      <c r="AO332" s="273" t="str">
        <f>Table4[[#This Row],[StockName]]</f>
        <v>ဒဂုံမန်ကျည်း ကော်ဘူး (1 Liter)</v>
      </c>
      <c r="AP332" s="268">
        <f>Table4[[#This Row],[Parking]]</f>
        <v>0.25</v>
      </c>
      <c r="AQ332" s="268">
        <f>Table4[[#This Row],[SalesBot]]</f>
        <v>3</v>
      </c>
      <c r="AR332" s="268">
        <f>Table4[[#This Row],[Liter]]</f>
        <v>3</v>
      </c>
    </row>
    <row r="333" spans="1:44" s="16" customFormat="1" hidden="1" x14ac:dyDescent="0.5">
      <c r="A333" s="3">
        <f t="shared" si="58"/>
        <v>2026</v>
      </c>
      <c r="B333" s="8">
        <f t="shared" si="59"/>
        <v>1</v>
      </c>
      <c r="C333" s="6">
        <v>46043</v>
      </c>
      <c r="D333" s="15">
        <f t="shared" ca="1" si="60"/>
        <v>46097</v>
      </c>
      <c r="E333" s="15" t="str">
        <f t="shared" ca="1" si="61"/>
        <v>1-Months</v>
      </c>
      <c r="F333" s="8" t="str">
        <f>VLOOKUP(N333,Stock[#Data],5,FALSE)</f>
        <v>BE</v>
      </c>
      <c r="G333" s="82" t="s">
        <v>1119</v>
      </c>
      <c r="H333" s="15" t="s">
        <v>439</v>
      </c>
      <c r="I333" s="7" t="s">
        <v>852</v>
      </c>
      <c r="J333" s="8" t="str">
        <f>VLOOKUP(I333,Customers[#Data],2,FALSE)</f>
        <v>ဦးဘိုနီ</v>
      </c>
      <c r="K333" s="15" t="str">
        <f>VLOOKUP(I333,Customers[#Data],4,FALSE)</f>
        <v>Maw La Myaing</v>
      </c>
      <c r="L333" s="15" t="str">
        <f>VLOOKUP(I333,Customers[#Data],5,FALSE)</f>
        <v>Van Sales</v>
      </c>
      <c r="M333" s="7" t="s">
        <v>6</v>
      </c>
      <c r="N333" s="7" t="s">
        <v>425</v>
      </c>
      <c r="O333" s="14" t="str">
        <f>VLOOKUP(N333,Stock[#Data],2,FALSE)</f>
        <v>ကောင်းကြည်-1Li</v>
      </c>
      <c r="P333" s="44">
        <f>VLOOKUP(N333,Stock[#Data],3,FALSE)</f>
        <v>1</v>
      </c>
      <c r="Q333" s="3">
        <f>VLOOKUP(N333,Stock[#Data],4,FALSE)</f>
        <v>12</v>
      </c>
      <c r="R333" s="11">
        <v>3</v>
      </c>
      <c r="S333" s="45">
        <f>IFERROR(Table4[[#This Row],[Bottle]]/Table4[[#This Row],[ပါဝင်မှု]]+Table4[[#This Row],[SalesPK]],0)</f>
        <v>0.25</v>
      </c>
      <c r="T333" s="12"/>
      <c r="U333" s="10">
        <f>Table4[[#This Row],[ပါဝင်မှု]]*Table4[[#This Row],[SalesPK]]+Table4[[#This Row],[Bottle]]</f>
        <v>3</v>
      </c>
      <c r="V333" s="10">
        <f>Table4[[#This Row],[SalesBot]]*Table4[[#This Row],[ML]]</f>
        <v>3</v>
      </c>
      <c r="W333" s="1">
        <f>VLOOKUP(N333,Stock[#Data],6,FALSE)</f>
        <v>1500</v>
      </c>
      <c r="X333" s="8">
        <f>+Table4[[#This Row],[SalesBot]]*Table4[[#This Row],[နှုံး]]</f>
        <v>4500</v>
      </c>
      <c r="Y333" s="12"/>
      <c r="Z333" s="12"/>
      <c r="AA333" s="12"/>
      <c r="AB333" s="9"/>
      <c r="AC333" s="12"/>
      <c r="AD333" s="9"/>
      <c r="AE333" s="12"/>
      <c r="AF33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4500</v>
      </c>
      <c r="AG333" s="24"/>
      <c r="AH333" s="266">
        <f>Table4[[#This Row],[Date]]</f>
        <v>46043</v>
      </c>
      <c r="AI333" s="264" t="str">
        <f t="shared" si="62"/>
        <v>Jan</v>
      </c>
      <c r="AJ333" s="264" t="str">
        <f t="shared" si="63"/>
        <v>2026</v>
      </c>
      <c r="AK333" s="270" t="str">
        <f>Table4[[#This Row],[ကုန်သည်အမည်]]</f>
        <v>ဦးဘိုနီ</v>
      </c>
      <c r="AL333" s="270" t="str">
        <f>Table4[[#This Row],[Township]]</f>
        <v>Maw La Myaing</v>
      </c>
      <c r="AM333" s="271" t="str">
        <f>Table4[[#This Row],[WholeSales]]</f>
        <v>Van Sales</v>
      </c>
      <c r="AN333" s="272" t="str">
        <f>Table4[[#This Row],[Particular]]</f>
        <v>ကုန်ရောင်း(လက်ငင်း)</v>
      </c>
      <c r="AO333" s="273" t="str">
        <f>Table4[[#This Row],[StockName]]</f>
        <v>ကောင်းကြည်-1Li</v>
      </c>
      <c r="AP333" s="268">
        <f>Table4[[#This Row],[Parking]]</f>
        <v>0.25</v>
      </c>
      <c r="AQ333" s="268">
        <f>Table4[[#This Row],[SalesBot]]</f>
        <v>3</v>
      </c>
      <c r="AR333" s="268">
        <f>Table4[[#This Row],[Liter]]</f>
        <v>3</v>
      </c>
    </row>
    <row r="334" spans="1:44" s="16" customFormat="1" hidden="1" x14ac:dyDescent="0.5">
      <c r="A334" s="3">
        <f t="shared" si="58"/>
        <v>2026</v>
      </c>
      <c r="B334" s="8">
        <f t="shared" si="59"/>
        <v>1</v>
      </c>
      <c r="C334" s="6">
        <v>46043</v>
      </c>
      <c r="D334" s="15">
        <f t="shared" ca="1" si="60"/>
        <v>46097</v>
      </c>
      <c r="E334" s="15" t="str">
        <f t="shared" ca="1" si="61"/>
        <v>1-Months</v>
      </c>
      <c r="F334" s="8" t="str">
        <f>VLOOKUP(N334,Stock[#Data],5,FALSE)</f>
        <v>BE</v>
      </c>
      <c r="G334" s="82" t="s">
        <v>1119</v>
      </c>
      <c r="H334" s="15" t="s">
        <v>439</v>
      </c>
      <c r="I334" s="7" t="s">
        <v>852</v>
      </c>
      <c r="J334" s="8" t="str">
        <f>VLOOKUP(I334,Customers[#Data],2,FALSE)</f>
        <v>ဦးဘိုနီ</v>
      </c>
      <c r="K334" s="15" t="str">
        <f>VLOOKUP(I334,Customers[#Data],4,FALSE)</f>
        <v>Maw La Myaing</v>
      </c>
      <c r="L334" s="15" t="str">
        <f>VLOOKUP(I334,Customers[#Data],5,FALSE)</f>
        <v>Van Sales</v>
      </c>
      <c r="M334" s="7" t="s">
        <v>6</v>
      </c>
      <c r="N334" s="7" t="s">
        <v>508</v>
      </c>
      <c r="O334" s="14" t="str">
        <f>VLOOKUP(N334,Stock[#Data],2,FALSE)</f>
        <v>ကောင်းကြည်-1Li</v>
      </c>
      <c r="P334" s="44">
        <f>VLOOKUP(N334,Stock[#Data],3,FALSE)</f>
        <v>1</v>
      </c>
      <c r="Q334" s="3">
        <f>VLOOKUP(N334,Stock[#Data],4,FALSE)</f>
        <v>12</v>
      </c>
      <c r="R334" s="11">
        <v>3</v>
      </c>
      <c r="S334" s="45">
        <f>IFERROR(Table4[[#This Row],[Bottle]]/Table4[[#This Row],[ပါဝင်မှု]]+Table4[[#This Row],[SalesPK]],0)</f>
        <v>0.25</v>
      </c>
      <c r="T334" s="12"/>
      <c r="U334" s="10">
        <f>Table4[[#This Row],[ပါဝင်မှု]]*Table4[[#This Row],[SalesPK]]+Table4[[#This Row],[Bottle]]</f>
        <v>3</v>
      </c>
      <c r="V334" s="10">
        <f>Table4[[#This Row],[SalesBot]]*Table4[[#This Row],[ML]]</f>
        <v>3</v>
      </c>
      <c r="W334" s="1">
        <f>VLOOKUP(N334,Stock[#Data],6,FALSE)</f>
        <v>1850</v>
      </c>
      <c r="X334" s="8">
        <f>+Table4[[#This Row],[SalesBot]]*Table4[[#This Row],[နှုံး]]</f>
        <v>5550</v>
      </c>
      <c r="Y334" s="12"/>
      <c r="Z334" s="12"/>
      <c r="AA334" s="12"/>
      <c r="AB334" s="9"/>
      <c r="AC334" s="12"/>
      <c r="AD334" s="9"/>
      <c r="AE334" s="12"/>
      <c r="AF33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5550</v>
      </c>
      <c r="AG334" s="24"/>
      <c r="AH334" s="266">
        <f>Table4[[#This Row],[Date]]</f>
        <v>46043</v>
      </c>
      <c r="AI334" s="264" t="str">
        <f t="shared" si="62"/>
        <v>Jan</v>
      </c>
      <c r="AJ334" s="264" t="str">
        <f t="shared" si="63"/>
        <v>2026</v>
      </c>
      <c r="AK334" s="270" t="str">
        <f>Table4[[#This Row],[ကုန်သည်အမည်]]</f>
        <v>ဦးဘိုနီ</v>
      </c>
      <c r="AL334" s="270" t="str">
        <f>Table4[[#This Row],[Township]]</f>
        <v>Maw La Myaing</v>
      </c>
      <c r="AM334" s="271" t="str">
        <f>Table4[[#This Row],[WholeSales]]</f>
        <v>Van Sales</v>
      </c>
      <c r="AN334" s="272" t="str">
        <f>Table4[[#This Row],[Particular]]</f>
        <v>ကုန်ရောင်း(လက်ငင်း)</v>
      </c>
      <c r="AO334" s="273" t="str">
        <f>Table4[[#This Row],[StockName]]</f>
        <v>ကောင်းကြည်-1Li</v>
      </c>
      <c r="AP334" s="268">
        <f>Table4[[#This Row],[Parking]]</f>
        <v>0.25</v>
      </c>
      <c r="AQ334" s="268">
        <f>Table4[[#This Row],[SalesBot]]</f>
        <v>3</v>
      </c>
      <c r="AR334" s="268">
        <f>Table4[[#This Row],[Liter]]</f>
        <v>3</v>
      </c>
    </row>
    <row r="335" spans="1:44" s="16" customFormat="1" hidden="1" x14ac:dyDescent="0.5">
      <c r="A335" s="3">
        <f t="shared" si="58"/>
        <v>2026</v>
      </c>
      <c r="B335" s="8">
        <f t="shared" si="59"/>
        <v>1</v>
      </c>
      <c r="C335" s="6">
        <v>46043</v>
      </c>
      <c r="D335" s="15">
        <f t="shared" ca="1" si="60"/>
        <v>46097</v>
      </c>
      <c r="E335" s="15" t="str">
        <f t="shared" ca="1" si="61"/>
        <v>1-Months</v>
      </c>
      <c r="F335" s="8" t="str">
        <f>VLOOKUP(N335,Stock[#Data],5,FALSE)</f>
        <v>BE</v>
      </c>
      <c r="G335" s="82" t="s">
        <v>1119</v>
      </c>
      <c r="H335" s="15" t="s">
        <v>439</v>
      </c>
      <c r="I335" s="7" t="s">
        <v>852</v>
      </c>
      <c r="J335" s="8" t="str">
        <f>VLOOKUP(I335,Customers[#Data],2,FALSE)</f>
        <v>ဦးဘိုနီ</v>
      </c>
      <c r="K335" s="15" t="str">
        <f>VLOOKUP(I335,Customers[#Data],4,FALSE)</f>
        <v>Maw La Myaing</v>
      </c>
      <c r="L335" s="15" t="str">
        <f>VLOOKUP(I335,Customers[#Data],5,FALSE)</f>
        <v>Van Sales</v>
      </c>
      <c r="M335" s="7" t="s">
        <v>6</v>
      </c>
      <c r="N335" s="7" t="s">
        <v>533</v>
      </c>
      <c r="O335" s="14" t="str">
        <f>VLOOKUP(N335,Stock[#Data],2,FALSE)</f>
        <v>ရွှေမန်း</v>
      </c>
      <c r="P335" s="44">
        <f>VLOOKUP(N335,Stock[#Data],3,FALSE)</f>
        <v>0.64</v>
      </c>
      <c r="Q335" s="3">
        <f>VLOOKUP(N335,Stock[#Data],4,FALSE)</f>
        <v>14</v>
      </c>
      <c r="R335" s="11">
        <v>3</v>
      </c>
      <c r="S335" s="45">
        <f>IFERROR(Table4[[#This Row],[Bottle]]/Table4[[#This Row],[ပါဝင်မှု]]+Table4[[#This Row],[SalesPK]],0)</f>
        <v>0.21428571428571427</v>
      </c>
      <c r="T335" s="12"/>
      <c r="U335" s="10">
        <f>Table4[[#This Row],[ပါဝင်မှု]]*Table4[[#This Row],[SalesPK]]+Table4[[#This Row],[Bottle]]</f>
        <v>3</v>
      </c>
      <c r="V335" s="10">
        <f>Table4[[#This Row],[SalesBot]]*Table4[[#This Row],[ML]]</f>
        <v>1.92</v>
      </c>
      <c r="W335" s="1">
        <f>VLOOKUP(N335,Stock[#Data],6,FALSE)</f>
        <v>1500</v>
      </c>
      <c r="X335" s="8">
        <f>+Table4[[#This Row],[SalesBot]]*Table4[[#This Row],[နှုံး]]</f>
        <v>4500</v>
      </c>
      <c r="Y335" s="12"/>
      <c r="Z335" s="12"/>
      <c r="AA335" s="12"/>
      <c r="AB335" s="9"/>
      <c r="AC335" s="12"/>
      <c r="AD335" s="9"/>
      <c r="AE335" s="12"/>
      <c r="AF33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4500</v>
      </c>
      <c r="AG335" s="24"/>
      <c r="AH335" s="266">
        <f>Table4[[#This Row],[Date]]</f>
        <v>46043</v>
      </c>
      <c r="AI335" s="264" t="str">
        <f t="shared" si="62"/>
        <v>Jan</v>
      </c>
      <c r="AJ335" s="264" t="str">
        <f t="shared" si="63"/>
        <v>2026</v>
      </c>
      <c r="AK335" s="270" t="str">
        <f>Table4[[#This Row],[ကုန်သည်အမည်]]</f>
        <v>ဦးဘိုနီ</v>
      </c>
      <c r="AL335" s="270" t="str">
        <f>Table4[[#This Row],[Township]]</f>
        <v>Maw La Myaing</v>
      </c>
      <c r="AM335" s="271" t="str">
        <f>Table4[[#This Row],[WholeSales]]</f>
        <v>Van Sales</v>
      </c>
      <c r="AN335" s="272" t="str">
        <f>Table4[[#This Row],[Particular]]</f>
        <v>ကုန်ရောင်း(လက်ငင်း)</v>
      </c>
      <c r="AO335" s="273" t="str">
        <f>Table4[[#This Row],[StockName]]</f>
        <v>ရွှေမန်း</v>
      </c>
      <c r="AP335" s="268">
        <f>Table4[[#This Row],[Parking]]</f>
        <v>0.21428571428571427</v>
      </c>
      <c r="AQ335" s="268">
        <f>Table4[[#This Row],[SalesBot]]</f>
        <v>3</v>
      </c>
      <c r="AR335" s="268">
        <f>Table4[[#This Row],[Liter]]</f>
        <v>1.92</v>
      </c>
    </row>
    <row r="336" spans="1:44" s="16" customFormat="1" hidden="1" x14ac:dyDescent="0.5">
      <c r="A336" s="3">
        <f t="shared" si="58"/>
        <v>2026</v>
      </c>
      <c r="B336" s="8">
        <f t="shared" si="59"/>
        <v>1</v>
      </c>
      <c r="C336" s="6">
        <v>46043</v>
      </c>
      <c r="D336" s="15">
        <f t="shared" ca="1" si="60"/>
        <v>46097</v>
      </c>
      <c r="E336" s="15" t="str">
        <f t="shared" ca="1" si="61"/>
        <v>1-Months</v>
      </c>
      <c r="F336" s="8" t="str">
        <f>VLOOKUP(N336,Stock[#Data],5,FALSE)</f>
        <v>BE</v>
      </c>
      <c r="G336" s="82" t="s">
        <v>1120</v>
      </c>
      <c r="H336" s="15" t="s">
        <v>439</v>
      </c>
      <c r="I336" s="7" t="s">
        <v>1121</v>
      </c>
      <c r="J336" s="8" t="str">
        <f>VLOOKUP(I336,Customers[#Data],2,FALSE)</f>
        <v>Daily One</v>
      </c>
      <c r="K336" s="15" t="str">
        <f>VLOOKUP(I336,Customers[#Data],4,FALSE)</f>
        <v>Maw La Myaing</v>
      </c>
      <c r="L336" s="15" t="str">
        <f>VLOOKUP(I336,Customers[#Data],5,FALSE)</f>
        <v>Van Sales</v>
      </c>
      <c r="M336" s="7" t="s">
        <v>6</v>
      </c>
      <c r="N336" s="7" t="s">
        <v>522</v>
      </c>
      <c r="O336" s="14" t="str">
        <f>VLOOKUP(N336,Stock[#Data],2,FALSE)</f>
        <v>ဒဂုံမန်ကျည်း ကော်ဘူး (1 Liter)</v>
      </c>
      <c r="P336" s="44">
        <f>VLOOKUP(N336,Stock[#Data],3,FALSE)</f>
        <v>1</v>
      </c>
      <c r="Q336" s="3">
        <f>VLOOKUP(N336,Stock[#Data],4,FALSE)</f>
        <v>12</v>
      </c>
      <c r="R336" s="11">
        <v>3</v>
      </c>
      <c r="S336" s="45">
        <f>IFERROR(Table4[[#This Row],[Bottle]]/Table4[[#This Row],[ပါဝင်မှု]]+Table4[[#This Row],[SalesPK]],0)</f>
        <v>0.25</v>
      </c>
      <c r="T336" s="12"/>
      <c r="U336" s="10">
        <f>Table4[[#This Row],[ပါဝင်မှု]]*Table4[[#This Row],[SalesPK]]+Table4[[#This Row],[Bottle]]</f>
        <v>3</v>
      </c>
      <c r="V336" s="10">
        <f>Table4[[#This Row],[SalesBot]]*Table4[[#This Row],[ML]]</f>
        <v>3</v>
      </c>
      <c r="W336" s="1">
        <f>VLOOKUP(N336,Stock[#Data],6,FALSE)</f>
        <v>1600</v>
      </c>
      <c r="X336" s="8">
        <f>+Table4[[#This Row],[SalesBot]]*Table4[[#This Row],[နှုံး]]</f>
        <v>4800</v>
      </c>
      <c r="Y336" s="12"/>
      <c r="Z336" s="12"/>
      <c r="AA336" s="12"/>
      <c r="AB336" s="9"/>
      <c r="AC336" s="12"/>
      <c r="AD336" s="9"/>
      <c r="AE336" s="12"/>
      <c r="AF33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4800</v>
      </c>
      <c r="AG336" s="24"/>
      <c r="AH336" s="266">
        <f>Table4[[#This Row],[Date]]</f>
        <v>46043</v>
      </c>
      <c r="AI336" s="264" t="str">
        <f t="shared" si="62"/>
        <v>Jan</v>
      </c>
      <c r="AJ336" s="264" t="str">
        <f t="shared" si="63"/>
        <v>2026</v>
      </c>
      <c r="AK336" s="270" t="str">
        <f>Table4[[#This Row],[ကုန်သည်အမည်]]</f>
        <v>Daily One</v>
      </c>
      <c r="AL336" s="270" t="str">
        <f>Table4[[#This Row],[Township]]</f>
        <v>Maw La Myaing</v>
      </c>
      <c r="AM336" s="271" t="str">
        <f>Table4[[#This Row],[WholeSales]]</f>
        <v>Van Sales</v>
      </c>
      <c r="AN336" s="272" t="str">
        <f>Table4[[#This Row],[Particular]]</f>
        <v>ကုန်ရောင်း(လက်ငင်း)</v>
      </c>
      <c r="AO336" s="273" t="str">
        <f>Table4[[#This Row],[StockName]]</f>
        <v>ဒဂုံမန်ကျည်း ကော်ဘူး (1 Liter)</v>
      </c>
      <c r="AP336" s="268">
        <f>Table4[[#This Row],[Parking]]</f>
        <v>0.25</v>
      </c>
      <c r="AQ336" s="268">
        <f>Table4[[#This Row],[SalesBot]]</f>
        <v>3</v>
      </c>
      <c r="AR336" s="268">
        <f>Table4[[#This Row],[Liter]]</f>
        <v>3</v>
      </c>
    </row>
    <row r="337" spans="1:44" s="16" customFormat="1" hidden="1" x14ac:dyDescent="0.5">
      <c r="A337" s="3">
        <f t="shared" si="58"/>
        <v>2026</v>
      </c>
      <c r="B337" s="8">
        <f t="shared" si="59"/>
        <v>1</v>
      </c>
      <c r="C337" s="6">
        <v>46043</v>
      </c>
      <c r="D337" s="15">
        <f t="shared" ca="1" si="60"/>
        <v>46097</v>
      </c>
      <c r="E337" s="15" t="str">
        <f t="shared" ca="1" si="61"/>
        <v>1-Months</v>
      </c>
      <c r="F337" s="8" t="str">
        <f>VLOOKUP(N337,Stock[#Data],5,FALSE)</f>
        <v>BE</v>
      </c>
      <c r="G337" s="82" t="s">
        <v>1120</v>
      </c>
      <c r="H337" s="15" t="s">
        <v>439</v>
      </c>
      <c r="I337" s="7" t="s">
        <v>1121</v>
      </c>
      <c r="J337" s="8" t="str">
        <f>VLOOKUP(I337,Customers[#Data],2,FALSE)</f>
        <v>Daily One</v>
      </c>
      <c r="K337" s="15" t="str">
        <f>VLOOKUP(I337,Customers[#Data],4,FALSE)</f>
        <v>Maw La Myaing</v>
      </c>
      <c r="L337" s="15" t="str">
        <f>VLOOKUP(I337,Customers[#Data],5,FALSE)</f>
        <v>Van Sales</v>
      </c>
      <c r="M337" s="7" t="s">
        <v>6</v>
      </c>
      <c r="N337" s="7" t="s">
        <v>425</v>
      </c>
      <c r="O337" s="14" t="str">
        <f>VLOOKUP(N337,Stock[#Data],2,FALSE)</f>
        <v>ကောင်းကြည်-1Li</v>
      </c>
      <c r="P337" s="44">
        <f>VLOOKUP(N337,Stock[#Data],3,FALSE)</f>
        <v>1</v>
      </c>
      <c r="Q337" s="3">
        <f>VLOOKUP(N337,Stock[#Data],4,FALSE)</f>
        <v>12</v>
      </c>
      <c r="R337" s="11">
        <v>3</v>
      </c>
      <c r="S337" s="45">
        <f>IFERROR(Table4[[#This Row],[Bottle]]/Table4[[#This Row],[ပါဝင်မှု]]+Table4[[#This Row],[SalesPK]],0)</f>
        <v>0.25</v>
      </c>
      <c r="T337" s="12"/>
      <c r="U337" s="10">
        <f>Table4[[#This Row],[ပါဝင်မှု]]*Table4[[#This Row],[SalesPK]]+Table4[[#This Row],[Bottle]]</f>
        <v>3</v>
      </c>
      <c r="V337" s="10">
        <f>Table4[[#This Row],[SalesBot]]*Table4[[#This Row],[ML]]</f>
        <v>3</v>
      </c>
      <c r="W337" s="1">
        <f>VLOOKUP(N337,Stock[#Data],6,FALSE)</f>
        <v>1500</v>
      </c>
      <c r="X337" s="8">
        <f>+Table4[[#This Row],[SalesBot]]*Table4[[#This Row],[နှုံး]]</f>
        <v>4500</v>
      </c>
      <c r="Y337" s="12"/>
      <c r="Z337" s="12"/>
      <c r="AA337" s="12"/>
      <c r="AB337" s="9"/>
      <c r="AC337" s="12"/>
      <c r="AD337" s="9"/>
      <c r="AE337" s="12"/>
      <c r="AF33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4500</v>
      </c>
      <c r="AG337" s="24"/>
      <c r="AH337" s="266">
        <f>Table4[[#This Row],[Date]]</f>
        <v>46043</v>
      </c>
      <c r="AI337" s="264" t="str">
        <f t="shared" si="62"/>
        <v>Jan</v>
      </c>
      <c r="AJ337" s="264" t="str">
        <f t="shared" si="63"/>
        <v>2026</v>
      </c>
      <c r="AK337" s="270" t="str">
        <f>Table4[[#This Row],[ကုန်သည်အမည်]]</f>
        <v>Daily One</v>
      </c>
      <c r="AL337" s="270" t="str">
        <f>Table4[[#This Row],[Township]]</f>
        <v>Maw La Myaing</v>
      </c>
      <c r="AM337" s="271" t="str">
        <f>Table4[[#This Row],[WholeSales]]</f>
        <v>Van Sales</v>
      </c>
      <c r="AN337" s="272" t="str">
        <f>Table4[[#This Row],[Particular]]</f>
        <v>ကုန်ရောင်း(လက်ငင်း)</v>
      </c>
      <c r="AO337" s="273" t="str">
        <f>Table4[[#This Row],[StockName]]</f>
        <v>ကောင်းကြည်-1Li</v>
      </c>
      <c r="AP337" s="268">
        <f>Table4[[#This Row],[Parking]]</f>
        <v>0.25</v>
      </c>
      <c r="AQ337" s="268">
        <f>Table4[[#This Row],[SalesBot]]</f>
        <v>3</v>
      </c>
      <c r="AR337" s="268">
        <f>Table4[[#This Row],[Liter]]</f>
        <v>3</v>
      </c>
    </row>
    <row r="338" spans="1:44" s="16" customFormat="1" hidden="1" x14ac:dyDescent="0.5">
      <c r="A338" s="3">
        <f t="shared" si="58"/>
        <v>2026</v>
      </c>
      <c r="B338" s="8">
        <f t="shared" si="59"/>
        <v>1</v>
      </c>
      <c r="C338" s="6">
        <v>46043</v>
      </c>
      <c r="D338" s="15">
        <f t="shared" ca="1" si="60"/>
        <v>46097</v>
      </c>
      <c r="E338" s="15" t="str">
        <f t="shared" ca="1" si="61"/>
        <v>1-Months</v>
      </c>
      <c r="F338" s="8" t="str">
        <f>VLOOKUP(N338,Stock[#Data],5,FALSE)</f>
        <v>BE</v>
      </c>
      <c r="G338" s="82" t="s">
        <v>1120</v>
      </c>
      <c r="H338" s="15" t="s">
        <v>439</v>
      </c>
      <c r="I338" s="7" t="s">
        <v>1121</v>
      </c>
      <c r="J338" s="8" t="str">
        <f>VLOOKUP(I338,Customers[#Data],2,FALSE)</f>
        <v>Daily One</v>
      </c>
      <c r="K338" s="15" t="str">
        <f>VLOOKUP(I338,Customers[#Data],4,FALSE)</f>
        <v>Maw La Myaing</v>
      </c>
      <c r="L338" s="15" t="str">
        <f>VLOOKUP(I338,Customers[#Data],5,FALSE)</f>
        <v>Van Sales</v>
      </c>
      <c r="M338" s="7" t="s">
        <v>6</v>
      </c>
      <c r="N338" s="7" t="s">
        <v>533</v>
      </c>
      <c r="O338" s="14" t="str">
        <f>VLOOKUP(N338,Stock[#Data],2,FALSE)</f>
        <v>ရွှေမန်း</v>
      </c>
      <c r="P338" s="44">
        <f>VLOOKUP(N338,Stock[#Data],3,FALSE)</f>
        <v>0.64</v>
      </c>
      <c r="Q338" s="3">
        <f>VLOOKUP(N338,Stock[#Data],4,FALSE)</f>
        <v>14</v>
      </c>
      <c r="R338" s="11">
        <v>3</v>
      </c>
      <c r="S338" s="45">
        <f>IFERROR(Table4[[#This Row],[Bottle]]/Table4[[#This Row],[ပါဝင်မှု]]+Table4[[#This Row],[SalesPK]],0)</f>
        <v>0.21428571428571427</v>
      </c>
      <c r="T338" s="12"/>
      <c r="U338" s="10">
        <f>Table4[[#This Row],[ပါဝင်မှု]]*Table4[[#This Row],[SalesPK]]+Table4[[#This Row],[Bottle]]</f>
        <v>3</v>
      </c>
      <c r="V338" s="10">
        <f>Table4[[#This Row],[SalesBot]]*Table4[[#This Row],[ML]]</f>
        <v>1.92</v>
      </c>
      <c r="W338" s="1">
        <f>VLOOKUP(N338,Stock[#Data],6,FALSE)</f>
        <v>1500</v>
      </c>
      <c r="X338" s="8">
        <f>+Table4[[#This Row],[SalesBot]]*Table4[[#This Row],[နှုံး]]</f>
        <v>4500</v>
      </c>
      <c r="Y338" s="12"/>
      <c r="Z338" s="12"/>
      <c r="AA338" s="12"/>
      <c r="AB338" s="9"/>
      <c r="AC338" s="12"/>
      <c r="AD338" s="9"/>
      <c r="AE338" s="12"/>
      <c r="AF33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4500</v>
      </c>
      <c r="AG338" s="24"/>
      <c r="AH338" s="266">
        <f>Table4[[#This Row],[Date]]</f>
        <v>46043</v>
      </c>
      <c r="AI338" s="264" t="str">
        <f t="shared" si="62"/>
        <v>Jan</v>
      </c>
      <c r="AJ338" s="264" t="str">
        <f t="shared" si="63"/>
        <v>2026</v>
      </c>
      <c r="AK338" s="270" t="str">
        <f>Table4[[#This Row],[ကုန်သည်အမည်]]</f>
        <v>Daily One</v>
      </c>
      <c r="AL338" s="270" t="str">
        <f>Table4[[#This Row],[Township]]</f>
        <v>Maw La Myaing</v>
      </c>
      <c r="AM338" s="271" t="str">
        <f>Table4[[#This Row],[WholeSales]]</f>
        <v>Van Sales</v>
      </c>
      <c r="AN338" s="272" t="str">
        <f>Table4[[#This Row],[Particular]]</f>
        <v>ကုန်ရောင်း(လက်ငင်း)</v>
      </c>
      <c r="AO338" s="273" t="str">
        <f>Table4[[#This Row],[StockName]]</f>
        <v>ရွှေမန်း</v>
      </c>
      <c r="AP338" s="268">
        <f>Table4[[#This Row],[Parking]]</f>
        <v>0.21428571428571427</v>
      </c>
      <c r="AQ338" s="268">
        <f>Table4[[#This Row],[SalesBot]]</f>
        <v>3</v>
      </c>
      <c r="AR338" s="268">
        <f>Table4[[#This Row],[Liter]]</f>
        <v>1.92</v>
      </c>
    </row>
    <row r="339" spans="1:44" s="16" customFormat="1" hidden="1" x14ac:dyDescent="0.5">
      <c r="A339" s="3">
        <f t="shared" si="58"/>
        <v>2026</v>
      </c>
      <c r="B339" s="8">
        <f t="shared" si="59"/>
        <v>1</v>
      </c>
      <c r="C339" s="6">
        <v>46043</v>
      </c>
      <c r="D339" s="15">
        <f t="shared" ca="1" si="60"/>
        <v>46097</v>
      </c>
      <c r="E339" s="15" t="str">
        <f t="shared" ca="1" si="61"/>
        <v>1-Months</v>
      </c>
      <c r="F339" s="8" t="str">
        <f>VLOOKUP(N339,Stock[#Data],5,FALSE)</f>
        <v>BE</v>
      </c>
      <c r="G339" s="82" t="s">
        <v>1122</v>
      </c>
      <c r="H339" s="15" t="s">
        <v>439</v>
      </c>
      <c r="I339" s="7" t="s">
        <v>1117</v>
      </c>
      <c r="J339" s="8" t="str">
        <f>VLOOKUP(I339,Customers[#Data],2,FALSE)</f>
        <v>မိုးထိအောင်</v>
      </c>
      <c r="K339" s="15" t="str">
        <f>VLOOKUP(I339,Customers[#Data],4,FALSE)</f>
        <v>Maw La Myaing</v>
      </c>
      <c r="L339" s="15" t="str">
        <f>VLOOKUP(I339,Customers[#Data],5,FALSE)</f>
        <v>Van Sales</v>
      </c>
      <c r="M339" s="7" t="s">
        <v>6</v>
      </c>
      <c r="N339" s="7" t="s">
        <v>425</v>
      </c>
      <c r="O339" s="14" t="str">
        <f>VLOOKUP(N339,Stock[#Data],2,FALSE)</f>
        <v>ကောင်းကြည်-1Li</v>
      </c>
      <c r="P339" s="44">
        <f>VLOOKUP(N339,Stock[#Data],3,FALSE)</f>
        <v>1</v>
      </c>
      <c r="Q339" s="3">
        <f>VLOOKUP(N339,Stock[#Data],4,FALSE)</f>
        <v>12</v>
      </c>
      <c r="R339" s="11">
        <v>3</v>
      </c>
      <c r="S339" s="45">
        <f>IFERROR(Table4[[#This Row],[Bottle]]/Table4[[#This Row],[ပါဝင်မှု]]+Table4[[#This Row],[SalesPK]],0)</f>
        <v>0.25</v>
      </c>
      <c r="T339" s="12"/>
      <c r="U339" s="10">
        <f>Table4[[#This Row],[ပါဝင်မှု]]*Table4[[#This Row],[SalesPK]]+Table4[[#This Row],[Bottle]]</f>
        <v>3</v>
      </c>
      <c r="V339" s="10">
        <f>Table4[[#This Row],[SalesBot]]*Table4[[#This Row],[ML]]</f>
        <v>3</v>
      </c>
      <c r="W339" s="1">
        <f>VLOOKUP(N339,Stock[#Data],6,FALSE)</f>
        <v>1500</v>
      </c>
      <c r="X339" s="8">
        <f>+Table4[[#This Row],[SalesBot]]*Table4[[#This Row],[နှုံး]]</f>
        <v>4500</v>
      </c>
      <c r="Y339" s="12"/>
      <c r="Z339" s="12"/>
      <c r="AA339" s="12"/>
      <c r="AB339" s="9"/>
      <c r="AC339" s="12"/>
      <c r="AD339" s="9"/>
      <c r="AE339" s="12"/>
      <c r="AF33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4500</v>
      </c>
      <c r="AG339" s="24"/>
      <c r="AH339" s="266">
        <f>Table4[[#This Row],[Date]]</f>
        <v>46043</v>
      </c>
      <c r="AI339" s="264" t="str">
        <f t="shared" si="62"/>
        <v>Jan</v>
      </c>
      <c r="AJ339" s="264" t="str">
        <f t="shared" si="63"/>
        <v>2026</v>
      </c>
      <c r="AK339" s="270" t="str">
        <f>Table4[[#This Row],[ကုန်သည်အမည်]]</f>
        <v>မိုးထိအောင်</v>
      </c>
      <c r="AL339" s="270" t="str">
        <f>Table4[[#This Row],[Township]]</f>
        <v>Maw La Myaing</v>
      </c>
      <c r="AM339" s="271" t="str">
        <f>Table4[[#This Row],[WholeSales]]</f>
        <v>Van Sales</v>
      </c>
      <c r="AN339" s="272" t="str">
        <f>Table4[[#This Row],[Particular]]</f>
        <v>ကုန်ရောင်း(လက်ငင်း)</v>
      </c>
      <c r="AO339" s="273" t="str">
        <f>Table4[[#This Row],[StockName]]</f>
        <v>ကောင်းကြည်-1Li</v>
      </c>
      <c r="AP339" s="268">
        <f>Table4[[#This Row],[Parking]]</f>
        <v>0.25</v>
      </c>
      <c r="AQ339" s="268">
        <f>Table4[[#This Row],[SalesBot]]</f>
        <v>3</v>
      </c>
      <c r="AR339" s="268">
        <f>Table4[[#This Row],[Liter]]</f>
        <v>3</v>
      </c>
    </row>
    <row r="340" spans="1:44" s="16" customFormat="1" hidden="1" x14ac:dyDescent="0.5">
      <c r="A340" s="3">
        <f t="shared" si="58"/>
        <v>2026</v>
      </c>
      <c r="B340" s="8">
        <f t="shared" si="59"/>
        <v>1</v>
      </c>
      <c r="C340" s="82">
        <v>46044</v>
      </c>
      <c r="D340" s="15">
        <f t="shared" ca="1" si="60"/>
        <v>46097</v>
      </c>
      <c r="E340" s="15" t="str">
        <f t="shared" ca="1" si="61"/>
        <v>1-Months</v>
      </c>
      <c r="F340" s="8" t="str">
        <f>VLOOKUP(N340,Stock[#Data],5,FALSE)</f>
        <v>BE</v>
      </c>
      <c r="G340" s="82" t="s">
        <v>1123</v>
      </c>
      <c r="H340" s="15"/>
      <c r="I340" s="7" t="s">
        <v>115</v>
      </c>
      <c r="J340" s="8" t="str">
        <f>VLOOKUP(I340,Customers[#Data],2,FALSE)</f>
        <v>မ‌ချော</v>
      </c>
      <c r="K340" s="15" t="str">
        <f>VLOOKUP(I340,Customers[#Data],4,FALSE)</f>
        <v>Yay</v>
      </c>
      <c r="L340" s="15" t="str">
        <f>VLOOKUP(I340,Customers[#Data],5,FALSE)</f>
        <v>SemiWholeSales</v>
      </c>
      <c r="M340" s="7" t="s">
        <v>120</v>
      </c>
      <c r="N340" s="7" t="s">
        <v>517</v>
      </c>
      <c r="O340" s="14" t="str">
        <f>VLOOKUP(N340,Stock[#Data],2,FALSE)</f>
        <v>ဇေယျဝတီ Red (1 Liter) 30%</v>
      </c>
      <c r="P340" s="44">
        <f>VLOOKUP(N340,Stock[#Data],3,FALSE)</f>
        <v>1</v>
      </c>
      <c r="Q340" s="3">
        <f>VLOOKUP(N340,Stock[#Data],4,FALSE)</f>
        <v>12</v>
      </c>
      <c r="R340" s="11"/>
      <c r="S340" s="45">
        <f>IFERROR(Table4[[#This Row],[Bottle]]/Table4[[#This Row],[ပါဝင်မှု]]+Table4[[#This Row],[SalesPK]],0)</f>
        <v>200</v>
      </c>
      <c r="T340" s="12">
        <v>200</v>
      </c>
      <c r="U340" s="10">
        <f>Table4[[#This Row],[ပါဝင်မှု]]*Table4[[#This Row],[SalesPK]]+Table4[[#This Row],[Bottle]]</f>
        <v>2400</v>
      </c>
      <c r="V340" s="10">
        <f>Table4[[#This Row],[SalesBot]]*Table4[[#This Row],[ML]]</f>
        <v>2400</v>
      </c>
      <c r="W340" s="1">
        <f>VLOOKUP(N340,Stock[#Data],6,FALSE)</f>
        <v>1710</v>
      </c>
      <c r="X340" s="8">
        <f>+Table4[[#This Row],[SalesBot]]*Table4[[#This Row],[နှုံး]]</f>
        <v>4104000</v>
      </c>
      <c r="Y340" s="12"/>
      <c r="Z340" s="12"/>
      <c r="AA340" s="12"/>
      <c r="AB340" s="9"/>
      <c r="AC340" s="12"/>
      <c r="AD340" s="9"/>
      <c r="AE340" s="12"/>
      <c r="AF34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4104000</v>
      </c>
      <c r="AG340" s="24"/>
      <c r="AH340" s="266">
        <f>Table4[[#This Row],[Date]]</f>
        <v>46044</v>
      </c>
      <c r="AI340" s="264" t="str">
        <f t="shared" si="62"/>
        <v>Jan</v>
      </c>
      <c r="AJ340" s="264" t="str">
        <f t="shared" si="63"/>
        <v>2026</v>
      </c>
      <c r="AK340" s="270" t="str">
        <f>Table4[[#This Row],[ကုန်သည်အမည်]]</f>
        <v>မ‌ချော</v>
      </c>
      <c r="AL340" s="270" t="str">
        <f>Table4[[#This Row],[Township]]</f>
        <v>Yay</v>
      </c>
      <c r="AM340" s="271" t="str">
        <f>Table4[[#This Row],[WholeSales]]</f>
        <v>SemiWholeSales</v>
      </c>
      <c r="AN340" s="272" t="str">
        <f>Table4[[#This Row],[Particular]]</f>
        <v>ကြိုရောင်း</v>
      </c>
      <c r="AO340" s="273" t="str">
        <f>Table4[[#This Row],[StockName]]</f>
        <v>ဇေယျဝတီ Red (1 Liter) 30%</v>
      </c>
      <c r="AP340" s="268">
        <f>Table4[[#This Row],[Parking]]</f>
        <v>200</v>
      </c>
      <c r="AQ340" s="268">
        <f>Table4[[#This Row],[SalesBot]]</f>
        <v>2400</v>
      </c>
      <c r="AR340" s="268">
        <f>Table4[[#This Row],[Liter]]</f>
        <v>2400</v>
      </c>
    </row>
    <row r="341" spans="1:44" s="16" customFormat="1" hidden="1" x14ac:dyDescent="0.5">
      <c r="A341" s="3">
        <f t="shared" si="58"/>
        <v>2026</v>
      </c>
      <c r="B341" s="8">
        <f t="shared" si="59"/>
        <v>1</v>
      </c>
      <c r="C341" s="82">
        <v>46044</v>
      </c>
      <c r="D341" s="15">
        <f t="shared" ca="1" si="60"/>
        <v>46097</v>
      </c>
      <c r="E341" s="15" t="str">
        <f t="shared" ca="1" si="61"/>
        <v>1-Months</v>
      </c>
      <c r="F341" s="8" t="str">
        <f>VLOOKUP(N341,Stock[#Data],5,FALSE)</f>
        <v>BE</v>
      </c>
      <c r="G341" s="82" t="s">
        <v>1124</v>
      </c>
      <c r="H341" s="15"/>
      <c r="I341" s="7" t="s">
        <v>95</v>
      </c>
      <c r="J341" s="8" t="str">
        <f>VLOOKUP(I341,Customers[#Data],2,FALSE)</f>
        <v>ကျော်စတား</v>
      </c>
      <c r="K341" s="15" t="str">
        <f>VLOOKUP(I341,Customers[#Data],4,FALSE)</f>
        <v>Yay</v>
      </c>
      <c r="L341" s="15" t="str">
        <f>VLOOKUP(I341,Customers[#Data],5,FALSE)</f>
        <v>WholeSales</v>
      </c>
      <c r="M341" s="7" t="s">
        <v>7</v>
      </c>
      <c r="N341" s="7" t="s">
        <v>514</v>
      </c>
      <c r="O341" s="14" t="str">
        <f>VLOOKUP(N341,Stock[#Data],2,FALSE)</f>
        <v>ဇေယျဝတီ Red</v>
      </c>
      <c r="P341" s="44">
        <f>VLOOKUP(N341,Stock[#Data],3,FALSE)</f>
        <v>0.64</v>
      </c>
      <c r="Q341" s="3">
        <f>VLOOKUP(N341,Stock[#Data],4,FALSE)</f>
        <v>14</v>
      </c>
      <c r="R341" s="11"/>
      <c r="S341" s="45">
        <f>IFERROR(Table4[[#This Row],[Bottle]]/Table4[[#This Row],[ပါဝင်မှု]]+Table4[[#This Row],[SalesPK]],0)</f>
        <v>100</v>
      </c>
      <c r="T341" s="12">
        <v>100</v>
      </c>
      <c r="U341" s="10">
        <f>Table4[[#This Row],[ပါဝင်မှု]]*Table4[[#This Row],[SalesPK]]+Table4[[#This Row],[Bottle]]</f>
        <v>1400</v>
      </c>
      <c r="V341" s="10">
        <f>Table4[[#This Row],[SalesBot]]*Table4[[#This Row],[ML]]</f>
        <v>896</v>
      </c>
      <c r="W341" s="1">
        <f>VLOOKUP(N341,Stock[#Data],6,FALSE)</f>
        <v>1350</v>
      </c>
      <c r="X341" s="8">
        <f>+Table4[[#This Row],[SalesBot]]*Table4[[#This Row],[နှုံး]]</f>
        <v>1890000</v>
      </c>
      <c r="Y341" s="12"/>
      <c r="Z341" s="12"/>
      <c r="AA341" s="12"/>
      <c r="AB341" s="9"/>
      <c r="AC341" s="12"/>
      <c r="AD341" s="9"/>
      <c r="AE341" s="12"/>
      <c r="AF34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341" s="24"/>
      <c r="AH341" s="266">
        <f>Table4[[#This Row],[Date]]</f>
        <v>46044</v>
      </c>
      <c r="AI341" s="264" t="str">
        <f t="shared" si="62"/>
        <v>Jan</v>
      </c>
      <c r="AJ341" s="264" t="str">
        <f t="shared" si="63"/>
        <v>2026</v>
      </c>
      <c r="AK341" s="270" t="str">
        <f>Table4[[#This Row],[ကုန်သည်အမည်]]</f>
        <v>ကျော်စတား</v>
      </c>
      <c r="AL341" s="270" t="str">
        <f>Table4[[#This Row],[Township]]</f>
        <v>Yay</v>
      </c>
      <c r="AM341" s="271" t="str">
        <f>Table4[[#This Row],[WholeSales]]</f>
        <v>WholeSales</v>
      </c>
      <c r="AN341" s="272" t="str">
        <f>Table4[[#This Row],[Particular]]</f>
        <v>ကုန်ရောင်း(အကြွေး)</v>
      </c>
      <c r="AO341" s="273" t="str">
        <f>Table4[[#This Row],[StockName]]</f>
        <v>ဇေယျဝတီ Red</v>
      </c>
      <c r="AP341" s="268">
        <f>Table4[[#This Row],[Parking]]</f>
        <v>100</v>
      </c>
      <c r="AQ341" s="268">
        <f>Table4[[#This Row],[SalesBot]]</f>
        <v>1400</v>
      </c>
      <c r="AR341" s="268">
        <f>Table4[[#This Row],[Liter]]</f>
        <v>896</v>
      </c>
    </row>
    <row r="342" spans="1:44" s="16" customFormat="1" hidden="1" x14ac:dyDescent="0.5">
      <c r="A342" s="3">
        <f t="shared" si="58"/>
        <v>2026</v>
      </c>
      <c r="B342" s="8">
        <f t="shared" si="59"/>
        <v>1</v>
      </c>
      <c r="C342" s="82">
        <v>46044</v>
      </c>
      <c r="D342" s="15">
        <f t="shared" ca="1" si="60"/>
        <v>46097</v>
      </c>
      <c r="E342" s="15" t="str">
        <f t="shared" ca="1" si="61"/>
        <v>1-Months</v>
      </c>
      <c r="F342" s="8" t="str">
        <f>VLOOKUP(N342,Stock[#Data],5,FALSE)</f>
        <v>BE</v>
      </c>
      <c r="G342" s="82" t="s">
        <v>1125</v>
      </c>
      <c r="H342" s="15"/>
      <c r="I342" s="7" t="s">
        <v>101</v>
      </c>
      <c r="J342" s="8" t="str">
        <f>VLOOKUP(I342,Customers[#Data],2,FALSE)</f>
        <v>ကိုမောင်+မသူဇာ</v>
      </c>
      <c r="K342" s="15" t="str">
        <f>VLOOKUP(I342,Customers[#Data],4,FALSE)</f>
        <v>Yay</v>
      </c>
      <c r="L342" s="15" t="str">
        <f>VLOOKUP(I342,Customers[#Data],5,FALSE)</f>
        <v>WholeSales</v>
      </c>
      <c r="M342" s="7" t="s">
        <v>7</v>
      </c>
      <c r="N342" s="7" t="s">
        <v>517</v>
      </c>
      <c r="O342" s="14" t="str">
        <f>VLOOKUP(N342,Stock[#Data],2,FALSE)</f>
        <v>ဇေယျဝတီ Red (1 Liter) 30%</v>
      </c>
      <c r="P342" s="44">
        <f>VLOOKUP(N342,Stock[#Data],3,FALSE)</f>
        <v>1</v>
      </c>
      <c r="Q342" s="3">
        <f>VLOOKUP(N342,Stock[#Data],4,FALSE)</f>
        <v>12</v>
      </c>
      <c r="R342" s="11"/>
      <c r="S342" s="45">
        <f>IFERROR(Table4[[#This Row],[Bottle]]/Table4[[#This Row],[ပါဝင်မှု]]+Table4[[#This Row],[SalesPK]],0)</f>
        <v>50</v>
      </c>
      <c r="T342" s="12">
        <v>50</v>
      </c>
      <c r="U342" s="10">
        <f>Table4[[#This Row],[ပါဝင်မှု]]*Table4[[#This Row],[SalesPK]]+Table4[[#This Row],[Bottle]]</f>
        <v>600</v>
      </c>
      <c r="V342" s="10">
        <f>Table4[[#This Row],[SalesBot]]*Table4[[#This Row],[ML]]</f>
        <v>600</v>
      </c>
      <c r="W342" s="1">
        <f>VLOOKUP(N342,Stock[#Data],6,FALSE)</f>
        <v>1710</v>
      </c>
      <c r="X342" s="8">
        <f>+Table4[[#This Row],[SalesBot]]*Table4[[#This Row],[နှုံး]]</f>
        <v>1026000</v>
      </c>
      <c r="Y342" s="12"/>
      <c r="Z342" s="12"/>
      <c r="AA342" s="12"/>
      <c r="AB342" s="9"/>
      <c r="AC342" s="12"/>
      <c r="AD342" s="9"/>
      <c r="AE342" s="12"/>
      <c r="AF34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342" s="24"/>
      <c r="AH342" s="266">
        <f>Table4[[#This Row],[Date]]</f>
        <v>46044</v>
      </c>
      <c r="AI342" s="264" t="str">
        <f t="shared" si="62"/>
        <v>Jan</v>
      </c>
      <c r="AJ342" s="264" t="str">
        <f t="shared" si="63"/>
        <v>2026</v>
      </c>
      <c r="AK342" s="270" t="str">
        <f>Table4[[#This Row],[ကုန်သည်အမည်]]</f>
        <v>ကိုမောင်+မသူဇာ</v>
      </c>
      <c r="AL342" s="270" t="str">
        <f>Table4[[#This Row],[Township]]</f>
        <v>Yay</v>
      </c>
      <c r="AM342" s="271" t="str">
        <f>Table4[[#This Row],[WholeSales]]</f>
        <v>WholeSales</v>
      </c>
      <c r="AN342" s="272" t="str">
        <f>Table4[[#This Row],[Particular]]</f>
        <v>ကုန်ရောင်း(အကြွေး)</v>
      </c>
      <c r="AO342" s="273" t="str">
        <f>Table4[[#This Row],[StockName]]</f>
        <v>ဇေယျဝတီ Red (1 Liter) 30%</v>
      </c>
      <c r="AP342" s="268">
        <f>Table4[[#This Row],[Parking]]</f>
        <v>50</v>
      </c>
      <c r="AQ342" s="268">
        <f>Table4[[#This Row],[SalesBot]]</f>
        <v>600</v>
      </c>
      <c r="AR342" s="268">
        <f>Table4[[#This Row],[Liter]]</f>
        <v>600</v>
      </c>
    </row>
    <row r="343" spans="1:44" s="16" customFormat="1" hidden="1" x14ac:dyDescent="0.5">
      <c r="A343" s="3">
        <f t="shared" si="58"/>
        <v>2026</v>
      </c>
      <c r="B343" s="8">
        <f t="shared" si="59"/>
        <v>1</v>
      </c>
      <c r="C343" s="82">
        <v>46044</v>
      </c>
      <c r="D343" s="15">
        <f t="shared" ca="1" si="60"/>
        <v>46097</v>
      </c>
      <c r="E343" s="15" t="str">
        <f t="shared" ca="1" si="61"/>
        <v>1-Months</v>
      </c>
      <c r="F343" s="8" t="str">
        <f>VLOOKUP(N343,Stock[#Data],5,FALSE)</f>
        <v>BE</v>
      </c>
      <c r="G343" s="82" t="s">
        <v>1126</v>
      </c>
      <c r="H343" s="15"/>
      <c r="I343" s="7" t="s">
        <v>101</v>
      </c>
      <c r="J343" s="8" t="str">
        <f>VLOOKUP(I343,Customers[#Data],2,FALSE)</f>
        <v>ကိုမောင်+မသူဇာ</v>
      </c>
      <c r="K343" s="15" t="str">
        <f>VLOOKUP(I343,Customers[#Data],4,FALSE)</f>
        <v>Yay</v>
      </c>
      <c r="L343" s="15" t="str">
        <f>VLOOKUP(I343,Customers[#Data],5,FALSE)</f>
        <v>WholeSales</v>
      </c>
      <c r="M343" s="7" t="s">
        <v>7</v>
      </c>
      <c r="N343" s="7" t="s">
        <v>517</v>
      </c>
      <c r="O343" s="14" t="str">
        <f>VLOOKUP(N343,Stock[#Data],2,FALSE)</f>
        <v>ဇေယျဝတီ Red (1 Liter) 30%</v>
      </c>
      <c r="P343" s="44">
        <f>VLOOKUP(N343,Stock[#Data],3,FALSE)</f>
        <v>1</v>
      </c>
      <c r="Q343" s="3">
        <f>VLOOKUP(N343,Stock[#Data],4,FALSE)</f>
        <v>12</v>
      </c>
      <c r="R343" s="11"/>
      <c r="S343" s="45">
        <f>IFERROR(Table4[[#This Row],[Bottle]]/Table4[[#This Row],[ပါဝင်မှု]]+Table4[[#This Row],[SalesPK]],0)</f>
        <v>50</v>
      </c>
      <c r="T343" s="12">
        <v>50</v>
      </c>
      <c r="U343" s="10">
        <f>Table4[[#This Row],[ပါဝင်မှု]]*Table4[[#This Row],[SalesPK]]+Table4[[#This Row],[Bottle]]</f>
        <v>600</v>
      </c>
      <c r="V343" s="10">
        <f>Table4[[#This Row],[SalesBot]]*Table4[[#This Row],[ML]]</f>
        <v>600</v>
      </c>
      <c r="W343" s="1">
        <f>VLOOKUP(N343,Stock[#Data],6,FALSE)</f>
        <v>1710</v>
      </c>
      <c r="X343" s="8">
        <f>+Table4[[#This Row],[SalesBot]]*Table4[[#This Row],[နှုံး]]</f>
        <v>1026000</v>
      </c>
      <c r="Y343" s="12"/>
      <c r="Z343" s="12"/>
      <c r="AA343" s="12"/>
      <c r="AB343" s="9"/>
      <c r="AC343" s="12"/>
      <c r="AD343" s="9"/>
      <c r="AE343" s="12"/>
      <c r="AF34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343" s="24"/>
      <c r="AH343" s="266">
        <f>Table4[[#This Row],[Date]]</f>
        <v>46044</v>
      </c>
      <c r="AI343" s="264" t="str">
        <f t="shared" si="62"/>
        <v>Jan</v>
      </c>
      <c r="AJ343" s="264" t="str">
        <f t="shared" si="63"/>
        <v>2026</v>
      </c>
      <c r="AK343" s="270" t="str">
        <f>Table4[[#This Row],[ကုန်သည်အမည်]]</f>
        <v>ကိုမောင်+မသူဇာ</v>
      </c>
      <c r="AL343" s="270" t="str">
        <f>Table4[[#This Row],[Township]]</f>
        <v>Yay</v>
      </c>
      <c r="AM343" s="271" t="str">
        <f>Table4[[#This Row],[WholeSales]]</f>
        <v>WholeSales</v>
      </c>
      <c r="AN343" s="272" t="str">
        <f>Table4[[#This Row],[Particular]]</f>
        <v>ကုန်ရောင်း(အကြွေး)</v>
      </c>
      <c r="AO343" s="273" t="str">
        <f>Table4[[#This Row],[StockName]]</f>
        <v>ဇေယျဝတီ Red (1 Liter) 30%</v>
      </c>
      <c r="AP343" s="268">
        <f>Table4[[#This Row],[Parking]]</f>
        <v>50</v>
      </c>
      <c r="AQ343" s="268">
        <f>Table4[[#This Row],[SalesBot]]</f>
        <v>600</v>
      </c>
      <c r="AR343" s="268">
        <f>Table4[[#This Row],[Liter]]</f>
        <v>600</v>
      </c>
    </row>
    <row r="344" spans="1:44" s="16" customFormat="1" hidden="1" x14ac:dyDescent="0.5">
      <c r="A344" s="3">
        <f t="shared" si="58"/>
        <v>2026</v>
      </c>
      <c r="B344" s="8">
        <f t="shared" si="59"/>
        <v>1</v>
      </c>
      <c r="C344" s="82">
        <v>46044</v>
      </c>
      <c r="D344" s="15">
        <f t="shared" ca="1" si="60"/>
        <v>46097</v>
      </c>
      <c r="E344" s="15" t="str">
        <f t="shared" ca="1" si="61"/>
        <v>1-Months</v>
      </c>
      <c r="F344" s="8" t="str">
        <f>VLOOKUP(N344,Stock[#Data],5,FALSE)</f>
        <v>BE</v>
      </c>
      <c r="G344" s="82" t="s">
        <v>1127</v>
      </c>
      <c r="H344" s="15"/>
      <c r="I344" s="7" t="s">
        <v>538</v>
      </c>
      <c r="J344" s="8" t="str">
        <f>VLOOKUP(I344,Customers[#Data],2,FALSE)</f>
        <v>ဒေါ်နွယ်နွယ်ရီ(ရွှေတောင်ကြား)</v>
      </c>
      <c r="K344" s="15" t="str">
        <f>VLOOKUP(I344,Customers[#Data],4,FALSE)</f>
        <v>Yay</v>
      </c>
      <c r="L344" s="15" t="str">
        <f>VLOOKUP(I344,Customers[#Data],5,FALSE)</f>
        <v>WholeSales</v>
      </c>
      <c r="M344" s="7" t="s">
        <v>7</v>
      </c>
      <c r="N344" s="7" t="s">
        <v>517</v>
      </c>
      <c r="O344" s="14" t="str">
        <f>VLOOKUP(N344,Stock[#Data],2,FALSE)</f>
        <v>ဇေယျဝတီ Red (1 Liter) 30%</v>
      </c>
      <c r="P344" s="44">
        <f>VLOOKUP(N344,Stock[#Data],3,FALSE)</f>
        <v>1</v>
      </c>
      <c r="Q344" s="3">
        <f>VLOOKUP(N344,Stock[#Data],4,FALSE)</f>
        <v>12</v>
      </c>
      <c r="R344" s="11"/>
      <c r="S344" s="45">
        <f>IFERROR(Table4[[#This Row],[Bottle]]/Table4[[#This Row],[ပါဝင်မှု]]+Table4[[#This Row],[SalesPK]],0)</f>
        <v>100</v>
      </c>
      <c r="T344" s="12">
        <v>100</v>
      </c>
      <c r="U344" s="10">
        <f>Table4[[#This Row],[ပါဝင်မှု]]*Table4[[#This Row],[SalesPK]]+Table4[[#This Row],[Bottle]]</f>
        <v>1200</v>
      </c>
      <c r="V344" s="10">
        <f>Table4[[#This Row],[SalesBot]]*Table4[[#This Row],[ML]]</f>
        <v>1200</v>
      </c>
      <c r="W344" s="1">
        <f>VLOOKUP(N344,Stock[#Data],6,FALSE)</f>
        <v>1710</v>
      </c>
      <c r="X344" s="8">
        <f>+Table4[[#This Row],[SalesBot]]*Table4[[#This Row],[နှုံး]]</f>
        <v>2052000</v>
      </c>
      <c r="Y344" s="12"/>
      <c r="Z344" s="12"/>
      <c r="AA344" s="12"/>
      <c r="AB344" s="9"/>
      <c r="AC344" s="12"/>
      <c r="AD344" s="9"/>
      <c r="AE344" s="12"/>
      <c r="AF34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344" s="24"/>
      <c r="AH344" s="266">
        <f>Table4[[#This Row],[Date]]</f>
        <v>46044</v>
      </c>
      <c r="AI344" s="264" t="str">
        <f t="shared" si="62"/>
        <v>Jan</v>
      </c>
      <c r="AJ344" s="264" t="str">
        <f t="shared" si="63"/>
        <v>2026</v>
      </c>
      <c r="AK344" s="270" t="str">
        <f>Table4[[#This Row],[ကုန်သည်အမည်]]</f>
        <v>ဒေါ်နွယ်နွယ်ရီ(ရွှေတောင်ကြား)</v>
      </c>
      <c r="AL344" s="270" t="str">
        <f>Table4[[#This Row],[Township]]</f>
        <v>Yay</v>
      </c>
      <c r="AM344" s="271" t="str">
        <f>Table4[[#This Row],[WholeSales]]</f>
        <v>WholeSales</v>
      </c>
      <c r="AN344" s="272" t="str">
        <f>Table4[[#This Row],[Particular]]</f>
        <v>ကုန်ရောင်း(အကြွေး)</v>
      </c>
      <c r="AO344" s="273" t="str">
        <f>Table4[[#This Row],[StockName]]</f>
        <v>ဇေယျဝတီ Red (1 Liter) 30%</v>
      </c>
      <c r="AP344" s="268">
        <f>Table4[[#This Row],[Parking]]</f>
        <v>100</v>
      </c>
      <c r="AQ344" s="268">
        <f>Table4[[#This Row],[SalesBot]]</f>
        <v>1200</v>
      </c>
      <c r="AR344" s="268">
        <f>Table4[[#This Row],[Liter]]</f>
        <v>1200</v>
      </c>
    </row>
    <row r="345" spans="1:44" s="16" customFormat="1" hidden="1" x14ac:dyDescent="0.5">
      <c r="A345" s="3">
        <f t="shared" si="58"/>
        <v>2026</v>
      </c>
      <c r="B345" s="8">
        <f t="shared" si="59"/>
        <v>1</v>
      </c>
      <c r="C345" s="82">
        <v>46044</v>
      </c>
      <c r="D345" s="15">
        <f t="shared" ca="1" si="60"/>
        <v>46097</v>
      </c>
      <c r="E345" s="15" t="str">
        <f t="shared" ca="1" si="61"/>
        <v>1-Months</v>
      </c>
      <c r="F345" s="8" t="str">
        <f>VLOOKUP(N345,Stock[#Data],5,FALSE)</f>
        <v>BE</v>
      </c>
      <c r="G345" s="82" t="s">
        <v>1128</v>
      </c>
      <c r="H345" s="15"/>
      <c r="I345" s="7" t="s">
        <v>95</v>
      </c>
      <c r="J345" s="8" t="str">
        <f>VLOOKUP(I345,Customers[#Data],2,FALSE)</f>
        <v>ကျော်စတား</v>
      </c>
      <c r="K345" s="15" t="str">
        <f>VLOOKUP(I345,Customers[#Data],4,FALSE)</f>
        <v>Yay</v>
      </c>
      <c r="L345" s="15" t="str">
        <f>VLOOKUP(I345,Customers[#Data],5,FALSE)</f>
        <v>WholeSales</v>
      </c>
      <c r="M345" s="7" t="s">
        <v>7</v>
      </c>
      <c r="N345" s="7" t="s">
        <v>514</v>
      </c>
      <c r="O345" s="14" t="str">
        <f>VLOOKUP(N345,Stock[#Data],2,FALSE)</f>
        <v>ဇေယျဝတီ Red</v>
      </c>
      <c r="P345" s="44">
        <f>VLOOKUP(N345,Stock[#Data],3,FALSE)</f>
        <v>0.64</v>
      </c>
      <c r="Q345" s="3">
        <f>VLOOKUP(N345,Stock[#Data],4,FALSE)</f>
        <v>14</v>
      </c>
      <c r="R345" s="11"/>
      <c r="S345" s="45">
        <f>IFERROR(Table4[[#This Row],[Bottle]]/Table4[[#This Row],[ပါဝင်မှု]]+Table4[[#This Row],[SalesPK]],0)</f>
        <v>100</v>
      </c>
      <c r="T345" s="12">
        <v>100</v>
      </c>
      <c r="U345" s="10">
        <f>Table4[[#This Row],[ပါဝင်မှု]]*Table4[[#This Row],[SalesPK]]+Table4[[#This Row],[Bottle]]</f>
        <v>1400</v>
      </c>
      <c r="V345" s="10">
        <f>Table4[[#This Row],[SalesBot]]*Table4[[#This Row],[ML]]</f>
        <v>896</v>
      </c>
      <c r="W345" s="1">
        <f>VLOOKUP(N345,Stock[#Data],6,FALSE)</f>
        <v>1350</v>
      </c>
      <c r="X345" s="8">
        <f>+Table4[[#This Row],[SalesBot]]*Table4[[#This Row],[နှုံး]]</f>
        <v>1890000</v>
      </c>
      <c r="Y345" s="12"/>
      <c r="Z345" s="12"/>
      <c r="AA345" s="12"/>
      <c r="AB345" s="9"/>
      <c r="AC345" s="12"/>
      <c r="AD345" s="9"/>
      <c r="AE345" s="12"/>
      <c r="AF34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345" s="24"/>
      <c r="AH345" s="266">
        <f>Table4[[#This Row],[Date]]</f>
        <v>46044</v>
      </c>
      <c r="AI345" s="264" t="str">
        <f t="shared" si="62"/>
        <v>Jan</v>
      </c>
      <c r="AJ345" s="264" t="str">
        <f t="shared" si="63"/>
        <v>2026</v>
      </c>
      <c r="AK345" s="270" t="str">
        <f>Table4[[#This Row],[ကုန်သည်အမည်]]</f>
        <v>ကျော်စတား</v>
      </c>
      <c r="AL345" s="270" t="str">
        <f>Table4[[#This Row],[Township]]</f>
        <v>Yay</v>
      </c>
      <c r="AM345" s="271" t="str">
        <f>Table4[[#This Row],[WholeSales]]</f>
        <v>WholeSales</v>
      </c>
      <c r="AN345" s="272" t="str">
        <f>Table4[[#This Row],[Particular]]</f>
        <v>ကုန်ရောင်း(အကြွေး)</v>
      </c>
      <c r="AO345" s="273" t="str">
        <f>Table4[[#This Row],[StockName]]</f>
        <v>ဇေယျဝတီ Red</v>
      </c>
      <c r="AP345" s="268">
        <f>Table4[[#This Row],[Parking]]</f>
        <v>100</v>
      </c>
      <c r="AQ345" s="268">
        <f>Table4[[#This Row],[SalesBot]]</f>
        <v>1400</v>
      </c>
      <c r="AR345" s="268">
        <f>Table4[[#This Row],[Liter]]</f>
        <v>896</v>
      </c>
    </row>
    <row r="346" spans="1:44" s="16" customFormat="1" hidden="1" x14ac:dyDescent="0.5">
      <c r="A346" s="3">
        <f t="shared" si="40"/>
        <v>2026</v>
      </c>
      <c r="B346" s="8">
        <f t="shared" si="41"/>
        <v>1</v>
      </c>
      <c r="C346" s="82">
        <v>46044</v>
      </c>
      <c r="D346" s="15">
        <f t="shared" ca="1" si="42"/>
        <v>46097</v>
      </c>
      <c r="E346" s="15" t="str">
        <f t="shared" ca="1" si="43"/>
        <v>1-Months</v>
      </c>
      <c r="F346" s="8" t="str">
        <f>VLOOKUP(N346,Stock[#Data],5,FALSE)</f>
        <v>BE</v>
      </c>
      <c r="G346" s="82" t="s">
        <v>1128</v>
      </c>
      <c r="H346" s="15"/>
      <c r="I346" s="7" t="s">
        <v>95</v>
      </c>
      <c r="J346" s="8" t="str">
        <f>VLOOKUP(I346,Customers[#Data],2,FALSE)</f>
        <v>ကျော်စတား</v>
      </c>
      <c r="K346" s="15" t="str">
        <f>VLOOKUP(I346,Customers[#Data],4,FALSE)</f>
        <v>Yay</v>
      </c>
      <c r="L346" s="15" t="str">
        <f>VLOOKUP(I346,Customers[#Data],5,FALSE)</f>
        <v>WholeSales</v>
      </c>
      <c r="M346" s="7" t="s">
        <v>7</v>
      </c>
      <c r="N346" s="7" t="s">
        <v>517</v>
      </c>
      <c r="O346" s="14" t="str">
        <f>VLOOKUP(N346,Stock[#Data],2,FALSE)</f>
        <v>ဇေယျဝတီ Red (1 Liter) 30%</v>
      </c>
      <c r="P346" s="44">
        <f>VLOOKUP(N346,Stock[#Data],3,FALSE)</f>
        <v>1</v>
      </c>
      <c r="Q346" s="3">
        <f>VLOOKUP(N346,Stock[#Data],4,FALSE)</f>
        <v>12</v>
      </c>
      <c r="R346" s="11"/>
      <c r="S346" s="45">
        <f>IFERROR(Table4[[#This Row],[Bottle]]/Table4[[#This Row],[ပါဝင်မှု]]+Table4[[#This Row],[SalesPK]],0)</f>
        <v>100</v>
      </c>
      <c r="T346" s="12">
        <v>100</v>
      </c>
      <c r="U346" s="10">
        <f>Table4[[#This Row],[ပါဝင်မှု]]*Table4[[#This Row],[SalesPK]]+Table4[[#This Row],[Bottle]]</f>
        <v>1200</v>
      </c>
      <c r="V346" s="10">
        <f>Table4[[#This Row],[SalesBot]]*Table4[[#This Row],[ML]]</f>
        <v>1200</v>
      </c>
      <c r="W346" s="1">
        <f>VLOOKUP(N346,Stock[#Data],6,FALSE)</f>
        <v>1710</v>
      </c>
      <c r="X346" s="8">
        <f>+Table4[[#This Row],[SalesBot]]*Table4[[#This Row],[နှုံး]]</f>
        <v>2052000</v>
      </c>
      <c r="Y346" s="12"/>
      <c r="Z346" s="12"/>
      <c r="AA346" s="12"/>
      <c r="AB346" s="9"/>
      <c r="AC346" s="12"/>
      <c r="AD346" s="9"/>
      <c r="AE346" s="12"/>
      <c r="AF34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346" s="24"/>
      <c r="AH346" s="266">
        <f>Table4[[#This Row],[Date]]</f>
        <v>46044</v>
      </c>
      <c r="AI346" s="264" t="str">
        <f t="shared" si="62"/>
        <v>Jan</v>
      </c>
      <c r="AJ346" s="264" t="str">
        <f t="shared" si="63"/>
        <v>2026</v>
      </c>
      <c r="AK346" s="270" t="str">
        <f>Table4[[#This Row],[ကုန်သည်အမည်]]</f>
        <v>ကျော်စတား</v>
      </c>
      <c r="AL346" s="270" t="str">
        <f>Table4[[#This Row],[Township]]</f>
        <v>Yay</v>
      </c>
      <c r="AM346" s="271" t="str">
        <f>Table4[[#This Row],[WholeSales]]</f>
        <v>WholeSales</v>
      </c>
      <c r="AN346" s="272" t="str">
        <f>Table4[[#This Row],[Particular]]</f>
        <v>ကုန်ရောင်း(အကြွေး)</v>
      </c>
      <c r="AO346" s="273" t="str">
        <f>Table4[[#This Row],[StockName]]</f>
        <v>ဇေယျဝတီ Red (1 Liter) 30%</v>
      </c>
      <c r="AP346" s="268">
        <f>Table4[[#This Row],[Parking]]</f>
        <v>100</v>
      </c>
      <c r="AQ346" s="268">
        <f>Table4[[#This Row],[SalesBot]]</f>
        <v>1200</v>
      </c>
      <c r="AR346" s="268">
        <f>Table4[[#This Row],[Liter]]</f>
        <v>1200</v>
      </c>
    </row>
    <row r="347" spans="1:44" s="16" customFormat="1" hidden="1" x14ac:dyDescent="0.5">
      <c r="A347" s="3">
        <f t="shared" si="40"/>
        <v>2026</v>
      </c>
      <c r="B347" s="8">
        <f t="shared" si="41"/>
        <v>1</v>
      </c>
      <c r="C347" s="82">
        <v>46044</v>
      </c>
      <c r="D347" s="15">
        <f t="shared" ca="1" si="42"/>
        <v>46097</v>
      </c>
      <c r="E347" s="15" t="str">
        <f t="shared" ca="1" si="43"/>
        <v>1-Months</v>
      </c>
      <c r="F347" s="8" t="str">
        <f>VLOOKUP(N347,Stock[#Data],5,FALSE)</f>
        <v>BE</v>
      </c>
      <c r="G347" s="82" t="s">
        <v>1129</v>
      </c>
      <c r="H347" s="15"/>
      <c r="I347" s="7" t="s">
        <v>75</v>
      </c>
      <c r="J347" s="8" t="str">
        <f>VLOOKUP(I347,Customers[#Data],2,FALSE)</f>
        <v>3 Brother</v>
      </c>
      <c r="K347" s="15" t="str">
        <f>VLOOKUP(I347,Customers[#Data],4,FALSE)</f>
        <v>Yay</v>
      </c>
      <c r="L347" s="15" t="str">
        <f>VLOOKUP(I347,Customers[#Data],5,FALSE)</f>
        <v>SemiWholeSales</v>
      </c>
      <c r="M347" s="7" t="s">
        <v>7</v>
      </c>
      <c r="N347" s="7" t="s">
        <v>514</v>
      </c>
      <c r="O347" s="14" t="str">
        <f>VLOOKUP(N347,Stock[#Data],2,FALSE)</f>
        <v>ဇေယျဝတီ Red</v>
      </c>
      <c r="P347" s="44">
        <f>VLOOKUP(N347,Stock[#Data],3,FALSE)</f>
        <v>0.64</v>
      </c>
      <c r="Q347" s="3">
        <f>VLOOKUP(N347,Stock[#Data],4,FALSE)</f>
        <v>14</v>
      </c>
      <c r="R347" s="11"/>
      <c r="S347" s="45">
        <f>IFERROR(Table4[[#This Row],[Bottle]]/Table4[[#This Row],[ပါဝင်မှု]]+Table4[[#This Row],[SalesPK]],0)</f>
        <v>20</v>
      </c>
      <c r="T347" s="12">
        <v>20</v>
      </c>
      <c r="U347" s="10">
        <f>Table4[[#This Row],[ပါဝင်မှု]]*Table4[[#This Row],[SalesPK]]+Table4[[#This Row],[Bottle]]</f>
        <v>280</v>
      </c>
      <c r="V347" s="10">
        <f>Table4[[#This Row],[SalesBot]]*Table4[[#This Row],[ML]]</f>
        <v>179.20000000000002</v>
      </c>
      <c r="W347" s="1">
        <f>VLOOKUP(N347,Stock[#Data],6,FALSE)</f>
        <v>1350</v>
      </c>
      <c r="X347" s="8">
        <f>+Table4[[#This Row],[SalesBot]]*Table4[[#This Row],[နှုံး]]</f>
        <v>378000</v>
      </c>
      <c r="Y347" s="12"/>
      <c r="Z347" s="12"/>
      <c r="AA347" s="12"/>
      <c r="AB347" s="9">
        <v>46049</v>
      </c>
      <c r="AC347" s="12">
        <v>378000</v>
      </c>
      <c r="AD347" s="9"/>
      <c r="AE347" s="12"/>
      <c r="AF34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47" s="24"/>
      <c r="AH347" s="266">
        <f>Table4[[#This Row],[Date]]</f>
        <v>46044</v>
      </c>
      <c r="AI347" s="264" t="str">
        <f t="shared" si="62"/>
        <v>Jan</v>
      </c>
      <c r="AJ347" s="264" t="str">
        <f t="shared" si="63"/>
        <v>2026</v>
      </c>
      <c r="AK347" s="270" t="str">
        <f>Table4[[#This Row],[ကုန်သည်အမည်]]</f>
        <v>3 Brother</v>
      </c>
      <c r="AL347" s="270" t="str">
        <f>Table4[[#This Row],[Township]]</f>
        <v>Yay</v>
      </c>
      <c r="AM347" s="271" t="str">
        <f>Table4[[#This Row],[WholeSales]]</f>
        <v>SemiWholeSales</v>
      </c>
      <c r="AN347" s="272" t="str">
        <f>Table4[[#This Row],[Particular]]</f>
        <v>ကုန်ရောင်း(အကြွေး)</v>
      </c>
      <c r="AO347" s="273" t="str">
        <f>Table4[[#This Row],[StockName]]</f>
        <v>ဇေယျဝတီ Red</v>
      </c>
      <c r="AP347" s="268">
        <f>Table4[[#This Row],[Parking]]</f>
        <v>20</v>
      </c>
      <c r="AQ347" s="268">
        <f>Table4[[#This Row],[SalesBot]]</f>
        <v>280</v>
      </c>
      <c r="AR347" s="268">
        <f>Table4[[#This Row],[Liter]]</f>
        <v>179.20000000000002</v>
      </c>
    </row>
    <row r="348" spans="1:44" s="16" customFormat="1" hidden="1" x14ac:dyDescent="0.5">
      <c r="A348" s="3">
        <f t="shared" si="40"/>
        <v>2026</v>
      </c>
      <c r="B348" s="8">
        <f t="shared" si="41"/>
        <v>1</v>
      </c>
      <c r="C348" s="82">
        <v>46044</v>
      </c>
      <c r="D348" s="15">
        <f t="shared" ca="1" si="42"/>
        <v>46097</v>
      </c>
      <c r="E348" s="15" t="str">
        <f t="shared" ca="1" si="43"/>
        <v>1-Months</v>
      </c>
      <c r="F348" s="8" t="str">
        <f>VLOOKUP(N348,Stock[#Data],5,FALSE)</f>
        <v>BE</v>
      </c>
      <c r="G348" s="82" t="s">
        <v>1129</v>
      </c>
      <c r="H348" s="15"/>
      <c r="I348" s="7" t="s">
        <v>75</v>
      </c>
      <c r="J348" s="8" t="str">
        <f>VLOOKUP(I348,Customers[#Data],2,FALSE)</f>
        <v>3 Brother</v>
      </c>
      <c r="K348" s="15" t="str">
        <f>VLOOKUP(I348,Customers[#Data],4,FALSE)</f>
        <v>Yay</v>
      </c>
      <c r="L348" s="15" t="str">
        <f>VLOOKUP(I348,Customers[#Data],5,FALSE)</f>
        <v>SemiWholeSales</v>
      </c>
      <c r="M348" s="7" t="s">
        <v>7</v>
      </c>
      <c r="N348" s="7" t="s">
        <v>517</v>
      </c>
      <c r="O348" s="14" t="str">
        <f>VLOOKUP(N348,Stock[#Data],2,FALSE)</f>
        <v>ဇေယျဝတီ Red (1 Liter) 30%</v>
      </c>
      <c r="P348" s="44">
        <f>VLOOKUP(N348,Stock[#Data],3,FALSE)</f>
        <v>1</v>
      </c>
      <c r="Q348" s="3">
        <f>VLOOKUP(N348,Stock[#Data],4,FALSE)</f>
        <v>12</v>
      </c>
      <c r="R348" s="11"/>
      <c r="S348" s="45">
        <f>IFERROR(Table4[[#This Row],[Bottle]]/Table4[[#This Row],[ပါဝင်မှု]]+Table4[[#This Row],[SalesPK]],0)</f>
        <v>30</v>
      </c>
      <c r="T348" s="12">
        <v>30</v>
      </c>
      <c r="U348" s="10">
        <f>Table4[[#This Row],[ပါဝင်မှု]]*Table4[[#This Row],[SalesPK]]+Table4[[#This Row],[Bottle]]</f>
        <v>360</v>
      </c>
      <c r="V348" s="10">
        <f>Table4[[#This Row],[SalesBot]]*Table4[[#This Row],[ML]]</f>
        <v>360</v>
      </c>
      <c r="W348" s="1">
        <f>VLOOKUP(N348,Stock[#Data],6,FALSE)</f>
        <v>1710</v>
      </c>
      <c r="X348" s="8">
        <f>+Table4[[#This Row],[SalesBot]]*Table4[[#This Row],[နှုံး]]</f>
        <v>615600</v>
      </c>
      <c r="Y348" s="12"/>
      <c r="Z348" s="12"/>
      <c r="AA348" s="12"/>
      <c r="AB348" s="9">
        <v>46049</v>
      </c>
      <c r="AC348" s="12">
        <v>615600</v>
      </c>
      <c r="AD348" s="9"/>
      <c r="AE348" s="12"/>
      <c r="AF34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48" s="24"/>
      <c r="AH348" s="266">
        <f>Table4[[#This Row],[Date]]</f>
        <v>46044</v>
      </c>
      <c r="AI348" s="264" t="str">
        <f t="shared" si="62"/>
        <v>Jan</v>
      </c>
      <c r="AJ348" s="264" t="str">
        <f t="shared" si="63"/>
        <v>2026</v>
      </c>
      <c r="AK348" s="270" t="str">
        <f>Table4[[#This Row],[ကုန်သည်အမည်]]</f>
        <v>3 Brother</v>
      </c>
      <c r="AL348" s="270" t="str">
        <f>Table4[[#This Row],[Township]]</f>
        <v>Yay</v>
      </c>
      <c r="AM348" s="271" t="str">
        <f>Table4[[#This Row],[WholeSales]]</f>
        <v>SemiWholeSales</v>
      </c>
      <c r="AN348" s="272" t="str">
        <f>Table4[[#This Row],[Particular]]</f>
        <v>ကုန်ရောင်း(အကြွေး)</v>
      </c>
      <c r="AO348" s="273" t="str">
        <f>Table4[[#This Row],[StockName]]</f>
        <v>ဇေယျဝတီ Red (1 Liter) 30%</v>
      </c>
      <c r="AP348" s="268">
        <f>Table4[[#This Row],[Parking]]</f>
        <v>30</v>
      </c>
      <c r="AQ348" s="268">
        <f>Table4[[#This Row],[SalesBot]]</f>
        <v>360</v>
      </c>
      <c r="AR348" s="268">
        <f>Table4[[#This Row],[Liter]]</f>
        <v>360</v>
      </c>
    </row>
    <row r="349" spans="1:44" s="16" customFormat="1" hidden="1" x14ac:dyDescent="0.5">
      <c r="A349" s="3">
        <f t="shared" ref="A349:A380" si="64">YEAR(C349)</f>
        <v>2026</v>
      </c>
      <c r="B349" s="8">
        <f t="shared" ref="B349:B380" si="65">MONTH(C349)</f>
        <v>1</v>
      </c>
      <c r="C349" s="82">
        <v>46044</v>
      </c>
      <c r="D349" s="15">
        <f t="shared" ref="D349:D380" ca="1" si="66">TODAY()</f>
        <v>46097</v>
      </c>
      <c r="E349" s="15" t="str">
        <f t="shared" ref="E349:E380" ca="1" si="67">DATEDIF(C349,D349,"M")&amp;"-Months"</f>
        <v>1-Months</v>
      </c>
      <c r="F349" s="8" t="str">
        <f>VLOOKUP(N349,Stock[#Data],5,FALSE)</f>
        <v>BE</v>
      </c>
      <c r="G349" s="82" t="s">
        <v>1130</v>
      </c>
      <c r="H349" s="15"/>
      <c r="I349" s="7" t="s">
        <v>98</v>
      </c>
      <c r="J349" s="8" t="str">
        <f>VLOOKUP(I349,Customers[#Data],2,FALSE)</f>
        <v>ကိုထိုက်စိုး</v>
      </c>
      <c r="K349" s="15" t="str">
        <f>VLOOKUP(I349,Customers[#Data],4,FALSE)</f>
        <v>Yay</v>
      </c>
      <c r="L349" s="15" t="str">
        <f>VLOOKUP(I349,Customers[#Data],5,FALSE)</f>
        <v>WholeSales</v>
      </c>
      <c r="M349" s="7" t="s">
        <v>6</v>
      </c>
      <c r="N349" s="7" t="s">
        <v>517</v>
      </c>
      <c r="O349" s="14" t="str">
        <f>VLOOKUP(N349,Stock[#Data],2,FALSE)</f>
        <v>ဇေယျဝတီ Red (1 Liter) 30%</v>
      </c>
      <c r="P349" s="44">
        <f>VLOOKUP(N349,Stock[#Data],3,FALSE)</f>
        <v>1</v>
      </c>
      <c r="Q349" s="3">
        <f>VLOOKUP(N349,Stock[#Data],4,FALSE)</f>
        <v>12</v>
      </c>
      <c r="R349" s="11"/>
      <c r="S349" s="45">
        <f>IFERROR(Table4[[#This Row],[Bottle]]/Table4[[#This Row],[ပါဝင်မှု]]+Table4[[#This Row],[SalesPK]],0)</f>
        <v>100</v>
      </c>
      <c r="T349" s="12">
        <v>100</v>
      </c>
      <c r="U349" s="10">
        <f>Table4[[#This Row],[ပါဝင်မှု]]*Table4[[#This Row],[SalesPK]]+Table4[[#This Row],[Bottle]]</f>
        <v>1200</v>
      </c>
      <c r="V349" s="10">
        <f>Table4[[#This Row],[SalesBot]]*Table4[[#This Row],[ML]]</f>
        <v>1200</v>
      </c>
      <c r="W349" s="1">
        <f>VLOOKUP(N349,Stock[#Data],6,FALSE)</f>
        <v>1710</v>
      </c>
      <c r="X349" s="8">
        <f>+Table4[[#This Row],[SalesBot]]*Table4[[#This Row],[နှုံး]]</f>
        <v>2052000</v>
      </c>
      <c r="Y349" s="12"/>
      <c r="Z349" s="12"/>
      <c r="AA349" s="12"/>
      <c r="AB349" s="9"/>
      <c r="AC349" s="12"/>
      <c r="AD349" s="9"/>
      <c r="AE349" s="12"/>
      <c r="AF34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349" s="24"/>
      <c r="AH349" s="266">
        <f>Table4[[#This Row],[Date]]</f>
        <v>46044</v>
      </c>
      <c r="AI349" s="264" t="str">
        <f t="shared" si="62"/>
        <v>Jan</v>
      </c>
      <c r="AJ349" s="264" t="str">
        <f t="shared" si="63"/>
        <v>2026</v>
      </c>
      <c r="AK349" s="270" t="str">
        <f>Table4[[#This Row],[ကုန်သည်အမည်]]</f>
        <v>ကိုထိုက်စိုး</v>
      </c>
      <c r="AL349" s="270" t="str">
        <f>Table4[[#This Row],[Township]]</f>
        <v>Yay</v>
      </c>
      <c r="AM349" s="271" t="str">
        <f>Table4[[#This Row],[WholeSales]]</f>
        <v>WholeSales</v>
      </c>
      <c r="AN349" s="272" t="str">
        <f>Table4[[#This Row],[Particular]]</f>
        <v>ကုန်ရောင်း(လက်ငင်း)</v>
      </c>
      <c r="AO349" s="273" t="str">
        <f>Table4[[#This Row],[StockName]]</f>
        <v>ဇေယျဝတီ Red (1 Liter) 30%</v>
      </c>
      <c r="AP349" s="268">
        <f>Table4[[#This Row],[Parking]]</f>
        <v>100</v>
      </c>
      <c r="AQ349" s="268">
        <f>Table4[[#This Row],[SalesBot]]</f>
        <v>1200</v>
      </c>
      <c r="AR349" s="268">
        <f>Table4[[#This Row],[Liter]]</f>
        <v>1200</v>
      </c>
    </row>
    <row r="350" spans="1:44" s="16" customFormat="1" hidden="1" x14ac:dyDescent="0.5">
      <c r="A350" s="3">
        <f t="shared" si="64"/>
        <v>2026</v>
      </c>
      <c r="B350" s="8">
        <f t="shared" si="65"/>
        <v>1</v>
      </c>
      <c r="C350" s="82">
        <v>46044</v>
      </c>
      <c r="D350" s="15">
        <f t="shared" ca="1" si="66"/>
        <v>46097</v>
      </c>
      <c r="E350" s="15" t="str">
        <f t="shared" ca="1" si="67"/>
        <v>1-Months</v>
      </c>
      <c r="F350" s="8" t="str">
        <f>VLOOKUP(N350,Stock[#Data],5,FALSE)</f>
        <v>BE</v>
      </c>
      <c r="G350" s="82" t="s">
        <v>1132</v>
      </c>
      <c r="H350" s="15"/>
      <c r="I350" s="7" t="s">
        <v>1131</v>
      </c>
      <c r="J350" s="8" t="str">
        <f>VLOOKUP(I350,Customers[#Data],2,FALSE)</f>
        <v>ရွှေကြိုးကြာ</v>
      </c>
      <c r="K350" s="15" t="str">
        <f>VLOOKUP(I350,Customers[#Data],4,FALSE)</f>
        <v>Maw La Myaing</v>
      </c>
      <c r="L350" s="15" t="str">
        <f>VLOOKUP(I350,Customers[#Data],5,FALSE)</f>
        <v>Van Sales</v>
      </c>
      <c r="M350" s="7" t="s">
        <v>6</v>
      </c>
      <c r="N350" s="7" t="s">
        <v>516</v>
      </c>
      <c r="O350" s="14" t="str">
        <f>VLOOKUP(N350,Stock[#Data],2,FALSE)</f>
        <v>ဇေ Vodka</v>
      </c>
      <c r="P350" s="44">
        <f>VLOOKUP(N350,Stock[#Data],3,FALSE)</f>
        <v>0.64</v>
      </c>
      <c r="Q350" s="3">
        <f>VLOOKUP(N350,Stock[#Data],4,FALSE)</f>
        <v>14</v>
      </c>
      <c r="R350" s="11"/>
      <c r="S350" s="45">
        <f>IFERROR(Table4[[#This Row],[Bottle]]/Table4[[#This Row],[ပါဝင်မှု]]+Table4[[#This Row],[SalesPK]],0)</f>
        <v>10</v>
      </c>
      <c r="T350" s="12">
        <v>10</v>
      </c>
      <c r="U350" s="10">
        <f>Table4[[#This Row],[ပါဝင်မှု]]*Table4[[#This Row],[SalesPK]]+Table4[[#This Row],[Bottle]]</f>
        <v>140</v>
      </c>
      <c r="V350" s="10">
        <f>Table4[[#This Row],[SalesBot]]*Table4[[#This Row],[ML]]</f>
        <v>89.600000000000009</v>
      </c>
      <c r="W350" s="1">
        <f>VLOOKUP(N350,Stock[#Data],6,FALSE)</f>
        <v>1400</v>
      </c>
      <c r="X350" s="8">
        <f>+Table4[[#This Row],[SalesBot]]*Table4[[#This Row],[နှုံး]]</f>
        <v>196000</v>
      </c>
      <c r="Y350" s="12"/>
      <c r="Z350" s="12"/>
      <c r="AA350" s="12"/>
      <c r="AB350" s="9"/>
      <c r="AC350" s="12"/>
      <c r="AD350" s="9"/>
      <c r="AE350" s="12"/>
      <c r="AF35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350" s="24"/>
      <c r="AH350" s="266">
        <f>Table4[[#This Row],[Date]]</f>
        <v>46044</v>
      </c>
      <c r="AI350" s="264" t="str">
        <f t="shared" si="62"/>
        <v>Jan</v>
      </c>
      <c r="AJ350" s="264" t="str">
        <f t="shared" si="63"/>
        <v>2026</v>
      </c>
      <c r="AK350" s="270" t="str">
        <f>Table4[[#This Row],[ကုန်သည်အမည်]]</f>
        <v>ရွှေကြိုးကြာ</v>
      </c>
      <c r="AL350" s="270" t="str">
        <f>Table4[[#This Row],[Township]]</f>
        <v>Maw La Myaing</v>
      </c>
      <c r="AM350" s="271" t="str">
        <f>Table4[[#This Row],[WholeSales]]</f>
        <v>Van Sales</v>
      </c>
      <c r="AN350" s="272" t="str">
        <f>Table4[[#This Row],[Particular]]</f>
        <v>ကုန်ရောင်း(လက်ငင်း)</v>
      </c>
      <c r="AO350" s="273" t="str">
        <f>Table4[[#This Row],[StockName]]</f>
        <v>ဇေ Vodka</v>
      </c>
      <c r="AP350" s="268">
        <f>Table4[[#This Row],[Parking]]</f>
        <v>10</v>
      </c>
      <c r="AQ350" s="268">
        <f>Table4[[#This Row],[SalesBot]]</f>
        <v>140</v>
      </c>
      <c r="AR350" s="268">
        <f>Table4[[#This Row],[Liter]]</f>
        <v>89.600000000000009</v>
      </c>
    </row>
    <row r="351" spans="1:44" s="16" customFormat="1" hidden="1" x14ac:dyDescent="0.5">
      <c r="A351" s="3">
        <f t="shared" si="64"/>
        <v>2026</v>
      </c>
      <c r="B351" s="8">
        <f t="shared" si="65"/>
        <v>1</v>
      </c>
      <c r="C351" s="82">
        <v>46044</v>
      </c>
      <c r="D351" s="15">
        <f t="shared" ca="1" si="66"/>
        <v>46097</v>
      </c>
      <c r="E351" s="15" t="str">
        <f t="shared" ca="1" si="67"/>
        <v>1-Months</v>
      </c>
      <c r="F351" s="8" t="str">
        <f>VLOOKUP(N351,Stock[#Data],5,FALSE)</f>
        <v>BE</v>
      </c>
      <c r="G351" s="82" t="s">
        <v>1134</v>
      </c>
      <c r="H351" s="15"/>
      <c r="I351" s="7" t="s">
        <v>112</v>
      </c>
      <c r="J351" s="8" t="str">
        <f>VLOOKUP(I351,Customers[#Data],2,FALSE)</f>
        <v>ကို၀ဏ္ဏ</v>
      </c>
      <c r="K351" s="15" t="str">
        <f>VLOOKUP(I351,Customers[#Data],4,FALSE)</f>
        <v>Maw La Myaing</v>
      </c>
      <c r="L351" s="15" t="str">
        <f>VLOOKUP(I351,Customers[#Data],5,FALSE)</f>
        <v>Van Sales</v>
      </c>
      <c r="M351" s="7" t="s">
        <v>6</v>
      </c>
      <c r="N351" s="7" t="s">
        <v>516</v>
      </c>
      <c r="O351" s="14" t="str">
        <f>VLOOKUP(N351,Stock[#Data],2,FALSE)</f>
        <v>ဇေ Vodka</v>
      </c>
      <c r="P351" s="44">
        <f>VLOOKUP(N351,Stock[#Data],3,FALSE)</f>
        <v>0.64</v>
      </c>
      <c r="Q351" s="3">
        <f>VLOOKUP(N351,Stock[#Data],4,FALSE)</f>
        <v>14</v>
      </c>
      <c r="R351" s="11"/>
      <c r="S351" s="45">
        <f>IFERROR(Table4[[#This Row],[Bottle]]/Table4[[#This Row],[ပါဝင်မှု]]+Table4[[#This Row],[SalesPK]],0)</f>
        <v>10</v>
      </c>
      <c r="T351" s="12">
        <v>10</v>
      </c>
      <c r="U351" s="10">
        <f>Table4[[#This Row],[ပါဝင်မှု]]*Table4[[#This Row],[SalesPK]]+Table4[[#This Row],[Bottle]]</f>
        <v>140</v>
      </c>
      <c r="V351" s="10">
        <f>Table4[[#This Row],[SalesBot]]*Table4[[#This Row],[ML]]</f>
        <v>89.600000000000009</v>
      </c>
      <c r="W351" s="1">
        <f>VLOOKUP(N351,Stock[#Data],6,FALSE)</f>
        <v>1400</v>
      </c>
      <c r="X351" s="8">
        <f>+Table4[[#This Row],[SalesBot]]*Table4[[#This Row],[နှုံး]]</f>
        <v>196000</v>
      </c>
      <c r="Y351" s="12"/>
      <c r="Z351" s="12"/>
      <c r="AA351" s="12"/>
      <c r="AB351" s="9"/>
      <c r="AC351" s="12"/>
      <c r="AD351" s="9"/>
      <c r="AE351" s="12"/>
      <c r="AF35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351" s="24"/>
      <c r="AH351" s="266">
        <f>Table4[[#This Row],[Date]]</f>
        <v>46044</v>
      </c>
      <c r="AI351" s="264" t="str">
        <f t="shared" si="62"/>
        <v>Jan</v>
      </c>
      <c r="AJ351" s="264" t="str">
        <f t="shared" si="63"/>
        <v>2026</v>
      </c>
      <c r="AK351" s="270" t="str">
        <f>Table4[[#This Row],[ကုန်သည်အမည်]]</f>
        <v>ကို၀ဏ္ဏ</v>
      </c>
      <c r="AL351" s="270" t="str">
        <f>Table4[[#This Row],[Township]]</f>
        <v>Maw La Myaing</v>
      </c>
      <c r="AM351" s="271" t="str">
        <f>Table4[[#This Row],[WholeSales]]</f>
        <v>Van Sales</v>
      </c>
      <c r="AN351" s="272" t="str">
        <f>Table4[[#This Row],[Particular]]</f>
        <v>ကုန်ရောင်း(လက်ငင်း)</v>
      </c>
      <c r="AO351" s="273" t="str">
        <f>Table4[[#This Row],[StockName]]</f>
        <v>ဇေ Vodka</v>
      </c>
      <c r="AP351" s="268">
        <f>Table4[[#This Row],[Parking]]</f>
        <v>10</v>
      </c>
      <c r="AQ351" s="268">
        <f>Table4[[#This Row],[SalesBot]]</f>
        <v>140</v>
      </c>
      <c r="AR351" s="268">
        <f>Table4[[#This Row],[Liter]]</f>
        <v>89.600000000000009</v>
      </c>
    </row>
    <row r="352" spans="1:44" s="16" customFormat="1" hidden="1" x14ac:dyDescent="0.5">
      <c r="A352" s="3">
        <f t="shared" si="64"/>
        <v>2026</v>
      </c>
      <c r="B352" s="8">
        <f t="shared" si="65"/>
        <v>1</v>
      </c>
      <c r="C352" s="82">
        <v>46044</v>
      </c>
      <c r="D352" s="15">
        <f t="shared" ca="1" si="66"/>
        <v>46097</v>
      </c>
      <c r="E352" s="15" t="str">
        <f t="shared" ca="1" si="67"/>
        <v>1-Months</v>
      </c>
      <c r="F352" s="8" t="str">
        <f>VLOOKUP(N352,Stock[#Data],5,FALSE)</f>
        <v>BE</v>
      </c>
      <c r="G352" s="82" t="s">
        <v>1135</v>
      </c>
      <c r="H352" s="15"/>
      <c r="I352" s="7" t="s">
        <v>922</v>
      </c>
      <c r="J352" s="8" t="str">
        <f>VLOOKUP(I352,Customers[#Data],2,FALSE)</f>
        <v>မိုးဆမ်း</v>
      </c>
      <c r="K352" s="15" t="str">
        <f>VLOOKUP(I352,Customers[#Data],4,FALSE)</f>
        <v>Mudon</v>
      </c>
      <c r="L352" s="15" t="str">
        <f>VLOOKUP(I352,Customers[#Data],5,FALSE)</f>
        <v>SemiWholeSales</v>
      </c>
      <c r="M352" s="7" t="s">
        <v>6</v>
      </c>
      <c r="N352" s="7" t="s">
        <v>520</v>
      </c>
      <c r="O352" s="14" t="str">
        <f>VLOOKUP(N352,Stock[#Data],2,FALSE)</f>
        <v>ဇေယျဝတီ  Red(ပု)</v>
      </c>
      <c r="P352" s="44">
        <f>VLOOKUP(N352,Stock[#Data],3,FALSE)</f>
        <v>0.64</v>
      </c>
      <c r="Q352" s="3">
        <f>VLOOKUP(N352,Stock[#Data],4,FALSE)</f>
        <v>14</v>
      </c>
      <c r="R352" s="11"/>
      <c r="S352" s="45">
        <f>IFERROR(Table4[[#This Row],[Bottle]]/Table4[[#This Row],[ပါဝင်မှု]]+Table4[[#This Row],[SalesPK]],0)</f>
        <v>50</v>
      </c>
      <c r="T352" s="12">
        <v>50</v>
      </c>
      <c r="U352" s="10">
        <f>Table4[[#This Row],[ပါဝင်မှု]]*Table4[[#This Row],[SalesPK]]+Table4[[#This Row],[Bottle]]</f>
        <v>700</v>
      </c>
      <c r="V352" s="10">
        <f>Table4[[#This Row],[SalesBot]]*Table4[[#This Row],[ML]]</f>
        <v>448</v>
      </c>
      <c r="W352" s="1">
        <f>VLOOKUP(N352,Stock[#Data],6,FALSE)</f>
        <v>1800</v>
      </c>
      <c r="X352" s="8">
        <f>+Table4[[#This Row],[SalesBot]]*Table4[[#This Row],[နှုံး]]</f>
        <v>1260000</v>
      </c>
      <c r="Y352" s="12"/>
      <c r="Z352" s="12"/>
      <c r="AA352" s="12"/>
      <c r="AB352" s="9"/>
      <c r="AC352" s="12"/>
      <c r="AD352" s="9"/>
      <c r="AE352" s="12"/>
      <c r="AF35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352" s="24"/>
      <c r="AH352" s="266">
        <f>Table4[[#This Row],[Date]]</f>
        <v>46044</v>
      </c>
      <c r="AI352" s="264" t="str">
        <f t="shared" si="62"/>
        <v>Jan</v>
      </c>
      <c r="AJ352" s="264" t="str">
        <f t="shared" si="63"/>
        <v>2026</v>
      </c>
      <c r="AK352" s="270" t="str">
        <f>Table4[[#This Row],[ကုန်သည်အမည်]]</f>
        <v>မိုးဆမ်း</v>
      </c>
      <c r="AL352" s="270" t="str">
        <f>Table4[[#This Row],[Township]]</f>
        <v>Mudon</v>
      </c>
      <c r="AM352" s="271" t="str">
        <f>Table4[[#This Row],[WholeSales]]</f>
        <v>SemiWholeSales</v>
      </c>
      <c r="AN352" s="272" t="str">
        <f>Table4[[#This Row],[Particular]]</f>
        <v>ကုန်ရောင်း(လက်ငင်း)</v>
      </c>
      <c r="AO352" s="273" t="str">
        <f>Table4[[#This Row],[StockName]]</f>
        <v>ဇေယျဝတီ  Red(ပု)</v>
      </c>
      <c r="AP352" s="268">
        <f>Table4[[#This Row],[Parking]]</f>
        <v>50</v>
      </c>
      <c r="AQ352" s="268">
        <f>Table4[[#This Row],[SalesBot]]</f>
        <v>700</v>
      </c>
      <c r="AR352" s="268">
        <f>Table4[[#This Row],[Liter]]</f>
        <v>448</v>
      </c>
    </row>
    <row r="353" spans="1:44" s="16" customFormat="1" hidden="1" x14ac:dyDescent="0.5">
      <c r="A353" s="3">
        <f t="shared" si="64"/>
        <v>2026</v>
      </c>
      <c r="B353" s="8">
        <f t="shared" si="65"/>
        <v>1</v>
      </c>
      <c r="C353" s="82">
        <v>46044</v>
      </c>
      <c r="D353" s="15">
        <f t="shared" ca="1" si="66"/>
        <v>46097</v>
      </c>
      <c r="E353" s="15" t="str">
        <f t="shared" ca="1" si="67"/>
        <v>1-Months</v>
      </c>
      <c r="F353" s="8" t="str">
        <f>VLOOKUP(N353,Stock[#Data],5,FALSE)</f>
        <v>BE</v>
      </c>
      <c r="G353" s="82" t="s">
        <v>1136</v>
      </c>
      <c r="H353" s="15"/>
      <c r="I353" s="7" t="s">
        <v>546</v>
      </c>
      <c r="J353" s="8" t="str">
        <f>VLOOKUP(I353,Customers[#Data],2,FALSE)</f>
        <v>မသီတာ၀င်း</v>
      </c>
      <c r="K353" s="15" t="str">
        <f>VLOOKUP(I353,Customers[#Data],4,FALSE)</f>
        <v>Mudon</v>
      </c>
      <c r="L353" s="15" t="str">
        <f>VLOOKUP(I353,Customers[#Data],5,FALSE)</f>
        <v>SemiWholeSales</v>
      </c>
      <c r="M353" s="7" t="s">
        <v>6</v>
      </c>
      <c r="N353" s="7" t="s">
        <v>520</v>
      </c>
      <c r="O353" s="14" t="str">
        <f>VLOOKUP(N353,Stock[#Data],2,FALSE)</f>
        <v>ဇေယျဝတီ  Red(ပု)</v>
      </c>
      <c r="P353" s="44">
        <f>VLOOKUP(N353,Stock[#Data],3,FALSE)</f>
        <v>0.64</v>
      </c>
      <c r="Q353" s="3">
        <f>VLOOKUP(N353,Stock[#Data],4,FALSE)</f>
        <v>14</v>
      </c>
      <c r="R353" s="11"/>
      <c r="S353" s="45">
        <f>IFERROR(Table4[[#This Row],[Bottle]]/Table4[[#This Row],[ပါဝင်မှု]]+Table4[[#This Row],[SalesPK]],0)</f>
        <v>25</v>
      </c>
      <c r="T353" s="12">
        <v>25</v>
      </c>
      <c r="U353" s="10">
        <f>Table4[[#This Row],[ပါဝင်မှု]]*Table4[[#This Row],[SalesPK]]+Table4[[#This Row],[Bottle]]</f>
        <v>350</v>
      </c>
      <c r="V353" s="10">
        <f>Table4[[#This Row],[SalesBot]]*Table4[[#This Row],[ML]]</f>
        <v>224</v>
      </c>
      <c r="W353" s="1">
        <f>VLOOKUP(N353,Stock[#Data],6,FALSE)</f>
        <v>1800</v>
      </c>
      <c r="X353" s="8">
        <f>+Table4[[#This Row],[SalesBot]]*Table4[[#This Row],[နှုံး]]</f>
        <v>630000</v>
      </c>
      <c r="Y353" s="12"/>
      <c r="Z353" s="12"/>
      <c r="AA353" s="12"/>
      <c r="AB353" s="9"/>
      <c r="AC353" s="12"/>
      <c r="AD353" s="9"/>
      <c r="AE353" s="12"/>
      <c r="AF35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630000</v>
      </c>
      <c r="AG353" s="24"/>
      <c r="AH353" s="266">
        <f>Table4[[#This Row],[Date]]</f>
        <v>46044</v>
      </c>
      <c r="AI353" s="264" t="str">
        <f t="shared" si="62"/>
        <v>Jan</v>
      </c>
      <c r="AJ353" s="264" t="str">
        <f t="shared" si="63"/>
        <v>2026</v>
      </c>
      <c r="AK353" s="270" t="str">
        <f>Table4[[#This Row],[ကုန်သည်အမည်]]</f>
        <v>မသီတာ၀င်း</v>
      </c>
      <c r="AL353" s="270" t="str">
        <f>Table4[[#This Row],[Township]]</f>
        <v>Mudon</v>
      </c>
      <c r="AM353" s="271" t="str">
        <f>Table4[[#This Row],[WholeSales]]</f>
        <v>SemiWholeSales</v>
      </c>
      <c r="AN353" s="272" t="str">
        <f>Table4[[#This Row],[Particular]]</f>
        <v>ကုန်ရောင်း(လက်ငင်း)</v>
      </c>
      <c r="AO353" s="273" t="str">
        <f>Table4[[#This Row],[StockName]]</f>
        <v>ဇေယျဝတီ  Red(ပု)</v>
      </c>
      <c r="AP353" s="268">
        <f>Table4[[#This Row],[Parking]]</f>
        <v>25</v>
      </c>
      <c r="AQ353" s="268">
        <f>Table4[[#This Row],[SalesBot]]</f>
        <v>350</v>
      </c>
      <c r="AR353" s="268">
        <f>Table4[[#This Row],[Liter]]</f>
        <v>224</v>
      </c>
    </row>
    <row r="354" spans="1:44" s="16" customFormat="1" hidden="1" x14ac:dyDescent="0.5">
      <c r="A354" s="3">
        <f t="shared" si="64"/>
        <v>2026</v>
      </c>
      <c r="B354" s="8">
        <f t="shared" si="65"/>
        <v>1</v>
      </c>
      <c r="C354" s="82">
        <v>46044</v>
      </c>
      <c r="D354" s="15">
        <f t="shared" ca="1" si="66"/>
        <v>46097</v>
      </c>
      <c r="E354" s="15" t="str">
        <f t="shared" ca="1" si="67"/>
        <v>1-Months</v>
      </c>
      <c r="F354" s="8" t="str">
        <f>VLOOKUP(N354,Stock[#Data],5,FALSE)</f>
        <v>BE</v>
      </c>
      <c r="G354" s="82" t="s">
        <v>1136</v>
      </c>
      <c r="H354" s="15"/>
      <c r="I354" s="7" t="s">
        <v>545</v>
      </c>
      <c r="J354" s="8" t="str">
        <f>VLOOKUP(I354,Customers[#Data],2,FALSE)</f>
        <v>ကိုအောင်နိုင်ဦး</v>
      </c>
      <c r="K354" s="15" t="str">
        <f>VLOOKUP(I354,Customers[#Data],4,FALSE)</f>
        <v>Mudon</v>
      </c>
      <c r="L354" s="15" t="str">
        <f>VLOOKUP(I354,Customers[#Data],5,FALSE)</f>
        <v>SemiWholeSales</v>
      </c>
      <c r="M354" s="7" t="s">
        <v>6</v>
      </c>
      <c r="N354" s="7" t="s">
        <v>520</v>
      </c>
      <c r="O354" s="14" t="str">
        <f>VLOOKUP(N354,Stock[#Data],2,FALSE)</f>
        <v>ဇေယျဝတီ  Red(ပု)</v>
      </c>
      <c r="P354" s="44">
        <f>VLOOKUP(N354,Stock[#Data],3,FALSE)</f>
        <v>0.64</v>
      </c>
      <c r="Q354" s="3">
        <f>VLOOKUP(N354,Stock[#Data],4,FALSE)</f>
        <v>14</v>
      </c>
      <c r="R354" s="11"/>
      <c r="S354" s="45">
        <f>IFERROR(Table4[[#This Row],[Bottle]]/Table4[[#This Row],[ပါဝင်မှု]]+Table4[[#This Row],[SalesPK]],0)</f>
        <v>100</v>
      </c>
      <c r="T354" s="12">
        <v>100</v>
      </c>
      <c r="U354" s="10">
        <f>Table4[[#This Row],[ပါဝင်မှု]]*Table4[[#This Row],[SalesPK]]+Table4[[#This Row],[Bottle]]</f>
        <v>1400</v>
      </c>
      <c r="V354" s="10">
        <f>Table4[[#This Row],[SalesBot]]*Table4[[#This Row],[ML]]</f>
        <v>896</v>
      </c>
      <c r="W354" s="1">
        <f>VLOOKUP(N354,Stock[#Data],6,FALSE)</f>
        <v>1800</v>
      </c>
      <c r="X354" s="8">
        <f>+Table4[[#This Row],[SalesBot]]*Table4[[#This Row],[နှုံး]]</f>
        <v>2520000</v>
      </c>
      <c r="Y354" s="12"/>
      <c r="Z354" s="12"/>
      <c r="AA354" s="12"/>
      <c r="AB354" s="9"/>
      <c r="AC354" s="12"/>
      <c r="AD354" s="9"/>
      <c r="AE354" s="12"/>
      <c r="AF35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2520000</v>
      </c>
      <c r="AG354" s="24"/>
      <c r="AH354" s="266">
        <f>Table4[[#This Row],[Date]]</f>
        <v>46044</v>
      </c>
      <c r="AI354" s="264" t="str">
        <f t="shared" si="62"/>
        <v>Jan</v>
      </c>
      <c r="AJ354" s="264" t="str">
        <f t="shared" si="63"/>
        <v>2026</v>
      </c>
      <c r="AK354" s="270" t="str">
        <f>Table4[[#This Row],[ကုန်သည်အမည်]]</f>
        <v>ကိုအောင်နိုင်ဦး</v>
      </c>
      <c r="AL354" s="270" t="str">
        <f>Table4[[#This Row],[Township]]</f>
        <v>Mudon</v>
      </c>
      <c r="AM354" s="271" t="str">
        <f>Table4[[#This Row],[WholeSales]]</f>
        <v>SemiWholeSales</v>
      </c>
      <c r="AN354" s="272" t="str">
        <f>Table4[[#This Row],[Particular]]</f>
        <v>ကုန်ရောင်း(လက်ငင်း)</v>
      </c>
      <c r="AO354" s="273" t="str">
        <f>Table4[[#This Row],[StockName]]</f>
        <v>ဇေယျဝတီ  Red(ပု)</v>
      </c>
      <c r="AP354" s="268">
        <f>Table4[[#This Row],[Parking]]</f>
        <v>100</v>
      </c>
      <c r="AQ354" s="268">
        <f>Table4[[#This Row],[SalesBot]]</f>
        <v>1400</v>
      </c>
      <c r="AR354" s="268">
        <f>Table4[[#This Row],[Liter]]</f>
        <v>896</v>
      </c>
    </row>
    <row r="355" spans="1:44" s="16" customFormat="1" hidden="1" x14ac:dyDescent="0.5">
      <c r="A355" s="3">
        <f t="shared" si="64"/>
        <v>2026</v>
      </c>
      <c r="B355" s="8">
        <f t="shared" si="65"/>
        <v>1</v>
      </c>
      <c r="C355" s="82">
        <v>46044</v>
      </c>
      <c r="D355" s="15">
        <f t="shared" ca="1" si="66"/>
        <v>46097</v>
      </c>
      <c r="E355" s="15" t="str">
        <f t="shared" ca="1" si="67"/>
        <v>1-Months</v>
      </c>
      <c r="F355" s="8" t="str">
        <f>VLOOKUP(N355,Stock[#Data],5,FALSE)</f>
        <v>BE</v>
      </c>
      <c r="G355" s="82" t="s">
        <v>1137</v>
      </c>
      <c r="H355" s="15"/>
      <c r="I355" s="7" t="s">
        <v>535</v>
      </c>
      <c r="J355" s="8" t="str">
        <f>VLOOKUP(I355,Customers[#Data],2,FALSE)</f>
        <v>ကိုရဲ</v>
      </c>
      <c r="K355" s="15" t="str">
        <f>VLOOKUP(I355,Customers[#Data],4,FALSE)</f>
        <v>Yay</v>
      </c>
      <c r="L355" s="15" t="str">
        <f>VLOOKUP(I355,Customers[#Data],5,FALSE)</f>
        <v>Van Sales</v>
      </c>
      <c r="M355" s="7" t="s">
        <v>6</v>
      </c>
      <c r="N355" s="7" t="s">
        <v>517</v>
      </c>
      <c r="O355" s="14" t="str">
        <f>VLOOKUP(N355,Stock[#Data],2,FALSE)</f>
        <v>ဇေယျဝတီ Red (1 Liter) 30%</v>
      </c>
      <c r="P355" s="44">
        <f>VLOOKUP(N355,Stock[#Data],3,FALSE)</f>
        <v>1</v>
      </c>
      <c r="Q355" s="3">
        <f>VLOOKUP(N355,Stock[#Data],4,FALSE)</f>
        <v>12</v>
      </c>
      <c r="R355" s="11"/>
      <c r="S355" s="45">
        <f>IFERROR(Table4[[#This Row],[Bottle]]/Table4[[#This Row],[ပါဝင်မှု]]+Table4[[#This Row],[SalesPK]],0)</f>
        <v>50</v>
      </c>
      <c r="T355" s="12">
        <v>50</v>
      </c>
      <c r="U355" s="10">
        <f>Table4[[#This Row],[ပါဝင်မှု]]*Table4[[#This Row],[SalesPK]]+Table4[[#This Row],[Bottle]]</f>
        <v>600</v>
      </c>
      <c r="V355" s="10">
        <f>Table4[[#This Row],[SalesBot]]*Table4[[#This Row],[ML]]</f>
        <v>600</v>
      </c>
      <c r="W355" s="1">
        <f>VLOOKUP(N355,Stock[#Data],6,FALSE)</f>
        <v>1710</v>
      </c>
      <c r="X355" s="8">
        <f>+Table4[[#This Row],[SalesBot]]*Table4[[#This Row],[နှုံး]]</f>
        <v>1026000</v>
      </c>
      <c r="Y355" s="12"/>
      <c r="Z355" s="12"/>
      <c r="AA355" s="12"/>
      <c r="AB355" s="9"/>
      <c r="AC355" s="12"/>
      <c r="AD355" s="9"/>
      <c r="AE355" s="12"/>
      <c r="AF35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355" s="24"/>
      <c r="AH355" s="266">
        <f>Table4[[#This Row],[Date]]</f>
        <v>46044</v>
      </c>
      <c r="AI355" s="264" t="str">
        <f t="shared" si="62"/>
        <v>Jan</v>
      </c>
      <c r="AJ355" s="264" t="str">
        <f t="shared" si="63"/>
        <v>2026</v>
      </c>
      <c r="AK355" s="270" t="str">
        <f>Table4[[#This Row],[ကုန်သည်အမည်]]</f>
        <v>ကိုရဲ</v>
      </c>
      <c r="AL355" s="270" t="str">
        <f>Table4[[#This Row],[Township]]</f>
        <v>Yay</v>
      </c>
      <c r="AM355" s="271" t="str">
        <f>Table4[[#This Row],[WholeSales]]</f>
        <v>Van Sales</v>
      </c>
      <c r="AN355" s="272" t="str">
        <f>Table4[[#This Row],[Particular]]</f>
        <v>ကုန်ရောင်း(လက်ငင်း)</v>
      </c>
      <c r="AO355" s="273" t="str">
        <f>Table4[[#This Row],[StockName]]</f>
        <v>ဇေယျဝတီ Red (1 Liter) 30%</v>
      </c>
      <c r="AP355" s="268">
        <f>Table4[[#This Row],[Parking]]</f>
        <v>50</v>
      </c>
      <c r="AQ355" s="268">
        <f>Table4[[#This Row],[SalesBot]]</f>
        <v>600</v>
      </c>
      <c r="AR355" s="268">
        <f>Table4[[#This Row],[Liter]]</f>
        <v>600</v>
      </c>
    </row>
    <row r="356" spans="1:44" s="16" customFormat="1" hidden="1" x14ac:dyDescent="0.5">
      <c r="A356" s="3">
        <f t="shared" si="64"/>
        <v>2026</v>
      </c>
      <c r="B356" s="8">
        <f t="shared" si="65"/>
        <v>1</v>
      </c>
      <c r="C356" s="82">
        <v>46044</v>
      </c>
      <c r="D356" s="15">
        <f t="shared" ca="1" si="66"/>
        <v>46097</v>
      </c>
      <c r="E356" s="15" t="str">
        <f t="shared" ca="1" si="67"/>
        <v>1-Months</v>
      </c>
      <c r="F356" s="8" t="str">
        <f>VLOOKUP(N356,Stock[#Data],5,FALSE)</f>
        <v>BE</v>
      </c>
      <c r="G356" s="82" t="s">
        <v>1138</v>
      </c>
      <c r="H356" s="15"/>
      <c r="I356" s="7" t="s">
        <v>538</v>
      </c>
      <c r="J356" s="8" t="str">
        <f>VLOOKUP(I356,Customers[#Data],2,FALSE)</f>
        <v>ဒေါ်နွယ်နွယ်ရီ(ရွှေတောင်ကြား)</v>
      </c>
      <c r="K356" s="15" t="str">
        <f>VLOOKUP(I356,Customers[#Data],4,FALSE)</f>
        <v>Yay</v>
      </c>
      <c r="L356" s="15" t="str">
        <f>VLOOKUP(I356,Customers[#Data],5,FALSE)</f>
        <v>WholeSales</v>
      </c>
      <c r="M356" s="7" t="s">
        <v>6</v>
      </c>
      <c r="N356" s="7" t="s">
        <v>517</v>
      </c>
      <c r="O356" s="14" t="str">
        <f>VLOOKUP(N356,Stock[#Data],2,FALSE)</f>
        <v>ဇေယျဝတီ Red (1 Liter) 30%</v>
      </c>
      <c r="P356" s="44">
        <f>VLOOKUP(N356,Stock[#Data],3,FALSE)</f>
        <v>1</v>
      </c>
      <c r="Q356" s="3">
        <f>VLOOKUP(N356,Stock[#Data],4,FALSE)</f>
        <v>12</v>
      </c>
      <c r="R356" s="11"/>
      <c r="S356" s="45">
        <f>IFERROR(Table4[[#This Row],[Bottle]]/Table4[[#This Row],[ပါဝင်မှု]]+Table4[[#This Row],[SalesPK]],0)</f>
        <v>100</v>
      </c>
      <c r="T356" s="12">
        <v>100</v>
      </c>
      <c r="U356" s="10">
        <f>Table4[[#This Row],[ပါဝင်မှု]]*Table4[[#This Row],[SalesPK]]+Table4[[#This Row],[Bottle]]</f>
        <v>1200</v>
      </c>
      <c r="V356" s="10">
        <f>Table4[[#This Row],[SalesBot]]*Table4[[#This Row],[ML]]</f>
        <v>1200</v>
      </c>
      <c r="W356" s="1">
        <f>VLOOKUP(N356,Stock[#Data],6,FALSE)</f>
        <v>1710</v>
      </c>
      <c r="X356" s="8">
        <f>+Table4[[#This Row],[SalesBot]]*Table4[[#This Row],[နှုံး]]</f>
        <v>2052000</v>
      </c>
      <c r="Y356" s="12"/>
      <c r="Z356" s="12"/>
      <c r="AA356" s="12"/>
      <c r="AB356" s="9"/>
      <c r="AC356" s="12"/>
      <c r="AD356" s="9"/>
      <c r="AE356" s="12"/>
      <c r="AF35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356" s="24"/>
      <c r="AH356" s="266">
        <f>Table4[[#This Row],[Date]]</f>
        <v>46044</v>
      </c>
      <c r="AI356" s="264" t="str">
        <f t="shared" si="62"/>
        <v>Jan</v>
      </c>
      <c r="AJ356" s="264" t="str">
        <f t="shared" si="63"/>
        <v>2026</v>
      </c>
      <c r="AK356" s="270" t="str">
        <f>Table4[[#This Row],[ကုန်သည်အမည်]]</f>
        <v>ဒေါ်နွယ်နွယ်ရီ(ရွှေတောင်ကြား)</v>
      </c>
      <c r="AL356" s="270" t="str">
        <f>Table4[[#This Row],[Township]]</f>
        <v>Yay</v>
      </c>
      <c r="AM356" s="271" t="str">
        <f>Table4[[#This Row],[WholeSales]]</f>
        <v>WholeSales</v>
      </c>
      <c r="AN356" s="272" t="str">
        <f>Table4[[#This Row],[Particular]]</f>
        <v>ကုန်ရောင်း(လက်ငင်း)</v>
      </c>
      <c r="AO356" s="273" t="str">
        <f>Table4[[#This Row],[StockName]]</f>
        <v>ဇေယျဝတီ Red (1 Liter) 30%</v>
      </c>
      <c r="AP356" s="268">
        <f>Table4[[#This Row],[Parking]]</f>
        <v>100</v>
      </c>
      <c r="AQ356" s="268">
        <f>Table4[[#This Row],[SalesBot]]</f>
        <v>1200</v>
      </c>
      <c r="AR356" s="268">
        <f>Table4[[#This Row],[Liter]]</f>
        <v>1200</v>
      </c>
    </row>
    <row r="357" spans="1:44" s="16" customFormat="1" hidden="1" x14ac:dyDescent="0.5">
      <c r="A357" s="3">
        <f t="shared" si="64"/>
        <v>2026</v>
      </c>
      <c r="B357" s="8">
        <f t="shared" si="65"/>
        <v>1</v>
      </c>
      <c r="C357" s="82">
        <v>46044</v>
      </c>
      <c r="D357" s="15">
        <f t="shared" ca="1" si="66"/>
        <v>46097</v>
      </c>
      <c r="E357" s="15" t="str">
        <f t="shared" ca="1" si="67"/>
        <v>1-Months</v>
      </c>
      <c r="F357" s="8" t="str">
        <f>VLOOKUP(N357,Stock[#Data],5,FALSE)</f>
        <v>BE</v>
      </c>
      <c r="G357" s="82" t="s">
        <v>1139</v>
      </c>
      <c r="H357" s="15"/>
      <c r="I357" s="7" t="s">
        <v>561</v>
      </c>
      <c r="J357" s="8" t="str">
        <f>VLOOKUP(I357,Customers[#Data],2,FALSE)</f>
        <v>ကိုရန်နိုင်ဦး</v>
      </c>
      <c r="K357" s="15" t="str">
        <f>VLOOKUP(I357,Customers[#Data],4,FALSE)</f>
        <v>Hpa-an</v>
      </c>
      <c r="L357" s="15" t="str">
        <f>VLOOKUP(I357,Customers[#Data],5,FALSE)</f>
        <v>Van Sales</v>
      </c>
      <c r="M357" s="7" t="s">
        <v>6</v>
      </c>
      <c r="N357" s="7" t="s">
        <v>1140</v>
      </c>
      <c r="O357" s="14" t="str">
        <f>VLOOKUP(N357,Stock[#Data],2,FALSE)</f>
        <v>ဒဂုံအရက်သန့်</v>
      </c>
      <c r="P357" s="44">
        <f>VLOOKUP(N357,Stock[#Data],3,FALSE)</f>
        <v>1</v>
      </c>
      <c r="Q357" s="3">
        <f>VLOOKUP(N357,Stock[#Data],4,FALSE)</f>
        <v>12</v>
      </c>
      <c r="R357" s="11"/>
      <c r="S357" s="45">
        <f>IFERROR(Table4[[#This Row],[Bottle]]/Table4[[#This Row],[ပါဝင်မှု]]+Table4[[#This Row],[SalesPK]],0)</f>
        <v>150</v>
      </c>
      <c r="T357" s="12">
        <v>150</v>
      </c>
      <c r="U357" s="10">
        <f>Table4[[#This Row],[ပါဝင်မှု]]*Table4[[#This Row],[SalesPK]]+Table4[[#This Row],[Bottle]]</f>
        <v>1800</v>
      </c>
      <c r="V357" s="10">
        <f>Table4[[#This Row],[SalesBot]]*Table4[[#This Row],[ML]]</f>
        <v>1800</v>
      </c>
      <c r="W357" s="1">
        <f>VLOOKUP(N357,Stock[#Data],6,FALSE)</f>
        <v>1675</v>
      </c>
      <c r="X357" s="8">
        <f>+Table4[[#This Row],[SalesBot]]*Table4[[#This Row],[နှုံး]]</f>
        <v>3015000</v>
      </c>
      <c r="Y357" s="12"/>
      <c r="Z357" s="12"/>
      <c r="AA357" s="12"/>
      <c r="AB357" s="9"/>
      <c r="AC357" s="12"/>
      <c r="AD357" s="9"/>
      <c r="AE357" s="12"/>
      <c r="AF35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3015000</v>
      </c>
      <c r="AG357" s="24"/>
      <c r="AH357" s="266">
        <f>Table4[[#This Row],[Date]]</f>
        <v>46044</v>
      </c>
      <c r="AI357" s="264" t="str">
        <f t="shared" si="62"/>
        <v>Jan</v>
      </c>
      <c r="AJ357" s="264" t="str">
        <f t="shared" si="63"/>
        <v>2026</v>
      </c>
      <c r="AK357" s="270" t="str">
        <f>Table4[[#This Row],[ကုန်သည်အမည်]]</f>
        <v>ကိုရန်နိုင်ဦး</v>
      </c>
      <c r="AL357" s="270" t="str">
        <f>Table4[[#This Row],[Township]]</f>
        <v>Hpa-an</v>
      </c>
      <c r="AM357" s="271" t="str">
        <f>Table4[[#This Row],[WholeSales]]</f>
        <v>Van Sales</v>
      </c>
      <c r="AN357" s="272" t="str">
        <f>Table4[[#This Row],[Particular]]</f>
        <v>ကုန်ရောင်း(လက်ငင်း)</v>
      </c>
      <c r="AO357" s="273" t="str">
        <f>Table4[[#This Row],[StockName]]</f>
        <v>ဒဂုံအရက်သန့်</v>
      </c>
      <c r="AP357" s="268">
        <f>Table4[[#This Row],[Parking]]</f>
        <v>150</v>
      </c>
      <c r="AQ357" s="268">
        <f>Table4[[#This Row],[SalesBot]]</f>
        <v>1800</v>
      </c>
      <c r="AR357" s="268">
        <f>Table4[[#This Row],[Liter]]</f>
        <v>1800</v>
      </c>
    </row>
    <row r="358" spans="1:44" s="16" customFormat="1" hidden="1" x14ac:dyDescent="0.5">
      <c r="A358" s="3">
        <f t="shared" si="64"/>
        <v>2026</v>
      </c>
      <c r="B358" s="8">
        <f t="shared" si="65"/>
        <v>1</v>
      </c>
      <c r="C358" s="82">
        <v>46044</v>
      </c>
      <c r="D358" s="15">
        <f t="shared" ca="1" si="66"/>
        <v>46097</v>
      </c>
      <c r="E358" s="15" t="str">
        <f t="shared" ca="1" si="67"/>
        <v>1-Months</v>
      </c>
      <c r="F358" s="8" t="str">
        <f>VLOOKUP(N358,Stock[#Data],5,FALSE)</f>
        <v>BE</v>
      </c>
      <c r="G358" s="82" t="s">
        <v>1142</v>
      </c>
      <c r="H358" s="15"/>
      <c r="I358" s="7" t="s">
        <v>793</v>
      </c>
      <c r="J358" s="8" t="str">
        <f>VLOOKUP(I358,Customers[#Data],2,FALSE)</f>
        <v>ဖြိုးဝေဝင်း</v>
      </c>
      <c r="K358" s="15" t="str">
        <f>VLOOKUP(I358,Customers[#Data],4,FALSE)</f>
        <v>Maw La Myaing</v>
      </c>
      <c r="L358" s="15" t="str">
        <f>VLOOKUP(I358,Customers[#Data],5,FALSE)</f>
        <v>Van Sales</v>
      </c>
      <c r="M358" s="7" t="s">
        <v>6</v>
      </c>
      <c r="N358" s="7" t="s">
        <v>518</v>
      </c>
      <c r="O358" s="14" t="str">
        <f>VLOOKUP(N358,Stock[#Data],2,FALSE)</f>
        <v>"ဇေ" ကော်ဘူး (1 Liter)</v>
      </c>
      <c r="P358" s="44">
        <f>VLOOKUP(N358,Stock[#Data],3,FALSE)</f>
        <v>1</v>
      </c>
      <c r="Q358" s="3">
        <f>VLOOKUP(N358,Stock[#Data],4,FALSE)</f>
        <v>12</v>
      </c>
      <c r="R358" s="11"/>
      <c r="S358" s="45">
        <f>IFERROR(Table4[[#This Row],[Bottle]]/Table4[[#This Row],[ပါဝင်မှု]]+Table4[[#This Row],[SalesPK]],0)</f>
        <v>10</v>
      </c>
      <c r="T358" s="12">
        <v>10</v>
      </c>
      <c r="U358" s="10">
        <f>Table4[[#This Row],[ပါဝင်မှု]]*Table4[[#This Row],[SalesPK]]+Table4[[#This Row],[Bottle]]</f>
        <v>120</v>
      </c>
      <c r="V358" s="10">
        <f>Table4[[#This Row],[SalesBot]]*Table4[[#This Row],[ML]]</f>
        <v>120</v>
      </c>
      <c r="W358" s="1">
        <f>VLOOKUP(N358,Stock[#Data],6,FALSE)</f>
        <v>1675</v>
      </c>
      <c r="X358" s="8">
        <f>+Table4[[#This Row],[SalesBot]]*Table4[[#This Row],[နှုံး]]</f>
        <v>201000</v>
      </c>
      <c r="Y358" s="12"/>
      <c r="Z358" s="12"/>
      <c r="AA358" s="12"/>
      <c r="AB358" s="9"/>
      <c r="AC358" s="12"/>
      <c r="AD358" s="9"/>
      <c r="AE358" s="12"/>
      <c r="AF35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201000</v>
      </c>
      <c r="AG358" s="24"/>
      <c r="AH358" s="266">
        <f>Table4[[#This Row],[Date]]</f>
        <v>46044</v>
      </c>
      <c r="AI358" s="264" t="str">
        <f t="shared" si="62"/>
        <v>Jan</v>
      </c>
      <c r="AJ358" s="264" t="str">
        <f t="shared" si="63"/>
        <v>2026</v>
      </c>
      <c r="AK358" s="270" t="str">
        <f>Table4[[#This Row],[ကုန်သည်အမည်]]</f>
        <v>ဖြိုးဝေဝင်း</v>
      </c>
      <c r="AL358" s="270" t="str">
        <f>Table4[[#This Row],[Township]]</f>
        <v>Maw La Myaing</v>
      </c>
      <c r="AM358" s="271" t="str">
        <f>Table4[[#This Row],[WholeSales]]</f>
        <v>Van Sales</v>
      </c>
      <c r="AN358" s="272" t="str">
        <f>Table4[[#This Row],[Particular]]</f>
        <v>ကုန်ရောင်း(လက်ငင်း)</v>
      </c>
      <c r="AO358" s="273" t="str">
        <f>Table4[[#This Row],[StockName]]</f>
        <v>"ဇေ" ကော်ဘူး (1 Liter)</v>
      </c>
      <c r="AP358" s="268">
        <f>Table4[[#This Row],[Parking]]</f>
        <v>10</v>
      </c>
      <c r="AQ358" s="268">
        <f>Table4[[#This Row],[SalesBot]]</f>
        <v>120</v>
      </c>
      <c r="AR358" s="268">
        <f>Table4[[#This Row],[Liter]]</f>
        <v>120</v>
      </c>
    </row>
    <row r="359" spans="1:44" s="16" customFormat="1" hidden="1" x14ac:dyDescent="0.5">
      <c r="A359" s="3">
        <f t="shared" si="64"/>
        <v>2026</v>
      </c>
      <c r="B359" s="8">
        <f t="shared" si="65"/>
        <v>1</v>
      </c>
      <c r="C359" s="82">
        <v>46044</v>
      </c>
      <c r="D359" s="15">
        <f t="shared" ca="1" si="66"/>
        <v>46097</v>
      </c>
      <c r="E359" s="15" t="str">
        <f t="shared" ca="1" si="67"/>
        <v>1-Months</v>
      </c>
      <c r="F359" s="8" t="str">
        <f>VLOOKUP(N359,Stock[#Data],5,FALSE)</f>
        <v>BE</v>
      </c>
      <c r="G359" s="82" t="s">
        <v>1143</v>
      </c>
      <c r="H359" s="15"/>
      <c r="I359" s="7" t="s">
        <v>78</v>
      </c>
      <c r="J359" s="8" t="str">
        <f>VLOOKUP(I359,Customers[#Data],2,FALSE)</f>
        <v>My-1</v>
      </c>
      <c r="K359" s="15" t="str">
        <f>VLOOKUP(I359,Customers[#Data],4,FALSE)</f>
        <v>Maw La Myaing</v>
      </c>
      <c r="L359" s="15" t="str">
        <f>VLOOKUP(I359,Customers[#Data],5,FALSE)</f>
        <v>Van Sales</v>
      </c>
      <c r="M359" s="7" t="s">
        <v>6</v>
      </c>
      <c r="N359" s="7" t="s">
        <v>522</v>
      </c>
      <c r="O359" s="14" t="str">
        <f>VLOOKUP(N359,Stock[#Data],2,FALSE)</f>
        <v>ဒဂုံမန်ကျည်း ကော်ဘူး (1 Liter)</v>
      </c>
      <c r="P359" s="44">
        <f>VLOOKUP(N359,Stock[#Data],3,FALSE)</f>
        <v>1</v>
      </c>
      <c r="Q359" s="3">
        <f>VLOOKUP(N359,Stock[#Data],4,FALSE)</f>
        <v>12</v>
      </c>
      <c r="R359" s="11"/>
      <c r="S359" s="45">
        <f>IFERROR(Table4[[#This Row],[Bottle]]/Table4[[#This Row],[ပါဝင်မှု]]+Table4[[#This Row],[SalesPK]],0)</f>
        <v>1</v>
      </c>
      <c r="T359" s="12">
        <v>1</v>
      </c>
      <c r="U359" s="10">
        <f>Table4[[#This Row],[ပါဝင်မှု]]*Table4[[#This Row],[SalesPK]]+Table4[[#This Row],[Bottle]]</f>
        <v>12</v>
      </c>
      <c r="V359" s="10">
        <f>Table4[[#This Row],[SalesBot]]*Table4[[#This Row],[ML]]</f>
        <v>12</v>
      </c>
      <c r="W359" s="1">
        <f>VLOOKUP(N359,Stock[#Data],6,FALSE)</f>
        <v>1600</v>
      </c>
      <c r="X359" s="8">
        <f>+Table4[[#This Row],[SalesBot]]*Table4[[#This Row],[နှုံး]]</f>
        <v>19200</v>
      </c>
      <c r="Y359" s="12"/>
      <c r="Z359" s="12"/>
      <c r="AA359" s="12"/>
      <c r="AB359" s="9"/>
      <c r="AC359" s="12"/>
      <c r="AD359" s="9"/>
      <c r="AE359" s="12"/>
      <c r="AF35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359" s="24"/>
      <c r="AH359" s="266">
        <f>Table4[[#This Row],[Date]]</f>
        <v>46044</v>
      </c>
      <c r="AI359" s="264" t="str">
        <f t="shared" si="62"/>
        <v>Jan</v>
      </c>
      <c r="AJ359" s="264" t="str">
        <f t="shared" si="63"/>
        <v>2026</v>
      </c>
      <c r="AK359" s="270" t="str">
        <f>Table4[[#This Row],[ကုန်သည်အမည်]]</f>
        <v>My-1</v>
      </c>
      <c r="AL359" s="270" t="str">
        <f>Table4[[#This Row],[Township]]</f>
        <v>Maw La Myaing</v>
      </c>
      <c r="AM359" s="271" t="str">
        <f>Table4[[#This Row],[WholeSales]]</f>
        <v>Van Sales</v>
      </c>
      <c r="AN359" s="272" t="str">
        <f>Table4[[#This Row],[Particular]]</f>
        <v>ကုန်ရောင်း(လက်ငင်း)</v>
      </c>
      <c r="AO359" s="273" t="str">
        <f>Table4[[#This Row],[StockName]]</f>
        <v>ဒဂုံမန်ကျည်း ကော်ဘူး (1 Liter)</v>
      </c>
      <c r="AP359" s="268">
        <f>Table4[[#This Row],[Parking]]</f>
        <v>1</v>
      </c>
      <c r="AQ359" s="268">
        <f>Table4[[#This Row],[SalesBot]]</f>
        <v>12</v>
      </c>
      <c r="AR359" s="268">
        <f>Table4[[#This Row],[Liter]]</f>
        <v>12</v>
      </c>
    </row>
    <row r="360" spans="1:44" s="16" customFormat="1" hidden="1" x14ac:dyDescent="0.5">
      <c r="A360" s="3">
        <f t="shared" si="64"/>
        <v>2026</v>
      </c>
      <c r="B360" s="8">
        <f t="shared" si="65"/>
        <v>1</v>
      </c>
      <c r="C360" s="82">
        <v>46044</v>
      </c>
      <c r="D360" s="15">
        <f t="shared" ca="1" si="66"/>
        <v>46097</v>
      </c>
      <c r="E360" s="15" t="str">
        <f t="shared" ca="1" si="67"/>
        <v>1-Months</v>
      </c>
      <c r="F360" s="8" t="str">
        <f>VLOOKUP(N360,Stock[#Data],5,FALSE)</f>
        <v>BE</v>
      </c>
      <c r="G360" s="82" t="s">
        <v>1143</v>
      </c>
      <c r="H360" s="15"/>
      <c r="I360" s="7" t="s">
        <v>78</v>
      </c>
      <c r="J360" s="8" t="str">
        <f>VLOOKUP(I360,Customers[#Data],2,FALSE)</f>
        <v>My-1</v>
      </c>
      <c r="K360" s="15" t="str">
        <f>VLOOKUP(I360,Customers[#Data],4,FALSE)</f>
        <v>Maw La Myaing</v>
      </c>
      <c r="L360" s="15" t="str">
        <f>VLOOKUP(I360,Customers[#Data],5,FALSE)</f>
        <v>Van Sales</v>
      </c>
      <c r="M360" s="7" t="s">
        <v>6</v>
      </c>
      <c r="N360" s="7" t="s">
        <v>425</v>
      </c>
      <c r="O360" s="14" t="str">
        <f>VLOOKUP(N360,Stock[#Data],2,FALSE)</f>
        <v>ကောင်းကြည်-1Li</v>
      </c>
      <c r="P360" s="44">
        <f>VLOOKUP(N360,Stock[#Data],3,FALSE)</f>
        <v>1</v>
      </c>
      <c r="Q360" s="3">
        <f>VLOOKUP(N360,Stock[#Data],4,FALSE)</f>
        <v>12</v>
      </c>
      <c r="R360" s="11"/>
      <c r="S360" s="45">
        <f>IFERROR(Table4[[#This Row],[Bottle]]/Table4[[#This Row],[ပါဝင်မှု]]+Table4[[#This Row],[SalesPK]],0)</f>
        <v>2</v>
      </c>
      <c r="T360" s="12">
        <v>2</v>
      </c>
      <c r="U360" s="10">
        <f>Table4[[#This Row],[ပါဝင်မှု]]*Table4[[#This Row],[SalesPK]]+Table4[[#This Row],[Bottle]]</f>
        <v>24</v>
      </c>
      <c r="V360" s="10">
        <f>Table4[[#This Row],[SalesBot]]*Table4[[#This Row],[ML]]</f>
        <v>24</v>
      </c>
      <c r="W360" s="1">
        <f>VLOOKUP(N360,Stock[#Data],6,FALSE)</f>
        <v>1500</v>
      </c>
      <c r="X360" s="8">
        <f>+Table4[[#This Row],[SalesBot]]*Table4[[#This Row],[နှုံး]]</f>
        <v>36000</v>
      </c>
      <c r="Y360" s="12"/>
      <c r="Z360" s="12"/>
      <c r="AA360" s="12"/>
      <c r="AB360" s="9"/>
      <c r="AC360" s="12"/>
      <c r="AD360" s="9"/>
      <c r="AE360" s="12"/>
      <c r="AF36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36000</v>
      </c>
      <c r="AG360" s="24"/>
      <c r="AH360" s="266">
        <f>Table4[[#This Row],[Date]]</f>
        <v>46044</v>
      </c>
      <c r="AI360" s="264" t="str">
        <f t="shared" si="62"/>
        <v>Jan</v>
      </c>
      <c r="AJ360" s="264" t="str">
        <f t="shared" si="63"/>
        <v>2026</v>
      </c>
      <c r="AK360" s="270" t="str">
        <f>Table4[[#This Row],[ကုန်သည်အမည်]]</f>
        <v>My-1</v>
      </c>
      <c r="AL360" s="270" t="str">
        <f>Table4[[#This Row],[Township]]</f>
        <v>Maw La Myaing</v>
      </c>
      <c r="AM360" s="271" t="str">
        <f>Table4[[#This Row],[WholeSales]]</f>
        <v>Van Sales</v>
      </c>
      <c r="AN360" s="272" t="str">
        <f>Table4[[#This Row],[Particular]]</f>
        <v>ကုန်ရောင်း(လက်ငင်း)</v>
      </c>
      <c r="AO360" s="273" t="str">
        <f>Table4[[#This Row],[StockName]]</f>
        <v>ကောင်းကြည်-1Li</v>
      </c>
      <c r="AP360" s="268">
        <f>Table4[[#This Row],[Parking]]</f>
        <v>2</v>
      </c>
      <c r="AQ360" s="268">
        <f>Table4[[#This Row],[SalesBot]]</f>
        <v>24</v>
      </c>
      <c r="AR360" s="268">
        <f>Table4[[#This Row],[Liter]]</f>
        <v>24</v>
      </c>
    </row>
    <row r="361" spans="1:44" s="16" customFormat="1" hidden="1" x14ac:dyDescent="0.5">
      <c r="A361" s="3">
        <f t="shared" si="64"/>
        <v>2026</v>
      </c>
      <c r="B361" s="8">
        <f t="shared" si="65"/>
        <v>1</v>
      </c>
      <c r="C361" s="82">
        <v>46044</v>
      </c>
      <c r="D361" s="15">
        <f t="shared" ca="1" si="66"/>
        <v>46097</v>
      </c>
      <c r="E361" s="15" t="str">
        <f t="shared" ca="1" si="67"/>
        <v>1-Months</v>
      </c>
      <c r="F361" s="8" t="str">
        <f>VLOOKUP(N361,Stock[#Data],5,FALSE)</f>
        <v>BE</v>
      </c>
      <c r="G361" s="82" t="s">
        <v>1143</v>
      </c>
      <c r="H361" s="15"/>
      <c r="I361" s="7" t="s">
        <v>78</v>
      </c>
      <c r="J361" s="8" t="str">
        <f>VLOOKUP(I361,Customers[#Data],2,FALSE)</f>
        <v>My-1</v>
      </c>
      <c r="K361" s="15" t="str">
        <f>VLOOKUP(I361,Customers[#Data],4,FALSE)</f>
        <v>Maw La Myaing</v>
      </c>
      <c r="L361" s="15" t="str">
        <f>VLOOKUP(I361,Customers[#Data],5,FALSE)</f>
        <v>Van Sales</v>
      </c>
      <c r="M361" s="7" t="s">
        <v>6</v>
      </c>
      <c r="N361" s="7" t="s">
        <v>508</v>
      </c>
      <c r="O361" s="14" t="str">
        <f>VLOOKUP(N361,Stock[#Data],2,FALSE)</f>
        <v>ကောင်းကြည်-1Li</v>
      </c>
      <c r="P361" s="44">
        <f>VLOOKUP(N361,Stock[#Data],3,FALSE)</f>
        <v>1</v>
      </c>
      <c r="Q361" s="3">
        <f>VLOOKUP(N361,Stock[#Data],4,FALSE)</f>
        <v>12</v>
      </c>
      <c r="R361" s="11"/>
      <c r="S361" s="45">
        <f>IFERROR(Table4[[#This Row],[Bottle]]/Table4[[#This Row],[ပါဝင်မှု]]+Table4[[#This Row],[SalesPK]],0)</f>
        <v>2</v>
      </c>
      <c r="T361" s="12">
        <v>2</v>
      </c>
      <c r="U361" s="10">
        <f>Table4[[#This Row],[ပါဝင်မှု]]*Table4[[#This Row],[SalesPK]]+Table4[[#This Row],[Bottle]]</f>
        <v>24</v>
      </c>
      <c r="V361" s="10">
        <f>Table4[[#This Row],[SalesBot]]*Table4[[#This Row],[ML]]</f>
        <v>24</v>
      </c>
      <c r="W361" s="1">
        <f>VLOOKUP(N361,Stock[#Data],6,FALSE)</f>
        <v>1850</v>
      </c>
      <c r="X361" s="8">
        <f>+Table4[[#This Row],[SalesBot]]*Table4[[#This Row],[နှုံး]]</f>
        <v>44400</v>
      </c>
      <c r="Y361" s="12"/>
      <c r="Z361" s="12"/>
      <c r="AA361" s="12"/>
      <c r="AB361" s="9"/>
      <c r="AC361" s="12"/>
      <c r="AD361" s="9"/>
      <c r="AE361" s="12"/>
      <c r="AF36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44400</v>
      </c>
      <c r="AG361" s="24"/>
      <c r="AH361" s="266">
        <f>Table4[[#This Row],[Date]]</f>
        <v>46044</v>
      </c>
      <c r="AI361" s="264" t="str">
        <f t="shared" si="62"/>
        <v>Jan</v>
      </c>
      <c r="AJ361" s="264" t="str">
        <f t="shared" si="63"/>
        <v>2026</v>
      </c>
      <c r="AK361" s="270" t="str">
        <f>Table4[[#This Row],[ကုန်သည်အမည်]]</f>
        <v>My-1</v>
      </c>
      <c r="AL361" s="270" t="str">
        <f>Table4[[#This Row],[Township]]</f>
        <v>Maw La Myaing</v>
      </c>
      <c r="AM361" s="271" t="str">
        <f>Table4[[#This Row],[WholeSales]]</f>
        <v>Van Sales</v>
      </c>
      <c r="AN361" s="272" t="str">
        <f>Table4[[#This Row],[Particular]]</f>
        <v>ကုန်ရောင်း(လက်ငင်း)</v>
      </c>
      <c r="AO361" s="273" t="str">
        <f>Table4[[#This Row],[StockName]]</f>
        <v>ကောင်းကြည်-1Li</v>
      </c>
      <c r="AP361" s="268">
        <f>Table4[[#This Row],[Parking]]</f>
        <v>2</v>
      </c>
      <c r="AQ361" s="268">
        <f>Table4[[#This Row],[SalesBot]]</f>
        <v>24</v>
      </c>
      <c r="AR361" s="268">
        <f>Table4[[#This Row],[Liter]]</f>
        <v>24</v>
      </c>
    </row>
    <row r="362" spans="1:44" s="16" customFormat="1" hidden="1" x14ac:dyDescent="0.5">
      <c r="A362" s="3">
        <f t="shared" si="64"/>
        <v>2026</v>
      </c>
      <c r="B362" s="8">
        <f t="shared" si="65"/>
        <v>1</v>
      </c>
      <c r="C362" s="82">
        <v>46044</v>
      </c>
      <c r="D362" s="15">
        <f t="shared" ca="1" si="66"/>
        <v>46097</v>
      </c>
      <c r="E362" s="15" t="str">
        <f t="shared" ca="1" si="67"/>
        <v>1-Months</v>
      </c>
      <c r="F362" s="8" t="str">
        <f>VLOOKUP(N362,Stock[#Data],5,FALSE)</f>
        <v>BE</v>
      </c>
      <c r="G362" s="82" t="s">
        <v>1144</v>
      </c>
      <c r="H362" s="15"/>
      <c r="I362" s="7" t="s">
        <v>793</v>
      </c>
      <c r="J362" s="8" t="str">
        <f>VLOOKUP(I362,Customers[#Data],2,FALSE)</f>
        <v>ဖြိုးဝေဝင်း</v>
      </c>
      <c r="K362" s="15" t="str">
        <f>VLOOKUP(I362,Customers[#Data],4,FALSE)</f>
        <v>Maw La Myaing</v>
      </c>
      <c r="L362" s="15" t="str">
        <f>VLOOKUP(I362,Customers[#Data],5,FALSE)</f>
        <v>Van Sales</v>
      </c>
      <c r="M362" s="7" t="s">
        <v>6</v>
      </c>
      <c r="N362" s="7" t="s">
        <v>508</v>
      </c>
      <c r="O362" s="14" t="str">
        <f>VLOOKUP(N362,Stock[#Data],2,FALSE)</f>
        <v>ကောင်းကြည်-1Li</v>
      </c>
      <c r="P362" s="44">
        <f>VLOOKUP(N362,Stock[#Data],3,FALSE)</f>
        <v>1</v>
      </c>
      <c r="Q362" s="3">
        <f>VLOOKUP(N362,Stock[#Data],4,FALSE)</f>
        <v>12</v>
      </c>
      <c r="R362" s="11"/>
      <c r="S362" s="45">
        <f>IFERROR(Table4[[#This Row],[Bottle]]/Table4[[#This Row],[ပါဝင်မှု]]+Table4[[#This Row],[SalesPK]],0)</f>
        <v>10</v>
      </c>
      <c r="T362" s="12">
        <v>10</v>
      </c>
      <c r="U362" s="10">
        <f>Table4[[#This Row],[ပါဝင်မှု]]*Table4[[#This Row],[SalesPK]]+Table4[[#This Row],[Bottle]]</f>
        <v>120</v>
      </c>
      <c r="V362" s="10">
        <f>Table4[[#This Row],[SalesBot]]*Table4[[#This Row],[ML]]</f>
        <v>120</v>
      </c>
      <c r="W362" s="1">
        <f>VLOOKUP(N362,Stock[#Data],6,FALSE)</f>
        <v>1850</v>
      </c>
      <c r="X362" s="8">
        <f>+Table4[[#This Row],[SalesBot]]*Table4[[#This Row],[နှုံး]]</f>
        <v>222000</v>
      </c>
      <c r="Y362" s="12"/>
      <c r="Z362" s="12"/>
      <c r="AA362" s="12"/>
      <c r="AB362" s="9"/>
      <c r="AC362" s="12"/>
      <c r="AD362" s="9"/>
      <c r="AE362" s="12"/>
      <c r="AF36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222000</v>
      </c>
      <c r="AG362" s="24"/>
      <c r="AH362" s="266">
        <f>Table4[[#This Row],[Date]]</f>
        <v>46044</v>
      </c>
      <c r="AI362" s="264" t="str">
        <f t="shared" si="62"/>
        <v>Jan</v>
      </c>
      <c r="AJ362" s="264" t="str">
        <f t="shared" si="63"/>
        <v>2026</v>
      </c>
      <c r="AK362" s="270" t="str">
        <f>Table4[[#This Row],[ကုန်သည်အမည်]]</f>
        <v>ဖြိုးဝေဝင်း</v>
      </c>
      <c r="AL362" s="270" t="str">
        <f>Table4[[#This Row],[Township]]</f>
        <v>Maw La Myaing</v>
      </c>
      <c r="AM362" s="271" t="str">
        <f>Table4[[#This Row],[WholeSales]]</f>
        <v>Van Sales</v>
      </c>
      <c r="AN362" s="272" t="str">
        <f>Table4[[#This Row],[Particular]]</f>
        <v>ကုန်ရောင်း(လက်ငင်း)</v>
      </c>
      <c r="AO362" s="273" t="str">
        <f>Table4[[#This Row],[StockName]]</f>
        <v>ကောင်းကြည်-1Li</v>
      </c>
      <c r="AP362" s="268">
        <f>Table4[[#This Row],[Parking]]</f>
        <v>10</v>
      </c>
      <c r="AQ362" s="268">
        <f>Table4[[#This Row],[SalesBot]]</f>
        <v>120</v>
      </c>
      <c r="AR362" s="268">
        <f>Table4[[#This Row],[Liter]]</f>
        <v>120</v>
      </c>
    </row>
    <row r="363" spans="1:44" s="16" customFormat="1" hidden="1" x14ac:dyDescent="0.5">
      <c r="A363" s="3">
        <f t="shared" si="64"/>
        <v>2026</v>
      </c>
      <c r="B363" s="8">
        <f t="shared" si="65"/>
        <v>1</v>
      </c>
      <c r="C363" s="82">
        <v>46044</v>
      </c>
      <c r="D363" s="15">
        <f t="shared" ca="1" si="66"/>
        <v>46097</v>
      </c>
      <c r="E363" s="15" t="str">
        <f t="shared" ca="1" si="67"/>
        <v>1-Months</v>
      </c>
      <c r="F363" s="8" t="str">
        <f>VLOOKUP(N363,Stock[#Data],5,FALSE)</f>
        <v>BE</v>
      </c>
      <c r="G363" s="82" t="s">
        <v>1145</v>
      </c>
      <c r="H363" s="15"/>
      <c r="I363" s="7" t="s">
        <v>118</v>
      </c>
      <c r="J363" s="8" t="str">
        <f>VLOOKUP(I363,Customers[#Data],2,FALSE)</f>
        <v>ဒေါ်ဌေး</v>
      </c>
      <c r="K363" s="15" t="str">
        <f>VLOOKUP(I363,Customers[#Data],4,FALSE)</f>
        <v>Thein Zayet</v>
      </c>
      <c r="L363" s="15" t="str">
        <f>VLOOKUP(I363,Customers[#Data],5,FALSE)</f>
        <v>Van Sales</v>
      </c>
      <c r="M363" s="7" t="s">
        <v>7</v>
      </c>
      <c r="N363" s="7" t="s">
        <v>533</v>
      </c>
      <c r="O363" s="14" t="str">
        <f>VLOOKUP(N363,Stock[#Data],2,FALSE)</f>
        <v>ရွှေမန်း</v>
      </c>
      <c r="P363" s="44">
        <f>VLOOKUP(N363,Stock[#Data],3,FALSE)</f>
        <v>0.64</v>
      </c>
      <c r="Q363" s="3">
        <f>VLOOKUP(N363,Stock[#Data],4,FALSE)</f>
        <v>14</v>
      </c>
      <c r="R363" s="11"/>
      <c r="S363" s="45">
        <f>IFERROR(Table4[[#This Row],[Bottle]]/Table4[[#This Row],[ပါဝင်မှု]]+Table4[[#This Row],[SalesPK]],0)</f>
        <v>2</v>
      </c>
      <c r="T363" s="12">
        <v>2</v>
      </c>
      <c r="U363" s="10">
        <f>Table4[[#This Row],[ပါဝင်မှု]]*Table4[[#This Row],[SalesPK]]+Table4[[#This Row],[Bottle]]</f>
        <v>28</v>
      </c>
      <c r="V363" s="10">
        <f>Table4[[#This Row],[SalesBot]]*Table4[[#This Row],[ML]]</f>
        <v>17.920000000000002</v>
      </c>
      <c r="W363" s="1">
        <f>VLOOKUP(N363,Stock[#Data],6,FALSE)</f>
        <v>1500</v>
      </c>
      <c r="X363" s="8">
        <f>+Table4[[#This Row],[SalesBot]]*Table4[[#This Row],[နှုံး]]</f>
        <v>42000</v>
      </c>
      <c r="Y363" s="12"/>
      <c r="Z363" s="12"/>
      <c r="AA363" s="12"/>
      <c r="AB363" s="9"/>
      <c r="AC363" s="12"/>
      <c r="AD363" s="9"/>
      <c r="AE363" s="12"/>
      <c r="AF36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42000</v>
      </c>
      <c r="AG363" s="24"/>
      <c r="AH363" s="266">
        <f>Table4[[#This Row],[Date]]</f>
        <v>46044</v>
      </c>
      <c r="AI363" s="264" t="str">
        <f t="shared" si="62"/>
        <v>Jan</v>
      </c>
      <c r="AJ363" s="264" t="str">
        <f t="shared" si="63"/>
        <v>2026</v>
      </c>
      <c r="AK363" s="270" t="str">
        <f>Table4[[#This Row],[ကုန်သည်အမည်]]</f>
        <v>ဒေါ်ဌေး</v>
      </c>
      <c r="AL363" s="270" t="str">
        <f>Table4[[#This Row],[Township]]</f>
        <v>Thein Zayet</v>
      </c>
      <c r="AM363" s="271" t="str">
        <f>Table4[[#This Row],[WholeSales]]</f>
        <v>Van Sales</v>
      </c>
      <c r="AN363" s="272" t="str">
        <f>Table4[[#This Row],[Particular]]</f>
        <v>ကုန်ရောင်း(အကြွေး)</v>
      </c>
      <c r="AO363" s="273" t="str">
        <f>Table4[[#This Row],[StockName]]</f>
        <v>ရွှေမန်း</v>
      </c>
      <c r="AP363" s="268">
        <f>Table4[[#This Row],[Parking]]</f>
        <v>2</v>
      </c>
      <c r="AQ363" s="268">
        <f>Table4[[#This Row],[SalesBot]]</f>
        <v>28</v>
      </c>
      <c r="AR363" s="268">
        <f>Table4[[#This Row],[Liter]]</f>
        <v>17.920000000000002</v>
      </c>
    </row>
    <row r="364" spans="1:44" s="16" customFormat="1" hidden="1" x14ac:dyDescent="0.5">
      <c r="A364" s="3">
        <f t="shared" si="64"/>
        <v>2026</v>
      </c>
      <c r="B364" s="8">
        <f t="shared" si="65"/>
        <v>1</v>
      </c>
      <c r="C364" s="82">
        <v>46044</v>
      </c>
      <c r="D364" s="15">
        <f t="shared" ca="1" si="66"/>
        <v>46097</v>
      </c>
      <c r="E364" s="15" t="str">
        <f t="shared" ca="1" si="67"/>
        <v>1-Months</v>
      </c>
      <c r="F364" s="8" t="str">
        <f>VLOOKUP(N364,Stock[#Data],5,FALSE)</f>
        <v>BE</v>
      </c>
      <c r="G364" s="82" t="s">
        <v>1145</v>
      </c>
      <c r="H364" s="15"/>
      <c r="I364" s="7" t="s">
        <v>118</v>
      </c>
      <c r="J364" s="8" t="str">
        <f>VLOOKUP(I364,Customers[#Data],2,FALSE)</f>
        <v>ဒေါ်ဌေး</v>
      </c>
      <c r="K364" s="15" t="str">
        <f>VLOOKUP(I364,Customers[#Data],4,FALSE)</f>
        <v>Thein Zayet</v>
      </c>
      <c r="L364" s="15" t="str">
        <f>VLOOKUP(I364,Customers[#Data],5,FALSE)</f>
        <v>Van Sales</v>
      </c>
      <c r="M364" s="7" t="s">
        <v>9</v>
      </c>
      <c r="N364" s="7" t="s">
        <v>1146</v>
      </c>
      <c r="O364" s="14" t="str">
        <f>VLOOKUP(N364,Stock[#Data],2,FALSE)</f>
        <v>ရွှေမန်း</v>
      </c>
      <c r="P364" s="44">
        <f>VLOOKUP(N364,Stock[#Data],3,FALSE)</f>
        <v>1</v>
      </c>
      <c r="Q364" s="3">
        <f>VLOOKUP(N364,Stock[#Data],4,FALSE)</f>
        <v>12</v>
      </c>
      <c r="R364" s="11">
        <v>2</v>
      </c>
      <c r="S364" s="45">
        <f>IFERROR(Table4[[#This Row],[Bottle]]/Table4[[#This Row],[ပါဝင်မှု]]+Table4[[#This Row],[SalesPK]],0)</f>
        <v>0.16666666666666666</v>
      </c>
      <c r="T364" s="12"/>
      <c r="U364" s="10">
        <f>Table4[[#This Row],[ပါဝင်မှု]]*Table4[[#This Row],[SalesPK]]+Table4[[#This Row],[Bottle]]</f>
        <v>2</v>
      </c>
      <c r="V364" s="10">
        <f>Table4[[#This Row],[SalesBot]]*Table4[[#This Row],[ML]]</f>
        <v>2</v>
      </c>
      <c r="W364" s="1">
        <f>VLOOKUP(N364,Stock[#Data],6,FALSE)</f>
        <v>0</v>
      </c>
      <c r="X364" s="8">
        <f>+Table4[[#This Row],[SalesBot]]*Table4[[#This Row],[နှုံး]]</f>
        <v>0</v>
      </c>
      <c r="Y364" s="12"/>
      <c r="Z364" s="12"/>
      <c r="AA364" s="12"/>
      <c r="AB364" s="9"/>
      <c r="AC364" s="12"/>
      <c r="AD364" s="9"/>
      <c r="AE364" s="12"/>
      <c r="AF36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64" s="24"/>
      <c r="AH364" s="266">
        <f>Table4[[#This Row],[Date]]</f>
        <v>46044</v>
      </c>
      <c r="AI364" s="264" t="str">
        <f t="shared" si="62"/>
        <v>Jan</v>
      </c>
      <c r="AJ364" s="264" t="str">
        <f t="shared" si="63"/>
        <v>2026</v>
      </c>
      <c r="AK364" s="270" t="str">
        <f>Table4[[#This Row],[ကုန်သည်အမည်]]</f>
        <v>ဒေါ်ဌေး</v>
      </c>
      <c r="AL364" s="270" t="str">
        <f>Table4[[#This Row],[Township]]</f>
        <v>Thein Zayet</v>
      </c>
      <c r="AM364" s="271" t="str">
        <f>Table4[[#This Row],[WholeSales]]</f>
        <v>Van Sales</v>
      </c>
      <c r="AN364" s="272" t="str">
        <f>Table4[[#This Row],[Particular]]</f>
        <v>လက်ဆောင်</v>
      </c>
      <c r="AO364" s="273" t="str">
        <f>Table4[[#This Row],[StockName]]</f>
        <v>ရွှေမန်း</v>
      </c>
      <c r="AP364" s="268">
        <f>Table4[[#This Row],[Parking]]</f>
        <v>0.16666666666666666</v>
      </c>
      <c r="AQ364" s="268">
        <f>Table4[[#This Row],[SalesBot]]</f>
        <v>2</v>
      </c>
      <c r="AR364" s="268">
        <f>Table4[[#This Row],[Liter]]</f>
        <v>2</v>
      </c>
    </row>
    <row r="365" spans="1:44" s="16" customFormat="1" hidden="1" x14ac:dyDescent="0.5">
      <c r="A365" s="3">
        <f t="shared" si="64"/>
        <v>2026</v>
      </c>
      <c r="B365" s="8">
        <f t="shared" si="65"/>
        <v>1</v>
      </c>
      <c r="C365" s="82">
        <v>46044</v>
      </c>
      <c r="D365" s="15">
        <f t="shared" ca="1" si="66"/>
        <v>46097</v>
      </c>
      <c r="E365" s="15" t="str">
        <f t="shared" ca="1" si="67"/>
        <v>1-Months</v>
      </c>
      <c r="F365" s="8" t="str">
        <f>VLOOKUP(N365,Stock[#Data],5,FALSE)</f>
        <v>BE</v>
      </c>
      <c r="G365" s="82" t="s">
        <v>1147</v>
      </c>
      <c r="H365" s="15"/>
      <c r="I365" s="7" t="s">
        <v>176</v>
      </c>
      <c r="J365" s="8" t="str">
        <f>VLOOKUP(I365,Customers[#Data],2,FALSE)</f>
        <v>ဒေါ်စိန်</v>
      </c>
      <c r="K365" s="15" t="str">
        <f>VLOOKUP(I365,Customers[#Data],4,FALSE)</f>
        <v>Thein Zayet</v>
      </c>
      <c r="L365" s="15" t="str">
        <f>VLOOKUP(I365,Customers[#Data],5,FALSE)</f>
        <v>SemiWholeSales</v>
      </c>
      <c r="M365" s="7" t="s">
        <v>6</v>
      </c>
      <c r="N365" s="7" t="s">
        <v>514</v>
      </c>
      <c r="O365" s="14" t="str">
        <f>VLOOKUP(N365,Stock[#Data],2,FALSE)</f>
        <v>ဇေယျဝတီ Red</v>
      </c>
      <c r="P365" s="44">
        <f>VLOOKUP(N365,Stock[#Data],3,FALSE)</f>
        <v>0.64</v>
      </c>
      <c r="Q365" s="3">
        <f>VLOOKUP(N365,Stock[#Data],4,FALSE)</f>
        <v>14</v>
      </c>
      <c r="R365" s="11"/>
      <c r="S365" s="45">
        <f>IFERROR(Table4[[#This Row],[Bottle]]/Table4[[#This Row],[ပါဝင်မှု]]+Table4[[#This Row],[SalesPK]],0)</f>
        <v>50</v>
      </c>
      <c r="T365" s="12">
        <v>50</v>
      </c>
      <c r="U365" s="10">
        <f>Table4[[#This Row],[ပါဝင်မှု]]*Table4[[#This Row],[SalesPK]]+Table4[[#This Row],[Bottle]]</f>
        <v>700</v>
      </c>
      <c r="V365" s="10">
        <f>Table4[[#This Row],[SalesBot]]*Table4[[#This Row],[ML]]</f>
        <v>448</v>
      </c>
      <c r="W365" s="1">
        <f>VLOOKUP(N365,Stock[#Data],6,FALSE)</f>
        <v>1350</v>
      </c>
      <c r="X365" s="8">
        <f>+Table4[[#This Row],[SalesBot]]*Table4[[#This Row],[နှုံး]]</f>
        <v>945000</v>
      </c>
      <c r="Y365" s="12"/>
      <c r="Z365" s="12"/>
      <c r="AA365" s="12"/>
      <c r="AB365" s="9"/>
      <c r="AC365" s="12"/>
      <c r="AD365" s="9"/>
      <c r="AE365" s="12"/>
      <c r="AF36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365" s="24"/>
      <c r="AH365" s="266">
        <f>Table4[[#This Row],[Date]]</f>
        <v>46044</v>
      </c>
      <c r="AI365" s="264" t="str">
        <f t="shared" si="62"/>
        <v>Jan</v>
      </c>
      <c r="AJ365" s="264" t="str">
        <f t="shared" si="63"/>
        <v>2026</v>
      </c>
      <c r="AK365" s="270" t="str">
        <f>Table4[[#This Row],[ကုန်သည်အမည်]]</f>
        <v>ဒေါ်စိန်</v>
      </c>
      <c r="AL365" s="270" t="str">
        <f>Table4[[#This Row],[Township]]</f>
        <v>Thein Zayet</v>
      </c>
      <c r="AM365" s="271" t="str">
        <f>Table4[[#This Row],[WholeSales]]</f>
        <v>SemiWholeSales</v>
      </c>
      <c r="AN365" s="272" t="str">
        <f>Table4[[#This Row],[Particular]]</f>
        <v>ကုန်ရောင်း(လက်ငင်း)</v>
      </c>
      <c r="AO365" s="273" t="str">
        <f>Table4[[#This Row],[StockName]]</f>
        <v>ဇေယျဝတီ Red</v>
      </c>
      <c r="AP365" s="268">
        <f>Table4[[#This Row],[Parking]]</f>
        <v>50</v>
      </c>
      <c r="AQ365" s="268">
        <f>Table4[[#This Row],[SalesBot]]</f>
        <v>700</v>
      </c>
      <c r="AR365" s="268">
        <f>Table4[[#This Row],[Liter]]</f>
        <v>448</v>
      </c>
    </row>
    <row r="366" spans="1:44" s="16" customFormat="1" hidden="1" x14ac:dyDescent="0.5">
      <c r="A366" s="3">
        <f t="shared" si="64"/>
        <v>2026</v>
      </c>
      <c r="B366" s="8">
        <f t="shared" si="65"/>
        <v>1</v>
      </c>
      <c r="C366" s="82">
        <v>46044</v>
      </c>
      <c r="D366" s="15">
        <f t="shared" ca="1" si="66"/>
        <v>46097</v>
      </c>
      <c r="E366" s="15" t="str">
        <f t="shared" ca="1" si="67"/>
        <v>1-Months</v>
      </c>
      <c r="F366" s="8" t="str">
        <f>VLOOKUP(N366,Stock[#Data],5,FALSE)</f>
        <v>BE</v>
      </c>
      <c r="G366" s="82" t="s">
        <v>1147</v>
      </c>
      <c r="H366" s="15"/>
      <c r="I366" s="7" t="s">
        <v>176</v>
      </c>
      <c r="J366" s="8" t="str">
        <f>VLOOKUP(I366,Customers[#Data],2,FALSE)</f>
        <v>ဒေါ်စိန်</v>
      </c>
      <c r="K366" s="15" t="str">
        <f>VLOOKUP(I366,Customers[#Data],4,FALSE)</f>
        <v>Thein Zayet</v>
      </c>
      <c r="L366" s="15" t="str">
        <f>VLOOKUP(I366,Customers[#Data],5,FALSE)</f>
        <v>SemiWholeSales</v>
      </c>
      <c r="M366" s="7" t="s">
        <v>6</v>
      </c>
      <c r="N366" s="7" t="s">
        <v>517</v>
      </c>
      <c r="O366" s="14" t="str">
        <f>VLOOKUP(N366,Stock[#Data],2,FALSE)</f>
        <v>ဇေယျဝတီ Red (1 Liter) 30%</v>
      </c>
      <c r="P366" s="44">
        <f>VLOOKUP(N366,Stock[#Data],3,FALSE)</f>
        <v>1</v>
      </c>
      <c r="Q366" s="3">
        <f>VLOOKUP(N366,Stock[#Data],4,FALSE)</f>
        <v>12</v>
      </c>
      <c r="R366" s="11"/>
      <c r="S366" s="45">
        <f>IFERROR(Table4[[#This Row],[Bottle]]/Table4[[#This Row],[ပါဝင်မှု]]+Table4[[#This Row],[SalesPK]],0)</f>
        <v>50</v>
      </c>
      <c r="T366" s="12">
        <v>50</v>
      </c>
      <c r="U366" s="10">
        <f>Table4[[#This Row],[ပါဝင်မှု]]*Table4[[#This Row],[SalesPK]]+Table4[[#This Row],[Bottle]]</f>
        <v>600</v>
      </c>
      <c r="V366" s="10">
        <f>Table4[[#This Row],[SalesBot]]*Table4[[#This Row],[ML]]</f>
        <v>600</v>
      </c>
      <c r="W366" s="1">
        <f>VLOOKUP(N366,Stock[#Data],6,FALSE)</f>
        <v>1710</v>
      </c>
      <c r="X366" s="8">
        <f>+Table4[[#This Row],[SalesBot]]*Table4[[#This Row],[နှုံး]]</f>
        <v>1026000</v>
      </c>
      <c r="Y366" s="12"/>
      <c r="Z366" s="12"/>
      <c r="AA366" s="12"/>
      <c r="AB366" s="9"/>
      <c r="AC366" s="12"/>
      <c r="AD366" s="9"/>
      <c r="AE366" s="12"/>
      <c r="AF36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366" s="24"/>
      <c r="AH366" s="266">
        <f>Table4[[#This Row],[Date]]</f>
        <v>46044</v>
      </c>
      <c r="AI366" s="264" t="str">
        <f t="shared" si="62"/>
        <v>Jan</v>
      </c>
      <c r="AJ366" s="264" t="str">
        <f t="shared" si="63"/>
        <v>2026</v>
      </c>
      <c r="AK366" s="270" t="str">
        <f>Table4[[#This Row],[ကုန်သည်အမည်]]</f>
        <v>ဒေါ်စိန်</v>
      </c>
      <c r="AL366" s="270" t="str">
        <f>Table4[[#This Row],[Township]]</f>
        <v>Thein Zayet</v>
      </c>
      <c r="AM366" s="271" t="str">
        <f>Table4[[#This Row],[WholeSales]]</f>
        <v>SemiWholeSales</v>
      </c>
      <c r="AN366" s="272" t="str">
        <f>Table4[[#This Row],[Particular]]</f>
        <v>ကုန်ရောင်း(လက်ငင်း)</v>
      </c>
      <c r="AO366" s="273" t="str">
        <f>Table4[[#This Row],[StockName]]</f>
        <v>ဇေယျဝတီ Red (1 Liter) 30%</v>
      </c>
      <c r="AP366" s="268">
        <f>Table4[[#This Row],[Parking]]</f>
        <v>50</v>
      </c>
      <c r="AQ366" s="268">
        <f>Table4[[#This Row],[SalesBot]]</f>
        <v>600</v>
      </c>
      <c r="AR366" s="268">
        <f>Table4[[#This Row],[Liter]]</f>
        <v>600</v>
      </c>
    </row>
    <row r="367" spans="1:44" s="16" customFormat="1" hidden="1" x14ac:dyDescent="0.5">
      <c r="A367" s="3">
        <f t="shared" si="64"/>
        <v>2026</v>
      </c>
      <c r="B367" s="8">
        <f t="shared" si="65"/>
        <v>1</v>
      </c>
      <c r="C367" s="82">
        <v>46044</v>
      </c>
      <c r="D367" s="15">
        <f t="shared" ca="1" si="66"/>
        <v>46097</v>
      </c>
      <c r="E367" s="15" t="str">
        <f t="shared" ca="1" si="67"/>
        <v>1-Months</v>
      </c>
      <c r="F367" s="8" t="str">
        <f>VLOOKUP(N367,Stock[#Data],5,FALSE)</f>
        <v>BE</v>
      </c>
      <c r="G367" s="82" t="s">
        <v>1147</v>
      </c>
      <c r="H367" s="15"/>
      <c r="I367" s="7" t="s">
        <v>176</v>
      </c>
      <c r="J367" s="8" t="str">
        <f>VLOOKUP(I367,Customers[#Data],2,FALSE)</f>
        <v>ဒေါ်စိန်</v>
      </c>
      <c r="K367" s="15" t="str">
        <f>VLOOKUP(I367,Customers[#Data],4,FALSE)</f>
        <v>Thein Zayet</v>
      </c>
      <c r="L367" s="15" t="str">
        <f>VLOOKUP(I367,Customers[#Data],5,FALSE)</f>
        <v>SemiWholeSales</v>
      </c>
      <c r="M367" s="7" t="s">
        <v>9</v>
      </c>
      <c r="N367" s="7" t="s">
        <v>1146</v>
      </c>
      <c r="O367" s="14" t="str">
        <f>VLOOKUP(N367,Stock[#Data],2,FALSE)</f>
        <v>ရွှေမန်း</v>
      </c>
      <c r="P367" s="44">
        <f>VLOOKUP(N367,Stock[#Data],3,FALSE)</f>
        <v>1</v>
      </c>
      <c r="Q367" s="3">
        <f>VLOOKUP(N367,Stock[#Data],4,FALSE)</f>
        <v>12</v>
      </c>
      <c r="R367" s="11">
        <v>3</v>
      </c>
      <c r="S367" s="45">
        <f>IFERROR(Table4[[#This Row],[Bottle]]/Table4[[#This Row],[ပါဝင်မှု]]+Table4[[#This Row],[SalesPK]],0)</f>
        <v>0.25</v>
      </c>
      <c r="T367" s="12"/>
      <c r="U367" s="10">
        <f>Table4[[#This Row],[ပါဝင်မှု]]*Table4[[#This Row],[SalesPK]]+Table4[[#This Row],[Bottle]]</f>
        <v>3</v>
      </c>
      <c r="V367" s="10">
        <f>Table4[[#This Row],[SalesBot]]*Table4[[#This Row],[ML]]</f>
        <v>3</v>
      </c>
      <c r="W367" s="1">
        <f>VLOOKUP(N367,Stock[#Data],6,FALSE)</f>
        <v>0</v>
      </c>
      <c r="X367" s="8">
        <f>+Table4[[#This Row],[SalesBot]]*Table4[[#This Row],[နှုံး]]</f>
        <v>0</v>
      </c>
      <c r="Y367" s="12"/>
      <c r="Z367" s="12"/>
      <c r="AA367" s="12"/>
      <c r="AB367" s="9"/>
      <c r="AC367" s="12"/>
      <c r="AD367" s="9"/>
      <c r="AE367" s="12"/>
      <c r="AF36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67" s="24"/>
      <c r="AH367" s="266">
        <f>Table4[[#This Row],[Date]]</f>
        <v>46044</v>
      </c>
      <c r="AI367" s="264" t="str">
        <f t="shared" si="62"/>
        <v>Jan</v>
      </c>
      <c r="AJ367" s="264" t="str">
        <f t="shared" si="63"/>
        <v>2026</v>
      </c>
      <c r="AK367" s="270" t="str">
        <f>Table4[[#This Row],[ကုန်သည်အမည်]]</f>
        <v>ဒေါ်စိန်</v>
      </c>
      <c r="AL367" s="270" t="str">
        <f>Table4[[#This Row],[Township]]</f>
        <v>Thein Zayet</v>
      </c>
      <c r="AM367" s="271" t="str">
        <f>Table4[[#This Row],[WholeSales]]</f>
        <v>SemiWholeSales</v>
      </c>
      <c r="AN367" s="272" t="str">
        <f>Table4[[#This Row],[Particular]]</f>
        <v>လက်ဆောင်</v>
      </c>
      <c r="AO367" s="273" t="str">
        <f>Table4[[#This Row],[StockName]]</f>
        <v>ရွှေမန်း</v>
      </c>
      <c r="AP367" s="268">
        <f>Table4[[#This Row],[Parking]]</f>
        <v>0.25</v>
      </c>
      <c r="AQ367" s="268">
        <f>Table4[[#This Row],[SalesBot]]</f>
        <v>3</v>
      </c>
      <c r="AR367" s="268">
        <f>Table4[[#This Row],[Liter]]</f>
        <v>3</v>
      </c>
    </row>
    <row r="368" spans="1:44" s="16" customFormat="1" hidden="1" x14ac:dyDescent="0.5">
      <c r="A368" s="3">
        <f t="shared" si="64"/>
        <v>2026</v>
      </c>
      <c r="B368" s="8">
        <f t="shared" si="65"/>
        <v>1</v>
      </c>
      <c r="C368" s="82">
        <v>46044</v>
      </c>
      <c r="D368" s="15">
        <f t="shared" ca="1" si="66"/>
        <v>46097</v>
      </c>
      <c r="E368" s="15" t="str">
        <f t="shared" ca="1" si="67"/>
        <v>1-Months</v>
      </c>
      <c r="F368" s="8" t="str">
        <f>VLOOKUP(N368,Stock[#Data],5,FALSE)</f>
        <v>BE</v>
      </c>
      <c r="G368" s="82" t="s">
        <v>1147</v>
      </c>
      <c r="H368" s="15"/>
      <c r="I368" s="7" t="s">
        <v>176</v>
      </c>
      <c r="J368" s="8" t="str">
        <f>VLOOKUP(I368,Customers[#Data],2,FALSE)</f>
        <v>ဒေါ်စိန်</v>
      </c>
      <c r="K368" s="15" t="str">
        <f>VLOOKUP(I368,Customers[#Data],4,FALSE)</f>
        <v>Thein Zayet</v>
      </c>
      <c r="L368" s="15" t="str">
        <f>VLOOKUP(I368,Customers[#Data],5,FALSE)</f>
        <v>SemiWholeSales</v>
      </c>
      <c r="M368" s="7" t="s">
        <v>9</v>
      </c>
      <c r="N368" s="7" t="s">
        <v>514</v>
      </c>
      <c r="O368" s="14" t="str">
        <f>VLOOKUP(N368,Stock[#Data],2,FALSE)</f>
        <v>ဇေယျဝတီ Red</v>
      </c>
      <c r="P368" s="44">
        <f>VLOOKUP(N368,Stock[#Data],3,FALSE)</f>
        <v>0.64</v>
      </c>
      <c r="Q368" s="3">
        <f>VLOOKUP(N368,Stock[#Data],4,FALSE)</f>
        <v>14</v>
      </c>
      <c r="R368" s="11">
        <v>2</v>
      </c>
      <c r="S368" s="45">
        <f>IFERROR(Table4[[#This Row],[Bottle]]/Table4[[#This Row],[ပါဝင်မှု]]+Table4[[#This Row],[SalesPK]],0)</f>
        <v>0.14285714285714285</v>
      </c>
      <c r="T368" s="12"/>
      <c r="U368" s="10">
        <f>Table4[[#This Row],[ပါဝင်မှု]]*Table4[[#This Row],[SalesPK]]+Table4[[#This Row],[Bottle]]</f>
        <v>2</v>
      </c>
      <c r="V368" s="10">
        <f>Table4[[#This Row],[SalesBot]]*Table4[[#This Row],[ML]]</f>
        <v>1.28</v>
      </c>
      <c r="W368" s="1">
        <f>VLOOKUP(N368,Stock[#Data],6,FALSE)</f>
        <v>1350</v>
      </c>
      <c r="X368" s="8">
        <f>+Table4[[#This Row],[SalesBot]]*Table4[[#This Row],[နှုံး]]</f>
        <v>2700</v>
      </c>
      <c r="Y368" s="12"/>
      <c r="Z368" s="12"/>
      <c r="AA368" s="12"/>
      <c r="AB368" s="9"/>
      <c r="AC368" s="12"/>
      <c r="AD368" s="9"/>
      <c r="AE368" s="12"/>
      <c r="AF36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2700</v>
      </c>
      <c r="AG368" s="24"/>
      <c r="AH368" s="266">
        <f>Table4[[#This Row],[Date]]</f>
        <v>46044</v>
      </c>
      <c r="AI368" s="264" t="str">
        <f t="shared" si="62"/>
        <v>Jan</v>
      </c>
      <c r="AJ368" s="264" t="str">
        <f t="shared" si="63"/>
        <v>2026</v>
      </c>
      <c r="AK368" s="270" t="str">
        <f>Table4[[#This Row],[ကုန်သည်အမည်]]</f>
        <v>ဒေါ်စိန်</v>
      </c>
      <c r="AL368" s="270" t="str">
        <f>Table4[[#This Row],[Township]]</f>
        <v>Thein Zayet</v>
      </c>
      <c r="AM368" s="271" t="str">
        <f>Table4[[#This Row],[WholeSales]]</f>
        <v>SemiWholeSales</v>
      </c>
      <c r="AN368" s="272" t="str">
        <f>Table4[[#This Row],[Particular]]</f>
        <v>လက်ဆောင်</v>
      </c>
      <c r="AO368" s="273" t="str">
        <f>Table4[[#This Row],[StockName]]</f>
        <v>ဇေယျဝတီ Red</v>
      </c>
      <c r="AP368" s="268">
        <f>Table4[[#This Row],[Parking]]</f>
        <v>0.14285714285714285</v>
      </c>
      <c r="AQ368" s="268">
        <f>Table4[[#This Row],[SalesBot]]</f>
        <v>2</v>
      </c>
      <c r="AR368" s="268">
        <f>Table4[[#This Row],[Liter]]</f>
        <v>1.28</v>
      </c>
    </row>
    <row r="369" spans="1:44" s="16" customFormat="1" hidden="1" x14ac:dyDescent="0.5">
      <c r="A369" s="3">
        <f t="shared" si="64"/>
        <v>2026</v>
      </c>
      <c r="B369" s="8">
        <f t="shared" si="65"/>
        <v>1</v>
      </c>
      <c r="C369" s="82">
        <v>46044</v>
      </c>
      <c r="D369" s="15">
        <f t="shared" ca="1" si="66"/>
        <v>46097</v>
      </c>
      <c r="E369" s="15" t="str">
        <f t="shared" ca="1" si="67"/>
        <v>1-Months</v>
      </c>
      <c r="F369" s="8" t="str">
        <f>VLOOKUP(N369,Stock[#Data],5,FALSE)</f>
        <v>BE</v>
      </c>
      <c r="G369" s="82" t="s">
        <v>1148</v>
      </c>
      <c r="H369" s="15"/>
      <c r="I369" s="7" t="s">
        <v>827</v>
      </c>
      <c r="J369" s="8" t="str">
        <f>VLOOKUP(I369,Customers[#Data],2,FALSE)</f>
        <v>မိုးဆန်းချာလီ</v>
      </c>
      <c r="K369" s="15" t="str">
        <f>VLOOKUP(I369,Customers[#Data],4,FALSE)</f>
        <v>Thein Zayet</v>
      </c>
      <c r="L369" s="15" t="str">
        <f>VLOOKUP(I369,Customers[#Data],5,FALSE)</f>
        <v>WholeSales</v>
      </c>
      <c r="M369" s="7" t="s">
        <v>6</v>
      </c>
      <c r="N369" s="7" t="s">
        <v>514</v>
      </c>
      <c r="O369" s="14" t="str">
        <f>VLOOKUP(N369,Stock[#Data],2,FALSE)</f>
        <v>ဇေယျဝတီ Red</v>
      </c>
      <c r="P369" s="44">
        <f>VLOOKUP(N369,Stock[#Data],3,FALSE)</f>
        <v>0.64</v>
      </c>
      <c r="Q369" s="3">
        <f>VLOOKUP(N369,Stock[#Data],4,FALSE)</f>
        <v>14</v>
      </c>
      <c r="R369" s="11"/>
      <c r="S369" s="45">
        <f>IFERROR(Table4[[#This Row],[Bottle]]/Table4[[#This Row],[ပါဝင်မှု]]+Table4[[#This Row],[SalesPK]],0)</f>
        <v>101</v>
      </c>
      <c r="T369" s="12">
        <v>101</v>
      </c>
      <c r="U369" s="10">
        <f>Table4[[#This Row],[ပါဝင်မှု]]*Table4[[#This Row],[SalesPK]]+Table4[[#This Row],[Bottle]]</f>
        <v>1414</v>
      </c>
      <c r="V369" s="10">
        <f>Table4[[#This Row],[SalesBot]]*Table4[[#This Row],[ML]]</f>
        <v>904.96</v>
      </c>
      <c r="W369" s="1">
        <f>VLOOKUP(N369,Stock[#Data],6,FALSE)</f>
        <v>1350</v>
      </c>
      <c r="X369" s="8">
        <f>+Table4[[#This Row],[SalesBot]]*Table4[[#This Row],[နှုံး]]</f>
        <v>1908900</v>
      </c>
      <c r="Y369" s="12"/>
      <c r="Z369" s="12"/>
      <c r="AA369" s="12"/>
      <c r="AB369" s="9"/>
      <c r="AC369" s="12"/>
      <c r="AD369" s="9"/>
      <c r="AE369" s="12"/>
      <c r="AF36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1908900</v>
      </c>
      <c r="AG369" s="24"/>
      <c r="AH369" s="266">
        <f>Table4[[#This Row],[Date]]</f>
        <v>46044</v>
      </c>
      <c r="AI369" s="264" t="str">
        <f t="shared" si="62"/>
        <v>Jan</v>
      </c>
      <c r="AJ369" s="264" t="str">
        <f t="shared" si="63"/>
        <v>2026</v>
      </c>
      <c r="AK369" s="270" t="str">
        <f>Table4[[#This Row],[ကုန်သည်အမည်]]</f>
        <v>မိုးဆန်းချာလီ</v>
      </c>
      <c r="AL369" s="270" t="str">
        <f>Table4[[#This Row],[Township]]</f>
        <v>Thein Zayet</v>
      </c>
      <c r="AM369" s="271" t="str">
        <f>Table4[[#This Row],[WholeSales]]</f>
        <v>WholeSales</v>
      </c>
      <c r="AN369" s="272" t="str">
        <f>Table4[[#This Row],[Particular]]</f>
        <v>ကုန်ရောင်း(လက်ငင်း)</v>
      </c>
      <c r="AO369" s="273" t="str">
        <f>Table4[[#This Row],[StockName]]</f>
        <v>ဇေယျဝတီ Red</v>
      </c>
      <c r="AP369" s="268">
        <f>Table4[[#This Row],[Parking]]</f>
        <v>101</v>
      </c>
      <c r="AQ369" s="268">
        <f>Table4[[#This Row],[SalesBot]]</f>
        <v>1414</v>
      </c>
      <c r="AR369" s="268">
        <f>Table4[[#This Row],[Liter]]</f>
        <v>904.96</v>
      </c>
    </row>
    <row r="370" spans="1:44" s="16" customFormat="1" hidden="1" x14ac:dyDescent="0.5">
      <c r="A370" s="3">
        <f t="shared" si="64"/>
        <v>2026</v>
      </c>
      <c r="B370" s="8">
        <f t="shared" si="65"/>
        <v>1</v>
      </c>
      <c r="C370" s="82">
        <v>46044</v>
      </c>
      <c r="D370" s="15">
        <f t="shared" ca="1" si="66"/>
        <v>46097</v>
      </c>
      <c r="E370" s="15" t="str">
        <f t="shared" ca="1" si="67"/>
        <v>1-Months</v>
      </c>
      <c r="F370" s="8" t="str">
        <f>VLOOKUP(N370,Stock[#Data],5,FALSE)</f>
        <v>BE</v>
      </c>
      <c r="G370" s="82" t="s">
        <v>1148</v>
      </c>
      <c r="H370" s="15"/>
      <c r="I370" s="7" t="s">
        <v>827</v>
      </c>
      <c r="J370" s="8" t="str">
        <f>VLOOKUP(I370,Customers[#Data],2,FALSE)</f>
        <v>မိုးဆန်းချာလီ</v>
      </c>
      <c r="K370" s="15" t="str">
        <f>VLOOKUP(I370,Customers[#Data],4,FALSE)</f>
        <v>Thein Zayet</v>
      </c>
      <c r="L370" s="15" t="str">
        <f>VLOOKUP(I370,Customers[#Data],5,FALSE)</f>
        <v>WholeSales</v>
      </c>
      <c r="M370" s="7" t="s">
        <v>9</v>
      </c>
      <c r="N370" s="7" t="s">
        <v>425</v>
      </c>
      <c r="O370" s="14" t="str">
        <f>VLOOKUP(N370,Stock[#Data],2,FALSE)</f>
        <v>ကောင်းကြည်-1Li</v>
      </c>
      <c r="P370" s="44">
        <f>VLOOKUP(N370,Stock[#Data],3,FALSE)</f>
        <v>1</v>
      </c>
      <c r="Q370" s="3">
        <f>VLOOKUP(N370,Stock[#Data],4,FALSE)</f>
        <v>12</v>
      </c>
      <c r="R370" s="11">
        <v>2</v>
      </c>
      <c r="S370" s="45">
        <f>IFERROR(Table4[[#This Row],[Bottle]]/Table4[[#This Row],[ပါဝင်မှု]]+Table4[[#This Row],[SalesPK]],0)</f>
        <v>0.16666666666666666</v>
      </c>
      <c r="T370" s="12"/>
      <c r="U370" s="10">
        <f>Table4[[#This Row],[ပါဝင်မှု]]*Table4[[#This Row],[SalesPK]]+Table4[[#This Row],[Bottle]]</f>
        <v>2</v>
      </c>
      <c r="V370" s="10">
        <f>Table4[[#This Row],[SalesBot]]*Table4[[#This Row],[ML]]</f>
        <v>2</v>
      </c>
      <c r="W370" s="1">
        <f>VLOOKUP(N370,Stock[#Data],6,FALSE)</f>
        <v>1500</v>
      </c>
      <c r="X370" s="8">
        <f>+Table4[[#This Row],[SalesBot]]*Table4[[#This Row],[နှုံး]]</f>
        <v>3000</v>
      </c>
      <c r="Y370" s="12"/>
      <c r="Z370" s="12"/>
      <c r="AA370" s="12"/>
      <c r="AB370" s="9"/>
      <c r="AC370" s="12"/>
      <c r="AD370" s="9"/>
      <c r="AE370" s="12"/>
      <c r="AF37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3000</v>
      </c>
      <c r="AG370" s="24"/>
      <c r="AH370" s="266">
        <f>Table4[[#This Row],[Date]]</f>
        <v>46044</v>
      </c>
      <c r="AI370" s="264" t="str">
        <f t="shared" si="62"/>
        <v>Jan</v>
      </c>
      <c r="AJ370" s="264" t="str">
        <f t="shared" si="63"/>
        <v>2026</v>
      </c>
      <c r="AK370" s="270" t="str">
        <f>Table4[[#This Row],[ကုန်သည်အမည်]]</f>
        <v>မိုးဆန်းချာလီ</v>
      </c>
      <c r="AL370" s="270" t="str">
        <f>Table4[[#This Row],[Township]]</f>
        <v>Thein Zayet</v>
      </c>
      <c r="AM370" s="271" t="str">
        <f>Table4[[#This Row],[WholeSales]]</f>
        <v>WholeSales</v>
      </c>
      <c r="AN370" s="272" t="str">
        <f>Table4[[#This Row],[Particular]]</f>
        <v>လက်ဆောင်</v>
      </c>
      <c r="AO370" s="273" t="str">
        <f>Table4[[#This Row],[StockName]]</f>
        <v>ကောင်းကြည်-1Li</v>
      </c>
      <c r="AP370" s="268">
        <f>Table4[[#This Row],[Parking]]</f>
        <v>0.16666666666666666</v>
      </c>
      <c r="AQ370" s="268">
        <f>Table4[[#This Row],[SalesBot]]</f>
        <v>2</v>
      </c>
      <c r="AR370" s="268">
        <f>Table4[[#This Row],[Liter]]</f>
        <v>2</v>
      </c>
    </row>
    <row r="371" spans="1:44" s="16" customFormat="1" hidden="1" x14ac:dyDescent="0.5">
      <c r="A371" s="3">
        <f t="shared" si="64"/>
        <v>2026</v>
      </c>
      <c r="B371" s="8">
        <f t="shared" si="65"/>
        <v>1</v>
      </c>
      <c r="C371" s="82">
        <v>46044</v>
      </c>
      <c r="D371" s="15">
        <f t="shared" ca="1" si="66"/>
        <v>46097</v>
      </c>
      <c r="E371" s="15" t="str">
        <f t="shared" ca="1" si="67"/>
        <v>1-Months</v>
      </c>
      <c r="F371" s="8" t="str">
        <f>VLOOKUP(N371,Stock[#Data],5,FALSE)</f>
        <v>BE</v>
      </c>
      <c r="G371" s="82" t="s">
        <v>1148</v>
      </c>
      <c r="H371" s="15"/>
      <c r="I371" s="7" t="s">
        <v>827</v>
      </c>
      <c r="J371" s="8" t="str">
        <f>VLOOKUP(I371,Customers[#Data],2,FALSE)</f>
        <v>မိုးဆန်းချာလီ</v>
      </c>
      <c r="K371" s="15" t="str">
        <f>VLOOKUP(I371,Customers[#Data],4,FALSE)</f>
        <v>Thein Zayet</v>
      </c>
      <c r="L371" s="15" t="str">
        <f>VLOOKUP(I371,Customers[#Data],5,FALSE)</f>
        <v>WholeSales</v>
      </c>
      <c r="M371" s="7" t="s">
        <v>9</v>
      </c>
      <c r="N371" s="7" t="s">
        <v>1146</v>
      </c>
      <c r="O371" s="14" t="str">
        <f>VLOOKUP(N371,Stock[#Data],2,FALSE)</f>
        <v>ရွှေမန်း</v>
      </c>
      <c r="P371" s="44">
        <f>VLOOKUP(N371,Stock[#Data],3,FALSE)</f>
        <v>1</v>
      </c>
      <c r="Q371" s="3">
        <f>VLOOKUP(N371,Stock[#Data],4,FALSE)</f>
        <v>12</v>
      </c>
      <c r="R371" s="11">
        <v>4</v>
      </c>
      <c r="S371" s="45">
        <f>IFERROR(Table4[[#This Row],[Bottle]]/Table4[[#This Row],[ပါဝင်မှု]]+Table4[[#This Row],[SalesPK]],0)</f>
        <v>0.33333333333333331</v>
      </c>
      <c r="T371" s="12"/>
      <c r="U371" s="10">
        <f>Table4[[#This Row],[ပါဝင်မှု]]*Table4[[#This Row],[SalesPK]]+Table4[[#This Row],[Bottle]]</f>
        <v>4</v>
      </c>
      <c r="V371" s="10">
        <f>Table4[[#This Row],[SalesBot]]*Table4[[#This Row],[ML]]</f>
        <v>4</v>
      </c>
      <c r="W371" s="1">
        <f>VLOOKUP(N371,Stock[#Data],6,FALSE)</f>
        <v>0</v>
      </c>
      <c r="X371" s="8">
        <f>+Table4[[#This Row],[SalesBot]]*Table4[[#This Row],[နှုံး]]</f>
        <v>0</v>
      </c>
      <c r="Y371" s="12"/>
      <c r="Z371" s="12"/>
      <c r="AA371" s="12"/>
      <c r="AB371" s="9"/>
      <c r="AC371" s="12"/>
      <c r="AD371" s="9"/>
      <c r="AE371" s="12"/>
      <c r="AF37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371" s="24"/>
      <c r="AH371" s="266">
        <f>Table4[[#This Row],[Date]]</f>
        <v>46044</v>
      </c>
      <c r="AI371" s="264" t="str">
        <f t="shared" si="62"/>
        <v>Jan</v>
      </c>
      <c r="AJ371" s="264" t="str">
        <f t="shared" si="63"/>
        <v>2026</v>
      </c>
      <c r="AK371" s="270" t="str">
        <f>Table4[[#This Row],[ကုန်သည်အမည်]]</f>
        <v>မိုးဆန်းချာလီ</v>
      </c>
      <c r="AL371" s="270" t="str">
        <f>Table4[[#This Row],[Township]]</f>
        <v>Thein Zayet</v>
      </c>
      <c r="AM371" s="271" t="str">
        <f>Table4[[#This Row],[WholeSales]]</f>
        <v>WholeSales</v>
      </c>
      <c r="AN371" s="272" t="str">
        <f>Table4[[#This Row],[Particular]]</f>
        <v>လက်ဆောင်</v>
      </c>
      <c r="AO371" s="273" t="str">
        <f>Table4[[#This Row],[StockName]]</f>
        <v>ရွှေမန်း</v>
      </c>
      <c r="AP371" s="268">
        <f>Table4[[#This Row],[Parking]]</f>
        <v>0.33333333333333331</v>
      </c>
      <c r="AQ371" s="268">
        <f>Table4[[#This Row],[SalesBot]]</f>
        <v>4</v>
      </c>
      <c r="AR371" s="268">
        <f>Table4[[#This Row],[Liter]]</f>
        <v>4</v>
      </c>
    </row>
    <row r="372" spans="1:44" s="16" customFormat="1" hidden="1" x14ac:dyDescent="0.5">
      <c r="A372" s="3">
        <f t="shared" si="64"/>
        <v>2026</v>
      </c>
      <c r="B372" s="8">
        <f t="shared" si="65"/>
        <v>1</v>
      </c>
      <c r="C372" s="82">
        <v>46044</v>
      </c>
      <c r="D372" s="15">
        <f t="shared" ca="1" si="66"/>
        <v>46097</v>
      </c>
      <c r="E372" s="15" t="str">
        <f t="shared" ca="1" si="67"/>
        <v>1-Months</v>
      </c>
      <c r="F372" s="8" t="str">
        <f>VLOOKUP(N372,Stock[#Data],5,FALSE)</f>
        <v>BE</v>
      </c>
      <c r="G372" s="82" t="s">
        <v>1148</v>
      </c>
      <c r="H372" s="15"/>
      <c r="I372" s="7" t="s">
        <v>827</v>
      </c>
      <c r="J372" s="8" t="str">
        <f>VLOOKUP(I372,Customers[#Data],2,FALSE)</f>
        <v>မိုးဆန်းချာလီ</v>
      </c>
      <c r="K372" s="15" t="str">
        <f>VLOOKUP(I372,Customers[#Data],4,FALSE)</f>
        <v>Thein Zayet</v>
      </c>
      <c r="L372" s="15" t="str">
        <f>VLOOKUP(I372,Customers[#Data],5,FALSE)</f>
        <v>WholeSales</v>
      </c>
      <c r="M372" s="7" t="s">
        <v>9</v>
      </c>
      <c r="N372" s="7" t="s">
        <v>514</v>
      </c>
      <c r="O372" s="14" t="str">
        <f>VLOOKUP(N372,Stock[#Data],2,FALSE)</f>
        <v>ဇေယျဝတီ Red</v>
      </c>
      <c r="P372" s="44">
        <f>VLOOKUP(N372,Stock[#Data],3,FALSE)</f>
        <v>0.64</v>
      </c>
      <c r="Q372" s="3">
        <f>VLOOKUP(N372,Stock[#Data],4,FALSE)</f>
        <v>14</v>
      </c>
      <c r="R372" s="11">
        <v>2</v>
      </c>
      <c r="S372" s="45">
        <f>IFERROR(Table4[[#This Row],[Bottle]]/Table4[[#This Row],[ပါဝင်မှု]]+Table4[[#This Row],[SalesPK]],0)</f>
        <v>0.14285714285714285</v>
      </c>
      <c r="T372" s="12"/>
      <c r="U372" s="10">
        <f>Table4[[#This Row],[ပါဝင်မှု]]*Table4[[#This Row],[SalesPK]]+Table4[[#This Row],[Bottle]]</f>
        <v>2</v>
      </c>
      <c r="V372" s="10">
        <f>Table4[[#This Row],[SalesBot]]*Table4[[#This Row],[ML]]</f>
        <v>1.28</v>
      </c>
      <c r="W372" s="1">
        <f>VLOOKUP(N372,Stock[#Data],6,FALSE)</f>
        <v>1350</v>
      </c>
      <c r="X372" s="8">
        <f>+Table4[[#This Row],[SalesBot]]*Table4[[#This Row],[နှုံး]]</f>
        <v>2700</v>
      </c>
      <c r="Y372" s="12"/>
      <c r="Z372" s="12"/>
      <c r="AA372" s="12"/>
      <c r="AB372" s="9"/>
      <c r="AC372" s="12"/>
      <c r="AD372" s="9"/>
      <c r="AE372" s="12"/>
      <c r="AF37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2700</v>
      </c>
      <c r="AG372" s="24"/>
      <c r="AH372" s="266">
        <f>Table4[[#This Row],[Date]]</f>
        <v>46044</v>
      </c>
      <c r="AI372" s="264" t="str">
        <f t="shared" si="62"/>
        <v>Jan</v>
      </c>
      <c r="AJ372" s="264" t="str">
        <f t="shared" si="63"/>
        <v>2026</v>
      </c>
      <c r="AK372" s="270" t="str">
        <f>Table4[[#This Row],[ကုန်သည်အမည်]]</f>
        <v>မိုးဆန်းချာလီ</v>
      </c>
      <c r="AL372" s="270" t="str">
        <f>Table4[[#This Row],[Township]]</f>
        <v>Thein Zayet</v>
      </c>
      <c r="AM372" s="271" t="str">
        <f>Table4[[#This Row],[WholeSales]]</f>
        <v>WholeSales</v>
      </c>
      <c r="AN372" s="272" t="str">
        <f>Table4[[#This Row],[Particular]]</f>
        <v>လက်ဆောင်</v>
      </c>
      <c r="AO372" s="273" t="str">
        <f>Table4[[#This Row],[StockName]]</f>
        <v>ဇေယျဝတီ Red</v>
      </c>
      <c r="AP372" s="268">
        <f>Table4[[#This Row],[Parking]]</f>
        <v>0.14285714285714285</v>
      </c>
      <c r="AQ372" s="268">
        <f>Table4[[#This Row],[SalesBot]]</f>
        <v>2</v>
      </c>
      <c r="AR372" s="268">
        <f>Table4[[#This Row],[Liter]]</f>
        <v>1.28</v>
      </c>
    </row>
    <row r="373" spans="1:44" s="16" customFormat="1" hidden="1" x14ac:dyDescent="0.5">
      <c r="A373" s="3">
        <f t="shared" si="64"/>
        <v>2026</v>
      </c>
      <c r="B373" s="8">
        <f t="shared" si="65"/>
        <v>1</v>
      </c>
      <c r="C373" s="82">
        <v>46045</v>
      </c>
      <c r="D373" s="15">
        <f t="shared" ca="1" si="66"/>
        <v>46097</v>
      </c>
      <c r="E373" s="15" t="str">
        <f t="shared" ca="1" si="67"/>
        <v>1-Months</v>
      </c>
      <c r="F373" s="8" t="str">
        <f>VLOOKUP(N373,Stock[#Data],5,FALSE)</f>
        <v>BE</v>
      </c>
      <c r="G373" s="82" t="s">
        <v>1149</v>
      </c>
      <c r="H373" s="15"/>
      <c r="I373" s="7" t="s">
        <v>94</v>
      </c>
      <c r="J373" s="8" t="str">
        <f>VLOOKUP(I373,Customers[#Data],2,FALSE)</f>
        <v>ကိုထွန်းနိုင်</v>
      </c>
      <c r="K373" s="15" t="str">
        <f>VLOOKUP(I373,Customers[#Data],4,FALSE)</f>
        <v>Yay</v>
      </c>
      <c r="L373" s="15" t="str">
        <f>VLOOKUP(I373,Customers[#Data],5,FALSE)</f>
        <v>WholeSales</v>
      </c>
      <c r="M373" s="7" t="s">
        <v>7</v>
      </c>
      <c r="N373" s="7" t="s">
        <v>514</v>
      </c>
      <c r="O373" s="14" t="str">
        <f>VLOOKUP(N373,Stock[#Data],2,FALSE)</f>
        <v>ဇေယျဝတီ Red</v>
      </c>
      <c r="P373" s="44">
        <f>VLOOKUP(N373,Stock[#Data],3,FALSE)</f>
        <v>0.64</v>
      </c>
      <c r="Q373" s="3">
        <f>VLOOKUP(N373,Stock[#Data],4,FALSE)</f>
        <v>14</v>
      </c>
      <c r="R373" s="11"/>
      <c r="S373" s="45">
        <f>IFERROR(Table4[[#This Row],[Bottle]]/Table4[[#This Row],[ပါဝင်မှု]]+Table4[[#This Row],[SalesPK]],0)</f>
        <v>150</v>
      </c>
      <c r="T373" s="12">
        <v>150</v>
      </c>
      <c r="U373" s="10">
        <f>Table4[[#This Row],[ပါဝင်မှု]]*Table4[[#This Row],[SalesPK]]+Table4[[#This Row],[Bottle]]</f>
        <v>2100</v>
      </c>
      <c r="V373" s="10">
        <f>Table4[[#This Row],[SalesBot]]*Table4[[#This Row],[ML]]</f>
        <v>1344</v>
      </c>
      <c r="W373" s="1">
        <f>VLOOKUP(N373,Stock[#Data],6,FALSE)</f>
        <v>1350</v>
      </c>
      <c r="X373" s="8">
        <f>+Table4[[#This Row],[SalesBot]]*Table4[[#This Row],[နှုံး]]</f>
        <v>2835000</v>
      </c>
      <c r="Y373" s="12"/>
      <c r="Z373" s="12"/>
      <c r="AA373" s="12"/>
      <c r="AB373" s="9"/>
      <c r="AC373" s="12"/>
      <c r="AD373" s="9"/>
      <c r="AE373" s="12"/>
      <c r="AF37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2835000</v>
      </c>
      <c r="AG373" s="24"/>
      <c r="AH373" s="266">
        <f>Table4[[#This Row],[Date]]</f>
        <v>46045</v>
      </c>
      <c r="AI373" s="264" t="str">
        <f t="shared" si="62"/>
        <v>Jan</v>
      </c>
      <c r="AJ373" s="264" t="str">
        <f t="shared" si="63"/>
        <v>2026</v>
      </c>
      <c r="AK373" s="270" t="str">
        <f>Table4[[#This Row],[ကုန်သည်အမည်]]</f>
        <v>ကိုထွန်းနိုင်</v>
      </c>
      <c r="AL373" s="270" t="str">
        <f>Table4[[#This Row],[Township]]</f>
        <v>Yay</v>
      </c>
      <c r="AM373" s="271" t="str">
        <f>Table4[[#This Row],[WholeSales]]</f>
        <v>WholeSales</v>
      </c>
      <c r="AN373" s="272" t="str">
        <f>Table4[[#This Row],[Particular]]</f>
        <v>ကုန်ရောင်း(အကြွေး)</v>
      </c>
      <c r="AO373" s="273" t="str">
        <f>Table4[[#This Row],[StockName]]</f>
        <v>ဇေယျဝတီ Red</v>
      </c>
      <c r="AP373" s="268">
        <f>Table4[[#This Row],[Parking]]</f>
        <v>150</v>
      </c>
      <c r="AQ373" s="268">
        <f>Table4[[#This Row],[SalesBot]]</f>
        <v>2100</v>
      </c>
      <c r="AR373" s="268">
        <f>Table4[[#This Row],[Liter]]</f>
        <v>1344</v>
      </c>
    </row>
    <row r="374" spans="1:44" s="16" customFormat="1" hidden="1" x14ac:dyDescent="0.5">
      <c r="A374" s="3">
        <f t="shared" si="64"/>
        <v>2026</v>
      </c>
      <c r="B374" s="8">
        <f t="shared" si="65"/>
        <v>1</v>
      </c>
      <c r="C374" s="82">
        <v>46045</v>
      </c>
      <c r="D374" s="15">
        <f t="shared" ca="1" si="66"/>
        <v>46097</v>
      </c>
      <c r="E374" s="15" t="str">
        <f t="shared" ca="1" si="67"/>
        <v>1-Months</v>
      </c>
      <c r="F374" s="8" t="str">
        <f>VLOOKUP(N374,Stock[#Data],5,FALSE)</f>
        <v>BE</v>
      </c>
      <c r="G374" s="82" t="s">
        <v>1149</v>
      </c>
      <c r="H374" s="15"/>
      <c r="I374" s="7" t="s">
        <v>94</v>
      </c>
      <c r="J374" s="8" t="str">
        <f>VLOOKUP(I374,Customers[#Data],2,FALSE)</f>
        <v>ကိုထွန်းနိုင်</v>
      </c>
      <c r="K374" s="15" t="str">
        <f>VLOOKUP(I374,Customers[#Data],4,FALSE)</f>
        <v>Yay</v>
      </c>
      <c r="L374" s="15" t="str">
        <f>VLOOKUP(I374,Customers[#Data],5,FALSE)</f>
        <v>WholeSales</v>
      </c>
      <c r="M374" s="7" t="s">
        <v>7</v>
      </c>
      <c r="N374" s="7" t="s">
        <v>517</v>
      </c>
      <c r="O374" s="14" t="str">
        <f>VLOOKUP(N374,Stock[#Data],2,FALSE)</f>
        <v>ဇေယျဝတီ Red (1 Liter) 30%</v>
      </c>
      <c r="P374" s="44">
        <f>VLOOKUP(N374,Stock[#Data],3,FALSE)</f>
        <v>1</v>
      </c>
      <c r="Q374" s="3">
        <f>VLOOKUP(N374,Stock[#Data],4,FALSE)</f>
        <v>12</v>
      </c>
      <c r="R374" s="11"/>
      <c r="S374" s="45">
        <f>IFERROR(Table4[[#This Row],[Bottle]]/Table4[[#This Row],[ပါဝင်မှု]]+Table4[[#This Row],[SalesPK]],0)</f>
        <v>100</v>
      </c>
      <c r="T374" s="12">
        <v>100</v>
      </c>
      <c r="U374" s="10">
        <f>Table4[[#This Row],[ပါဝင်မှု]]*Table4[[#This Row],[SalesPK]]+Table4[[#This Row],[Bottle]]</f>
        <v>1200</v>
      </c>
      <c r="V374" s="10">
        <f>Table4[[#This Row],[SalesBot]]*Table4[[#This Row],[ML]]</f>
        <v>1200</v>
      </c>
      <c r="W374" s="1">
        <f>VLOOKUP(N374,Stock[#Data],6,FALSE)</f>
        <v>1710</v>
      </c>
      <c r="X374" s="8">
        <f>+Table4[[#This Row],[SalesBot]]*Table4[[#This Row],[နှုံး]]</f>
        <v>2052000</v>
      </c>
      <c r="Y374" s="12"/>
      <c r="Z374" s="12"/>
      <c r="AA374" s="12"/>
      <c r="AB374" s="9"/>
      <c r="AC374" s="12"/>
      <c r="AD374" s="9"/>
      <c r="AE374" s="12"/>
      <c r="AF37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374" s="24"/>
      <c r="AH374" s="266">
        <f>Table4[[#This Row],[Date]]</f>
        <v>46045</v>
      </c>
      <c r="AI374" s="264" t="str">
        <f t="shared" si="62"/>
        <v>Jan</v>
      </c>
      <c r="AJ374" s="264" t="str">
        <f t="shared" si="63"/>
        <v>2026</v>
      </c>
      <c r="AK374" s="270" t="str">
        <f>Table4[[#This Row],[ကုန်သည်အမည်]]</f>
        <v>ကိုထွန်းနိုင်</v>
      </c>
      <c r="AL374" s="270" t="str">
        <f>Table4[[#This Row],[Township]]</f>
        <v>Yay</v>
      </c>
      <c r="AM374" s="271" t="str">
        <f>Table4[[#This Row],[WholeSales]]</f>
        <v>WholeSales</v>
      </c>
      <c r="AN374" s="272" t="str">
        <f>Table4[[#This Row],[Particular]]</f>
        <v>ကုန်ရောင်း(အကြွေး)</v>
      </c>
      <c r="AO374" s="273" t="str">
        <f>Table4[[#This Row],[StockName]]</f>
        <v>ဇေယျဝတီ Red (1 Liter) 30%</v>
      </c>
      <c r="AP374" s="268">
        <f>Table4[[#This Row],[Parking]]</f>
        <v>100</v>
      </c>
      <c r="AQ374" s="268">
        <f>Table4[[#This Row],[SalesBot]]</f>
        <v>1200</v>
      </c>
      <c r="AR374" s="268">
        <f>Table4[[#This Row],[Liter]]</f>
        <v>1200</v>
      </c>
    </row>
    <row r="375" spans="1:44" s="16" customFormat="1" hidden="1" x14ac:dyDescent="0.5">
      <c r="A375" s="3">
        <f t="shared" si="64"/>
        <v>2026</v>
      </c>
      <c r="B375" s="8">
        <f t="shared" si="65"/>
        <v>1</v>
      </c>
      <c r="C375" s="82">
        <v>46045</v>
      </c>
      <c r="D375" s="15">
        <f t="shared" ca="1" si="66"/>
        <v>46097</v>
      </c>
      <c r="E375" s="15" t="str">
        <f t="shared" ca="1" si="67"/>
        <v>1-Months</v>
      </c>
      <c r="F375" s="8" t="str">
        <f>VLOOKUP(N375,Stock[#Data],5,FALSE)</f>
        <v>BE</v>
      </c>
      <c r="G375" s="82" t="s">
        <v>1162</v>
      </c>
      <c r="H375" s="15"/>
      <c r="I375" s="7" t="s">
        <v>95</v>
      </c>
      <c r="J375" s="8" t="str">
        <f>VLOOKUP(I375,Customers[#Data],2,FALSE)</f>
        <v>ကျော်စတား</v>
      </c>
      <c r="K375" s="15" t="str">
        <f>VLOOKUP(I375,Customers[#Data],4,FALSE)</f>
        <v>Yay</v>
      </c>
      <c r="L375" s="15" t="str">
        <f>VLOOKUP(I375,Customers[#Data],5,FALSE)</f>
        <v>WholeSales</v>
      </c>
      <c r="M375" s="7" t="s">
        <v>7</v>
      </c>
      <c r="N375" s="7" t="s">
        <v>514</v>
      </c>
      <c r="O375" s="14" t="str">
        <f>VLOOKUP(N375,Stock[#Data],2,FALSE)</f>
        <v>ဇေယျဝတီ Red</v>
      </c>
      <c r="P375" s="44">
        <f>VLOOKUP(N375,Stock[#Data],3,FALSE)</f>
        <v>0.64</v>
      </c>
      <c r="Q375" s="3">
        <f>VLOOKUP(N375,Stock[#Data],4,FALSE)</f>
        <v>14</v>
      </c>
      <c r="R375" s="11"/>
      <c r="S375" s="45">
        <f>IFERROR(Table4[[#This Row],[Bottle]]/Table4[[#This Row],[ပါဝင်မှု]]+Table4[[#This Row],[SalesPK]],0)</f>
        <v>50</v>
      </c>
      <c r="T375" s="12">
        <v>50</v>
      </c>
      <c r="U375" s="10">
        <f>Table4[[#This Row],[ပါဝင်မှု]]*Table4[[#This Row],[SalesPK]]+Table4[[#This Row],[Bottle]]</f>
        <v>700</v>
      </c>
      <c r="V375" s="10">
        <f>Table4[[#This Row],[SalesBot]]*Table4[[#This Row],[ML]]</f>
        <v>448</v>
      </c>
      <c r="W375" s="1">
        <f>VLOOKUP(N375,Stock[#Data],6,FALSE)</f>
        <v>1350</v>
      </c>
      <c r="X375" s="8">
        <f>+Table4[[#This Row],[SalesBot]]*Table4[[#This Row],[နှုံး]]</f>
        <v>945000</v>
      </c>
      <c r="Y375" s="12"/>
      <c r="Z375" s="12"/>
      <c r="AA375" s="12"/>
      <c r="AB375" s="9"/>
      <c r="AC375" s="12"/>
      <c r="AD375" s="9"/>
      <c r="AE375" s="12"/>
      <c r="AF37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375" s="24"/>
      <c r="AH375" s="266">
        <f>Table4[[#This Row],[Date]]</f>
        <v>46045</v>
      </c>
      <c r="AI375" s="264" t="str">
        <f t="shared" si="62"/>
        <v>Jan</v>
      </c>
      <c r="AJ375" s="264" t="str">
        <f t="shared" si="63"/>
        <v>2026</v>
      </c>
      <c r="AK375" s="270" t="str">
        <f>Table4[[#This Row],[ကုန်သည်အမည်]]</f>
        <v>ကျော်စတား</v>
      </c>
      <c r="AL375" s="270" t="str">
        <f>Table4[[#This Row],[Township]]</f>
        <v>Yay</v>
      </c>
      <c r="AM375" s="271" t="str">
        <f>Table4[[#This Row],[WholeSales]]</f>
        <v>WholeSales</v>
      </c>
      <c r="AN375" s="272" t="str">
        <f>Table4[[#This Row],[Particular]]</f>
        <v>ကုန်ရောင်း(အကြွေး)</v>
      </c>
      <c r="AO375" s="273" t="str">
        <f>Table4[[#This Row],[StockName]]</f>
        <v>ဇေယျဝတီ Red</v>
      </c>
      <c r="AP375" s="268">
        <f>Table4[[#This Row],[Parking]]</f>
        <v>50</v>
      </c>
      <c r="AQ375" s="268">
        <f>Table4[[#This Row],[SalesBot]]</f>
        <v>700</v>
      </c>
      <c r="AR375" s="268">
        <f>Table4[[#This Row],[Liter]]</f>
        <v>448</v>
      </c>
    </row>
    <row r="376" spans="1:44" s="16" customFormat="1" hidden="1" x14ac:dyDescent="0.5">
      <c r="A376" s="3">
        <f t="shared" si="64"/>
        <v>2026</v>
      </c>
      <c r="B376" s="8">
        <f t="shared" si="65"/>
        <v>1</v>
      </c>
      <c r="C376" s="82">
        <v>46045</v>
      </c>
      <c r="D376" s="15">
        <f t="shared" ca="1" si="66"/>
        <v>46097</v>
      </c>
      <c r="E376" s="15" t="str">
        <f t="shared" ca="1" si="67"/>
        <v>1-Months</v>
      </c>
      <c r="F376" s="8" t="str">
        <f>VLOOKUP(N376,Stock[#Data],5,FALSE)</f>
        <v>BE</v>
      </c>
      <c r="G376" s="82" t="s">
        <v>1162</v>
      </c>
      <c r="H376" s="15"/>
      <c r="I376" s="7" t="s">
        <v>95</v>
      </c>
      <c r="J376" s="8" t="str">
        <f>VLOOKUP(I376,Customers[#Data],2,FALSE)</f>
        <v>ကျော်စတား</v>
      </c>
      <c r="K376" s="15" t="str">
        <f>VLOOKUP(I376,Customers[#Data],4,FALSE)</f>
        <v>Yay</v>
      </c>
      <c r="L376" s="15" t="str">
        <f>VLOOKUP(I376,Customers[#Data],5,FALSE)</f>
        <v>WholeSales</v>
      </c>
      <c r="M376" s="7" t="s">
        <v>7</v>
      </c>
      <c r="N376" s="7" t="s">
        <v>517</v>
      </c>
      <c r="O376" s="14" t="str">
        <f>VLOOKUP(N376,Stock[#Data],2,FALSE)</f>
        <v>ဇေယျဝတီ Red (1 Liter) 30%</v>
      </c>
      <c r="P376" s="44">
        <f>VLOOKUP(N376,Stock[#Data],3,FALSE)</f>
        <v>1</v>
      </c>
      <c r="Q376" s="3">
        <f>VLOOKUP(N376,Stock[#Data],4,FALSE)</f>
        <v>12</v>
      </c>
      <c r="R376" s="11"/>
      <c r="S376" s="45">
        <f>IFERROR(Table4[[#This Row],[Bottle]]/Table4[[#This Row],[ပါဝင်မှု]]+Table4[[#This Row],[SalesPK]],0)</f>
        <v>105</v>
      </c>
      <c r="T376" s="12">
        <v>105</v>
      </c>
      <c r="U376" s="10">
        <f>Table4[[#This Row],[ပါဝင်မှု]]*Table4[[#This Row],[SalesPK]]+Table4[[#This Row],[Bottle]]</f>
        <v>1260</v>
      </c>
      <c r="V376" s="10">
        <f>Table4[[#This Row],[SalesBot]]*Table4[[#This Row],[ML]]</f>
        <v>1260</v>
      </c>
      <c r="W376" s="1">
        <f>VLOOKUP(N376,Stock[#Data],6,FALSE)</f>
        <v>1710</v>
      </c>
      <c r="X376" s="8">
        <f>+Table4[[#This Row],[SalesBot]]*Table4[[#This Row],[နှုံး]]</f>
        <v>2154600</v>
      </c>
      <c r="Y376" s="12"/>
      <c r="Z376" s="12"/>
      <c r="AA376" s="12"/>
      <c r="AB376" s="9"/>
      <c r="AC376" s="12"/>
      <c r="AD376" s="9"/>
      <c r="AE376" s="12"/>
      <c r="AF37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2154600</v>
      </c>
      <c r="AG376" s="24"/>
      <c r="AH376" s="266">
        <f>Table4[[#This Row],[Date]]</f>
        <v>46045</v>
      </c>
      <c r="AI376" s="264" t="str">
        <f t="shared" si="62"/>
        <v>Jan</v>
      </c>
      <c r="AJ376" s="264" t="str">
        <f t="shared" si="63"/>
        <v>2026</v>
      </c>
      <c r="AK376" s="270" t="str">
        <f>Table4[[#This Row],[ကုန်သည်အမည်]]</f>
        <v>ကျော်စတား</v>
      </c>
      <c r="AL376" s="270" t="str">
        <f>Table4[[#This Row],[Township]]</f>
        <v>Yay</v>
      </c>
      <c r="AM376" s="271" t="str">
        <f>Table4[[#This Row],[WholeSales]]</f>
        <v>WholeSales</v>
      </c>
      <c r="AN376" s="272" t="str">
        <f>Table4[[#This Row],[Particular]]</f>
        <v>ကုန်ရောင်း(အကြွေး)</v>
      </c>
      <c r="AO376" s="273" t="str">
        <f>Table4[[#This Row],[StockName]]</f>
        <v>ဇေယျဝတီ Red (1 Liter) 30%</v>
      </c>
      <c r="AP376" s="268">
        <f>Table4[[#This Row],[Parking]]</f>
        <v>105</v>
      </c>
      <c r="AQ376" s="268">
        <f>Table4[[#This Row],[SalesBot]]</f>
        <v>1260</v>
      </c>
      <c r="AR376" s="268">
        <f>Table4[[#This Row],[Liter]]</f>
        <v>1260</v>
      </c>
    </row>
    <row r="377" spans="1:44" s="16" customFormat="1" hidden="1" x14ac:dyDescent="0.5">
      <c r="A377" s="3">
        <f t="shared" si="64"/>
        <v>2026</v>
      </c>
      <c r="B377" s="8">
        <f t="shared" si="65"/>
        <v>1</v>
      </c>
      <c r="C377" s="82">
        <v>46045</v>
      </c>
      <c r="D377" s="15">
        <f t="shared" ca="1" si="66"/>
        <v>46097</v>
      </c>
      <c r="E377" s="15" t="str">
        <f t="shared" ca="1" si="67"/>
        <v>1-Months</v>
      </c>
      <c r="F377" s="8" t="str">
        <f>VLOOKUP(N377,Stock[#Data],5,FALSE)</f>
        <v>BE</v>
      </c>
      <c r="G377" s="82" t="s">
        <v>1150</v>
      </c>
      <c r="H377" s="15"/>
      <c r="I377" s="7" t="s">
        <v>110</v>
      </c>
      <c r="J377" s="8" t="str">
        <f>VLOOKUP(I377,Customers[#Data],2,FALSE)</f>
        <v>ပြည့်လျှံ</v>
      </c>
      <c r="K377" s="15" t="str">
        <f>VLOOKUP(I377,Customers[#Data],4,FALSE)</f>
        <v>Maw La Myaing</v>
      </c>
      <c r="L377" s="15" t="str">
        <f>VLOOKUP(I377,Customers[#Data],5,FALSE)</f>
        <v>WholeSales</v>
      </c>
      <c r="M377" s="7" t="s">
        <v>6</v>
      </c>
      <c r="N377" s="7" t="s">
        <v>516</v>
      </c>
      <c r="O377" s="14" t="str">
        <f>VLOOKUP(N377,Stock[#Data],2,FALSE)</f>
        <v>ဇေ Vodka</v>
      </c>
      <c r="P377" s="44">
        <f>VLOOKUP(N377,Stock[#Data],3,FALSE)</f>
        <v>0.64</v>
      </c>
      <c r="Q377" s="3">
        <f>VLOOKUP(N377,Stock[#Data],4,FALSE)</f>
        <v>14</v>
      </c>
      <c r="R377" s="11"/>
      <c r="S377" s="45">
        <f>IFERROR(Table4[[#This Row],[Bottle]]/Table4[[#This Row],[ပါဝင်မှု]]+Table4[[#This Row],[SalesPK]],0)</f>
        <v>300</v>
      </c>
      <c r="T377" s="12">
        <v>300</v>
      </c>
      <c r="U377" s="10">
        <f>Table4[[#This Row],[ပါဝင်မှု]]*Table4[[#This Row],[SalesPK]]+Table4[[#This Row],[Bottle]]</f>
        <v>4200</v>
      </c>
      <c r="V377" s="10">
        <f>Table4[[#This Row],[SalesBot]]*Table4[[#This Row],[ML]]</f>
        <v>2688</v>
      </c>
      <c r="W377" s="1">
        <f>VLOOKUP(N377,Stock[#Data],6,FALSE)</f>
        <v>1400</v>
      </c>
      <c r="X377" s="8">
        <f>+Table4[[#This Row],[SalesBot]]*Table4[[#This Row],[နှုံး]]</f>
        <v>5880000</v>
      </c>
      <c r="Y377" s="12"/>
      <c r="Z377" s="12"/>
      <c r="AA377" s="12"/>
      <c r="AB377" s="9"/>
      <c r="AC377" s="12"/>
      <c r="AD377" s="9"/>
      <c r="AE377" s="12"/>
      <c r="AF37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5880000</v>
      </c>
      <c r="AG377" s="24"/>
      <c r="AH377" s="266">
        <f>Table4[[#This Row],[Date]]</f>
        <v>46045</v>
      </c>
      <c r="AI377" s="264" t="str">
        <f t="shared" si="62"/>
        <v>Jan</v>
      </c>
      <c r="AJ377" s="264" t="str">
        <f t="shared" si="63"/>
        <v>2026</v>
      </c>
      <c r="AK377" s="270" t="str">
        <f>Table4[[#This Row],[ကုန်သည်အမည်]]</f>
        <v>ပြည့်လျှံ</v>
      </c>
      <c r="AL377" s="270" t="str">
        <f>Table4[[#This Row],[Township]]</f>
        <v>Maw La Myaing</v>
      </c>
      <c r="AM377" s="271" t="str">
        <f>Table4[[#This Row],[WholeSales]]</f>
        <v>WholeSales</v>
      </c>
      <c r="AN377" s="272" t="str">
        <f>Table4[[#This Row],[Particular]]</f>
        <v>ကုန်ရောင်း(လက်ငင်း)</v>
      </c>
      <c r="AO377" s="273" t="str">
        <f>Table4[[#This Row],[StockName]]</f>
        <v>ဇေ Vodka</v>
      </c>
      <c r="AP377" s="268">
        <f>Table4[[#This Row],[Parking]]</f>
        <v>300</v>
      </c>
      <c r="AQ377" s="268">
        <f>Table4[[#This Row],[SalesBot]]</f>
        <v>4200</v>
      </c>
      <c r="AR377" s="268">
        <f>Table4[[#This Row],[Liter]]</f>
        <v>2688</v>
      </c>
    </row>
    <row r="378" spans="1:44" s="16" customFormat="1" hidden="1" x14ac:dyDescent="0.5">
      <c r="A378" s="3">
        <f t="shared" si="64"/>
        <v>2026</v>
      </c>
      <c r="B378" s="8">
        <f t="shared" si="65"/>
        <v>1</v>
      </c>
      <c r="C378" s="82">
        <v>46045</v>
      </c>
      <c r="D378" s="15">
        <f t="shared" ca="1" si="66"/>
        <v>46097</v>
      </c>
      <c r="E378" s="15" t="str">
        <f t="shared" ca="1" si="67"/>
        <v>1-Months</v>
      </c>
      <c r="F378" s="8" t="str">
        <f>VLOOKUP(N378,Stock[#Data],5,FALSE)</f>
        <v>BE</v>
      </c>
      <c r="G378" s="82" t="s">
        <v>1150</v>
      </c>
      <c r="H378" s="15"/>
      <c r="I378" s="7" t="s">
        <v>110</v>
      </c>
      <c r="J378" s="8" t="str">
        <f>VLOOKUP(I378,Customers[#Data],2,FALSE)</f>
        <v>ပြည့်လျှံ</v>
      </c>
      <c r="K378" s="15" t="str">
        <f>VLOOKUP(I378,Customers[#Data],4,FALSE)</f>
        <v>Maw La Myaing</v>
      </c>
      <c r="L378" s="15" t="str">
        <f>VLOOKUP(I378,Customers[#Data],5,FALSE)</f>
        <v>WholeSales</v>
      </c>
      <c r="M378" s="7" t="s">
        <v>6</v>
      </c>
      <c r="N378" s="7" t="s">
        <v>517</v>
      </c>
      <c r="O378" s="14" t="str">
        <f>VLOOKUP(N378,Stock[#Data],2,FALSE)</f>
        <v>ဇေယျဝတီ Red (1 Liter) 30%</v>
      </c>
      <c r="P378" s="44">
        <f>VLOOKUP(N378,Stock[#Data],3,FALSE)</f>
        <v>1</v>
      </c>
      <c r="Q378" s="3">
        <f>VLOOKUP(N378,Stock[#Data],4,FALSE)</f>
        <v>12</v>
      </c>
      <c r="R378" s="11"/>
      <c r="S378" s="45">
        <f>IFERROR(Table4[[#This Row],[Bottle]]/Table4[[#This Row],[ပါဝင်မှု]]+Table4[[#This Row],[SalesPK]],0)</f>
        <v>200</v>
      </c>
      <c r="T378" s="12">
        <v>200</v>
      </c>
      <c r="U378" s="10">
        <f>Table4[[#This Row],[ပါဝင်မှု]]*Table4[[#This Row],[SalesPK]]+Table4[[#This Row],[Bottle]]</f>
        <v>2400</v>
      </c>
      <c r="V378" s="10">
        <f>Table4[[#This Row],[SalesBot]]*Table4[[#This Row],[ML]]</f>
        <v>2400</v>
      </c>
      <c r="W378" s="1">
        <f>VLOOKUP(N378,Stock[#Data],6,FALSE)</f>
        <v>1710</v>
      </c>
      <c r="X378" s="8">
        <f>+Table4[[#This Row],[SalesBot]]*Table4[[#This Row],[နှုံး]]</f>
        <v>4104000</v>
      </c>
      <c r="Y378" s="12"/>
      <c r="Z378" s="12"/>
      <c r="AA378" s="12"/>
      <c r="AB378" s="9"/>
      <c r="AC378" s="12"/>
      <c r="AD378" s="9"/>
      <c r="AE378" s="12"/>
      <c r="AF37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4104000</v>
      </c>
      <c r="AG378" s="24"/>
      <c r="AH378" s="266">
        <f>Table4[[#This Row],[Date]]</f>
        <v>46045</v>
      </c>
      <c r="AI378" s="264" t="str">
        <f t="shared" si="62"/>
        <v>Jan</v>
      </c>
      <c r="AJ378" s="264" t="str">
        <f t="shared" si="63"/>
        <v>2026</v>
      </c>
      <c r="AK378" s="270" t="str">
        <f>Table4[[#This Row],[ကုန်သည်အမည်]]</f>
        <v>ပြည့်လျှံ</v>
      </c>
      <c r="AL378" s="270" t="str">
        <f>Table4[[#This Row],[Township]]</f>
        <v>Maw La Myaing</v>
      </c>
      <c r="AM378" s="271" t="str">
        <f>Table4[[#This Row],[WholeSales]]</f>
        <v>WholeSales</v>
      </c>
      <c r="AN378" s="272" t="str">
        <f>Table4[[#This Row],[Particular]]</f>
        <v>ကုန်ရောင်း(လက်ငင်း)</v>
      </c>
      <c r="AO378" s="273" t="str">
        <f>Table4[[#This Row],[StockName]]</f>
        <v>ဇေယျဝတီ Red (1 Liter) 30%</v>
      </c>
      <c r="AP378" s="268">
        <f>Table4[[#This Row],[Parking]]</f>
        <v>200</v>
      </c>
      <c r="AQ378" s="268">
        <f>Table4[[#This Row],[SalesBot]]</f>
        <v>2400</v>
      </c>
      <c r="AR378" s="268">
        <f>Table4[[#This Row],[Liter]]</f>
        <v>2400</v>
      </c>
    </row>
    <row r="379" spans="1:44" s="16" customFormat="1" hidden="1" x14ac:dyDescent="0.5">
      <c r="A379" s="3">
        <f t="shared" si="64"/>
        <v>2026</v>
      </c>
      <c r="B379" s="8">
        <f t="shared" si="65"/>
        <v>1</v>
      </c>
      <c r="C379" s="82">
        <v>46045</v>
      </c>
      <c r="D379" s="15">
        <f t="shared" ca="1" si="66"/>
        <v>46097</v>
      </c>
      <c r="E379" s="15" t="str">
        <f t="shared" ca="1" si="67"/>
        <v>1-Months</v>
      </c>
      <c r="F379" s="8" t="str">
        <f>VLOOKUP(N379,Stock[#Data],5,FALSE)</f>
        <v>BE</v>
      </c>
      <c r="G379" s="82" t="s">
        <v>1151</v>
      </c>
      <c r="H379" s="15"/>
      <c r="I379" s="7" t="s">
        <v>111</v>
      </c>
      <c r="J379" s="8" t="str">
        <f>VLOOKUP(I379,Customers[#Data],2,FALSE)</f>
        <v>လင်းသစ်</v>
      </c>
      <c r="K379" s="15" t="str">
        <f>VLOOKUP(I379,Customers[#Data],4,FALSE)</f>
        <v>Yay</v>
      </c>
      <c r="L379" s="15" t="str">
        <f>VLOOKUP(I379,Customers[#Data],5,FALSE)</f>
        <v>WholeSales</v>
      </c>
      <c r="M379" s="7" t="s">
        <v>6</v>
      </c>
      <c r="N379" s="7" t="s">
        <v>514</v>
      </c>
      <c r="O379" s="14" t="str">
        <f>VLOOKUP(N379,Stock[#Data],2,FALSE)</f>
        <v>ဇေယျဝတီ Red</v>
      </c>
      <c r="P379" s="44">
        <f>VLOOKUP(N379,Stock[#Data],3,FALSE)</f>
        <v>0.64</v>
      </c>
      <c r="Q379" s="3">
        <f>VLOOKUP(N379,Stock[#Data],4,FALSE)</f>
        <v>14</v>
      </c>
      <c r="R379" s="11"/>
      <c r="S379" s="45">
        <f>IFERROR(Table4[[#This Row],[Bottle]]/Table4[[#This Row],[ပါဝင်မှု]]+Table4[[#This Row],[SalesPK]],0)</f>
        <v>50</v>
      </c>
      <c r="T379" s="12">
        <v>50</v>
      </c>
      <c r="U379" s="10">
        <f>Table4[[#This Row],[ပါဝင်မှု]]*Table4[[#This Row],[SalesPK]]+Table4[[#This Row],[Bottle]]</f>
        <v>700</v>
      </c>
      <c r="V379" s="10">
        <f>Table4[[#This Row],[SalesBot]]*Table4[[#This Row],[ML]]</f>
        <v>448</v>
      </c>
      <c r="W379" s="1">
        <f>VLOOKUP(N379,Stock[#Data],6,FALSE)</f>
        <v>1350</v>
      </c>
      <c r="X379" s="8">
        <f>+Table4[[#This Row],[SalesBot]]*Table4[[#This Row],[နှုံး]]</f>
        <v>945000</v>
      </c>
      <c r="Y379" s="12"/>
      <c r="Z379" s="12"/>
      <c r="AA379" s="12"/>
      <c r="AB379" s="9"/>
      <c r="AC379" s="12"/>
      <c r="AD379" s="9"/>
      <c r="AE379" s="12"/>
      <c r="AF37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379" s="24"/>
      <c r="AH379" s="266">
        <f>Table4[[#This Row],[Date]]</f>
        <v>46045</v>
      </c>
      <c r="AI379" s="264" t="str">
        <f t="shared" si="62"/>
        <v>Jan</v>
      </c>
      <c r="AJ379" s="264" t="str">
        <f t="shared" si="63"/>
        <v>2026</v>
      </c>
      <c r="AK379" s="270" t="str">
        <f>Table4[[#This Row],[ကုန်သည်အမည်]]</f>
        <v>လင်းသစ်</v>
      </c>
      <c r="AL379" s="270" t="str">
        <f>Table4[[#This Row],[Township]]</f>
        <v>Yay</v>
      </c>
      <c r="AM379" s="271" t="str">
        <f>Table4[[#This Row],[WholeSales]]</f>
        <v>WholeSales</v>
      </c>
      <c r="AN379" s="272" t="str">
        <f>Table4[[#This Row],[Particular]]</f>
        <v>ကုန်ရောင်း(လက်ငင်း)</v>
      </c>
      <c r="AO379" s="273" t="str">
        <f>Table4[[#This Row],[StockName]]</f>
        <v>ဇေယျဝတီ Red</v>
      </c>
      <c r="AP379" s="268">
        <f>Table4[[#This Row],[Parking]]</f>
        <v>50</v>
      </c>
      <c r="AQ379" s="268">
        <f>Table4[[#This Row],[SalesBot]]</f>
        <v>700</v>
      </c>
      <c r="AR379" s="268">
        <f>Table4[[#This Row],[Liter]]</f>
        <v>448</v>
      </c>
    </row>
    <row r="380" spans="1:44" s="16" customFormat="1" hidden="1" x14ac:dyDescent="0.5">
      <c r="A380" s="3">
        <f t="shared" si="64"/>
        <v>2026</v>
      </c>
      <c r="B380" s="8">
        <f t="shared" si="65"/>
        <v>1</v>
      </c>
      <c r="C380" s="82">
        <v>46045</v>
      </c>
      <c r="D380" s="15">
        <f t="shared" ca="1" si="66"/>
        <v>46097</v>
      </c>
      <c r="E380" s="15" t="str">
        <f t="shared" ca="1" si="67"/>
        <v>1-Months</v>
      </c>
      <c r="F380" s="8" t="str">
        <f>VLOOKUP(N380,Stock[#Data],5,FALSE)</f>
        <v>BE</v>
      </c>
      <c r="G380" s="82" t="s">
        <v>1151</v>
      </c>
      <c r="H380" s="15"/>
      <c r="I380" s="7" t="s">
        <v>111</v>
      </c>
      <c r="J380" s="8" t="str">
        <f>VLOOKUP(I380,Customers[#Data],2,FALSE)</f>
        <v>လင်းသစ်</v>
      </c>
      <c r="K380" s="15" t="str">
        <f>VLOOKUP(I380,Customers[#Data],4,FALSE)</f>
        <v>Yay</v>
      </c>
      <c r="L380" s="15" t="str">
        <f>VLOOKUP(I380,Customers[#Data],5,FALSE)</f>
        <v>WholeSales</v>
      </c>
      <c r="M380" s="7" t="s">
        <v>6</v>
      </c>
      <c r="N380" s="7" t="s">
        <v>517</v>
      </c>
      <c r="O380" s="14" t="str">
        <f>VLOOKUP(N380,Stock[#Data],2,FALSE)</f>
        <v>ဇေယျဝတီ Red (1 Liter) 30%</v>
      </c>
      <c r="P380" s="44">
        <f>VLOOKUP(N380,Stock[#Data],3,FALSE)</f>
        <v>1</v>
      </c>
      <c r="Q380" s="3">
        <f>VLOOKUP(N380,Stock[#Data],4,FALSE)</f>
        <v>12</v>
      </c>
      <c r="R380" s="11"/>
      <c r="S380" s="45">
        <f>IFERROR(Table4[[#This Row],[Bottle]]/Table4[[#This Row],[ပါဝင်မှု]]+Table4[[#This Row],[SalesPK]],0)</f>
        <v>50</v>
      </c>
      <c r="T380" s="12">
        <v>50</v>
      </c>
      <c r="U380" s="10">
        <f>Table4[[#This Row],[ပါဝင်မှု]]*Table4[[#This Row],[SalesPK]]+Table4[[#This Row],[Bottle]]</f>
        <v>600</v>
      </c>
      <c r="V380" s="10">
        <f>Table4[[#This Row],[SalesBot]]*Table4[[#This Row],[ML]]</f>
        <v>600</v>
      </c>
      <c r="W380" s="1">
        <f>VLOOKUP(N380,Stock[#Data],6,FALSE)</f>
        <v>1710</v>
      </c>
      <c r="X380" s="8">
        <f>+Table4[[#This Row],[SalesBot]]*Table4[[#This Row],[နှုံး]]</f>
        <v>1026000</v>
      </c>
      <c r="Y380" s="12"/>
      <c r="Z380" s="12"/>
      <c r="AA380" s="12"/>
      <c r="AB380" s="9"/>
      <c r="AC380" s="12"/>
      <c r="AD380" s="9"/>
      <c r="AE380" s="12"/>
      <c r="AF38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380" s="24"/>
      <c r="AH380" s="266">
        <f>Table4[[#This Row],[Date]]</f>
        <v>46045</v>
      </c>
      <c r="AI380" s="264" t="str">
        <f t="shared" si="62"/>
        <v>Jan</v>
      </c>
      <c r="AJ380" s="264" t="str">
        <f t="shared" si="63"/>
        <v>2026</v>
      </c>
      <c r="AK380" s="270" t="str">
        <f>Table4[[#This Row],[ကုန်သည်အမည်]]</f>
        <v>လင်းသစ်</v>
      </c>
      <c r="AL380" s="270" t="str">
        <f>Table4[[#This Row],[Township]]</f>
        <v>Yay</v>
      </c>
      <c r="AM380" s="271" t="str">
        <f>Table4[[#This Row],[WholeSales]]</f>
        <v>WholeSales</v>
      </c>
      <c r="AN380" s="272" t="str">
        <f>Table4[[#This Row],[Particular]]</f>
        <v>ကုန်ရောင်း(လက်ငင်း)</v>
      </c>
      <c r="AO380" s="273" t="str">
        <f>Table4[[#This Row],[StockName]]</f>
        <v>ဇေယျဝတီ Red (1 Liter) 30%</v>
      </c>
      <c r="AP380" s="268">
        <f>Table4[[#This Row],[Parking]]</f>
        <v>50</v>
      </c>
      <c r="AQ380" s="268">
        <f>Table4[[#This Row],[SalesBot]]</f>
        <v>600</v>
      </c>
      <c r="AR380" s="268">
        <f>Table4[[#This Row],[Liter]]</f>
        <v>600</v>
      </c>
    </row>
    <row r="381" spans="1:44" s="16" customFormat="1" hidden="1" x14ac:dyDescent="0.5">
      <c r="A381" s="3">
        <f t="shared" ref="A381:A413" si="68">YEAR(C381)</f>
        <v>2026</v>
      </c>
      <c r="B381" s="8">
        <f t="shared" ref="B381:B413" si="69">MONTH(C381)</f>
        <v>1</v>
      </c>
      <c r="C381" s="82">
        <v>46045</v>
      </c>
      <c r="D381" s="15">
        <f t="shared" ref="D381:D413" ca="1" si="70">TODAY()</f>
        <v>46097</v>
      </c>
      <c r="E381" s="15" t="str">
        <f t="shared" ref="E381:E413" ca="1" si="71">DATEDIF(C381,D381,"M")&amp;"-Months"</f>
        <v>1-Months</v>
      </c>
      <c r="F381" s="8" t="str">
        <f>VLOOKUP(N381,Stock[#Data],5,FALSE)</f>
        <v>BE</v>
      </c>
      <c r="G381" s="82" t="s">
        <v>1152</v>
      </c>
      <c r="H381" s="15"/>
      <c r="I381" s="7" t="s">
        <v>569</v>
      </c>
      <c r="J381" s="8" t="str">
        <f>VLOOKUP(I381,Customers[#Data],2,FALSE)</f>
        <v>ကိုပိန်</v>
      </c>
      <c r="K381" s="15" t="str">
        <f>VLOOKUP(I381,Customers[#Data],4,FALSE)</f>
        <v>Maw La Myaing</v>
      </c>
      <c r="L381" s="15" t="str">
        <f>VLOOKUP(I381,Customers[#Data],5,FALSE)</f>
        <v>Van Sales</v>
      </c>
      <c r="M381" s="7" t="s">
        <v>6</v>
      </c>
      <c r="N381" s="7" t="s">
        <v>516</v>
      </c>
      <c r="O381" s="14" t="str">
        <f>VLOOKUP(N381,Stock[#Data],2,FALSE)</f>
        <v>ဇေ Vodka</v>
      </c>
      <c r="P381" s="44">
        <f>VLOOKUP(N381,Stock[#Data],3,FALSE)</f>
        <v>0.64</v>
      </c>
      <c r="Q381" s="3">
        <f>VLOOKUP(N381,Stock[#Data],4,FALSE)</f>
        <v>14</v>
      </c>
      <c r="R381" s="11"/>
      <c r="S381" s="45">
        <f>IFERROR(Table4[[#This Row],[Bottle]]/Table4[[#This Row],[ပါဝင်မှု]]+Table4[[#This Row],[SalesPK]],0)</f>
        <v>15</v>
      </c>
      <c r="T381" s="12">
        <v>15</v>
      </c>
      <c r="U381" s="10">
        <f>Table4[[#This Row],[ပါဝင်မှု]]*Table4[[#This Row],[SalesPK]]+Table4[[#This Row],[Bottle]]</f>
        <v>210</v>
      </c>
      <c r="V381" s="10">
        <f>Table4[[#This Row],[SalesBot]]*Table4[[#This Row],[ML]]</f>
        <v>134.4</v>
      </c>
      <c r="W381" s="1">
        <f>VLOOKUP(N381,Stock[#Data],6,FALSE)</f>
        <v>1400</v>
      </c>
      <c r="X381" s="8">
        <f>+Table4[[#This Row],[SalesBot]]*Table4[[#This Row],[နှုံး]]</f>
        <v>294000</v>
      </c>
      <c r="Y381" s="12"/>
      <c r="Z381" s="12"/>
      <c r="AA381" s="12"/>
      <c r="AB381" s="9"/>
      <c r="AC381" s="12"/>
      <c r="AD381" s="9"/>
      <c r="AE381" s="12"/>
      <c r="AF38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294000</v>
      </c>
      <c r="AG381" s="24"/>
      <c r="AH381" s="266">
        <f>Table4[[#This Row],[Date]]</f>
        <v>46045</v>
      </c>
      <c r="AI381" s="264" t="str">
        <f t="shared" si="62"/>
        <v>Jan</v>
      </c>
      <c r="AJ381" s="264" t="str">
        <f t="shared" si="63"/>
        <v>2026</v>
      </c>
      <c r="AK381" s="270" t="str">
        <f>Table4[[#This Row],[ကုန်သည်အမည်]]</f>
        <v>ကိုပိန်</v>
      </c>
      <c r="AL381" s="270" t="str">
        <f>Table4[[#This Row],[Township]]</f>
        <v>Maw La Myaing</v>
      </c>
      <c r="AM381" s="271" t="str">
        <f>Table4[[#This Row],[WholeSales]]</f>
        <v>Van Sales</v>
      </c>
      <c r="AN381" s="272" t="str">
        <f>Table4[[#This Row],[Particular]]</f>
        <v>ကုန်ရောင်း(လက်ငင်း)</v>
      </c>
      <c r="AO381" s="273" t="str">
        <f>Table4[[#This Row],[StockName]]</f>
        <v>ဇေ Vodka</v>
      </c>
      <c r="AP381" s="268">
        <f>Table4[[#This Row],[Parking]]</f>
        <v>15</v>
      </c>
      <c r="AQ381" s="268">
        <f>Table4[[#This Row],[SalesBot]]</f>
        <v>210</v>
      </c>
      <c r="AR381" s="268">
        <f>Table4[[#This Row],[Liter]]</f>
        <v>134.4</v>
      </c>
    </row>
    <row r="382" spans="1:44" s="16" customFormat="1" hidden="1" x14ac:dyDescent="0.5">
      <c r="A382" s="3">
        <f t="shared" si="68"/>
        <v>2026</v>
      </c>
      <c r="B382" s="8">
        <f t="shared" si="69"/>
        <v>1</v>
      </c>
      <c r="C382" s="82">
        <v>46045</v>
      </c>
      <c r="D382" s="15">
        <f t="shared" ca="1" si="70"/>
        <v>46097</v>
      </c>
      <c r="E382" s="15" t="str">
        <f t="shared" ca="1" si="71"/>
        <v>1-Months</v>
      </c>
      <c r="F382" s="8" t="str">
        <f>VLOOKUP(N382,Stock[#Data],5,FALSE)</f>
        <v>BE</v>
      </c>
      <c r="G382" s="82" t="s">
        <v>1153</v>
      </c>
      <c r="H382" s="15"/>
      <c r="I382" s="7" t="s">
        <v>560</v>
      </c>
      <c r="J382" s="8" t="str">
        <f>VLOOKUP(I382,Customers[#Data],2,FALSE)</f>
        <v>မသန္တာ</v>
      </c>
      <c r="K382" s="15" t="str">
        <f>VLOOKUP(I382,Customers[#Data],4,FALSE)</f>
        <v>Maw La Myaing</v>
      </c>
      <c r="L382" s="15" t="str">
        <f>VLOOKUP(I382,Customers[#Data],5,FALSE)</f>
        <v>Van Sales</v>
      </c>
      <c r="M382" s="7" t="s">
        <v>6</v>
      </c>
      <c r="N382" s="7" t="s">
        <v>518</v>
      </c>
      <c r="O382" s="14" t="str">
        <f>VLOOKUP(N382,Stock[#Data],2,FALSE)</f>
        <v>"ဇေ" ကော်ဘူး (1 Liter)</v>
      </c>
      <c r="P382" s="44">
        <f>VLOOKUP(N382,Stock[#Data],3,FALSE)</f>
        <v>1</v>
      </c>
      <c r="Q382" s="3">
        <f>VLOOKUP(N382,Stock[#Data],4,FALSE)</f>
        <v>12</v>
      </c>
      <c r="R382" s="11"/>
      <c r="S382" s="45">
        <f>IFERROR(Table4[[#This Row],[Bottle]]/Table4[[#This Row],[ပါဝင်မှု]]+Table4[[#This Row],[SalesPK]],0)</f>
        <v>5</v>
      </c>
      <c r="T382" s="12">
        <v>5</v>
      </c>
      <c r="U382" s="10">
        <f>Table4[[#This Row],[ပါဝင်မှု]]*Table4[[#This Row],[SalesPK]]+Table4[[#This Row],[Bottle]]</f>
        <v>60</v>
      </c>
      <c r="V382" s="10">
        <f>Table4[[#This Row],[SalesBot]]*Table4[[#This Row],[ML]]</f>
        <v>60</v>
      </c>
      <c r="W382" s="1">
        <f>VLOOKUP(N382,Stock[#Data],6,FALSE)</f>
        <v>1675</v>
      </c>
      <c r="X382" s="8">
        <f>+Table4[[#This Row],[SalesBot]]*Table4[[#This Row],[နှုံး]]</f>
        <v>100500</v>
      </c>
      <c r="Y382" s="12"/>
      <c r="Z382" s="12"/>
      <c r="AA382" s="12"/>
      <c r="AB382" s="9"/>
      <c r="AC382" s="12"/>
      <c r="AD382" s="9"/>
      <c r="AE382" s="12"/>
      <c r="AF38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382" s="24"/>
      <c r="AH382" s="266">
        <f>Table4[[#This Row],[Date]]</f>
        <v>46045</v>
      </c>
      <c r="AI382" s="264" t="str">
        <f t="shared" si="62"/>
        <v>Jan</v>
      </c>
      <c r="AJ382" s="264" t="str">
        <f t="shared" si="63"/>
        <v>2026</v>
      </c>
      <c r="AK382" s="270" t="str">
        <f>Table4[[#This Row],[ကုန်သည်အမည်]]</f>
        <v>မသန္တာ</v>
      </c>
      <c r="AL382" s="270" t="str">
        <f>Table4[[#This Row],[Township]]</f>
        <v>Maw La Myaing</v>
      </c>
      <c r="AM382" s="271" t="str">
        <f>Table4[[#This Row],[WholeSales]]</f>
        <v>Van Sales</v>
      </c>
      <c r="AN382" s="272" t="str">
        <f>Table4[[#This Row],[Particular]]</f>
        <v>ကုန်ရောင်း(လက်ငင်း)</v>
      </c>
      <c r="AO382" s="273" t="str">
        <f>Table4[[#This Row],[StockName]]</f>
        <v>"ဇေ" ကော်ဘူး (1 Liter)</v>
      </c>
      <c r="AP382" s="268">
        <f>Table4[[#This Row],[Parking]]</f>
        <v>5</v>
      </c>
      <c r="AQ382" s="268">
        <f>Table4[[#This Row],[SalesBot]]</f>
        <v>60</v>
      </c>
      <c r="AR382" s="268">
        <f>Table4[[#This Row],[Liter]]</f>
        <v>60</v>
      </c>
    </row>
    <row r="383" spans="1:44" s="16" customFormat="1" hidden="1" x14ac:dyDescent="0.5">
      <c r="A383" s="3">
        <f t="shared" si="68"/>
        <v>2026</v>
      </c>
      <c r="B383" s="8">
        <f t="shared" si="69"/>
        <v>1</v>
      </c>
      <c r="C383" s="82">
        <v>46045</v>
      </c>
      <c r="D383" s="15">
        <f t="shared" ca="1" si="70"/>
        <v>46097</v>
      </c>
      <c r="E383" s="15" t="str">
        <f t="shared" ca="1" si="71"/>
        <v>1-Months</v>
      </c>
      <c r="F383" s="8" t="str">
        <f>VLOOKUP(N383,Stock[#Data],5,FALSE)</f>
        <v>BE</v>
      </c>
      <c r="G383" s="82" t="s">
        <v>1154</v>
      </c>
      <c r="H383" s="15"/>
      <c r="I383" s="7" t="s">
        <v>1155</v>
      </c>
      <c r="J383" s="8" t="str">
        <f>VLOOKUP(I383,Customers[#Data],2,FALSE)</f>
        <v>ကိုစံ</v>
      </c>
      <c r="K383" s="15" t="str">
        <f>VLOOKUP(I383,Customers[#Data],4,FALSE)</f>
        <v>Maw La Myaing</v>
      </c>
      <c r="L383" s="15" t="str">
        <f>VLOOKUP(I383,Customers[#Data],5,FALSE)</f>
        <v>Van Sales</v>
      </c>
      <c r="M383" s="7" t="s">
        <v>6</v>
      </c>
      <c r="N383" s="7" t="s">
        <v>522</v>
      </c>
      <c r="O383" s="14" t="str">
        <f>VLOOKUP(N383,Stock[#Data],2,FALSE)</f>
        <v>ဒဂုံမန်ကျည်း ကော်ဘူး (1 Liter)</v>
      </c>
      <c r="P383" s="44">
        <f>VLOOKUP(N383,Stock[#Data],3,FALSE)</f>
        <v>1</v>
      </c>
      <c r="Q383" s="3">
        <f>VLOOKUP(N383,Stock[#Data],4,FALSE)</f>
        <v>12</v>
      </c>
      <c r="R383" s="11"/>
      <c r="S383" s="45">
        <f>IFERROR(Table4[[#This Row],[Bottle]]/Table4[[#This Row],[ပါဝင်မှု]]+Table4[[#This Row],[SalesPK]],0)</f>
        <v>2</v>
      </c>
      <c r="T383" s="12">
        <v>2</v>
      </c>
      <c r="U383" s="10">
        <f>Table4[[#This Row],[ပါဝင်မှု]]*Table4[[#This Row],[SalesPK]]+Table4[[#This Row],[Bottle]]</f>
        <v>24</v>
      </c>
      <c r="V383" s="10">
        <f>Table4[[#This Row],[SalesBot]]*Table4[[#This Row],[ML]]</f>
        <v>24</v>
      </c>
      <c r="W383" s="1">
        <f>VLOOKUP(N383,Stock[#Data],6,FALSE)</f>
        <v>1600</v>
      </c>
      <c r="X383" s="8">
        <f>+Table4[[#This Row],[SalesBot]]*Table4[[#This Row],[နှုံး]]</f>
        <v>38400</v>
      </c>
      <c r="Y383" s="12"/>
      <c r="Z383" s="12"/>
      <c r="AA383" s="12"/>
      <c r="AB383" s="9"/>
      <c r="AC383" s="12"/>
      <c r="AD383" s="9"/>
      <c r="AE383" s="12"/>
      <c r="AF38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38400</v>
      </c>
      <c r="AG383" s="24"/>
      <c r="AH383" s="266">
        <f>Table4[[#This Row],[Date]]</f>
        <v>46045</v>
      </c>
      <c r="AI383" s="264" t="str">
        <f t="shared" si="62"/>
        <v>Jan</v>
      </c>
      <c r="AJ383" s="264" t="str">
        <f t="shared" si="63"/>
        <v>2026</v>
      </c>
      <c r="AK383" s="270" t="str">
        <f>Table4[[#This Row],[ကုန်သည်အမည်]]</f>
        <v>ကိုစံ</v>
      </c>
      <c r="AL383" s="270" t="str">
        <f>Table4[[#This Row],[Township]]</f>
        <v>Maw La Myaing</v>
      </c>
      <c r="AM383" s="271" t="str">
        <f>Table4[[#This Row],[WholeSales]]</f>
        <v>Van Sales</v>
      </c>
      <c r="AN383" s="272" t="str">
        <f>Table4[[#This Row],[Particular]]</f>
        <v>ကုန်ရောင်း(လက်ငင်း)</v>
      </c>
      <c r="AO383" s="273" t="str">
        <f>Table4[[#This Row],[StockName]]</f>
        <v>ဒဂုံမန်ကျည်း ကော်ဘူး (1 Liter)</v>
      </c>
      <c r="AP383" s="268">
        <f>Table4[[#This Row],[Parking]]</f>
        <v>2</v>
      </c>
      <c r="AQ383" s="268">
        <f>Table4[[#This Row],[SalesBot]]</f>
        <v>24</v>
      </c>
      <c r="AR383" s="268">
        <f>Table4[[#This Row],[Liter]]</f>
        <v>24</v>
      </c>
    </row>
    <row r="384" spans="1:44" s="16" customFormat="1" hidden="1" x14ac:dyDescent="0.5">
      <c r="A384" s="3">
        <f t="shared" si="68"/>
        <v>2026</v>
      </c>
      <c r="B384" s="8">
        <f t="shared" si="69"/>
        <v>1</v>
      </c>
      <c r="C384" s="82">
        <v>46045</v>
      </c>
      <c r="D384" s="15">
        <f t="shared" ca="1" si="70"/>
        <v>46097</v>
      </c>
      <c r="E384" s="15" t="str">
        <f t="shared" ca="1" si="71"/>
        <v>1-Months</v>
      </c>
      <c r="F384" s="8" t="str">
        <f>VLOOKUP(N384,Stock[#Data],5,FALSE)</f>
        <v>BE</v>
      </c>
      <c r="G384" s="82" t="s">
        <v>1154</v>
      </c>
      <c r="H384" s="15"/>
      <c r="I384" s="7" t="s">
        <v>1155</v>
      </c>
      <c r="J384" s="8" t="str">
        <f>VLOOKUP(I384,Customers[#Data],2,FALSE)</f>
        <v>ကိုစံ</v>
      </c>
      <c r="K384" s="15" t="str">
        <f>VLOOKUP(I384,Customers[#Data],4,FALSE)</f>
        <v>Maw La Myaing</v>
      </c>
      <c r="L384" s="15" t="str">
        <f>VLOOKUP(I384,Customers[#Data],5,FALSE)</f>
        <v>Van Sales</v>
      </c>
      <c r="M384" s="7" t="s">
        <v>6</v>
      </c>
      <c r="N384" s="7" t="s">
        <v>425</v>
      </c>
      <c r="O384" s="14" t="str">
        <f>VLOOKUP(N384,Stock[#Data],2,FALSE)</f>
        <v>ကောင်းကြည်-1Li</v>
      </c>
      <c r="P384" s="44">
        <f>VLOOKUP(N384,Stock[#Data],3,FALSE)</f>
        <v>1</v>
      </c>
      <c r="Q384" s="3">
        <f>VLOOKUP(N384,Stock[#Data],4,FALSE)</f>
        <v>12</v>
      </c>
      <c r="R384" s="11"/>
      <c r="S384" s="45">
        <f>IFERROR(Table4[[#This Row],[Bottle]]/Table4[[#This Row],[ပါဝင်မှု]]+Table4[[#This Row],[SalesPK]],0)</f>
        <v>1</v>
      </c>
      <c r="T384" s="12">
        <v>1</v>
      </c>
      <c r="U384" s="10">
        <f>Table4[[#This Row],[ပါဝင်မှု]]*Table4[[#This Row],[SalesPK]]+Table4[[#This Row],[Bottle]]</f>
        <v>12</v>
      </c>
      <c r="V384" s="10">
        <f>Table4[[#This Row],[SalesBot]]*Table4[[#This Row],[ML]]</f>
        <v>12</v>
      </c>
      <c r="W384" s="1">
        <f>VLOOKUP(N384,Stock[#Data],6,FALSE)</f>
        <v>1500</v>
      </c>
      <c r="X384" s="8">
        <f>+Table4[[#This Row],[SalesBot]]*Table4[[#This Row],[နှုံး]]</f>
        <v>18000</v>
      </c>
      <c r="Y384" s="12"/>
      <c r="Z384" s="12"/>
      <c r="AA384" s="12"/>
      <c r="AB384" s="9"/>
      <c r="AC384" s="12"/>
      <c r="AD384" s="9"/>
      <c r="AE384" s="12"/>
      <c r="AF38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384" s="24"/>
      <c r="AH384" s="266">
        <f>Table4[[#This Row],[Date]]</f>
        <v>46045</v>
      </c>
      <c r="AI384" s="264" t="str">
        <f t="shared" si="62"/>
        <v>Jan</v>
      </c>
      <c r="AJ384" s="264" t="str">
        <f t="shared" si="63"/>
        <v>2026</v>
      </c>
      <c r="AK384" s="270" t="str">
        <f>Table4[[#This Row],[ကုန်သည်အမည်]]</f>
        <v>ကိုစံ</v>
      </c>
      <c r="AL384" s="270" t="str">
        <f>Table4[[#This Row],[Township]]</f>
        <v>Maw La Myaing</v>
      </c>
      <c r="AM384" s="271" t="str">
        <f>Table4[[#This Row],[WholeSales]]</f>
        <v>Van Sales</v>
      </c>
      <c r="AN384" s="272" t="str">
        <f>Table4[[#This Row],[Particular]]</f>
        <v>ကုန်ရောင်း(လက်ငင်း)</v>
      </c>
      <c r="AO384" s="273" t="str">
        <f>Table4[[#This Row],[StockName]]</f>
        <v>ကောင်းကြည်-1Li</v>
      </c>
      <c r="AP384" s="268">
        <f>Table4[[#This Row],[Parking]]</f>
        <v>1</v>
      </c>
      <c r="AQ384" s="268">
        <f>Table4[[#This Row],[SalesBot]]</f>
        <v>12</v>
      </c>
      <c r="AR384" s="268">
        <f>Table4[[#This Row],[Liter]]</f>
        <v>12</v>
      </c>
    </row>
    <row r="385" spans="1:44" s="16" customFormat="1" hidden="1" x14ac:dyDescent="0.5">
      <c r="A385" s="3">
        <f t="shared" si="68"/>
        <v>2026</v>
      </c>
      <c r="B385" s="8">
        <f t="shared" si="69"/>
        <v>1</v>
      </c>
      <c r="C385" s="82">
        <v>46045</v>
      </c>
      <c r="D385" s="15">
        <f t="shared" ca="1" si="70"/>
        <v>46097</v>
      </c>
      <c r="E385" s="15" t="str">
        <f t="shared" ca="1" si="71"/>
        <v>1-Months</v>
      </c>
      <c r="F385" s="8" t="str">
        <f>VLOOKUP(N385,Stock[#Data],5,FALSE)</f>
        <v>BE</v>
      </c>
      <c r="G385" s="82" t="s">
        <v>1154</v>
      </c>
      <c r="H385" s="15"/>
      <c r="I385" s="7" t="s">
        <v>1155</v>
      </c>
      <c r="J385" s="8" t="str">
        <f>VLOOKUP(I385,Customers[#Data],2,FALSE)</f>
        <v>ကိုစံ</v>
      </c>
      <c r="K385" s="15" t="str">
        <f>VLOOKUP(I385,Customers[#Data],4,FALSE)</f>
        <v>Maw La Myaing</v>
      </c>
      <c r="L385" s="15" t="str">
        <f>VLOOKUP(I385,Customers[#Data],5,FALSE)</f>
        <v>Van Sales</v>
      </c>
      <c r="M385" s="7" t="s">
        <v>6</v>
      </c>
      <c r="N385" s="7" t="s">
        <v>508</v>
      </c>
      <c r="O385" s="14" t="str">
        <f>VLOOKUP(N385,Stock[#Data],2,FALSE)</f>
        <v>ကောင်းကြည်-1Li</v>
      </c>
      <c r="P385" s="44">
        <f>VLOOKUP(N385,Stock[#Data],3,FALSE)</f>
        <v>1</v>
      </c>
      <c r="Q385" s="3">
        <f>VLOOKUP(N385,Stock[#Data],4,FALSE)</f>
        <v>12</v>
      </c>
      <c r="R385" s="11"/>
      <c r="S385" s="45">
        <f>IFERROR(Table4[[#This Row],[Bottle]]/Table4[[#This Row],[ပါဝင်မှု]]+Table4[[#This Row],[SalesPK]],0)</f>
        <v>1</v>
      </c>
      <c r="T385" s="12">
        <v>1</v>
      </c>
      <c r="U385" s="10">
        <f>Table4[[#This Row],[ပါဝင်မှု]]*Table4[[#This Row],[SalesPK]]+Table4[[#This Row],[Bottle]]</f>
        <v>12</v>
      </c>
      <c r="V385" s="10">
        <f>Table4[[#This Row],[SalesBot]]*Table4[[#This Row],[ML]]</f>
        <v>12</v>
      </c>
      <c r="W385" s="1">
        <f>VLOOKUP(N385,Stock[#Data],6,FALSE)</f>
        <v>1850</v>
      </c>
      <c r="X385" s="8">
        <f>+Table4[[#This Row],[SalesBot]]*Table4[[#This Row],[နှုံး]]</f>
        <v>22200</v>
      </c>
      <c r="Y385" s="12"/>
      <c r="Z385" s="12"/>
      <c r="AA385" s="12"/>
      <c r="AB385" s="9"/>
      <c r="AC385" s="12"/>
      <c r="AD385" s="9"/>
      <c r="AE385" s="12"/>
      <c r="AF38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385" s="24"/>
      <c r="AH385" s="266">
        <f>Table4[[#This Row],[Date]]</f>
        <v>46045</v>
      </c>
      <c r="AI385" s="264" t="str">
        <f t="shared" si="62"/>
        <v>Jan</v>
      </c>
      <c r="AJ385" s="264" t="str">
        <f t="shared" si="63"/>
        <v>2026</v>
      </c>
      <c r="AK385" s="270" t="str">
        <f>Table4[[#This Row],[ကုန်သည်အမည်]]</f>
        <v>ကိုစံ</v>
      </c>
      <c r="AL385" s="270" t="str">
        <f>Table4[[#This Row],[Township]]</f>
        <v>Maw La Myaing</v>
      </c>
      <c r="AM385" s="271" t="str">
        <f>Table4[[#This Row],[WholeSales]]</f>
        <v>Van Sales</v>
      </c>
      <c r="AN385" s="272" t="str">
        <f>Table4[[#This Row],[Particular]]</f>
        <v>ကုန်ရောင်း(လက်ငင်း)</v>
      </c>
      <c r="AO385" s="273" t="str">
        <f>Table4[[#This Row],[StockName]]</f>
        <v>ကောင်းကြည်-1Li</v>
      </c>
      <c r="AP385" s="268">
        <f>Table4[[#This Row],[Parking]]</f>
        <v>1</v>
      </c>
      <c r="AQ385" s="268">
        <f>Table4[[#This Row],[SalesBot]]</f>
        <v>12</v>
      </c>
      <c r="AR385" s="268">
        <f>Table4[[#This Row],[Liter]]</f>
        <v>12</v>
      </c>
    </row>
    <row r="386" spans="1:44" s="16" customFormat="1" hidden="1" x14ac:dyDescent="0.5">
      <c r="A386" s="3">
        <f t="shared" si="68"/>
        <v>2026</v>
      </c>
      <c r="B386" s="8">
        <f t="shared" si="69"/>
        <v>1</v>
      </c>
      <c r="C386" s="82">
        <v>46045</v>
      </c>
      <c r="D386" s="15">
        <f t="shared" ca="1" si="70"/>
        <v>46097</v>
      </c>
      <c r="E386" s="15" t="str">
        <f t="shared" ca="1" si="71"/>
        <v>1-Months</v>
      </c>
      <c r="F386" s="8" t="str">
        <f>VLOOKUP(N386,Stock[#Data],5,FALSE)</f>
        <v>BE</v>
      </c>
      <c r="G386" s="82" t="s">
        <v>1154</v>
      </c>
      <c r="H386" s="15"/>
      <c r="I386" s="7" t="s">
        <v>1155</v>
      </c>
      <c r="J386" s="8" t="str">
        <f>VLOOKUP(I386,Customers[#Data],2,FALSE)</f>
        <v>ကိုစံ</v>
      </c>
      <c r="K386" s="15" t="str">
        <f>VLOOKUP(I386,Customers[#Data],4,FALSE)</f>
        <v>Maw La Myaing</v>
      </c>
      <c r="L386" s="15" t="str">
        <f>VLOOKUP(I386,Customers[#Data],5,FALSE)</f>
        <v>Van Sales</v>
      </c>
      <c r="M386" s="7" t="s">
        <v>9</v>
      </c>
      <c r="N386" s="7" t="s">
        <v>533</v>
      </c>
      <c r="O386" s="14" t="str">
        <f>VLOOKUP(N386,Stock[#Data],2,FALSE)</f>
        <v>ရွှေမန်း</v>
      </c>
      <c r="P386" s="44">
        <f>VLOOKUP(N386,Stock[#Data],3,FALSE)</f>
        <v>0.64</v>
      </c>
      <c r="Q386" s="3">
        <f>VLOOKUP(N386,Stock[#Data],4,FALSE)</f>
        <v>14</v>
      </c>
      <c r="R386" s="11">
        <v>1</v>
      </c>
      <c r="S386" s="45">
        <f>IFERROR(Table4[[#This Row],[Bottle]]/Table4[[#This Row],[ပါဝင်မှု]]+Table4[[#This Row],[SalesPK]],0)</f>
        <v>7.1428571428571425E-2</v>
      </c>
      <c r="T386" s="12"/>
      <c r="U386" s="10">
        <f>Table4[[#This Row],[ပါဝင်မှု]]*Table4[[#This Row],[SalesPK]]+Table4[[#This Row],[Bottle]]</f>
        <v>1</v>
      </c>
      <c r="V386" s="10">
        <f>Table4[[#This Row],[SalesBot]]*Table4[[#This Row],[ML]]</f>
        <v>0.64</v>
      </c>
      <c r="W386" s="1">
        <f>VLOOKUP(N386,Stock[#Data],6,FALSE)</f>
        <v>1500</v>
      </c>
      <c r="X386" s="8">
        <f>+Table4[[#This Row],[SalesBot]]*Table4[[#This Row],[နှုံး]]</f>
        <v>1500</v>
      </c>
      <c r="Y386" s="12"/>
      <c r="Z386" s="12"/>
      <c r="AA386" s="12"/>
      <c r="AB386" s="9"/>
      <c r="AC386" s="12"/>
      <c r="AD386" s="9"/>
      <c r="AE386" s="12"/>
      <c r="AF38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386" s="24"/>
      <c r="AH386" s="266">
        <f>Table4[[#This Row],[Date]]</f>
        <v>46045</v>
      </c>
      <c r="AI386" s="264" t="str">
        <f t="shared" si="62"/>
        <v>Jan</v>
      </c>
      <c r="AJ386" s="264" t="str">
        <f t="shared" si="63"/>
        <v>2026</v>
      </c>
      <c r="AK386" s="270" t="str">
        <f>Table4[[#This Row],[ကုန်သည်အမည်]]</f>
        <v>ကိုစံ</v>
      </c>
      <c r="AL386" s="270" t="str">
        <f>Table4[[#This Row],[Township]]</f>
        <v>Maw La Myaing</v>
      </c>
      <c r="AM386" s="271" t="str">
        <f>Table4[[#This Row],[WholeSales]]</f>
        <v>Van Sales</v>
      </c>
      <c r="AN386" s="272" t="str">
        <f>Table4[[#This Row],[Particular]]</f>
        <v>လက်ဆောင်</v>
      </c>
      <c r="AO386" s="273" t="str">
        <f>Table4[[#This Row],[StockName]]</f>
        <v>ရွှေမန်း</v>
      </c>
      <c r="AP386" s="268">
        <f>Table4[[#This Row],[Parking]]</f>
        <v>7.1428571428571425E-2</v>
      </c>
      <c r="AQ386" s="268">
        <f>Table4[[#This Row],[SalesBot]]</f>
        <v>1</v>
      </c>
      <c r="AR386" s="268">
        <f>Table4[[#This Row],[Liter]]</f>
        <v>0.64</v>
      </c>
    </row>
    <row r="387" spans="1:44" s="16" customFormat="1" hidden="1" x14ac:dyDescent="0.5">
      <c r="A387" s="3">
        <f t="shared" si="68"/>
        <v>2026</v>
      </c>
      <c r="B387" s="8">
        <f t="shared" si="69"/>
        <v>1</v>
      </c>
      <c r="C387" s="82">
        <v>46045</v>
      </c>
      <c r="D387" s="15">
        <f t="shared" ca="1" si="70"/>
        <v>46097</v>
      </c>
      <c r="E387" s="15" t="str">
        <f t="shared" ca="1" si="71"/>
        <v>1-Months</v>
      </c>
      <c r="F387" s="8" t="str">
        <f>VLOOKUP(N387,Stock[#Data],5,FALSE)</f>
        <v>BE</v>
      </c>
      <c r="G387" s="82" t="s">
        <v>1157</v>
      </c>
      <c r="H387" s="15"/>
      <c r="I387" s="7" t="s">
        <v>725</v>
      </c>
      <c r="J387" s="8" t="str">
        <f>VLOOKUP(I387,Customers[#Data],2,FALSE)</f>
        <v>ရွှေနဂါး</v>
      </c>
      <c r="K387" s="15" t="str">
        <f>VLOOKUP(I387,Customers[#Data],4,FALSE)</f>
        <v>Maw La Myaing</v>
      </c>
      <c r="L387" s="15" t="str">
        <f>VLOOKUP(I387,Customers[#Data],5,FALSE)</f>
        <v>Van Sales</v>
      </c>
      <c r="M387" s="7" t="s">
        <v>6</v>
      </c>
      <c r="N387" s="7" t="s">
        <v>508</v>
      </c>
      <c r="O387" s="14" t="str">
        <f>VLOOKUP(N387,Stock[#Data],2,FALSE)</f>
        <v>ကောင်းကြည်-1Li</v>
      </c>
      <c r="P387" s="44">
        <f>VLOOKUP(N387,Stock[#Data],3,FALSE)</f>
        <v>1</v>
      </c>
      <c r="Q387" s="3">
        <f>VLOOKUP(N387,Stock[#Data],4,FALSE)</f>
        <v>12</v>
      </c>
      <c r="R387" s="11"/>
      <c r="S387" s="45">
        <f>IFERROR(Table4[[#This Row],[Bottle]]/Table4[[#This Row],[ပါဝင်မှု]]+Table4[[#This Row],[SalesPK]],0)</f>
        <v>1</v>
      </c>
      <c r="T387" s="12">
        <v>1</v>
      </c>
      <c r="U387" s="10">
        <f>Table4[[#This Row],[ပါဝင်မှု]]*Table4[[#This Row],[SalesPK]]+Table4[[#This Row],[Bottle]]</f>
        <v>12</v>
      </c>
      <c r="V387" s="10">
        <f>Table4[[#This Row],[SalesBot]]*Table4[[#This Row],[ML]]</f>
        <v>12</v>
      </c>
      <c r="W387" s="1">
        <f>VLOOKUP(N387,Stock[#Data],6,FALSE)</f>
        <v>1850</v>
      </c>
      <c r="X387" s="8">
        <f>+Table4[[#This Row],[SalesBot]]*Table4[[#This Row],[နှုံး]]</f>
        <v>22200</v>
      </c>
      <c r="Y387" s="12"/>
      <c r="Z387" s="12"/>
      <c r="AA387" s="12"/>
      <c r="AB387" s="9"/>
      <c r="AC387" s="12"/>
      <c r="AD387" s="9"/>
      <c r="AE387" s="12"/>
      <c r="AF38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387" s="24"/>
      <c r="AH387" s="266">
        <f>Table4[[#This Row],[Date]]</f>
        <v>46045</v>
      </c>
      <c r="AI387" s="264" t="str">
        <f t="shared" ref="AI387:AI450" si="72">TEXT(AH387,"mmm")</f>
        <v>Jan</v>
      </c>
      <c r="AJ387" s="264" t="str">
        <f t="shared" ref="AJ387:AJ450" si="73">TEXT(AH387,"yyyy")</f>
        <v>2026</v>
      </c>
      <c r="AK387" s="270" t="str">
        <f>Table4[[#This Row],[ကုန်သည်အမည်]]</f>
        <v>ရွှေနဂါး</v>
      </c>
      <c r="AL387" s="270" t="str">
        <f>Table4[[#This Row],[Township]]</f>
        <v>Maw La Myaing</v>
      </c>
      <c r="AM387" s="271" t="str">
        <f>Table4[[#This Row],[WholeSales]]</f>
        <v>Van Sales</v>
      </c>
      <c r="AN387" s="272" t="str">
        <f>Table4[[#This Row],[Particular]]</f>
        <v>ကုန်ရောင်း(လက်ငင်း)</v>
      </c>
      <c r="AO387" s="273" t="str">
        <f>Table4[[#This Row],[StockName]]</f>
        <v>ကောင်းကြည်-1Li</v>
      </c>
      <c r="AP387" s="268">
        <f>Table4[[#This Row],[Parking]]</f>
        <v>1</v>
      </c>
      <c r="AQ387" s="268">
        <f>Table4[[#This Row],[SalesBot]]</f>
        <v>12</v>
      </c>
      <c r="AR387" s="268">
        <f>Table4[[#This Row],[Liter]]</f>
        <v>12</v>
      </c>
    </row>
    <row r="388" spans="1:44" s="16" customFormat="1" hidden="1" x14ac:dyDescent="0.5">
      <c r="A388" s="3">
        <f t="shared" si="68"/>
        <v>2026</v>
      </c>
      <c r="B388" s="8">
        <f t="shared" si="69"/>
        <v>1</v>
      </c>
      <c r="C388" s="82">
        <v>46045</v>
      </c>
      <c r="D388" s="15">
        <f t="shared" ca="1" si="70"/>
        <v>46097</v>
      </c>
      <c r="E388" s="15" t="str">
        <f t="shared" ca="1" si="71"/>
        <v>1-Months</v>
      </c>
      <c r="F388" s="8" t="str">
        <f>VLOOKUP(N388,Stock[#Data],5,FALSE)</f>
        <v>BE</v>
      </c>
      <c r="G388" s="82" t="s">
        <v>1158</v>
      </c>
      <c r="H388" s="15"/>
      <c r="I388" s="7" t="s">
        <v>485</v>
      </c>
      <c r="J388" s="8" t="str">
        <f>VLOOKUP(I388,Customers[#Data],2,FALSE)</f>
        <v>ဇာနည်လွင်</v>
      </c>
      <c r="K388" s="15" t="str">
        <f>VLOOKUP(I388,Customers[#Data],4,FALSE)</f>
        <v>Maw La Myaing</v>
      </c>
      <c r="L388" s="15" t="str">
        <f>VLOOKUP(I388,Customers[#Data],5,FALSE)</f>
        <v>Van Sales</v>
      </c>
      <c r="M388" s="7" t="s">
        <v>6</v>
      </c>
      <c r="N388" s="7" t="s">
        <v>425</v>
      </c>
      <c r="O388" s="14" t="str">
        <f>VLOOKUP(N388,Stock[#Data],2,FALSE)</f>
        <v>ကောင်းကြည်-1Li</v>
      </c>
      <c r="P388" s="44">
        <f>VLOOKUP(N388,Stock[#Data],3,FALSE)</f>
        <v>1</v>
      </c>
      <c r="Q388" s="3">
        <f>VLOOKUP(N388,Stock[#Data],4,FALSE)</f>
        <v>12</v>
      </c>
      <c r="R388" s="11"/>
      <c r="S388" s="45">
        <f>IFERROR(Table4[[#This Row],[Bottle]]/Table4[[#This Row],[ပါဝင်မှု]]+Table4[[#This Row],[SalesPK]],0)</f>
        <v>1</v>
      </c>
      <c r="T388" s="12">
        <v>1</v>
      </c>
      <c r="U388" s="10">
        <f>Table4[[#This Row],[ပါဝင်မှု]]*Table4[[#This Row],[SalesPK]]+Table4[[#This Row],[Bottle]]</f>
        <v>12</v>
      </c>
      <c r="V388" s="10">
        <f>Table4[[#This Row],[SalesBot]]*Table4[[#This Row],[ML]]</f>
        <v>12</v>
      </c>
      <c r="W388" s="1">
        <f>VLOOKUP(N388,Stock[#Data],6,FALSE)</f>
        <v>1500</v>
      </c>
      <c r="X388" s="8">
        <f>+Table4[[#This Row],[SalesBot]]*Table4[[#This Row],[နှုံး]]</f>
        <v>18000</v>
      </c>
      <c r="Y388" s="12"/>
      <c r="Z388" s="12"/>
      <c r="AA388" s="12"/>
      <c r="AB388" s="9"/>
      <c r="AC388" s="12"/>
      <c r="AD388" s="9"/>
      <c r="AE388" s="12"/>
      <c r="AF38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388" s="24"/>
      <c r="AH388" s="266">
        <f>Table4[[#This Row],[Date]]</f>
        <v>46045</v>
      </c>
      <c r="AI388" s="264" t="str">
        <f t="shared" si="72"/>
        <v>Jan</v>
      </c>
      <c r="AJ388" s="264" t="str">
        <f t="shared" si="73"/>
        <v>2026</v>
      </c>
      <c r="AK388" s="270" t="str">
        <f>Table4[[#This Row],[ကုန်သည်အမည်]]</f>
        <v>ဇာနည်လွင်</v>
      </c>
      <c r="AL388" s="270" t="str">
        <f>Table4[[#This Row],[Township]]</f>
        <v>Maw La Myaing</v>
      </c>
      <c r="AM388" s="271" t="str">
        <f>Table4[[#This Row],[WholeSales]]</f>
        <v>Van Sales</v>
      </c>
      <c r="AN388" s="272" t="str">
        <f>Table4[[#This Row],[Particular]]</f>
        <v>ကုန်ရောင်း(လက်ငင်း)</v>
      </c>
      <c r="AO388" s="273" t="str">
        <f>Table4[[#This Row],[StockName]]</f>
        <v>ကောင်းကြည်-1Li</v>
      </c>
      <c r="AP388" s="268">
        <f>Table4[[#This Row],[Parking]]</f>
        <v>1</v>
      </c>
      <c r="AQ388" s="268">
        <f>Table4[[#This Row],[SalesBot]]</f>
        <v>12</v>
      </c>
      <c r="AR388" s="268">
        <f>Table4[[#This Row],[Liter]]</f>
        <v>12</v>
      </c>
    </row>
    <row r="389" spans="1:44" s="16" customFormat="1" hidden="1" x14ac:dyDescent="0.5">
      <c r="A389" s="3">
        <f t="shared" si="68"/>
        <v>2026</v>
      </c>
      <c r="B389" s="8">
        <f t="shared" si="69"/>
        <v>1</v>
      </c>
      <c r="C389" s="82">
        <v>46045</v>
      </c>
      <c r="D389" s="15">
        <f t="shared" ca="1" si="70"/>
        <v>46097</v>
      </c>
      <c r="E389" s="15" t="str">
        <f t="shared" ca="1" si="71"/>
        <v>1-Months</v>
      </c>
      <c r="F389" s="8" t="str">
        <f>VLOOKUP(N389,Stock[#Data],5,FALSE)</f>
        <v>BE</v>
      </c>
      <c r="G389" s="82" t="s">
        <v>1158</v>
      </c>
      <c r="H389" s="15"/>
      <c r="I389" s="7" t="s">
        <v>485</v>
      </c>
      <c r="J389" s="8" t="str">
        <f>VLOOKUP(I389,Customers[#Data],2,FALSE)</f>
        <v>ဇာနည်လွင်</v>
      </c>
      <c r="K389" s="15" t="str">
        <f>VLOOKUP(I389,Customers[#Data],4,FALSE)</f>
        <v>Maw La Myaing</v>
      </c>
      <c r="L389" s="15" t="str">
        <f>VLOOKUP(I389,Customers[#Data],5,FALSE)</f>
        <v>Van Sales</v>
      </c>
      <c r="M389" s="7" t="s">
        <v>6</v>
      </c>
      <c r="N389" s="7" t="s">
        <v>508</v>
      </c>
      <c r="O389" s="14" t="str">
        <f>VLOOKUP(N389,Stock[#Data],2,FALSE)</f>
        <v>ကောင်းကြည်-1Li</v>
      </c>
      <c r="P389" s="44">
        <f>VLOOKUP(N389,Stock[#Data],3,FALSE)</f>
        <v>1</v>
      </c>
      <c r="Q389" s="3">
        <f>VLOOKUP(N389,Stock[#Data],4,FALSE)</f>
        <v>12</v>
      </c>
      <c r="R389" s="11"/>
      <c r="S389" s="45">
        <f>IFERROR(Table4[[#This Row],[Bottle]]/Table4[[#This Row],[ပါဝင်မှု]]+Table4[[#This Row],[SalesPK]],0)</f>
        <v>1</v>
      </c>
      <c r="T389" s="12">
        <v>1</v>
      </c>
      <c r="U389" s="10">
        <f>Table4[[#This Row],[ပါဝင်မှု]]*Table4[[#This Row],[SalesPK]]+Table4[[#This Row],[Bottle]]</f>
        <v>12</v>
      </c>
      <c r="V389" s="10">
        <f>Table4[[#This Row],[SalesBot]]*Table4[[#This Row],[ML]]</f>
        <v>12</v>
      </c>
      <c r="W389" s="1">
        <f>VLOOKUP(N389,Stock[#Data],6,FALSE)</f>
        <v>1850</v>
      </c>
      <c r="X389" s="8">
        <f>+Table4[[#This Row],[SalesBot]]*Table4[[#This Row],[နှုံး]]</f>
        <v>22200</v>
      </c>
      <c r="Y389" s="12"/>
      <c r="Z389" s="12"/>
      <c r="AA389" s="12"/>
      <c r="AB389" s="9"/>
      <c r="AC389" s="12"/>
      <c r="AD389" s="9"/>
      <c r="AE389" s="12"/>
      <c r="AF38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389" s="24"/>
      <c r="AH389" s="266">
        <f>Table4[[#This Row],[Date]]</f>
        <v>46045</v>
      </c>
      <c r="AI389" s="264" t="str">
        <f t="shared" si="72"/>
        <v>Jan</v>
      </c>
      <c r="AJ389" s="264" t="str">
        <f t="shared" si="73"/>
        <v>2026</v>
      </c>
      <c r="AK389" s="270" t="str">
        <f>Table4[[#This Row],[ကုန်သည်အမည်]]</f>
        <v>ဇာနည်လွင်</v>
      </c>
      <c r="AL389" s="270" t="str">
        <f>Table4[[#This Row],[Township]]</f>
        <v>Maw La Myaing</v>
      </c>
      <c r="AM389" s="271" t="str">
        <f>Table4[[#This Row],[WholeSales]]</f>
        <v>Van Sales</v>
      </c>
      <c r="AN389" s="272" t="str">
        <f>Table4[[#This Row],[Particular]]</f>
        <v>ကုန်ရောင်း(လက်ငင်း)</v>
      </c>
      <c r="AO389" s="273" t="str">
        <f>Table4[[#This Row],[StockName]]</f>
        <v>ကောင်းကြည်-1Li</v>
      </c>
      <c r="AP389" s="268">
        <f>Table4[[#This Row],[Parking]]</f>
        <v>1</v>
      </c>
      <c r="AQ389" s="268">
        <f>Table4[[#This Row],[SalesBot]]</f>
        <v>12</v>
      </c>
      <c r="AR389" s="268">
        <f>Table4[[#This Row],[Liter]]</f>
        <v>12</v>
      </c>
    </row>
    <row r="390" spans="1:44" s="16" customFormat="1" hidden="1" x14ac:dyDescent="0.5">
      <c r="A390" s="3">
        <f t="shared" si="68"/>
        <v>2026</v>
      </c>
      <c r="B390" s="8">
        <f t="shared" si="69"/>
        <v>1</v>
      </c>
      <c r="C390" s="82">
        <v>46045</v>
      </c>
      <c r="D390" s="15">
        <f t="shared" ca="1" si="70"/>
        <v>46097</v>
      </c>
      <c r="E390" s="15" t="str">
        <f t="shared" ca="1" si="71"/>
        <v>1-Months</v>
      </c>
      <c r="F390" s="8" t="str">
        <f>VLOOKUP(N390,Stock[#Data],5,FALSE)</f>
        <v>BE</v>
      </c>
      <c r="G390" s="82" t="s">
        <v>1159</v>
      </c>
      <c r="H390" s="15"/>
      <c r="I390" s="7" t="s">
        <v>1160</v>
      </c>
      <c r="J390" s="8" t="str">
        <f>VLOOKUP(I390,Customers[#Data],2,FALSE)</f>
        <v>ညီညီ</v>
      </c>
      <c r="K390" s="15" t="str">
        <f>VLOOKUP(I390,Customers[#Data],4,FALSE)</f>
        <v>Maw La Myaing</v>
      </c>
      <c r="L390" s="15" t="str">
        <f>VLOOKUP(I390,Customers[#Data],5,FALSE)</f>
        <v>Van Sales</v>
      </c>
      <c r="M390" s="7" t="s">
        <v>6</v>
      </c>
      <c r="N390" s="7" t="s">
        <v>533</v>
      </c>
      <c r="O390" s="14" t="str">
        <f>VLOOKUP(N390,Stock[#Data],2,FALSE)</f>
        <v>ရွှေမန်း</v>
      </c>
      <c r="P390" s="44">
        <f>VLOOKUP(N390,Stock[#Data],3,FALSE)</f>
        <v>0.64</v>
      </c>
      <c r="Q390" s="3">
        <f>VLOOKUP(N390,Stock[#Data],4,FALSE)</f>
        <v>14</v>
      </c>
      <c r="R390" s="11"/>
      <c r="S390" s="45">
        <f>IFERROR(Table4[[#This Row],[Bottle]]/Table4[[#This Row],[ပါဝင်မှု]]+Table4[[#This Row],[SalesPK]],0)</f>
        <v>1</v>
      </c>
      <c r="T390" s="12">
        <v>1</v>
      </c>
      <c r="U390" s="10">
        <f>Table4[[#This Row],[ပါဝင်မှု]]*Table4[[#This Row],[SalesPK]]+Table4[[#This Row],[Bottle]]</f>
        <v>14</v>
      </c>
      <c r="V390" s="10">
        <f>Table4[[#This Row],[SalesBot]]*Table4[[#This Row],[ML]]</f>
        <v>8.9600000000000009</v>
      </c>
      <c r="W390" s="1">
        <f>VLOOKUP(N390,Stock[#Data],6,FALSE)</f>
        <v>1500</v>
      </c>
      <c r="X390" s="8">
        <f>+Table4[[#This Row],[SalesBot]]*Table4[[#This Row],[နှုံး]]</f>
        <v>21000</v>
      </c>
      <c r="Y390" s="12"/>
      <c r="Z390" s="12"/>
      <c r="AA390" s="12"/>
      <c r="AB390" s="9"/>
      <c r="AC390" s="12"/>
      <c r="AD390" s="9"/>
      <c r="AE390" s="12"/>
      <c r="AF39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21000</v>
      </c>
      <c r="AG390" s="24"/>
      <c r="AH390" s="266">
        <f>Table4[[#This Row],[Date]]</f>
        <v>46045</v>
      </c>
      <c r="AI390" s="264" t="str">
        <f t="shared" si="72"/>
        <v>Jan</v>
      </c>
      <c r="AJ390" s="264" t="str">
        <f t="shared" si="73"/>
        <v>2026</v>
      </c>
      <c r="AK390" s="270" t="str">
        <f>Table4[[#This Row],[ကုန်သည်အမည်]]</f>
        <v>ညီညီ</v>
      </c>
      <c r="AL390" s="270" t="str">
        <f>Table4[[#This Row],[Township]]</f>
        <v>Maw La Myaing</v>
      </c>
      <c r="AM390" s="271" t="str">
        <f>Table4[[#This Row],[WholeSales]]</f>
        <v>Van Sales</v>
      </c>
      <c r="AN390" s="272" t="str">
        <f>Table4[[#This Row],[Particular]]</f>
        <v>ကုန်ရောင်း(လက်ငင်း)</v>
      </c>
      <c r="AO390" s="273" t="str">
        <f>Table4[[#This Row],[StockName]]</f>
        <v>ရွှေမန်း</v>
      </c>
      <c r="AP390" s="268">
        <f>Table4[[#This Row],[Parking]]</f>
        <v>1</v>
      </c>
      <c r="AQ390" s="268">
        <f>Table4[[#This Row],[SalesBot]]</f>
        <v>14</v>
      </c>
      <c r="AR390" s="268">
        <f>Table4[[#This Row],[Liter]]</f>
        <v>8.9600000000000009</v>
      </c>
    </row>
    <row r="391" spans="1:44" s="16" customFormat="1" hidden="1" x14ac:dyDescent="0.5">
      <c r="A391" s="3">
        <f t="shared" si="68"/>
        <v>2026</v>
      </c>
      <c r="B391" s="8">
        <f t="shared" si="69"/>
        <v>1</v>
      </c>
      <c r="C391" s="82">
        <v>46045</v>
      </c>
      <c r="D391" s="15">
        <f t="shared" ca="1" si="70"/>
        <v>46097</v>
      </c>
      <c r="E391" s="15" t="str">
        <f t="shared" ca="1" si="71"/>
        <v>1-Months</v>
      </c>
      <c r="F391" s="8" t="str">
        <f>VLOOKUP(N391,Stock[#Data],5,FALSE)</f>
        <v>BE</v>
      </c>
      <c r="G391" s="82" t="s">
        <v>1159</v>
      </c>
      <c r="H391" s="15"/>
      <c r="I391" s="7" t="s">
        <v>1160</v>
      </c>
      <c r="J391" s="8" t="str">
        <f>VLOOKUP(I391,Customers[#Data],2,FALSE)</f>
        <v>ညီညီ</v>
      </c>
      <c r="K391" s="15" t="str">
        <f>VLOOKUP(I391,Customers[#Data],4,FALSE)</f>
        <v>Maw La Myaing</v>
      </c>
      <c r="L391" s="15" t="str">
        <f>VLOOKUP(I391,Customers[#Data],5,FALSE)</f>
        <v>Van Sales</v>
      </c>
      <c r="M391" s="7" t="s">
        <v>9</v>
      </c>
      <c r="N391" s="7" t="s">
        <v>533</v>
      </c>
      <c r="O391" s="14" t="str">
        <f>VLOOKUP(N391,Stock[#Data],2,FALSE)</f>
        <v>ရွှေမန်း</v>
      </c>
      <c r="P391" s="44">
        <f>VLOOKUP(N391,Stock[#Data],3,FALSE)</f>
        <v>0.64</v>
      </c>
      <c r="Q391" s="3">
        <f>VLOOKUP(N391,Stock[#Data],4,FALSE)</f>
        <v>14</v>
      </c>
      <c r="R391" s="11">
        <v>1</v>
      </c>
      <c r="S391" s="45">
        <f>IFERROR(Table4[[#This Row],[Bottle]]/Table4[[#This Row],[ပါဝင်မှု]]+Table4[[#This Row],[SalesPK]],0)</f>
        <v>7.1428571428571425E-2</v>
      </c>
      <c r="T391" s="12"/>
      <c r="U391" s="10">
        <f>Table4[[#This Row],[ပါဝင်မှု]]*Table4[[#This Row],[SalesPK]]+Table4[[#This Row],[Bottle]]</f>
        <v>1</v>
      </c>
      <c r="V391" s="10">
        <f>Table4[[#This Row],[SalesBot]]*Table4[[#This Row],[ML]]</f>
        <v>0.64</v>
      </c>
      <c r="W391" s="1">
        <f>VLOOKUP(N391,Stock[#Data],6,FALSE)</f>
        <v>1500</v>
      </c>
      <c r="X391" s="8">
        <f>+Table4[[#This Row],[SalesBot]]*Table4[[#This Row],[နှုံး]]</f>
        <v>1500</v>
      </c>
      <c r="Y391" s="12"/>
      <c r="Z391" s="12"/>
      <c r="AA391" s="12"/>
      <c r="AB391" s="9"/>
      <c r="AC391" s="12"/>
      <c r="AD391" s="9"/>
      <c r="AE391" s="12"/>
      <c r="AF39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391" s="24"/>
      <c r="AH391" s="266">
        <f>Table4[[#This Row],[Date]]</f>
        <v>46045</v>
      </c>
      <c r="AI391" s="264" t="str">
        <f t="shared" si="72"/>
        <v>Jan</v>
      </c>
      <c r="AJ391" s="264" t="str">
        <f t="shared" si="73"/>
        <v>2026</v>
      </c>
      <c r="AK391" s="270" t="str">
        <f>Table4[[#This Row],[ကုန်သည်အမည်]]</f>
        <v>ညီညီ</v>
      </c>
      <c r="AL391" s="270" t="str">
        <f>Table4[[#This Row],[Township]]</f>
        <v>Maw La Myaing</v>
      </c>
      <c r="AM391" s="271" t="str">
        <f>Table4[[#This Row],[WholeSales]]</f>
        <v>Van Sales</v>
      </c>
      <c r="AN391" s="272" t="str">
        <f>Table4[[#This Row],[Particular]]</f>
        <v>လက်ဆောင်</v>
      </c>
      <c r="AO391" s="273" t="str">
        <f>Table4[[#This Row],[StockName]]</f>
        <v>ရွှေမန်း</v>
      </c>
      <c r="AP391" s="268">
        <f>Table4[[#This Row],[Parking]]</f>
        <v>7.1428571428571425E-2</v>
      </c>
      <c r="AQ391" s="268">
        <f>Table4[[#This Row],[SalesBot]]</f>
        <v>1</v>
      </c>
      <c r="AR391" s="268">
        <f>Table4[[#This Row],[Liter]]</f>
        <v>0.64</v>
      </c>
    </row>
    <row r="392" spans="1:44" s="16" customFormat="1" hidden="1" x14ac:dyDescent="0.5">
      <c r="A392" s="3">
        <f t="shared" si="68"/>
        <v>2026</v>
      </c>
      <c r="B392" s="8">
        <f t="shared" si="69"/>
        <v>1</v>
      </c>
      <c r="C392" s="82">
        <v>46046</v>
      </c>
      <c r="D392" s="15">
        <f t="shared" ca="1" si="70"/>
        <v>46097</v>
      </c>
      <c r="E392" s="15" t="str">
        <f t="shared" ca="1" si="71"/>
        <v>1-Months</v>
      </c>
      <c r="F392" s="8" t="str">
        <f>VLOOKUP(N392,Stock[#Data],5,FALSE)</f>
        <v>BE</v>
      </c>
      <c r="G392" s="82" t="s">
        <v>1163</v>
      </c>
      <c r="H392" s="15"/>
      <c r="I392" s="7" t="s">
        <v>538</v>
      </c>
      <c r="J392" s="8" t="str">
        <f>VLOOKUP(I392,Customers[#Data],2,FALSE)</f>
        <v>ဒေါ်နွယ်နွယ်ရီ(ရွှေတောင်ကြား)</v>
      </c>
      <c r="K392" s="15" t="str">
        <f>VLOOKUP(I392,Customers[#Data],4,FALSE)</f>
        <v>Yay</v>
      </c>
      <c r="L392" s="15" t="str">
        <f>VLOOKUP(I392,Customers[#Data],5,FALSE)</f>
        <v>WholeSales</v>
      </c>
      <c r="M392" s="7" t="s">
        <v>7</v>
      </c>
      <c r="N392" s="7" t="s">
        <v>514</v>
      </c>
      <c r="O392" s="14" t="str">
        <f>VLOOKUP(N392,Stock[#Data],2,FALSE)</f>
        <v>ဇေယျဝတီ Red</v>
      </c>
      <c r="P392" s="44">
        <f>VLOOKUP(N392,Stock[#Data],3,FALSE)</f>
        <v>0.64</v>
      </c>
      <c r="Q392" s="3">
        <f>VLOOKUP(N392,Stock[#Data],4,FALSE)</f>
        <v>14</v>
      </c>
      <c r="R392" s="11"/>
      <c r="S392" s="45">
        <f>IFERROR(Table4[[#This Row],[Bottle]]/Table4[[#This Row],[ပါဝင်မှု]]+Table4[[#This Row],[SalesPK]],0)</f>
        <v>200</v>
      </c>
      <c r="T392" s="12">
        <v>200</v>
      </c>
      <c r="U392" s="10">
        <f>Table4[[#This Row],[ပါဝင်မှု]]*Table4[[#This Row],[SalesPK]]+Table4[[#This Row],[Bottle]]</f>
        <v>2800</v>
      </c>
      <c r="V392" s="10">
        <f>Table4[[#This Row],[SalesBot]]*Table4[[#This Row],[ML]]</f>
        <v>1792</v>
      </c>
      <c r="W392" s="1">
        <f>VLOOKUP(N392,Stock[#Data],6,FALSE)</f>
        <v>1350</v>
      </c>
      <c r="X392" s="8">
        <f>+Table4[[#This Row],[SalesBot]]*Table4[[#This Row],[နှုံး]]</f>
        <v>3780000</v>
      </c>
      <c r="Y392" s="12"/>
      <c r="Z392" s="12"/>
      <c r="AA392" s="12"/>
      <c r="AB392" s="9"/>
      <c r="AC392" s="12"/>
      <c r="AD392" s="9"/>
      <c r="AE392" s="12"/>
      <c r="AF39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3780000</v>
      </c>
      <c r="AG392" s="24"/>
      <c r="AH392" s="266">
        <f>Table4[[#This Row],[Date]]</f>
        <v>46046</v>
      </c>
      <c r="AI392" s="264" t="str">
        <f t="shared" si="72"/>
        <v>Jan</v>
      </c>
      <c r="AJ392" s="264" t="str">
        <f t="shared" si="73"/>
        <v>2026</v>
      </c>
      <c r="AK392" s="270" t="str">
        <f>Table4[[#This Row],[ကုန်သည်အမည်]]</f>
        <v>ဒေါ်နွယ်နွယ်ရီ(ရွှေတောင်ကြား)</v>
      </c>
      <c r="AL392" s="270" t="str">
        <f>Table4[[#This Row],[Township]]</f>
        <v>Yay</v>
      </c>
      <c r="AM392" s="271" t="str">
        <f>Table4[[#This Row],[WholeSales]]</f>
        <v>WholeSales</v>
      </c>
      <c r="AN392" s="272" t="str">
        <f>Table4[[#This Row],[Particular]]</f>
        <v>ကုန်ရောင်း(အကြွေး)</v>
      </c>
      <c r="AO392" s="273" t="str">
        <f>Table4[[#This Row],[StockName]]</f>
        <v>ဇေယျဝတီ Red</v>
      </c>
      <c r="AP392" s="268">
        <f>Table4[[#This Row],[Parking]]</f>
        <v>200</v>
      </c>
      <c r="AQ392" s="268">
        <f>Table4[[#This Row],[SalesBot]]</f>
        <v>2800</v>
      </c>
      <c r="AR392" s="268">
        <f>Table4[[#This Row],[Liter]]</f>
        <v>1792</v>
      </c>
    </row>
    <row r="393" spans="1:44" s="16" customFormat="1" hidden="1" x14ac:dyDescent="0.5">
      <c r="A393" s="3">
        <f t="shared" si="68"/>
        <v>2026</v>
      </c>
      <c r="B393" s="8">
        <f t="shared" si="69"/>
        <v>1</v>
      </c>
      <c r="C393" s="82">
        <v>46046</v>
      </c>
      <c r="D393" s="15">
        <f t="shared" ca="1" si="70"/>
        <v>46097</v>
      </c>
      <c r="E393" s="15" t="str">
        <f t="shared" ca="1" si="71"/>
        <v>1-Months</v>
      </c>
      <c r="F393" s="8" t="str">
        <f>VLOOKUP(N393,Stock[#Data],5,FALSE)</f>
        <v>BE</v>
      </c>
      <c r="G393" s="82" t="s">
        <v>1164</v>
      </c>
      <c r="H393" s="15"/>
      <c r="I393" s="7" t="s">
        <v>95</v>
      </c>
      <c r="J393" s="8" t="str">
        <f>VLOOKUP(I393,Customers[#Data],2,FALSE)</f>
        <v>ကျော်စတား</v>
      </c>
      <c r="K393" s="15" t="str">
        <f>VLOOKUP(I393,Customers[#Data],4,FALSE)</f>
        <v>Yay</v>
      </c>
      <c r="L393" s="15" t="str">
        <f>VLOOKUP(I393,Customers[#Data],5,FALSE)</f>
        <v>WholeSales</v>
      </c>
      <c r="M393" s="7" t="s">
        <v>7</v>
      </c>
      <c r="N393" s="7" t="s">
        <v>514</v>
      </c>
      <c r="O393" s="14" t="str">
        <f>VLOOKUP(N393,Stock[#Data],2,FALSE)</f>
        <v>ဇေယျဝတီ Red</v>
      </c>
      <c r="P393" s="44">
        <f>VLOOKUP(N393,Stock[#Data],3,FALSE)</f>
        <v>0.64</v>
      </c>
      <c r="Q393" s="3">
        <f>VLOOKUP(N393,Stock[#Data],4,FALSE)</f>
        <v>14</v>
      </c>
      <c r="R393" s="11"/>
      <c r="S393" s="45">
        <f>IFERROR(Table4[[#This Row],[Bottle]]/Table4[[#This Row],[ပါဝင်မှု]]+Table4[[#This Row],[SalesPK]],0)</f>
        <v>100</v>
      </c>
      <c r="T393" s="12">
        <v>100</v>
      </c>
      <c r="U393" s="10">
        <f>Table4[[#This Row],[ပါဝင်မှု]]*Table4[[#This Row],[SalesPK]]+Table4[[#This Row],[Bottle]]</f>
        <v>1400</v>
      </c>
      <c r="V393" s="10">
        <f>Table4[[#This Row],[SalesBot]]*Table4[[#This Row],[ML]]</f>
        <v>896</v>
      </c>
      <c r="W393" s="1">
        <f>VLOOKUP(N393,Stock[#Data],6,FALSE)</f>
        <v>1350</v>
      </c>
      <c r="X393" s="8">
        <f>+Table4[[#This Row],[SalesBot]]*Table4[[#This Row],[နှုံး]]</f>
        <v>1890000</v>
      </c>
      <c r="Y393" s="12"/>
      <c r="Z393" s="12"/>
      <c r="AA393" s="12"/>
      <c r="AB393" s="9"/>
      <c r="AC393" s="12"/>
      <c r="AD393" s="9"/>
      <c r="AE393" s="12"/>
      <c r="AF39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393" s="24"/>
      <c r="AH393" s="266">
        <f>Table4[[#This Row],[Date]]</f>
        <v>46046</v>
      </c>
      <c r="AI393" s="264" t="str">
        <f t="shared" si="72"/>
        <v>Jan</v>
      </c>
      <c r="AJ393" s="264" t="str">
        <f t="shared" si="73"/>
        <v>2026</v>
      </c>
      <c r="AK393" s="270" t="str">
        <f>Table4[[#This Row],[ကုန်သည်အမည်]]</f>
        <v>ကျော်စတား</v>
      </c>
      <c r="AL393" s="270" t="str">
        <f>Table4[[#This Row],[Township]]</f>
        <v>Yay</v>
      </c>
      <c r="AM393" s="271" t="str">
        <f>Table4[[#This Row],[WholeSales]]</f>
        <v>WholeSales</v>
      </c>
      <c r="AN393" s="272" t="str">
        <f>Table4[[#This Row],[Particular]]</f>
        <v>ကုန်ရောင်း(အကြွေး)</v>
      </c>
      <c r="AO393" s="273" t="str">
        <f>Table4[[#This Row],[StockName]]</f>
        <v>ဇေယျဝတီ Red</v>
      </c>
      <c r="AP393" s="268">
        <f>Table4[[#This Row],[Parking]]</f>
        <v>100</v>
      </c>
      <c r="AQ393" s="268">
        <f>Table4[[#This Row],[SalesBot]]</f>
        <v>1400</v>
      </c>
      <c r="AR393" s="268">
        <f>Table4[[#This Row],[Liter]]</f>
        <v>896</v>
      </c>
    </row>
    <row r="394" spans="1:44" s="16" customFormat="1" hidden="1" x14ac:dyDescent="0.5">
      <c r="A394" s="3">
        <f t="shared" si="68"/>
        <v>2026</v>
      </c>
      <c r="B394" s="8">
        <f t="shared" si="69"/>
        <v>1</v>
      </c>
      <c r="C394" s="82">
        <v>46046</v>
      </c>
      <c r="D394" s="15">
        <f t="shared" ca="1" si="70"/>
        <v>46097</v>
      </c>
      <c r="E394" s="15" t="str">
        <f t="shared" ca="1" si="71"/>
        <v>1-Months</v>
      </c>
      <c r="F394" s="8" t="str">
        <f>VLOOKUP(N394,Stock[#Data],5,FALSE)</f>
        <v>BE</v>
      </c>
      <c r="G394" s="82" t="s">
        <v>1164</v>
      </c>
      <c r="H394" s="15"/>
      <c r="I394" s="7" t="s">
        <v>95</v>
      </c>
      <c r="J394" s="8" t="str">
        <f>VLOOKUP(I394,Customers[#Data],2,FALSE)</f>
        <v>ကျော်စတား</v>
      </c>
      <c r="K394" s="15" t="str">
        <f>VLOOKUP(I394,Customers[#Data],4,FALSE)</f>
        <v>Yay</v>
      </c>
      <c r="L394" s="15" t="str">
        <f>VLOOKUP(I394,Customers[#Data],5,FALSE)</f>
        <v>WholeSales</v>
      </c>
      <c r="M394" s="7" t="s">
        <v>7</v>
      </c>
      <c r="N394" s="7" t="s">
        <v>517</v>
      </c>
      <c r="O394" s="14" t="str">
        <f>VLOOKUP(N394,Stock[#Data],2,FALSE)</f>
        <v>ဇေယျဝတီ Red (1 Liter) 30%</v>
      </c>
      <c r="P394" s="44">
        <f>VLOOKUP(N394,Stock[#Data],3,FALSE)</f>
        <v>1</v>
      </c>
      <c r="Q394" s="3">
        <f>VLOOKUP(N394,Stock[#Data],4,FALSE)</f>
        <v>12</v>
      </c>
      <c r="R394" s="11"/>
      <c r="S394" s="45">
        <f>IFERROR(Table4[[#This Row],[Bottle]]/Table4[[#This Row],[ပါဝင်မှု]]+Table4[[#This Row],[SalesPK]],0)</f>
        <v>150</v>
      </c>
      <c r="T394" s="12">
        <v>150</v>
      </c>
      <c r="U394" s="10">
        <f>Table4[[#This Row],[ပါဝင်မှု]]*Table4[[#This Row],[SalesPK]]+Table4[[#This Row],[Bottle]]</f>
        <v>1800</v>
      </c>
      <c r="V394" s="10">
        <f>Table4[[#This Row],[SalesBot]]*Table4[[#This Row],[ML]]</f>
        <v>1800</v>
      </c>
      <c r="W394" s="1">
        <f>VLOOKUP(N394,Stock[#Data],6,FALSE)</f>
        <v>1710</v>
      </c>
      <c r="X394" s="8">
        <f>+Table4[[#This Row],[SalesBot]]*Table4[[#This Row],[နှုံး]]</f>
        <v>3078000</v>
      </c>
      <c r="Y394" s="12"/>
      <c r="Z394" s="12"/>
      <c r="AA394" s="12"/>
      <c r="AB394" s="9"/>
      <c r="AC394" s="12"/>
      <c r="AD394" s="9"/>
      <c r="AE394" s="12"/>
      <c r="AF39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3078000</v>
      </c>
      <c r="AG394" s="24"/>
      <c r="AH394" s="266">
        <f>Table4[[#This Row],[Date]]</f>
        <v>46046</v>
      </c>
      <c r="AI394" s="264" t="str">
        <f t="shared" si="72"/>
        <v>Jan</v>
      </c>
      <c r="AJ394" s="264" t="str">
        <f t="shared" si="73"/>
        <v>2026</v>
      </c>
      <c r="AK394" s="270" t="str">
        <f>Table4[[#This Row],[ကုန်သည်အမည်]]</f>
        <v>ကျော်စတား</v>
      </c>
      <c r="AL394" s="270" t="str">
        <f>Table4[[#This Row],[Township]]</f>
        <v>Yay</v>
      </c>
      <c r="AM394" s="271" t="str">
        <f>Table4[[#This Row],[WholeSales]]</f>
        <v>WholeSales</v>
      </c>
      <c r="AN394" s="272" t="str">
        <f>Table4[[#This Row],[Particular]]</f>
        <v>ကုန်ရောင်း(အကြွေး)</v>
      </c>
      <c r="AO394" s="273" t="str">
        <f>Table4[[#This Row],[StockName]]</f>
        <v>ဇေယျဝတီ Red (1 Liter) 30%</v>
      </c>
      <c r="AP394" s="268">
        <f>Table4[[#This Row],[Parking]]</f>
        <v>150</v>
      </c>
      <c r="AQ394" s="268">
        <f>Table4[[#This Row],[SalesBot]]</f>
        <v>1800</v>
      </c>
      <c r="AR394" s="268">
        <f>Table4[[#This Row],[Liter]]</f>
        <v>1800</v>
      </c>
    </row>
    <row r="395" spans="1:44" s="16" customFormat="1" hidden="1" x14ac:dyDescent="0.5">
      <c r="A395" s="3">
        <f t="shared" si="68"/>
        <v>2026</v>
      </c>
      <c r="B395" s="8">
        <f t="shared" si="69"/>
        <v>1</v>
      </c>
      <c r="C395" s="82">
        <v>46046</v>
      </c>
      <c r="D395" s="15">
        <f t="shared" ca="1" si="70"/>
        <v>46097</v>
      </c>
      <c r="E395" s="15" t="str">
        <f t="shared" ca="1" si="71"/>
        <v>1-Months</v>
      </c>
      <c r="F395" s="8" t="str">
        <f>VLOOKUP(N395,Stock[#Data],5,FALSE)</f>
        <v>BE</v>
      </c>
      <c r="G395" s="82" t="s">
        <v>1165</v>
      </c>
      <c r="H395" s="15"/>
      <c r="I395" s="7" t="s">
        <v>86</v>
      </c>
      <c r="J395" s="8" t="str">
        <f>VLOOKUP(I395,Customers[#Data],2,FALSE)</f>
        <v>ဒေါ်စိန်ယုံ</v>
      </c>
      <c r="K395" s="15" t="str">
        <f>VLOOKUP(I395,Customers[#Data],4,FALSE)</f>
        <v>Mudon</v>
      </c>
      <c r="L395" s="15" t="str">
        <f>VLOOKUP(I395,Customers[#Data],5,FALSE)</f>
        <v>Mini Whole Sales</v>
      </c>
      <c r="M395" s="7" t="s">
        <v>7</v>
      </c>
      <c r="N395" s="7" t="s">
        <v>520</v>
      </c>
      <c r="O395" s="14" t="str">
        <f>VLOOKUP(N395,Stock[#Data],2,FALSE)</f>
        <v>ဇေယျဝတီ  Red(ပု)</v>
      </c>
      <c r="P395" s="44">
        <f>VLOOKUP(N395,Stock[#Data],3,FALSE)</f>
        <v>0.64</v>
      </c>
      <c r="Q395" s="3">
        <f>VLOOKUP(N395,Stock[#Data],4,FALSE)</f>
        <v>14</v>
      </c>
      <c r="R395" s="11"/>
      <c r="S395" s="45">
        <f>IFERROR(Table4[[#This Row],[Bottle]]/Table4[[#This Row],[ပါဝင်မှု]]+Table4[[#This Row],[SalesPK]],0)</f>
        <v>30</v>
      </c>
      <c r="T395" s="12">
        <v>30</v>
      </c>
      <c r="U395" s="10">
        <f>Table4[[#This Row],[ပါဝင်မှု]]*Table4[[#This Row],[SalesPK]]+Table4[[#This Row],[Bottle]]</f>
        <v>420</v>
      </c>
      <c r="V395" s="10">
        <f>Table4[[#This Row],[SalesBot]]*Table4[[#This Row],[ML]]</f>
        <v>268.8</v>
      </c>
      <c r="W395" s="1">
        <f>VLOOKUP(N395,Stock[#Data],6,FALSE)</f>
        <v>1800</v>
      </c>
      <c r="X395" s="8">
        <f>+Table4[[#This Row],[SalesBot]]*Table4[[#This Row],[နှုံး]]</f>
        <v>756000</v>
      </c>
      <c r="Y395" s="12"/>
      <c r="Z395" s="12"/>
      <c r="AA395" s="12"/>
      <c r="AB395" s="9"/>
      <c r="AC395" s="12"/>
      <c r="AD395" s="9"/>
      <c r="AE395" s="12"/>
      <c r="AF39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756000</v>
      </c>
      <c r="AG395" s="24"/>
      <c r="AH395" s="266">
        <f>Table4[[#This Row],[Date]]</f>
        <v>46046</v>
      </c>
      <c r="AI395" s="264" t="str">
        <f t="shared" si="72"/>
        <v>Jan</v>
      </c>
      <c r="AJ395" s="264" t="str">
        <f t="shared" si="73"/>
        <v>2026</v>
      </c>
      <c r="AK395" s="270" t="str">
        <f>Table4[[#This Row],[ကုန်သည်အမည်]]</f>
        <v>ဒေါ်စိန်ယုံ</v>
      </c>
      <c r="AL395" s="270" t="str">
        <f>Table4[[#This Row],[Township]]</f>
        <v>Mudon</v>
      </c>
      <c r="AM395" s="271" t="str">
        <f>Table4[[#This Row],[WholeSales]]</f>
        <v>Mini Whole Sales</v>
      </c>
      <c r="AN395" s="272" t="str">
        <f>Table4[[#This Row],[Particular]]</f>
        <v>ကုန်ရောင်း(အကြွေး)</v>
      </c>
      <c r="AO395" s="273" t="str">
        <f>Table4[[#This Row],[StockName]]</f>
        <v>ဇေယျဝတီ  Red(ပု)</v>
      </c>
      <c r="AP395" s="268">
        <f>Table4[[#This Row],[Parking]]</f>
        <v>30</v>
      </c>
      <c r="AQ395" s="268">
        <f>Table4[[#This Row],[SalesBot]]</f>
        <v>420</v>
      </c>
      <c r="AR395" s="268">
        <f>Table4[[#This Row],[Liter]]</f>
        <v>268.8</v>
      </c>
    </row>
    <row r="396" spans="1:44" s="16" customFormat="1" hidden="1" x14ac:dyDescent="0.5">
      <c r="A396" s="3">
        <f t="shared" si="68"/>
        <v>2026</v>
      </c>
      <c r="B396" s="8">
        <f t="shared" si="69"/>
        <v>1</v>
      </c>
      <c r="C396" s="82">
        <v>46046</v>
      </c>
      <c r="D396" s="15">
        <f t="shared" ca="1" si="70"/>
        <v>46097</v>
      </c>
      <c r="E396" s="15" t="str">
        <f t="shared" ca="1" si="71"/>
        <v>1-Months</v>
      </c>
      <c r="F396" s="8" t="str">
        <f>VLOOKUP(N396,Stock[#Data],5,FALSE)</f>
        <v>BE</v>
      </c>
      <c r="G396" s="82" t="s">
        <v>1166</v>
      </c>
      <c r="H396" s="15"/>
      <c r="I396" s="7" t="s">
        <v>564</v>
      </c>
      <c r="J396" s="8" t="str">
        <f>VLOOKUP(I396,Customers[#Data],2,FALSE)</f>
        <v>ဒေါ်မိမိနိုင်</v>
      </c>
      <c r="K396" s="15" t="str">
        <f>VLOOKUP(I396,Customers[#Data],4,FALSE)</f>
        <v>Mudon</v>
      </c>
      <c r="L396" s="15" t="str">
        <f>VLOOKUP(I396,Customers[#Data],5,FALSE)</f>
        <v>Van Sales</v>
      </c>
      <c r="M396" s="7" t="s">
        <v>6</v>
      </c>
      <c r="N396" s="7" t="s">
        <v>520</v>
      </c>
      <c r="O396" s="14" t="str">
        <f>VLOOKUP(N396,Stock[#Data],2,FALSE)</f>
        <v>ဇေယျဝတီ  Red(ပု)</v>
      </c>
      <c r="P396" s="44">
        <f>VLOOKUP(N396,Stock[#Data],3,FALSE)</f>
        <v>0.64</v>
      </c>
      <c r="Q396" s="3">
        <f>VLOOKUP(N396,Stock[#Data],4,FALSE)</f>
        <v>14</v>
      </c>
      <c r="R396" s="11"/>
      <c r="S396" s="45">
        <f>IFERROR(Table4[[#This Row],[Bottle]]/Table4[[#This Row],[ပါဝင်မှု]]+Table4[[#This Row],[SalesPK]],0)</f>
        <v>25</v>
      </c>
      <c r="T396" s="12">
        <v>25</v>
      </c>
      <c r="U396" s="10">
        <f>Table4[[#This Row],[ပါဝင်မှု]]*Table4[[#This Row],[SalesPK]]+Table4[[#This Row],[Bottle]]</f>
        <v>350</v>
      </c>
      <c r="V396" s="10">
        <f>Table4[[#This Row],[SalesBot]]*Table4[[#This Row],[ML]]</f>
        <v>224</v>
      </c>
      <c r="W396" s="1">
        <f>VLOOKUP(N396,Stock[#Data],6,FALSE)</f>
        <v>1800</v>
      </c>
      <c r="X396" s="8">
        <f>+Table4[[#This Row],[SalesBot]]*Table4[[#This Row],[နှုံး]]</f>
        <v>630000</v>
      </c>
      <c r="Y396" s="12"/>
      <c r="Z396" s="12"/>
      <c r="AA396" s="12"/>
      <c r="AB396" s="9"/>
      <c r="AC396" s="12"/>
      <c r="AD396" s="9"/>
      <c r="AE396" s="12"/>
      <c r="AF39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630000</v>
      </c>
      <c r="AG396" s="24"/>
      <c r="AH396" s="266">
        <f>Table4[[#This Row],[Date]]</f>
        <v>46046</v>
      </c>
      <c r="AI396" s="264" t="str">
        <f t="shared" si="72"/>
        <v>Jan</v>
      </c>
      <c r="AJ396" s="264" t="str">
        <f t="shared" si="73"/>
        <v>2026</v>
      </c>
      <c r="AK396" s="270" t="str">
        <f>Table4[[#This Row],[ကုန်သည်အမည်]]</f>
        <v>ဒေါ်မိမိနိုင်</v>
      </c>
      <c r="AL396" s="270" t="str">
        <f>Table4[[#This Row],[Township]]</f>
        <v>Mudon</v>
      </c>
      <c r="AM396" s="271" t="str">
        <f>Table4[[#This Row],[WholeSales]]</f>
        <v>Van Sales</v>
      </c>
      <c r="AN396" s="272" t="str">
        <f>Table4[[#This Row],[Particular]]</f>
        <v>ကုန်ရောင်း(လက်ငင်း)</v>
      </c>
      <c r="AO396" s="273" t="str">
        <f>Table4[[#This Row],[StockName]]</f>
        <v>ဇေယျဝတီ  Red(ပု)</v>
      </c>
      <c r="AP396" s="268">
        <f>Table4[[#This Row],[Parking]]</f>
        <v>25</v>
      </c>
      <c r="AQ396" s="268">
        <f>Table4[[#This Row],[SalesBot]]</f>
        <v>350</v>
      </c>
      <c r="AR396" s="268">
        <f>Table4[[#This Row],[Liter]]</f>
        <v>224</v>
      </c>
    </row>
    <row r="397" spans="1:44" s="16" customFormat="1" hidden="1" x14ac:dyDescent="0.5">
      <c r="A397" s="3">
        <f t="shared" si="68"/>
        <v>2026</v>
      </c>
      <c r="B397" s="8">
        <f t="shared" si="69"/>
        <v>1</v>
      </c>
      <c r="C397" s="82">
        <v>46046</v>
      </c>
      <c r="D397" s="15">
        <f t="shared" ca="1" si="70"/>
        <v>46097</v>
      </c>
      <c r="E397" s="15" t="str">
        <f t="shared" ca="1" si="71"/>
        <v>1-Months</v>
      </c>
      <c r="F397" s="8" t="str">
        <f>VLOOKUP(N397,Stock[#Data],5,FALSE)</f>
        <v>BE</v>
      </c>
      <c r="G397" s="82" t="s">
        <v>1167</v>
      </c>
      <c r="H397" s="15"/>
      <c r="I397" s="7" t="s">
        <v>541</v>
      </c>
      <c r="J397" s="8" t="str">
        <f>VLOOKUP(I397,Customers[#Data],2,FALSE)</f>
        <v>ကိုကျော်ရွှေ</v>
      </c>
      <c r="K397" s="15" t="str">
        <f>VLOOKUP(I397,Customers[#Data],4,FALSE)</f>
        <v>Mudon</v>
      </c>
      <c r="L397" s="15" t="str">
        <f>VLOOKUP(I397,Customers[#Data],5,FALSE)</f>
        <v>SemiWholeSales</v>
      </c>
      <c r="M397" s="7" t="s">
        <v>6</v>
      </c>
      <c r="N397" s="7" t="s">
        <v>520</v>
      </c>
      <c r="O397" s="14" t="str">
        <f>VLOOKUP(N397,Stock[#Data],2,FALSE)</f>
        <v>ဇေယျဝတီ  Red(ပု)</v>
      </c>
      <c r="P397" s="44">
        <f>VLOOKUP(N397,Stock[#Data],3,FALSE)</f>
        <v>0.64</v>
      </c>
      <c r="Q397" s="3">
        <f>VLOOKUP(N397,Stock[#Data],4,FALSE)</f>
        <v>14</v>
      </c>
      <c r="R397" s="11"/>
      <c r="S397" s="45">
        <f>IFERROR(Table4[[#This Row],[Bottle]]/Table4[[#This Row],[ပါဝင်မှု]]+Table4[[#This Row],[SalesPK]],0)</f>
        <v>50</v>
      </c>
      <c r="T397" s="12">
        <v>50</v>
      </c>
      <c r="U397" s="10">
        <f>Table4[[#This Row],[ပါဝင်မှု]]*Table4[[#This Row],[SalesPK]]+Table4[[#This Row],[Bottle]]</f>
        <v>700</v>
      </c>
      <c r="V397" s="10">
        <f>Table4[[#This Row],[SalesBot]]*Table4[[#This Row],[ML]]</f>
        <v>448</v>
      </c>
      <c r="W397" s="1">
        <f>VLOOKUP(N397,Stock[#Data],6,FALSE)</f>
        <v>1800</v>
      </c>
      <c r="X397" s="8">
        <f>+Table4[[#This Row],[SalesBot]]*Table4[[#This Row],[နှုံး]]</f>
        <v>1260000</v>
      </c>
      <c r="Y397" s="12"/>
      <c r="Z397" s="12"/>
      <c r="AA397" s="12"/>
      <c r="AB397" s="9"/>
      <c r="AC397" s="12"/>
      <c r="AD397" s="9"/>
      <c r="AE397" s="12"/>
      <c r="AF39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397" s="24"/>
      <c r="AH397" s="266">
        <f>Table4[[#This Row],[Date]]</f>
        <v>46046</v>
      </c>
      <c r="AI397" s="264" t="str">
        <f t="shared" si="72"/>
        <v>Jan</v>
      </c>
      <c r="AJ397" s="264" t="str">
        <f t="shared" si="73"/>
        <v>2026</v>
      </c>
      <c r="AK397" s="270" t="str">
        <f>Table4[[#This Row],[ကုန်သည်အမည်]]</f>
        <v>ကိုကျော်ရွှေ</v>
      </c>
      <c r="AL397" s="270" t="str">
        <f>Table4[[#This Row],[Township]]</f>
        <v>Mudon</v>
      </c>
      <c r="AM397" s="271" t="str">
        <f>Table4[[#This Row],[WholeSales]]</f>
        <v>SemiWholeSales</v>
      </c>
      <c r="AN397" s="272" t="str">
        <f>Table4[[#This Row],[Particular]]</f>
        <v>ကုန်ရောင်း(လက်ငင်း)</v>
      </c>
      <c r="AO397" s="273" t="str">
        <f>Table4[[#This Row],[StockName]]</f>
        <v>ဇေယျဝတီ  Red(ပု)</v>
      </c>
      <c r="AP397" s="268">
        <f>Table4[[#This Row],[Parking]]</f>
        <v>50</v>
      </c>
      <c r="AQ397" s="268">
        <f>Table4[[#This Row],[SalesBot]]</f>
        <v>700</v>
      </c>
      <c r="AR397" s="268">
        <f>Table4[[#This Row],[Liter]]</f>
        <v>448</v>
      </c>
    </row>
    <row r="398" spans="1:44" s="16" customFormat="1" hidden="1" x14ac:dyDescent="0.5">
      <c r="A398" s="3">
        <f t="shared" si="68"/>
        <v>2026</v>
      </c>
      <c r="B398" s="8">
        <f t="shared" si="69"/>
        <v>1</v>
      </c>
      <c r="C398" s="82">
        <v>46046</v>
      </c>
      <c r="D398" s="15">
        <f t="shared" ca="1" si="70"/>
        <v>46097</v>
      </c>
      <c r="E398" s="15" t="str">
        <f t="shared" ca="1" si="71"/>
        <v>1-Months</v>
      </c>
      <c r="F398" s="8" t="str">
        <f>VLOOKUP(N398,Stock[#Data],5,FALSE)</f>
        <v>BE</v>
      </c>
      <c r="G398" s="82" t="s">
        <v>1168</v>
      </c>
      <c r="H398" s="15"/>
      <c r="I398" s="7" t="s">
        <v>106</v>
      </c>
      <c r="J398" s="8" t="str">
        <f>VLOOKUP(I398,Customers[#Data],2,FALSE)</f>
        <v>ကိုမျိုးအောင်</v>
      </c>
      <c r="K398" s="15" t="str">
        <f>VLOOKUP(I398,Customers[#Data],4,FALSE)</f>
        <v>Maw La Myaing</v>
      </c>
      <c r="L398" s="15" t="str">
        <f>VLOOKUP(I398,Customers[#Data],5,FALSE)</f>
        <v>WholeSales</v>
      </c>
      <c r="M398" s="7" t="s">
        <v>6</v>
      </c>
      <c r="N398" s="7" t="s">
        <v>517</v>
      </c>
      <c r="O398" s="14" t="str">
        <f>VLOOKUP(N398,Stock[#Data],2,FALSE)</f>
        <v>ဇေယျဝတီ Red (1 Liter) 30%</v>
      </c>
      <c r="P398" s="44">
        <f>VLOOKUP(N398,Stock[#Data],3,FALSE)</f>
        <v>1</v>
      </c>
      <c r="Q398" s="3">
        <f>VLOOKUP(N398,Stock[#Data],4,FALSE)</f>
        <v>12</v>
      </c>
      <c r="R398" s="11"/>
      <c r="S398" s="45">
        <f>IFERROR(Table4[[#This Row],[Bottle]]/Table4[[#This Row],[ပါဝင်မှု]]+Table4[[#This Row],[SalesPK]],0)</f>
        <v>50</v>
      </c>
      <c r="T398" s="12">
        <v>50</v>
      </c>
      <c r="U398" s="10">
        <f>Table4[[#This Row],[ပါဝင်မှု]]*Table4[[#This Row],[SalesPK]]+Table4[[#This Row],[Bottle]]</f>
        <v>600</v>
      </c>
      <c r="V398" s="10">
        <f>Table4[[#This Row],[SalesBot]]*Table4[[#This Row],[ML]]</f>
        <v>600</v>
      </c>
      <c r="W398" s="1">
        <f>VLOOKUP(N398,Stock[#Data],6,FALSE)</f>
        <v>1710</v>
      </c>
      <c r="X398" s="8">
        <f>+Table4[[#This Row],[SalesBot]]*Table4[[#This Row],[နှုံး]]</f>
        <v>1026000</v>
      </c>
      <c r="Y398" s="12"/>
      <c r="Z398" s="12"/>
      <c r="AA398" s="12"/>
      <c r="AB398" s="9"/>
      <c r="AC398" s="12"/>
      <c r="AD398" s="9"/>
      <c r="AE398" s="12"/>
      <c r="AF39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398" s="24"/>
      <c r="AH398" s="266">
        <f>Table4[[#This Row],[Date]]</f>
        <v>46046</v>
      </c>
      <c r="AI398" s="264" t="str">
        <f t="shared" si="72"/>
        <v>Jan</v>
      </c>
      <c r="AJ398" s="264" t="str">
        <f t="shared" si="73"/>
        <v>2026</v>
      </c>
      <c r="AK398" s="270" t="str">
        <f>Table4[[#This Row],[ကုန်သည်အမည်]]</f>
        <v>ကိုမျိုးအောင်</v>
      </c>
      <c r="AL398" s="270" t="str">
        <f>Table4[[#This Row],[Township]]</f>
        <v>Maw La Myaing</v>
      </c>
      <c r="AM398" s="271" t="str">
        <f>Table4[[#This Row],[WholeSales]]</f>
        <v>WholeSales</v>
      </c>
      <c r="AN398" s="272" t="str">
        <f>Table4[[#This Row],[Particular]]</f>
        <v>ကုန်ရောင်း(လက်ငင်း)</v>
      </c>
      <c r="AO398" s="273" t="str">
        <f>Table4[[#This Row],[StockName]]</f>
        <v>ဇေယျဝတီ Red (1 Liter) 30%</v>
      </c>
      <c r="AP398" s="268">
        <f>Table4[[#This Row],[Parking]]</f>
        <v>50</v>
      </c>
      <c r="AQ398" s="268">
        <f>Table4[[#This Row],[SalesBot]]</f>
        <v>600</v>
      </c>
      <c r="AR398" s="268">
        <f>Table4[[#This Row],[Liter]]</f>
        <v>600</v>
      </c>
    </row>
    <row r="399" spans="1:44" s="16" customFormat="1" hidden="1" x14ac:dyDescent="0.5">
      <c r="A399" s="3">
        <f t="shared" si="68"/>
        <v>2026</v>
      </c>
      <c r="B399" s="8">
        <f t="shared" si="69"/>
        <v>1</v>
      </c>
      <c r="C399" s="82">
        <v>46046</v>
      </c>
      <c r="D399" s="15">
        <f t="shared" ca="1" si="70"/>
        <v>46097</v>
      </c>
      <c r="E399" s="15" t="str">
        <f t="shared" ca="1" si="71"/>
        <v>1-Months</v>
      </c>
      <c r="F399" s="8" t="str">
        <f>VLOOKUP(N399,Stock[#Data],5,FALSE)</f>
        <v>BE</v>
      </c>
      <c r="G399" s="82" t="s">
        <v>1169</v>
      </c>
      <c r="H399" s="15"/>
      <c r="I399" s="7" t="s">
        <v>848</v>
      </c>
      <c r="J399" s="8" t="str">
        <f>VLOOKUP(I399,Customers[#Data],2,FALSE)</f>
        <v>အုပ်ကြီး</v>
      </c>
      <c r="K399" s="15" t="str">
        <f>VLOOKUP(I399,Customers[#Data],4,FALSE)</f>
        <v>Maw La Myaing</v>
      </c>
      <c r="L399" s="15" t="str">
        <f>VLOOKUP(I399,Customers[#Data],5,FALSE)</f>
        <v>Van Sales</v>
      </c>
      <c r="M399" s="7" t="s">
        <v>6</v>
      </c>
      <c r="N399" s="7" t="s">
        <v>515</v>
      </c>
      <c r="O399" s="14" t="str">
        <f>VLOOKUP(N399,Stock[#Data],2,FALSE)</f>
        <v>ဇေ Vodka</v>
      </c>
      <c r="P399" s="44">
        <f>VLOOKUP(N399,Stock[#Data],3,FALSE)</f>
        <v>0.7</v>
      </c>
      <c r="Q399" s="3">
        <f>VLOOKUP(N399,Stock[#Data],4,FALSE)</f>
        <v>12</v>
      </c>
      <c r="R399" s="11"/>
      <c r="S399" s="45">
        <f>IFERROR(Table4[[#This Row],[Bottle]]/Table4[[#This Row],[ပါဝင်မှု]]+Table4[[#This Row],[SalesPK]],0)</f>
        <v>2</v>
      </c>
      <c r="T399" s="12">
        <v>2</v>
      </c>
      <c r="U399" s="10">
        <f>Table4[[#This Row],[ပါဝင်မှု]]*Table4[[#This Row],[SalesPK]]+Table4[[#This Row],[Bottle]]</f>
        <v>24</v>
      </c>
      <c r="V399" s="10">
        <f>Table4[[#This Row],[SalesBot]]*Table4[[#This Row],[ML]]</f>
        <v>16.799999999999997</v>
      </c>
      <c r="W399" s="1">
        <f>VLOOKUP(N399,Stock[#Data],6,FALSE)</f>
        <v>2020</v>
      </c>
      <c r="X399" s="8">
        <f>+Table4[[#This Row],[SalesBot]]*Table4[[#This Row],[နှုံး]]</f>
        <v>48480</v>
      </c>
      <c r="Y399" s="12"/>
      <c r="Z399" s="12"/>
      <c r="AA399" s="12"/>
      <c r="AB399" s="9"/>
      <c r="AC399" s="12"/>
      <c r="AD399" s="9"/>
      <c r="AE399" s="12"/>
      <c r="AF39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48480</v>
      </c>
      <c r="AG399" s="24"/>
      <c r="AH399" s="266">
        <f>Table4[[#This Row],[Date]]</f>
        <v>46046</v>
      </c>
      <c r="AI399" s="264" t="str">
        <f t="shared" si="72"/>
        <v>Jan</v>
      </c>
      <c r="AJ399" s="264" t="str">
        <f t="shared" si="73"/>
        <v>2026</v>
      </c>
      <c r="AK399" s="270" t="str">
        <f>Table4[[#This Row],[ကုန်သည်အမည်]]</f>
        <v>အုပ်ကြီး</v>
      </c>
      <c r="AL399" s="270" t="str">
        <f>Table4[[#This Row],[Township]]</f>
        <v>Maw La Myaing</v>
      </c>
      <c r="AM399" s="271" t="str">
        <f>Table4[[#This Row],[WholeSales]]</f>
        <v>Van Sales</v>
      </c>
      <c r="AN399" s="272" t="str">
        <f>Table4[[#This Row],[Particular]]</f>
        <v>ကုန်ရောင်း(လက်ငင်း)</v>
      </c>
      <c r="AO399" s="273" t="str">
        <f>Table4[[#This Row],[StockName]]</f>
        <v>ဇေ Vodka</v>
      </c>
      <c r="AP399" s="268">
        <f>Table4[[#This Row],[Parking]]</f>
        <v>2</v>
      </c>
      <c r="AQ399" s="268">
        <f>Table4[[#This Row],[SalesBot]]</f>
        <v>24</v>
      </c>
      <c r="AR399" s="268">
        <f>Table4[[#This Row],[Liter]]</f>
        <v>16.799999999999997</v>
      </c>
    </row>
    <row r="400" spans="1:44" s="16" customFormat="1" hidden="1" x14ac:dyDescent="0.5">
      <c r="A400" s="3">
        <f t="shared" si="68"/>
        <v>2026</v>
      </c>
      <c r="B400" s="8">
        <f t="shared" si="69"/>
        <v>1</v>
      </c>
      <c r="C400" s="82">
        <v>46046</v>
      </c>
      <c r="D400" s="15">
        <f t="shared" ca="1" si="70"/>
        <v>46097</v>
      </c>
      <c r="E400" s="15" t="str">
        <f t="shared" ca="1" si="71"/>
        <v>1-Months</v>
      </c>
      <c r="F400" s="8" t="str">
        <f>VLOOKUP(N400,Stock[#Data],5,FALSE)</f>
        <v>BE</v>
      </c>
      <c r="G400" s="82" t="s">
        <v>1170</v>
      </c>
      <c r="H400" s="15" t="s">
        <v>439</v>
      </c>
      <c r="I400" s="7" t="s">
        <v>1171</v>
      </c>
      <c r="J400" s="8" t="str">
        <f>VLOOKUP(I400,Customers[#Data],2,FALSE)</f>
        <v>Lucky</v>
      </c>
      <c r="K400" s="15" t="str">
        <f>VLOOKUP(I400,Customers[#Data],4,FALSE)</f>
        <v>Maw La Myaing</v>
      </c>
      <c r="L400" s="15" t="str">
        <f>VLOOKUP(I400,Customers[#Data],5,FALSE)</f>
        <v>Van Sales</v>
      </c>
      <c r="M400" s="7" t="s">
        <v>6</v>
      </c>
      <c r="N400" s="7" t="s">
        <v>516</v>
      </c>
      <c r="O400" s="14" t="str">
        <f>VLOOKUP(N400,Stock[#Data],2,FALSE)</f>
        <v>ဇေ Vodka</v>
      </c>
      <c r="P400" s="44">
        <f>VLOOKUP(N400,Stock[#Data],3,FALSE)</f>
        <v>0.64</v>
      </c>
      <c r="Q400" s="3">
        <f>VLOOKUP(N400,Stock[#Data],4,FALSE)</f>
        <v>14</v>
      </c>
      <c r="R400" s="11"/>
      <c r="S400" s="45">
        <f>IFERROR(Table4[[#This Row],[Bottle]]/Table4[[#This Row],[ပါဝင်မှု]]+Table4[[#This Row],[SalesPK]],0)</f>
        <v>10</v>
      </c>
      <c r="T400" s="12">
        <v>10</v>
      </c>
      <c r="U400" s="10">
        <f>Table4[[#This Row],[ပါဝင်မှု]]*Table4[[#This Row],[SalesPK]]+Table4[[#This Row],[Bottle]]</f>
        <v>140</v>
      </c>
      <c r="V400" s="10">
        <f>Table4[[#This Row],[SalesBot]]*Table4[[#This Row],[ML]]</f>
        <v>89.600000000000009</v>
      </c>
      <c r="W400" s="1">
        <f>VLOOKUP(N400,Stock[#Data],6,FALSE)</f>
        <v>1400</v>
      </c>
      <c r="X400" s="8">
        <f>+Table4[[#This Row],[SalesBot]]*Table4[[#This Row],[နှုံး]]</f>
        <v>196000</v>
      </c>
      <c r="Y400" s="12"/>
      <c r="Z400" s="12"/>
      <c r="AA400" s="12"/>
      <c r="AB400" s="9"/>
      <c r="AC400" s="12"/>
      <c r="AD400" s="9"/>
      <c r="AE400" s="12"/>
      <c r="AF40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400" s="24"/>
      <c r="AH400" s="266">
        <f>Table4[[#This Row],[Date]]</f>
        <v>46046</v>
      </c>
      <c r="AI400" s="264" t="str">
        <f t="shared" si="72"/>
        <v>Jan</v>
      </c>
      <c r="AJ400" s="264" t="str">
        <f t="shared" si="73"/>
        <v>2026</v>
      </c>
      <c r="AK400" s="270" t="str">
        <f>Table4[[#This Row],[ကုန်သည်အမည်]]</f>
        <v>Lucky</v>
      </c>
      <c r="AL400" s="270" t="str">
        <f>Table4[[#This Row],[Township]]</f>
        <v>Maw La Myaing</v>
      </c>
      <c r="AM400" s="271" t="str">
        <f>Table4[[#This Row],[WholeSales]]</f>
        <v>Van Sales</v>
      </c>
      <c r="AN400" s="272" t="str">
        <f>Table4[[#This Row],[Particular]]</f>
        <v>ကုန်ရောင်း(လက်ငင်း)</v>
      </c>
      <c r="AO400" s="273" t="str">
        <f>Table4[[#This Row],[StockName]]</f>
        <v>ဇေ Vodka</v>
      </c>
      <c r="AP400" s="268">
        <f>Table4[[#This Row],[Parking]]</f>
        <v>10</v>
      </c>
      <c r="AQ400" s="268">
        <f>Table4[[#This Row],[SalesBot]]</f>
        <v>140</v>
      </c>
      <c r="AR400" s="268">
        <f>Table4[[#This Row],[Liter]]</f>
        <v>89.600000000000009</v>
      </c>
    </row>
    <row r="401" spans="1:44" s="16" customFormat="1" hidden="1" x14ac:dyDescent="0.5">
      <c r="A401" s="3">
        <f t="shared" si="68"/>
        <v>2026</v>
      </c>
      <c r="B401" s="8">
        <f t="shared" si="69"/>
        <v>1</v>
      </c>
      <c r="C401" s="82">
        <v>46046</v>
      </c>
      <c r="D401" s="15">
        <f t="shared" ca="1" si="70"/>
        <v>46097</v>
      </c>
      <c r="E401" s="15" t="str">
        <f t="shared" ca="1" si="71"/>
        <v>1-Months</v>
      </c>
      <c r="F401" s="8" t="str">
        <f>VLOOKUP(N401,Stock[#Data],5,FALSE)</f>
        <v>BE</v>
      </c>
      <c r="G401" s="82" t="s">
        <v>1170</v>
      </c>
      <c r="H401" s="15" t="s">
        <v>439</v>
      </c>
      <c r="I401" s="7" t="s">
        <v>1171</v>
      </c>
      <c r="J401" s="8" t="str">
        <f>VLOOKUP(I401,Customers[#Data],2,FALSE)</f>
        <v>Lucky</v>
      </c>
      <c r="K401" s="15" t="str">
        <f>VLOOKUP(I401,Customers[#Data],4,FALSE)</f>
        <v>Maw La Myaing</v>
      </c>
      <c r="L401" s="15" t="str">
        <f>VLOOKUP(I401,Customers[#Data],5,FALSE)</f>
        <v>Van Sales</v>
      </c>
      <c r="M401" s="7" t="s">
        <v>9</v>
      </c>
      <c r="N401" s="7" t="s">
        <v>508</v>
      </c>
      <c r="O401" s="14" t="str">
        <f>VLOOKUP(N401,Stock[#Data],2,FALSE)</f>
        <v>ကောင်းကြည်-1Li</v>
      </c>
      <c r="P401" s="44">
        <f>VLOOKUP(N401,Stock[#Data],3,FALSE)</f>
        <v>1</v>
      </c>
      <c r="Q401" s="3">
        <f>VLOOKUP(N401,Stock[#Data],4,FALSE)</f>
        <v>12</v>
      </c>
      <c r="R401" s="11">
        <v>1</v>
      </c>
      <c r="S401" s="45">
        <f>IFERROR(Table4[[#This Row],[Bottle]]/Table4[[#This Row],[ပါဝင်မှု]]+Table4[[#This Row],[SalesPK]],0)</f>
        <v>8.3333333333333329E-2</v>
      </c>
      <c r="T401" s="12"/>
      <c r="U401" s="10">
        <f>Table4[[#This Row],[ပါဝင်မှု]]*Table4[[#This Row],[SalesPK]]+Table4[[#This Row],[Bottle]]</f>
        <v>1</v>
      </c>
      <c r="V401" s="10">
        <f>Table4[[#This Row],[SalesBot]]*Table4[[#This Row],[ML]]</f>
        <v>1</v>
      </c>
      <c r="W401" s="1">
        <f>VLOOKUP(N401,Stock[#Data],6,FALSE)</f>
        <v>1850</v>
      </c>
      <c r="X401" s="8">
        <f>+Table4[[#This Row],[SalesBot]]*Table4[[#This Row],[နှုံး]]</f>
        <v>1850</v>
      </c>
      <c r="Y401" s="12"/>
      <c r="Z401" s="12"/>
      <c r="AA401" s="12"/>
      <c r="AB401" s="9"/>
      <c r="AC401" s="12"/>
      <c r="AD401" s="9"/>
      <c r="AE401" s="12"/>
      <c r="AF40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401" s="24"/>
      <c r="AH401" s="266">
        <f>Table4[[#This Row],[Date]]</f>
        <v>46046</v>
      </c>
      <c r="AI401" s="264" t="str">
        <f t="shared" si="72"/>
        <v>Jan</v>
      </c>
      <c r="AJ401" s="264" t="str">
        <f t="shared" si="73"/>
        <v>2026</v>
      </c>
      <c r="AK401" s="270" t="str">
        <f>Table4[[#This Row],[ကုန်သည်အမည်]]</f>
        <v>Lucky</v>
      </c>
      <c r="AL401" s="270" t="str">
        <f>Table4[[#This Row],[Township]]</f>
        <v>Maw La Myaing</v>
      </c>
      <c r="AM401" s="271" t="str">
        <f>Table4[[#This Row],[WholeSales]]</f>
        <v>Van Sales</v>
      </c>
      <c r="AN401" s="272" t="str">
        <f>Table4[[#This Row],[Particular]]</f>
        <v>လက်ဆောင်</v>
      </c>
      <c r="AO401" s="273" t="str">
        <f>Table4[[#This Row],[StockName]]</f>
        <v>ကောင်းကြည်-1Li</v>
      </c>
      <c r="AP401" s="268">
        <f>Table4[[#This Row],[Parking]]</f>
        <v>8.3333333333333329E-2</v>
      </c>
      <c r="AQ401" s="268">
        <f>Table4[[#This Row],[SalesBot]]</f>
        <v>1</v>
      </c>
      <c r="AR401" s="268">
        <f>Table4[[#This Row],[Liter]]</f>
        <v>1</v>
      </c>
    </row>
    <row r="402" spans="1:44" s="16" customFormat="1" hidden="1" x14ac:dyDescent="0.5">
      <c r="A402" s="3">
        <f t="shared" si="68"/>
        <v>2026</v>
      </c>
      <c r="B402" s="8">
        <f t="shared" si="69"/>
        <v>1</v>
      </c>
      <c r="C402" s="82">
        <v>46046</v>
      </c>
      <c r="D402" s="15">
        <f t="shared" ca="1" si="70"/>
        <v>46097</v>
      </c>
      <c r="E402" s="15" t="str">
        <f t="shared" ca="1" si="71"/>
        <v>1-Months</v>
      </c>
      <c r="F402" s="8" t="str">
        <f>VLOOKUP(N402,Stock[#Data],5,FALSE)</f>
        <v>BE</v>
      </c>
      <c r="G402" s="82" t="s">
        <v>1170</v>
      </c>
      <c r="H402" s="15" t="s">
        <v>439</v>
      </c>
      <c r="I402" s="7" t="s">
        <v>1171</v>
      </c>
      <c r="J402" s="8" t="str">
        <f>VLOOKUP(I402,Customers[#Data],2,FALSE)</f>
        <v>Lucky</v>
      </c>
      <c r="K402" s="15" t="str">
        <f>VLOOKUP(I402,Customers[#Data],4,FALSE)</f>
        <v>Maw La Myaing</v>
      </c>
      <c r="L402" s="15" t="str">
        <f>VLOOKUP(I402,Customers[#Data],5,FALSE)</f>
        <v>Van Sales</v>
      </c>
      <c r="M402" s="7" t="s">
        <v>9</v>
      </c>
      <c r="N402" s="7" t="s">
        <v>533</v>
      </c>
      <c r="O402" s="14" t="str">
        <f>VLOOKUP(N402,Stock[#Data],2,FALSE)</f>
        <v>ရွှေမန်း</v>
      </c>
      <c r="P402" s="44">
        <f>VLOOKUP(N402,Stock[#Data],3,FALSE)</f>
        <v>0.64</v>
      </c>
      <c r="Q402" s="3">
        <f>VLOOKUP(N402,Stock[#Data],4,FALSE)</f>
        <v>14</v>
      </c>
      <c r="R402" s="11">
        <v>1</v>
      </c>
      <c r="S402" s="45">
        <f>IFERROR(Table4[[#This Row],[Bottle]]/Table4[[#This Row],[ပါဝင်မှု]]+Table4[[#This Row],[SalesPK]],0)</f>
        <v>7.1428571428571425E-2</v>
      </c>
      <c r="T402" s="12"/>
      <c r="U402" s="10">
        <f>Table4[[#This Row],[ပါဝင်မှု]]*Table4[[#This Row],[SalesPK]]+Table4[[#This Row],[Bottle]]</f>
        <v>1</v>
      </c>
      <c r="V402" s="10">
        <f>Table4[[#This Row],[SalesBot]]*Table4[[#This Row],[ML]]</f>
        <v>0.64</v>
      </c>
      <c r="W402" s="1">
        <f>VLOOKUP(N402,Stock[#Data],6,FALSE)</f>
        <v>1500</v>
      </c>
      <c r="X402" s="8">
        <f>+Table4[[#This Row],[SalesBot]]*Table4[[#This Row],[နှုံး]]</f>
        <v>1500</v>
      </c>
      <c r="Y402" s="12"/>
      <c r="Z402" s="12"/>
      <c r="AA402" s="12"/>
      <c r="AB402" s="9"/>
      <c r="AC402" s="12"/>
      <c r="AD402" s="9"/>
      <c r="AE402" s="12"/>
      <c r="AF40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402" s="24"/>
      <c r="AH402" s="266">
        <f>Table4[[#This Row],[Date]]</f>
        <v>46046</v>
      </c>
      <c r="AI402" s="264" t="str">
        <f t="shared" si="72"/>
        <v>Jan</v>
      </c>
      <c r="AJ402" s="264" t="str">
        <f t="shared" si="73"/>
        <v>2026</v>
      </c>
      <c r="AK402" s="270" t="str">
        <f>Table4[[#This Row],[ကုန်သည်အမည်]]</f>
        <v>Lucky</v>
      </c>
      <c r="AL402" s="270" t="str">
        <f>Table4[[#This Row],[Township]]</f>
        <v>Maw La Myaing</v>
      </c>
      <c r="AM402" s="271" t="str">
        <f>Table4[[#This Row],[WholeSales]]</f>
        <v>Van Sales</v>
      </c>
      <c r="AN402" s="272" t="str">
        <f>Table4[[#This Row],[Particular]]</f>
        <v>လက်ဆောင်</v>
      </c>
      <c r="AO402" s="273" t="str">
        <f>Table4[[#This Row],[StockName]]</f>
        <v>ရွှေမန်း</v>
      </c>
      <c r="AP402" s="268">
        <f>Table4[[#This Row],[Parking]]</f>
        <v>7.1428571428571425E-2</v>
      </c>
      <c r="AQ402" s="268">
        <f>Table4[[#This Row],[SalesBot]]</f>
        <v>1</v>
      </c>
      <c r="AR402" s="268">
        <f>Table4[[#This Row],[Liter]]</f>
        <v>0.64</v>
      </c>
    </row>
    <row r="403" spans="1:44" s="16" customFormat="1" hidden="1" x14ac:dyDescent="0.5">
      <c r="A403" s="3">
        <f t="shared" si="68"/>
        <v>2026</v>
      </c>
      <c r="B403" s="8">
        <f t="shared" si="69"/>
        <v>1</v>
      </c>
      <c r="C403" s="82">
        <v>46046</v>
      </c>
      <c r="D403" s="15">
        <f t="shared" ca="1" si="70"/>
        <v>46097</v>
      </c>
      <c r="E403" s="15" t="str">
        <f t="shared" ca="1" si="71"/>
        <v>1-Months</v>
      </c>
      <c r="F403" s="8" t="str">
        <f>VLOOKUP(N403,Stock[#Data],5,FALSE)</f>
        <v>BE</v>
      </c>
      <c r="G403" s="82" t="s">
        <v>1172</v>
      </c>
      <c r="H403" s="15" t="s">
        <v>439</v>
      </c>
      <c r="I403" s="7" t="s">
        <v>584</v>
      </c>
      <c r="J403" s="8" t="str">
        <f>VLOOKUP(I403,Customers[#Data],2,FALSE)</f>
        <v>ယမုံနာ</v>
      </c>
      <c r="K403" s="15" t="str">
        <f>VLOOKUP(I403,Customers[#Data],4,FALSE)</f>
        <v>Maw La Myaing</v>
      </c>
      <c r="L403" s="15" t="str">
        <f>VLOOKUP(I403,Customers[#Data],5,FALSE)</f>
        <v>Van Sales</v>
      </c>
      <c r="M403" s="7" t="s">
        <v>6</v>
      </c>
      <c r="N403" s="7" t="s">
        <v>518</v>
      </c>
      <c r="O403" s="14" t="str">
        <f>VLOOKUP(N403,Stock[#Data],2,FALSE)</f>
        <v>"ဇေ" ကော်ဘူး (1 Liter)</v>
      </c>
      <c r="P403" s="44">
        <f>VLOOKUP(N403,Stock[#Data],3,FALSE)</f>
        <v>1</v>
      </c>
      <c r="Q403" s="3">
        <f>VLOOKUP(N403,Stock[#Data],4,FALSE)</f>
        <v>12</v>
      </c>
      <c r="R403" s="11"/>
      <c r="S403" s="45">
        <f>IFERROR(Table4[[#This Row],[Bottle]]/Table4[[#This Row],[ပါဝင်မှု]]+Table4[[#This Row],[SalesPK]],0)</f>
        <v>10</v>
      </c>
      <c r="T403" s="12">
        <v>10</v>
      </c>
      <c r="U403" s="10">
        <f>Table4[[#This Row],[ပါဝင်မှု]]*Table4[[#This Row],[SalesPK]]+Table4[[#This Row],[Bottle]]</f>
        <v>120</v>
      </c>
      <c r="V403" s="10">
        <f>Table4[[#This Row],[SalesBot]]*Table4[[#This Row],[ML]]</f>
        <v>120</v>
      </c>
      <c r="W403" s="1">
        <f>VLOOKUP(N403,Stock[#Data],6,FALSE)</f>
        <v>1675</v>
      </c>
      <c r="X403" s="8">
        <f>+Table4[[#This Row],[SalesBot]]*Table4[[#This Row],[နှုံး]]</f>
        <v>201000</v>
      </c>
      <c r="Y403" s="12"/>
      <c r="Z403" s="12"/>
      <c r="AA403" s="12"/>
      <c r="AB403" s="9"/>
      <c r="AC403" s="12"/>
      <c r="AD403" s="9"/>
      <c r="AE403" s="12"/>
      <c r="AF40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201000</v>
      </c>
      <c r="AG403" s="24"/>
      <c r="AH403" s="266">
        <f>Table4[[#This Row],[Date]]</f>
        <v>46046</v>
      </c>
      <c r="AI403" s="264" t="str">
        <f t="shared" si="72"/>
        <v>Jan</v>
      </c>
      <c r="AJ403" s="264" t="str">
        <f t="shared" si="73"/>
        <v>2026</v>
      </c>
      <c r="AK403" s="270" t="str">
        <f>Table4[[#This Row],[ကုန်သည်အမည်]]</f>
        <v>ယမုံနာ</v>
      </c>
      <c r="AL403" s="270" t="str">
        <f>Table4[[#This Row],[Township]]</f>
        <v>Maw La Myaing</v>
      </c>
      <c r="AM403" s="271" t="str">
        <f>Table4[[#This Row],[WholeSales]]</f>
        <v>Van Sales</v>
      </c>
      <c r="AN403" s="272" t="str">
        <f>Table4[[#This Row],[Particular]]</f>
        <v>ကုန်ရောင်း(လက်ငင်း)</v>
      </c>
      <c r="AO403" s="273" t="str">
        <f>Table4[[#This Row],[StockName]]</f>
        <v>"ဇေ" ကော်ဘူး (1 Liter)</v>
      </c>
      <c r="AP403" s="268">
        <f>Table4[[#This Row],[Parking]]</f>
        <v>10</v>
      </c>
      <c r="AQ403" s="268">
        <f>Table4[[#This Row],[SalesBot]]</f>
        <v>120</v>
      </c>
      <c r="AR403" s="268">
        <f>Table4[[#This Row],[Liter]]</f>
        <v>120</v>
      </c>
    </row>
    <row r="404" spans="1:44" s="16" customFormat="1" hidden="1" x14ac:dyDescent="0.5">
      <c r="A404" s="3">
        <f t="shared" si="68"/>
        <v>2026</v>
      </c>
      <c r="B404" s="8">
        <f t="shared" si="69"/>
        <v>1</v>
      </c>
      <c r="C404" s="82">
        <v>46046</v>
      </c>
      <c r="D404" s="15">
        <f t="shared" ca="1" si="70"/>
        <v>46097</v>
      </c>
      <c r="E404" s="15" t="str">
        <f t="shared" ca="1" si="71"/>
        <v>1-Months</v>
      </c>
      <c r="F404" s="8" t="str">
        <f>VLOOKUP(N404,Stock[#Data],5,FALSE)</f>
        <v>BE</v>
      </c>
      <c r="G404" s="82" t="s">
        <v>1173</v>
      </c>
      <c r="H404" s="15" t="s">
        <v>439</v>
      </c>
      <c r="I404" s="7" t="s">
        <v>565</v>
      </c>
      <c r="J404" s="8" t="str">
        <f>VLOOKUP(I404,Customers[#Data],2,FALSE)</f>
        <v>မဇာဇာ</v>
      </c>
      <c r="K404" s="15" t="str">
        <f>VLOOKUP(I404,Customers[#Data],4,FALSE)</f>
        <v>Maw La Myaing</v>
      </c>
      <c r="L404" s="15" t="str">
        <f>VLOOKUP(I404,Customers[#Data],5,FALSE)</f>
        <v>Van Sales</v>
      </c>
      <c r="M404" s="7" t="s">
        <v>6</v>
      </c>
      <c r="N404" s="7" t="s">
        <v>518</v>
      </c>
      <c r="O404" s="14" t="str">
        <f>VLOOKUP(N404,Stock[#Data],2,FALSE)</f>
        <v>"ဇေ" ကော်ဘူး (1 Liter)</v>
      </c>
      <c r="P404" s="44">
        <f>VLOOKUP(N404,Stock[#Data],3,FALSE)</f>
        <v>1</v>
      </c>
      <c r="Q404" s="3">
        <f>VLOOKUP(N404,Stock[#Data],4,FALSE)</f>
        <v>12</v>
      </c>
      <c r="R404" s="11"/>
      <c r="S404" s="45">
        <f>IFERROR(Table4[[#This Row],[Bottle]]/Table4[[#This Row],[ပါဝင်မှု]]+Table4[[#This Row],[SalesPK]],0)</f>
        <v>10</v>
      </c>
      <c r="T404" s="12">
        <v>10</v>
      </c>
      <c r="U404" s="10">
        <f>Table4[[#This Row],[ပါဝင်မှု]]*Table4[[#This Row],[SalesPK]]+Table4[[#This Row],[Bottle]]</f>
        <v>120</v>
      </c>
      <c r="V404" s="10">
        <f>Table4[[#This Row],[SalesBot]]*Table4[[#This Row],[ML]]</f>
        <v>120</v>
      </c>
      <c r="W404" s="1">
        <f>VLOOKUP(N404,Stock[#Data],6,FALSE)</f>
        <v>1675</v>
      </c>
      <c r="X404" s="8">
        <f>+Table4[[#This Row],[SalesBot]]*Table4[[#This Row],[နှုံး]]</f>
        <v>201000</v>
      </c>
      <c r="Y404" s="12"/>
      <c r="Z404" s="12"/>
      <c r="AA404" s="12"/>
      <c r="AB404" s="9"/>
      <c r="AC404" s="12"/>
      <c r="AD404" s="9"/>
      <c r="AE404" s="12"/>
      <c r="AF40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201000</v>
      </c>
      <c r="AG404" s="24"/>
      <c r="AH404" s="266">
        <f>Table4[[#This Row],[Date]]</f>
        <v>46046</v>
      </c>
      <c r="AI404" s="264" t="str">
        <f t="shared" si="72"/>
        <v>Jan</v>
      </c>
      <c r="AJ404" s="264" t="str">
        <f t="shared" si="73"/>
        <v>2026</v>
      </c>
      <c r="AK404" s="270" t="str">
        <f>Table4[[#This Row],[ကုန်သည်အမည်]]</f>
        <v>မဇာဇာ</v>
      </c>
      <c r="AL404" s="270" t="str">
        <f>Table4[[#This Row],[Township]]</f>
        <v>Maw La Myaing</v>
      </c>
      <c r="AM404" s="271" t="str">
        <f>Table4[[#This Row],[WholeSales]]</f>
        <v>Van Sales</v>
      </c>
      <c r="AN404" s="272" t="str">
        <f>Table4[[#This Row],[Particular]]</f>
        <v>ကုန်ရောင်း(လက်ငင်း)</v>
      </c>
      <c r="AO404" s="273" t="str">
        <f>Table4[[#This Row],[StockName]]</f>
        <v>"ဇေ" ကော်ဘူး (1 Liter)</v>
      </c>
      <c r="AP404" s="268">
        <f>Table4[[#This Row],[Parking]]</f>
        <v>10</v>
      </c>
      <c r="AQ404" s="268">
        <f>Table4[[#This Row],[SalesBot]]</f>
        <v>120</v>
      </c>
      <c r="AR404" s="268">
        <f>Table4[[#This Row],[Liter]]</f>
        <v>120</v>
      </c>
    </row>
    <row r="405" spans="1:44" s="16" customFormat="1" hidden="1" x14ac:dyDescent="0.5">
      <c r="A405" s="3">
        <f t="shared" si="68"/>
        <v>2026</v>
      </c>
      <c r="B405" s="8">
        <f t="shared" si="69"/>
        <v>1</v>
      </c>
      <c r="C405" s="82">
        <v>46046</v>
      </c>
      <c r="D405" s="15">
        <f t="shared" ca="1" si="70"/>
        <v>46097</v>
      </c>
      <c r="E405" s="15" t="str">
        <f t="shared" ca="1" si="71"/>
        <v>1-Months</v>
      </c>
      <c r="F405" s="8" t="str">
        <f>VLOOKUP(N405,Stock[#Data],5,FALSE)</f>
        <v>BE</v>
      </c>
      <c r="G405" s="82" t="s">
        <v>1173</v>
      </c>
      <c r="H405" s="15" t="s">
        <v>439</v>
      </c>
      <c r="I405" s="7" t="s">
        <v>565</v>
      </c>
      <c r="J405" s="8" t="str">
        <f>VLOOKUP(I405,Customers[#Data],2,FALSE)</f>
        <v>မဇာဇာ</v>
      </c>
      <c r="K405" s="15" t="str">
        <f>VLOOKUP(I405,Customers[#Data],4,FALSE)</f>
        <v>Maw La Myaing</v>
      </c>
      <c r="L405" s="15" t="str">
        <f>VLOOKUP(I405,Customers[#Data],5,FALSE)</f>
        <v>Van Sales</v>
      </c>
      <c r="M405" s="7" t="s">
        <v>6</v>
      </c>
      <c r="N405" s="7" t="s">
        <v>508</v>
      </c>
      <c r="O405" s="14" t="str">
        <f>VLOOKUP(N405,Stock[#Data],2,FALSE)</f>
        <v>ကောင်းကြည်-1Li</v>
      </c>
      <c r="P405" s="44">
        <f>VLOOKUP(N405,Stock[#Data],3,FALSE)</f>
        <v>1</v>
      </c>
      <c r="Q405" s="3">
        <f>VLOOKUP(N405,Stock[#Data],4,FALSE)</f>
        <v>12</v>
      </c>
      <c r="R405" s="11"/>
      <c r="S405" s="45">
        <f>IFERROR(Table4[[#This Row],[Bottle]]/Table4[[#This Row],[ပါဝင်မှု]]+Table4[[#This Row],[SalesPK]],0)</f>
        <v>1</v>
      </c>
      <c r="T405" s="12">
        <v>1</v>
      </c>
      <c r="U405" s="10">
        <f>Table4[[#This Row],[ပါဝင်မှု]]*Table4[[#This Row],[SalesPK]]+Table4[[#This Row],[Bottle]]</f>
        <v>12</v>
      </c>
      <c r="V405" s="10">
        <f>Table4[[#This Row],[SalesBot]]*Table4[[#This Row],[ML]]</f>
        <v>12</v>
      </c>
      <c r="W405" s="1">
        <f>VLOOKUP(N405,Stock[#Data],6,FALSE)</f>
        <v>1850</v>
      </c>
      <c r="X405" s="8">
        <f>+Table4[[#This Row],[SalesBot]]*Table4[[#This Row],[နှုံး]]</f>
        <v>22200</v>
      </c>
      <c r="Y405" s="12"/>
      <c r="Z405" s="12"/>
      <c r="AA405" s="12"/>
      <c r="AB405" s="9"/>
      <c r="AC405" s="12"/>
      <c r="AD405" s="9"/>
      <c r="AE405" s="12"/>
      <c r="AF40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405" s="24"/>
      <c r="AH405" s="266">
        <f>Table4[[#This Row],[Date]]</f>
        <v>46046</v>
      </c>
      <c r="AI405" s="264" t="str">
        <f t="shared" si="72"/>
        <v>Jan</v>
      </c>
      <c r="AJ405" s="264" t="str">
        <f t="shared" si="73"/>
        <v>2026</v>
      </c>
      <c r="AK405" s="270" t="str">
        <f>Table4[[#This Row],[ကုန်သည်အမည်]]</f>
        <v>မဇာဇာ</v>
      </c>
      <c r="AL405" s="270" t="str">
        <f>Table4[[#This Row],[Township]]</f>
        <v>Maw La Myaing</v>
      </c>
      <c r="AM405" s="271" t="str">
        <f>Table4[[#This Row],[WholeSales]]</f>
        <v>Van Sales</v>
      </c>
      <c r="AN405" s="272" t="str">
        <f>Table4[[#This Row],[Particular]]</f>
        <v>ကုန်ရောင်း(လက်ငင်း)</v>
      </c>
      <c r="AO405" s="273" t="str">
        <f>Table4[[#This Row],[StockName]]</f>
        <v>ကောင်းကြည်-1Li</v>
      </c>
      <c r="AP405" s="268">
        <f>Table4[[#This Row],[Parking]]</f>
        <v>1</v>
      </c>
      <c r="AQ405" s="268">
        <f>Table4[[#This Row],[SalesBot]]</f>
        <v>12</v>
      </c>
      <c r="AR405" s="268">
        <f>Table4[[#This Row],[Liter]]</f>
        <v>12</v>
      </c>
    </row>
    <row r="406" spans="1:44" s="16" customFormat="1" hidden="1" x14ac:dyDescent="0.5">
      <c r="A406" s="3">
        <f t="shared" si="68"/>
        <v>2026</v>
      </c>
      <c r="B406" s="8">
        <f t="shared" si="69"/>
        <v>1</v>
      </c>
      <c r="C406" s="82">
        <v>46046</v>
      </c>
      <c r="D406" s="15">
        <f t="shared" ca="1" si="70"/>
        <v>46097</v>
      </c>
      <c r="E406" s="15" t="str">
        <f t="shared" ca="1" si="71"/>
        <v>1-Months</v>
      </c>
      <c r="F406" s="8" t="str">
        <f>VLOOKUP(N406,Stock[#Data],5,FALSE)</f>
        <v>BE</v>
      </c>
      <c r="G406" s="82" t="s">
        <v>1174</v>
      </c>
      <c r="H406" s="15" t="s">
        <v>439</v>
      </c>
      <c r="I406" s="7" t="s">
        <v>1176</v>
      </c>
      <c r="J406" s="8" t="str">
        <f>VLOOKUP(I406,Customers[#Data],2,FALSE)</f>
        <v>သားကြီး</v>
      </c>
      <c r="K406" s="15" t="str">
        <f>VLOOKUP(I406,Customers[#Data],4,FALSE)</f>
        <v>Maw La Myaing</v>
      </c>
      <c r="L406" s="15" t="str">
        <f>VLOOKUP(I406,Customers[#Data],5,FALSE)</f>
        <v>Van Sales</v>
      </c>
      <c r="M406" s="7" t="s">
        <v>6</v>
      </c>
      <c r="N406" s="7" t="s">
        <v>425</v>
      </c>
      <c r="O406" s="14" t="str">
        <f>VLOOKUP(N406,Stock[#Data],2,FALSE)</f>
        <v>ကောင်းကြည်-1Li</v>
      </c>
      <c r="P406" s="44">
        <f>VLOOKUP(N406,Stock[#Data],3,FALSE)</f>
        <v>1</v>
      </c>
      <c r="Q406" s="3">
        <f>VLOOKUP(N406,Stock[#Data],4,FALSE)</f>
        <v>12</v>
      </c>
      <c r="R406" s="11"/>
      <c r="S406" s="45">
        <f>IFERROR(Table4[[#This Row],[Bottle]]/Table4[[#This Row],[ပါဝင်မှု]]+Table4[[#This Row],[SalesPK]],0)</f>
        <v>1</v>
      </c>
      <c r="T406" s="12">
        <v>1</v>
      </c>
      <c r="U406" s="10">
        <f>Table4[[#This Row],[ပါဝင်မှု]]*Table4[[#This Row],[SalesPK]]+Table4[[#This Row],[Bottle]]</f>
        <v>12</v>
      </c>
      <c r="V406" s="10">
        <f>Table4[[#This Row],[SalesBot]]*Table4[[#This Row],[ML]]</f>
        <v>12</v>
      </c>
      <c r="W406" s="1">
        <f>VLOOKUP(N406,Stock[#Data],6,FALSE)</f>
        <v>1500</v>
      </c>
      <c r="X406" s="8">
        <f>+Table4[[#This Row],[SalesBot]]*Table4[[#This Row],[နှုံး]]</f>
        <v>18000</v>
      </c>
      <c r="Y406" s="12"/>
      <c r="Z406" s="12"/>
      <c r="AA406" s="12"/>
      <c r="AB406" s="9"/>
      <c r="AC406" s="12"/>
      <c r="AD406" s="9"/>
      <c r="AE406" s="12"/>
      <c r="AF40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406" s="24"/>
      <c r="AH406" s="266">
        <f>Table4[[#This Row],[Date]]</f>
        <v>46046</v>
      </c>
      <c r="AI406" s="264" t="str">
        <f t="shared" si="72"/>
        <v>Jan</v>
      </c>
      <c r="AJ406" s="264" t="str">
        <f t="shared" si="73"/>
        <v>2026</v>
      </c>
      <c r="AK406" s="270" t="str">
        <f>Table4[[#This Row],[ကုန်သည်အမည်]]</f>
        <v>သားကြီး</v>
      </c>
      <c r="AL406" s="270" t="str">
        <f>Table4[[#This Row],[Township]]</f>
        <v>Maw La Myaing</v>
      </c>
      <c r="AM406" s="271" t="str">
        <f>Table4[[#This Row],[WholeSales]]</f>
        <v>Van Sales</v>
      </c>
      <c r="AN406" s="272" t="str">
        <f>Table4[[#This Row],[Particular]]</f>
        <v>ကုန်ရောင်း(လက်ငင်း)</v>
      </c>
      <c r="AO406" s="273" t="str">
        <f>Table4[[#This Row],[StockName]]</f>
        <v>ကောင်းကြည်-1Li</v>
      </c>
      <c r="AP406" s="268">
        <f>Table4[[#This Row],[Parking]]</f>
        <v>1</v>
      </c>
      <c r="AQ406" s="268">
        <f>Table4[[#This Row],[SalesBot]]</f>
        <v>12</v>
      </c>
      <c r="AR406" s="268">
        <f>Table4[[#This Row],[Liter]]</f>
        <v>12</v>
      </c>
    </row>
    <row r="407" spans="1:44" s="16" customFormat="1" hidden="1" x14ac:dyDescent="0.5">
      <c r="A407" s="3">
        <f>YEAR(C407)</f>
        <v>2026</v>
      </c>
      <c r="B407" s="8">
        <f>MONTH(C407)</f>
        <v>1</v>
      </c>
      <c r="C407" s="82">
        <v>46046</v>
      </c>
      <c r="D407" s="15">
        <f ca="1">TODAY()</f>
        <v>46097</v>
      </c>
      <c r="E407" s="15" t="str">
        <f ca="1">DATEDIF(C407,D407,"M")&amp;"-Months"</f>
        <v>1-Months</v>
      </c>
      <c r="F407" s="8" t="str">
        <f>VLOOKUP(N407,Stock[#Data],5,FALSE)</f>
        <v>BE</v>
      </c>
      <c r="G407" s="82" t="s">
        <v>1174</v>
      </c>
      <c r="H407" s="15" t="s">
        <v>439</v>
      </c>
      <c r="I407" s="7" t="s">
        <v>1176</v>
      </c>
      <c r="J407" s="8" t="str">
        <f>VLOOKUP(I407,Customers[#Data],2,FALSE)</f>
        <v>သားကြီး</v>
      </c>
      <c r="K407" s="15" t="str">
        <f>VLOOKUP(I407,Customers[#Data],4,FALSE)</f>
        <v>Maw La Myaing</v>
      </c>
      <c r="L407" s="15" t="str">
        <f>VLOOKUP(I407,Customers[#Data],5,FALSE)</f>
        <v>Van Sales</v>
      </c>
      <c r="M407" s="7" t="s">
        <v>9</v>
      </c>
      <c r="N407" s="7" t="s">
        <v>522</v>
      </c>
      <c r="O407" s="14" t="str">
        <f>VLOOKUP(N407,Stock[#Data],2,FALSE)</f>
        <v>ဒဂုံမန်ကျည်း ကော်ဘူး (1 Liter)</v>
      </c>
      <c r="P407" s="44">
        <f>VLOOKUP(N407,Stock[#Data],3,FALSE)</f>
        <v>1</v>
      </c>
      <c r="Q407" s="3">
        <f>VLOOKUP(N407,Stock[#Data],4,FALSE)</f>
        <v>12</v>
      </c>
      <c r="R407" s="11">
        <v>1</v>
      </c>
      <c r="S407" s="45">
        <f>IFERROR(Table4[[#This Row],[Bottle]]/Table4[[#This Row],[ပါဝင်မှု]]+Table4[[#This Row],[SalesPK]],0)</f>
        <v>8.3333333333333329E-2</v>
      </c>
      <c r="T407" s="12"/>
      <c r="U407" s="10">
        <f>Table4[[#This Row],[ပါဝင်မှု]]*Table4[[#This Row],[SalesPK]]+Table4[[#This Row],[Bottle]]</f>
        <v>1</v>
      </c>
      <c r="V407" s="10">
        <f>Table4[[#This Row],[SalesBot]]*Table4[[#This Row],[ML]]</f>
        <v>1</v>
      </c>
      <c r="W407" s="1">
        <f>VLOOKUP(N407,Stock[#Data],6,FALSE)</f>
        <v>1600</v>
      </c>
      <c r="X407" s="8">
        <f>+Table4[[#This Row],[SalesBot]]*Table4[[#This Row],[နှုံး]]</f>
        <v>1600</v>
      </c>
      <c r="Y407" s="12"/>
      <c r="Z407" s="12"/>
      <c r="AA407" s="12"/>
      <c r="AB407" s="9"/>
      <c r="AC407" s="12"/>
      <c r="AD407" s="9"/>
      <c r="AE407" s="12"/>
      <c r="AF40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407" s="24"/>
      <c r="AH407" s="266">
        <f>Table4[[#This Row],[Date]]</f>
        <v>46046</v>
      </c>
      <c r="AI407" s="264" t="str">
        <f t="shared" si="72"/>
        <v>Jan</v>
      </c>
      <c r="AJ407" s="264" t="str">
        <f t="shared" si="73"/>
        <v>2026</v>
      </c>
      <c r="AK407" s="270" t="str">
        <f>Table4[[#This Row],[ကုန်သည်အမည်]]</f>
        <v>သားကြီး</v>
      </c>
      <c r="AL407" s="270" t="str">
        <f>Table4[[#This Row],[Township]]</f>
        <v>Maw La Myaing</v>
      </c>
      <c r="AM407" s="271" t="str">
        <f>Table4[[#This Row],[WholeSales]]</f>
        <v>Van Sales</v>
      </c>
      <c r="AN407" s="272" t="str">
        <f>Table4[[#This Row],[Particular]]</f>
        <v>လက်ဆောင်</v>
      </c>
      <c r="AO407" s="273" t="str">
        <f>Table4[[#This Row],[StockName]]</f>
        <v>ဒဂုံမန်ကျည်း ကော်ဘူး (1 Liter)</v>
      </c>
      <c r="AP407" s="268">
        <f>Table4[[#This Row],[Parking]]</f>
        <v>8.3333333333333329E-2</v>
      </c>
      <c r="AQ407" s="268">
        <f>Table4[[#This Row],[SalesBot]]</f>
        <v>1</v>
      </c>
      <c r="AR407" s="268">
        <f>Table4[[#This Row],[Liter]]</f>
        <v>1</v>
      </c>
    </row>
    <row r="408" spans="1:44" s="16" customFormat="1" hidden="1" x14ac:dyDescent="0.5">
      <c r="A408" s="3">
        <f t="shared" si="68"/>
        <v>2026</v>
      </c>
      <c r="B408" s="8">
        <f t="shared" si="69"/>
        <v>1</v>
      </c>
      <c r="C408" s="82">
        <v>46046</v>
      </c>
      <c r="D408" s="15">
        <f t="shared" ca="1" si="70"/>
        <v>46097</v>
      </c>
      <c r="E408" s="15" t="str">
        <f t="shared" ca="1" si="71"/>
        <v>1-Months</v>
      </c>
      <c r="F408" s="8" t="str">
        <f>VLOOKUP(N408,Stock[#Data],5,FALSE)</f>
        <v>BE</v>
      </c>
      <c r="G408" s="82" t="s">
        <v>1178</v>
      </c>
      <c r="H408" s="15" t="s">
        <v>439</v>
      </c>
      <c r="I408" s="7" t="s">
        <v>555</v>
      </c>
      <c r="J408" s="8" t="str">
        <f>VLOOKUP(I408,Customers[#Data],2,FALSE)</f>
        <v>အနဲကြီး</v>
      </c>
      <c r="K408" s="15" t="str">
        <f>VLOOKUP(I408,Customers[#Data],4,FALSE)</f>
        <v>Maw La Myaing</v>
      </c>
      <c r="L408" s="15" t="str">
        <f>VLOOKUP(I408,Customers[#Data],5,FALSE)</f>
        <v>Mini Whole Sales</v>
      </c>
      <c r="M408" s="7" t="s">
        <v>6</v>
      </c>
      <c r="N408" s="7" t="s">
        <v>522</v>
      </c>
      <c r="O408" s="14" t="str">
        <f>VLOOKUP(N408,Stock[#Data],2,FALSE)</f>
        <v>ဒဂုံမန်ကျည်း ကော်ဘူး (1 Liter)</v>
      </c>
      <c r="P408" s="44">
        <f>VLOOKUP(N408,Stock[#Data],3,FALSE)</f>
        <v>1</v>
      </c>
      <c r="Q408" s="3">
        <f>VLOOKUP(N408,Stock[#Data],4,FALSE)</f>
        <v>12</v>
      </c>
      <c r="R408" s="11"/>
      <c r="S408" s="45">
        <f>IFERROR(Table4[[#This Row],[Bottle]]/Table4[[#This Row],[ပါဝင်မှု]]+Table4[[#This Row],[SalesPK]],0)</f>
        <v>1</v>
      </c>
      <c r="T408" s="12">
        <v>1</v>
      </c>
      <c r="U408" s="10">
        <f>Table4[[#This Row],[ပါဝင်မှု]]*Table4[[#This Row],[SalesPK]]+Table4[[#This Row],[Bottle]]</f>
        <v>12</v>
      </c>
      <c r="V408" s="10">
        <f>Table4[[#This Row],[SalesBot]]*Table4[[#This Row],[ML]]</f>
        <v>12</v>
      </c>
      <c r="W408" s="1">
        <f>VLOOKUP(N408,Stock[#Data],6,FALSE)</f>
        <v>1600</v>
      </c>
      <c r="X408" s="8">
        <f>+Table4[[#This Row],[SalesBot]]*Table4[[#This Row],[နှုံး]]</f>
        <v>19200</v>
      </c>
      <c r="Y408" s="12"/>
      <c r="Z408" s="12"/>
      <c r="AA408" s="12"/>
      <c r="AB408" s="9"/>
      <c r="AC408" s="12"/>
      <c r="AD408" s="9"/>
      <c r="AE408" s="12"/>
      <c r="AF40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408" s="24"/>
      <c r="AH408" s="266">
        <f>Table4[[#This Row],[Date]]</f>
        <v>46046</v>
      </c>
      <c r="AI408" s="264" t="str">
        <f t="shared" si="72"/>
        <v>Jan</v>
      </c>
      <c r="AJ408" s="264" t="str">
        <f t="shared" si="73"/>
        <v>2026</v>
      </c>
      <c r="AK408" s="270" t="str">
        <f>Table4[[#This Row],[ကုန်သည်အမည်]]</f>
        <v>အနဲကြီး</v>
      </c>
      <c r="AL408" s="270" t="str">
        <f>Table4[[#This Row],[Township]]</f>
        <v>Maw La Myaing</v>
      </c>
      <c r="AM408" s="271" t="str">
        <f>Table4[[#This Row],[WholeSales]]</f>
        <v>Mini Whole Sales</v>
      </c>
      <c r="AN408" s="272" t="str">
        <f>Table4[[#This Row],[Particular]]</f>
        <v>ကုန်ရောင်း(လက်ငင်း)</v>
      </c>
      <c r="AO408" s="273" t="str">
        <f>Table4[[#This Row],[StockName]]</f>
        <v>ဒဂုံမန်ကျည်း ကော်ဘူး (1 Liter)</v>
      </c>
      <c r="AP408" s="268">
        <f>Table4[[#This Row],[Parking]]</f>
        <v>1</v>
      </c>
      <c r="AQ408" s="268">
        <f>Table4[[#This Row],[SalesBot]]</f>
        <v>12</v>
      </c>
      <c r="AR408" s="268">
        <f>Table4[[#This Row],[Liter]]</f>
        <v>12</v>
      </c>
    </row>
    <row r="409" spans="1:44" s="16" customFormat="1" hidden="1" x14ac:dyDescent="0.5">
      <c r="A409" s="3">
        <f t="shared" si="68"/>
        <v>2026</v>
      </c>
      <c r="B409" s="8">
        <f t="shared" si="69"/>
        <v>1</v>
      </c>
      <c r="C409" s="82">
        <v>46046</v>
      </c>
      <c r="D409" s="15">
        <f t="shared" ca="1" si="70"/>
        <v>46097</v>
      </c>
      <c r="E409" s="15" t="str">
        <f t="shared" ca="1" si="71"/>
        <v>1-Months</v>
      </c>
      <c r="F409" s="8" t="str">
        <f>VLOOKUP(N409,Stock[#Data],5,FALSE)</f>
        <v>BE</v>
      </c>
      <c r="G409" s="82" t="s">
        <v>1179</v>
      </c>
      <c r="H409" s="15" t="s">
        <v>439</v>
      </c>
      <c r="I409" s="7" t="s">
        <v>748</v>
      </c>
      <c r="J409" s="8" t="str">
        <f>VLOOKUP(I409,Customers[#Data],2,FALSE)</f>
        <v>KKK</v>
      </c>
      <c r="K409" s="15" t="str">
        <f>VLOOKUP(I409,Customers[#Data],4,FALSE)</f>
        <v>Maw La Myaing</v>
      </c>
      <c r="L409" s="15" t="str">
        <f>VLOOKUP(I409,Customers[#Data],5,FALSE)</f>
        <v>Van Sales</v>
      </c>
      <c r="M409" s="7" t="s">
        <v>6</v>
      </c>
      <c r="N409" s="7" t="s">
        <v>526</v>
      </c>
      <c r="O409" s="14" t="str">
        <f>VLOOKUP(N409,Stock[#Data],2,FALSE)</f>
        <v>ဒဂုံနာနတ်ဝိုင်</v>
      </c>
      <c r="P409" s="44">
        <f>VLOOKUP(N409,Stock[#Data],3,FALSE)</f>
        <v>0.64</v>
      </c>
      <c r="Q409" s="3">
        <f>VLOOKUP(N409,Stock[#Data],4,FALSE)</f>
        <v>14</v>
      </c>
      <c r="R409" s="11">
        <v>3</v>
      </c>
      <c r="S409" s="45">
        <f>IFERROR(Table4[[#This Row],[Bottle]]/Table4[[#This Row],[ပါဝင်မှု]]+Table4[[#This Row],[SalesPK]],0)</f>
        <v>0.21428571428571427</v>
      </c>
      <c r="T409" s="12"/>
      <c r="U409" s="10">
        <f>Table4[[#This Row],[ပါဝင်မှု]]*Table4[[#This Row],[SalesPK]]+Table4[[#This Row],[Bottle]]</f>
        <v>3</v>
      </c>
      <c r="V409" s="10">
        <f>Table4[[#This Row],[SalesBot]]*Table4[[#This Row],[ML]]</f>
        <v>1.92</v>
      </c>
      <c r="W409" s="1">
        <f>VLOOKUP(N409,Stock[#Data],6,FALSE)</f>
        <v>1350</v>
      </c>
      <c r="X409" s="8">
        <f>+Table4[[#This Row],[SalesBot]]*Table4[[#This Row],[နှုံး]]</f>
        <v>4050</v>
      </c>
      <c r="Y409" s="12"/>
      <c r="Z409" s="12"/>
      <c r="AA409" s="12"/>
      <c r="AB409" s="9"/>
      <c r="AC409" s="12"/>
      <c r="AD409" s="9"/>
      <c r="AE409" s="12"/>
      <c r="AF40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4050</v>
      </c>
      <c r="AG409" s="24"/>
      <c r="AH409" s="266">
        <f>Table4[[#This Row],[Date]]</f>
        <v>46046</v>
      </c>
      <c r="AI409" s="264" t="str">
        <f t="shared" si="72"/>
        <v>Jan</v>
      </c>
      <c r="AJ409" s="264" t="str">
        <f t="shared" si="73"/>
        <v>2026</v>
      </c>
      <c r="AK409" s="270" t="str">
        <f>Table4[[#This Row],[ကုန်သည်အမည်]]</f>
        <v>KKK</v>
      </c>
      <c r="AL409" s="270" t="str">
        <f>Table4[[#This Row],[Township]]</f>
        <v>Maw La Myaing</v>
      </c>
      <c r="AM409" s="271" t="str">
        <f>Table4[[#This Row],[WholeSales]]</f>
        <v>Van Sales</v>
      </c>
      <c r="AN409" s="272" t="str">
        <f>Table4[[#This Row],[Particular]]</f>
        <v>ကုန်ရောင်း(လက်ငင်း)</v>
      </c>
      <c r="AO409" s="273" t="str">
        <f>Table4[[#This Row],[StockName]]</f>
        <v>ဒဂုံနာနတ်ဝိုင်</v>
      </c>
      <c r="AP409" s="268">
        <f>Table4[[#This Row],[Parking]]</f>
        <v>0.21428571428571427</v>
      </c>
      <c r="AQ409" s="268">
        <f>Table4[[#This Row],[SalesBot]]</f>
        <v>3</v>
      </c>
      <c r="AR409" s="268">
        <f>Table4[[#This Row],[Liter]]</f>
        <v>1.92</v>
      </c>
    </row>
    <row r="410" spans="1:44" s="16" customFormat="1" hidden="1" x14ac:dyDescent="0.5">
      <c r="A410" s="3">
        <f t="shared" si="68"/>
        <v>2026</v>
      </c>
      <c r="B410" s="8">
        <f t="shared" si="69"/>
        <v>1</v>
      </c>
      <c r="C410" s="82">
        <v>46046</v>
      </c>
      <c r="D410" s="15">
        <f t="shared" ca="1" si="70"/>
        <v>46097</v>
      </c>
      <c r="E410" s="15" t="str">
        <f t="shared" ca="1" si="71"/>
        <v>1-Months</v>
      </c>
      <c r="F410" s="8" t="str">
        <f>VLOOKUP(N410,Stock[#Data],5,FALSE)</f>
        <v>BE</v>
      </c>
      <c r="G410" s="82" t="s">
        <v>1179</v>
      </c>
      <c r="H410" s="15" t="s">
        <v>439</v>
      </c>
      <c r="I410" s="7" t="s">
        <v>748</v>
      </c>
      <c r="J410" s="8" t="str">
        <f>VLOOKUP(I410,Customers[#Data],2,FALSE)</f>
        <v>KKK</v>
      </c>
      <c r="K410" s="15" t="str">
        <f>VLOOKUP(I410,Customers[#Data],4,FALSE)</f>
        <v>Maw La Myaing</v>
      </c>
      <c r="L410" s="15" t="str">
        <f>VLOOKUP(I410,Customers[#Data],5,FALSE)</f>
        <v>Van Sales</v>
      </c>
      <c r="M410" s="7" t="s">
        <v>6</v>
      </c>
      <c r="N410" s="7" t="s">
        <v>522</v>
      </c>
      <c r="O410" s="14" t="str">
        <f>VLOOKUP(N410,Stock[#Data],2,FALSE)</f>
        <v>ဒဂုံမန်ကျည်း ကော်ဘူး (1 Liter)</v>
      </c>
      <c r="P410" s="44">
        <f>VLOOKUP(N410,Stock[#Data],3,FALSE)</f>
        <v>1</v>
      </c>
      <c r="Q410" s="3">
        <f>VLOOKUP(N410,Stock[#Data],4,FALSE)</f>
        <v>12</v>
      </c>
      <c r="R410" s="11">
        <v>6</v>
      </c>
      <c r="S410" s="45">
        <f>IFERROR(Table4[[#This Row],[Bottle]]/Table4[[#This Row],[ပါဝင်မှု]]+Table4[[#This Row],[SalesPK]],0)</f>
        <v>0.5</v>
      </c>
      <c r="T410" s="12"/>
      <c r="U410" s="10">
        <f>Table4[[#This Row],[ပါဝင်မှု]]*Table4[[#This Row],[SalesPK]]+Table4[[#This Row],[Bottle]]</f>
        <v>6</v>
      </c>
      <c r="V410" s="10">
        <f>Table4[[#This Row],[SalesBot]]*Table4[[#This Row],[ML]]</f>
        <v>6</v>
      </c>
      <c r="W410" s="1">
        <f>VLOOKUP(N410,Stock[#Data],6,FALSE)</f>
        <v>1600</v>
      </c>
      <c r="X410" s="8">
        <f>+Table4[[#This Row],[SalesBot]]*Table4[[#This Row],[နှုံး]]</f>
        <v>9600</v>
      </c>
      <c r="Y410" s="12"/>
      <c r="Z410" s="12"/>
      <c r="AA410" s="12"/>
      <c r="AB410" s="9"/>
      <c r="AC410" s="12"/>
      <c r="AD410" s="9"/>
      <c r="AE410" s="12"/>
      <c r="AF41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9600</v>
      </c>
      <c r="AG410" s="24"/>
      <c r="AH410" s="266">
        <f>Table4[[#This Row],[Date]]</f>
        <v>46046</v>
      </c>
      <c r="AI410" s="264" t="str">
        <f t="shared" si="72"/>
        <v>Jan</v>
      </c>
      <c r="AJ410" s="264" t="str">
        <f t="shared" si="73"/>
        <v>2026</v>
      </c>
      <c r="AK410" s="270" t="str">
        <f>Table4[[#This Row],[ကုန်သည်အမည်]]</f>
        <v>KKK</v>
      </c>
      <c r="AL410" s="270" t="str">
        <f>Table4[[#This Row],[Township]]</f>
        <v>Maw La Myaing</v>
      </c>
      <c r="AM410" s="271" t="str">
        <f>Table4[[#This Row],[WholeSales]]</f>
        <v>Van Sales</v>
      </c>
      <c r="AN410" s="272" t="str">
        <f>Table4[[#This Row],[Particular]]</f>
        <v>ကုန်ရောင်း(လက်ငင်း)</v>
      </c>
      <c r="AO410" s="273" t="str">
        <f>Table4[[#This Row],[StockName]]</f>
        <v>ဒဂုံမန်ကျည်း ကော်ဘူး (1 Liter)</v>
      </c>
      <c r="AP410" s="268">
        <f>Table4[[#This Row],[Parking]]</f>
        <v>0.5</v>
      </c>
      <c r="AQ410" s="268">
        <f>Table4[[#This Row],[SalesBot]]</f>
        <v>6</v>
      </c>
      <c r="AR410" s="268">
        <f>Table4[[#This Row],[Liter]]</f>
        <v>6</v>
      </c>
    </row>
    <row r="411" spans="1:44" s="16" customFormat="1" hidden="1" x14ac:dyDescent="0.5">
      <c r="A411" s="3">
        <f t="shared" si="68"/>
        <v>2026</v>
      </c>
      <c r="B411" s="8">
        <f t="shared" si="69"/>
        <v>1</v>
      </c>
      <c r="C411" s="82">
        <v>46048</v>
      </c>
      <c r="D411" s="15">
        <f t="shared" ca="1" si="70"/>
        <v>46097</v>
      </c>
      <c r="E411" s="15" t="str">
        <f t="shared" ca="1" si="71"/>
        <v>1-Months</v>
      </c>
      <c r="F411" s="8" t="str">
        <f>VLOOKUP(N411,Stock[#Data],5,FALSE)</f>
        <v>BE</v>
      </c>
      <c r="G411" s="82" t="s">
        <v>1183</v>
      </c>
      <c r="H411" s="15" t="s">
        <v>126</v>
      </c>
      <c r="I411" s="7" t="s">
        <v>539</v>
      </c>
      <c r="J411" s="8" t="str">
        <f>VLOOKUP(I411,Customers[#Data],2,FALSE)</f>
        <v>၀င်းအောင်ရွှေ</v>
      </c>
      <c r="K411" s="15" t="str">
        <f>VLOOKUP(I411,Customers[#Data],4,FALSE)</f>
        <v>Hpa-an</v>
      </c>
      <c r="L411" s="15" t="str">
        <f>VLOOKUP(I411,Customers[#Data],5,FALSE)</f>
        <v>SemiWholeSales</v>
      </c>
      <c r="M411" s="7" t="s">
        <v>6</v>
      </c>
      <c r="N411" s="7" t="s">
        <v>517</v>
      </c>
      <c r="O411" s="14" t="str">
        <f>VLOOKUP(N411,Stock[#Data],2,FALSE)</f>
        <v>ဇေယျဝတီ Red (1 Liter) 30%</v>
      </c>
      <c r="P411" s="44">
        <f>VLOOKUP(N411,Stock[#Data],3,FALSE)</f>
        <v>1</v>
      </c>
      <c r="Q411" s="3">
        <f>VLOOKUP(N411,Stock[#Data],4,FALSE)</f>
        <v>12</v>
      </c>
      <c r="R411" s="11"/>
      <c r="S411" s="45">
        <f>IFERROR(Table4[[#This Row],[Bottle]]/Table4[[#This Row],[ပါဝင်မှု]]+Table4[[#This Row],[SalesPK]],0)</f>
        <v>50</v>
      </c>
      <c r="T411" s="12">
        <v>50</v>
      </c>
      <c r="U411" s="10">
        <f>Table4[[#This Row],[ပါဝင်မှု]]*Table4[[#This Row],[SalesPK]]+Table4[[#This Row],[Bottle]]</f>
        <v>600</v>
      </c>
      <c r="V411" s="10">
        <f>Table4[[#This Row],[SalesBot]]*Table4[[#This Row],[ML]]</f>
        <v>600</v>
      </c>
      <c r="W411" s="1">
        <f>VLOOKUP(N411,Stock[#Data],6,FALSE)</f>
        <v>1710</v>
      </c>
      <c r="X411" s="8">
        <f>+Table4[[#This Row],[SalesBot]]*Table4[[#This Row],[နှုံး]]</f>
        <v>1026000</v>
      </c>
      <c r="Y411" s="12"/>
      <c r="Z411" s="12"/>
      <c r="AA411" s="12"/>
      <c r="AB411" s="9"/>
      <c r="AC411" s="12"/>
      <c r="AD411" s="9"/>
      <c r="AE411" s="12"/>
      <c r="AF41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411" s="24"/>
      <c r="AH411" s="266">
        <f>Table4[[#This Row],[Date]]</f>
        <v>46048</v>
      </c>
      <c r="AI411" s="264" t="str">
        <f t="shared" si="72"/>
        <v>Jan</v>
      </c>
      <c r="AJ411" s="264" t="str">
        <f t="shared" si="73"/>
        <v>2026</v>
      </c>
      <c r="AK411" s="270" t="str">
        <f>Table4[[#This Row],[ကုန်သည်အမည်]]</f>
        <v>၀င်းအောင်ရွှေ</v>
      </c>
      <c r="AL411" s="270" t="str">
        <f>Table4[[#This Row],[Township]]</f>
        <v>Hpa-an</v>
      </c>
      <c r="AM411" s="271" t="str">
        <f>Table4[[#This Row],[WholeSales]]</f>
        <v>SemiWholeSales</v>
      </c>
      <c r="AN411" s="272" t="str">
        <f>Table4[[#This Row],[Particular]]</f>
        <v>ကုန်ရောင်း(လက်ငင်း)</v>
      </c>
      <c r="AO411" s="273" t="str">
        <f>Table4[[#This Row],[StockName]]</f>
        <v>ဇေယျဝတီ Red (1 Liter) 30%</v>
      </c>
      <c r="AP411" s="268">
        <f>Table4[[#This Row],[Parking]]</f>
        <v>50</v>
      </c>
      <c r="AQ411" s="268">
        <f>Table4[[#This Row],[SalesBot]]</f>
        <v>600</v>
      </c>
      <c r="AR411" s="268">
        <f>Table4[[#This Row],[Liter]]</f>
        <v>600</v>
      </c>
    </row>
    <row r="412" spans="1:44" s="16" customFormat="1" hidden="1" x14ac:dyDescent="0.5">
      <c r="A412" s="3">
        <f t="shared" si="68"/>
        <v>2026</v>
      </c>
      <c r="B412" s="8">
        <f t="shared" si="69"/>
        <v>1</v>
      </c>
      <c r="C412" s="82">
        <v>46048</v>
      </c>
      <c r="D412" s="15">
        <f t="shared" ca="1" si="70"/>
        <v>46097</v>
      </c>
      <c r="E412" s="15" t="str">
        <f t="shared" ca="1" si="71"/>
        <v>1-Months</v>
      </c>
      <c r="F412" s="8" t="str">
        <f>VLOOKUP(N412,Stock[#Data],5,FALSE)</f>
        <v>BE</v>
      </c>
      <c r="G412" s="82" t="s">
        <v>1184</v>
      </c>
      <c r="H412" s="15" t="s">
        <v>126</v>
      </c>
      <c r="I412" s="7" t="s">
        <v>548</v>
      </c>
      <c r="J412" s="8" t="str">
        <f>VLOOKUP(I412,Customers[#Data],2,FALSE)</f>
        <v>ဦးလှ၀င်း</v>
      </c>
      <c r="K412" s="15" t="str">
        <f>VLOOKUP(I412,Customers[#Data],4,FALSE)</f>
        <v>Hpa-an</v>
      </c>
      <c r="L412" s="15" t="str">
        <f>VLOOKUP(I412,Customers[#Data],5,FALSE)</f>
        <v>Mini Whole Sales</v>
      </c>
      <c r="M412" s="7" t="s">
        <v>6</v>
      </c>
      <c r="N412" s="7" t="s">
        <v>518</v>
      </c>
      <c r="O412" s="14" t="str">
        <f>VLOOKUP(N412,Stock[#Data],2,FALSE)</f>
        <v>"ဇေ" ကော်ဘူး (1 Liter)</v>
      </c>
      <c r="P412" s="44">
        <f>VLOOKUP(N412,Stock[#Data],3,FALSE)</f>
        <v>1</v>
      </c>
      <c r="Q412" s="3">
        <f>VLOOKUP(N412,Stock[#Data],4,FALSE)</f>
        <v>12</v>
      </c>
      <c r="R412" s="11"/>
      <c r="S412" s="45">
        <f>IFERROR(Table4[[#This Row],[Bottle]]/Table4[[#This Row],[ပါဝင်မှု]]+Table4[[#This Row],[SalesPK]],0)</f>
        <v>150</v>
      </c>
      <c r="T412" s="12">
        <v>150</v>
      </c>
      <c r="U412" s="10">
        <f>Table4[[#This Row],[ပါဝင်မှု]]*Table4[[#This Row],[SalesPK]]+Table4[[#This Row],[Bottle]]</f>
        <v>1800</v>
      </c>
      <c r="V412" s="10">
        <f>Table4[[#This Row],[SalesBot]]*Table4[[#This Row],[ML]]</f>
        <v>1800</v>
      </c>
      <c r="W412" s="1">
        <f>VLOOKUP(N412,Stock[#Data],6,FALSE)</f>
        <v>1675</v>
      </c>
      <c r="X412" s="8">
        <f>+Table4[[#This Row],[SalesBot]]*Table4[[#This Row],[နှုံး]]</f>
        <v>3015000</v>
      </c>
      <c r="Y412" s="12"/>
      <c r="Z412" s="12"/>
      <c r="AA412" s="12"/>
      <c r="AB412" s="9"/>
      <c r="AC412" s="12"/>
      <c r="AD412" s="9"/>
      <c r="AE412" s="12"/>
      <c r="AF41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3015000</v>
      </c>
      <c r="AG412" s="24"/>
      <c r="AH412" s="266">
        <f>Table4[[#This Row],[Date]]</f>
        <v>46048</v>
      </c>
      <c r="AI412" s="264" t="str">
        <f t="shared" si="72"/>
        <v>Jan</v>
      </c>
      <c r="AJ412" s="264" t="str">
        <f t="shared" si="73"/>
        <v>2026</v>
      </c>
      <c r="AK412" s="270" t="str">
        <f>Table4[[#This Row],[ကုန်သည်အမည်]]</f>
        <v>ဦးလှ၀င်း</v>
      </c>
      <c r="AL412" s="270" t="str">
        <f>Table4[[#This Row],[Township]]</f>
        <v>Hpa-an</v>
      </c>
      <c r="AM412" s="271" t="str">
        <f>Table4[[#This Row],[WholeSales]]</f>
        <v>Mini Whole Sales</v>
      </c>
      <c r="AN412" s="272" t="str">
        <f>Table4[[#This Row],[Particular]]</f>
        <v>ကုန်ရောင်း(လက်ငင်း)</v>
      </c>
      <c r="AO412" s="273" t="str">
        <f>Table4[[#This Row],[StockName]]</f>
        <v>"ဇေ" ကော်ဘူး (1 Liter)</v>
      </c>
      <c r="AP412" s="268">
        <f>Table4[[#This Row],[Parking]]</f>
        <v>150</v>
      </c>
      <c r="AQ412" s="268">
        <f>Table4[[#This Row],[SalesBot]]</f>
        <v>1800</v>
      </c>
      <c r="AR412" s="268">
        <f>Table4[[#This Row],[Liter]]</f>
        <v>1800</v>
      </c>
    </row>
    <row r="413" spans="1:44" s="16" customFormat="1" hidden="1" x14ac:dyDescent="0.5">
      <c r="A413" s="3">
        <f t="shared" si="68"/>
        <v>2026</v>
      </c>
      <c r="B413" s="8">
        <f t="shared" si="69"/>
        <v>1</v>
      </c>
      <c r="C413" s="82">
        <v>46048</v>
      </c>
      <c r="D413" s="15">
        <f t="shared" ca="1" si="70"/>
        <v>46097</v>
      </c>
      <c r="E413" s="15" t="str">
        <f t="shared" ca="1" si="71"/>
        <v>1-Months</v>
      </c>
      <c r="F413" s="8" t="str">
        <f>VLOOKUP(N413,Stock[#Data],5,FALSE)</f>
        <v>BE</v>
      </c>
      <c r="G413" s="82" t="s">
        <v>1185</v>
      </c>
      <c r="H413" s="15" t="s">
        <v>126</v>
      </c>
      <c r="I413" s="7" t="s">
        <v>1180</v>
      </c>
      <c r="J413" s="8" t="str">
        <f>VLOOKUP(I413,Customers[#Data],2,FALSE)</f>
        <v>စအောင်စန်း</v>
      </c>
      <c r="K413" s="15" t="str">
        <f>VLOOKUP(I413,Customers[#Data],4,FALSE)</f>
        <v>Hpa-an</v>
      </c>
      <c r="L413" s="15" t="str">
        <f>VLOOKUP(I413,Customers[#Data],5,FALSE)</f>
        <v>Van Sales</v>
      </c>
      <c r="M413" s="7" t="s">
        <v>6</v>
      </c>
      <c r="N413" s="7" t="s">
        <v>518</v>
      </c>
      <c r="O413" s="14" t="str">
        <f>VLOOKUP(N413,Stock[#Data],2,FALSE)</f>
        <v>"ဇေ" ကော်ဘူး (1 Liter)</v>
      </c>
      <c r="P413" s="44">
        <f>VLOOKUP(N413,Stock[#Data],3,FALSE)</f>
        <v>1</v>
      </c>
      <c r="Q413" s="3">
        <f>VLOOKUP(N413,Stock[#Data],4,FALSE)</f>
        <v>12</v>
      </c>
      <c r="R413" s="11"/>
      <c r="S413" s="45">
        <f>IFERROR(Table4[[#This Row],[Bottle]]/Table4[[#This Row],[ပါဝင်မှု]]+Table4[[#This Row],[SalesPK]],0)</f>
        <v>10</v>
      </c>
      <c r="T413" s="12">
        <v>10</v>
      </c>
      <c r="U413" s="10">
        <f>Table4[[#This Row],[ပါဝင်မှု]]*Table4[[#This Row],[SalesPK]]+Table4[[#This Row],[Bottle]]</f>
        <v>120</v>
      </c>
      <c r="V413" s="10">
        <f>Table4[[#This Row],[SalesBot]]*Table4[[#This Row],[ML]]</f>
        <v>120</v>
      </c>
      <c r="W413" s="1">
        <f>VLOOKUP(N413,Stock[#Data],6,FALSE)</f>
        <v>1675</v>
      </c>
      <c r="X413" s="8">
        <f>+Table4[[#This Row],[SalesBot]]*Table4[[#This Row],[နှုံး]]</f>
        <v>201000</v>
      </c>
      <c r="Y413" s="12"/>
      <c r="Z413" s="12"/>
      <c r="AA413" s="12"/>
      <c r="AB413" s="9"/>
      <c r="AC413" s="12"/>
      <c r="AD413" s="9"/>
      <c r="AE413" s="12"/>
      <c r="AF41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201000</v>
      </c>
      <c r="AG413" s="24"/>
      <c r="AH413" s="266">
        <f>Table4[[#This Row],[Date]]</f>
        <v>46048</v>
      </c>
      <c r="AI413" s="264" t="str">
        <f t="shared" si="72"/>
        <v>Jan</v>
      </c>
      <c r="AJ413" s="264" t="str">
        <f t="shared" si="73"/>
        <v>2026</v>
      </c>
      <c r="AK413" s="270" t="str">
        <f>Table4[[#This Row],[ကုန်သည်အမည်]]</f>
        <v>စအောင်စန်း</v>
      </c>
      <c r="AL413" s="270" t="str">
        <f>Table4[[#This Row],[Township]]</f>
        <v>Hpa-an</v>
      </c>
      <c r="AM413" s="271" t="str">
        <f>Table4[[#This Row],[WholeSales]]</f>
        <v>Van Sales</v>
      </c>
      <c r="AN413" s="272" t="str">
        <f>Table4[[#This Row],[Particular]]</f>
        <v>ကုန်ရောင်း(လက်ငင်း)</v>
      </c>
      <c r="AO413" s="273" t="str">
        <f>Table4[[#This Row],[StockName]]</f>
        <v>"ဇေ" ကော်ဘူး (1 Liter)</v>
      </c>
      <c r="AP413" s="268">
        <f>Table4[[#This Row],[Parking]]</f>
        <v>10</v>
      </c>
      <c r="AQ413" s="268">
        <f>Table4[[#This Row],[SalesBot]]</f>
        <v>120</v>
      </c>
      <c r="AR413" s="268">
        <f>Table4[[#This Row],[Liter]]</f>
        <v>120</v>
      </c>
    </row>
    <row r="414" spans="1:44" s="16" customFormat="1" hidden="1" x14ac:dyDescent="0.5">
      <c r="A414" s="3">
        <f t="shared" ref="A414:A458" si="74">YEAR(C414)</f>
        <v>2026</v>
      </c>
      <c r="B414" s="8">
        <f t="shared" ref="B414:B458" si="75">MONTH(C414)</f>
        <v>1</v>
      </c>
      <c r="C414" s="82">
        <v>46048</v>
      </c>
      <c r="D414" s="15">
        <f t="shared" ref="D414:D458" ca="1" si="76">TODAY()</f>
        <v>46097</v>
      </c>
      <c r="E414" s="15" t="str">
        <f t="shared" ref="E414:E458" ca="1" si="77">DATEDIF(C414,D414,"M")&amp;"-Months"</f>
        <v>1-Months</v>
      </c>
      <c r="F414" s="8" t="str">
        <f>VLOOKUP(N414,Stock[#Data],5,FALSE)</f>
        <v>BE</v>
      </c>
      <c r="G414" s="82" t="s">
        <v>1186</v>
      </c>
      <c r="H414" s="15"/>
      <c r="I414" s="7" t="s">
        <v>106</v>
      </c>
      <c r="J414" s="8" t="str">
        <f>VLOOKUP(I414,Customers[#Data],2,FALSE)</f>
        <v>ကိုမျိုးအောင်</v>
      </c>
      <c r="K414" s="15" t="str">
        <f>VLOOKUP(I414,Customers[#Data],4,FALSE)</f>
        <v>Maw La Myaing</v>
      </c>
      <c r="L414" s="15" t="str">
        <f>VLOOKUP(I414,Customers[#Data],5,FALSE)</f>
        <v>WholeSales</v>
      </c>
      <c r="M414" s="7" t="s">
        <v>6</v>
      </c>
      <c r="N414" s="7" t="s">
        <v>516</v>
      </c>
      <c r="O414" s="14" t="str">
        <f>VLOOKUP(N414,Stock[#Data],2,FALSE)</f>
        <v>ဇေ Vodka</v>
      </c>
      <c r="P414" s="44">
        <f>VLOOKUP(N414,Stock[#Data],3,FALSE)</f>
        <v>0.64</v>
      </c>
      <c r="Q414" s="3">
        <f>VLOOKUP(N414,Stock[#Data],4,FALSE)</f>
        <v>14</v>
      </c>
      <c r="R414" s="11"/>
      <c r="S414" s="45">
        <f>IFERROR(Table4[[#This Row],[Bottle]]/Table4[[#This Row],[ပါဝင်မှု]]+Table4[[#This Row],[SalesPK]],0)</f>
        <v>10</v>
      </c>
      <c r="T414" s="12">
        <v>10</v>
      </c>
      <c r="U414" s="10">
        <f>Table4[[#This Row],[ပါဝင်မှု]]*Table4[[#This Row],[SalesPK]]+Table4[[#This Row],[Bottle]]</f>
        <v>140</v>
      </c>
      <c r="V414" s="10">
        <f>Table4[[#This Row],[SalesBot]]*Table4[[#This Row],[ML]]</f>
        <v>89.600000000000009</v>
      </c>
      <c r="W414" s="1">
        <f>VLOOKUP(N414,Stock[#Data],6,FALSE)</f>
        <v>1400</v>
      </c>
      <c r="X414" s="8">
        <f>+Table4[[#This Row],[SalesBot]]*Table4[[#This Row],[နှုံး]]</f>
        <v>196000</v>
      </c>
      <c r="Y414" s="12"/>
      <c r="Z414" s="12"/>
      <c r="AA414" s="12"/>
      <c r="AB414" s="9"/>
      <c r="AC414" s="12"/>
      <c r="AD414" s="9"/>
      <c r="AE414" s="12"/>
      <c r="AF41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414" s="24"/>
      <c r="AH414" s="266">
        <f>Table4[[#This Row],[Date]]</f>
        <v>46048</v>
      </c>
      <c r="AI414" s="264" t="str">
        <f t="shared" si="72"/>
        <v>Jan</v>
      </c>
      <c r="AJ414" s="264" t="str">
        <f t="shared" si="73"/>
        <v>2026</v>
      </c>
      <c r="AK414" s="270" t="str">
        <f>Table4[[#This Row],[ကုန်သည်အမည်]]</f>
        <v>ကိုမျိုးအောင်</v>
      </c>
      <c r="AL414" s="270" t="str">
        <f>Table4[[#This Row],[Township]]</f>
        <v>Maw La Myaing</v>
      </c>
      <c r="AM414" s="271" t="str">
        <f>Table4[[#This Row],[WholeSales]]</f>
        <v>WholeSales</v>
      </c>
      <c r="AN414" s="272" t="str">
        <f>Table4[[#This Row],[Particular]]</f>
        <v>ကုန်ရောင်း(လက်ငင်း)</v>
      </c>
      <c r="AO414" s="273" t="str">
        <f>Table4[[#This Row],[StockName]]</f>
        <v>ဇေ Vodka</v>
      </c>
      <c r="AP414" s="268">
        <f>Table4[[#This Row],[Parking]]</f>
        <v>10</v>
      </c>
      <c r="AQ414" s="268">
        <f>Table4[[#This Row],[SalesBot]]</f>
        <v>140</v>
      </c>
      <c r="AR414" s="268">
        <f>Table4[[#This Row],[Liter]]</f>
        <v>89.600000000000009</v>
      </c>
    </row>
    <row r="415" spans="1:44" s="16" customFormat="1" hidden="1" x14ac:dyDescent="0.5">
      <c r="A415" s="3">
        <f t="shared" si="74"/>
        <v>2026</v>
      </c>
      <c r="B415" s="8">
        <f t="shared" si="75"/>
        <v>1</v>
      </c>
      <c r="C415" s="82">
        <v>46048</v>
      </c>
      <c r="D415" s="15">
        <f t="shared" ca="1" si="76"/>
        <v>46097</v>
      </c>
      <c r="E415" s="15" t="str">
        <f t="shared" ca="1" si="77"/>
        <v>1-Months</v>
      </c>
      <c r="F415" s="8" t="str">
        <f>VLOOKUP(N415,Stock[#Data],5,FALSE)</f>
        <v>BE</v>
      </c>
      <c r="G415" s="82" t="s">
        <v>1186</v>
      </c>
      <c r="H415" s="15"/>
      <c r="I415" s="7" t="s">
        <v>106</v>
      </c>
      <c r="J415" s="8" t="str">
        <f>VLOOKUP(I415,Customers[#Data],2,FALSE)</f>
        <v>ကိုမျိုးအောင်</v>
      </c>
      <c r="K415" s="15" t="str">
        <f>VLOOKUP(I415,Customers[#Data],4,FALSE)</f>
        <v>Maw La Myaing</v>
      </c>
      <c r="L415" s="15" t="str">
        <f>VLOOKUP(I415,Customers[#Data],5,FALSE)</f>
        <v>WholeSales</v>
      </c>
      <c r="M415" s="7" t="s">
        <v>6</v>
      </c>
      <c r="N415" s="7" t="s">
        <v>519</v>
      </c>
      <c r="O415" s="14" t="str">
        <f>VLOOKUP(N415,Stock[#Data],2,FALSE)</f>
        <v>ဇေယျဝတီ High 43%</v>
      </c>
      <c r="P415" s="44">
        <f>VLOOKUP(N415,Stock[#Data],3,FALSE)</f>
        <v>0.64</v>
      </c>
      <c r="Q415" s="3">
        <f>VLOOKUP(N415,Stock[#Data],4,FALSE)</f>
        <v>14</v>
      </c>
      <c r="R415" s="11"/>
      <c r="S415" s="45">
        <f>IFERROR(Table4[[#This Row],[Bottle]]/Table4[[#This Row],[ပါဝင်မှု]]+Table4[[#This Row],[SalesPK]],0)</f>
        <v>20</v>
      </c>
      <c r="T415" s="12">
        <v>20</v>
      </c>
      <c r="U415" s="10">
        <f>Table4[[#This Row],[ပါဝင်မှု]]*Table4[[#This Row],[SalesPK]]+Table4[[#This Row],[Bottle]]</f>
        <v>280</v>
      </c>
      <c r="V415" s="10">
        <f>Table4[[#This Row],[SalesBot]]*Table4[[#This Row],[ML]]</f>
        <v>179.20000000000002</v>
      </c>
      <c r="W415" s="1">
        <f>VLOOKUP(N415,Stock[#Data],6,FALSE)</f>
        <v>1500</v>
      </c>
      <c r="X415" s="8">
        <f>+Table4[[#This Row],[SalesBot]]*Table4[[#This Row],[နှုံး]]</f>
        <v>420000</v>
      </c>
      <c r="Y415" s="12"/>
      <c r="Z415" s="12"/>
      <c r="AA415" s="12"/>
      <c r="AB415" s="9"/>
      <c r="AC415" s="12"/>
      <c r="AD415" s="9"/>
      <c r="AE415" s="12"/>
      <c r="AF41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420000</v>
      </c>
      <c r="AG415" s="24"/>
      <c r="AH415" s="266">
        <f>Table4[[#This Row],[Date]]</f>
        <v>46048</v>
      </c>
      <c r="AI415" s="264" t="str">
        <f t="shared" si="72"/>
        <v>Jan</v>
      </c>
      <c r="AJ415" s="264" t="str">
        <f t="shared" si="73"/>
        <v>2026</v>
      </c>
      <c r="AK415" s="270" t="str">
        <f>Table4[[#This Row],[ကုန်သည်အမည်]]</f>
        <v>ကိုမျိုးအောင်</v>
      </c>
      <c r="AL415" s="270" t="str">
        <f>Table4[[#This Row],[Township]]</f>
        <v>Maw La Myaing</v>
      </c>
      <c r="AM415" s="271" t="str">
        <f>Table4[[#This Row],[WholeSales]]</f>
        <v>WholeSales</v>
      </c>
      <c r="AN415" s="272" t="str">
        <f>Table4[[#This Row],[Particular]]</f>
        <v>ကုန်ရောင်း(လက်ငင်း)</v>
      </c>
      <c r="AO415" s="273" t="str">
        <f>Table4[[#This Row],[StockName]]</f>
        <v>ဇေယျဝတီ High 43%</v>
      </c>
      <c r="AP415" s="268">
        <f>Table4[[#This Row],[Parking]]</f>
        <v>20</v>
      </c>
      <c r="AQ415" s="268">
        <f>Table4[[#This Row],[SalesBot]]</f>
        <v>280</v>
      </c>
      <c r="AR415" s="268">
        <f>Table4[[#This Row],[Liter]]</f>
        <v>179.20000000000002</v>
      </c>
    </row>
    <row r="416" spans="1:44" s="16" customFormat="1" hidden="1" x14ac:dyDescent="0.5">
      <c r="A416" s="3">
        <f t="shared" si="74"/>
        <v>2026</v>
      </c>
      <c r="B416" s="8">
        <f t="shared" si="75"/>
        <v>1</v>
      </c>
      <c r="C416" s="82">
        <v>46048</v>
      </c>
      <c r="D416" s="15">
        <f t="shared" ca="1" si="76"/>
        <v>46097</v>
      </c>
      <c r="E416" s="15" t="str">
        <f t="shared" ca="1" si="77"/>
        <v>1-Months</v>
      </c>
      <c r="F416" s="8" t="str">
        <f>VLOOKUP(N416,Stock[#Data],5,FALSE)</f>
        <v>BE</v>
      </c>
      <c r="G416" s="82" t="s">
        <v>1187</v>
      </c>
      <c r="H416" s="15"/>
      <c r="I416" s="7" t="s">
        <v>547</v>
      </c>
      <c r="J416" s="8" t="str">
        <f>VLOOKUP(I416,Customers[#Data],2,FALSE)</f>
        <v>ကံ့ကော်စတိုး</v>
      </c>
      <c r="K416" s="15" t="str">
        <f>VLOOKUP(I416,Customers[#Data],4,FALSE)</f>
        <v>Yay</v>
      </c>
      <c r="L416" s="15" t="str">
        <f>VLOOKUP(I416,Customers[#Data],5,FALSE)</f>
        <v>Mini Whole Sales</v>
      </c>
      <c r="M416" s="7" t="s">
        <v>6</v>
      </c>
      <c r="N416" s="7" t="s">
        <v>514</v>
      </c>
      <c r="O416" s="14" t="str">
        <f>VLOOKUP(N416,Stock[#Data],2,FALSE)</f>
        <v>ဇေယျဝတီ Red</v>
      </c>
      <c r="P416" s="44">
        <f>VLOOKUP(N416,Stock[#Data],3,FALSE)</f>
        <v>0.64</v>
      </c>
      <c r="Q416" s="3">
        <f>VLOOKUP(N416,Stock[#Data],4,FALSE)</f>
        <v>14</v>
      </c>
      <c r="R416" s="11"/>
      <c r="S416" s="45">
        <f>IFERROR(Table4[[#This Row],[Bottle]]/Table4[[#This Row],[ပါဝင်မှု]]+Table4[[#This Row],[SalesPK]],0)</f>
        <v>20</v>
      </c>
      <c r="T416" s="12">
        <v>20</v>
      </c>
      <c r="U416" s="10">
        <f>Table4[[#This Row],[ပါဝင်မှု]]*Table4[[#This Row],[SalesPK]]+Table4[[#This Row],[Bottle]]</f>
        <v>280</v>
      </c>
      <c r="V416" s="10">
        <f>Table4[[#This Row],[SalesBot]]*Table4[[#This Row],[ML]]</f>
        <v>179.20000000000002</v>
      </c>
      <c r="W416" s="1">
        <f>VLOOKUP(N416,Stock[#Data],6,FALSE)</f>
        <v>1350</v>
      </c>
      <c r="X416" s="8">
        <f>+Table4[[#This Row],[SalesBot]]*Table4[[#This Row],[နှုံး]]</f>
        <v>378000</v>
      </c>
      <c r="Y416" s="12"/>
      <c r="Z416" s="12"/>
      <c r="AA416" s="12"/>
      <c r="AB416" s="9"/>
      <c r="AC416" s="12"/>
      <c r="AD416" s="9"/>
      <c r="AE416" s="12"/>
      <c r="AF41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</v>
      </c>
      <c r="AG416" s="24"/>
      <c r="AH416" s="266">
        <f>Table4[[#This Row],[Date]]</f>
        <v>46048</v>
      </c>
      <c r="AI416" s="264" t="str">
        <f t="shared" si="72"/>
        <v>Jan</v>
      </c>
      <c r="AJ416" s="264" t="str">
        <f t="shared" si="73"/>
        <v>2026</v>
      </c>
      <c r="AK416" s="270" t="str">
        <f>Table4[[#This Row],[ကုန်သည်အမည်]]</f>
        <v>ကံ့ကော်စတိုး</v>
      </c>
      <c r="AL416" s="270" t="str">
        <f>Table4[[#This Row],[Township]]</f>
        <v>Yay</v>
      </c>
      <c r="AM416" s="271" t="str">
        <f>Table4[[#This Row],[WholeSales]]</f>
        <v>Mini Whole Sales</v>
      </c>
      <c r="AN416" s="272" t="str">
        <f>Table4[[#This Row],[Particular]]</f>
        <v>ကုန်ရောင်း(လက်ငင်း)</v>
      </c>
      <c r="AO416" s="273" t="str">
        <f>Table4[[#This Row],[StockName]]</f>
        <v>ဇေယျဝတီ Red</v>
      </c>
      <c r="AP416" s="268">
        <f>Table4[[#This Row],[Parking]]</f>
        <v>20</v>
      </c>
      <c r="AQ416" s="268">
        <f>Table4[[#This Row],[SalesBot]]</f>
        <v>280</v>
      </c>
      <c r="AR416" s="268">
        <f>Table4[[#This Row],[Liter]]</f>
        <v>179.20000000000002</v>
      </c>
    </row>
    <row r="417" spans="1:44" s="16" customFormat="1" hidden="1" x14ac:dyDescent="0.5">
      <c r="A417" s="3">
        <f t="shared" si="74"/>
        <v>2026</v>
      </c>
      <c r="B417" s="8">
        <f t="shared" si="75"/>
        <v>1</v>
      </c>
      <c r="C417" s="82">
        <v>46048</v>
      </c>
      <c r="D417" s="15">
        <f t="shared" ca="1" si="76"/>
        <v>46097</v>
      </c>
      <c r="E417" s="15" t="str">
        <f t="shared" ca="1" si="77"/>
        <v>1-Months</v>
      </c>
      <c r="F417" s="8" t="str">
        <f>VLOOKUP(N417,Stock[#Data],5,FALSE)</f>
        <v>BE</v>
      </c>
      <c r="G417" s="82" t="s">
        <v>1187</v>
      </c>
      <c r="H417" s="15"/>
      <c r="I417" s="7" t="s">
        <v>547</v>
      </c>
      <c r="J417" s="8" t="str">
        <f>VLOOKUP(I417,Customers[#Data],2,FALSE)</f>
        <v>ကံ့ကော်စတိုး</v>
      </c>
      <c r="K417" s="15" t="str">
        <f>VLOOKUP(I417,Customers[#Data],4,FALSE)</f>
        <v>Yay</v>
      </c>
      <c r="L417" s="15" t="str">
        <f>VLOOKUP(I417,Customers[#Data],5,FALSE)</f>
        <v>Mini Whole Sales</v>
      </c>
      <c r="M417" s="7" t="s">
        <v>6</v>
      </c>
      <c r="N417" s="7" t="s">
        <v>517</v>
      </c>
      <c r="O417" s="14" t="str">
        <f>VLOOKUP(N417,Stock[#Data],2,FALSE)</f>
        <v>ဇေယျဝတီ Red (1 Liter) 30%</v>
      </c>
      <c r="P417" s="44">
        <f>VLOOKUP(N417,Stock[#Data],3,FALSE)</f>
        <v>1</v>
      </c>
      <c r="Q417" s="3">
        <f>VLOOKUP(N417,Stock[#Data],4,FALSE)</f>
        <v>12</v>
      </c>
      <c r="R417" s="11"/>
      <c r="S417" s="45">
        <f>IFERROR(Table4[[#This Row],[Bottle]]/Table4[[#This Row],[ပါဝင်မှု]]+Table4[[#This Row],[SalesPK]],0)</f>
        <v>50</v>
      </c>
      <c r="T417" s="12">
        <v>50</v>
      </c>
      <c r="U417" s="10">
        <f>Table4[[#This Row],[ပါဝင်မှု]]*Table4[[#This Row],[SalesPK]]+Table4[[#This Row],[Bottle]]</f>
        <v>600</v>
      </c>
      <c r="V417" s="10">
        <f>Table4[[#This Row],[SalesBot]]*Table4[[#This Row],[ML]]</f>
        <v>600</v>
      </c>
      <c r="W417" s="1">
        <f>VLOOKUP(N417,Stock[#Data],6,FALSE)</f>
        <v>1710</v>
      </c>
      <c r="X417" s="8">
        <f>+Table4[[#This Row],[SalesBot]]*Table4[[#This Row],[နှုံး]]</f>
        <v>1026000</v>
      </c>
      <c r="Y417" s="12"/>
      <c r="Z417" s="12"/>
      <c r="AA417" s="12"/>
      <c r="AB417" s="9"/>
      <c r="AC417" s="12"/>
      <c r="AD417" s="9"/>
      <c r="AE417" s="12"/>
      <c r="AF41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417" s="24"/>
      <c r="AH417" s="266">
        <f>Table4[[#This Row],[Date]]</f>
        <v>46048</v>
      </c>
      <c r="AI417" s="264" t="str">
        <f t="shared" si="72"/>
        <v>Jan</v>
      </c>
      <c r="AJ417" s="264" t="str">
        <f t="shared" si="73"/>
        <v>2026</v>
      </c>
      <c r="AK417" s="270" t="str">
        <f>Table4[[#This Row],[ကုန်သည်အမည်]]</f>
        <v>ကံ့ကော်စတိုး</v>
      </c>
      <c r="AL417" s="270" t="str">
        <f>Table4[[#This Row],[Township]]</f>
        <v>Yay</v>
      </c>
      <c r="AM417" s="271" t="str">
        <f>Table4[[#This Row],[WholeSales]]</f>
        <v>Mini Whole Sales</v>
      </c>
      <c r="AN417" s="272" t="str">
        <f>Table4[[#This Row],[Particular]]</f>
        <v>ကုန်ရောင်း(လက်ငင်း)</v>
      </c>
      <c r="AO417" s="273" t="str">
        <f>Table4[[#This Row],[StockName]]</f>
        <v>ဇေယျဝတီ Red (1 Liter) 30%</v>
      </c>
      <c r="AP417" s="268">
        <f>Table4[[#This Row],[Parking]]</f>
        <v>50</v>
      </c>
      <c r="AQ417" s="268">
        <f>Table4[[#This Row],[SalesBot]]</f>
        <v>600</v>
      </c>
      <c r="AR417" s="268">
        <f>Table4[[#This Row],[Liter]]</f>
        <v>600</v>
      </c>
    </row>
    <row r="418" spans="1:44" s="16" customFormat="1" hidden="1" x14ac:dyDescent="0.5">
      <c r="A418" s="3">
        <f t="shared" si="74"/>
        <v>2026</v>
      </c>
      <c r="B418" s="8">
        <f t="shared" si="75"/>
        <v>1</v>
      </c>
      <c r="C418" s="82">
        <v>46048</v>
      </c>
      <c r="D418" s="15">
        <f t="shared" ca="1" si="76"/>
        <v>46097</v>
      </c>
      <c r="E418" s="15" t="str">
        <f t="shared" ca="1" si="77"/>
        <v>1-Months</v>
      </c>
      <c r="F418" s="8" t="str">
        <f>VLOOKUP(N418,Stock[#Data],5,FALSE)</f>
        <v>BE</v>
      </c>
      <c r="G418" s="82" t="s">
        <v>1188</v>
      </c>
      <c r="H418" s="15"/>
      <c r="I418" s="7" t="s">
        <v>99</v>
      </c>
      <c r="J418" s="8" t="str">
        <f>VLOOKUP(I418,Customers[#Data],2,FALSE)</f>
        <v>ကိုဇော်လင်းမြတ်</v>
      </c>
      <c r="K418" s="15" t="str">
        <f>VLOOKUP(I418,Customers[#Data],4,FALSE)</f>
        <v>Yay</v>
      </c>
      <c r="L418" s="15" t="str">
        <f>VLOOKUP(I418,Customers[#Data],5,FALSE)</f>
        <v>SemiWholeSales</v>
      </c>
      <c r="M418" s="7" t="s">
        <v>6</v>
      </c>
      <c r="N418" s="7" t="s">
        <v>517</v>
      </c>
      <c r="O418" s="14" t="str">
        <f>VLOOKUP(N418,Stock[#Data],2,FALSE)</f>
        <v>ဇေယျဝတီ Red (1 Liter) 30%</v>
      </c>
      <c r="P418" s="44">
        <f>VLOOKUP(N418,Stock[#Data],3,FALSE)</f>
        <v>1</v>
      </c>
      <c r="Q418" s="3">
        <f>VLOOKUP(N418,Stock[#Data],4,FALSE)</f>
        <v>12</v>
      </c>
      <c r="R418" s="11"/>
      <c r="S418" s="45">
        <f>IFERROR(Table4[[#This Row],[Bottle]]/Table4[[#This Row],[ပါဝင်မှု]]+Table4[[#This Row],[SalesPK]],0)</f>
        <v>50</v>
      </c>
      <c r="T418" s="12">
        <v>50</v>
      </c>
      <c r="U418" s="10">
        <f>Table4[[#This Row],[ပါဝင်မှု]]*Table4[[#This Row],[SalesPK]]+Table4[[#This Row],[Bottle]]</f>
        <v>600</v>
      </c>
      <c r="V418" s="10">
        <f>Table4[[#This Row],[SalesBot]]*Table4[[#This Row],[ML]]</f>
        <v>600</v>
      </c>
      <c r="W418" s="1">
        <f>VLOOKUP(N418,Stock[#Data],6,FALSE)</f>
        <v>1710</v>
      </c>
      <c r="X418" s="8">
        <f>+Table4[[#This Row],[SalesBot]]*Table4[[#This Row],[နှုံး]]</f>
        <v>1026000</v>
      </c>
      <c r="Y418" s="12"/>
      <c r="Z418" s="12"/>
      <c r="AA418" s="12"/>
      <c r="AB418" s="9"/>
      <c r="AC418" s="12"/>
      <c r="AD418" s="9"/>
      <c r="AE418" s="12"/>
      <c r="AF41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418" s="24"/>
      <c r="AH418" s="266">
        <f>Table4[[#This Row],[Date]]</f>
        <v>46048</v>
      </c>
      <c r="AI418" s="264" t="str">
        <f t="shared" si="72"/>
        <v>Jan</v>
      </c>
      <c r="AJ418" s="264" t="str">
        <f t="shared" si="73"/>
        <v>2026</v>
      </c>
      <c r="AK418" s="270" t="str">
        <f>Table4[[#This Row],[ကုန်သည်အမည်]]</f>
        <v>ကိုဇော်လင်းမြတ်</v>
      </c>
      <c r="AL418" s="270" t="str">
        <f>Table4[[#This Row],[Township]]</f>
        <v>Yay</v>
      </c>
      <c r="AM418" s="271" t="str">
        <f>Table4[[#This Row],[WholeSales]]</f>
        <v>SemiWholeSales</v>
      </c>
      <c r="AN418" s="272" t="str">
        <f>Table4[[#This Row],[Particular]]</f>
        <v>ကုန်ရောင်း(လက်ငင်း)</v>
      </c>
      <c r="AO418" s="273" t="str">
        <f>Table4[[#This Row],[StockName]]</f>
        <v>ဇေယျဝတီ Red (1 Liter) 30%</v>
      </c>
      <c r="AP418" s="268">
        <f>Table4[[#This Row],[Parking]]</f>
        <v>50</v>
      </c>
      <c r="AQ418" s="268">
        <f>Table4[[#This Row],[SalesBot]]</f>
        <v>600</v>
      </c>
      <c r="AR418" s="268">
        <f>Table4[[#This Row],[Liter]]</f>
        <v>600</v>
      </c>
    </row>
    <row r="419" spans="1:44" s="16" customFormat="1" hidden="1" x14ac:dyDescent="0.5">
      <c r="A419" s="3">
        <f t="shared" si="74"/>
        <v>2026</v>
      </c>
      <c r="B419" s="8">
        <f t="shared" si="75"/>
        <v>1</v>
      </c>
      <c r="C419" s="82">
        <v>46048</v>
      </c>
      <c r="D419" s="15">
        <f t="shared" ca="1" si="76"/>
        <v>46097</v>
      </c>
      <c r="E419" s="15" t="str">
        <f t="shared" ca="1" si="77"/>
        <v>1-Months</v>
      </c>
      <c r="F419" s="8" t="str">
        <f>VLOOKUP(N419,Stock[#Data],5,FALSE)</f>
        <v>BE</v>
      </c>
      <c r="G419" s="82" t="s">
        <v>1189</v>
      </c>
      <c r="H419" s="15"/>
      <c r="I419" s="7" t="s">
        <v>109</v>
      </c>
      <c r="J419" s="8" t="str">
        <f>VLOOKUP(I419,Customers[#Data],2,FALSE)</f>
        <v>ဦးမင်းလွင်</v>
      </c>
      <c r="K419" s="15" t="str">
        <f>VLOOKUP(I419,Customers[#Data],4,FALSE)</f>
        <v>Maw La Myaing</v>
      </c>
      <c r="L419" s="15" t="str">
        <f>VLOOKUP(I419,Customers[#Data],5,FALSE)</f>
        <v>WholeSales</v>
      </c>
      <c r="M419" s="7" t="s">
        <v>6</v>
      </c>
      <c r="N419" s="7" t="s">
        <v>521</v>
      </c>
      <c r="O419" s="14" t="str">
        <f>VLOOKUP(N419,Stock[#Data],2,FALSE)</f>
        <v>ဒဂုံအရက်သန့်</v>
      </c>
      <c r="P419" s="44">
        <f>VLOOKUP(N419,Stock[#Data],3,FALSE)</f>
        <v>0.64</v>
      </c>
      <c r="Q419" s="3">
        <f>VLOOKUP(N419,Stock[#Data],4,FALSE)</f>
        <v>24</v>
      </c>
      <c r="R419" s="11"/>
      <c r="S419" s="45">
        <f>IFERROR(Table4[[#This Row],[Bottle]]/Table4[[#This Row],[ပါဝင်မှု]]+Table4[[#This Row],[SalesPK]],0)</f>
        <v>30</v>
      </c>
      <c r="T419" s="12">
        <v>30</v>
      </c>
      <c r="U419" s="10">
        <f>Table4[[#This Row],[ပါဝင်မှု]]*Table4[[#This Row],[SalesPK]]+Table4[[#This Row],[Bottle]]</f>
        <v>720</v>
      </c>
      <c r="V419" s="10">
        <f>Table4[[#This Row],[SalesBot]]*Table4[[#This Row],[ML]]</f>
        <v>460.8</v>
      </c>
      <c r="W419" s="1">
        <f>VLOOKUP(N419,Stock[#Data],6,FALSE)</f>
        <v>1350</v>
      </c>
      <c r="X419" s="8">
        <f>+Table4[[#This Row],[SalesBot]]*Table4[[#This Row],[နှုံး]]</f>
        <v>972000</v>
      </c>
      <c r="Y419" s="12"/>
      <c r="Z419" s="12"/>
      <c r="AA419" s="12"/>
      <c r="AB419" s="9"/>
      <c r="AC419" s="12"/>
      <c r="AD419" s="9"/>
      <c r="AE419" s="12"/>
      <c r="AF41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972000</v>
      </c>
      <c r="AG419" s="24"/>
      <c r="AH419" s="266">
        <f>Table4[[#This Row],[Date]]</f>
        <v>46048</v>
      </c>
      <c r="AI419" s="264" t="str">
        <f t="shared" si="72"/>
        <v>Jan</v>
      </c>
      <c r="AJ419" s="264" t="str">
        <f t="shared" si="73"/>
        <v>2026</v>
      </c>
      <c r="AK419" s="270" t="str">
        <f>Table4[[#This Row],[ကုန်သည်အမည်]]</f>
        <v>ဦးမင်းလွင်</v>
      </c>
      <c r="AL419" s="270" t="str">
        <f>Table4[[#This Row],[Township]]</f>
        <v>Maw La Myaing</v>
      </c>
      <c r="AM419" s="271" t="str">
        <f>Table4[[#This Row],[WholeSales]]</f>
        <v>WholeSales</v>
      </c>
      <c r="AN419" s="272" t="str">
        <f>Table4[[#This Row],[Particular]]</f>
        <v>ကုန်ရောင်း(လက်ငင်း)</v>
      </c>
      <c r="AO419" s="273" t="str">
        <f>Table4[[#This Row],[StockName]]</f>
        <v>ဒဂုံအရက်သန့်</v>
      </c>
      <c r="AP419" s="268">
        <f>Table4[[#This Row],[Parking]]</f>
        <v>30</v>
      </c>
      <c r="AQ419" s="268">
        <f>Table4[[#This Row],[SalesBot]]</f>
        <v>720</v>
      </c>
      <c r="AR419" s="268">
        <f>Table4[[#This Row],[Liter]]</f>
        <v>460.8</v>
      </c>
    </row>
    <row r="420" spans="1:44" s="16" customFormat="1" hidden="1" x14ac:dyDescent="0.5">
      <c r="A420" s="3">
        <f t="shared" si="74"/>
        <v>2026</v>
      </c>
      <c r="B420" s="8">
        <f t="shared" si="75"/>
        <v>1</v>
      </c>
      <c r="C420" s="82">
        <v>46048</v>
      </c>
      <c r="D420" s="15">
        <f t="shared" ca="1" si="76"/>
        <v>46097</v>
      </c>
      <c r="E420" s="15" t="str">
        <f t="shared" ca="1" si="77"/>
        <v>1-Months</v>
      </c>
      <c r="F420" s="8" t="str">
        <f>VLOOKUP(N420,Stock[#Data],5,FALSE)</f>
        <v>BE</v>
      </c>
      <c r="G420" s="82" t="s">
        <v>1190</v>
      </c>
      <c r="H420" s="15"/>
      <c r="I420" s="7" t="s">
        <v>556</v>
      </c>
      <c r="J420" s="8" t="str">
        <f>VLOOKUP(I420,Customers[#Data],2,FALSE)</f>
        <v>ဒေါ်ကော</v>
      </c>
      <c r="K420" s="15" t="str">
        <f>VLOOKUP(I420,Customers[#Data],4,FALSE)</f>
        <v>Paung</v>
      </c>
      <c r="L420" s="15" t="str">
        <f>VLOOKUP(I420,Customers[#Data],5,FALSE)</f>
        <v>Van Sales</v>
      </c>
      <c r="M420" s="7" t="s">
        <v>6</v>
      </c>
      <c r="N420" s="7" t="s">
        <v>516</v>
      </c>
      <c r="O420" s="14" t="str">
        <f>VLOOKUP(N420,Stock[#Data],2,FALSE)</f>
        <v>ဇေ Vodka</v>
      </c>
      <c r="P420" s="44">
        <f>VLOOKUP(N420,Stock[#Data],3,FALSE)</f>
        <v>0.64</v>
      </c>
      <c r="Q420" s="3">
        <f>VLOOKUP(N420,Stock[#Data],4,FALSE)</f>
        <v>14</v>
      </c>
      <c r="R420" s="11"/>
      <c r="S420" s="45">
        <f>IFERROR(Table4[[#This Row],[Bottle]]/Table4[[#This Row],[ပါဝင်မှု]]+Table4[[#This Row],[SalesPK]],0)</f>
        <v>100</v>
      </c>
      <c r="T420" s="12">
        <v>100</v>
      </c>
      <c r="U420" s="10">
        <f>Table4[[#This Row],[ပါဝင်မှု]]*Table4[[#This Row],[SalesPK]]+Table4[[#This Row],[Bottle]]</f>
        <v>1400</v>
      </c>
      <c r="V420" s="10">
        <f>Table4[[#This Row],[SalesBot]]*Table4[[#This Row],[ML]]</f>
        <v>896</v>
      </c>
      <c r="W420" s="1">
        <f>VLOOKUP(N420,Stock[#Data],6,FALSE)</f>
        <v>1400</v>
      </c>
      <c r="X420" s="8">
        <f>+Table4[[#This Row],[SalesBot]]*Table4[[#This Row],[နှုံး]]</f>
        <v>1960000</v>
      </c>
      <c r="Y420" s="12"/>
      <c r="Z420" s="12"/>
      <c r="AA420" s="12"/>
      <c r="AB420" s="9"/>
      <c r="AC420" s="12"/>
      <c r="AD420" s="9"/>
      <c r="AE420" s="12"/>
      <c r="AF42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1960000</v>
      </c>
      <c r="AG420" s="24"/>
      <c r="AH420" s="266">
        <f>Table4[[#This Row],[Date]]</f>
        <v>46048</v>
      </c>
      <c r="AI420" s="264" t="str">
        <f t="shared" si="72"/>
        <v>Jan</v>
      </c>
      <c r="AJ420" s="264" t="str">
        <f t="shared" si="73"/>
        <v>2026</v>
      </c>
      <c r="AK420" s="270" t="str">
        <f>Table4[[#This Row],[ကုန်သည်အမည်]]</f>
        <v>ဒေါ်ကော</v>
      </c>
      <c r="AL420" s="270" t="str">
        <f>Table4[[#This Row],[Township]]</f>
        <v>Paung</v>
      </c>
      <c r="AM420" s="271" t="str">
        <f>Table4[[#This Row],[WholeSales]]</f>
        <v>Van Sales</v>
      </c>
      <c r="AN420" s="272" t="str">
        <f>Table4[[#This Row],[Particular]]</f>
        <v>ကုန်ရောင်း(လက်ငင်း)</v>
      </c>
      <c r="AO420" s="273" t="str">
        <f>Table4[[#This Row],[StockName]]</f>
        <v>ဇေ Vodka</v>
      </c>
      <c r="AP420" s="268">
        <f>Table4[[#This Row],[Parking]]</f>
        <v>100</v>
      </c>
      <c r="AQ420" s="268">
        <f>Table4[[#This Row],[SalesBot]]</f>
        <v>1400</v>
      </c>
      <c r="AR420" s="268">
        <f>Table4[[#This Row],[Liter]]</f>
        <v>896</v>
      </c>
    </row>
    <row r="421" spans="1:44" s="16" customFormat="1" hidden="1" x14ac:dyDescent="0.5">
      <c r="A421" s="3">
        <f t="shared" si="74"/>
        <v>2026</v>
      </c>
      <c r="B421" s="8">
        <f t="shared" si="75"/>
        <v>1</v>
      </c>
      <c r="C421" s="82">
        <v>46048</v>
      </c>
      <c r="D421" s="15">
        <f t="shared" ca="1" si="76"/>
        <v>46097</v>
      </c>
      <c r="E421" s="15" t="str">
        <f t="shared" ca="1" si="77"/>
        <v>1-Months</v>
      </c>
      <c r="F421" s="8" t="str">
        <f>VLOOKUP(N421,Stock[#Data],5,FALSE)</f>
        <v>BE</v>
      </c>
      <c r="G421" s="82" t="s">
        <v>1071</v>
      </c>
      <c r="H421" s="15"/>
      <c r="I421" s="7" t="s">
        <v>107</v>
      </c>
      <c r="J421" s="8" t="str">
        <f>VLOOKUP(I421,Customers[#Data],2,FALSE)</f>
        <v>မင်းမင်းထွန်း</v>
      </c>
      <c r="K421" s="15" t="str">
        <f>VLOOKUP(I421,Customers[#Data],4,FALSE)</f>
        <v>Paung</v>
      </c>
      <c r="L421" s="15" t="str">
        <f>VLOOKUP(I421,Customers[#Data],5,FALSE)</f>
        <v>Van Sales</v>
      </c>
      <c r="M421" s="7" t="s">
        <v>6</v>
      </c>
      <c r="N421" s="7" t="s">
        <v>516</v>
      </c>
      <c r="O421" s="14" t="str">
        <f>VLOOKUP(N421,Stock[#Data],2,FALSE)</f>
        <v>ဇေ Vodka</v>
      </c>
      <c r="P421" s="44">
        <f>VLOOKUP(N421,Stock[#Data],3,FALSE)</f>
        <v>0.64</v>
      </c>
      <c r="Q421" s="3">
        <f>VLOOKUP(N421,Stock[#Data],4,FALSE)</f>
        <v>14</v>
      </c>
      <c r="R421" s="11"/>
      <c r="S421" s="45">
        <f>IFERROR(Table4[[#This Row],[Bottle]]/Table4[[#This Row],[ပါဝင်မှု]]+Table4[[#This Row],[SalesPK]],0)</f>
        <v>10</v>
      </c>
      <c r="T421" s="12">
        <v>10</v>
      </c>
      <c r="U421" s="10">
        <f>Table4[[#This Row],[ပါဝင်မှု]]*Table4[[#This Row],[SalesPK]]+Table4[[#This Row],[Bottle]]</f>
        <v>140</v>
      </c>
      <c r="V421" s="10">
        <f>Table4[[#This Row],[SalesBot]]*Table4[[#This Row],[ML]]</f>
        <v>89.600000000000009</v>
      </c>
      <c r="W421" s="1">
        <f>VLOOKUP(N421,Stock[#Data],6,FALSE)</f>
        <v>1400</v>
      </c>
      <c r="X421" s="8">
        <f>+Table4[[#This Row],[SalesBot]]*Table4[[#This Row],[နှုံး]]</f>
        <v>196000</v>
      </c>
      <c r="Y421" s="12"/>
      <c r="Z421" s="12"/>
      <c r="AA421" s="12"/>
      <c r="AB421" s="9"/>
      <c r="AC421" s="12"/>
      <c r="AD421" s="9"/>
      <c r="AE421" s="12"/>
      <c r="AF42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421" s="24"/>
      <c r="AH421" s="266">
        <f>Table4[[#This Row],[Date]]</f>
        <v>46048</v>
      </c>
      <c r="AI421" s="264" t="str">
        <f t="shared" si="72"/>
        <v>Jan</v>
      </c>
      <c r="AJ421" s="264" t="str">
        <f t="shared" si="73"/>
        <v>2026</v>
      </c>
      <c r="AK421" s="270" t="str">
        <f>Table4[[#This Row],[ကုန်သည်အမည်]]</f>
        <v>မင်းမင်းထွန်း</v>
      </c>
      <c r="AL421" s="270" t="str">
        <f>Table4[[#This Row],[Township]]</f>
        <v>Paung</v>
      </c>
      <c r="AM421" s="271" t="str">
        <f>Table4[[#This Row],[WholeSales]]</f>
        <v>Van Sales</v>
      </c>
      <c r="AN421" s="272" t="str">
        <f>Table4[[#This Row],[Particular]]</f>
        <v>ကုန်ရောင်း(လက်ငင်း)</v>
      </c>
      <c r="AO421" s="273" t="str">
        <f>Table4[[#This Row],[StockName]]</f>
        <v>ဇေ Vodka</v>
      </c>
      <c r="AP421" s="268">
        <f>Table4[[#This Row],[Parking]]</f>
        <v>10</v>
      </c>
      <c r="AQ421" s="268">
        <f>Table4[[#This Row],[SalesBot]]</f>
        <v>140</v>
      </c>
      <c r="AR421" s="268">
        <f>Table4[[#This Row],[Liter]]</f>
        <v>89.600000000000009</v>
      </c>
    </row>
    <row r="422" spans="1:44" s="16" customFormat="1" hidden="1" x14ac:dyDescent="0.5">
      <c r="A422" s="3">
        <f t="shared" si="74"/>
        <v>2026</v>
      </c>
      <c r="B422" s="8">
        <f t="shared" si="75"/>
        <v>1</v>
      </c>
      <c r="C422" s="82">
        <v>46048</v>
      </c>
      <c r="D422" s="15">
        <f t="shared" ca="1" si="76"/>
        <v>46097</v>
      </c>
      <c r="E422" s="15" t="str">
        <f t="shared" ca="1" si="77"/>
        <v>1-Months</v>
      </c>
      <c r="F422" s="8" t="str">
        <f>VLOOKUP(N422,Stock[#Data],5,FALSE)</f>
        <v>BE</v>
      </c>
      <c r="G422" s="82" t="s">
        <v>1071</v>
      </c>
      <c r="H422" s="15"/>
      <c r="I422" s="7" t="s">
        <v>107</v>
      </c>
      <c r="J422" s="8" t="str">
        <f>VLOOKUP(I422,Customers[#Data],2,FALSE)</f>
        <v>မင်းမင်းထွန်း</v>
      </c>
      <c r="K422" s="15" t="str">
        <f>VLOOKUP(I422,Customers[#Data],4,FALSE)</f>
        <v>Paung</v>
      </c>
      <c r="L422" s="15" t="str">
        <f>VLOOKUP(I422,Customers[#Data],5,FALSE)</f>
        <v>Van Sales</v>
      </c>
      <c r="M422" s="7" t="s">
        <v>6</v>
      </c>
      <c r="N422" s="7" t="s">
        <v>520</v>
      </c>
      <c r="O422" s="14" t="str">
        <f>VLOOKUP(N422,Stock[#Data],2,FALSE)</f>
        <v>ဇေယျဝတီ  Red(ပု)</v>
      </c>
      <c r="P422" s="44">
        <f>VLOOKUP(N422,Stock[#Data],3,FALSE)</f>
        <v>0.64</v>
      </c>
      <c r="Q422" s="3">
        <f>VLOOKUP(N422,Stock[#Data],4,FALSE)</f>
        <v>14</v>
      </c>
      <c r="R422" s="11"/>
      <c r="S422" s="45">
        <f>IFERROR(Table4[[#This Row],[Bottle]]/Table4[[#This Row],[ပါဝင်မှု]]+Table4[[#This Row],[SalesPK]],0)</f>
        <v>10</v>
      </c>
      <c r="T422" s="12">
        <v>10</v>
      </c>
      <c r="U422" s="10">
        <f>Table4[[#This Row],[ပါဝင်မှု]]*Table4[[#This Row],[SalesPK]]+Table4[[#This Row],[Bottle]]</f>
        <v>140</v>
      </c>
      <c r="V422" s="10">
        <f>Table4[[#This Row],[SalesBot]]*Table4[[#This Row],[ML]]</f>
        <v>89.600000000000009</v>
      </c>
      <c r="W422" s="1">
        <f>VLOOKUP(N422,Stock[#Data],6,FALSE)</f>
        <v>1800</v>
      </c>
      <c r="X422" s="8">
        <f>+Table4[[#This Row],[SalesBot]]*Table4[[#This Row],[နှုံး]]</f>
        <v>252000</v>
      </c>
      <c r="Y422" s="12"/>
      <c r="Z422" s="12"/>
      <c r="AA422" s="12"/>
      <c r="AB422" s="9"/>
      <c r="AC422" s="12"/>
      <c r="AD422" s="9"/>
      <c r="AE422" s="12"/>
      <c r="AF42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252000</v>
      </c>
      <c r="AG422" s="24"/>
      <c r="AH422" s="266">
        <f>Table4[[#This Row],[Date]]</f>
        <v>46048</v>
      </c>
      <c r="AI422" s="264" t="str">
        <f t="shared" si="72"/>
        <v>Jan</v>
      </c>
      <c r="AJ422" s="264" t="str">
        <f t="shared" si="73"/>
        <v>2026</v>
      </c>
      <c r="AK422" s="270" t="str">
        <f>Table4[[#This Row],[ကုန်သည်အမည်]]</f>
        <v>မင်းမင်းထွန်း</v>
      </c>
      <c r="AL422" s="270" t="str">
        <f>Table4[[#This Row],[Township]]</f>
        <v>Paung</v>
      </c>
      <c r="AM422" s="271" t="str">
        <f>Table4[[#This Row],[WholeSales]]</f>
        <v>Van Sales</v>
      </c>
      <c r="AN422" s="272" t="str">
        <f>Table4[[#This Row],[Particular]]</f>
        <v>ကုန်ရောင်း(လက်ငင်း)</v>
      </c>
      <c r="AO422" s="273" t="str">
        <f>Table4[[#This Row],[StockName]]</f>
        <v>ဇေယျဝတီ  Red(ပု)</v>
      </c>
      <c r="AP422" s="268">
        <f>Table4[[#This Row],[Parking]]</f>
        <v>10</v>
      </c>
      <c r="AQ422" s="268">
        <f>Table4[[#This Row],[SalesBot]]</f>
        <v>140</v>
      </c>
      <c r="AR422" s="268">
        <f>Table4[[#This Row],[Liter]]</f>
        <v>89.600000000000009</v>
      </c>
    </row>
    <row r="423" spans="1:44" s="16" customFormat="1" hidden="1" x14ac:dyDescent="0.5">
      <c r="A423" s="3">
        <f t="shared" si="74"/>
        <v>2026</v>
      </c>
      <c r="B423" s="8">
        <f t="shared" si="75"/>
        <v>1</v>
      </c>
      <c r="C423" s="82">
        <v>46048</v>
      </c>
      <c r="D423" s="15">
        <f t="shared" ca="1" si="76"/>
        <v>46097</v>
      </c>
      <c r="E423" s="15" t="str">
        <f t="shared" ca="1" si="77"/>
        <v>1-Months</v>
      </c>
      <c r="F423" s="8" t="str">
        <f>VLOOKUP(N423,Stock[#Data],5,FALSE)</f>
        <v>BE</v>
      </c>
      <c r="G423" s="82" t="s">
        <v>1191</v>
      </c>
      <c r="H423" s="15"/>
      <c r="I423" s="7" t="s">
        <v>73</v>
      </c>
      <c r="J423" s="8" t="str">
        <f>VLOOKUP(I423,Customers[#Data],2,FALSE)</f>
        <v>M-City</v>
      </c>
      <c r="K423" s="15" t="str">
        <f>VLOOKUP(I423,Customers[#Data],4,FALSE)</f>
        <v>Paung</v>
      </c>
      <c r="L423" s="15" t="str">
        <f>VLOOKUP(I423,Customers[#Data],5,FALSE)</f>
        <v>Van Sales</v>
      </c>
      <c r="M423" s="7" t="s">
        <v>6</v>
      </c>
      <c r="N423" s="7" t="s">
        <v>516</v>
      </c>
      <c r="O423" s="14" t="str">
        <f>VLOOKUP(N423,Stock[#Data],2,FALSE)</f>
        <v>ဇေ Vodka</v>
      </c>
      <c r="P423" s="44">
        <f>VLOOKUP(N423,Stock[#Data],3,FALSE)</f>
        <v>0.64</v>
      </c>
      <c r="Q423" s="3">
        <f>VLOOKUP(N423,Stock[#Data],4,FALSE)</f>
        <v>14</v>
      </c>
      <c r="R423" s="11"/>
      <c r="S423" s="45">
        <f>IFERROR(Table4[[#This Row],[Bottle]]/Table4[[#This Row],[ပါဝင်မှု]]+Table4[[#This Row],[SalesPK]],0)</f>
        <v>5</v>
      </c>
      <c r="T423" s="12">
        <v>5</v>
      </c>
      <c r="U423" s="10">
        <f>Table4[[#This Row],[ပါဝင်မှု]]*Table4[[#This Row],[SalesPK]]+Table4[[#This Row],[Bottle]]</f>
        <v>70</v>
      </c>
      <c r="V423" s="10">
        <f>Table4[[#This Row],[SalesBot]]*Table4[[#This Row],[ML]]</f>
        <v>44.800000000000004</v>
      </c>
      <c r="W423" s="1">
        <f>VLOOKUP(N423,Stock[#Data],6,FALSE)</f>
        <v>1400</v>
      </c>
      <c r="X423" s="8">
        <f>+Table4[[#This Row],[SalesBot]]*Table4[[#This Row],[နှုံး]]</f>
        <v>98000</v>
      </c>
      <c r="Y423" s="12"/>
      <c r="Z423" s="12"/>
      <c r="AA423" s="12"/>
      <c r="AB423" s="9"/>
      <c r="AC423" s="12"/>
      <c r="AD423" s="9"/>
      <c r="AE423" s="12"/>
      <c r="AF42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</v>
      </c>
      <c r="AG423" s="24"/>
      <c r="AH423" s="266">
        <f>Table4[[#This Row],[Date]]</f>
        <v>46048</v>
      </c>
      <c r="AI423" s="264" t="str">
        <f t="shared" si="72"/>
        <v>Jan</v>
      </c>
      <c r="AJ423" s="264" t="str">
        <f t="shared" si="73"/>
        <v>2026</v>
      </c>
      <c r="AK423" s="270" t="str">
        <f>Table4[[#This Row],[ကုန်သည်အမည်]]</f>
        <v>M-City</v>
      </c>
      <c r="AL423" s="270" t="str">
        <f>Table4[[#This Row],[Township]]</f>
        <v>Paung</v>
      </c>
      <c r="AM423" s="271" t="str">
        <f>Table4[[#This Row],[WholeSales]]</f>
        <v>Van Sales</v>
      </c>
      <c r="AN423" s="272" t="str">
        <f>Table4[[#This Row],[Particular]]</f>
        <v>ကုန်ရောင်း(လက်ငင်း)</v>
      </c>
      <c r="AO423" s="273" t="str">
        <f>Table4[[#This Row],[StockName]]</f>
        <v>ဇေ Vodka</v>
      </c>
      <c r="AP423" s="268">
        <f>Table4[[#This Row],[Parking]]</f>
        <v>5</v>
      </c>
      <c r="AQ423" s="268">
        <f>Table4[[#This Row],[SalesBot]]</f>
        <v>70</v>
      </c>
      <c r="AR423" s="268">
        <f>Table4[[#This Row],[Liter]]</f>
        <v>44.800000000000004</v>
      </c>
    </row>
    <row r="424" spans="1:44" s="16" customFormat="1" hidden="1" x14ac:dyDescent="0.5">
      <c r="A424" s="3">
        <f t="shared" si="74"/>
        <v>2026</v>
      </c>
      <c r="B424" s="8">
        <f t="shared" si="75"/>
        <v>1</v>
      </c>
      <c r="C424" s="82">
        <v>46048</v>
      </c>
      <c r="D424" s="15">
        <f t="shared" ca="1" si="76"/>
        <v>46097</v>
      </c>
      <c r="E424" s="15" t="str">
        <f t="shared" ca="1" si="77"/>
        <v>1-Months</v>
      </c>
      <c r="F424" s="8" t="str">
        <f>VLOOKUP(N424,Stock[#Data],5,FALSE)</f>
        <v>BE</v>
      </c>
      <c r="G424" s="82" t="s">
        <v>1191</v>
      </c>
      <c r="H424" s="15"/>
      <c r="I424" s="7" t="s">
        <v>73</v>
      </c>
      <c r="J424" s="8" t="str">
        <f>VLOOKUP(I424,Customers[#Data],2,FALSE)</f>
        <v>M-City</v>
      </c>
      <c r="K424" s="15" t="str">
        <f>VLOOKUP(I424,Customers[#Data],4,FALSE)</f>
        <v>Paung</v>
      </c>
      <c r="L424" s="15" t="str">
        <f>VLOOKUP(I424,Customers[#Data],5,FALSE)</f>
        <v>Van Sales</v>
      </c>
      <c r="M424" s="7" t="s">
        <v>6</v>
      </c>
      <c r="N424" s="7" t="s">
        <v>515</v>
      </c>
      <c r="O424" s="14" t="str">
        <f>VLOOKUP(N424,Stock[#Data],2,FALSE)</f>
        <v>ဇေ Vodka</v>
      </c>
      <c r="P424" s="44">
        <f>VLOOKUP(N424,Stock[#Data],3,FALSE)</f>
        <v>0.7</v>
      </c>
      <c r="Q424" s="3">
        <f>VLOOKUP(N424,Stock[#Data],4,FALSE)</f>
        <v>12</v>
      </c>
      <c r="R424" s="11"/>
      <c r="S424" s="45">
        <f>IFERROR(Table4[[#This Row],[Bottle]]/Table4[[#This Row],[ပါဝင်မှု]]+Table4[[#This Row],[SalesPK]],0)</f>
        <v>3</v>
      </c>
      <c r="T424" s="12">
        <v>3</v>
      </c>
      <c r="U424" s="10">
        <f>Table4[[#This Row],[ပါဝင်မှု]]*Table4[[#This Row],[SalesPK]]+Table4[[#This Row],[Bottle]]</f>
        <v>36</v>
      </c>
      <c r="V424" s="10">
        <f>Table4[[#This Row],[SalesBot]]*Table4[[#This Row],[ML]]</f>
        <v>25.2</v>
      </c>
      <c r="W424" s="1">
        <f>VLOOKUP(N424,Stock[#Data],6,FALSE)</f>
        <v>2020</v>
      </c>
      <c r="X424" s="8">
        <f>+Table4[[#This Row],[SalesBot]]*Table4[[#This Row],[နှုံး]]</f>
        <v>72720</v>
      </c>
      <c r="Y424" s="12"/>
      <c r="Z424" s="12"/>
      <c r="AA424" s="12"/>
      <c r="AB424" s="9"/>
      <c r="AC424" s="12"/>
      <c r="AD424" s="9"/>
      <c r="AE424" s="12"/>
      <c r="AF42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72720</v>
      </c>
      <c r="AG424" s="24"/>
      <c r="AH424" s="266">
        <f>Table4[[#This Row],[Date]]</f>
        <v>46048</v>
      </c>
      <c r="AI424" s="264" t="str">
        <f t="shared" si="72"/>
        <v>Jan</v>
      </c>
      <c r="AJ424" s="264" t="str">
        <f t="shared" si="73"/>
        <v>2026</v>
      </c>
      <c r="AK424" s="270" t="str">
        <f>Table4[[#This Row],[ကုန်သည်အမည်]]</f>
        <v>M-City</v>
      </c>
      <c r="AL424" s="270" t="str">
        <f>Table4[[#This Row],[Township]]</f>
        <v>Paung</v>
      </c>
      <c r="AM424" s="271" t="str">
        <f>Table4[[#This Row],[WholeSales]]</f>
        <v>Van Sales</v>
      </c>
      <c r="AN424" s="272" t="str">
        <f>Table4[[#This Row],[Particular]]</f>
        <v>ကုန်ရောင်း(လက်ငင်း)</v>
      </c>
      <c r="AO424" s="273" t="str">
        <f>Table4[[#This Row],[StockName]]</f>
        <v>ဇေ Vodka</v>
      </c>
      <c r="AP424" s="268">
        <f>Table4[[#This Row],[Parking]]</f>
        <v>3</v>
      </c>
      <c r="AQ424" s="268">
        <f>Table4[[#This Row],[SalesBot]]</f>
        <v>36</v>
      </c>
      <c r="AR424" s="268">
        <f>Table4[[#This Row],[Liter]]</f>
        <v>25.2</v>
      </c>
    </row>
    <row r="425" spans="1:44" s="16" customFormat="1" hidden="1" x14ac:dyDescent="0.5">
      <c r="A425" s="3">
        <f t="shared" si="74"/>
        <v>2026</v>
      </c>
      <c r="B425" s="8">
        <f t="shared" si="75"/>
        <v>1</v>
      </c>
      <c r="C425" s="82">
        <v>46048</v>
      </c>
      <c r="D425" s="15">
        <f t="shared" ca="1" si="76"/>
        <v>46097</v>
      </c>
      <c r="E425" s="15" t="str">
        <f t="shared" ca="1" si="77"/>
        <v>1-Months</v>
      </c>
      <c r="F425" s="8" t="str">
        <f>VLOOKUP(N425,Stock[#Data],5,FALSE)</f>
        <v>BE</v>
      </c>
      <c r="G425" s="82" t="s">
        <v>1192</v>
      </c>
      <c r="H425" s="15"/>
      <c r="I425" s="7" t="s">
        <v>581</v>
      </c>
      <c r="J425" s="8" t="str">
        <f>VLOOKUP(I425,Customers[#Data],2,FALSE)</f>
        <v>ဦးဘုန်းမြင့်</v>
      </c>
      <c r="K425" s="15" t="str">
        <f>VLOOKUP(I425,Customers[#Data],4,FALSE)</f>
        <v>Paung</v>
      </c>
      <c r="L425" s="15" t="str">
        <f>VLOOKUP(I425,Customers[#Data],5,FALSE)</f>
        <v>Van Sales</v>
      </c>
      <c r="M425" s="7" t="s">
        <v>6</v>
      </c>
      <c r="N425" s="7" t="s">
        <v>516</v>
      </c>
      <c r="O425" s="14" t="str">
        <f>VLOOKUP(N425,Stock[#Data],2,FALSE)</f>
        <v>ဇေ Vodka</v>
      </c>
      <c r="P425" s="44">
        <f>VLOOKUP(N425,Stock[#Data],3,FALSE)</f>
        <v>0.64</v>
      </c>
      <c r="Q425" s="3">
        <f>VLOOKUP(N425,Stock[#Data],4,FALSE)</f>
        <v>14</v>
      </c>
      <c r="R425" s="11"/>
      <c r="S425" s="45">
        <f>IFERROR(Table4[[#This Row],[Bottle]]/Table4[[#This Row],[ပါဝင်မှု]]+Table4[[#This Row],[SalesPK]],0)</f>
        <v>25</v>
      </c>
      <c r="T425" s="12">
        <v>25</v>
      </c>
      <c r="U425" s="10">
        <f>Table4[[#This Row],[ပါဝင်မှု]]*Table4[[#This Row],[SalesPK]]+Table4[[#This Row],[Bottle]]</f>
        <v>350</v>
      </c>
      <c r="V425" s="10">
        <f>Table4[[#This Row],[SalesBot]]*Table4[[#This Row],[ML]]</f>
        <v>224</v>
      </c>
      <c r="W425" s="1">
        <f>VLOOKUP(N425,Stock[#Data],6,FALSE)</f>
        <v>1400</v>
      </c>
      <c r="X425" s="8">
        <f>+Table4[[#This Row],[SalesBot]]*Table4[[#This Row],[နှုံး]]</f>
        <v>490000</v>
      </c>
      <c r="Y425" s="12"/>
      <c r="Z425" s="12"/>
      <c r="AA425" s="12"/>
      <c r="AB425" s="9"/>
      <c r="AC425" s="12"/>
      <c r="AD425" s="9"/>
      <c r="AE425" s="12"/>
      <c r="AF42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490000</v>
      </c>
      <c r="AG425" s="24"/>
      <c r="AH425" s="266">
        <f>Table4[[#This Row],[Date]]</f>
        <v>46048</v>
      </c>
      <c r="AI425" s="264" t="str">
        <f t="shared" si="72"/>
        <v>Jan</v>
      </c>
      <c r="AJ425" s="264" t="str">
        <f t="shared" si="73"/>
        <v>2026</v>
      </c>
      <c r="AK425" s="270" t="str">
        <f>Table4[[#This Row],[ကုန်သည်အမည်]]</f>
        <v>ဦးဘုန်းမြင့်</v>
      </c>
      <c r="AL425" s="270" t="str">
        <f>Table4[[#This Row],[Township]]</f>
        <v>Paung</v>
      </c>
      <c r="AM425" s="271" t="str">
        <f>Table4[[#This Row],[WholeSales]]</f>
        <v>Van Sales</v>
      </c>
      <c r="AN425" s="272" t="str">
        <f>Table4[[#This Row],[Particular]]</f>
        <v>ကုန်ရောင်း(လက်ငင်း)</v>
      </c>
      <c r="AO425" s="273" t="str">
        <f>Table4[[#This Row],[StockName]]</f>
        <v>ဇေ Vodka</v>
      </c>
      <c r="AP425" s="268">
        <f>Table4[[#This Row],[Parking]]</f>
        <v>25</v>
      </c>
      <c r="AQ425" s="268">
        <f>Table4[[#This Row],[SalesBot]]</f>
        <v>350</v>
      </c>
      <c r="AR425" s="268">
        <f>Table4[[#This Row],[Liter]]</f>
        <v>224</v>
      </c>
    </row>
    <row r="426" spans="1:44" s="16" customFormat="1" hidden="1" x14ac:dyDescent="0.5">
      <c r="A426" s="3">
        <f t="shared" si="74"/>
        <v>2026</v>
      </c>
      <c r="B426" s="8">
        <f t="shared" si="75"/>
        <v>1</v>
      </c>
      <c r="C426" s="82">
        <v>46048</v>
      </c>
      <c r="D426" s="15">
        <f t="shared" ca="1" si="76"/>
        <v>46097</v>
      </c>
      <c r="E426" s="15" t="str">
        <f t="shared" ca="1" si="77"/>
        <v>1-Months</v>
      </c>
      <c r="F426" s="8" t="str">
        <f>VLOOKUP(N426,Stock[#Data],5,FALSE)</f>
        <v>BE</v>
      </c>
      <c r="G426" s="82" t="s">
        <v>1193</v>
      </c>
      <c r="H426" s="15"/>
      <c r="I426" s="7" t="s">
        <v>553</v>
      </c>
      <c r="J426" s="8" t="str">
        <f>VLOOKUP(I426,Customers[#Data],2,FALSE)</f>
        <v>ကိုမောင်ဦး</v>
      </c>
      <c r="K426" s="15" t="str">
        <f>VLOOKUP(I426,Customers[#Data],4,FALSE)</f>
        <v>Maw La Myaing</v>
      </c>
      <c r="L426" s="15" t="str">
        <f>VLOOKUP(I426,Customers[#Data],5,FALSE)</f>
        <v>Mini Whole Sales</v>
      </c>
      <c r="M426" s="7" t="s">
        <v>6</v>
      </c>
      <c r="N426" s="7" t="s">
        <v>516</v>
      </c>
      <c r="O426" s="14" t="str">
        <f>VLOOKUP(N426,Stock[#Data],2,FALSE)</f>
        <v>ဇေ Vodka</v>
      </c>
      <c r="P426" s="44">
        <f>VLOOKUP(N426,Stock[#Data],3,FALSE)</f>
        <v>0.64</v>
      </c>
      <c r="Q426" s="3">
        <f>VLOOKUP(N426,Stock[#Data],4,FALSE)</f>
        <v>14</v>
      </c>
      <c r="R426" s="11"/>
      <c r="S426" s="45">
        <f>IFERROR(Table4[[#This Row],[Bottle]]/Table4[[#This Row],[ပါဝင်မှု]]+Table4[[#This Row],[SalesPK]],0)</f>
        <v>10</v>
      </c>
      <c r="T426" s="12">
        <v>10</v>
      </c>
      <c r="U426" s="10">
        <f>Table4[[#This Row],[ပါဝင်မှု]]*Table4[[#This Row],[SalesPK]]+Table4[[#This Row],[Bottle]]</f>
        <v>140</v>
      </c>
      <c r="V426" s="10">
        <f>Table4[[#This Row],[SalesBot]]*Table4[[#This Row],[ML]]</f>
        <v>89.600000000000009</v>
      </c>
      <c r="W426" s="1">
        <f>VLOOKUP(N426,Stock[#Data],6,FALSE)</f>
        <v>1400</v>
      </c>
      <c r="X426" s="8">
        <f>+Table4[[#This Row],[SalesBot]]*Table4[[#This Row],[နှုံး]]</f>
        <v>196000</v>
      </c>
      <c r="Y426" s="12"/>
      <c r="Z426" s="12"/>
      <c r="AA426" s="12"/>
      <c r="AB426" s="9"/>
      <c r="AC426" s="12"/>
      <c r="AD426" s="9"/>
      <c r="AE426" s="12"/>
      <c r="AF42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426" s="24"/>
      <c r="AH426" s="266">
        <f>Table4[[#This Row],[Date]]</f>
        <v>46048</v>
      </c>
      <c r="AI426" s="264" t="str">
        <f t="shared" si="72"/>
        <v>Jan</v>
      </c>
      <c r="AJ426" s="264" t="str">
        <f t="shared" si="73"/>
        <v>2026</v>
      </c>
      <c r="AK426" s="270" t="str">
        <f>Table4[[#This Row],[ကုန်သည်အမည်]]</f>
        <v>ကိုမောင်ဦး</v>
      </c>
      <c r="AL426" s="270" t="str">
        <f>Table4[[#This Row],[Township]]</f>
        <v>Maw La Myaing</v>
      </c>
      <c r="AM426" s="271" t="str">
        <f>Table4[[#This Row],[WholeSales]]</f>
        <v>Mini Whole Sales</v>
      </c>
      <c r="AN426" s="272" t="str">
        <f>Table4[[#This Row],[Particular]]</f>
        <v>ကုန်ရောင်း(လက်ငင်း)</v>
      </c>
      <c r="AO426" s="273" t="str">
        <f>Table4[[#This Row],[StockName]]</f>
        <v>ဇေ Vodka</v>
      </c>
      <c r="AP426" s="268">
        <f>Table4[[#This Row],[Parking]]</f>
        <v>10</v>
      </c>
      <c r="AQ426" s="268">
        <f>Table4[[#This Row],[SalesBot]]</f>
        <v>140</v>
      </c>
      <c r="AR426" s="268">
        <f>Table4[[#This Row],[Liter]]</f>
        <v>89.600000000000009</v>
      </c>
    </row>
    <row r="427" spans="1:44" s="16" customFormat="1" hidden="1" x14ac:dyDescent="0.5">
      <c r="A427" s="3">
        <f t="shared" si="74"/>
        <v>2026</v>
      </c>
      <c r="B427" s="8">
        <f t="shared" si="75"/>
        <v>1</v>
      </c>
      <c r="C427" s="82">
        <v>46048</v>
      </c>
      <c r="D427" s="15">
        <f t="shared" ca="1" si="76"/>
        <v>46097</v>
      </c>
      <c r="E427" s="15" t="str">
        <f t="shared" ca="1" si="77"/>
        <v>1-Months</v>
      </c>
      <c r="F427" s="8" t="str">
        <f>VLOOKUP(N427,Stock[#Data],5,FALSE)</f>
        <v>BE</v>
      </c>
      <c r="G427" s="82" t="s">
        <v>1194</v>
      </c>
      <c r="H427" s="15"/>
      <c r="I427" s="7" t="s">
        <v>95</v>
      </c>
      <c r="J427" s="8" t="str">
        <f>VLOOKUP(I427,Customers[#Data],2,FALSE)</f>
        <v>ကျော်စတား</v>
      </c>
      <c r="K427" s="15" t="str">
        <f>VLOOKUP(I427,Customers[#Data],4,FALSE)</f>
        <v>Yay</v>
      </c>
      <c r="L427" s="15" t="str">
        <f>VLOOKUP(I427,Customers[#Data],5,FALSE)</f>
        <v>WholeSales</v>
      </c>
      <c r="M427" s="7" t="s">
        <v>7</v>
      </c>
      <c r="N427" s="7" t="s">
        <v>514</v>
      </c>
      <c r="O427" s="14" t="str">
        <f>VLOOKUP(N427,Stock[#Data],2,FALSE)</f>
        <v>ဇေယျဝတီ Red</v>
      </c>
      <c r="P427" s="44">
        <f>VLOOKUP(N427,Stock[#Data],3,FALSE)</f>
        <v>0.64</v>
      </c>
      <c r="Q427" s="3">
        <f>VLOOKUP(N427,Stock[#Data],4,FALSE)</f>
        <v>14</v>
      </c>
      <c r="R427" s="11"/>
      <c r="S427" s="45">
        <f>IFERROR(Table4[[#This Row],[Bottle]]/Table4[[#This Row],[ပါဝင်မှု]]+Table4[[#This Row],[SalesPK]],0)</f>
        <v>150</v>
      </c>
      <c r="T427" s="12">
        <v>150</v>
      </c>
      <c r="U427" s="10">
        <f>Table4[[#This Row],[ပါဝင်မှု]]*Table4[[#This Row],[SalesPK]]+Table4[[#This Row],[Bottle]]</f>
        <v>2100</v>
      </c>
      <c r="V427" s="10">
        <f>Table4[[#This Row],[SalesBot]]*Table4[[#This Row],[ML]]</f>
        <v>1344</v>
      </c>
      <c r="W427" s="1">
        <f>VLOOKUP(N427,Stock[#Data],6,FALSE)</f>
        <v>1350</v>
      </c>
      <c r="X427" s="8">
        <f>+Table4[[#This Row],[SalesBot]]*Table4[[#This Row],[နှုံး]]</f>
        <v>2835000</v>
      </c>
      <c r="Y427" s="12"/>
      <c r="Z427" s="12"/>
      <c r="AA427" s="12"/>
      <c r="AB427" s="9"/>
      <c r="AC427" s="12"/>
      <c r="AD427" s="9"/>
      <c r="AE427" s="12"/>
      <c r="AF42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2835000</v>
      </c>
      <c r="AG427" s="24"/>
      <c r="AH427" s="266">
        <f>Table4[[#This Row],[Date]]</f>
        <v>46048</v>
      </c>
      <c r="AI427" s="264" t="str">
        <f t="shared" si="72"/>
        <v>Jan</v>
      </c>
      <c r="AJ427" s="264" t="str">
        <f t="shared" si="73"/>
        <v>2026</v>
      </c>
      <c r="AK427" s="270" t="str">
        <f>Table4[[#This Row],[ကုန်သည်အမည်]]</f>
        <v>ကျော်စတား</v>
      </c>
      <c r="AL427" s="270" t="str">
        <f>Table4[[#This Row],[Township]]</f>
        <v>Yay</v>
      </c>
      <c r="AM427" s="271" t="str">
        <f>Table4[[#This Row],[WholeSales]]</f>
        <v>WholeSales</v>
      </c>
      <c r="AN427" s="272" t="str">
        <f>Table4[[#This Row],[Particular]]</f>
        <v>ကုန်ရောင်း(အကြွေး)</v>
      </c>
      <c r="AO427" s="273" t="str">
        <f>Table4[[#This Row],[StockName]]</f>
        <v>ဇေယျဝတီ Red</v>
      </c>
      <c r="AP427" s="268">
        <f>Table4[[#This Row],[Parking]]</f>
        <v>150</v>
      </c>
      <c r="AQ427" s="268">
        <f>Table4[[#This Row],[SalesBot]]</f>
        <v>2100</v>
      </c>
      <c r="AR427" s="268">
        <f>Table4[[#This Row],[Liter]]</f>
        <v>1344</v>
      </c>
    </row>
    <row r="428" spans="1:44" s="16" customFormat="1" hidden="1" x14ac:dyDescent="0.5">
      <c r="A428" s="3">
        <f t="shared" si="74"/>
        <v>2026</v>
      </c>
      <c r="B428" s="8">
        <f t="shared" si="75"/>
        <v>1</v>
      </c>
      <c r="C428" s="82">
        <v>46048</v>
      </c>
      <c r="D428" s="15">
        <f t="shared" ca="1" si="76"/>
        <v>46097</v>
      </c>
      <c r="E428" s="15" t="str">
        <f t="shared" ca="1" si="77"/>
        <v>1-Months</v>
      </c>
      <c r="F428" s="8" t="str">
        <f>VLOOKUP(N428,Stock[#Data],5,FALSE)</f>
        <v>BE</v>
      </c>
      <c r="G428" s="82" t="s">
        <v>1194</v>
      </c>
      <c r="H428" s="15"/>
      <c r="I428" s="7" t="s">
        <v>95</v>
      </c>
      <c r="J428" s="8" t="str">
        <f>VLOOKUP(I428,Customers[#Data],2,FALSE)</f>
        <v>ကျော်စတား</v>
      </c>
      <c r="K428" s="15" t="str">
        <f>VLOOKUP(I428,Customers[#Data],4,FALSE)</f>
        <v>Yay</v>
      </c>
      <c r="L428" s="15" t="str">
        <f>VLOOKUP(I428,Customers[#Data],5,FALSE)</f>
        <v>WholeSales</v>
      </c>
      <c r="M428" s="7" t="s">
        <v>7</v>
      </c>
      <c r="N428" s="7" t="s">
        <v>517</v>
      </c>
      <c r="O428" s="14" t="str">
        <f>VLOOKUP(N428,Stock[#Data],2,FALSE)</f>
        <v>ဇေယျဝတီ Red (1 Liter) 30%</v>
      </c>
      <c r="P428" s="44">
        <f>VLOOKUP(N428,Stock[#Data],3,FALSE)</f>
        <v>1</v>
      </c>
      <c r="Q428" s="3">
        <f>VLOOKUP(N428,Stock[#Data],4,FALSE)</f>
        <v>12</v>
      </c>
      <c r="R428" s="11"/>
      <c r="S428" s="45">
        <f>IFERROR(Table4[[#This Row],[Bottle]]/Table4[[#This Row],[ပါဝင်မှု]]+Table4[[#This Row],[SalesPK]],0)</f>
        <v>160</v>
      </c>
      <c r="T428" s="12">
        <v>160</v>
      </c>
      <c r="U428" s="10">
        <f>Table4[[#This Row],[ပါဝင်မှု]]*Table4[[#This Row],[SalesPK]]+Table4[[#This Row],[Bottle]]</f>
        <v>1920</v>
      </c>
      <c r="V428" s="10">
        <f>Table4[[#This Row],[SalesBot]]*Table4[[#This Row],[ML]]</f>
        <v>1920</v>
      </c>
      <c r="W428" s="1">
        <f>VLOOKUP(N428,Stock[#Data],6,FALSE)</f>
        <v>1710</v>
      </c>
      <c r="X428" s="8">
        <f>+Table4[[#This Row],[SalesBot]]*Table4[[#This Row],[နှုံး]]</f>
        <v>3283200</v>
      </c>
      <c r="Y428" s="12"/>
      <c r="Z428" s="12"/>
      <c r="AA428" s="12"/>
      <c r="AB428" s="9"/>
      <c r="AC428" s="12"/>
      <c r="AD428" s="9"/>
      <c r="AE428" s="12"/>
      <c r="AF42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3283200</v>
      </c>
      <c r="AG428" s="24"/>
      <c r="AH428" s="266">
        <f>Table4[[#This Row],[Date]]</f>
        <v>46048</v>
      </c>
      <c r="AI428" s="264" t="str">
        <f t="shared" si="72"/>
        <v>Jan</v>
      </c>
      <c r="AJ428" s="264" t="str">
        <f t="shared" si="73"/>
        <v>2026</v>
      </c>
      <c r="AK428" s="270" t="str">
        <f>Table4[[#This Row],[ကုန်သည်အမည်]]</f>
        <v>ကျော်စတား</v>
      </c>
      <c r="AL428" s="270" t="str">
        <f>Table4[[#This Row],[Township]]</f>
        <v>Yay</v>
      </c>
      <c r="AM428" s="271" t="str">
        <f>Table4[[#This Row],[WholeSales]]</f>
        <v>WholeSales</v>
      </c>
      <c r="AN428" s="272" t="str">
        <f>Table4[[#This Row],[Particular]]</f>
        <v>ကုန်ရောင်း(အကြွေး)</v>
      </c>
      <c r="AO428" s="273" t="str">
        <f>Table4[[#This Row],[StockName]]</f>
        <v>ဇေယျဝတီ Red (1 Liter) 30%</v>
      </c>
      <c r="AP428" s="268">
        <f>Table4[[#This Row],[Parking]]</f>
        <v>160</v>
      </c>
      <c r="AQ428" s="268">
        <f>Table4[[#This Row],[SalesBot]]</f>
        <v>1920</v>
      </c>
      <c r="AR428" s="268">
        <f>Table4[[#This Row],[Liter]]</f>
        <v>1920</v>
      </c>
    </row>
    <row r="429" spans="1:44" s="16" customFormat="1" hidden="1" x14ac:dyDescent="0.5">
      <c r="A429" s="3">
        <f t="shared" si="74"/>
        <v>2026</v>
      </c>
      <c r="B429" s="8">
        <f t="shared" si="75"/>
        <v>1</v>
      </c>
      <c r="C429" s="82">
        <v>46049</v>
      </c>
      <c r="D429" s="15">
        <f t="shared" ca="1" si="76"/>
        <v>46097</v>
      </c>
      <c r="E429" s="15" t="str">
        <f t="shared" ca="1" si="77"/>
        <v>1-Months</v>
      </c>
      <c r="F429" s="8" t="str">
        <f>VLOOKUP(N429,Stock[#Data],5,FALSE)</f>
        <v>BE</v>
      </c>
      <c r="G429" s="82" t="s">
        <v>1195</v>
      </c>
      <c r="H429" s="15"/>
      <c r="I429" s="7" t="s">
        <v>101</v>
      </c>
      <c r="J429" s="8" t="str">
        <f>VLOOKUP(I429,Customers[#Data],2,FALSE)</f>
        <v>ကိုမောင်+မသူဇာ</v>
      </c>
      <c r="K429" s="15" t="str">
        <f>VLOOKUP(I429,Customers[#Data],4,FALSE)</f>
        <v>Yay</v>
      </c>
      <c r="L429" s="15" t="str">
        <f>VLOOKUP(I429,Customers[#Data],5,FALSE)</f>
        <v>WholeSales</v>
      </c>
      <c r="M429" s="7" t="s">
        <v>7</v>
      </c>
      <c r="N429" s="7" t="s">
        <v>517</v>
      </c>
      <c r="O429" s="14" t="str">
        <f>VLOOKUP(N429,Stock[#Data],2,FALSE)</f>
        <v>ဇေယျဝတီ Red (1 Liter) 30%</v>
      </c>
      <c r="P429" s="44">
        <f>VLOOKUP(N429,Stock[#Data],3,FALSE)</f>
        <v>1</v>
      </c>
      <c r="Q429" s="3">
        <f>VLOOKUP(N429,Stock[#Data],4,FALSE)</f>
        <v>12</v>
      </c>
      <c r="R429" s="11"/>
      <c r="S429" s="45">
        <f>IFERROR(Table4[[#This Row],[Bottle]]/Table4[[#This Row],[ပါဝင်မှု]]+Table4[[#This Row],[SalesPK]],0)</f>
        <v>50</v>
      </c>
      <c r="T429" s="12">
        <v>50</v>
      </c>
      <c r="U429" s="10">
        <f>Table4[[#This Row],[ပါဝင်မှု]]*Table4[[#This Row],[SalesPK]]+Table4[[#This Row],[Bottle]]</f>
        <v>600</v>
      </c>
      <c r="V429" s="10">
        <f>Table4[[#This Row],[SalesBot]]*Table4[[#This Row],[ML]]</f>
        <v>600</v>
      </c>
      <c r="W429" s="1">
        <f>VLOOKUP(N429,Stock[#Data],6,FALSE)</f>
        <v>1710</v>
      </c>
      <c r="X429" s="8">
        <f>+Table4[[#This Row],[SalesBot]]*Table4[[#This Row],[နှုံး]]</f>
        <v>1026000</v>
      </c>
      <c r="Y429" s="12"/>
      <c r="Z429" s="12"/>
      <c r="AA429" s="12"/>
      <c r="AB429" s="9"/>
      <c r="AC429" s="12"/>
      <c r="AD429" s="9"/>
      <c r="AE429" s="12"/>
      <c r="AF42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429" s="24"/>
      <c r="AH429" s="266">
        <f>Table4[[#This Row],[Date]]</f>
        <v>46049</v>
      </c>
      <c r="AI429" s="264" t="str">
        <f t="shared" si="72"/>
        <v>Jan</v>
      </c>
      <c r="AJ429" s="264" t="str">
        <f t="shared" si="73"/>
        <v>2026</v>
      </c>
      <c r="AK429" s="270" t="str">
        <f>Table4[[#This Row],[ကုန်သည်အမည်]]</f>
        <v>ကိုမောင်+မသူဇာ</v>
      </c>
      <c r="AL429" s="270" t="str">
        <f>Table4[[#This Row],[Township]]</f>
        <v>Yay</v>
      </c>
      <c r="AM429" s="271" t="str">
        <f>Table4[[#This Row],[WholeSales]]</f>
        <v>WholeSales</v>
      </c>
      <c r="AN429" s="272" t="str">
        <f>Table4[[#This Row],[Particular]]</f>
        <v>ကုန်ရောင်း(အကြွေး)</v>
      </c>
      <c r="AO429" s="273" t="str">
        <f>Table4[[#This Row],[StockName]]</f>
        <v>ဇေယျဝတီ Red (1 Liter) 30%</v>
      </c>
      <c r="AP429" s="268">
        <f>Table4[[#This Row],[Parking]]</f>
        <v>50</v>
      </c>
      <c r="AQ429" s="268">
        <f>Table4[[#This Row],[SalesBot]]</f>
        <v>600</v>
      </c>
      <c r="AR429" s="268">
        <f>Table4[[#This Row],[Liter]]</f>
        <v>600</v>
      </c>
    </row>
    <row r="430" spans="1:44" s="16" customFormat="1" hidden="1" x14ac:dyDescent="0.5">
      <c r="A430" s="3">
        <f t="shared" ref="A430:A439" si="78">YEAR(C430)</f>
        <v>2026</v>
      </c>
      <c r="B430" s="8">
        <f t="shared" ref="B430:B439" si="79">MONTH(C430)</f>
        <v>1</v>
      </c>
      <c r="C430" s="82">
        <v>46049</v>
      </c>
      <c r="D430" s="15">
        <f t="shared" ref="D430:D439" ca="1" si="80">TODAY()</f>
        <v>46097</v>
      </c>
      <c r="E430" s="15" t="str">
        <f t="shared" ref="E430:E439" ca="1" si="81">DATEDIF(C430,D430,"M")&amp;"-Months"</f>
        <v>1-Months</v>
      </c>
      <c r="F430" s="8" t="str">
        <f>VLOOKUP(N430,Stock[#Data],5,FALSE)</f>
        <v>BE</v>
      </c>
      <c r="G430" s="82" t="s">
        <v>1196</v>
      </c>
      <c r="H430" s="15"/>
      <c r="I430" s="7" t="s">
        <v>542</v>
      </c>
      <c r="J430" s="8" t="str">
        <f>VLOOKUP(I430,Customers[#Data],2,FALSE)</f>
        <v>ကိုကျော်နိုင်စိုး</v>
      </c>
      <c r="K430" s="15" t="str">
        <f>VLOOKUP(I430,Customers[#Data],4,FALSE)</f>
        <v>Yay</v>
      </c>
      <c r="L430" s="15" t="str">
        <f>VLOOKUP(I430,Customers[#Data],5,FALSE)</f>
        <v>SemiWholeSales</v>
      </c>
      <c r="M430" s="7" t="s">
        <v>7</v>
      </c>
      <c r="N430" s="7" t="s">
        <v>517</v>
      </c>
      <c r="O430" s="14" t="str">
        <f>VLOOKUP(N430,Stock[#Data],2,FALSE)</f>
        <v>ဇေယျဝတီ Red (1 Liter) 30%</v>
      </c>
      <c r="P430" s="44">
        <f>VLOOKUP(N430,Stock[#Data],3,FALSE)</f>
        <v>1</v>
      </c>
      <c r="Q430" s="3">
        <f>VLOOKUP(N430,Stock[#Data],4,FALSE)</f>
        <v>12</v>
      </c>
      <c r="R430" s="11"/>
      <c r="S430" s="45">
        <f>IFERROR(Table4[[#This Row],[Bottle]]/Table4[[#This Row],[ပါဝင်မှု]]+Table4[[#This Row],[SalesPK]],0)</f>
        <v>300</v>
      </c>
      <c r="T430" s="12">
        <v>300</v>
      </c>
      <c r="U430" s="10">
        <f>Table4[[#This Row],[ပါဝင်မှု]]*Table4[[#This Row],[SalesPK]]+Table4[[#This Row],[Bottle]]</f>
        <v>3600</v>
      </c>
      <c r="V430" s="10">
        <f>Table4[[#This Row],[SalesBot]]*Table4[[#This Row],[ML]]</f>
        <v>3600</v>
      </c>
      <c r="W430" s="1">
        <f>VLOOKUP(N430,Stock[#Data],6,FALSE)</f>
        <v>1710</v>
      </c>
      <c r="X430" s="8">
        <f>+Table4[[#This Row],[SalesBot]]*Table4[[#This Row],[နှုံး]]</f>
        <v>6156000</v>
      </c>
      <c r="Y430" s="12"/>
      <c r="Z430" s="12"/>
      <c r="AA430" s="12"/>
      <c r="AB430" s="9"/>
      <c r="AC430" s="12"/>
      <c r="AD430" s="9"/>
      <c r="AE430" s="12"/>
      <c r="AF43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6156000</v>
      </c>
      <c r="AG430" s="24"/>
      <c r="AH430" s="266">
        <f>Table4[[#This Row],[Date]]</f>
        <v>46049</v>
      </c>
      <c r="AI430" s="264" t="str">
        <f t="shared" si="72"/>
        <v>Jan</v>
      </c>
      <c r="AJ430" s="264" t="str">
        <f t="shared" si="73"/>
        <v>2026</v>
      </c>
      <c r="AK430" s="270" t="str">
        <f>Table4[[#This Row],[ကုန်သည်အမည်]]</f>
        <v>ကိုကျော်နိုင်စိုး</v>
      </c>
      <c r="AL430" s="270" t="str">
        <f>Table4[[#This Row],[Township]]</f>
        <v>Yay</v>
      </c>
      <c r="AM430" s="271" t="str">
        <f>Table4[[#This Row],[WholeSales]]</f>
        <v>SemiWholeSales</v>
      </c>
      <c r="AN430" s="272" t="str">
        <f>Table4[[#This Row],[Particular]]</f>
        <v>ကုန်ရောင်း(အကြွေး)</v>
      </c>
      <c r="AO430" s="273" t="str">
        <f>Table4[[#This Row],[StockName]]</f>
        <v>ဇေယျဝတီ Red (1 Liter) 30%</v>
      </c>
      <c r="AP430" s="268">
        <f>Table4[[#This Row],[Parking]]</f>
        <v>300</v>
      </c>
      <c r="AQ430" s="268">
        <f>Table4[[#This Row],[SalesBot]]</f>
        <v>3600</v>
      </c>
      <c r="AR430" s="268">
        <f>Table4[[#This Row],[Liter]]</f>
        <v>3600</v>
      </c>
    </row>
    <row r="431" spans="1:44" s="16" customFormat="1" hidden="1" x14ac:dyDescent="0.5">
      <c r="A431" s="3">
        <f t="shared" si="78"/>
        <v>2026</v>
      </c>
      <c r="B431" s="8">
        <f t="shared" si="79"/>
        <v>1</v>
      </c>
      <c r="C431" s="82">
        <v>46049</v>
      </c>
      <c r="D431" s="15">
        <f t="shared" ca="1" si="80"/>
        <v>46097</v>
      </c>
      <c r="E431" s="15" t="str">
        <f t="shared" ca="1" si="81"/>
        <v>1-Months</v>
      </c>
      <c r="F431" s="8" t="str">
        <f>VLOOKUP(N431,Stock[#Data],5,FALSE)</f>
        <v>BE</v>
      </c>
      <c r="G431" s="82" t="s">
        <v>1197</v>
      </c>
      <c r="H431" s="15"/>
      <c r="I431" s="7" t="s">
        <v>95</v>
      </c>
      <c r="J431" s="8" t="str">
        <f>VLOOKUP(I431,Customers[#Data],2,FALSE)</f>
        <v>ကျော်စတား</v>
      </c>
      <c r="K431" s="15" t="str">
        <f>VLOOKUP(I431,Customers[#Data],4,FALSE)</f>
        <v>Yay</v>
      </c>
      <c r="L431" s="15" t="str">
        <f>VLOOKUP(I431,Customers[#Data],5,FALSE)</f>
        <v>WholeSales</v>
      </c>
      <c r="M431" s="7" t="s">
        <v>7</v>
      </c>
      <c r="N431" s="7" t="s">
        <v>514</v>
      </c>
      <c r="O431" s="14" t="str">
        <f>VLOOKUP(N431,Stock[#Data],2,FALSE)</f>
        <v>ဇေယျဝတီ Red</v>
      </c>
      <c r="P431" s="44">
        <f>VLOOKUP(N431,Stock[#Data],3,FALSE)</f>
        <v>0.64</v>
      </c>
      <c r="Q431" s="3">
        <f>VLOOKUP(N431,Stock[#Data],4,FALSE)</f>
        <v>14</v>
      </c>
      <c r="R431" s="11"/>
      <c r="S431" s="45">
        <f>IFERROR(Table4[[#This Row],[Bottle]]/Table4[[#This Row],[ပါဝင်မှု]]+Table4[[#This Row],[SalesPK]],0)</f>
        <v>50</v>
      </c>
      <c r="T431" s="12">
        <v>50</v>
      </c>
      <c r="U431" s="10">
        <f>Table4[[#This Row],[ပါဝင်မှု]]*Table4[[#This Row],[SalesPK]]+Table4[[#This Row],[Bottle]]</f>
        <v>700</v>
      </c>
      <c r="V431" s="10">
        <f>Table4[[#This Row],[SalesBot]]*Table4[[#This Row],[ML]]</f>
        <v>448</v>
      </c>
      <c r="W431" s="1">
        <f>VLOOKUP(N431,Stock[#Data],6,FALSE)</f>
        <v>1350</v>
      </c>
      <c r="X431" s="8">
        <f>+Table4[[#This Row],[SalesBot]]*Table4[[#This Row],[နှုံး]]</f>
        <v>945000</v>
      </c>
      <c r="Y431" s="12"/>
      <c r="Z431" s="12"/>
      <c r="AA431" s="12"/>
      <c r="AB431" s="9"/>
      <c r="AC431" s="12"/>
      <c r="AD431" s="9"/>
      <c r="AE431" s="12"/>
      <c r="AF43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431" s="24"/>
      <c r="AH431" s="266">
        <f>Table4[[#This Row],[Date]]</f>
        <v>46049</v>
      </c>
      <c r="AI431" s="264" t="str">
        <f t="shared" si="72"/>
        <v>Jan</v>
      </c>
      <c r="AJ431" s="264" t="str">
        <f t="shared" si="73"/>
        <v>2026</v>
      </c>
      <c r="AK431" s="270" t="str">
        <f>Table4[[#This Row],[ကုန်သည်အမည်]]</f>
        <v>ကျော်စတား</v>
      </c>
      <c r="AL431" s="270" t="str">
        <f>Table4[[#This Row],[Township]]</f>
        <v>Yay</v>
      </c>
      <c r="AM431" s="271" t="str">
        <f>Table4[[#This Row],[WholeSales]]</f>
        <v>WholeSales</v>
      </c>
      <c r="AN431" s="272" t="str">
        <f>Table4[[#This Row],[Particular]]</f>
        <v>ကုန်ရောင်း(အကြွေး)</v>
      </c>
      <c r="AO431" s="273" t="str">
        <f>Table4[[#This Row],[StockName]]</f>
        <v>ဇေယျဝတီ Red</v>
      </c>
      <c r="AP431" s="268">
        <f>Table4[[#This Row],[Parking]]</f>
        <v>50</v>
      </c>
      <c r="AQ431" s="268">
        <f>Table4[[#This Row],[SalesBot]]</f>
        <v>700</v>
      </c>
      <c r="AR431" s="268">
        <f>Table4[[#This Row],[Liter]]</f>
        <v>448</v>
      </c>
    </row>
    <row r="432" spans="1:44" s="16" customFormat="1" hidden="1" x14ac:dyDescent="0.5">
      <c r="A432" s="3">
        <f t="shared" si="78"/>
        <v>2026</v>
      </c>
      <c r="B432" s="8">
        <f t="shared" si="79"/>
        <v>1</v>
      </c>
      <c r="C432" s="82">
        <v>46049</v>
      </c>
      <c r="D432" s="15">
        <f t="shared" ca="1" si="80"/>
        <v>46097</v>
      </c>
      <c r="E432" s="15" t="str">
        <f t="shared" ca="1" si="81"/>
        <v>1-Months</v>
      </c>
      <c r="F432" s="8" t="str">
        <f>VLOOKUP(N432,Stock[#Data],5,FALSE)</f>
        <v>BE</v>
      </c>
      <c r="G432" s="82" t="s">
        <v>1197</v>
      </c>
      <c r="H432" s="15"/>
      <c r="I432" s="7" t="s">
        <v>95</v>
      </c>
      <c r="J432" s="8" t="str">
        <f>VLOOKUP(I432,Customers[#Data],2,FALSE)</f>
        <v>ကျော်စတား</v>
      </c>
      <c r="K432" s="15" t="str">
        <f>VLOOKUP(I432,Customers[#Data],4,FALSE)</f>
        <v>Yay</v>
      </c>
      <c r="L432" s="15" t="str">
        <f>VLOOKUP(I432,Customers[#Data],5,FALSE)</f>
        <v>WholeSales</v>
      </c>
      <c r="M432" s="7" t="s">
        <v>7</v>
      </c>
      <c r="N432" s="7" t="s">
        <v>517</v>
      </c>
      <c r="O432" s="14" t="str">
        <f>VLOOKUP(N432,Stock[#Data],2,FALSE)</f>
        <v>ဇေယျဝတီ Red (1 Liter) 30%</v>
      </c>
      <c r="P432" s="44">
        <f>VLOOKUP(N432,Stock[#Data],3,FALSE)</f>
        <v>1</v>
      </c>
      <c r="Q432" s="3">
        <f>VLOOKUP(N432,Stock[#Data],4,FALSE)</f>
        <v>12</v>
      </c>
      <c r="R432" s="11"/>
      <c r="S432" s="45">
        <f>IFERROR(Table4[[#This Row],[Bottle]]/Table4[[#This Row],[ပါဝင်မှု]]+Table4[[#This Row],[SalesPK]],0)</f>
        <v>120</v>
      </c>
      <c r="T432" s="12">
        <v>120</v>
      </c>
      <c r="U432" s="10">
        <f>Table4[[#This Row],[ပါဝင်မှု]]*Table4[[#This Row],[SalesPK]]+Table4[[#This Row],[Bottle]]</f>
        <v>1440</v>
      </c>
      <c r="V432" s="10">
        <f>Table4[[#This Row],[SalesBot]]*Table4[[#This Row],[ML]]</f>
        <v>1440</v>
      </c>
      <c r="W432" s="1">
        <f>VLOOKUP(N432,Stock[#Data],6,FALSE)</f>
        <v>1710</v>
      </c>
      <c r="X432" s="8">
        <f>+Table4[[#This Row],[SalesBot]]*Table4[[#This Row],[နှုံး]]</f>
        <v>2462400</v>
      </c>
      <c r="Y432" s="12"/>
      <c r="Z432" s="12"/>
      <c r="AA432" s="12"/>
      <c r="AB432" s="9"/>
      <c r="AC432" s="12"/>
      <c r="AD432" s="9"/>
      <c r="AE432" s="12"/>
      <c r="AF43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2462400</v>
      </c>
      <c r="AG432" s="24"/>
      <c r="AH432" s="266">
        <f>Table4[[#This Row],[Date]]</f>
        <v>46049</v>
      </c>
      <c r="AI432" s="264" t="str">
        <f t="shared" si="72"/>
        <v>Jan</v>
      </c>
      <c r="AJ432" s="264" t="str">
        <f t="shared" si="73"/>
        <v>2026</v>
      </c>
      <c r="AK432" s="270" t="str">
        <f>Table4[[#This Row],[ကုန်သည်အမည်]]</f>
        <v>ကျော်စတား</v>
      </c>
      <c r="AL432" s="270" t="str">
        <f>Table4[[#This Row],[Township]]</f>
        <v>Yay</v>
      </c>
      <c r="AM432" s="271" t="str">
        <f>Table4[[#This Row],[WholeSales]]</f>
        <v>WholeSales</v>
      </c>
      <c r="AN432" s="272" t="str">
        <f>Table4[[#This Row],[Particular]]</f>
        <v>ကုန်ရောင်း(အကြွေး)</v>
      </c>
      <c r="AO432" s="273" t="str">
        <f>Table4[[#This Row],[StockName]]</f>
        <v>ဇေယျဝတီ Red (1 Liter) 30%</v>
      </c>
      <c r="AP432" s="268">
        <f>Table4[[#This Row],[Parking]]</f>
        <v>120</v>
      </c>
      <c r="AQ432" s="268">
        <f>Table4[[#This Row],[SalesBot]]</f>
        <v>1440</v>
      </c>
      <c r="AR432" s="268">
        <f>Table4[[#This Row],[Liter]]</f>
        <v>1440</v>
      </c>
    </row>
    <row r="433" spans="1:44" s="16" customFormat="1" hidden="1" x14ac:dyDescent="0.5">
      <c r="A433" s="3">
        <f t="shared" si="78"/>
        <v>2026</v>
      </c>
      <c r="B433" s="8">
        <f t="shared" si="79"/>
        <v>1</v>
      </c>
      <c r="C433" s="82">
        <v>46049</v>
      </c>
      <c r="D433" s="15">
        <f t="shared" ca="1" si="80"/>
        <v>46097</v>
      </c>
      <c r="E433" s="15" t="str">
        <f t="shared" ca="1" si="81"/>
        <v>1-Months</v>
      </c>
      <c r="F433" s="8" t="str">
        <f>VLOOKUP(N433,Stock[#Data],5,FALSE)</f>
        <v>BE</v>
      </c>
      <c r="G433" s="82" t="s">
        <v>1198</v>
      </c>
      <c r="H433" s="15"/>
      <c r="I433" s="7" t="s">
        <v>800</v>
      </c>
      <c r="J433" s="8" t="str">
        <f>VLOOKUP(I433,Customers[#Data],2,FALSE)</f>
        <v>ဖိုးခွားလေး</v>
      </c>
      <c r="K433" s="15" t="str">
        <f>VLOOKUP(I433,Customers[#Data],4,FALSE)</f>
        <v>Mudon</v>
      </c>
      <c r="L433" s="15" t="str">
        <f>VLOOKUP(I433,Customers[#Data],5,FALSE)</f>
        <v>Van Sales</v>
      </c>
      <c r="M433" s="7" t="s">
        <v>6</v>
      </c>
      <c r="N433" s="7" t="s">
        <v>520</v>
      </c>
      <c r="O433" s="14" t="str">
        <f>VLOOKUP(N433,Stock[#Data],2,FALSE)</f>
        <v>ဇေယျဝတီ  Red(ပု)</v>
      </c>
      <c r="P433" s="44">
        <f>VLOOKUP(N433,Stock[#Data],3,FALSE)</f>
        <v>0.64</v>
      </c>
      <c r="Q433" s="3">
        <f>VLOOKUP(N433,Stock[#Data],4,FALSE)</f>
        <v>14</v>
      </c>
      <c r="R433" s="11"/>
      <c r="S433" s="45">
        <f>IFERROR(Table4[[#This Row],[Bottle]]/Table4[[#This Row],[ပါဝင်မှု]]+Table4[[#This Row],[SalesPK]],0)</f>
        <v>25</v>
      </c>
      <c r="T433" s="12">
        <v>25</v>
      </c>
      <c r="U433" s="10">
        <f>Table4[[#This Row],[ပါဝင်မှု]]*Table4[[#This Row],[SalesPK]]+Table4[[#This Row],[Bottle]]</f>
        <v>350</v>
      </c>
      <c r="V433" s="10">
        <f>Table4[[#This Row],[SalesBot]]*Table4[[#This Row],[ML]]</f>
        <v>224</v>
      </c>
      <c r="W433" s="1">
        <f>VLOOKUP(N433,Stock[#Data],6,FALSE)</f>
        <v>1800</v>
      </c>
      <c r="X433" s="8">
        <f>+Table4[[#This Row],[SalesBot]]*Table4[[#This Row],[နှုံး]]</f>
        <v>630000</v>
      </c>
      <c r="Y433" s="12"/>
      <c r="Z433" s="12"/>
      <c r="AA433" s="12"/>
      <c r="AB433" s="9"/>
      <c r="AC433" s="12"/>
      <c r="AD433" s="9"/>
      <c r="AE433" s="12"/>
      <c r="AF43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630000</v>
      </c>
      <c r="AG433" s="24"/>
      <c r="AH433" s="266">
        <f>Table4[[#This Row],[Date]]</f>
        <v>46049</v>
      </c>
      <c r="AI433" s="264" t="str">
        <f t="shared" si="72"/>
        <v>Jan</v>
      </c>
      <c r="AJ433" s="264" t="str">
        <f t="shared" si="73"/>
        <v>2026</v>
      </c>
      <c r="AK433" s="270" t="str">
        <f>Table4[[#This Row],[ကုန်သည်အမည်]]</f>
        <v>ဖိုးခွားလေး</v>
      </c>
      <c r="AL433" s="270" t="str">
        <f>Table4[[#This Row],[Township]]</f>
        <v>Mudon</v>
      </c>
      <c r="AM433" s="271" t="str">
        <f>Table4[[#This Row],[WholeSales]]</f>
        <v>Van Sales</v>
      </c>
      <c r="AN433" s="272" t="str">
        <f>Table4[[#This Row],[Particular]]</f>
        <v>ကုန်ရောင်း(လက်ငင်း)</v>
      </c>
      <c r="AO433" s="273" t="str">
        <f>Table4[[#This Row],[StockName]]</f>
        <v>ဇေယျဝတီ  Red(ပု)</v>
      </c>
      <c r="AP433" s="268">
        <f>Table4[[#This Row],[Parking]]</f>
        <v>25</v>
      </c>
      <c r="AQ433" s="268">
        <f>Table4[[#This Row],[SalesBot]]</f>
        <v>350</v>
      </c>
      <c r="AR433" s="268">
        <f>Table4[[#This Row],[Liter]]</f>
        <v>224</v>
      </c>
    </row>
    <row r="434" spans="1:44" s="16" customFormat="1" hidden="1" x14ac:dyDescent="0.5">
      <c r="A434" s="3">
        <f t="shared" si="78"/>
        <v>2026</v>
      </c>
      <c r="B434" s="8">
        <f t="shared" si="79"/>
        <v>1</v>
      </c>
      <c r="C434" s="82">
        <v>46049</v>
      </c>
      <c r="D434" s="15">
        <f t="shared" ca="1" si="80"/>
        <v>46097</v>
      </c>
      <c r="E434" s="15" t="str">
        <f t="shared" ca="1" si="81"/>
        <v>1-Months</v>
      </c>
      <c r="F434" s="8" t="str">
        <f>VLOOKUP(N434,Stock[#Data],5,FALSE)</f>
        <v>BE</v>
      </c>
      <c r="G434" s="82" t="s">
        <v>1199</v>
      </c>
      <c r="H434" s="15"/>
      <c r="I434" s="7" t="s">
        <v>546</v>
      </c>
      <c r="J434" s="8" t="str">
        <f>VLOOKUP(I434,Customers[#Data],2,FALSE)</f>
        <v>မသီတာ၀င်း</v>
      </c>
      <c r="K434" s="15" t="str">
        <f>VLOOKUP(I434,Customers[#Data],4,FALSE)</f>
        <v>Mudon</v>
      </c>
      <c r="L434" s="15" t="str">
        <f>VLOOKUP(I434,Customers[#Data],5,FALSE)</f>
        <v>SemiWholeSales</v>
      </c>
      <c r="M434" s="7" t="s">
        <v>6</v>
      </c>
      <c r="N434" s="7" t="s">
        <v>520</v>
      </c>
      <c r="O434" s="14" t="str">
        <f>VLOOKUP(N434,Stock[#Data],2,FALSE)</f>
        <v>ဇေယျဝတီ  Red(ပု)</v>
      </c>
      <c r="P434" s="44">
        <f>VLOOKUP(N434,Stock[#Data],3,FALSE)</f>
        <v>0.64</v>
      </c>
      <c r="Q434" s="3">
        <f>VLOOKUP(N434,Stock[#Data],4,FALSE)</f>
        <v>14</v>
      </c>
      <c r="R434" s="11"/>
      <c r="S434" s="45">
        <f>IFERROR(Table4[[#This Row],[Bottle]]/Table4[[#This Row],[ပါဝင်မှု]]+Table4[[#This Row],[SalesPK]],0)</f>
        <v>25</v>
      </c>
      <c r="T434" s="12">
        <v>25</v>
      </c>
      <c r="U434" s="10">
        <f>Table4[[#This Row],[ပါဝင်မှု]]*Table4[[#This Row],[SalesPK]]+Table4[[#This Row],[Bottle]]</f>
        <v>350</v>
      </c>
      <c r="V434" s="10">
        <f>Table4[[#This Row],[SalesBot]]*Table4[[#This Row],[ML]]</f>
        <v>224</v>
      </c>
      <c r="W434" s="1">
        <f>VLOOKUP(N434,Stock[#Data],6,FALSE)</f>
        <v>1800</v>
      </c>
      <c r="X434" s="8">
        <f>+Table4[[#This Row],[SalesBot]]*Table4[[#This Row],[နှုံး]]</f>
        <v>630000</v>
      </c>
      <c r="Y434" s="12"/>
      <c r="Z434" s="12"/>
      <c r="AA434" s="12"/>
      <c r="AB434" s="9"/>
      <c r="AC434" s="12"/>
      <c r="AD434" s="9"/>
      <c r="AE434" s="12"/>
      <c r="AF43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630000</v>
      </c>
      <c r="AG434" s="24"/>
      <c r="AH434" s="266">
        <f>Table4[[#This Row],[Date]]</f>
        <v>46049</v>
      </c>
      <c r="AI434" s="264" t="str">
        <f t="shared" si="72"/>
        <v>Jan</v>
      </c>
      <c r="AJ434" s="264" t="str">
        <f t="shared" si="73"/>
        <v>2026</v>
      </c>
      <c r="AK434" s="270" t="str">
        <f>Table4[[#This Row],[ကုန်သည်အမည်]]</f>
        <v>မသီတာ၀င်း</v>
      </c>
      <c r="AL434" s="270" t="str">
        <f>Table4[[#This Row],[Township]]</f>
        <v>Mudon</v>
      </c>
      <c r="AM434" s="271" t="str">
        <f>Table4[[#This Row],[WholeSales]]</f>
        <v>SemiWholeSales</v>
      </c>
      <c r="AN434" s="272" t="str">
        <f>Table4[[#This Row],[Particular]]</f>
        <v>ကုန်ရောင်း(လက်ငင်း)</v>
      </c>
      <c r="AO434" s="273" t="str">
        <f>Table4[[#This Row],[StockName]]</f>
        <v>ဇေယျဝတီ  Red(ပု)</v>
      </c>
      <c r="AP434" s="268">
        <f>Table4[[#This Row],[Parking]]</f>
        <v>25</v>
      </c>
      <c r="AQ434" s="268">
        <f>Table4[[#This Row],[SalesBot]]</f>
        <v>350</v>
      </c>
      <c r="AR434" s="268">
        <f>Table4[[#This Row],[Liter]]</f>
        <v>224</v>
      </c>
    </row>
    <row r="435" spans="1:44" s="16" customFormat="1" hidden="1" x14ac:dyDescent="0.5">
      <c r="A435" s="3">
        <f t="shared" si="78"/>
        <v>2026</v>
      </c>
      <c r="B435" s="8">
        <f t="shared" si="79"/>
        <v>1</v>
      </c>
      <c r="C435" s="82">
        <v>46049</v>
      </c>
      <c r="D435" s="15">
        <f t="shared" ca="1" si="80"/>
        <v>46097</v>
      </c>
      <c r="E435" s="15" t="str">
        <f t="shared" ca="1" si="81"/>
        <v>1-Months</v>
      </c>
      <c r="F435" s="8" t="str">
        <f>VLOOKUP(N435,Stock[#Data],5,FALSE)</f>
        <v>BE</v>
      </c>
      <c r="G435" s="82" t="s">
        <v>1200</v>
      </c>
      <c r="H435" s="15"/>
      <c r="I435" s="7" t="s">
        <v>552</v>
      </c>
      <c r="J435" s="8" t="str">
        <f>VLOOKUP(I435,Customers[#Data],2,FALSE)</f>
        <v>၀မ်းဒေါ်လာ</v>
      </c>
      <c r="K435" s="15" t="str">
        <f>VLOOKUP(I435,Customers[#Data],4,FALSE)</f>
        <v>Mudon</v>
      </c>
      <c r="L435" s="15" t="str">
        <f>VLOOKUP(I435,Customers[#Data],5,FALSE)</f>
        <v>Mini Whole Sales</v>
      </c>
      <c r="M435" s="7" t="s">
        <v>6</v>
      </c>
      <c r="N435" s="7" t="s">
        <v>520</v>
      </c>
      <c r="O435" s="14" t="str">
        <f>VLOOKUP(N435,Stock[#Data],2,FALSE)</f>
        <v>ဇေယျဝတီ  Red(ပု)</v>
      </c>
      <c r="P435" s="44">
        <f>VLOOKUP(N435,Stock[#Data],3,FALSE)</f>
        <v>0.64</v>
      </c>
      <c r="Q435" s="3">
        <f>VLOOKUP(N435,Stock[#Data],4,FALSE)</f>
        <v>14</v>
      </c>
      <c r="R435" s="11"/>
      <c r="S435" s="45">
        <f>IFERROR(Table4[[#This Row],[Bottle]]/Table4[[#This Row],[ပါဝင်မှု]]+Table4[[#This Row],[SalesPK]],0)</f>
        <v>25</v>
      </c>
      <c r="T435" s="12">
        <v>25</v>
      </c>
      <c r="U435" s="10">
        <f>Table4[[#This Row],[ပါဝင်မှု]]*Table4[[#This Row],[SalesPK]]+Table4[[#This Row],[Bottle]]</f>
        <v>350</v>
      </c>
      <c r="V435" s="10">
        <f>Table4[[#This Row],[SalesBot]]*Table4[[#This Row],[ML]]</f>
        <v>224</v>
      </c>
      <c r="W435" s="1">
        <f>VLOOKUP(N435,Stock[#Data],6,FALSE)</f>
        <v>1800</v>
      </c>
      <c r="X435" s="8">
        <f>+Table4[[#This Row],[SalesBot]]*Table4[[#This Row],[နှုံး]]</f>
        <v>630000</v>
      </c>
      <c r="Y435" s="12"/>
      <c r="Z435" s="12"/>
      <c r="AA435" s="12"/>
      <c r="AB435" s="9"/>
      <c r="AC435" s="12"/>
      <c r="AD435" s="9"/>
      <c r="AE435" s="12"/>
      <c r="AF43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630000</v>
      </c>
      <c r="AG435" s="24"/>
      <c r="AH435" s="266">
        <f>Table4[[#This Row],[Date]]</f>
        <v>46049</v>
      </c>
      <c r="AI435" s="264" t="str">
        <f t="shared" si="72"/>
        <v>Jan</v>
      </c>
      <c r="AJ435" s="264" t="str">
        <f t="shared" si="73"/>
        <v>2026</v>
      </c>
      <c r="AK435" s="270" t="str">
        <f>Table4[[#This Row],[ကုန်သည်အမည်]]</f>
        <v>၀မ်းဒေါ်လာ</v>
      </c>
      <c r="AL435" s="270" t="str">
        <f>Table4[[#This Row],[Township]]</f>
        <v>Mudon</v>
      </c>
      <c r="AM435" s="271" t="str">
        <f>Table4[[#This Row],[WholeSales]]</f>
        <v>Mini Whole Sales</v>
      </c>
      <c r="AN435" s="272" t="str">
        <f>Table4[[#This Row],[Particular]]</f>
        <v>ကုန်ရောင်း(လက်ငင်း)</v>
      </c>
      <c r="AO435" s="273" t="str">
        <f>Table4[[#This Row],[StockName]]</f>
        <v>ဇေယျဝတီ  Red(ပု)</v>
      </c>
      <c r="AP435" s="268">
        <f>Table4[[#This Row],[Parking]]</f>
        <v>25</v>
      </c>
      <c r="AQ435" s="268">
        <f>Table4[[#This Row],[SalesBot]]</f>
        <v>350</v>
      </c>
      <c r="AR435" s="268">
        <f>Table4[[#This Row],[Liter]]</f>
        <v>224</v>
      </c>
    </row>
    <row r="436" spans="1:44" s="16" customFormat="1" hidden="1" x14ac:dyDescent="0.5">
      <c r="A436" s="3">
        <f t="shared" si="78"/>
        <v>2026</v>
      </c>
      <c r="B436" s="8">
        <f t="shared" si="79"/>
        <v>1</v>
      </c>
      <c r="C436" s="82">
        <v>46049</v>
      </c>
      <c r="D436" s="15">
        <f t="shared" ca="1" si="80"/>
        <v>46097</v>
      </c>
      <c r="E436" s="15" t="str">
        <f t="shared" ca="1" si="81"/>
        <v>1-Months</v>
      </c>
      <c r="F436" s="8" t="str">
        <f>VLOOKUP(N436,Stock[#Data],5,FALSE)</f>
        <v>BE</v>
      </c>
      <c r="G436" s="82" t="s">
        <v>1201</v>
      </c>
      <c r="H436" s="15"/>
      <c r="I436" s="7" t="s">
        <v>541</v>
      </c>
      <c r="J436" s="8" t="str">
        <f>VLOOKUP(I436,Customers[#Data],2,FALSE)</f>
        <v>ကိုကျော်ရွှေ</v>
      </c>
      <c r="K436" s="15" t="str">
        <f>VLOOKUP(I436,Customers[#Data],4,FALSE)</f>
        <v>Mudon</v>
      </c>
      <c r="L436" s="15" t="str">
        <f>VLOOKUP(I436,Customers[#Data],5,FALSE)</f>
        <v>SemiWholeSales</v>
      </c>
      <c r="M436" s="7" t="s">
        <v>6</v>
      </c>
      <c r="N436" s="7" t="s">
        <v>520</v>
      </c>
      <c r="O436" s="14" t="str">
        <f>VLOOKUP(N436,Stock[#Data],2,FALSE)</f>
        <v>ဇေယျဝတီ  Red(ပု)</v>
      </c>
      <c r="P436" s="44">
        <f>VLOOKUP(N436,Stock[#Data],3,FALSE)</f>
        <v>0.64</v>
      </c>
      <c r="Q436" s="3">
        <f>VLOOKUP(N436,Stock[#Data],4,FALSE)</f>
        <v>14</v>
      </c>
      <c r="R436" s="11"/>
      <c r="S436" s="45">
        <f>IFERROR(Table4[[#This Row],[Bottle]]/Table4[[#This Row],[ပါဝင်မှု]]+Table4[[#This Row],[SalesPK]],0)</f>
        <v>50</v>
      </c>
      <c r="T436" s="12">
        <v>50</v>
      </c>
      <c r="U436" s="10">
        <f>Table4[[#This Row],[ပါဝင်မှု]]*Table4[[#This Row],[SalesPK]]+Table4[[#This Row],[Bottle]]</f>
        <v>700</v>
      </c>
      <c r="V436" s="10">
        <f>Table4[[#This Row],[SalesBot]]*Table4[[#This Row],[ML]]</f>
        <v>448</v>
      </c>
      <c r="W436" s="1">
        <f>VLOOKUP(N436,Stock[#Data],6,FALSE)</f>
        <v>1800</v>
      </c>
      <c r="X436" s="8">
        <f>+Table4[[#This Row],[SalesBot]]*Table4[[#This Row],[နှုံး]]</f>
        <v>1260000</v>
      </c>
      <c r="Y436" s="12"/>
      <c r="Z436" s="12"/>
      <c r="AA436" s="12"/>
      <c r="AB436" s="9"/>
      <c r="AC436" s="12"/>
      <c r="AD436" s="9"/>
      <c r="AE436" s="12"/>
      <c r="AF43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436" s="24"/>
      <c r="AH436" s="266">
        <f>Table4[[#This Row],[Date]]</f>
        <v>46049</v>
      </c>
      <c r="AI436" s="264" t="str">
        <f t="shared" si="72"/>
        <v>Jan</v>
      </c>
      <c r="AJ436" s="264" t="str">
        <f t="shared" si="73"/>
        <v>2026</v>
      </c>
      <c r="AK436" s="270" t="str">
        <f>Table4[[#This Row],[ကုန်သည်အမည်]]</f>
        <v>ကိုကျော်ရွှေ</v>
      </c>
      <c r="AL436" s="270" t="str">
        <f>Table4[[#This Row],[Township]]</f>
        <v>Mudon</v>
      </c>
      <c r="AM436" s="271" t="str">
        <f>Table4[[#This Row],[WholeSales]]</f>
        <v>SemiWholeSales</v>
      </c>
      <c r="AN436" s="272" t="str">
        <f>Table4[[#This Row],[Particular]]</f>
        <v>ကုန်ရောင်း(လက်ငင်း)</v>
      </c>
      <c r="AO436" s="273" t="str">
        <f>Table4[[#This Row],[StockName]]</f>
        <v>ဇေယျဝတီ  Red(ပု)</v>
      </c>
      <c r="AP436" s="268">
        <f>Table4[[#This Row],[Parking]]</f>
        <v>50</v>
      </c>
      <c r="AQ436" s="268">
        <f>Table4[[#This Row],[SalesBot]]</f>
        <v>700</v>
      </c>
      <c r="AR436" s="268">
        <f>Table4[[#This Row],[Liter]]</f>
        <v>448</v>
      </c>
    </row>
    <row r="437" spans="1:44" s="16" customFormat="1" hidden="1" x14ac:dyDescent="0.5">
      <c r="A437" s="3">
        <f t="shared" si="78"/>
        <v>2026</v>
      </c>
      <c r="B437" s="8">
        <f t="shared" si="79"/>
        <v>1</v>
      </c>
      <c r="C437" s="82">
        <v>46049</v>
      </c>
      <c r="D437" s="15">
        <f t="shared" ca="1" si="80"/>
        <v>46097</v>
      </c>
      <c r="E437" s="15" t="str">
        <f t="shared" ca="1" si="81"/>
        <v>1-Months</v>
      </c>
      <c r="F437" s="8" t="str">
        <f>VLOOKUP(N437,Stock[#Data],5,FALSE)</f>
        <v>BE</v>
      </c>
      <c r="G437" s="82" t="s">
        <v>1201</v>
      </c>
      <c r="H437" s="15"/>
      <c r="I437" s="7" t="s">
        <v>541</v>
      </c>
      <c r="J437" s="8" t="str">
        <f>VLOOKUP(I437,Customers[#Data],2,FALSE)</f>
        <v>ကိုကျော်ရွှေ</v>
      </c>
      <c r="K437" s="15" t="str">
        <f>VLOOKUP(I437,Customers[#Data],4,FALSE)</f>
        <v>Mudon</v>
      </c>
      <c r="L437" s="15" t="str">
        <f>VLOOKUP(I437,Customers[#Data],5,FALSE)</f>
        <v>SemiWholeSales</v>
      </c>
      <c r="M437" s="7" t="s">
        <v>6</v>
      </c>
      <c r="N437" s="7" t="s">
        <v>517</v>
      </c>
      <c r="O437" s="14" t="str">
        <f>VLOOKUP(N437,Stock[#Data],2,FALSE)</f>
        <v>ဇေယျဝတီ Red (1 Liter) 30%</v>
      </c>
      <c r="P437" s="44">
        <f>VLOOKUP(N437,Stock[#Data],3,FALSE)</f>
        <v>1</v>
      </c>
      <c r="Q437" s="3">
        <f>VLOOKUP(N437,Stock[#Data],4,FALSE)</f>
        <v>12</v>
      </c>
      <c r="R437" s="11"/>
      <c r="S437" s="45">
        <f>IFERROR(Table4[[#This Row],[Bottle]]/Table4[[#This Row],[ပါဝင်မှု]]+Table4[[#This Row],[SalesPK]],0)</f>
        <v>10</v>
      </c>
      <c r="T437" s="12">
        <v>10</v>
      </c>
      <c r="U437" s="10">
        <f>Table4[[#This Row],[ပါဝင်မှု]]*Table4[[#This Row],[SalesPK]]+Table4[[#This Row],[Bottle]]</f>
        <v>120</v>
      </c>
      <c r="V437" s="10">
        <f>Table4[[#This Row],[SalesBot]]*Table4[[#This Row],[ML]]</f>
        <v>120</v>
      </c>
      <c r="W437" s="1">
        <f>VLOOKUP(N437,Stock[#Data],6,FALSE)</f>
        <v>1710</v>
      </c>
      <c r="X437" s="8">
        <f>+Table4[[#This Row],[SalesBot]]*Table4[[#This Row],[နှုံး]]</f>
        <v>205200</v>
      </c>
      <c r="Y437" s="12"/>
      <c r="Z437" s="12"/>
      <c r="AA437" s="12"/>
      <c r="AB437" s="9"/>
      <c r="AC437" s="12"/>
      <c r="AD437" s="9"/>
      <c r="AE437" s="12"/>
      <c r="AF43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</v>
      </c>
      <c r="AG437" s="24"/>
      <c r="AH437" s="266">
        <f>Table4[[#This Row],[Date]]</f>
        <v>46049</v>
      </c>
      <c r="AI437" s="264" t="str">
        <f t="shared" si="72"/>
        <v>Jan</v>
      </c>
      <c r="AJ437" s="264" t="str">
        <f t="shared" si="73"/>
        <v>2026</v>
      </c>
      <c r="AK437" s="270" t="str">
        <f>Table4[[#This Row],[ကုန်သည်အမည်]]</f>
        <v>ကိုကျော်ရွှေ</v>
      </c>
      <c r="AL437" s="270" t="str">
        <f>Table4[[#This Row],[Township]]</f>
        <v>Mudon</v>
      </c>
      <c r="AM437" s="271" t="str">
        <f>Table4[[#This Row],[WholeSales]]</f>
        <v>SemiWholeSales</v>
      </c>
      <c r="AN437" s="272" t="str">
        <f>Table4[[#This Row],[Particular]]</f>
        <v>ကုန်ရောင်း(လက်ငင်း)</v>
      </c>
      <c r="AO437" s="273" t="str">
        <f>Table4[[#This Row],[StockName]]</f>
        <v>ဇေယျဝတီ Red (1 Liter) 30%</v>
      </c>
      <c r="AP437" s="268">
        <f>Table4[[#This Row],[Parking]]</f>
        <v>10</v>
      </c>
      <c r="AQ437" s="268">
        <f>Table4[[#This Row],[SalesBot]]</f>
        <v>120</v>
      </c>
      <c r="AR437" s="268">
        <f>Table4[[#This Row],[Liter]]</f>
        <v>120</v>
      </c>
    </row>
    <row r="438" spans="1:44" s="16" customFormat="1" hidden="1" x14ac:dyDescent="0.5">
      <c r="A438" s="3">
        <f t="shared" si="78"/>
        <v>2026</v>
      </c>
      <c r="B438" s="8">
        <f t="shared" si="79"/>
        <v>1</v>
      </c>
      <c r="C438" s="82">
        <v>46049</v>
      </c>
      <c r="D438" s="15">
        <f t="shared" ca="1" si="80"/>
        <v>46097</v>
      </c>
      <c r="E438" s="15" t="str">
        <f t="shared" ca="1" si="81"/>
        <v>1-Months</v>
      </c>
      <c r="F438" s="8" t="str">
        <f>VLOOKUP(N438,Stock[#Data],5,FALSE)</f>
        <v>BE</v>
      </c>
      <c r="G438" s="82" t="s">
        <v>1202</v>
      </c>
      <c r="H438" s="15"/>
      <c r="I438" s="7" t="s">
        <v>145</v>
      </c>
      <c r="J438" s="8" t="str">
        <f>VLOOKUP(I438,Customers[#Data],2,FALSE)</f>
        <v>ကိုအာနိုး</v>
      </c>
      <c r="K438" s="15" t="str">
        <f>VLOOKUP(I438,Customers[#Data],4,FALSE)</f>
        <v>yaY</v>
      </c>
      <c r="L438" s="15" t="str">
        <f>VLOOKUP(I438,Customers[#Data],5,FALSE)</f>
        <v>Van Sales</v>
      </c>
      <c r="M438" s="7" t="s">
        <v>6</v>
      </c>
      <c r="N438" s="7" t="s">
        <v>517</v>
      </c>
      <c r="O438" s="14" t="str">
        <f>VLOOKUP(N438,Stock[#Data],2,FALSE)</f>
        <v>ဇေယျဝတီ Red (1 Liter) 30%</v>
      </c>
      <c r="P438" s="44">
        <f>VLOOKUP(N438,Stock[#Data],3,FALSE)</f>
        <v>1</v>
      </c>
      <c r="Q438" s="3">
        <f>VLOOKUP(N438,Stock[#Data],4,FALSE)</f>
        <v>12</v>
      </c>
      <c r="R438" s="11"/>
      <c r="S438" s="45">
        <f>IFERROR(Table4[[#This Row],[Bottle]]/Table4[[#This Row],[ပါဝင်မှု]]+Table4[[#This Row],[SalesPK]],0)</f>
        <v>20</v>
      </c>
      <c r="T438" s="12">
        <v>20</v>
      </c>
      <c r="U438" s="10">
        <f>Table4[[#This Row],[ပါဝင်မှု]]*Table4[[#This Row],[SalesPK]]+Table4[[#This Row],[Bottle]]</f>
        <v>240</v>
      </c>
      <c r="V438" s="10">
        <f>Table4[[#This Row],[SalesBot]]*Table4[[#This Row],[ML]]</f>
        <v>240</v>
      </c>
      <c r="W438" s="1">
        <f>VLOOKUP(N438,Stock[#Data],6,FALSE)</f>
        <v>1710</v>
      </c>
      <c r="X438" s="8">
        <f>+Table4[[#This Row],[SalesBot]]*Table4[[#This Row],[နှုံး]]</f>
        <v>410400</v>
      </c>
      <c r="Y438" s="12"/>
      <c r="Z438" s="12"/>
      <c r="AA438" s="12"/>
      <c r="AB438" s="9"/>
      <c r="AC438" s="12"/>
      <c r="AD438" s="9"/>
      <c r="AE438" s="12"/>
      <c r="AF43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410400</v>
      </c>
      <c r="AG438" s="24"/>
      <c r="AH438" s="266">
        <f>Table4[[#This Row],[Date]]</f>
        <v>46049</v>
      </c>
      <c r="AI438" s="264" t="str">
        <f t="shared" si="72"/>
        <v>Jan</v>
      </c>
      <c r="AJ438" s="264" t="str">
        <f t="shared" si="73"/>
        <v>2026</v>
      </c>
      <c r="AK438" s="270" t="str">
        <f>Table4[[#This Row],[ကုန်သည်အမည်]]</f>
        <v>ကိုအာနိုး</v>
      </c>
      <c r="AL438" s="270" t="str">
        <f>Table4[[#This Row],[Township]]</f>
        <v>yaY</v>
      </c>
      <c r="AM438" s="271" t="str">
        <f>Table4[[#This Row],[WholeSales]]</f>
        <v>Van Sales</v>
      </c>
      <c r="AN438" s="272" t="str">
        <f>Table4[[#This Row],[Particular]]</f>
        <v>ကုန်ရောင်း(လက်ငင်း)</v>
      </c>
      <c r="AO438" s="273" t="str">
        <f>Table4[[#This Row],[StockName]]</f>
        <v>ဇေယျဝတီ Red (1 Liter) 30%</v>
      </c>
      <c r="AP438" s="268">
        <f>Table4[[#This Row],[Parking]]</f>
        <v>20</v>
      </c>
      <c r="AQ438" s="268">
        <f>Table4[[#This Row],[SalesBot]]</f>
        <v>240</v>
      </c>
      <c r="AR438" s="268">
        <f>Table4[[#This Row],[Liter]]</f>
        <v>240</v>
      </c>
    </row>
    <row r="439" spans="1:44" s="16" customFormat="1" hidden="1" x14ac:dyDescent="0.5">
      <c r="A439" s="3">
        <f t="shared" si="78"/>
        <v>2026</v>
      </c>
      <c r="B439" s="8">
        <f t="shared" si="79"/>
        <v>1</v>
      </c>
      <c r="C439" s="82">
        <v>46049</v>
      </c>
      <c r="D439" s="15">
        <f t="shared" ca="1" si="80"/>
        <v>46097</v>
      </c>
      <c r="E439" s="15" t="str">
        <f t="shared" ca="1" si="81"/>
        <v>1-Months</v>
      </c>
      <c r="F439" s="8" t="str">
        <f>VLOOKUP(N439,Stock[#Data],5,FALSE)</f>
        <v>BE</v>
      </c>
      <c r="G439" s="82" t="s">
        <v>1203</v>
      </c>
      <c r="H439" s="15"/>
      <c r="I439" s="7" t="s">
        <v>109</v>
      </c>
      <c r="J439" s="8" t="str">
        <f>VLOOKUP(I439,Customers[#Data],2,FALSE)</f>
        <v>ဦးမင်းလွင်</v>
      </c>
      <c r="K439" s="15" t="str">
        <f>VLOOKUP(I439,Customers[#Data],4,FALSE)</f>
        <v>Maw La Myaing</v>
      </c>
      <c r="L439" s="15" t="str">
        <f>VLOOKUP(I439,Customers[#Data],5,FALSE)</f>
        <v>WholeSales</v>
      </c>
      <c r="M439" s="7" t="s">
        <v>6</v>
      </c>
      <c r="N439" s="7" t="s">
        <v>521</v>
      </c>
      <c r="O439" s="14" t="str">
        <f>VLOOKUP(N439,Stock[#Data],2,FALSE)</f>
        <v>ဒဂုံအရက်သန့်</v>
      </c>
      <c r="P439" s="44">
        <f>VLOOKUP(N439,Stock[#Data],3,FALSE)</f>
        <v>0.64</v>
      </c>
      <c r="Q439" s="3">
        <f>VLOOKUP(N439,Stock[#Data],4,FALSE)</f>
        <v>24</v>
      </c>
      <c r="R439" s="11"/>
      <c r="S439" s="45">
        <f>IFERROR(Table4[[#This Row],[Bottle]]/Table4[[#This Row],[ပါဝင်မှု]]+Table4[[#This Row],[SalesPK]],0)</f>
        <v>20</v>
      </c>
      <c r="T439" s="12">
        <v>20</v>
      </c>
      <c r="U439" s="10">
        <f>Table4[[#This Row],[ပါဝင်မှု]]*Table4[[#This Row],[SalesPK]]+Table4[[#This Row],[Bottle]]</f>
        <v>480</v>
      </c>
      <c r="V439" s="10">
        <f>Table4[[#This Row],[SalesBot]]*Table4[[#This Row],[ML]]</f>
        <v>307.2</v>
      </c>
      <c r="W439" s="1">
        <f>VLOOKUP(N439,Stock[#Data],6,FALSE)</f>
        <v>1350</v>
      </c>
      <c r="X439" s="8">
        <f>+Table4[[#This Row],[SalesBot]]*Table4[[#This Row],[နှုံး]]</f>
        <v>648000</v>
      </c>
      <c r="Y439" s="12"/>
      <c r="Z439" s="12"/>
      <c r="AA439" s="12"/>
      <c r="AB439" s="9"/>
      <c r="AC439" s="12"/>
      <c r="AD439" s="9"/>
      <c r="AE439" s="12"/>
      <c r="AF43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648000</v>
      </c>
      <c r="AG439" s="24"/>
      <c r="AH439" s="266">
        <f>Table4[[#This Row],[Date]]</f>
        <v>46049</v>
      </c>
      <c r="AI439" s="264" t="str">
        <f t="shared" si="72"/>
        <v>Jan</v>
      </c>
      <c r="AJ439" s="264" t="str">
        <f t="shared" si="73"/>
        <v>2026</v>
      </c>
      <c r="AK439" s="270" t="str">
        <f>Table4[[#This Row],[ကုန်သည်အမည်]]</f>
        <v>ဦးမင်းလွင်</v>
      </c>
      <c r="AL439" s="270" t="str">
        <f>Table4[[#This Row],[Township]]</f>
        <v>Maw La Myaing</v>
      </c>
      <c r="AM439" s="271" t="str">
        <f>Table4[[#This Row],[WholeSales]]</f>
        <v>WholeSales</v>
      </c>
      <c r="AN439" s="272" t="str">
        <f>Table4[[#This Row],[Particular]]</f>
        <v>ကုန်ရောင်း(လက်ငင်း)</v>
      </c>
      <c r="AO439" s="273" t="str">
        <f>Table4[[#This Row],[StockName]]</f>
        <v>ဒဂုံအရက်သန့်</v>
      </c>
      <c r="AP439" s="268">
        <f>Table4[[#This Row],[Parking]]</f>
        <v>20</v>
      </c>
      <c r="AQ439" s="268">
        <f>Table4[[#This Row],[SalesBot]]</f>
        <v>480</v>
      </c>
      <c r="AR439" s="268">
        <f>Table4[[#This Row],[Liter]]</f>
        <v>307.2</v>
      </c>
    </row>
    <row r="440" spans="1:44" s="16" customFormat="1" ht="18.75" hidden="1" customHeight="1" x14ac:dyDescent="0.5">
      <c r="A440" s="3">
        <f t="shared" ref="A440:A456" si="82">YEAR(C440)</f>
        <v>2026</v>
      </c>
      <c r="B440" s="8">
        <f t="shared" ref="B440:B456" si="83">MONTH(C440)</f>
        <v>1</v>
      </c>
      <c r="C440" s="82">
        <v>46050</v>
      </c>
      <c r="D440" s="15">
        <f t="shared" ref="D440:D456" ca="1" si="84">TODAY()</f>
        <v>46097</v>
      </c>
      <c r="E440" s="15" t="str">
        <f t="shared" ref="E440:E456" ca="1" si="85">DATEDIF(C440,D440,"M")&amp;"-Months"</f>
        <v>1-Months</v>
      </c>
      <c r="F440" s="8" t="str">
        <f>VLOOKUP(N440,Stock[#Data],5,FALSE)</f>
        <v>BE</v>
      </c>
      <c r="G440" s="82" t="s">
        <v>1204</v>
      </c>
      <c r="H440" s="15"/>
      <c r="I440" s="7" t="s">
        <v>101</v>
      </c>
      <c r="J440" s="8" t="str">
        <f>VLOOKUP(I440,Customers[#Data],2,FALSE)</f>
        <v>ကိုမောင်+မသူဇာ</v>
      </c>
      <c r="K440" s="15" t="str">
        <f>VLOOKUP(I440,Customers[#Data],4,FALSE)</f>
        <v>Yay</v>
      </c>
      <c r="L440" s="15" t="str">
        <f>VLOOKUP(I440,Customers[#Data],5,FALSE)</f>
        <v>WholeSales</v>
      </c>
      <c r="M440" s="7" t="s">
        <v>7</v>
      </c>
      <c r="N440" s="7" t="s">
        <v>517</v>
      </c>
      <c r="O440" s="14" t="str">
        <f>VLOOKUP(N440,Stock[#Data],2,FALSE)</f>
        <v>ဇေယျဝတီ Red (1 Liter) 30%</v>
      </c>
      <c r="P440" s="44">
        <f>VLOOKUP(N440,Stock[#Data],3,FALSE)</f>
        <v>1</v>
      </c>
      <c r="Q440" s="3">
        <f>VLOOKUP(N440,Stock[#Data],4,FALSE)</f>
        <v>12</v>
      </c>
      <c r="R440" s="11"/>
      <c r="S440" s="45">
        <f>IFERROR(Table4[[#This Row],[Bottle]]/Table4[[#This Row],[ပါဝင်မှု]]+Table4[[#This Row],[SalesPK]],0)</f>
        <v>120</v>
      </c>
      <c r="T440" s="12">
        <v>120</v>
      </c>
      <c r="U440" s="10">
        <f>Table4[[#This Row],[ပါဝင်မှု]]*Table4[[#This Row],[SalesPK]]+Table4[[#This Row],[Bottle]]</f>
        <v>1440</v>
      </c>
      <c r="V440" s="10">
        <f>Table4[[#This Row],[SalesBot]]*Table4[[#This Row],[ML]]</f>
        <v>1440</v>
      </c>
      <c r="W440" s="1">
        <f>VLOOKUP(N440,Stock[#Data],6,FALSE)</f>
        <v>1710</v>
      </c>
      <c r="X440" s="8">
        <f>+Table4[[#This Row],[SalesBot]]*Table4[[#This Row],[နှုံး]]</f>
        <v>2462400</v>
      </c>
      <c r="Y440" s="12"/>
      <c r="Z440" s="12"/>
      <c r="AA440" s="12"/>
      <c r="AB440" s="9"/>
      <c r="AC440" s="12"/>
      <c r="AD440" s="9"/>
      <c r="AE440" s="12"/>
      <c r="AF44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2462400</v>
      </c>
      <c r="AG440" s="24"/>
      <c r="AH440" s="266">
        <f>Table4[[#This Row],[Date]]</f>
        <v>46050</v>
      </c>
      <c r="AI440" s="264" t="str">
        <f t="shared" si="72"/>
        <v>Jan</v>
      </c>
      <c r="AJ440" s="264" t="str">
        <f t="shared" si="73"/>
        <v>2026</v>
      </c>
      <c r="AK440" s="270" t="str">
        <f>Table4[[#This Row],[ကုန်သည်အမည်]]</f>
        <v>ကိုမောင်+မသူဇာ</v>
      </c>
      <c r="AL440" s="270" t="str">
        <f>Table4[[#This Row],[Township]]</f>
        <v>Yay</v>
      </c>
      <c r="AM440" s="271" t="str">
        <f>Table4[[#This Row],[WholeSales]]</f>
        <v>WholeSales</v>
      </c>
      <c r="AN440" s="272" t="str">
        <f>Table4[[#This Row],[Particular]]</f>
        <v>ကုန်ရောင်း(အကြွေး)</v>
      </c>
      <c r="AO440" s="273" t="str">
        <f>Table4[[#This Row],[StockName]]</f>
        <v>ဇေယျဝတီ Red (1 Liter) 30%</v>
      </c>
      <c r="AP440" s="268">
        <f>Table4[[#This Row],[Parking]]</f>
        <v>120</v>
      </c>
      <c r="AQ440" s="268">
        <f>Table4[[#This Row],[SalesBot]]</f>
        <v>1440</v>
      </c>
      <c r="AR440" s="268">
        <f>Table4[[#This Row],[Liter]]</f>
        <v>1440</v>
      </c>
    </row>
    <row r="441" spans="1:44" s="16" customFormat="1" hidden="1" x14ac:dyDescent="0.5">
      <c r="A441" s="3">
        <f t="shared" si="82"/>
        <v>2026</v>
      </c>
      <c r="B441" s="8">
        <f t="shared" si="83"/>
        <v>1</v>
      </c>
      <c r="C441" s="82">
        <v>46050</v>
      </c>
      <c r="D441" s="15">
        <f t="shared" ca="1" si="84"/>
        <v>46097</v>
      </c>
      <c r="E441" s="15" t="str">
        <f t="shared" ca="1" si="85"/>
        <v>1-Months</v>
      </c>
      <c r="F441" s="8" t="str">
        <f>VLOOKUP(N441,Stock[#Data],5,FALSE)</f>
        <v>BE</v>
      </c>
      <c r="G441" s="82" t="s">
        <v>1205</v>
      </c>
      <c r="H441" s="15"/>
      <c r="I441" s="7" t="s">
        <v>538</v>
      </c>
      <c r="J441" s="8" t="str">
        <f>VLOOKUP(I441,Customers[#Data],2,FALSE)</f>
        <v>ဒေါ်နွယ်နွယ်ရီ(ရွှေတောင်ကြား)</v>
      </c>
      <c r="K441" s="15" t="str">
        <f>VLOOKUP(I441,Customers[#Data],4,FALSE)</f>
        <v>Yay</v>
      </c>
      <c r="L441" s="15" t="str">
        <f>VLOOKUP(I441,Customers[#Data],5,FALSE)</f>
        <v>WholeSales</v>
      </c>
      <c r="M441" s="7" t="s">
        <v>7</v>
      </c>
      <c r="N441" s="7" t="s">
        <v>517</v>
      </c>
      <c r="O441" s="14" t="str">
        <f>VLOOKUP(N441,Stock[#Data],2,FALSE)</f>
        <v>ဇေယျဝတီ Red (1 Liter) 30%</v>
      </c>
      <c r="P441" s="44">
        <f>VLOOKUP(N441,Stock[#Data],3,FALSE)</f>
        <v>1</v>
      </c>
      <c r="Q441" s="3">
        <f>VLOOKUP(N441,Stock[#Data],4,FALSE)</f>
        <v>12</v>
      </c>
      <c r="R441" s="11"/>
      <c r="S441" s="45">
        <f>IFERROR(Table4[[#This Row],[Bottle]]/Table4[[#This Row],[ပါဝင်မှု]]+Table4[[#This Row],[SalesPK]],0)</f>
        <v>100</v>
      </c>
      <c r="T441" s="12">
        <v>100</v>
      </c>
      <c r="U441" s="10">
        <f>Table4[[#This Row],[ပါဝင်မှု]]*Table4[[#This Row],[SalesPK]]+Table4[[#This Row],[Bottle]]</f>
        <v>1200</v>
      </c>
      <c r="V441" s="10">
        <f>Table4[[#This Row],[SalesBot]]*Table4[[#This Row],[ML]]</f>
        <v>1200</v>
      </c>
      <c r="W441" s="1">
        <f>VLOOKUP(N441,Stock[#Data],6,FALSE)</f>
        <v>1710</v>
      </c>
      <c r="X441" s="8">
        <f>+Table4[[#This Row],[SalesBot]]*Table4[[#This Row],[နှုံး]]</f>
        <v>2052000</v>
      </c>
      <c r="Y441" s="12"/>
      <c r="Z441" s="12"/>
      <c r="AA441" s="12"/>
      <c r="AB441" s="9"/>
      <c r="AC441" s="12"/>
      <c r="AD441" s="9"/>
      <c r="AE441" s="12"/>
      <c r="AF44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441" s="24"/>
      <c r="AH441" s="266">
        <f>Table4[[#This Row],[Date]]</f>
        <v>46050</v>
      </c>
      <c r="AI441" s="264" t="str">
        <f t="shared" si="72"/>
        <v>Jan</v>
      </c>
      <c r="AJ441" s="264" t="str">
        <f t="shared" si="73"/>
        <v>2026</v>
      </c>
      <c r="AK441" s="270" t="str">
        <f>Table4[[#This Row],[ကုန်သည်အမည်]]</f>
        <v>ဒေါ်နွယ်နွယ်ရီ(ရွှေတောင်ကြား)</v>
      </c>
      <c r="AL441" s="270" t="str">
        <f>Table4[[#This Row],[Township]]</f>
        <v>Yay</v>
      </c>
      <c r="AM441" s="271" t="str">
        <f>Table4[[#This Row],[WholeSales]]</f>
        <v>WholeSales</v>
      </c>
      <c r="AN441" s="272" t="str">
        <f>Table4[[#This Row],[Particular]]</f>
        <v>ကုန်ရောင်း(အကြွေး)</v>
      </c>
      <c r="AO441" s="273" t="str">
        <f>Table4[[#This Row],[StockName]]</f>
        <v>ဇေယျဝတီ Red (1 Liter) 30%</v>
      </c>
      <c r="AP441" s="268">
        <f>Table4[[#This Row],[Parking]]</f>
        <v>100</v>
      </c>
      <c r="AQ441" s="268">
        <f>Table4[[#This Row],[SalesBot]]</f>
        <v>1200</v>
      </c>
      <c r="AR441" s="268">
        <f>Table4[[#This Row],[Liter]]</f>
        <v>1200</v>
      </c>
    </row>
    <row r="442" spans="1:44" s="16" customFormat="1" hidden="1" x14ac:dyDescent="0.5">
      <c r="A442" s="3">
        <f t="shared" si="82"/>
        <v>2026</v>
      </c>
      <c r="B442" s="8">
        <f t="shared" si="83"/>
        <v>1</v>
      </c>
      <c r="C442" s="82">
        <v>46050</v>
      </c>
      <c r="D442" s="15">
        <f t="shared" ca="1" si="84"/>
        <v>46097</v>
      </c>
      <c r="E442" s="15" t="str">
        <f t="shared" ca="1" si="85"/>
        <v>1-Months</v>
      </c>
      <c r="F442" s="8" t="str">
        <f>VLOOKUP(N442,Stock[#Data],5,FALSE)</f>
        <v>BE</v>
      </c>
      <c r="G442" s="82" t="s">
        <v>1206</v>
      </c>
      <c r="H442" s="15"/>
      <c r="I442" s="7" t="s">
        <v>109</v>
      </c>
      <c r="J442" s="8" t="str">
        <f>VLOOKUP(I442,Customers[#Data],2,FALSE)</f>
        <v>ဦးမင်းလွင်</v>
      </c>
      <c r="K442" s="15" t="str">
        <f>VLOOKUP(I442,Customers[#Data],4,FALSE)</f>
        <v>Maw La Myaing</v>
      </c>
      <c r="L442" s="15" t="str">
        <f>VLOOKUP(I442,Customers[#Data],5,FALSE)</f>
        <v>WholeSales</v>
      </c>
      <c r="M442" s="7" t="s">
        <v>6</v>
      </c>
      <c r="N442" s="7" t="s">
        <v>516</v>
      </c>
      <c r="O442" s="14" t="str">
        <f>VLOOKUP(N442,Stock[#Data],2,FALSE)</f>
        <v>ဇေ Vodka</v>
      </c>
      <c r="P442" s="44">
        <f>VLOOKUP(N442,Stock[#Data],3,FALSE)</f>
        <v>0.64</v>
      </c>
      <c r="Q442" s="3">
        <f>VLOOKUP(N442,Stock[#Data],4,FALSE)</f>
        <v>14</v>
      </c>
      <c r="R442" s="11"/>
      <c r="S442" s="45">
        <f>IFERROR(Table4[[#This Row],[Bottle]]/Table4[[#This Row],[ပါဝင်မှု]]+Table4[[#This Row],[SalesPK]],0)</f>
        <v>20</v>
      </c>
      <c r="T442" s="12">
        <v>20</v>
      </c>
      <c r="U442" s="10">
        <f>Table4[[#This Row],[ပါဝင်မှု]]*Table4[[#This Row],[SalesPK]]+Table4[[#This Row],[Bottle]]</f>
        <v>280</v>
      </c>
      <c r="V442" s="10">
        <f>Table4[[#This Row],[SalesBot]]*Table4[[#This Row],[ML]]</f>
        <v>179.20000000000002</v>
      </c>
      <c r="W442" s="1">
        <f>VLOOKUP(N442,Stock[#Data],6,FALSE)</f>
        <v>1400</v>
      </c>
      <c r="X442" s="8">
        <f>+Table4[[#This Row],[SalesBot]]*Table4[[#This Row],[နှုံး]]</f>
        <v>392000</v>
      </c>
      <c r="Y442" s="12"/>
      <c r="Z442" s="12"/>
      <c r="AA442" s="12"/>
      <c r="AB442" s="9"/>
      <c r="AC442" s="12"/>
      <c r="AD442" s="9"/>
      <c r="AE442" s="12"/>
      <c r="AF44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392000</v>
      </c>
      <c r="AG442" s="24"/>
      <c r="AH442" s="266">
        <f>Table4[[#This Row],[Date]]</f>
        <v>46050</v>
      </c>
      <c r="AI442" s="264" t="str">
        <f t="shared" si="72"/>
        <v>Jan</v>
      </c>
      <c r="AJ442" s="264" t="str">
        <f t="shared" si="73"/>
        <v>2026</v>
      </c>
      <c r="AK442" s="270" t="str">
        <f>Table4[[#This Row],[ကုန်သည်အမည်]]</f>
        <v>ဦးမင်းလွင်</v>
      </c>
      <c r="AL442" s="270" t="str">
        <f>Table4[[#This Row],[Township]]</f>
        <v>Maw La Myaing</v>
      </c>
      <c r="AM442" s="271" t="str">
        <f>Table4[[#This Row],[WholeSales]]</f>
        <v>WholeSales</v>
      </c>
      <c r="AN442" s="272" t="str">
        <f>Table4[[#This Row],[Particular]]</f>
        <v>ကုန်ရောင်း(လက်ငင်း)</v>
      </c>
      <c r="AO442" s="273" t="str">
        <f>Table4[[#This Row],[StockName]]</f>
        <v>ဇေ Vodka</v>
      </c>
      <c r="AP442" s="268">
        <f>Table4[[#This Row],[Parking]]</f>
        <v>20</v>
      </c>
      <c r="AQ442" s="268">
        <f>Table4[[#This Row],[SalesBot]]</f>
        <v>280</v>
      </c>
      <c r="AR442" s="268">
        <f>Table4[[#This Row],[Liter]]</f>
        <v>179.20000000000002</v>
      </c>
    </row>
    <row r="443" spans="1:44" s="16" customFormat="1" hidden="1" x14ac:dyDescent="0.5">
      <c r="A443" s="3">
        <f t="shared" si="82"/>
        <v>2026</v>
      </c>
      <c r="B443" s="8">
        <f t="shared" si="83"/>
        <v>1</v>
      </c>
      <c r="C443" s="82">
        <v>46050</v>
      </c>
      <c r="D443" s="15">
        <f t="shared" ca="1" si="84"/>
        <v>46097</v>
      </c>
      <c r="E443" s="15" t="str">
        <f t="shared" ca="1" si="85"/>
        <v>1-Months</v>
      </c>
      <c r="F443" s="8" t="str">
        <f>VLOOKUP(N443,Stock[#Data],5,FALSE)</f>
        <v>BE</v>
      </c>
      <c r="G443" s="82" t="s">
        <v>1207</v>
      </c>
      <c r="H443" s="15"/>
      <c r="I443" s="7" t="s">
        <v>487</v>
      </c>
      <c r="J443" s="8" t="str">
        <f>VLOOKUP(I443,Customers[#Data],2,FALSE)</f>
        <v>ချယ်ရီမြိုင်</v>
      </c>
      <c r="K443" s="15" t="str">
        <f>VLOOKUP(I443,Customers[#Data],4,FALSE)</f>
        <v>Maw La Myaing</v>
      </c>
      <c r="L443" s="15" t="str">
        <f>VLOOKUP(I443,Customers[#Data],5,FALSE)</f>
        <v>Van Sales</v>
      </c>
      <c r="M443" s="7" t="s">
        <v>6</v>
      </c>
      <c r="N443" s="7" t="s">
        <v>516</v>
      </c>
      <c r="O443" s="14" t="str">
        <f>VLOOKUP(N443,Stock[#Data],2,FALSE)</f>
        <v>ဇေ Vodka</v>
      </c>
      <c r="P443" s="44">
        <f>VLOOKUP(N443,Stock[#Data],3,FALSE)</f>
        <v>0.64</v>
      </c>
      <c r="Q443" s="3">
        <f>VLOOKUP(N443,Stock[#Data],4,FALSE)</f>
        <v>14</v>
      </c>
      <c r="R443" s="11"/>
      <c r="S443" s="45">
        <f>IFERROR(Table4[[#This Row],[Bottle]]/Table4[[#This Row],[ပါဝင်မှု]]+Table4[[#This Row],[SalesPK]],0)</f>
        <v>10</v>
      </c>
      <c r="T443" s="12">
        <v>10</v>
      </c>
      <c r="U443" s="10">
        <f>Table4[[#This Row],[ပါဝင်မှု]]*Table4[[#This Row],[SalesPK]]+Table4[[#This Row],[Bottle]]</f>
        <v>140</v>
      </c>
      <c r="V443" s="10">
        <f>Table4[[#This Row],[SalesBot]]*Table4[[#This Row],[ML]]</f>
        <v>89.600000000000009</v>
      </c>
      <c r="W443" s="1">
        <f>VLOOKUP(N443,Stock[#Data],6,FALSE)</f>
        <v>1400</v>
      </c>
      <c r="X443" s="8">
        <f>+Table4[[#This Row],[SalesBot]]*Table4[[#This Row],[နှုံး]]</f>
        <v>196000</v>
      </c>
      <c r="Y443" s="12"/>
      <c r="Z443" s="12"/>
      <c r="AA443" s="12"/>
      <c r="AB443" s="9"/>
      <c r="AC443" s="12"/>
      <c r="AD443" s="9"/>
      <c r="AE443" s="12"/>
      <c r="AF44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443" s="24"/>
      <c r="AH443" s="266">
        <f>Table4[[#This Row],[Date]]</f>
        <v>46050</v>
      </c>
      <c r="AI443" s="264" t="str">
        <f t="shared" si="72"/>
        <v>Jan</v>
      </c>
      <c r="AJ443" s="264" t="str">
        <f t="shared" si="73"/>
        <v>2026</v>
      </c>
      <c r="AK443" s="270" t="str">
        <f>Table4[[#This Row],[ကုန်သည်အမည်]]</f>
        <v>ချယ်ရီမြိုင်</v>
      </c>
      <c r="AL443" s="270" t="str">
        <f>Table4[[#This Row],[Township]]</f>
        <v>Maw La Myaing</v>
      </c>
      <c r="AM443" s="271" t="str">
        <f>Table4[[#This Row],[WholeSales]]</f>
        <v>Van Sales</v>
      </c>
      <c r="AN443" s="272" t="str">
        <f>Table4[[#This Row],[Particular]]</f>
        <v>ကုန်ရောင်း(လက်ငင်း)</v>
      </c>
      <c r="AO443" s="273" t="str">
        <f>Table4[[#This Row],[StockName]]</f>
        <v>ဇေ Vodka</v>
      </c>
      <c r="AP443" s="268">
        <f>Table4[[#This Row],[Parking]]</f>
        <v>10</v>
      </c>
      <c r="AQ443" s="268">
        <f>Table4[[#This Row],[SalesBot]]</f>
        <v>140</v>
      </c>
      <c r="AR443" s="268">
        <f>Table4[[#This Row],[Liter]]</f>
        <v>89.600000000000009</v>
      </c>
    </row>
    <row r="444" spans="1:44" s="16" customFormat="1" hidden="1" x14ac:dyDescent="0.5">
      <c r="A444" s="3">
        <f t="shared" si="82"/>
        <v>2026</v>
      </c>
      <c r="B444" s="8">
        <f t="shared" si="83"/>
        <v>1</v>
      </c>
      <c r="C444" s="82">
        <v>46050</v>
      </c>
      <c r="D444" s="15">
        <f t="shared" ca="1" si="84"/>
        <v>46097</v>
      </c>
      <c r="E444" s="15" t="str">
        <f t="shared" ca="1" si="85"/>
        <v>1-Months</v>
      </c>
      <c r="F444" s="8" t="str">
        <f>VLOOKUP(N444,Stock[#Data],5,FALSE)</f>
        <v>BE</v>
      </c>
      <c r="G444" s="82" t="s">
        <v>1208</v>
      </c>
      <c r="H444" s="15"/>
      <c r="I444" s="7" t="s">
        <v>555</v>
      </c>
      <c r="J444" s="8" t="str">
        <f>VLOOKUP(I444,Customers[#Data],2,FALSE)</f>
        <v>အနဲကြီး</v>
      </c>
      <c r="K444" s="15" t="str">
        <f>VLOOKUP(I444,Customers[#Data],4,FALSE)</f>
        <v>Maw La Myaing</v>
      </c>
      <c r="L444" s="15" t="str">
        <f>VLOOKUP(I444,Customers[#Data],5,FALSE)</f>
        <v>Mini Whole Sales</v>
      </c>
      <c r="M444" s="7" t="s">
        <v>6</v>
      </c>
      <c r="N444" s="7" t="s">
        <v>516</v>
      </c>
      <c r="O444" s="14" t="str">
        <f>VLOOKUP(N444,Stock[#Data],2,FALSE)</f>
        <v>ဇေ Vodka</v>
      </c>
      <c r="P444" s="44">
        <f>VLOOKUP(N444,Stock[#Data],3,FALSE)</f>
        <v>0.64</v>
      </c>
      <c r="Q444" s="3">
        <f>VLOOKUP(N444,Stock[#Data],4,FALSE)</f>
        <v>14</v>
      </c>
      <c r="R444" s="11"/>
      <c r="S444" s="45">
        <f>IFERROR(Table4[[#This Row],[Bottle]]/Table4[[#This Row],[ပါဝင်မှု]]+Table4[[#This Row],[SalesPK]],0)</f>
        <v>15</v>
      </c>
      <c r="T444" s="12">
        <v>15</v>
      </c>
      <c r="U444" s="10">
        <f>Table4[[#This Row],[ပါဝင်မှု]]*Table4[[#This Row],[SalesPK]]+Table4[[#This Row],[Bottle]]</f>
        <v>210</v>
      </c>
      <c r="V444" s="10">
        <f>Table4[[#This Row],[SalesBot]]*Table4[[#This Row],[ML]]</f>
        <v>134.4</v>
      </c>
      <c r="W444" s="1">
        <f>VLOOKUP(N444,Stock[#Data],6,FALSE)</f>
        <v>1400</v>
      </c>
      <c r="X444" s="8">
        <f>+Table4[[#This Row],[SalesBot]]*Table4[[#This Row],[နှုံး]]</f>
        <v>294000</v>
      </c>
      <c r="Y444" s="12"/>
      <c r="Z444" s="12"/>
      <c r="AA444" s="12"/>
      <c r="AB444" s="9"/>
      <c r="AC444" s="12"/>
      <c r="AD444" s="9"/>
      <c r="AE444" s="12"/>
      <c r="AF44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294000</v>
      </c>
      <c r="AG444" s="24"/>
      <c r="AH444" s="266">
        <f>Table4[[#This Row],[Date]]</f>
        <v>46050</v>
      </c>
      <c r="AI444" s="264" t="str">
        <f t="shared" si="72"/>
        <v>Jan</v>
      </c>
      <c r="AJ444" s="264" t="str">
        <f t="shared" si="73"/>
        <v>2026</v>
      </c>
      <c r="AK444" s="270" t="str">
        <f>Table4[[#This Row],[ကုန်သည်အမည်]]</f>
        <v>အနဲကြီး</v>
      </c>
      <c r="AL444" s="270" t="str">
        <f>Table4[[#This Row],[Township]]</f>
        <v>Maw La Myaing</v>
      </c>
      <c r="AM444" s="271" t="str">
        <f>Table4[[#This Row],[WholeSales]]</f>
        <v>Mini Whole Sales</v>
      </c>
      <c r="AN444" s="272" t="str">
        <f>Table4[[#This Row],[Particular]]</f>
        <v>ကုန်ရောင်း(လက်ငင်း)</v>
      </c>
      <c r="AO444" s="273" t="str">
        <f>Table4[[#This Row],[StockName]]</f>
        <v>ဇေ Vodka</v>
      </c>
      <c r="AP444" s="268">
        <f>Table4[[#This Row],[Parking]]</f>
        <v>15</v>
      </c>
      <c r="AQ444" s="268">
        <f>Table4[[#This Row],[SalesBot]]</f>
        <v>210</v>
      </c>
      <c r="AR444" s="268">
        <f>Table4[[#This Row],[Liter]]</f>
        <v>134.4</v>
      </c>
    </row>
    <row r="445" spans="1:44" s="16" customFormat="1" hidden="1" x14ac:dyDescent="0.5">
      <c r="A445" s="3">
        <f t="shared" si="82"/>
        <v>2026</v>
      </c>
      <c r="B445" s="8">
        <f t="shared" si="83"/>
        <v>1</v>
      </c>
      <c r="C445" s="82">
        <v>46050</v>
      </c>
      <c r="D445" s="15">
        <f t="shared" ca="1" si="84"/>
        <v>46097</v>
      </c>
      <c r="E445" s="15" t="str">
        <f t="shared" ca="1" si="85"/>
        <v>1-Months</v>
      </c>
      <c r="F445" s="8" t="str">
        <f>VLOOKUP(N445,Stock[#Data],5,FALSE)</f>
        <v>BE</v>
      </c>
      <c r="G445" s="82" t="s">
        <v>1209</v>
      </c>
      <c r="H445" s="15"/>
      <c r="I445" s="7" t="s">
        <v>583</v>
      </c>
      <c r="J445" s="8" t="str">
        <f>VLOOKUP(I445,Customers[#Data],2,FALSE)</f>
        <v>မင်းဆန်းသစ်</v>
      </c>
      <c r="K445" s="15" t="str">
        <f>VLOOKUP(I445,Customers[#Data],4,FALSE)</f>
        <v>Maw La Myaing</v>
      </c>
      <c r="L445" s="15" t="str">
        <f>VLOOKUP(I445,Customers[#Data],5,FALSE)</f>
        <v>Van Sales</v>
      </c>
      <c r="M445" s="7" t="s">
        <v>6</v>
      </c>
      <c r="N445" s="7" t="s">
        <v>516</v>
      </c>
      <c r="O445" s="14" t="str">
        <f>VLOOKUP(N445,Stock[#Data],2,FALSE)</f>
        <v>ဇေ Vodka</v>
      </c>
      <c r="P445" s="44">
        <f>VLOOKUP(N445,Stock[#Data],3,FALSE)</f>
        <v>0.64</v>
      </c>
      <c r="Q445" s="3">
        <f>VLOOKUP(N445,Stock[#Data],4,FALSE)</f>
        <v>14</v>
      </c>
      <c r="R445" s="11"/>
      <c r="S445" s="45">
        <f>IFERROR(Table4[[#This Row],[Bottle]]/Table4[[#This Row],[ပါဝင်မှု]]+Table4[[#This Row],[SalesPK]],0)</f>
        <v>5</v>
      </c>
      <c r="T445" s="12">
        <v>5</v>
      </c>
      <c r="U445" s="10">
        <f>Table4[[#This Row],[ပါဝင်မှု]]*Table4[[#This Row],[SalesPK]]+Table4[[#This Row],[Bottle]]</f>
        <v>70</v>
      </c>
      <c r="V445" s="10">
        <f>Table4[[#This Row],[SalesBot]]*Table4[[#This Row],[ML]]</f>
        <v>44.800000000000004</v>
      </c>
      <c r="W445" s="1">
        <f>VLOOKUP(N445,Stock[#Data],6,FALSE)</f>
        <v>1400</v>
      </c>
      <c r="X445" s="8">
        <f>+Table4[[#This Row],[SalesBot]]*Table4[[#This Row],[နှုံး]]</f>
        <v>98000</v>
      </c>
      <c r="Y445" s="12"/>
      <c r="Z445" s="12"/>
      <c r="AA445" s="12"/>
      <c r="AB445" s="9"/>
      <c r="AC445" s="12"/>
      <c r="AD445" s="9"/>
      <c r="AE445" s="12"/>
      <c r="AF44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</v>
      </c>
      <c r="AG445" s="24"/>
      <c r="AH445" s="266">
        <f>Table4[[#This Row],[Date]]</f>
        <v>46050</v>
      </c>
      <c r="AI445" s="264" t="str">
        <f t="shared" si="72"/>
        <v>Jan</v>
      </c>
      <c r="AJ445" s="264" t="str">
        <f t="shared" si="73"/>
        <v>2026</v>
      </c>
      <c r="AK445" s="270" t="str">
        <f>Table4[[#This Row],[ကုန်သည်အမည်]]</f>
        <v>မင်းဆန်းသစ်</v>
      </c>
      <c r="AL445" s="270" t="str">
        <f>Table4[[#This Row],[Township]]</f>
        <v>Maw La Myaing</v>
      </c>
      <c r="AM445" s="271" t="str">
        <f>Table4[[#This Row],[WholeSales]]</f>
        <v>Van Sales</v>
      </c>
      <c r="AN445" s="272" t="str">
        <f>Table4[[#This Row],[Particular]]</f>
        <v>ကုန်ရောင်း(လက်ငင်း)</v>
      </c>
      <c r="AO445" s="273" t="str">
        <f>Table4[[#This Row],[StockName]]</f>
        <v>ဇေ Vodka</v>
      </c>
      <c r="AP445" s="268">
        <f>Table4[[#This Row],[Parking]]</f>
        <v>5</v>
      </c>
      <c r="AQ445" s="268">
        <f>Table4[[#This Row],[SalesBot]]</f>
        <v>70</v>
      </c>
      <c r="AR445" s="268">
        <f>Table4[[#This Row],[Liter]]</f>
        <v>44.800000000000004</v>
      </c>
    </row>
    <row r="446" spans="1:44" s="16" customFormat="1" hidden="1" x14ac:dyDescent="0.5">
      <c r="A446" s="3">
        <f t="shared" si="82"/>
        <v>2026</v>
      </c>
      <c r="B446" s="8">
        <f t="shared" si="83"/>
        <v>1</v>
      </c>
      <c r="C446" s="82">
        <v>46050</v>
      </c>
      <c r="D446" s="15">
        <f t="shared" ca="1" si="84"/>
        <v>46097</v>
      </c>
      <c r="E446" s="15" t="str">
        <f t="shared" ca="1" si="85"/>
        <v>1-Months</v>
      </c>
      <c r="F446" s="8" t="str">
        <f>VLOOKUP(N446,Stock[#Data],5,FALSE)</f>
        <v>BE</v>
      </c>
      <c r="G446" s="82" t="s">
        <v>1209</v>
      </c>
      <c r="H446" s="15"/>
      <c r="I446" s="7" t="s">
        <v>583</v>
      </c>
      <c r="J446" s="8" t="str">
        <f>VLOOKUP(I446,Customers[#Data],2,FALSE)</f>
        <v>မင်းဆန်းသစ်</v>
      </c>
      <c r="K446" s="15" t="str">
        <f>VLOOKUP(I446,Customers[#Data],4,FALSE)</f>
        <v>Maw La Myaing</v>
      </c>
      <c r="L446" s="15" t="str">
        <f>VLOOKUP(I446,Customers[#Data],5,FALSE)</f>
        <v>Van Sales</v>
      </c>
      <c r="M446" s="7" t="s">
        <v>6</v>
      </c>
      <c r="N446" s="7" t="s">
        <v>518</v>
      </c>
      <c r="O446" s="14" t="str">
        <f>VLOOKUP(N446,Stock[#Data],2,FALSE)</f>
        <v>"ဇေ" ကော်ဘူး (1 Liter)</v>
      </c>
      <c r="P446" s="44">
        <f>VLOOKUP(N446,Stock[#Data],3,FALSE)</f>
        <v>1</v>
      </c>
      <c r="Q446" s="3">
        <f>VLOOKUP(N446,Stock[#Data],4,FALSE)</f>
        <v>12</v>
      </c>
      <c r="R446" s="11"/>
      <c r="S446" s="45">
        <f>IFERROR(Table4[[#This Row],[Bottle]]/Table4[[#This Row],[ပါဝင်မှု]]+Table4[[#This Row],[SalesPK]],0)</f>
        <v>5</v>
      </c>
      <c r="T446" s="12">
        <v>5</v>
      </c>
      <c r="U446" s="10">
        <f>Table4[[#This Row],[ပါဝင်မှု]]*Table4[[#This Row],[SalesPK]]+Table4[[#This Row],[Bottle]]</f>
        <v>60</v>
      </c>
      <c r="V446" s="10">
        <f>Table4[[#This Row],[SalesBot]]*Table4[[#This Row],[ML]]</f>
        <v>60</v>
      </c>
      <c r="W446" s="1">
        <f>VLOOKUP(N446,Stock[#Data],6,FALSE)</f>
        <v>1675</v>
      </c>
      <c r="X446" s="8">
        <f>+Table4[[#This Row],[SalesBot]]*Table4[[#This Row],[နှုံး]]</f>
        <v>100500</v>
      </c>
      <c r="Y446" s="12"/>
      <c r="Z446" s="12"/>
      <c r="AA446" s="12"/>
      <c r="AB446" s="9"/>
      <c r="AC446" s="12"/>
      <c r="AD446" s="9"/>
      <c r="AE446" s="12"/>
      <c r="AF44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446" s="24"/>
      <c r="AH446" s="266">
        <f>Table4[[#This Row],[Date]]</f>
        <v>46050</v>
      </c>
      <c r="AI446" s="264" t="str">
        <f t="shared" si="72"/>
        <v>Jan</v>
      </c>
      <c r="AJ446" s="264" t="str">
        <f t="shared" si="73"/>
        <v>2026</v>
      </c>
      <c r="AK446" s="270" t="str">
        <f>Table4[[#This Row],[ကုန်သည်အမည်]]</f>
        <v>မင်းဆန်းသစ်</v>
      </c>
      <c r="AL446" s="270" t="str">
        <f>Table4[[#This Row],[Township]]</f>
        <v>Maw La Myaing</v>
      </c>
      <c r="AM446" s="271" t="str">
        <f>Table4[[#This Row],[WholeSales]]</f>
        <v>Van Sales</v>
      </c>
      <c r="AN446" s="272" t="str">
        <f>Table4[[#This Row],[Particular]]</f>
        <v>ကုန်ရောင်း(လက်ငင်း)</v>
      </c>
      <c r="AO446" s="273" t="str">
        <f>Table4[[#This Row],[StockName]]</f>
        <v>"ဇေ" ကော်ဘူး (1 Liter)</v>
      </c>
      <c r="AP446" s="268">
        <f>Table4[[#This Row],[Parking]]</f>
        <v>5</v>
      </c>
      <c r="AQ446" s="268">
        <f>Table4[[#This Row],[SalesBot]]</f>
        <v>60</v>
      </c>
      <c r="AR446" s="268">
        <f>Table4[[#This Row],[Liter]]</f>
        <v>60</v>
      </c>
    </row>
    <row r="447" spans="1:44" s="16" customFormat="1" hidden="1" x14ac:dyDescent="0.5">
      <c r="A447" s="3">
        <f t="shared" si="82"/>
        <v>2026</v>
      </c>
      <c r="B447" s="8">
        <f t="shared" si="83"/>
        <v>1</v>
      </c>
      <c r="C447" s="82">
        <v>46050</v>
      </c>
      <c r="D447" s="15">
        <f t="shared" ca="1" si="84"/>
        <v>46097</v>
      </c>
      <c r="E447" s="15" t="str">
        <f t="shared" ca="1" si="85"/>
        <v>1-Months</v>
      </c>
      <c r="F447" s="8" t="str">
        <f>VLOOKUP(N447,Stock[#Data],5,FALSE)</f>
        <v>BE</v>
      </c>
      <c r="G447" s="82" t="s">
        <v>1210</v>
      </c>
      <c r="H447" s="15"/>
      <c r="I447" s="7" t="s">
        <v>79</v>
      </c>
      <c r="J447" s="8" t="str">
        <f>VLOOKUP(I447,Customers[#Data],2,FALSE)</f>
        <v>My-2</v>
      </c>
      <c r="K447" s="15" t="str">
        <f>VLOOKUP(I447,Customers[#Data],4,FALSE)</f>
        <v>Maw La Myaing</v>
      </c>
      <c r="L447" s="15" t="str">
        <f>VLOOKUP(I447,Customers[#Data],5,FALSE)</f>
        <v>Van Sales</v>
      </c>
      <c r="M447" s="7" t="s">
        <v>6</v>
      </c>
      <c r="N447" s="7" t="s">
        <v>518</v>
      </c>
      <c r="O447" s="14" t="str">
        <f>VLOOKUP(N447,Stock[#Data],2,FALSE)</f>
        <v>"ဇေ" ကော်ဘူး (1 Liter)</v>
      </c>
      <c r="P447" s="44">
        <f>VLOOKUP(N447,Stock[#Data],3,FALSE)</f>
        <v>1</v>
      </c>
      <c r="Q447" s="3">
        <f>VLOOKUP(N447,Stock[#Data],4,FALSE)</f>
        <v>12</v>
      </c>
      <c r="R447" s="11"/>
      <c r="S447" s="45">
        <f>IFERROR(Table4[[#This Row],[Bottle]]/Table4[[#This Row],[ပါဝင်မှု]]+Table4[[#This Row],[SalesPK]],0)</f>
        <v>5</v>
      </c>
      <c r="T447" s="12">
        <v>5</v>
      </c>
      <c r="U447" s="10">
        <f>Table4[[#This Row],[ပါဝင်မှု]]*Table4[[#This Row],[SalesPK]]+Table4[[#This Row],[Bottle]]</f>
        <v>60</v>
      </c>
      <c r="V447" s="10">
        <f>Table4[[#This Row],[SalesBot]]*Table4[[#This Row],[ML]]</f>
        <v>60</v>
      </c>
      <c r="W447" s="1">
        <f>VLOOKUP(N447,Stock[#Data],6,FALSE)</f>
        <v>1675</v>
      </c>
      <c r="X447" s="8">
        <f>+Table4[[#This Row],[SalesBot]]*Table4[[#This Row],[နှုံး]]</f>
        <v>100500</v>
      </c>
      <c r="Y447" s="12"/>
      <c r="Z447" s="12"/>
      <c r="AA447" s="12"/>
      <c r="AB447" s="9"/>
      <c r="AC447" s="12"/>
      <c r="AD447" s="9"/>
      <c r="AE447" s="12"/>
      <c r="AF44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447" s="24"/>
      <c r="AH447" s="266">
        <f>Table4[[#This Row],[Date]]</f>
        <v>46050</v>
      </c>
      <c r="AI447" s="264" t="str">
        <f t="shared" si="72"/>
        <v>Jan</v>
      </c>
      <c r="AJ447" s="264" t="str">
        <f t="shared" si="73"/>
        <v>2026</v>
      </c>
      <c r="AK447" s="270" t="str">
        <f>Table4[[#This Row],[ကုန်သည်အမည်]]</f>
        <v>My-2</v>
      </c>
      <c r="AL447" s="270" t="str">
        <f>Table4[[#This Row],[Township]]</f>
        <v>Maw La Myaing</v>
      </c>
      <c r="AM447" s="271" t="str">
        <f>Table4[[#This Row],[WholeSales]]</f>
        <v>Van Sales</v>
      </c>
      <c r="AN447" s="272" t="str">
        <f>Table4[[#This Row],[Particular]]</f>
        <v>ကုန်ရောင်း(လက်ငင်း)</v>
      </c>
      <c r="AO447" s="273" t="str">
        <f>Table4[[#This Row],[StockName]]</f>
        <v>"ဇေ" ကော်ဘူး (1 Liter)</v>
      </c>
      <c r="AP447" s="268">
        <f>Table4[[#This Row],[Parking]]</f>
        <v>5</v>
      </c>
      <c r="AQ447" s="268">
        <f>Table4[[#This Row],[SalesBot]]</f>
        <v>60</v>
      </c>
      <c r="AR447" s="268">
        <f>Table4[[#This Row],[Liter]]</f>
        <v>60</v>
      </c>
    </row>
    <row r="448" spans="1:44" s="16" customFormat="1" hidden="1" x14ac:dyDescent="0.5">
      <c r="A448" s="3">
        <f t="shared" si="82"/>
        <v>2026</v>
      </c>
      <c r="B448" s="8">
        <f t="shared" si="83"/>
        <v>1</v>
      </c>
      <c r="C448" s="82">
        <v>46050</v>
      </c>
      <c r="D448" s="15">
        <f t="shared" ca="1" si="84"/>
        <v>46097</v>
      </c>
      <c r="E448" s="15" t="str">
        <f t="shared" ca="1" si="85"/>
        <v>1-Months</v>
      </c>
      <c r="F448" s="8" t="str">
        <f>VLOOKUP(N448,Stock[#Data],5,FALSE)</f>
        <v>BE</v>
      </c>
      <c r="G448" s="82" t="s">
        <v>1210</v>
      </c>
      <c r="H448" s="15"/>
      <c r="I448" s="7" t="s">
        <v>79</v>
      </c>
      <c r="J448" s="8" t="str">
        <f>VLOOKUP(I448,Customers[#Data],2,FALSE)</f>
        <v>My-2</v>
      </c>
      <c r="K448" s="15" t="str">
        <f>VLOOKUP(I448,Customers[#Data],4,FALSE)</f>
        <v>Maw La Myaing</v>
      </c>
      <c r="L448" s="15" t="str">
        <f>VLOOKUP(I448,Customers[#Data],5,FALSE)</f>
        <v>Van Sales</v>
      </c>
      <c r="M448" s="7" t="s">
        <v>6</v>
      </c>
      <c r="N448" s="7" t="s">
        <v>522</v>
      </c>
      <c r="O448" s="14" t="str">
        <f>VLOOKUP(N448,Stock[#Data],2,FALSE)</f>
        <v>ဒဂုံမန်ကျည်း ကော်ဘူး (1 Liter)</v>
      </c>
      <c r="P448" s="44">
        <f>VLOOKUP(N448,Stock[#Data],3,FALSE)</f>
        <v>1</v>
      </c>
      <c r="Q448" s="3">
        <f>VLOOKUP(N448,Stock[#Data],4,FALSE)</f>
        <v>12</v>
      </c>
      <c r="R448" s="11"/>
      <c r="S448" s="45">
        <f>IFERROR(Table4[[#This Row],[Bottle]]/Table4[[#This Row],[ပါဝင်မှု]]+Table4[[#This Row],[SalesPK]],0)</f>
        <v>5</v>
      </c>
      <c r="T448" s="12">
        <v>5</v>
      </c>
      <c r="U448" s="10">
        <f>Table4[[#This Row],[ပါဝင်မှု]]*Table4[[#This Row],[SalesPK]]+Table4[[#This Row],[Bottle]]</f>
        <v>60</v>
      </c>
      <c r="V448" s="10">
        <f>Table4[[#This Row],[SalesBot]]*Table4[[#This Row],[ML]]</f>
        <v>60</v>
      </c>
      <c r="W448" s="1">
        <f>VLOOKUP(N448,Stock[#Data],6,FALSE)</f>
        <v>1600</v>
      </c>
      <c r="X448" s="8">
        <f>+Table4[[#This Row],[SalesBot]]*Table4[[#This Row],[နှုံး]]</f>
        <v>96000</v>
      </c>
      <c r="Y448" s="12"/>
      <c r="Z448" s="12"/>
      <c r="AA448" s="12"/>
      <c r="AB448" s="9"/>
      <c r="AC448" s="12"/>
      <c r="AD448" s="9"/>
      <c r="AE448" s="12"/>
      <c r="AF44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96000</v>
      </c>
      <c r="AG448" s="24"/>
      <c r="AH448" s="266">
        <f>Table4[[#This Row],[Date]]</f>
        <v>46050</v>
      </c>
      <c r="AI448" s="264" t="str">
        <f t="shared" si="72"/>
        <v>Jan</v>
      </c>
      <c r="AJ448" s="264" t="str">
        <f t="shared" si="73"/>
        <v>2026</v>
      </c>
      <c r="AK448" s="270" t="str">
        <f>Table4[[#This Row],[ကုန်သည်အမည်]]</f>
        <v>My-2</v>
      </c>
      <c r="AL448" s="270" t="str">
        <f>Table4[[#This Row],[Township]]</f>
        <v>Maw La Myaing</v>
      </c>
      <c r="AM448" s="271" t="str">
        <f>Table4[[#This Row],[WholeSales]]</f>
        <v>Van Sales</v>
      </c>
      <c r="AN448" s="272" t="str">
        <f>Table4[[#This Row],[Particular]]</f>
        <v>ကုန်ရောင်း(လက်ငင်း)</v>
      </c>
      <c r="AO448" s="273" t="str">
        <f>Table4[[#This Row],[StockName]]</f>
        <v>ဒဂုံမန်ကျည်း ကော်ဘူး (1 Liter)</v>
      </c>
      <c r="AP448" s="268">
        <f>Table4[[#This Row],[Parking]]</f>
        <v>5</v>
      </c>
      <c r="AQ448" s="268">
        <f>Table4[[#This Row],[SalesBot]]</f>
        <v>60</v>
      </c>
      <c r="AR448" s="268">
        <f>Table4[[#This Row],[Liter]]</f>
        <v>60</v>
      </c>
    </row>
    <row r="449" spans="1:44" s="16" customFormat="1" hidden="1" x14ac:dyDescent="0.5">
      <c r="A449" s="3">
        <f t="shared" si="82"/>
        <v>2026</v>
      </c>
      <c r="B449" s="8">
        <f t="shared" si="83"/>
        <v>1</v>
      </c>
      <c r="C449" s="82">
        <v>46050</v>
      </c>
      <c r="D449" s="15">
        <f t="shared" ca="1" si="84"/>
        <v>46097</v>
      </c>
      <c r="E449" s="15" t="str">
        <f t="shared" ca="1" si="85"/>
        <v>1-Months</v>
      </c>
      <c r="F449" s="8" t="str">
        <f>VLOOKUP(N449,Stock[#Data],5,FALSE)</f>
        <v>BE</v>
      </c>
      <c r="G449" s="82" t="s">
        <v>1211</v>
      </c>
      <c r="H449" s="15"/>
      <c r="I449" s="7" t="s">
        <v>78</v>
      </c>
      <c r="J449" s="8" t="str">
        <f>VLOOKUP(I449,Customers[#Data],2,FALSE)</f>
        <v>My-1</v>
      </c>
      <c r="K449" s="15" t="str">
        <f>VLOOKUP(I449,Customers[#Data],4,FALSE)</f>
        <v>Maw La Myaing</v>
      </c>
      <c r="L449" s="15" t="str">
        <f>VLOOKUP(I449,Customers[#Data],5,FALSE)</f>
        <v>Van Sales</v>
      </c>
      <c r="M449" s="7" t="s">
        <v>6</v>
      </c>
      <c r="N449" s="7" t="s">
        <v>508</v>
      </c>
      <c r="O449" s="14" t="str">
        <f>VLOOKUP(N449,Stock[#Data],2,FALSE)</f>
        <v>ကောင်းကြည်-1Li</v>
      </c>
      <c r="P449" s="44">
        <f>VLOOKUP(N449,Stock[#Data],3,FALSE)</f>
        <v>1</v>
      </c>
      <c r="Q449" s="3">
        <f>VLOOKUP(N449,Stock[#Data],4,FALSE)</f>
        <v>12</v>
      </c>
      <c r="R449" s="11"/>
      <c r="S449" s="45">
        <f>IFERROR(Table4[[#This Row],[Bottle]]/Table4[[#This Row],[ပါဝင်မှု]]+Table4[[#This Row],[SalesPK]],0)</f>
        <v>5</v>
      </c>
      <c r="T449" s="12">
        <v>5</v>
      </c>
      <c r="U449" s="10">
        <f>Table4[[#This Row],[ပါဝင်မှု]]*Table4[[#This Row],[SalesPK]]+Table4[[#This Row],[Bottle]]</f>
        <v>60</v>
      </c>
      <c r="V449" s="10">
        <f>Table4[[#This Row],[SalesBot]]*Table4[[#This Row],[ML]]</f>
        <v>60</v>
      </c>
      <c r="W449" s="1">
        <f>VLOOKUP(N449,Stock[#Data],6,FALSE)</f>
        <v>1850</v>
      </c>
      <c r="X449" s="8">
        <f>+Table4[[#This Row],[SalesBot]]*Table4[[#This Row],[နှုံး]]</f>
        <v>111000</v>
      </c>
      <c r="Y449" s="12"/>
      <c r="Z449" s="12"/>
      <c r="AA449" s="12"/>
      <c r="AB449" s="9"/>
      <c r="AC449" s="12"/>
      <c r="AD449" s="9"/>
      <c r="AE449" s="12"/>
      <c r="AF44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111000</v>
      </c>
      <c r="AG449" s="24"/>
      <c r="AH449" s="266">
        <f>Table4[[#This Row],[Date]]</f>
        <v>46050</v>
      </c>
      <c r="AI449" s="264" t="str">
        <f t="shared" si="72"/>
        <v>Jan</v>
      </c>
      <c r="AJ449" s="264" t="str">
        <f t="shared" si="73"/>
        <v>2026</v>
      </c>
      <c r="AK449" s="270" t="str">
        <f>Table4[[#This Row],[ကုန်သည်အမည်]]</f>
        <v>My-1</v>
      </c>
      <c r="AL449" s="270" t="str">
        <f>Table4[[#This Row],[Township]]</f>
        <v>Maw La Myaing</v>
      </c>
      <c r="AM449" s="271" t="str">
        <f>Table4[[#This Row],[WholeSales]]</f>
        <v>Van Sales</v>
      </c>
      <c r="AN449" s="272" t="str">
        <f>Table4[[#This Row],[Particular]]</f>
        <v>ကုန်ရောင်း(လက်ငင်း)</v>
      </c>
      <c r="AO449" s="273" t="str">
        <f>Table4[[#This Row],[StockName]]</f>
        <v>ကောင်းကြည်-1Li</v>
      </c>
      <c r="AP449" s="268">
        <f>Table4[[#This Row],[Parking]]</f>
        <v>5</v>
      </c>
      <c r="AQ449" s="268">
        <f>Table4[[#This Row],[SalesBot]]</f>
        <v>60</v>
      </c>
      <c r="AR449" s="268">
        <f>Table4[[#This Row],[Liter]]</f>
        <v>60</v>
      </c>
    </row>
    <row r="450" spans="1:44" s="16" customFormat="1" hidden="1" x14ac:dyDescent="0.5">
      <c r="A450" s="3">
        <f t="shared" si="82"/>
        <v>2026</v>
      </c>
      <c r="B450" s="8">
        <f t="shared" si="83"/>
        <v>1</v>
      </c>
      <c r="C450" s="82">
        <v>46050</v>
      </c>
      <c r="D450" s="15">
        <f t="shared" ca="1" si="84"/>
        <v>46097</v>
      </c>
      <c r="E450" s="15" t="str">
        <f t="shared" ca="1" si="85"/>
        <v>1-Months</v>
      </c>
      <c r="F450" s="8" t="str">
        <f>VLOOKUP(N450,Stock[#Data],5,FALSE)</f>
        <v>BE</v>
      </c>
      <c r="G450" s="82" t="s">
        <v>1212</v>
      </c>
      <c r="H450" s="15"/>
      <c r="I450" s="7" t="s">
        <v>109</v>
      </c>
      <c r="J450" s="8" t="str">
        <f>VLOOKUP(I450,Customers[#Data],2,FALSE)</f>
        <v>ဦးမင်းလွင်</v>
      </c>
      <c r="K450" s="15" t="str">
        <f>VLOOKUP(I450,Customers[#Data],4,FALSE)</f>
        <v>Maw La Myaing</v>
      </c>
      <c r="L450" s="15" t="str">
        <f>VLOOKUP(I450,Customers[#Data],5,FALSE)</f>
        <v>WholeSales</v>
      </c>
      <c r="M450" s="7" t="s">
        <v>6</v>
      </c>
      <c r="N450" s="7" t="s">
        <v>425</v>
      </c>
      <c r="O450" s="14" t="str">
        <f>VLOOKUP(N450,Stock[#Data],2,FALSE)</f>
        <v>ကောင်းကြည်-1Li</v>
      </c>
      <c r="P450" s="44">
        <f>VLOOKUP(N450,Stock[#Data],3,FALSE)</f>
        <v>1</v>
      </c>
      <c r="Q450" s="3">
        <f>VLOOKUP(N450,Stock[#Data],4,FALSE)</f>
        <v>12</v>
      </c>
      <c r="R450" s="11"/>
      <c r="S450" s="45">
        <f>IFERROR(Table4[[#This Row],[Bottle]]/Table4[[#This Row],[ပါဝင်မှု]]+Table4[[#This Row],[SalesPK]],0)</f>
        <v>2</v>
      </c>
      <c r="T450" s="12">
        <v>2</v>
      </c>
      <c r="U450" s="10">
        <f>Table4[[#This Row],[ပါဝင်မှု]]*Table4[[#This Row],[SalesPK]]+Table4[[#This Row],[Bottle]]</f>
        <v>24</v>
      </c>
      <c r="V450" s="10">
        <f>Table4[[#This Row],[SalesBot]]*Table4[[#This Row],[ML]]</f>
        <v>24</v>
      </c>
      <c r="W450" s="1">
        <f>VLOOKUP(N450,Stock[#Data],6,FALSE)</f>
        <v>1500</v>
      </c>
      <c r="X450" s="8">
        <f>+Table4[[#This Row],[SalesBot]]*Table4[[#This Row],[နှုံး]]</f>
        <v>36000</v>
      </c>
      <c r="Y450" s="12"/>
      <c r="Z450" s="12"/>
      <c r="AA450" s="12"/>
      <c r="AB450" s="9"/>
      <c r="AC450" s="12"/>
      <c r="AD450" s="9"/>
      <c r="AE450" s="12"/>
      <c r="AF45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36000</v>
      </c>
      <c r="AG450" s="24"/>
      <c r="AH450" s="266">
        <f>Table4[[#This Row],[Date]]</f>
        <v>46050</v>
      </c>
      <c r="AI450" s="264" t="str">
        <f t="shared" si="72"/>
        <v>Jan</v>
      </c>
      <c r="AJ450" s="264" t="str">
        <f t="shared" si="73"/>
        <v>2026</v>
      </c>
      <c r="AK450" s="270" t="str">
        <f>Table4[[#This Row],[ကုန်သည်အမည်]]</f>
        <v>ဦးမင်းလွင်</v>
      </c>
      <c r="AL450" s="270" t="str">
        <f>Table4[[#This Row],[Township]]</f>
        <v>Maw La Myaing</v>
      </c>
      <c r="AM450" s="271" t="str">
        <f>Table4[[#This Row],[WholeSales]]</f>
        <v>WholeSales</v>
      </c>
      <c r="AN450" s="272" t="str">
        <f>Table4[[#This Row],[Particular]]</f>
        <v>ကုန်ရောင်း(လက်ငင်း)</v>
      </c>
      <c r="AO450" s="273" t="str">
        <f>Table4[[#This Row],[StockName]]</f>
        <v>ကောင်းကြည်-1Li</v>
      </c>
      <c r="AP450" s="268">
        <f>Table4[[#This Row],[Parking]]</f>
        <v>2</v>
      </c>
      <c r="AQ450" s="268">
        <f>Table4[[#This Row],[SalesBot]]</f>
        <v>24</v>
      </c>
      <c r="AR450" s="268">
        <f>Table4[[#This Row],[Liter]]</f>
        <v>24</v>
      </c>
    </row>
    <row r="451" spans="1:44" s="16" customFormat="1" hidden="1" x14ac:dyDescent="0.5">
      <c r="A451" s="3">
        <f t="shared" si="82"/>
        <v>2026</v>
      </c>
      <c r="B451" s="8">
        <f t="shared" si="83"/>
        <v>1</v>
      </c>
      <c r="C451" s="82">
        <v>46050</v>
      </c>
      <c r="D451" s="15">
        <f t="shared" ca="1" si="84"/>
        <v>46097</v>
      </c>
      <c r="E451" s="15" t="str">
        <f t="shared" ca="1" si="85"/>
        <v>1-Months</v>
      </c>
      <c r="F451" s="8" t="str">
        <f>VLOOKUP(N451,Stock[#Data],5,FALSE)</f>
        <v>BE</v>
      </c>
      <c r="G451" s="82" t="s">
        <v>1213</v>
      </c>
      <c r="H451" s="15"/>
      <c r="I451" s="7" t="s">
        <v>576</v>
      </c>
      <c r="J451" s="8" t="str">
        <f>VLOOKUP(I451,Customers[#Data],2,FALSE)</f>
        <v>ဟေမာြပည့်၀</v>
      </c>
      <c r="K451" s="15" t="str">
        <f>VLOOKUP(I451,Customers[#Data],4,FALSE)</f>
        <v>Paung</v>
      </c>
      <c r="L451" s="15" t="str">
        <f>VLOOKUP(I451,Customers[#Data],5,FALSE)</f>
        <v>Van Sales</v>
      </c>
      <c r="M451" s="7" t="s">
        <v>6</v>
      </c>
      <c r="N451" s="7" t="s">
        <v>515</v>
      </c>
      <c r="O451" s="14" t="str">
        <f>VLOOKUP(N451,Stock[#Data],2,FALSE)</f>
        <v>ဇေ Vodka</v>
      </c>
      <c r="P451" s="44">
        <f>VLOOKUP(N451,Stock[#Data],3,FALSE)</f>
        <v>0.7</v>
      </c>
      <c r="Q451" s="3">
        <f>VLOOKUP(N451,Stock[#Data],4,FALSE)</f>
        <v>12</v>
      </c>
      <c r="R451" s="11"/>
      <c r="S451" s="45">
        <f>IFERROR(Table4[[#This Row],[Bottle]]/Table4[[#This Row],[ပါဝင်မှု]]+Table4[[#This Row],[SalesPK]],0)</f>
        <v>25</v>
      </c>
      <c r="T451" s="12">
        <v>25</v>
      </c>
      <c r="U451" s="10">
        <f>Table4[[#This Row],[ပါဝင်မှု]]*Table4[[#This Row],[SalesPK]]+Table4[[#This Row],[Bottle]]</f>
        <v>300</v>
      </c>
      <c r="V451" s="10">
        <f>Table4[[#This Row],[SalesBot]]*Table4[[#This Row],[ML]]</f>
        <v>210</v>
      </c>
      <c r="W451" s="1">
        <f>VLOOKUP(N451,Stock[#Data],6,FALSE)</f>
        <v>2020</v>
      </c>
      <c r="X451" s="8">
        <f>+Table4[[#This Row],[SalesBot]]*Table4[[#This Row],[နှုံး]]</f>
        <v>606000</v>
      </c>
      <c r="Y451" s="12"/>
      <c r="Z451" s="12"/>
      <c r="AA451" s="12"/>
      <c r="AB451" s="9"/>
      <c r="AC451" s="12"/>
      <c r="AD451" s="9"/>
      <c r="AE451" s="12"/>
      <c r="AF45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606000</v>
      </c>
      <c r="AG451" s="24"/>
      <c r="AH451" s="266">
        <f>Table4[[#This Row],[Date]]</f>
        <v>46050</v>
      </c>
      <c r="AI451" s="264" t="str">
        <f t="shared" ref="AI451:AI514" si="86">TEXT(AH451,"mmm")</f>
        <v>Jan</v>
      </c>
      <c r="AJ451" s="264" t="str">
        <f t="shared" ref="AJ451:AJ501" si="87">TEXT(AH451,"yyyy")</f>
        <v>2026</v>
      </c>
      <c r="AK451" s="270" t="str">
        <f>Table4[[#This Row],[ကုန်သည်အမည်]]</f>
        <v>ဟေမာြပည့်၀</v>
      </c>
      <c r="AL451" s="270" t="str">
        <f>Table4[[#This Row],[Township]]</f>
        <v>Paung</v>
      </c>
      <c r="AM451" s="271" t="str">
        <f>Table4[[#This Row],[WholeSales]]</f>
        <v>Van Sales</v>
      </c>
      <c r="AN451" s="272" t="str">
        <f>Table4[[#This Row],[Particular]]</f>
        <v>ကုန်ရောင်း(လက်ငင်း)</v>
      </c>
      <c r="AO451" s="273" t="str">
        <f>Table4[[#This Row],[StockName]]</f>
        <v>ဇေ Vodka</v>
      </c>
      <c r="AP451" s="268">
        <f>Table4[[#This Row],[Parking]]</f>
        <v>25</v>
      </c>
      <c r="AQ451" s="268">
        <f>Table4[[#This Row],[SalesBot]]</f>
        <v>300</v>
      </c>
      <c r="AR451" s="268">
        <f>Table4[[#This Row],[Liter]]</f>
        <v>210</v>
      </c>
    </row>
    <row r="452" spans="1:44" s="16" customFormat="1" hidden="1" x14ac:dyDescent="0.5">
      <c r="A452" s="3">
        <f t="shared" si="82"/>
        <v>2026</v>
      </c>
      <c r="B452" s="8">
        <f t="shared" si="83"/>
        <v>1</v>
      </c>
      <c r="C452" s="82">
        <v>46050</v>
      </c>
      <c r="D452" s="15">
        <f t="shared" ca="1" si="84"/>
        <v>46097</v>
      </c>
      <c r="E452" s="15" t="str">
        <f t="shared" ca="1" si="85"/>
        <v>1-Months</v>
      </c>
      <c r="F452" s="8" t="str">
        <f>VLOOKUP(N452,Stock[#Data],5,FALSE)</f>
        <v>BE</v>
      </c>
      <c r="G452" s="82" t="s">
        <v>1214</v>
      </c>
      <c r="H452" s="15"/>
      <c r="I452" s="7" t="s">
        <v>557</v>
      </c>
      <c r="J452" s="8" t="str">
        <f>VLOOKUP(I452,Customers[#Data],2,FALSE)</f>
        <v>ချာလီ</v>
      </c>
      <c r="K452" s="15" t="str">
        <f>VLOOKUP(I452,Customers[#Data],4,FALSE)</f>
        <v>Kyaikto</v>
      </c>
      <c r="L452" s="15" t="str">
        <f>VLOOKUP(I452,Customers[#Data],5,FALSE)</f>
        <v>Van Sales</v>
      </c>
      <c r="M452" s="7" t="s">
        <v>6</v>
      </c>
      <c r="N452" s="7" t="s">
        <v>515</v>
      </c>
      <c r="O452" s="14" t="str">
        <f>VLOOKUP(N452,Stock[#Data],2,FALSE)</f>
        <v>ဇေ Vodka</v>
      </c>
      <c r="P452" s="44">
        <f>VLOOKUP(N452,Stock[#Data],3,FALSE)</f>
        <v>0.7</v>
      </c>
      <c r="Q452" s="3">
        <f>VLOOKUP(N452,Stock[#Data],4,FALSE)</f>
        <v>12</v>
      </c>
      <c r="R452" s="11"/>
      <c r="S452" s="45">
        <f>IFERROR(Table4[[#This Row],[Bottle]]/Table4[[#This Row],[ပါဝင်မှု]]+Table4[[#This Row],[SalesPK]],0)</f>
        <v>150</v>
      </c>
      <c r="T452" s="12">
        <v>150</v>
      </c>
      <c r="U452" s="10">
        <f>Table4[[#This Row],[ပါဝင်မှု]]*Table4[[#This Row],[SalesPK]]+Table4[[#This Row],[Bottle]]</f>
        <v>1800</v>
      </c>
      <c r="V452" s="10">
        <f>Table4[[#This Row],[SalesBot]]*Table4[[#This Row],[ML]]</f>
        <v>1260</v>
      </c>
      <c r="W452" s="1">
        <f>VLOOKUP(N452,Stock[#Data],6,FALSE)</f>
        <v>2020</v>
      </c>
      <c r="X452" s="8">
        <f>+Table4[[#This Row],[SalesBot]]*Table4[[#This Row],[နှုံး]]</f>
        <v>3636000</v>
      </c>
      <c r="Y452" s="12"/>
      <c r="Z452" s="12"/>
      <c r="AA452" s="12"/>
      <c r="AB452" s="9"/>
      <c r="AC452" s="12"/>
      <c r="AD452" s="9"/>
      <c r="AE452" s="12"/>
      <c r="AF45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3636000</v>
      </c>
      <c r="AG452" s="24"/>
      <c r="AH452" s="266">
        <f>Table4[[#This Row],[Date]]</f>
        <v>46050</v>
      </c>
      <c r="AI452" s="264" t="str">
        <f t="shared" si="86"/>
        <v>Jan</v>
      </c>
      <c r="AJ452" s="264" t="str">
        <f t="shared" si="87"/>
        <v>2026</v>
      </c>
      <c r="AK452" s="270" t="str">
        <f>Table4[[#This Row],[ကုန်သည်အမည်]]</f>
        <v>ချာလီ</v>
      </c>
      <c r="AL452" s="270" t="str">
        <f>Table4[[#This Row],[Township]]</f>
        <v>Kyaikto</v>
      </c>
      <c r="AM452" s="271" t="str">
        <f>Table4[[#This Row],[WholeSales]]</f>
        <v>Van Sales</v>
      </c>
      <c r="AN452" s="272" t="str">
        <f>Table4[[#This Row],[Particular]]</f>
        <v>ကုန်ရောင်း(လက်ငင်း)</v>
      </c>
      <c r="AO452" s="273" t="str">
        <f>Table4[[#This Row],[StockName]]</f>
        <v>ဇေ Vodka</v>
      </c>
      <c r="AP452" s="268">
        <f>Table4[[#This Row],[Parking]]</f>
        <v>150</v>
      </c>
      <c r="AQ452" s="268">
        <f>Table4[[#This Row],[SalesBot]]</f>
        <v>1800</v>
      </c>
      <c r="AR452" s="268">
        <f>Table4[[#This Row],[Liter]]</f>
        <v>1260</v>
      </c>
    </row>
    <row r="453" spans="1:44" s="16" customFormat="1" hidden="1" x14ac:dyDescent="0.5">
      <c r="A453" s="3">
        <f t="shared" si="82"/>
        <v>2026</v>
      </c>
      <c r="B453" s="8">
        <f t="shared" si="83"/>
        <v>1</v>
      </c>
      <c r="C453" s="82">
        <v>46050</v>
      </c>
      <c r="D453" s="15">
        <f t="shared" ca="1" si="84"/>
        <v>46097</v>
      </c>
      <c r="E453" s="15" t="str">
        <f t="shared" ca="1" si="85"/>
        <v>1-Months</v>
      </c>
      <c r="F453" s="8" t="str">
        <f>VLOOKUP(N453,Stock[#Data],5,FALSE)</f>
        <v>BE</v>
      </c>
      <c r="G453" s="82" t="s">
        <v>1215</v>
      </c>
      <c r="H453" s="15"/>
      <c r="I453" s="7" t="s">
        <v>839</v>
      </c>
      <c r="J453" s="8" t="str">
        <f>VLOOKUP(I453,Customers[#Data],2,FALSE)</f>
        <v>လူဝကြီး</v>
      </c>
      <c r="K453" s="15" t="str">
        <f>VLOOKUP(I453,Customers[#Data],4,FALSE)</f>
        <v>Belin</v>
      </c>
      <c r="L453" s="15" t="str">
        <f>VLOOKUP(I453,Customers[#Data],5,FALSE)</f>
        <v>Van Sales</v>
      </c>
      <c r="M453" s="7" t="s">
        <v>6</v>
      </c>
      <c r="N453" s="7" t="s">
        <v>516</v>
      </c>
      <c r="O453" s="14" t="str">
        <f>VLOOKUP(N453,Stock[#Data],2,FALSE)</f>
        <v>ဇေ Vodka</v>
      </c>
      <c r="P453" s="44">
        <f>VLOOKUP(N453,Stock[#Data],3,FALSE)</f>
        <v>0.64</v>
      </c>
      <c r="Q453" s="3">
        <f>VLOOKUP(N453,Stock[#Data],4,FALSE)</f>
        <v>14</v>
      </c>
      <c r="R453" s="11"/>
      <c r="S453" s="45">
        <f>IFERROR(Table4[[#This Row],[Bottle]]/Table4[[#This Row],[ပါဝင်မှု]]+Table4[[#This Row],[SalesPK]],0)</f>
        <v>15</v>
      </c>
      <c r="T453" s="12">
        <v>15</v>
      </c>
      <c r="U453" s="10">
        <f>Table4[[#This Row],[ပါဝင်မှု]]*Table4[[#This Row],[SalesPK]]+Table4[[#This Row],[Bottle]]</f>
        <v>210</v>
      </c>
      <c r="V453" s="10">
        <f>Table4[[#This Row],[SalesBot]]*Table4[[#This Row],[ML]]</f>
        <v>134.4</v>
      </c>
      <c r="W453" s="1">
        <f>VLOOKUP(N453,Stock[#Data],6,FALSE)</f>
        <v>1400</v>
      </c>
      <c r="X453" s="8">
        <f>+Table4[[#This Row],[SalesBot]]*Table4[[#This Row],[နှုံး]]</f>
        <v>294000</v>
      </c>
      <c r="Y453" s="12"/>
      <c r="Z453" s="12"/>
      <c r="AA453" s="12"/>
      <c r="AB453" s="9"/>
      <c r="AC453" s="12"/>
      <c r="AD453" s="9"/>
      <c r="AE453" s="12"/>
      <c r="AF45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294000</v>
      </c>
      <c r="AG453" s="24"/>
      <c r="AH453" s="266">
        <f>Table4[[#This Row],[Date]]</f>
        <v>46050</v>
      </c>
      <c r="AI453" s="264" t="str">
        <f t="shared" si="86"/>
        <v>Jan</v>
      </c>
      <c r="AJ453" s="264" t="str">
        <f t="shared" si="87"/>
        <v>2026</v>
      </c>
      <c r="AK453" s="270" t="str">
        <f>Table4[[#This Row],[ကုန်သည်အမည်]]</f>
        <v>လူဝကြီး</v>
      </c>
      <c r="AL453" s="270" t="str">
        <f>Table4[[#This Row],[Township]]</f>
        <v>Belin</v>
      </c>
      <c r="AM453" s="271" t="str">
        <f>Table4[[#This Row],[WholeSales]]</f>
        <v>Van Sales</v>
      </c>
      <c r="AN453" s="272" t="str">
        <f>Table4[[#This Row],[Particular]]</f>
        <v>ကုန်ရောင်း(လက်ငင်း)</v>
      </c>
      <c r="AO453" s="273" t="str">
        <f>Table4[[#This Row],[StockName]]</f>
        <v>ဇေ Vodka</v>
      </c>
      <c r="AP453" s="268">
        <f>Table4[[#This Row],[Parking]]</f>
        <v>15</v>
      </c>
      <c r="AQ453" s="268">
        <f>Table4[[#This Row],[SalesBot]]</f>
        <v>210</v>
      </c>
      <c r="AR453" s="268">
        <f>Table4[[#This Row],[Liter]]</f>
        <v>134.4</v>
      </c>
    </row>
    <row r="454" spans="1:44" s="16" customFormat="1" hidden="1" x14ac:dyDescent="0.5">
      <c r="A454" s="3">
        <f t="shared" si="82"/>
        <v>2026</v>
      </c>
      <c r="B454" s="8">
        <f t="shared" si="83"/>
        <v>1</v>
      </c>
      <c r="C454" s="82">
        <v>46050</v>
      </c>
      <c r="D454" s="15">
        <f t="shared" ca="1" si="84"/>
        <v>46097</v>
      </c>
      <c r="E454" s="15" t="str">
        <f t="shared" ca="1" si="85"/>
        <v>1-Months</v>
      </c>
      <c r="F454" s="8" t="str">
        <f>VLOOKUP(N454,Stock[#Data],5,FALSE)</f>
        <v>BE</v>
      </c>
      <c r="G454" s="82" t="s">
        <v>1215</v>
      </c>
      <c r="H454" s="15"/>
      <c r="I454" s="7" t="s">
        <v>839</v>
      </c>
      <c r="J454" s="8" t="str">
        <f>VLOOKUP(I454,Customers[#Data],2,FALSE)</f>
        <v>လူဝကြီး</v>
      </c>
      <c r="K454" s="15" t="str">
        <f>VLOOKUP(I454,Customers[#Data],4,FALSE)</f>
        <v>Belin</v>
      </c>
      <c r="L454" s="15" t="str">
        <f>VLOOKUP(I454,Customers[#Data],5,FALSE)</f>
        <v>Van Sales</v>
      </c>
      <c r="M454" s="7" t="s">
        <v>9</v>
      </c>
      <c r="N454" s="7" t="s">
        <v>516</v>
      </c>
      <c r="O454" s="14" t="str">
        <f>VLOOKUP(N454,Stock[#Data],2,FALSE)</f>
        <v>ဇေ Vodka</v>
      </c>
      <c r="P454" s="44">
        <f>VLOOKUP(N454,Stock[#Data],3,FALSE)</f>
        <v>0.64</v>
      </c>
      <c r="Q454" s="3">
        <f>VLOOKUP(N454,Stock[#Data],4,FALSE)</f>
        <v>14</v>
      </c>
      <c r="R454" s="11">
        <v>3</v>
      </c>
      <c r="S454" s="45">
        <f>IFERROR(Table4[[#This Row],[Bottle]]/Table4[[#This Row],[ပါဝင်မှု]]+Table4[[#This Row],[SalesPK]],0)</f>
        <v>0.21428571428571427</v>
      </c>
      <c r="T454" s="12"/>
      <c r="U454" s="10">
        <f>Table4[[#This Row],[ပါဝင်မှု]]*Table4[[#This Row],[SalesPK]]+Table4[[#This Row],[Bottle]]</f>
        <v>3</v>
      </c>
      <c r="V454" s="10">
        <f>Table4[[#This Row],[SalesBot]]*Table4[[#This Row],[ML]]</f>
        <v>1.92</v>
      </c>
      <c r="W454" s="1">
        <f>VLOOKUP(N454,Stock[#Data],6,FALSE)</f>
        <v>1400</v>
      </c>
      <c r="X454" s="8">
        <f>+Table4[[#This Row],[SalesBot]]*Table4[[#This Row],[နှုံး]]</f>
        <v>4200</v>
      </c>
      <c r="Y454" s="12"/>
      <c r="Z454" s="12"/>
      <c r="AA454" s="12"/>
      <c r="AB454" s="9"/>
      <c r="AC454" s="12"/>
      <c r="AD454" s="9"/>
      <c r="AE454" s="12"/>
      <c r="AF45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4200</v>
      </c>
      <c r="AG454" s="24"/>
      <c r="AH454" s="266">
        <f>Table4[[#This Row],[Date]]</f>
        <v>46050</v>
      </c>
      <c r="AI454" s="264" t="str">
        <f t="shared" si="86"/>
        <v>Jan</v>
      </c>
      <c r="AJ454" s="264" t="str">
        <f t="shared" si="87"/>
        <v>2026</v>
      </c>
      <c r="AK454" s="270" t="str">
        <f>Table4[[#This Row],[ကုန်သည်အမည်]]</f>
        <v>လူဝကြီး</v>
      </c>
      <c r="AL454" s="270" t="str">
        <f>Table4[[#This Row],[Township]]</f>
        <v>Belin</v>
      </c>
      <c r="AM454" s="271" t="str">
        <f>Table4[[#This Row],[WholeSales]]</f>
        <v>Van Sales</v>
      </c>
      <c r="AN454" s="272" t="str">
        <f>Table4[[#This Row],[Particular]]</f>
        <v>လက်ဆောင်</v>
      </c>
      <c r="AO454" s="273" t="str">
        <f>Table4[[#This Row],[StockName]]</f>
        <v>ဇေ Vodka</v>
      </c>
      <c r="AP454" s="268">
        <f>Table4[[#This Row],[Parking]]</f>
        <v>0.21428571428571427</v>
      </c>
      <c r="AQ454" s="268">
        <f>Table4[[#This Row],[SalesBot]]</f>
        <v>3</v>
      </c>
      <c r="AR454" s="268">
        <f>Table4[[#This Row],[Liter]]</f>
        <v>1.92</v>
      </c>
    </row>
    <row r="455" spans="1:44" s="16" customFormat="1" hidden="1" x14ac:dyDescent="0.5">
      <c r="A455" s="3">
        <f t="shared" si="82"/>
        <v>2026</v>
      </c>
      <c r="B455" s="8">
        <f t="shared" si="83"/>
        <v>1</v>
      </c>
      <c r="C455" s="82">
        <v>46050</v>
      </c>
      <c r="D455" s="15">
        <f t="shared" ca="1" si="84"/>
        <v>46097</v>
      </c>
      <c r="E455" s="15" t="str">
        <f t="shared" ca="1" si="85"/>
        <v>1-Months</v>
      </c>
      <c r="F455" s="8" t="str">
        <f>VLOOKUP(N455,Stock[#Data],5,FALSE)</f>
        <v>BE</v>
      </c>
      <c r="G455" s="82" t="s">
        <v>1216</v>
      </c>
      <c r="H455" s="15"/>
      <c r="I455" s="7" t="s">
        <v>570</v>
      </c>
      <c r="J455" s="8" t="str">
        <f>VLOOKUP(I455,Customers[#Data],2,FALSE)</f>
        <v>မစန္ဒာမိုး</v>
      </c>
      <c r="K455" s="15" t="str">
        <f>VLOOKUP(I455,Customers[#Data],4,FALSE)</f>
        <v>Belin</v>
      </c>
      <c r="L455" s="15" t="str">
        <f>VLOOKUP(I455,Customers[#Data],5,FALSE)</f>
        <v>Van Sales</v>
      </c>
      <c r="M455" s="7" t="s">
        <v>6</v>
      </c>
      <c r="N455" s="7" t="s">
        <v>516</v>
      </c>
      <c r="O455" s="14" t="str">
        <f>VLOOKUP(N455,Stock[#Data],2,FALSE)</f>
        <v>ဇေ Vodka</v>
      </c>
      <c r="P455" s="44">
        <f>VLOOKUP(N455,Stock[#Data],3,FALSE)</f>
        <v>0.64</v>
      </c>
      <c r="Q455" s="3">
        <f>VLOOKUP(N455,Stock[#Data],4,FALSE)</f>
        <v>14</v>
      </c>
      <c r="R455" s="11"/>
      <c r="S455" s="45">
        <f>IFERROR(Table4[[#This Row],[Bottle]]/Table4[[#This Row],[ပါဝင်မှု]]+Table4[[#This Row],[SalesPK]],0)</f>
        <v>10</v>
      </c>
      <c r="T455" s="12">
        <v>10</v>
      </c>
      <c r="U455" s="10">
        <f>Table4[[#This Row],[ပါဝင်မှု]]*Table4[[#This Row],[SalesPK]]+Table4[[#This Row],[Bottle]]</f>
        <v>140</v>
      </c>
      <c r="V455" s="10">
        <f>Table4[[#This Row],[SalesBot]]*Table4[[#This Row],[ML]]</f>
        <v>89.600000000000009</v>
      </c>
      <c r="W455" s="1">
        <f>VLOOKUP(N455,Stock[#Data],6,FALSE)</f>
        <v>1400</v>
      </c>
      <c r="X455" s="8">
        <f>+Table4[[#This Row],[SalesBot]]*Table4[[#This Row],[နှုံး]]</f>
        <v>196000</v>
      </c>
      <c r="Y455" s="12"/>
      <c r="Z455" s="12"/>
      <c r="AA455" s="12"/>
      <c r="AB455" s="9"/>
      <c r="AC455" s="12"/>
      <c r="AD455" s="9"/>
      <c r="AE455" s="12"/>
      <c r="AF45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455" s="24"/>
      <c r="AH455" s="266">
        <f>Table4[[#This Row],[Date]]</f>
        <v>46050</v>
      </c>
      <c r="AI455" s="264" t="str">
        <f t="shared" si="86"/>
        <v>Jan</v>
      </c>
      <c r="AJ455" s="264" t="str">
        <f t="shared" si="87"/>
        <v>2026</v>
      </c>
      <c r="AK455" s="270" t="str">
        <f>Table4[[#This Row],[ကုန်သည်အမည်]]</f>
        <v>မစန္ဒာမိုး</v>
      </c>
      <c r="AL455" s="270" t="str">
        <f>Table4[[#This Row],[Township]]</f>
        <v>Belin</v>
      </c>
      <c r="AM455" s="271" t="str">
        <f>Table4[[#This Row],[WholeSales]]</f>
        <v>Van Sales</v>
      </c>
      <c r="AN455" s="272" t="str">
        <f>Table4[[#This Row],[Particular]]</f>
        <v>ကုန်ရောင်း(လက်ငင်း)</v>
      </c>
      <c r="AO455" s="273" t="str">
        <f>Table4[[#This Row],[StockName]]</f>
        <v>ဇေ Vodka</v>
      </c>
      <c r="AP455" s="268">
        <f>Table4[[#This Row],[Parking]]</f>
        <v>10</v>
      </c>
      <c r="AQ455" s="268">
        <f>Table4[[#This Row],[SalesBot]]</f>
        <v>140</v>
      </c>
      <c r="AR455" s="268">
        <f>Table4[[#This Row],[Liter]]</f>
        <v>89.600000000000009</v>
      </c>
    </row>
    <row r="456" spans="1:44" s="16" customFormat="1" hidden="1" x14ac:dyDescent="0.5">
      <c r="A456" s="3">
        <f t="shared" si="82"/>
        <v>2026</v>
      </c>
      <c r="B456" s="8">
        <f t="shared" si="83"/>
        <v>1</v>
      </c>
      <c r="C456" s="82">
        <v>46050</v>
      </c>
      <c r="D456" s="15">
        <f t="shared" ca="1" si="84"/>
        <v>46097</v>
      </c>
      <c r="E456" s="15" t="str">
        <f t="shared" ca="1" si="85"/>
        <v>1-Months</v>
      </c>
      <c r="F456" s="8" t="str">
        <f>VLOOKUP(N456,Stock[#Data],5,FALSE)</f>
        <v>BE</v>
      </c>
      <c r="G456" s="82" t="s">
        <v>1216</v>
      </c>
      <c r="H456" s="15"/>
      <c r="I456" s="7" t="s">
        <v>570</v>
      </c>
      <c r="J456" s="8" t="str">
        <f>VLOOKUP(I456,Customers[#Data],2,FALSE)</f>
        <v>မစန္ဒာမိုး</v>
      </c>
      <c r="K456" s="15" t="str">
        <f>VLOOKUP(I456,Customers[#Data],4,FALSE)</f>
        <v>Belin</v>
      </c>
      <c r="L456" s="15" t="str">
        <f>VLOOKUP(I456,Customers[#Data],5,FALSE)</f>
        <v>Van Sales</v>
      </c>
      <c r="M456" s="7" t="s">
        <v>6</v>
      </c>
      <c r="N456" s="7" t="s">
        <v>518</v>
      </c>
      <c r="O456" s="14" t="str">
        <f>VLOOKUP(N456,Stock[#Data],2,FALSE)</f>
        <v>"ဇေ" ကော်ဘူး (1 Liter)</v>
      </c>
      <c r="P456" s="44">
        <f>VLOOKUP(N456,Stock[#Data],3,FALSE)</f>
        <v>1</v>
      </c>
      <c r="Q456" s="3">
        <f>VLOOKUP(N456,Stock[#Data],4,FALSE)</f>
        <v>12</v>
      </c>
      <c r="R456" s="11"/>
      <c r="S456" s="45">
        <f>IFERROR(Table4[[#This Row],[Bottle]]/Table4[[#This Row],[ပါဝင်မှု]]+Table4[[#This Row],[SalesPK]],0)</f>
        <v>50</v>
      </c>
      <c r="T456" s="12">
        <v>50</v>
      </c>
      <c r="U456" s="10">
        <f>Table4[[#This Row],[ပါဝင်မှု]]*Table4[[#This Row],[SalesPK]]+Table4[[#This Row],[Bottle]]</f>
        <v>600</v>
      </c>
      <c r="V456" s="10">
        <f>Table4[[#This Row],[SalesBot]]*Table4[[#This Row],[ML]]</f>
        <v>600</v>
      </c>
      <c r="W456" s="1">
        <f>VLOOKUP(N456,Stock[#Data],6,FALSE)</f>
        <v>1675</v>
      </c>
      <c r="X456" s="8">
        <f>+Table4[[#This Row],[SalesBot]]*Table4[[#This Row],[နှုံး]]</f>
        <v>1005000</v>
      </c>
      <c r="Y456" s="12"/>
      <c r="Z456" s="12"/>
      <c r="AA456" s="12"/>
      <c r="AB456" s="9"/>
      <c r="AC456" s="12"/>
      <c r="AD456" s="9"/>
      <c r="AE456" s="12"/>
      <c r="AF45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1005000</v>
      </c>
      <c r="AG456" s="24"/>
      <c r="AH456" s="266">
        <f>Table4[[#This Row],[Date]]</f>
        <v>46050</v>
      </c>
      <c r="AI456" s="264" t="str">
        <f t="shared" si="86"/>
        <v>Jan</v>
      </c>
      <c r="AJ456" s="264" t="str">
        <f t="shared" si="87"/>
        <v>2026</v>
      </c>
      <c r="AK456" s="270" t="str">
        <f>Table4[[#This Row],[ကုန်သည်အမည်]]</f>
        <v>မစန္ဒာမိုး</v>
      </c>
      <c r="AL456" s="270" t="str">
        <f>Table4[[#This Row],[Township]]</f>
        <v>Belin</v>
      </c>
      <c r="AM456" s="271" t="str">
        <f>Table4[[#This Row],[WholeSales]]</f>
        <v>Van Sales</v>
      </c>
      <c r="AN456" s="272" t="str">
        <f>Table4[[#This Row],[Particular]]</f>
        <v>ကုန်ရောင်း(လက်ငင်း)</v>
      </c>
      <c r="AO456" s="273" t="str">
        <f>Table4[[#This Row],[StockName]]</f>
        <v>"ဇေ" ကော်ဘူး (1 Liter)</v>
      </c>
      <c r="AP456" s="268">
        <f>Table4[[#This Row],[Parking]]</f>
        <v>50</v>
      </c>
      <c r="AQ456" s="268">
        <f>Table4[[#This Row],[SalesBot]]</f>
        <v>600</v>
      </c>
      <c r="AR456" s="268">
        <f>Table4[[#This Row],[Liter]]</f>
        <v>600</v>
      </c>
    </row>
    <row r="457" spans="1:44" s="16" customFormat="1" hidden="1" x14ac:dyDescent="0.5">
      <c r="A457" s="3">
        <f t="shared" si="74"/>
        <v>2026</v>
      </c>
      <c r="B457" s="8">
        <f t="shared" si="75"/>
        <v>1</v>
      </c>
      <c r="C457" s="82">
        <v>46050</v>
      </c>
      <c r="D457" s="15">
        <f t="shared" ca="1" si="76"/>
        <v>46097</v>
      </c>
      <c r="E457" s="15" t="str">
        <f t="shared" ca="1" si="77"/>
        <v>1-Months</v>
      </c>
      <c r="F457" s="8" t="str">
        <f>VLOOKUP(N457,Stock[#Data],5,FALSE)</f>
        <v>BE</v>
      </c>
      <c r="G457" s="82" t="s">
        <v>1216</v>
      </c>
      <c r="H457" s="15"/>
      <c r="I457" s="7" t="s">
        <v>570</v>
      </c>
      <c r="J457" s="8" t="str">
        <f>VLOOKUP(I457,Customers[#Data],2,FALSE)</f>
        <v>မစန္ဒာမိုး</v>
      </c>
      <c r="K457" s="15" t="str">
        <f>VLOOKUP(I457,Customers[#Data],4,FALSE)</f>
        <v>Belin</v>
      </c>
      <c r="L457" s="15" t="str">
        <f>VLOOKUP(I457,Customers[#Data],5,FALSE)</f>
        <v>Van Sales</v>
      </c>
      <c r="M457" s="7" t="s">
        <v>9</v>
      </c>
      <c r="N457" s="7" t="s">
        <v>516</v>
      </c>
      <c r="O457" s="14" t="str">
        <f>VLOOKUP(N457,Stock[#Data],2,FALSE)</f>
        <v>ဇေ Vodka</v>
      </c>
      <c r="P457" s="44">
        <f>VLOOKUP(N457,Stock[#Data],3,FALSE)</f>
        <v>0.64</v>
      </c>
      <c r="Q457" s="3">
        <f>VLOOKUP(N457,Stock[#Data],4,FALSE)</f>
        <v>14</v>
      </c>
      <c r="R457" s="11">
        <v>3</v>
      </c>
      <c r="S457" s="45">
        <f>IFERROR(Table4[[#This Row],[Bottle]]/Table4[[#This Row],[ပါဝင်မှု]]+Table4[[#This Row],[SalesPK]],0)</f>
        <v>0.21428571428571427</v>
      </c>
      <c r="T457" s="12"/>
      <c r="U457" s="10">
        <f>Table4[[#This Row],[ပါဝင်မှု]]*Table4[[#This Row],[SalesPK]]+Table4[[#This Row],[Bottle]]</f>
        <v>3</v>
      </c>
      <c r="V457" s="10">
        <f>Table4[[#This Row],[SalesBot]]*Table4[[#This Row],[ML]]</f>
        <v>1.92</v>
      </c>
      <c r="W457" s="1">
        <f>VLOOKUP(N457,Stock[#Data],6,FALSE)</f>
        <v>1400</v>
      </c>
      <c r="X457" s="8">
        <f>+Table4[[#This Row],[SalesBot]]*Table4[[#This Row],[နှုံး]]</f>
        <v>4200</v>
      </c>
      <c r="Y457" s="12"/>
      <c r="Z457" s="12"/>
      <c r="AA457" s="12"/>
      <c r="AB457" s="9"/>
      <c r="AC457" s="12"/>
      <c r="AD457" s="9"/>
      <c r="AE457" s="12"/>
      <c r="AF45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4200</v>
      </c>
      <c r="AG457" s="24"/>
      <c r="AH457" s="266">
        <f>Table4[[#This Row],[Date]]</f>
        <v>46050</v>
      </c>
      <c r="AI457" s="264" t="str">
        <f t="shared" si="86"/>
        <v>Jan</v>
      </c>
      <c r="AJ457" s="264" t="str">
        <f t="shared" si="87"/>
        <v>2026</v>
      </c>
      <c r="AK457" s="270" t="str">
        <f>Table4[[#This Row],[ကုန်သည်အမည်]]</f>
        <v>မစန္ဒာမိုး</v>
      </c>
      <c r="AL457" s="270" t="str">
        <f>Table4[[#This Row],[Township]]</f>
        <v>Belin</v>
      </c>
      <c r="AM457" s="271" t="str">
        <f>Table4[[#This Row],[WholeSales]]</f>
        <v>Van Sales</v>
      </c>
      <c r="AN457" s="272" t="str">
        <f>Table4[[#This Row],[Particular]]</f>
        <v>လက်ဆောင်</v>
      </c>
      <c r="AO457" s="273" t="str">
        <f>Table4[[#This Row],[StockName]]</f>
        <v>ဇေ Vodka</v>
      </c>
      <c r="AP457" s="268">
        <f>Table4[[#This Row],[Parking]]</f>
        <v>0.21428571428571427</v>
      </c>
      <c r="AQ457" s="268">
        <f>Table4[[#This Row],[SalesBot]]</f>
        <v>3</v>
      </c>
      <c r="AR457" s="268">
        <f>Table4[[#This Row],[Liter]]</f>
        <v>1.92</v>
      </c>
    </row>
    <row r="458" spans="1:44" s="16" customFormat="1" hidden="1" x14ac:dyDescent="0.5">
      <c r="A458" s="3">
        <f t="shared" si="74"/>
        <v>2026</v>
      </c>
      <c r="B458" s="8">
        <f t="shared" si="75"/>
        <v>1</v>
      </c>
      <c r="C458" s="82">
        <v>46051</v>
      </c>
      <c r="D458" s="15">
        <f t="shared" ca="1" si="76"/>
        <v>46097</v>
      </c>
      <c r="E458" s="15" t="str">
        <f t="shared" ca="1" si="77"/>
        <v>1-Months</v>
      </c>
      <c r="F458" s="8" t="str">
        <f>VLOOKUP(N458,Stock[#Data],5,FALSE)</f>
        <v>BE</v>
      </c>
      <c r="G458" s="82" t="s">
        <v>1217</v>
      </c>
      <c r="H458" s="15"/>
      <c r="I458" s="7" t="s">
        <v>538</v>
      </c>
      <c r="J458" s="8" t="str">
        <f>VLOOKUP(I458,Customers[#Data],2,FALSE)</f>
        <v>ဒေါ်နွယ်နွယ်ရီ(ရွှေတောင်ကြား)</v>
      </c>
      <c r="K458" s="15" t="str">
        <f>VLOOKUP(I458,Customers[#Data],4,FALSE)</f>
        <v>Yay</v>
      </c>
      <c r="L458" s="15" t="str">
        <f>VLOOKUP(I458,Customers[#Data],5,FALSE)</f>
        <v>WholeSales</v>
      </c>
      <c r="M458" s="7" t="s">
        <v>7</v>
      </c>
      <c r="N458" s="7" t="s">
        <v>514</v>
      </c>
      <c r="O458" s="14" t="str">
        <f>VLOOKUP(N458,Stock[#Data],2,FALSE)</f>
        <v>ဇေယျဝတီ Red</v>
      </c>
      <c r="P458" s="44">
        <f>VLOOKUP(N458,Stock[#Data],3,FALSE)</f>
        <v>0.64</v>
      </c>
      <c r="Q458" s="3">
        <f>VLOOKUP(N458,Stock[#Data],4,FALSE)</f>
        <v>14</v>
      </c>
      <c r="R458" s="11"/>
      <c r="S458" s="45">
        <f>IFERROR(Table4[[#This Row],[Bottle]]/Table4[[#This Row],[ပါဝင်မှု]]+Table4[[#This Row],[SalesPK]],0)</f>
        <v>300</v>
      </c>
      <c r="T458" s="12">
        <v>300</v>
      </c>
      <c r="U458" s="10">
        <f>Table4[[#This Row],[ပါဝင်မှု]]*Table4[[#This Row],[SalesPK]]+Table4[[#This Row],[Bottle]]</f>
        <v>4200</v>
      </c>
      <c r="V458" s="10">
        <f>Table4[[#This Row],[SalesBot]]*Table4[[#This Row],[ML]]</f>
        <v>2688</v>
      </c>
      <c r="W458" s="1">
        <f>VLOOKUP(N458,Stock[#Data],6,FALSE)</f>
        <v>1350</v>
      </c>
      <c r="X458" s="8">
        <f>+Table4[[#This Row],[SalesBot]]*Table4[[#This Row],[နှုံး]]</f>
        <v>5670000</v>
      </c>
      <c r="Y458" s="12"/>
      <c r="Z458" s="12"/>
      <c r="AA458" s="12"/>
      <c r="AB458" s="9"/>
      <c r="AC458" s="12"/>
      <c r="AD458" s="9"/>
      <c r="AE458" s="12"/>
      <c r="AF45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5670000</v>
      </c>
      <c r="AG458" s="24"/>
      <c r="AH458" s="266">
        <f>Table4[[#This Row],[Date]]</f>
        <v>46051</v>
      </c>
      <c r="AI458" s="264" t="str">
        <f t="shared" si="86"/>
        <v>Jan</v>
      </c>
      <c r="AJ458" s="264" t="str">
        <f t="shared" si="87"/>
        <v>2026</v>
      </c>
      <c r="AK458" s="270" t="str">
        <f>Table4[[#This Row],[ကုန်သည်အမည်]]</f>
        <v>ဒေါ်နွယ်နွယ်ရီ(ရွှေတောင်ကြား)</v>
      </c>
      <c r="AL458" s="270" t="str">
        <f>Table4[[#This Row],[Township]]</f>
        <v>Yay</v>
      </c>
      <c r="AM458" s="271" t="str">
        <f>Table4[[#This Row],[WholeSales]]</f>
        <v>WholeSales</v>
      </c>
      <c r="AN458" s="272" t="str">
        <f>Table4[[#This Row],[Particular]]</f>
        <v>ကုန်ရောင်း(အကြွေး)</v>
      </c>
      <c r="AO458" s="273" t="str">
        <f>Table4[[#This Row],[StockName]]</f>
        <v>ဇေယျဝတီ Red</v>
      </c>
      <c r="AP458" s="268">
        <f>Table4[[#This Row],[Parking]]</f>
        <v>300</v>
      </c>
      <c r="AQ458" s="268">
        <f>Table4[[#This Row],[SalesBot]]</f>
        <v>4200</v>
      </c>
      <c r="AR458" s="268">
        <f>Table4[[#This Row],[Liter]]</f>
        <v>2688</v>
      </c>
    </row>
    <row r="459" spans="1:44" s="16" customFormat="1" hidden="1" x14ac:dyDescent="0.5">
      <c r="A459" s="3">
        <f t="shared" ref="A459:A516" si="88">YEAR(C459)</f>
        <v>2026</v>
      </c>
      <c r="B459" s="8">
        <f t="shared" ref="B459:B516" si="89">MONTH(C459)</f>
        <v>1</v>
      </c>
      <c r="C459" s="82">
        <v>46051</v>
      </c>
      <c r="D459" s="15">
        <f t="shared" ref="D459:D516" ca="1" si="90">TODAY()</f>
        <v>46097</v>
      </c>
      <c r="E459" s="15" t="str">
        <f t="shared" ref="E459:E516" ca="1" si="91">DATEDIF(C459,D459,"M")&amp;"-Months"</f>
        <v>1-Months</v>
      </c>
      <c r="F459" s="8" t="str">
        <f>VLOOKUP(N459,Stock[#Data],5,FALSE)</f>
        <v>BE</v>
      </c>
      <c r="G459" s="82" t="s">
        <v>1218</v>
      </c>
      <c r="H459" s="15"/>
      <c r="I459" s="7" t="s">
        <v>85</v>
      </c>
      <c r="J459" s="8" t="str">
        <f>VLOOKUP(I459,Customers[#Data],2,FALSE)</f>
        <v>ဒေါ်မိုးမိုးမြင့်</v>
      </c>
      <c r="K459" s="15" t="str">
        <f>VLOOKUP(I459,Customers[#Data],4,FALSE)</f>
        <v>Mudon</v>
      </c>
      <c r="L459" s="15" t="str">
        <f>VLOOKUP(I459,Customers[#Data],5,FALSE)</f>
        <v>Van Sales</v>
      </c>
      <c r="M459" s="7" t="s">
        <v>7</v>
      </c>
      <c r="N459" s="7" t="s">
        <v>520</v>
      </c>
      <c r="O459" s="14" t="str">
        <f>VLOOKUP(N459,Stock[#Data],2,FALSE)</f>
        <v>ဇေယျဝတီ  Red(ပု)</v>
      </c>
      <c r="P459" s="44">
        <f>VLOOKUP(N459,Stock[#Data],3,FALSE)</f>
        <v>0.64</v>
      </c>
      <c r="Q459" s="3">
        <f>VLOOKUP(N459,Stock[#Data],4,FALSE)</f>
        <v>14</v>
      </c>
      <c r="R459" s="11"/>
      <c r="S459" s="45">
        <f>IFERROR(Table4[[#This Row],[Bottle]]/Table4[[#This Row],[ပါဝင်မှု]]+Table4[[#This Row],[SalesPK]],0)</f>
        <v>20</v>
      </c>
      <c r="T459" s="12">
        <v>20</v>
      </c>
      <c r="U459" s="10">
        <f>Table4[[#This Row],[ပါဝင်မှု]]*Table4[[#This Row],[SalesPK]]+Table4[[#This Row],[Bottle]]</f>
        <v>280</v>
      </c>
      <c r="V459" s="10">
        <f>Table4[[#This Row],[SalesBot]]*Table4[[#This Row],[ML]]</f>
        <v>179.20000000000002</v>
      </c>
      <c r="W459" s="1">
        <f>VLOOKUP(N459,Stock[#Data],6,FALSE)</f>
        <v>1800</v>
      </c>
      <c r="X459" s="8">
        <f>+Table4[[#This Row],[SalesBot]]*Table4[[#This Row],[နှုံး]]</f>
        <v>504000</v>
      </c>
      <c r="Y459" s="12"/>
      <c r="Z459" s="12"/>
      <c r="AA459" s="12"/>
      <c r="AB459" s="9"/>
      <c r="AC459" s="12"/>
      <c r="AD459" s="9"/>
      <c r="AE459" s="12"/>
      <c r="AF45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504000</v>
      </c>
      <c r="AG459" s="24"/>
      <c r="AH459" s="266">
        <f>Table4[[#This Row],[Date]]</f>
        <v>46051</v>
      </c>
      <c r="AI459" s="264" t="str">
        <f t="shared" si="86"/>
        <v>Jan</v>
      </c>
      <c r="AJ459" s="264" t="str">
        <f t="shared" si="87"/>
        <v>2026</v>
      </c>
      <c r="AK459" s="270" t="str">
        <f>Table4[[#This Row],[ကုန်သည်အမည်]]</f>
        <v>ဒေါ်မိုးမိုးမြင့်</v>
      </c>
      <c r="AL459" s="270" t="str">
        <f>Table4[[#This Row],[Township]]</f>
        <v>Mudon</v>
      </c>
      <c r="AM459" s="271" t="str">
        <f>Table4[[#This Row],[WholeSales]]</f>
        <v>Van Sales</v>
      </c>
      <c r="AN459" s="272" t="str">
        <f>Table4[[#This Row],[Particular]]</f>
        <v>ကုန်ရောင်း(အကြွေး)</v>
      </c>
      <c r="AO459" s="273" t="str">
        <f>Table4[[#This Row],[StockName]]</f>
        <v>ဇေယျဝတီ  Red(ပု)</v>
      </c>
      <c r="AP459" s="268">
        <f>Table4[[#This Row],[Parking]]</f>
        <v>20</v>
      </c>
      <c r="AQ459" s="268">
        <f>Table4[[#This Row],[SalesBot]]</f>
        <v>280</v>
      </c>
      <c r="AR459" s="268">
        <f>Table4[[#This Row],[Liter]]</f>
        <v>179.20000000000002</v>
      </c>
    </row>
    <row r="460" spans="1:44" s="16" customFormat="1" hidden="1" x14ac:dyDescent="0.5">
      <c r="A460" s="3">
        <f t="shared" si="88"/>
        <v>2026</v>
      </c>
      <c r="B460" s="8">
        <f t="shared" si="89"/>
        <v>1</v>
      </c>
      <c r="C460" s="82">
        <v>46051</v>
      </c>
      <c r="D460" s="15">
        <f t="shared" ca="1" si="90"/>
        <v>46097</v>
      </c>
      <c r="E460" s="15" t="str">
        <f t="shared" ca="1" si="91"/>
        <v>1-Months</v>
      </c>
      <c r="F460" s="8" t="str">
        <f>VLOOKUP(N460,Stock[#Data],5,FALSE)</f>
        <v>BE</v>
      </c>
      <c r="G460" s="82" t="s">
        <v>1219</v>
      </c>
      <c r="H460" s="15"/>
      <c r="I460" s="7" t="s">
        <v>95</v>
      </c>
      <c r="J460" s="8" t="str">
        <f>VLOOKUP(I460,Customers[#Data],2,FALSE)</f>
        <v>ကျော်စတား</v>
      </c>
      <c r="K460" s="15" t="str">
        <f>VLOOKUP(I460,Customers[#Data],4,FALSE)</f>
        <v>Yay</v>
      </c>
      <c r="L460" s="15" t="str">
        <f>VLOOKUP(I460,Customers[#Data],5,FALSE)</f>
        <v>WholeSales</v>
      </c>
      <c r="M460" s="7" t="s">
        <v>7</v>
      </c>
      <c r="N460" s="7" t="s">
        <v>514</v>
      </c>
      <c r="O460" s="14" t="str">
        <f>VLOOKUP(N460,Stock[#Data],2,FALSE)</f>
        <v>ဇေယျဝတီ Red</v>
      </c>
      <c r="P460" s="44">
        <f>VLOOKUP(N460,Stock[#Data],3,FALSE)</f>
        <v>0.64</v>
      </c>
      <c r="Q460" s="3">
        <f>VLOOKUP(N460,Stock[#Data],4,FALSE)</f>
        <v>14</v>
      </c>
      <c r="R460" s="11"/>
      <c r="S460" s="45">
        <f>IFERROR(Table4[[#This Row],[Bottle]]/Table4[[#This Row],[ပါဝင်မှု]]+Table4[[#This Row],[SalesPK]],0)</f>
        <v>80</v>
      </c>
      <c r="T460" s="12">
        <v>80</v>
      </c>
      <c r="U460" s="10">
        <f>Table4[[#This Row],[ပါဝင်မှု]]*Table4[[#This Row],[SalesPK]]+Table4[[#This Row],[Bottle]]</f>
        <v>1120</v>
      </c>
      <c r="V460" s="10">
        <f>Table4[[#This Row],[SalesBot]]*Table4[[#This Row],[ML]]</f>
        <v>716.80000000000007</v>
      </c>
      <c r="W460" s="1">
        <f>VLOOKUP(N460,Stock[#Data],6,FALSE)</f>
        <v>1350</v>
      </c>
      <c r="X460" s="8">
        <f>+Table4[[#This Row],[SalesBot]]*Table4[[#This Row],[နှုံး]]</f>
        <v>1512000</v>
      </c>
      <c r="Y460" s="12"/>
      <c r="Z460" s="12"/>
      <c r="AA460" s="12"/>
      <c r="AB460" s="9"/>
      <c r="AC460" s="12"/>
      <c r="AD460" s="9"/>
      <c r="AE460" s="12"/>
      <c r="AF46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1512000</v>
      </c>
      <c r="AG460" s="24"/>
      <c r="AH460" s="266">
        <f>Table4[[#This Row],[Date]]</f>
        <v>46051</v>
      </c>
      <c r="AI460" s="264" t="str">
        <f t="shared" si="86"/>
        <v>Jan</v>
      </c>
      <c r="AJ460" s="264" t="str">
        <f t="shared" si="87"/>
        <v>2026</v>
      </c>
      <c r="AK460" s="270" t="str">
        <f>Table4[[#This Row],[ကုန်သည်အမည်]]</f>
        <v>ကျော်စတား</v>
      </c>
      <c r="AL460" s="270" t="str">
        <f>Table4[[#This Row],[Township]]</f>
        <v>Yay</v>
      </c>
      <c r="AM460" s="271" t="str">
        <f>Table4[[#This Row],[WholeSales]]</f>
        <v>WholeSales</v>
      </c>
      <c r="AN460" s="272" t="str">
        <f>Table4[[#This Row],[Particular]]</f>
        <v>ကုန်ရောင်း(အကြွေး)</v>
      </c>
      <c r="AO460" s="273" t="str">
        <f>Table4[[#This Row],[StockName]]</f>
        <v>ဇေယျဝတီ Red</v>
      </c>
      <c r="AP460" s="268">
        <f>Table4[[#This Row],[Parking]]</f>
        <v>80</v>
      </c>
      <c r="AQ460" s="268">
        <f>Table4[[#This Row],[SalesBot]]</f>
        <v>1120</v>
      </c>
      <c r="AR460" s="268">
        <f>Table4[[#This Row],[Liter]]</f>
        <v>716.80000000000007</v>
      </c>
    </row>
    <row r="461" spans="1:44" s="16" customFormat="1" hidden="1" x14ac:dyDescent="0.5">
      <c r="A461" s="3">
        <f t="shared" si="88"/>
        <v>2026</v>
      </c>
      <c r="B461" s="8">
        <f t="shared" si="89"/>
        <v>1</v>
      </c>
      <c r="C461" s="82">
        <v>46051</v>
      </c>
      <c r="D461" s="15">
        <f t="shared" ca="1" si="90"/>
        <v>46097</v>
      </c>
      <c r="E461" s="15" t="str">
        <f t="shared" ca="1" si="91"/>
        <v>1-Months</v>
      </c>
      <c r="F461" s="8" t="str">
        <f>VLOOKUP(N461,Stock[#Data],5,FALSE)</f>
        <v>BE</v>
      </c>
      <c r="G461" s="82" t="s">
        <v>1219</v>
      </c>
      <c r="H461" s="15"/>
      <c r="I461" s="7" t="s">
        <v>95</v>
      </c>
      <c r="J461" s="8" t="str">
        <f>VLOOKUP(I461,Customers[#Data],2,FALSE)</f>
        <v>ကျော်စတား</v>
      </c>
      <c r="K461" s="15" t="str">
        <f>VLOOKUP(I461,Customers[#Data],4,FALSE)</f>
        <v>Yay</v>
      </c>
      <c r="L461" s="15" t="str">
        <f>VLOOKUP(I461,Customers[#Data],5,FALSE)</f>
        <v>WholeSales</v>
      </c>
      <c r="M461" s="7" t="s">
        <v>7</v>
      </c>
      <c r="N461" s="7" t="s">
        <v>517</v>
      </c>
      <c r="O461" s="14" t="str">
        <f>VLOOKUP(N461,Stock[#Data],2,FALSE)</f>
        <v>ဇေယျဝတီ Red (1 Liter) 30%</v>
      </c>
      <c r="P461" s="44">
        <f>VLOOKUP(N461,Stock[#Data],3,FALSE)</f>
        <v>1</v>
      </c>
      <c r="Q461" s="3">
        <f>VLOOKUP(N461,Stock[#Data],4,FALSE)</f>
        <v>12</v>
      </c>
      <c r="R461" s="11"/>
      <c r="S461" s="45">
        <f>IFERROR(Table4[[#This Row],[Bottle]]/Table4[[#This Row],[ပါဝင်မှု]]+Table4[[#This Row],[SalesPK]],0)</f>
        <v>100</v>
      </c>
      <c r="T461" s="12">
        <v>100</v>
      </c>
      <c r="U461" s="10">
        <f>Table4[[#This Row],[ပါဝင်မှု]]*Table4[[#This Row],[SalesPK]]+Table4[[#This Row],[Bottle]]</f>
        <v>1200</v>
      </c>
      <c r="V461" s="10">
        <f>Table4[[#This Row],[SalesBot]]*Table4[[#This Row],[ML]]</f>
        <v>1200</v>
      </c>
      <c r="W461" s="1">
        <f>VLOOKUP(N461,Stock[#Data],6,FALSE)</f>
        <v>1710</v>
      </c>
      <c r="X461" s="8">
        <f>+Table4[[#This Row],[SalesBot]]*Table4[[#This Row],[နှုံး]]</f>
        <v>2052000</v>
      </c>
      <c r="Y461" s="12"/>
      <c r="Z461" s="12"/>
      <c r="AA461" s="12"/>
      <c r="AB461" s="9"/>
      <c r="AC461" s="12"/>
      <c r="AD461" s="9"/>
      <c r="AE461" s="12"/>
      <c r="AF46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461" s="24"/>
      <c r="AH461" s="266">
        <f>Table4[[#This Row],[Date]]</f>
        <v>46051</v>
      </c>
      <c r="AI461" s="264" t="str">
        <f t="shared" si="86"/>
        <v>Jan</v>
      </c>
      <c r="AJ461" s="264" t="str">
        <f t="shared" si="87"/>
        <v>2026</v>
      </c>
      <c r="AK461" s="270" t="str">
        <f>Table4[[#This Row],[ကုန်သည်အမည်]]</f>
        <v>ကျော်စတား</v>
      </c>
      <c r="AL461" s="270" t="str">
        <f>Table4[[#This Row],[Township]]</f>
        <v>Yay</v>
      </c>
      <c r="AM461" s="271" t="str">
        <f>Table4[[#This Row],[WholeSales]]</f>
        <v>WholeSales</v>
      </c>
      <c r="AN461" s="272" t="str">
        <f>Table4[[#This Row],[Particular]]</f>
        <v>ကုန်ရောင်း(အကြွေး)</v>
      </c>
      <c r="AO461" s="273" t="str">
        <f>Table4[[#This Row],[StockName]]</f>
        <v>ဇေယျဝတီ Red (1 Liter) 30%</v>
      </c>
      <c r="AP461" s="268">
        <f>Table4[[#This Row],[Parking]]</f>
        <v>100</v>
      </c>
      <c r="AQ461" s="268">
        <f>Table4[[#This Row],[SalesBot]]</f>
        <v>1200</v>
      </c>
      <c r="AR461" s="268">
        <f>Table4[[#This Row],[Liter]]</f>
        <v>1200</v>
      </c>
    </row>
    <row r="462" spans="1:44" s="16" customFormat="1" hidden="1" x14ac:dyDescent="0.5">
      <c r="A462" s="3">
        <f t="shared" si="88"/>
        <v>2026</v>
      </c>
      <c r="B462" s="8">
        <f t="shared" si="89"/>
        <v>1</v>
      </c>
      <c r="C462" s="82">
        <v>46051</v>
      </c>
      <c r="D462" s="15">
        <f t="shared" ca="1" si="90"/>
        <v>46097</v>
      </c>
      <c r="E462" s="15" t="str">
        <f t="shared" ca="1" si="91"/>
        <v>1-Months</v>
      </c>
      <c r="F462" s="8" t="str">
        <f>VLOOKUP(N462,Stock[#Data],5,FALSE)</f>
        <v>BE</v>
      </c>
      <c r="G462" s="82" t="s">
        <v>1220</v>
      </c>
      <c r="H462" s="15"/>
      <c r="I462" s="7" t="s">
        <v>296</v>
      </c>
      <c r="J462" s="8" t="str">
        <f>VLOOKUP(I462,Customers[#Data],2,FALSE)</f>
        <v>A1</v>
      </c>
      <c r="K462" s="15" t="str">
        <f>VLOOKUP(I462,Customers[#Data],4,FALSE)</f>
        <v>Maw La Myaing</v>
      </c>
      <c r="L462" s="15" t="str">
        <f>VLOOKUP(I462,Customers[#Data],5,FALSE)</f>
        <v>SemiWholeSales</v>
      </c>
      <c r="M462" s="7" t="s">
        <v>6</v>
      </c>
      <c r="N462" s="7" t="s">
        <v>516</v>
      </c>
      <c r="O462" s="14" t="str">
        <f>VLOOKUP(N462,Stock[#Data],2,FALSE)</f>
        <v>ဇေ Vodka</v>
      </c>
      <c r="P462" s="44">
        <f>VLOOKUP(N462,Stock[#Data],3,FALSE)</f>
        <v>0.64</v>
      </c>
      <c r="Q462" s="3">
        <f>VLOOKUP(N462,Stock[#Data],4,FALSE)</f>
        <v>14</v>
      </c>
      <c r="R462" s="11"/>
      <c r="S462" s="45">
        <f>IFERROR(Table4[[#This Row],[Bottle]]/Table4[[#This Row],[ပါဝင်မှု]]+Table4[[#This Row],[SalesPK]],0)</f>
        <v>25</v>
      </c>
      <c r="T462" s="12">
        <v>25</v>
      </c>
      <c r="U462" s="10">
        <f>Table4[[#This Row],[ပါဝင်မှု]]*Table4[[#This Row],[SalesPK]]+Table4[[#This Row],[Bottle]]</f>
        <v>350</v>
      </c>
      <c r="V462" s="10">
        <f>Table4[[#This Row],[SalesBot]]*Table4[[#This Row],[ML]]</f>
        <v>224</v>
      </c>
      <c r="W462" s="1">
        <f>VLOOKUP(N462,Stock[#Data],6,FALSE)</f>
        <v>1400</v>
      </c>
      <c r="X462" s="8">
        <f>+Table4[[#This Row],[SalesBot]]*Table4[[#This Row],[နှုံး]]</f>
        <v>490000</v>
      </c>
      <c r="Y462" s="12"/>
      <c r="Z462" s="12"/>
      <c r="AA462" s="12"/>
      <c r="AB462" s="9"/>
      <c r="AC462" s="12"/>
      <c r="AD462" s="9"/>
      <c r="AE462" s="12"/>
      <c r="AF46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490000</v>
      </c>
      <c r="AG462" s="24"/>
      <c r="AH462" s="266">
        <f>Table4[[#This Row],[Date]]</f>
        <v>46051</v>
      </c>
      <c r="AI462" s="264" t="str">
        <f t="shared" si="86"/>
        <v>Jan</v>
      </c>
      <c r="AJ462" s="264" t="str">
        <f t="shared" si="87"/>
        <v>2026</v>
      </c>
      <c r="AK462" s="270" t="str">
        <f>Table4[[#This Row],[ကုန်သည်အမည်]]</f>
        <v>A1</v>
      </c>
      <c r="AL462" s="270" t="str">
        <f>Table4[[#This Row],[Township]]</f>
        <v>Maw La Myaing</v>
      </c>
      <c r="AM462" s="271" t="str">
        <f>Table4[[#This Row],[WholeSales]]</f>
        <v>SemiWholeSales</v>
      </c>
      <c r="AN462" s="272" t="str">
        <f>Table4[[#This Row],[Particular]]</f>
        <v>ကုန်ရောင်း(လက်ငင်း)</v>
      </c>
      <c r="AO462" s="273" t="str">
        <f>Table4[[#This Row],[StockName]]</f>
        <v>ဇေ Vodka</v>
      </c>
      <c r="AP462" s="268">
        <f>Table4[[#This Row],[Parking]]</f>
        <v>25</v>
      </c>
      <c r="AQ462" s="268">
        <f>Table4[[#This Row],[SalesBot]]</f>
        <v>350</v>
      </c>
      <c r="AR462" s="268">
        <f>Table4[[#This Row],[Liter]]</f>
        <v>224</v>
      </c>
    </row>
    <row r="463" spans="1:44" s="16" customFormat="1" hidden="1" x14ac:dyDescent="0.5">
      <c r="A463" s="3">
        <f t="shared" si="88"/>
        <v>2026</v>
      </c>
      <c r="B463" s="8">
        <f t="shared" si="89"/>
        <v>1</v>
      </c>
      <c r="C463" s="82">
        <v>46051</v>
      </c>
      <c r="D463" s="15">
        <f t="shared" ca="1" si="90"/>
        <v>46097</v>
      </c>
      <c r="E463" s="15" t="str">
        <f t="shared" ca="1" si="91"/>
        <v>1-Months</v>
      </c>
      <c r="F463" s="8" t="str">
        <f>VLOOKUP(N463,Stock[#Data],5,FALSE)</f>
        <v>BE</v>
      </c>
      <c r="G463" s="82" t="s">
        <v>1220</v>
      </c>
      <c r="H463" s="15"/>
      <c r="I463" s="7" t="s">
        <v>296</v>
      </c>
      <c r="J463" s="8" t="str">
        <f>VLOOKUP(I463,Customers[#Data],2,FALSE)</f>
        <v>A1</v>
      </c>
      <c r="K463" s="15" t="str">
        <f>VLOOKUP(I463,Customers[#Data],4,FALSE)</f>
        <v>Maw La Myaing</v>
      </c>
      <c r="L463" s="15" t="str">
        <f>VLOOKUP(I463,Customers[#Data],5,FALSE)</f>
        <v>SemiWholeSales</v>
      </c>
      <c r="M463" s="7" t="s">
        <v>6</v>
      </c>
      <c r="N463" s="7" t="s">
        <v>518</v>
      </c>
      <c r="O463" s="14" t="str">
        <f>VLOOKUP(N463,Stock[#Data],2,FALSE)</f>
        <v>"ဇေ" ကော်ဘူး (1 Liter)</v>
      </c>
      <c r="P463" s="44">
        <f>VLOOKUP(N463,Stock[#Data],3,FALSE)</f>
        <v>1</v>
      </c>
      <c r="Q463" s="3">
        <f>VLOOKUP(N463,Stock[#Data],4,FALSE)</f>
        <v>12</v>
      </c>
      <c r="R463" s="11"/>
      <c r="S463" s="45">
        <f>IFERROR(Table4[[#This Row],[Bottle]]/Table4[[#This Row],[ပါဝင်မှု]]+Table4[[#This Row],[SalesPK]],0)</f>
        <v>10</v>
      </c>
      <c r="T463" s="12">
        <v>10</v>
      </c>
      <c r="U463" s="10">
        <f>Table4[[#This Row],[ပါဝင်မှု]]*Table4[[#This Row],[SalesPK]]+Table4[[#This Row],[Bottle]]</f>
        <v>120</v>
      </c>
      <c r="V463" s="10">
        <f>Table4[[#This Row],[SalesBot]]*Table4[[#This Row],[ML]]</f>
        <v>120</v>
      </c>
      <c r="W463" s="1">
        <f>VLOOKUP(N463,Stock[#Data],6,FALSE)</f>
        <v>1675</v>
      </c>
      <c r="X463" s="8">
        <f>+Table4[[#This Row],[SalesBot]]*Table4[[#This Row],[နှုံး]]</f>
        <v>201000</v>
      </c>
      <c r="Y463" s="12"/>
      <c r="Z463" s="12"/>
      <c r="AA463" s="12"/>
      <c r="AB463" s="9"/>
      <c r="AC463" s="12"/>
      <c r="AD463" s="9"/>
      <c r="AE463" s="12"/>
      <c r="AF46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201000</v>
      </c>
      <c r="AG463" s="24"/>
      <c r="AH463" s="266">
        <f>Table4[[#This Row],[Date]]</f>
        <v>46051</v>
      </c>
      <c r="AI463" s="264" t="str">
        <f t="shared" si="86"/>
        <v>Jan</v>
      </c>
      <c r="AJ463" s="264" t="str">
        <f t="shared" si="87"/>
        <v>2026</v>
      </c>
      <c r="AK463" s="270" t="str">
        <f>Table4[[#This Row],[ကုန်သည်အမည်]]</f>
        <v>A1</v>
      </c>
      <c r="AL463" s="270" t="str">
        <f>Table4[[#This Row],[Township]]</f>
        <v>Maw La Myaing</v>
      </c>
      <c r="AM463" s="271" t="str">
        <f>Table4[[#This Row],[WholeSales]]</f>
        <v>SemiWholeSales</v>
      </c>
      <c r="AN463" s="272" t="str">
        <f>Table4[[#This Row],[Particular]]</f>
        <v>ကုန်ရောင်း(လက်ငင်း)</v>
      </c>
      <c r="AO463" s="273" t="str">
        <f>Table4[[#This Row],[StockName]]</f>
        <v>"ဇေ" ကော်ဘူး (1 Liter)</v>
      </c>
      <c r="AP463" s="268">
        <f>Table4[[#This Row],[Parking]]</f>
        <v>10</v>
      </c>
      <c r="AQ463" s="268">
        <f>Table4[[#This Row],[SalesBot]]</f>
        <v>120</v>
      </c>
      <c r="AR463" s="268">
        <f>Table4[[#This Row],[Liter]]</f>
        <v>120</v>
      </c>
    </row>
    <row r="464" spans="1:44" s="16" customFormat="1" hidden="1" x14ac:dyDescent="0.5">
      <c r="A464" s="3">
        <f t="shared" si="88"/>
        <v>2026</v>
      </c>
      <c r="B464" s="8">
        <f t="shared" si="89"/>
        <v>1</v>
      </c>
      <c r="C464" s="82">
        <v>46051</v>
      </c>
      <c r="D464" s="15">
        <f t="shared" ca="1" si="90"/>
        <v>46097</v>
      </c>
      <c r="E464" s="15" t="str">
        <f t="shared" ca="1" si="91"/>
        <v>1-Months</v>
      </c>
      <c r="F464" s="8" t="str">
        <f>VLOOKUP(N464,Stock[#Data],5,FALSE)</f>
        <v>BE</v>
      </c>
      <c r="G464" s="82" t="s">
        <v>1221</v>
      </c>
      <c r="H464" s="15"/>
      <c r="I464" s="7" t="s">
        <v>82</v>
      </c>
      <c r="J464" s="8" t="str">
        <f>VLOOKUP(I464,Customers[#Data],2,FALSE)</f>
        <v>ဒေါ်ထွန်းမေ</v>
      </c>
      <c r="K464" s="15" t="str">
        <f>VLOOKUP(I464,Customers[#Data],4,FALSE)</f>
        <v>Maw La Myaing</v>
      </c>
      <c r="L464" s="15" t="str">
        <f>VLOOKUP(I464,Customers[#Data],5,FALSE)</f>
        <v>WholeSales</v>
      </c>
      <c r="M464" s="7" t="s">
        <v>6</v>
      </c>
      <c r="N464" s="7" t="s">
        <v>514</v>
      </c>
      <c r="O464" s="14" t="str">
        <f>VLOOKUP(N464,Stock[#Data],2,FALSE)</f>
        <v>ဇေယျဝတီ Red</v>
      </c>
      <c r="P464" s="44">
        <f>VLOOKUP(N464,Stock[#Data],3,FALSE)</f>
        <v>0.64</v>
      </c>
      <c r="Q464" s="3">
        <f>VLOOKUP(N464,Stock[#Data],4,FALSE)</f>
        <v>14</v>
      </c>
      <c r="R464" s="11"/>
      <c r="S464" s="45">
        <f>IFERROR(Table4[[#This Row],[Bottle]]/Table4[[#This Row],[ပါဝင်မှု]]+Table4[[#This Row],[SalesPK]],0)</f>
        <v>50</v>
      </c>
      <c r="T464" s="12">
        <v>50</v>
      </c>
      <c r="U464" s="10">
        <f>Table4[[#This Row],[ပါဝင်မှု]]*Table4[[#This Row],[SalesPK]]+Table4[[#This Row],[Bottle]]</f>
        <v>700</v>
      </c>
      <c r="V464" s="10">
        <f>Table4[[#This Row],[SalesBot]]*Table4[[#This Row],[ML]]</f>
        <v>448</v>
      </c>
      <c r="W464" s="1">
        <f>VLOOKUP(N464,Stock[#Data],6,FALSE)</f>
        <v>1350</v>
      </c>
      <c r="X464" s="8">
        <f>+Table4[[#This Row],[SalesBot]]*Table4[[#This Row],[နှုံး]]</f>
        <v>945000</v>
      </c>
      <c r="Y464" s="12"/>
      <c r="Z464" s="12"/>
      <c r="AA464" s="12"/>
      <c r="AB464" s="9"/>
      <c r="AC464" s="12"/>
      <c r="AD464" s="9"/>
      <c r="AE464" s="12"/>
      <c r="AF46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464" s="24"/>
      <c r="AH464" s="266">
        <f>Table4[[#This Row],[Date]]</f>
        <v>46051</v>
      </c>
      <c r="AI464" s="264" t="str">
        <f t="shared" si="86"/>
        <v>Jan</v>
      </c>
      <c r="AJ464" s="264" t="str">
        <f t="shared" si="87"/>
        <v>2026</v>
      </c>
      <c r="AK464" s="270" t="str">
        <f>Table4[[#This Row],[ကုန်သည်အမည်]]</f>
        <v>ဒေါ်ထွန်းမေ</v>
      </c>
      <c r="AL464" s="270" t="str">
        <f>Table4[[#This Row],[Township]]</f>
        <v>Maw La Myaing</v>
      </c>
      <c r="AM464" s="271" t="str">
        <f>Table4[[#This Row],[WholeSales]]</f>
        <v>WholeSales</v>
      </c>
      <c r="AN464" s="272" t="str">
        <f>Table4[[#This Row],[Particular]]</f>
        <v>ကုန်ရောင်း(လက်ငင်း)</v>
      </c>
      <c r="AO464" s="273" t="str">
        <f>Table4[[#This Row],[StockName]]</f>
        <v>ဇေယျဝတီ Red</v>
      </c>
      <c r="AP464" s="268">
        <f>Table4[[#This Row],[Parking]]</f>
        <v>50</v>
      </c>
      <c r="AQ464" s="268">
        <f>Table4[[#This Row],[SalesBot]]</f>
        <v>700</v>
      </c>
      <c r="AR464" s="268">
        <f>Table4[[#This Row],[Liter]]</f>
        <v>448</v>
      </c>
    </row>
    <row r="465" spans="1:44" s="16" customFormat="1" hidden="1" x14ac:dyDescent="0.5">
      <c r="A465" s="3">
        <f t="shared" si="88"/>
        <v>2026</v>
      </c>
      <c r="B465" s="8">
        <f t="shared" si="89"/>
        <v>1</v>
      </c>
      <c r="C465" s="82">
        <v>46051</v>
      </c>
      <c r="D465" s="15">
        <f t="shared" ca="1" si="90"/>
        <v>46097</v>
      </c>
      <c r="E465" s="15" t="str">
        <f t="shared" ca="1" si="91"/>
        <v>1-Months</v>
      </c>
      <c r="F465" s="8" t="str">
        <f>VLOOKUP(N465,Stock[#Data],5,FALSE)</f>
        <v>BE</v>
      </c>
      <c r="G465" s="82" t="s">
        <v>1222</v>
      </c>
      <c r="H465" s="15"/>
      <c r="I465" s="7" t="s">
        <v>562</v>
      </c>
      <c r="J465" s="8" t="str">
        <f>VLOOKUP(I465,Customers[#Data],2,FALSE)</f>
        <v>မ‌ေ၀-၂</v>
      </c>
      <c r="K465" s="15" t="str">
        <f>VLOOKUP(I465,Customers[#Data],4,FALSE)</f>
        <v>Mudon</v>
      </c>
      <c r="L465" s="15" t="str">
        <f>VLOOKUP(I465,Customers[#Data],5,FALSE)</f>
        <v>Van Sales</v>
      </c>
      <c r="M465" s="7" t="s">
        <v>6</v>
      </c>
      <c r="N465" s="7" t="s">
        <v>514</v>
      </c>
      <c r="O465" s="14" t="str">
        <f>VLOOKUP(N465,Stock[#Data],2,FALSE)</f>
        <v>ဇေယျဝတီ Red</v>
      </c>
      <c r="P465" s="44">
        <f>VLOOKUP(N465,Stock[#Data],3,FALSE)</f>
        <v>0.64</v>
      </c>
      <c r="Q465" s="3">
        <f>VLOOKUP(N465,Stock[#Data],4,FALSE)</f>
        <v>14</v>
      </c>
      <c r="R465" s="11"/>
      <c r="S465" s="45">
        <f>IFERROR(Table4[[#This Row],[Bottle]]/Table4[[#This Row],[ပါဝင်မှု]]+Table4[[#This Row],[SalesPK]],0)</f>
        <v>40</v>
      </c>
      <c r="T465" s="12">
        <v>40</v>
      </c>
      <c r="U465" s="10">
        <f>Table4[[#This Row],[ပါဝင်မှု]]*Table4[[#This Row],[SalesPK]]+Table4[[#This Row],[Bottle]]</f>
        <v>560</v>
      </c>
      <c r="V465" s="10">
        <f>Table4[[#This Row],[SalesBot]]*Table4[[#This Row],[ML]]</f>
        <v>358.40000000000003</v>
      </c>
      <c r="W465" s="1">
        <f>VLOOKUP(N465,Stock[#Data],6,FALSE)</f>
        <v>1350</v>
      </c>
      <c r="X465" s="8">
        <f>+Table4[[#This Row],[SalesBot]]*Table4[[#This Row],[နှုံး]]</f>
        <v>756000</v>
      </c>
      <c r="Y465" s="12"/>
      <c r="Z465" s="12"/>
      <c r="AA465" s="12"/>
      <c r="AB465" s="9"/>
      <c r="AC465" s="12"/>
      <c r="AD465" s="9"/>
      <c r="AE465" s="12"/>
      <c r="AF46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756000</v>
      </c>
      <c r="AG465" s="24"/>
      <c r="AH465" s="266">
        <f>Table4[[#This Row],[Date]]</f>
        <v>46051</v>
      </c>
      <c r="AI465" s="264" t="str">
        <f t="shared" si="86"/>
        <v>Jan</v>
      </c>
      <c r="AJ465" s="264" t="str">
        <f t="shared" si="87"/>
        <v>2026</v>
      </c>
      <c r="AK465" s="270" t="str">
        <f>Table4[[#This Row],[ကုန်သည်အမည်]]</f>
        <v>မ‌ေ၀-၂</v>
      </c>
      <c r="AL465" s="270" t="str">
        <f>Table4[[#This Row],[Township]]</f>
        <v>Mudon</v>
      </c>
      <c r="AM465" s="271" t="str">
        <f>Table4[[#This Row],[WholeSales]]</f>
        <v>Van Sales</v>
      </c>
      <c r="AN465" s="272" t="str">
        <f>Table4[[#This Row],[Particular]]</f>
        <v>ကုန်ရောင်း(လက်ငင်း)</v>
      </c>
      <c r="AO465" s="273" t="str">
        <f>Table4[[#This Row],[StockName]]</f>
        <v>ဇေယျဝတီ Red</v>
      </c>
      <c r="AP465" s="268">
        <f>Table4[[#This Row],[Parking]]</f>
        <v>40</v>
      </c>
      <c r="AQ465" s="268">
        <f>Table4[[#This Row],[SalesBot]]</f>
        <v>560</v>
      </c>
      <c r="AR465" s="268">
        <f>Table4[[#This Row],[Liter]]</f>
        <v>358.40000000000003</v>
      </c>
    </row>
    <row r="466" spans="1:44" s="16" customFormat="1" hidden="1" x14ac:dyDescent="0.5">
      <c r="A466" s="3">
        <f t="shared" si="88"/>
        <v>2026</v>
      </c>
      <c r="B466" s="8">
        <f t="shared" si="89"/>
        <v>1</v>
      </c>
      <c r="C466" s="82">
        <v>46051</v>
      </c>
      <c r="D466" s="15">
        <f t="shared" ca="1" si="90"/>
        <v>46097</v>
      </c>
      <c r="E466" s="15" t="str">
        <f t="shared" ca="1" si="91"/>
        <v>1-Months</v>
      </c>
      <c r="F466" s="8" t="str">
        <f>VLOOKUP(N466,Stock[#Data],5,FALSE)</f>
        <v>BE</v>
      </c>
      <c r="G466" s="82" t="s">
        <v>1222</v>
      </c>
      <c r="H466" s="15"/>
      <c r="I466" s="7" t="s">
        <v>562</v>
      </c>
      <c r="J466" s="8" t="str">
        <f>VLOOKUP(I466,Customers[#Data],2,FALSE)</f>
        <v>မ‌ေ၀-၂</v>
      </c>
      <c r="K466" s="15" t="str">
        <f>VLOOKUP(I466,Customers[#Data],4,FALSE)</f>
        <v>Mudon</v>
      </c>
      <c r="L466" s="15" t="str">
        <f>VLOOKUP(I466,Customers[#Data],5,FALSE)</f>
        <v>Van Sales</v>
      </c>
      <c r="M466" s="7" t="s">
        <v>6</v>
      </c>
      <c r="N466" s="7" t="s">
        <v>520</v>
      </c>
      <c r="O466" s="14" t="str">
        <f>VLOOKUP(N466,Stock[#Data],2,FALSE)</f>
        <v>ဇေယျဝတီ  Red(ပု)</v>
      </c>
      <c r="P466" s="44">
        <f>VLOOKUP(N466,Stock[#Data],3,FALSE)</f>
        <v>0.64</v>
      </c>
      <c r="Q466" s="3">
        <f>VLOOKUP(N466,Stock[#Data],4,FALSE)</f>
        <v>14</v>
      </c>
      <c r="R466" s="11"/>
      <c r="S466" s="45">
        <f>IFERROR(Table4[[#This Row],[Bottle]]/Table4[[#This Row],[ပါဝင်မှု]]+Table4[[#This Row],[SalesPK]],0)</f>
        <v>10</v>
      </c>
      <c r="T466" s="12">
        <v>10</v>
      </c>
      <c r="U466" s="10">
        <f>Table4[[#This Row],[ပါဝင်မှု]]*Table4[[#This Row],[SalesPK]]+Table4[[#This Row],[Bottle]]</f>
        <v>140</v>
      </c>
      <c r="V466" s="10">
        <f>Table4[[#This Row],[SalesBot]]*Table4[[#This Row],[ML]]</f>
        <v>89.600000000000009</v>
      </c>
      <c r="W466" s="1">
        <f>VLOOKUP(N466,Stock[#Data],6,FALSE)</f>
        <v>1800</v>
      </c>
      <c r="X466" s="8">
        <f>+Table4[[#This Row],[SalesBot]]*Table4[[#This Row],[နှုံး]]</f>
        <v>252000</v>
      </c>
      <c r="Y466" s="12"/>
      <c r="Z466" s="12"/>
      <c r="AA466" s="12"/>
      <c r="AB466" s="9"/>
      <c r="AC466" s="12"/>
      <c r="AD466" s="9"/>
      <c r="AE466" s="12"/>
      <c r="AF46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252000</v>
      </c>
      <c r="AG466" s="24"/>
      <c r="AH466" s="266">
        <f>Table4[[#This Row],[Date]]</f>
        <v>46051</v>
      </c>
      <c r="AI466" s="264" t="str">
        <f t="shared" si="86"/>
        <v>Jan</v>
      </c>
      <c r="AJ466" s="264" t="str">
        <f t="shared" si="87"/>
        <v>2026</v>
      </c>
      <c r="AK466" s="270" t="str">
        <f>Table4[[#This Row],[ကုန်သည်အမည်]]</f>
        <v>မ‌ေ၀-၂</v>
      </c>
      <c r="AL466" s="270" t="str">
        <f>Table4[[#This Row],[Township]]</f>
        <v>Mudon</v>
      </c>
      <c r="AM466" s="271" t="str">
        <f>Table4[[#This Row],[WholeSales]]</f>
        <v>Van Sales</v>
      </c>
      <c r="AN466" s="272" t="str">
        <f>Table4[[#This Row],[Particular]]</f>
        <v>ကုန်ရောင်း(လက်ငင်း)</v>
      </c>
      <c r="AO466" s="273" t="str">
        <f>Table4[[#This Row],[StockName]]</f>
        <v>ဇေယျဝတီ  Red(ပု)</v>
      </c>
      <c r="AP466" s="268">
        <f>Table4[[#This Row],[Parking]]</f>
        <v>10</v>
      </c>
      <c r="AQ466" s="268">
        <f>Table4[[#This Row],[SalesBot]]</f>
        <v>140</v>
      </c>
      <c r="AR466" s="268">
        <f>Table4[[#This Row],[Liter]]</f>
        <v>89.600000000000009</v>
      </c>
    </row>
    <row r="467" spans="1:44" s="16" customFormat="1" hidden="1" x14ac:dyDescent="0.5">
      <c r="A467" s="3">
        <f t="shared" si="88"/>
        <v>2026</v>
      </c>
      <c r="B467" s="8">
        <f t="shared" si="89"/>
        <v>1</v>
      </c>
      <c r="C467" s="82">
        <v>46051</v>
      </c>
      <c r="D467" s="15">
        <f t="shared" ca="1" si="90"/>
        <v>46097</v>
      </c>
      <c r="E467" s="15" t="str">
        <f t="shared" ca="1" si="91"/>
        <v>1-Months</v>
      </c>
      <c r="F467" s="8" t="str">
        <f>VLOOKUP(N467,Stock[#Data],5,FALSE)</f>
        <v>BE</v>
      </c>
      <c r="G467" s="82" t="s">
        <v>1223</v>
      </c>
      <c r="H467" s="15"/>
      <c r="I467" s="7">
        <v>745</v>
      </c>
      <c r="J467" s="8">
        <f>VLOOKUP(I467,Customers[#Data],2,FALSE)</f>
        <v>745</v>
      </c>
      <c r="K467" s="15" t="str">
        <f>VLOOKUP(I467,Customers[#Data],4,FALSE)</f>
        <v>Mudon</v>
      </c>
      <c r="L467" s="15" t="str">
        <f>VLOOKUP(I467,Customers[#Data],5,FALSE)</f>
        <v>Van Sales</v>
      </c>
      <c r="M467" s="7" t="s">
        <v>6</v>
      </c>
      <c r="N467" s="7" t="s">
        <v>520</v>
      </c>
      <c r="O467" s="14" t="str">
        <f>VLOOKUP(N467,Stock[#Data],2,FALSE)</f>
        <v>ဇေယျဝတီ  Red(ပု)</v>
      </c>
      <c r="P467" s="44">
        <f>VLOOKUP(N467,Stock[#Data],3,FALSE)</f>
        <v>0.64</v>
      </c>
      <c r="Q467" s="3">
        <f>VLOOKUP(N467,Stock[#Data],4,FALSE)</f>
        <v>14</v>
      </c>
      <c r="R467" s="11"/>
      <c r="S467" s="45">
        <f>IFERROR(Table4[[#This Row],[Bottle]]/Table4[[#This Row],[ပါဝင်မှု]]+Table4[[#This Row],[SalesPK]],0)</f>
        <v>50</v>
      </c>
      <c r="T467" s="12">
        <v>50</v>
      </c>
      <c r="U467" s="10">
        <f>Table4[[#This Row],[ပါဝင်မှု]]*Table4[[#This Row],[SalesPK]]+Table4[[#This Row],[Bottle]]</f>
        <v>700</v>
      </c>
      <c r="V467" s="10">
        <f>Table4[[#This Row],[SalesBot]]*Table4[[#This Row],[ML]]</f>
        <v>448</v>
      </c>
      <c r="W467" s="1">
        <f>VLOOKUP(N467,Stock[#Data],6,FALSE)</f>
        <v>1800</v>
      </c>
      <c r="X467" s="8">
        <f>+Table4[[#This Row],[SalesBot]]*Table4[[#This Row],[နှုံး]]</f>
        <v>1260000</v>
      </c>
      <c r="Y467" s="12"/>
      <c r="Z467" s="12"/>
      <c r="AA467" s="12"/>
      <c r="AB467" s="9"/>
      <c r="AC467" s="12"/>
      <c r="AD467" s="9"/>
      <c r="AE467" s="12"/>
      <c r="AF46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467" s="24"/>
      <c r="AH467" s="266">
        <f>Table4[[#This Row],[Date]]</f>
        <v>46051</v>
      </c>
      <c r="AI467" s="264" t="str">
        <f t="shared" si="86"/>
        <v>Jan</v>
      </c>
      <c r="AJ467" s="264" t="str">
        <f t="shared" si="87"/>
        <v>2026</v>
      </c>
      <c r="AK467" s="270">
        <f>Table4[[#This Row],[ကုန်သည်အမည်]]</f>
        <v>745</v>
      </c>
      <c r="AL467" s="270" t="str">
        <f>Table4[[#This Row],[Township]]</f>
        <v>Mudon</v>
      </c>
      <c r="AM467" s="271" t="str">
        <f>Table4[[#This Row],[WholeSales]]</f>
        <v>Van Sales</v>
      </c>
      <c r="AN467" s="272" t="str">
        <f>Table4[[#This Row],[Particular]]</f>
        <v>ကုန်ရောင်း(လက်ငင်း)</v>
      </c>
      <c r="AO467" s="273" t="str">
        <f>Table4[[#This Row],[StockName]]</f>
        <v>ဇေယျဝတီ  Red(ပု)</v>
      </c>
      <c r="AP467" s="268">
        <f>Table4[[#This Row],[Parking]]</f>
        <v>50</v>
      </c>
      <c r="AQ467" s="268">
        <f>Table4[[#This Row],[SalesBot]]</f>
        <v>700</v>
      </c>
      <c r="AR467" s="268">
        <f>Table4[[#This Row],[Liter]]</f>
        <v>448</v>
      </c>
    </row>
    <row r="468" spans="1:44" s="16" customFormat="1" hidden="1" x14ac:dyDescent="0.5">
      <c r="A468" s="3">
        <f t="shared" si="88"/>
        <v>2026</v>
      </c>
      <c r="B468" s="8">
        <f t="shared" si="89"/>
        <v>1</v>
      </c>
      <c r="C468" s="82">
        <v>46051</v>
      </c>
      <c r="D468" s="15">
        <f t="shared" ca="1" si="90"/>
        <v>46097</v>
      </c>
      <c r="E468" s="15" t="str">
        <f t="shared" ca="1" si="91"/>
        <v>1-Months</v>
      </c>
      <c r="F468" s="8" t="str">
        <f>VLOOKUP(N468,Stock[#Data],5,FALSE)</f>
        <v>BE</v>
      </c>
      <c r="G468" s="82" t="s">
        <v>1224</v>
      </c>
      <c r="H468" s="15"/>
      <c r="I468" s="7" t="s">
        <v>109</v>
      </c>
      <c r="J468" s="8" t="str">
        <f>VLOOKUP(I468,Customers[#Data],2,FALSE)</f>
        <v>ဦးမင်းလွင်</v>
      </c>
      <c r="K468" s="15" t="str">
        <f>VLOOKUP(I468,Customers[#Data],4,FALSE)</f>
        <v>Maw La Myaing</v>
      </c>
      <c r="L468" s="15" t="str">
        <f>VLOOKUP(I468,Customers[#Data],5,FALSE)</f>
        <v>WholeSales</v>
      </c>
      <c r="M468" s="7" t="s">
        <v>6</v>
      </c>
      <c r="N468" s="7" t="s">
        <v>521</v>
      </c>
      <c r="O468" s="14" t="str">
        <f>VLOOKUP(N468,Stock[#Data],2,FALSE)</f>
        <v>ဒဂုံအရက်သန့်</v>
      </c>
      <c r="P468" s="44">
        <f>VLOOKUP(N468,Stock[#Data],3,FALSE)</f>
        <v>0.64</v>
      </c>
      <c r="Q468" s="3">
        <f>VLOOKUP(N468,Stock[#Data],4,FALSE)</f>
        <v>24</v>
      </c>
      <c r="R468" s="11"/>
      <c r="S468" s="45">
        <f>IFERROR(Table4[[#This Row],[Bottle]]/Table4[[#This Row],[ပါဝင်မှု]]+Table4[[#This Row],[SalesPK]],0)</f>
        <v>49</v>
      </c>
      <c r="T468" s="12">
        <v>49</v>
      </c>
      <c r="U468" s="10">
        <f>Table4[[#This Row],[ပါဝင်မှု]]*Table4[[#This Row],[SalesPK]]+Table4[[#This Row],[Bottle]]</f>
        <v>1176</v>
      </c>
      <c r="V468" s="10">
        <f>Table4[[#This Row],[SalesBot]]*Table4[[#This Row],[ML]]</f>
        <v>752.64</v>
      </c>
      <c r="W468" s="1">
        <f>VLOOKUP(N468,Stock[#Data],6,FALSE)</f>
        <v>1350</v>
      </c>
      <c r="X468" s="8">
        <f>+Table4[[#This Row],[SalesBot]]*Table4[[#This Row],[နှုံး]]</f>
        <v>1587600</v>
      </c>
      <c r="Y468" s="12"/>
      <c r="Z468" s="12"/>
      <c r="AA468" s="12"/>
      <c r="AB468" s="9"/>
      <c r="AC468" s="12"/>
      <c r="AD468" s="9"/>
      <c r="AE468" s="12"/>
      <c r="AF46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1587600</v>
      </c>
      <c r="AG468" s="24"/>
      <c r="AH468" s="266">
        <f>Table4[[#This Row],[Date]]</f>
        <v>46051</v>
      </c>
      <c r="AI468" s="264" t="str">
        <f t="shared" si="86"/>
        <v>Jan</v>
      </c>
      <c r="AJ468" s="264" t="str">
        <f t="shared" si="87"/>
        <v>2026</v>
      </c>
      <c r="AK468" s="270" t="str">
        <f>Table4[[#This Row],[ကုန်သည်အမည်]]</f>
        <v>ဦးမင်းလွင်</v>
      </c>
      <c r="AL468" s="270" t="str">
        <f>Table4[[#This Row],[Township]]</f>
        <v>Maw La Myaing</v>
      </c>
      <c r="AM468" s="271" t="str">
        <f>Table4[[#This Row],[WholeSales]]</f>
        <v>WholeSales</v>
      </c>
      <c r="AN468" s="272" t="str">
        <f>Table4[[#This Row],[Particular]]</f>
        <v>ကုန်ရောင်း(လက်ငင်း)</v>
      </c>
      <c r="AO468" s="273" t="str">
        <f>Table4[[#This Row],[StockName]]</f>
        <v>ဒဂုံအရက်သန့်</v>
      </c>
      <c r="AP468" s="268">
        <f>Table4[[#This Row],[Parking]]</f>
        <v>49</v>
      </c>
      <c r="AQ468" s="268">
        <f>Table4[[#This Row],[SalesBot]]</f>
        <v>1176</v>
      </c>
      <c r="AR468" s="268">
        <f>Table4[[#This Row],[Liter]]</f>
        <v>752.64</v>
      </c>
    </row>
    <row r="469" spans="1:44" s="16" customFormat="1" hidden="1" x14ac:dyDescent="0.5">
      <c r="A469" s="3">
        <f t="shared" si="88"/>
        <v>2026</v>
      </c>
      <c r="B469" s="8">
        <f t="shared" si="89"/>
        <v>1</v>
      </c>
      <c r="C469" s="82">
        <v>46051</v>
      </c>
      <c r="D469" s="15">
        <f t="shared" ca="1" si="90"/>
        <v>46097</v>
      </c>
      <c r="E469" s="15" t="str">
        <f t="shared" ca="1" si="91"/>
        <v>1-Months</v>
      </c>
      <c r="F469" s="8" t="str">
        <f>VLOOKUP(N469,Stock[#Data],5,FALSE)</f>
        <v>BE</v>
      </c>
      <c r="G469" s="82" t="s">
        <v>1225</v>
      </c>
      <c r="H469" s="15"/>
      <c r="I469" s="7" t="s">
        <v>577</v>
      </c>
      <c r="J469" s="8" t="str">
        <f>VLOOKUP(I469,Customers[#Data],2,FALSE)</f>
        <v>သရက်မြိုင်</v>
      </c>
      <c r="K469" s="15" t="str">
        <f>VLOOKUP(I469,Customers[#Data],4,FALSE)</f>
        <v>Maw La Myaing</v>
      </c>
      <c r="L469" s="15" t="str">
        <f>VLOOKUP(I469,Customers[#Data],5,FALSE)</f>
        <v>Van Sales</v>
      </c>
      <c r="M469" s="7" t="s">
        <v>6</v>
      </c>
      <c r="N469" s="7" t="s">
        <v>516</v>
      </c>
      <c r="O469" s="14" t="str">
        <f>VLOOKUP(N469,Stock[#Data],2,FALSE)</f>
        <v>ဇေ Vodka</v>
      </c>
      <c r="P469" s="44">
        <f>VLOOKUP(N469,Stock[#Data],3,FALSE)</f>
        <v>0.64</v>
      </c>
      <c r="Q469" s="3">
        <f>VLOOKUP(N469,Stock[#Data],4,FALSE)</f>
        <v>14</v>
      </c>
      <c r="R469" s="11"/>
      <c r="S469" s="45">
        <f>IFERROR(Table4[[#This Row],[Bottle]]/Table4[[#This Row],[ပါဝင်မှု]]+Table4[[#This Row],[SalesPK]],0)</f>
        <v>2</v>
      </c>
      <c r="T469" s="12">
        <v>2</v>
      </c>
      <c r="U469" s="10">
        <f>Table4[[#This Row],[ပါဝင်မှု]]*Table4[[#This Row],[SalesPK]]+Table4[[#This Row],[Bottle]]</f>
        <v>28</v>
      </c>
      <c r="V469" s="10">
        <f>Table4[[#This Row],[SalesBot]]*Table4[[#This Row],[ML]]</f>
        <v>17.920000000000002</v>
      </c>
      <c r="W469" s="1">
        <f>VLOOKUP(N469,Stock[#Data],6,FALSE)</f>
        <v>1400</v>
      </c>
      <c r="X469" s="8">
        <f>+Table4[[#This Row],[SalesBot]]*Table4[[#This Row],[နှုံး]]</f>
        <v>39200</v>
      </c>
      <c r="Y469" s="12"/>
      <c r="Z469" s="12"/>
      <c r="AA469" s="12"/>
      <c r="AB469" s="9"/>
      <c r="AC469" s="12"/>
      <c r="AD469" s="9"/>
      <c r="AE469" s="12"/>
      <c r="AF46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39200</v>
      </c>
      <c r="AG469" s="24"/>
      <c r="AH469" s="266">
        <f>Table4[[#This Row],[Date]]</f>
        <v>46051</v>
      </c>
      <c r="AI469" s="264" t="str">
        <f t="shared" si="86"/>
        <v>Jan</v>
      </c>
      <c r="AJ469" s="264" t="str">
        <f t="shared" si="87"/>
        <v>2026</v>
      </c>
      <c r="AK469" s="270" t="str">
        <f>Table4[[#This Row],[ကုန်သည်အမည်]]</f>
        <v>သရက်မြိုင်</v>
      </c>
      <c r="AL469" s="270" t="str">
        <f>Table4[[#This Row],[Township]]</f>
        <v>Maw La Myaing</v>
      </c>
      <c r="AM469" s="271" t="str">
        <f>Table4[[#This Row],[WholeSales]]</f>
        <v>Van Sales</v>
      </c>
      <c r="AN469" s="272" t="str">
        <f>Table4[[#This Row],[Particular]]</f>
        <v>ကုန်ရောင်း(လက်ငင်း)</v>
      </c>
      <c r="AO469" s="273" t="str">
        <f>Table4[[#This Row],[StockName]]</f>
        <v>ဇေ Vodka</v>
      </c>
      <c r="AP469" s="268">
        <f>Table4[[#This Row],[Parking]]</f>
        <v>2</v>
      </c>
      <c r="AQ469" s="268">
        <f>Table4[[#This Row],[SalesBot]]</f>
        <v>28</v>
      </c>
      <c r="AR469" s="268">
        <f>Table4[[#This Row],[Liter]]</f>
        <v>17.920000000000002</v>
      </c>
    </row>
    <row r="470" spans="1:44" s="16" customFormat="1" hidden="1" x14ac:dyDescent="0.5">
      <c r="A470" s="3">
        <f t="shared" si="88"/>
        <v>2026</v>
      </c>
      <c r="B470" s="8">
        <f t="shared" si="89"/>
        <v>1</v>
      </c>
      <c r="C470" s="82">
        <v>46051</v>
      </c>
      <c r="D470" s="15">
        <f t="shared" ca="1" si="90"/>
        <v>46097</v>
      </c>
      <c r="E470" s="15" t="str">
        <f t="shared" ca="1" si="91"/>
        <v>1-Months</v>
      </c>
      <c r="F470" s="8" t="str">
        <f>VLOOKUP(N470,Stock[#Data],5,FALSE)</f>
        <v>BE</v>
      </c>
      <c r="G470" s="82" t="s">
        <v>1225</v>
      </c>
      <c r="H470" s="15"/>
      <c r="I470" s="7" t="s">
        <v>577</v>
      </c>
      <c r="J470" s="8" t="str">
        <f>VLOOKUP(I470,Customers[#Data],2,FALSE)</f>
        <v>သရက်မြိုင်</v>
      </c>
      <c r="K470" s="15" t="str">
        <f>VLOOKUP(I470,Customers[#Data],4,FALSE)</f>
        <v>Maw La Myaing</v>
      </c>
      <c r="L470" s="15" t="str">
        <f>VLOOKUP(I470,Customers[#Data],5,FALSE)</f>
        <v>Van Sales</v>
      </c>
      <c r="M470" s="7" t="s">
        <v>6</v>
      </c>
      <c r="N470" s="7" t="s">
        <v>518</v>
      </c>
      <c r="O470" s="14" t="str">
        <f>VLOOKUP(N470,Stock[#Data],2,FALSE)</f>
        <v>"ဇေ" ကော်ဘူး (1 Liter)</v>
      </c>
      <c r="P470" s="44">
        <f>VLOOKUP(N470,Stock[#Data],3,FALSE)</f>
        <v>1</v>
      </c>
      <c r="Q470" s="3">
        <f>VLOOKUP(N470,Stock[#Data],4,FALSE)</f>
        <v>12</v>
      </c>
      <c r="R470" s="11"/>
      <c r="S470" s="45">
        <f>IFERROR(Table4[[#This Row],[Bottle]]/Table4[[#This Row],[ပါဝင်မှု]]+Table4[[#This Row],[SalesPK]],0)</f>
        <v>10</v>
      </c>
      <c r="T470" s="12">
        <v>10</v>
      </c>
      <c r="U470" s="10">
        <f>Table4[[#This Row],[ပါဝင်မှု]]*Table4[[#This Row],[SalesPK]]+Table4[[#This Row],[Bottle]]</f>
        <v>120</v>
      </c>
      <c r="V470" s="10">
        <f>Table4[[#This Row],[SalesBot]]*Table4[[#This Row],[ML]]</f>
        <v>120</v>
      </c>
      <c r="W470" s="1">
        <f>VLOOKUP(N470,Stock[#Data],6,FALSE)</f>
        <v>1675</v>
      </c>
      <c r="X470" s="8">
        <f>+Table4[[#This Row],[SalesBot]]*Table4[[#This Row],[နှုံး]]</f>
        <v>201000</v>
      </c>
      <c r="Y470" s="12"/>
      <c r="Z470" s="12"/>
      <c r="AA470" s="12"/>
      <c r="AB470" s="9"/>
      <c r="AC470" s="12"/>
      <c r="AD470" s="9"/>
      <c r="AE470" s="12"/>
      <c r="AF47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201000</v>
      </c>
      <c r="AG470" s="24"/>
      <c r="AH470" s="266">
        <f>Table4[[#This Row],[Date]]</f>
        <v>46051</v>
      </c>
      <c r="AI470" s="264" t="str">
        <f t="shared" si="86"/>
        <v>Jan</v>
      </c>
      <c r="AJ470" s="264" t="str">
        <f t="shared" si="87"/>
        <v>2026</v>
      </c>
      <c r="AK470" s="270" t="str">
        <f>Table4[[#This Row],[ကုန်သည်အမည်]]</f>
        <v>သရက်မြိုင်</v>
      </c>
      <c r="AL470" s="270" t="str">
        <f>Table4[[#This Row],[Township]]</f>
        <v>Maw La Myaing</v>
      </c>
      <c r="AM470" s="271" t="str">
        <f>Table4[[#This Row],[WholeSales]]</f>
        <v>Van Sales</v>
      </c>
      <c r="AN470" s="272" t="str">
        <f>Table4[[#This Row],[Particular]]</f>
        <v>ကုန်ရောင်း(လက်ငင်း)</v>
      </c>
      <c r="AO470" s="273" t="str">
        <f>Table4[[#This Row],[StockName]]</f>
        <v>"ဇေ" ကော်ဘူး (1 Liter)</v>
      </c>
      <c r="AP470" s="268">
        <f>Table4[[#This Row],[Parking]]</f>
        <v>10</v>
      </c>
      <c r="AQ470" s="268">
        <f>Table4[[#This Row],[SalesBot]]</f>
        <v>120</v>
      </c>
      <c r="AR470" s="268">
        <f>Table4[[#This Row],[Liter]]</f>
        <v>120</v>
      </c>
    </row>
    <row r="471" spans="1:44" s="16" customFormat="1" hidden="1" x14ac:dyDescent="0.5">
      <c r="A471" s="3">
        <f t="shared" ref="A471:A514" si="92">YEAR(C471)</f>
        <v>2026</v>
      </c>
      <c r="B471" s="8">
        <f t="shared" ref="B471:B514" si="93">MONTH(C471)</f>
        <v>1</v>
      </c>
      <c r="C471" s="82">
        <v>46052</v>
      </c>
      <c r="D471" s="15">
        <f t="shared" ref="D471:D514" ca="1" si="94">TODAY()</f>
        <v>46097</v>
      </c>
      <c r="E471" s="15" t="str">
        <f t="shared" ref="E471:E514" ca="1" si="95">DATEDIF(C471,D471,"M")&amp;"-Months"</f>
        <v>1-Months</v>
      </c>
      <c r="F471" s="8" t="str">
        <f>VLOOKUP(N471,Stock[#Data],5,FALSE)</f>
        <v>BE</v>
      </c>
      <c r="G471" s="82" t="s">
        <v>1226</v>
      </c>
      <c r="H471" s="15"/>
      <c r="I471" s="7" t="s">
        <v>500</v>
      </c>
      <c r="J471" s="8" t="str">
        <f>VLOOKUP(I471,Customers[#Data],2,FALSE)</f>
        <v>ကိုချမ်းသာ</v>
      </c>
      <c r="K471" s="15" t="str">
        <f>VLOOKUP(I471,Customers[#Data],4,FALSE)</f>
        <v>Mudon</v>
      </c>
      <c r="L471" s="15" t="str">
        <f>VLOOKUP(I471,Customers[#Data],5,FALSE)</f>
        <v>Van Sales</v>
      </c>
      <c r="M471" s="7" t="s">
        <v>6</v>
      </c>
      <c r="N471" s="7" t="s">
        <v>520</v>
      </c>
      <c r="O471" s="14" t="str">
        <f>VLOOKUP(N471,Stock[#Data],2,FALSE)</f>
        <v>ဇေယျဝတီ  Red(ပု)</v>
      </c>
      <c r="P471" s="44">
        <f>VLOOKUP(N471,Stock[#Data],3,FALSE)</f>
        <v>0.64</v>
      </c>
      <c r="Q471" s="3">
        <f>VLOOKUP(N471,Stock[#Data],4,FALSE)</f>
        <v>14</v>
      </c>
      <c r="R471" s="11"/>
      <c r="S471" s="45">
        <f>IFERROR(Table4[[#This Row],[Bottle]]/Table4[[#This Row],[ပါဝင်မှု]]+Table4[[#This Row],[SalesPK]],0)</f>
        <v>7</v>
      </c>
      <c r="T471" s="12">
        <v>7</v>
      </c>
      <c r="U471" s="10">
        <f>Table4[[#This Row],[ပါဝင်မှု]]*Table4[[#This Row],[SalesPK]]+Table4[[#This Row],[Bottle]]</f>
        <v>98</v>
      </c>
      <c r="V471" s="10">
        <f>Table4[[#This Row],[SalesBot]]*Table4[[#This Row],[ML]]</f>
        <v>62.72</v>
      </c>
      <c r="W471" s="1">
        <f>VLOOKUP(N471,Stock[#Data],6,FALSE)</f>
        <v>1800</v>
      </c>
      <c r="X471" s="8">
        <f>+Table4[[#This Row],[SalesBot]]*Table4[[#This Row],[နှုံး]]</f>
        <v>176400</v>
      </c>
      <c r="Y471" s="12"/>
      <c r="Z471" s="12"/>
      <c r="AA471" s="12"/>
      <c r="AB471" s="9"/>
      <c r="AC471" s="12"/>
      <c r="AD471" s="9"/>
      <c r="AE471" s="12"/>
      <c r="AF47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176400</v>
      </c>
      <c r="AG471" s="24"/>
      <c r="AH471" s="266">
        <f>Table4[[#This Row],[Date]]</f>
        <v>46052</v>
      </c>
      <c r="AI471" s="264" t="str">
        <f t="shared" si="86"/>
        <v>Jan</v>
      </c>
      <c r="AJ471" s="264" t="str">
        <f t="shared" si="87"/>
        <v>2026</v>
      </c>
      <c r="AK471" s="270" t="str">
        <f>Table4[[#This Row],[ကုန်သည်အမည်]]</f>
        <v>ကိုချမ်းသာ</v>
      </c>
      <c r="AL471" s="270" t="str">
        <f>Table4[[#This Row],[Township]]</f>
        <v>Mudon</v>
      </c>
      <c r="AM471" s="271" t="str">
        <f>Table4[[#This Row],[WholeSales]]</f>
        <v>Van Sales</v>
      </c>
      <c r="AN471" s="272" t="str">
        <f>Table4[[#This Row],[Particular]]</f>
        <v>ကုန်ရောင်း(လက်ငင်း)</v>
      </c>
      <c r="AO471" s="273" t="str">
        <f>Table4[[#This Row],[StockName]]</f>
        <v>ဇေယျဝတီ  Red(ပု)</v>
      </c>
      <c r="AP471" s="268">
        <f>Table4[[#This Row],[Parking]]</f>
        <v>7</v>
      </c>
      <c r="AQ471" s="268">
        <f>Table4[[#This Row],[SalesBot]]</f>
        <v>98</v>
      </c>
      <c r="AR471" s="268">
        <f>Table4[[#This Row],[Liter]]</f>
        <v>62.72</v>
      </c>
    </row>
    <row r="472" spans="1:44" s="16" customFormat="1" hidden="1" x14ac:dyDescent="0.5">
      <c r="A472" s="3">
        <f t="shared" si="92"/>
        <v>2026</v>
      </c>
      <c r="B472" s="8">
        <f t="shared" si="93"/>
        <v>1</v>
      </c>
      <c r="C472" s="82">
        <v>46052</v>
      </c>
      <c r="D472" s="15">
        <f t="shared" ca="1" si="94"/>
        <v>46097</v>
      </c>
      <c r="E472" s="15" t="str">
        <f t="shared" ca="1" si="95"/>
        <v>1-Months</v>
      </c>
      <c r="F472" s="8" t="str">
        <f>VLOOKUP(N472,Stock[#Data],5,FALSE)</f>
        <v>BE</v>
      </c>
      <c r="G472" s="82" t="s">
        <v>1227</v>
      </c>
      <c r="H472" s="15"/>
      <c r="I472" s="7" t="s">
        <v>106</v>
      </c>
      <c r="J472" s="8" t="str">
        <f>VLOOKUP(I472,Customers[#Data],2,FALSE)</f>
        <v>ကိုမျိုးအောင်</v>
      </c>
      <c r="K472" s="15" t="str">
        <f>VLOOKUP(I472,Customers[#Data],4,FALSE)</f>
        <v>Maw La Myaing</v>
      </c>
      <c r="L472" s="15" t="str">
        <f>VLOOKUP(I472,Customers[#Data],5,FALSE)</f>
        <v>WholeSales</v>
      </c>
      <c r="M472" s="7" t="s">
        <v>6</v>
      </c>
      <c r="N472" s="7" t="s">
        <v>516</v>
      </c>
      <c r="O472" s="14" t="str">
        <f>VLOOKUP(N472,Stock[#Data],2,FALSE)</f>
        <v>ဇေ Vodka</v>
      </c>
      <c r="P472" s="44">
        <f>VLOOKUP(N472,Stock[#Data],3,FALSE)</f>
        <v>0.64</v>
      </c>
      <c r="Q472" s="3">
        <f>VLOOKUP(N472,Stock[#Data],4,FALSE)</f>
        <v>14</v>
      </c>
      <c r="R472" s="11"/>
      <c r="S472" s="45">
        <f>IFERROR(Table4[[#This Row],[Bottle]]/Table4[[#This Row],[ပါဝင်မှု]]+Table4[[#This Row],[SalesPK]],0)</f>
        <v>20</v>
      </c>
      <c r="T472" s="12">
        <v>20</v>
      </c>
      <c r="U472" s="10">
        <f>Table4[[#This Row],[ပါဝင်မှု]]*Table4[[#This Row],[SalesPK]]+Table4[[#This Row],[Bottle]]</f>
        <v>280</v>
      </c>
      <c r="V472" s="10">
        <f>Table4[[#This Row],[SalesBot]]*Table4[[#This Row],[ML]]</f>
        <v>179.20000000000002</v>
      </c>
      <c r="W472" s="1">
        <f>VLOOKUP(N472,Stock[#Data],6,FALSE)</f>
        <v>1400</v>
      </c>
      <c r="X472" s="8">
        <f>+Table4[[#This Row],[SalesBot]]*Table4[[#This Row],[နှုံး]]</f>
        <v>392000</v>
      </c>
      <c r="Y472" s="12"/>
      <c r="Z472" s="12"/>
      <c r="AA472" s="12"/>
      <c r="AB472" s="9"/>
      <c r="AC472" s="12"/>
      <c r="AD472" s="9"/>
      <c r="AE472" s="12"/>
      <c r="AF47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392000</v>
      </c>
      <c r="AG472" s="24"/>
      <c r="AH472" s="266">
        <f>Table4[[#This Row],[Date]]</f>
        <v>46052</v>
      </c>
      <c r="AI472" s="264" t="str">
        <f t="shared" si="86"/>
        <v>Jan</v>
      </c>
      <c r="AJ472" s="264" t="str">
        <f t="shared" si="87"/>
        <v>2026</v>
      </c>
      <c r="AK472" s="270" t="str">
        <f>Table4[[#This Row],[ကုန်သည်အမည်]]</f>
        <v>ကိုမျိုးအောင်</v>
      </c>
      <c r="AL472" s="270" t="str">
        <f>Table4[[#This Row],[Township]]</f>
        <v>Maw La Myaing</v>
      </c>
      <c r="AM472" s="271" t="str">
        <f>Table4[[#This Row],[WholeSales]]</f>
        <v>WholeSales</v>
      </c>
      <c r="AN472" s="272" t="str">
        <f>Table4[[#This Row],[Particular]]</f>
        <v>ကုန်ရောင်း(လက်ငင်း)</v>
      </c>
      <c r="AO472" s="273" t="str">
        <f>Table4[[#This Row],[StockName]]</f>
        <v>ဇေ Vodka</v>
      </c>
      <c r="AP472" s="268">
        <f>Table4[[#This Row],[Parking]]</f>
        <v>20</v>
      </c>
      <c r="AQ472" s="268">
        <f>Table4[[#This Row],[SalesBot]]</f>
        <v>280</v>
      </c>
      <c r="AR472" s="268">
        <f>Table4[[#This Row],[Liter]]</f>
        <v>179.20000000000002</v>
      </c>
    </row>
    <row r="473" spans="1:44" s="16" customFormat="1" hidden="1" x14ac:dyDescent="0.5">
      <c r="A473" s="3">
        <f t="shared" si="92"/>
        <v>2026</v>
      </c>
      <c r="B473" s="8">
        <f t="shared" si="93"/>
        <v>1</v>
      </c>
      <c r="C473" s="82">
        <v>46052</v>
      </c>
      <c r="D473" s="15">
        <f t="shared" ca="1" si="94"/>
        <v>46097</v>
      </c>
      <c r="E473" s="15" t="str">
        <f t="shared" ca="1" si="95"/>
        <v>1-Months</v>
      </c>
      <c r="F473" s="8" t="str">
        <f>VLOOKUP(N473,Stock[#Data],5,FALSE)</f>
        <v>BE</v>
      </c>
      <c r="G473" s="82" t="s">
        <v>1227</v>
      </c>
      <c r="H473" s="15"/>
      <c r="I473" s="7" t="s">
        <v>106</v>
      </c>
      <c r="J473" s="8" t="str">
        <f>VLOOKUP(I473,Customers[#Data],2,FALSE)</f>
        <v>ကိုမျိုးအောင်</v>
      </c>
      <c r="K473" s="15" t="str">
        <f>VLOOKUP(I473,Customers[#Data],4,FALSE)</f>
        <v>Maw La Myaing</v>
      </c>
      <c r="L473" s="15" t="str">
        <f>VLOOKUP(I473,Customers[#Data],5,FALSE)</f>
        <v>WholeSales</v>
      </c>
      <c r="M473" s="7" t="s">
        <v>6</v>
      </c>
      <c r="N473" s="7" t="s">
        <v>517</v>
      </c>
      <c r="O473" s="14" t="str">
        <f>VLOOKUP(N473,Stock[#Data],2,FALSE)</f>
        <v>ဇေယျဝတီ Red (1 Liter) 30%</v>
      </c>
      <c r="P473" s="44">
        <f>VLOOKUP(N473,Stock[#Data],3,FALSE)</f>
        <v>1</v>
      </c>
      <c r="Q473" s="3">
        <f>VLOOKUP(N473,Stock[#Data],4,FALSE)</f>
        <v>12</v>
      </c>
      <c r="R473" s="11"/>
      <c r="S473" s="45">
        <f>IFERROR(Table4[[#This Row],[Bottle]]/Table4[[#This Row],[ပါဝင်မှု]]+Table4[[#This Row],[SalesPK]],0)</f>
        <v>50</v>
      </c>
      <c r="T473" s="12">
        <v>50</v>
      </c>
      <c r="U473" s="10">
        <f>Table4[[#This Row],[ပါဝင်မှု]]*Table4[[#This Row],[SalesPK]]+Table4[[#This Row],[Bottle]]</f>
        <v>600</v>
      </c>
      <c r="V473" s="10">
        <f>Table4[[#This Row],[SalesBot]]*Table4[[#This Row],[ML]]</f>
        <v>600</v>
      </c>
      <c r="W473" s="1">
        <f>VLOOKUP(N473,Stock[#Data],6,FALSE)</f>
        <v>1710</v>
      </c>
      <c r="X473" s="8">
        <f>+Table4[[#This Row],[SalesBot]]*Table4[[#This Row],[နှုံး]]</f>
        <v>1026000</v>
      </c>
      <c r="Y473" s="12"/>
      <c r="Z473" s="12"/>
      <c r="AA473" s="12"/>
      <c r="AB473" s="9"/>
      <c r="AC473" s="12"/>
      <c r="AD473" s="9"/>
      <c r="AE473" s="12"/>
      <c r="AF47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473" s="24"/>
      <c r="AH473" s="266">
        <f>Table4[[#This Row],[Date]]</f>
        <v>46052</v>
      </c>
      <c r="AI473" s="264" t="str">
        <f t="shared" si="86"/>
        <v>Jan</v>
      </c>
      <c r="AJ473" s="264" t="str">
        <f t="shared" si="87"/>
        <v>2026</v>
      </c>
      <c r="AK473" s="270" t="str">
        <f>Table4[[#This Row],[ကုန်သည်အမည်]]</f>
        <v>ကိုမျိုးအောင်</v>
      </c>
      <c r="AL473" s="270" t="str">
        <f>Table4[[#This Row],[Township]]</f>
        <v>Maw La Myaing</v>
      </c>
      <c r="AM473" s="271" t="str">
        <f>Table4[[#This Row],[WholeSales]]</f>
        <v>WholeSales</v>
      </c>
      <c r="AN473" s="272" t="str">
        <f>Table4[[#This Row],[Particular]]</f>
        <v>ကုန်ရောင်း(လက်ငင်း)</v>
      </c>
      <c r="AO473" s="273" t="str">
        <f>Table4[[#This Row],[StockName]]</f>
        <v>ဇေယျဝတီ Red (1 Liter) 30%</v>
      </c>
      <c r="AP473" s="268">
        <f>Table4[[#This Row],[Parking]]</f>
        <v>50</v>
      </c>
      <c r="AQ473" s="268">
        <f>Table4[[#This Row],[SalesBot]]</f>
        <v>600</v>
      </c>
      <c r="AR473" s="268">
        <f>Table4[[#This Row],[Liter]]</f>
        <v>600</v>
      </c>
    </row>
    <row r="474" spans="1:44" s="16" customFormat="1" hidden="1" x14ac:dyDescent="0.5">
      <c r="A474" s="3">
        <f t="shared" si="92"/>
        <v>2026</v>
      </c>
      <c r="B474" s="8">
        <f t="shared" si="93"/>
        <v>1</v>
      </c>
      <c r="C474" s="82">
        <v>46052</v>
      </c>
      <c r="D474" s="15">
        <f t="shared" ca="1" si="94"/>
        <v>46097</v>
      </c>
      <c r="E474" s="15" t="str">
        <f t="shared" ca="1" si="95"/>
        <v>1-Months</v>
      </c>
      <c r="F474" s="8" t="str">
        <f>VLOOKUP(N474,Stock[#Data],5,FALSE)</f>
        <v>BE</v>
      </c>
      <c r="G474" s="82" t="s">
        <v>1228</v>
      </c>
      <c r="H474" s="15"/>
      <c r="I474" s="7" t="s">
        <v>535</v>
      </c>
      <c r="J474" s="8" t="str">
        <f>VLOOKUP(I474,Customers[#Data],2,FALSE)</f>
        <v>ကိုရဲ</v>
      </c>
      <c r="K474" s="15" t="str">
        <f>VLOOKUP(I474,Customers[#Data],4,FALSE)</f>
        <v>Yay</v>
      </c>
      <c r="L474" s="15" t="str">
        <f>VLOOKUP(I474,Customers[#Data],5,FALSE)</f>
        <v>Van Sales</v>
      </c>
      <c r="M474" s="7" t="s">
        <v>6</v>
      </c>
      <c r="N474" s="7" t="s">
        <v>517</v>
      </c>
      <c r="O474" s="14" t="str">
        <f>VLOOKUP(N474,Stock[#Data],2,FALSE)</f>
        <v>ဇေယျဝတီ Red (1 Liter) 30%</v>
      </c>
      <c r="P474" s="44">
        <f>VLOOKUP(N474,Stock[#Data],3,FALSE)</f>
        <v>1</v>
      </c>
      <c r="Q474" s="3">
        <f>VLOOKUP(N474,Stock[#Data],4,FALSE)</f>
        <v>12</v>
      </c>
      <c r="R474" s="11"/>
      <c r="S474" s="45">
        <f>IFERROR(Table4[[#This Row],[Bottle]]/Table4[[#This Row],[ပါဝင်မှု]]+Table4[[#This Row],[SalesPK]],0)</f>
        <v>50</v>
      </c>
      <c r="T474" s="12">
        <v>50</v>
      </c>
      <c r="U474" s="10">
        <f>Table4[[#This Row],[ပါဝင်မှု]]*Table4[[#This Row],[SalesPK]]+Table4[[#This Row],[Bottle]]</f>
        <v>600</v>
      </c>
      <c r="V474" s="10">
        <f>Table4[[#This Row],[SalesBot]]*Table4[[#This Row],[ML]]</f>
        <v>600</v>
      </c>
      <c r="W474" s="1">
        <f>VLOOKUP(N474,Stock[#Data],6,FALSE)</f>
        <v>1710</v>
      </c>
      <c r="X474" s="8">
        <f>+Table4[[#This Row],[SalesBot]]*Table4[[#This Row],[နှုံး]]</f>
        <v>1026000</v>
      </c>
      <c r="Y474" s="12"/>
      <c r="Z474" s="12"/>
      <c r="AA474" s="12"/>
      <c r="AB474" s="9"/>
      <c r="AC474" s="12"/>
      <c r="AD474" s="9"/>
      <c r="AE474" s="12"/>
      <c r="AF47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474" s="24"/>
      <c r="AH474" s="266">
        <f>Table4[[#This Row],[Date]]</f>
        <v>46052</v>
      </c>
      <c r="AI474" s="264" t="str">
        <f t="shared" si="86"/>
        <v>Jan</v>
      </c>
      <c r="AJ474" s="264" t="str">
        <f t="shared" si="87"/>
        <v>2026</v>
      </c>
      <c r="AK474" s="270" t="str">
        <f>Table4[[#This Row],[ကုန်သည်အမည်]]</f>
        <v>ကိုရဲ</v>
      </c>
      <c r="AL474" s="270" t="str">
        <f>Table4[[#This Row],[Township]]</f>
        <v>Yay</v>
      </c>
      <c r="AM474" s="271" t="str">
        <f>Table4[[#This Row],[WholeSales]]</f>
        <v>Van Sales</v>
      </c>
      <c r="AN474" s="272" t="str">
        <f>Table4[[#This Row],[Particular]]</f>
        <v>ကုန်ရောင်း(လက်ငင်း)</v>
      </c>
      <c r="AO474" s="273" t="str">
        <f>Table4[[#This Row],[StockName]]</f>
        <v>ဇေယျဝတီ Red (1 Liter) 30%</v>
      </c>
      <c r="AP474" s="268">
        <f>Table4[[#This Row],[Parking]]</f>
        <v>50</v>
      </c>
      <c r="AQ474" s="268">
        <f>Table4[[#This Row],[SalesBot]]</f>
        <v>600</v>
      </c>
      <c r="AR474" s="268">
        <f>Table4[[#This Row],[Liter]]</f>
        <v>600</v>
      </c>
    </row>
    <row r="475" spans="1:44" s="16" customFormat="1" hidden="1" x14ac:dyDescent="0.5">
      <c r="A475" s="3">
        <f t="shared" si="92"/>
        <v>2026</v>
      </c>
      <c r="B475" s="8">
        <f t="shared" si="93"/>
        <v>1</v>
      </c>
      <c r="C475" s="82">
        <v>46052</v>
      </c>
      <c r="D475" s="15">
        <f t="shared" ca="1" si="94"/>
        <v>46097</v>
      </c>
      <c r="E475" s="15" t="str">
        <f t="shared" ca="1" si="95"/>
        <v>1-Months</v>
      </c>
      <c r="F475" s="8" t="str">
        <f>VLOOKUP(N475,Stock[#Data],5,FALSE)</f>
        <v>BE</v>
      </c>
      <c r="G475" s="82" t="s">
        <v>1229</v>
      </c>
      <c r="H475" s="15"/>
      <c r="I475" s="7" t="s">
        <v>271</v>
      </c>
      <c r="J475" s="8" t="str">
        <f>VLOOKUP(I475,Customers[#Data],2,FALSE)</f>
        <v>ကိုအောင်</v>
      </c>
      <c r="K475" s="15" t="str">
        <f>VLOOKUP(I475,Customers[#Data],4,FALSE)</f>
        <v>Maw La Myaing</v>
      </c>
      <c r="L475" s="15" t="str">
        <f>VLOOKUP(I475,Customers[#Data],5,FALSE)</f>
        <v>Van Sales</v>
      </c>
      <c r="M475" s="7" t="s">
        <v>6</v>
      </c>
      <c r="N475" s="7" t="s">
        <v>518</v>
      </c>
      <c r="O475" s="14" t="str">
        <f>VLOOKUP(N475,Stock[#Data],2,FALSE)</f>
        <v>"ဇေ" ကော်ဘူး (1 Liter)</v>
      </c>
      <c r="P475" s="44">
        <f>VLOOKUP(N475,Stock[#Data],3,FALSE)</f>
        <v>1</v>
      </c>
      <c r="Q475" s="3">
        <f>VLOOKUP(N475,Stock[#Data],4,FALSE)</f>
        <v>12</v>
      </c>
      <c r="R475" s="11"/>
      <c r="S475" s="45">
        <f>IFERROR(Table4[[#This Row],[Bottle]]/Table4[[#This Row],[ပါဝင်မှု]]+Table4[[#This Row],[SalesPK]],0)</f>
        <v>3</v>
      </c>
      <c r="T475" s="12">
        <v>3</v>
      </c>
      <c r="U475" s="10">
        <f>Table4[[#This Row],[ပါဝင်မှု]]*Table4[[#This Row],[SalesPK]]+Table4[[#This Row],[Bottle]]</f>
        <v>36</v>
      </c>
      <c r="V475" s="10">
        <f>Table4[[#This Row],[SalesBot]]*Table4[[#This Row],[ML]]</f>
        <v>36</v>
      </c>
      <c r="W475" s="1">
        <f>VLOOKUP(N475,Stock[#Data],6,FALSE)</f>
        <v>1675</v>
      </c>
      <c r="X475" s="8">
        <f>+Table4[[#This Row],[SalesBot]]*Table4[[#This Row],[နှုံး]]</f>
        <v>60300</v>
      </c>
      <c r="Y475" s="12"/>
      <c r="Z475" s="12"/>
      <c r="AA475" s="12"/>
      <c r="AB475" s="9"/>
      <c r="AC475" s="12"/>
      <c r="AD475" s="9"/>
      <c r="AE475" s="12"/>
      <c r="AF47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60300</v>
      </c>
      <c r="AG475" s="24"/>
      <c r="AH475" s="266">
        <f>Table4[[#This Row],[Date]]</f>
        <v>46052</v>
      </c>
      <c r="AI475" s="264" t="str">
        <f t="shared" si="86"/>
        <v>Jan</v>
      </c>
      <c r="AJ475" s="264" t="str">
        <f t="shared" si="87"/>
        <v>2026</v>
      </c>
      <c r="AK475" s="270" t="str">
        <f>Table4[[#This Row],[ကုန်သည်အမည်]]</f>
        <v>ကိုအောင်</v>
      </c>
      <c r="AL475" s="270" t="str">
        <f>Table4[[#This Row],[Township]]</f>
        <v>Maw La Myaing</v>
      </c>
      <c r="AM475" s="271" t="str">
        <f>Table4[[#This Row],[WholeSales]]</f>
        <v>Van Sales</v>
      </c>
      <c r="AN475" s="272" t="str">
        <f>Table4[[#This Row],[Particular]]</f>
        <v>ကုန်ရောင်း(လက်ငင်း)</v>
      </c>
      <c r="AO475" s="273" t="str">
        <f>Table4[[#This Row],[StockName]]</f>
        <v>"ဇေ" ကော်ဘူး (1 Liter)</v>
      </c>
      <c r="AP475" s="268">
        <f>Table4[[#This Row],[Parking]]</f>
        <v>3</v>
      </c>
      <c r="AQ475" s="268">
        <f>Table4[[#This Row],[SalesBot]]</f>
        <v>36</v>
      </c>
      <c r="AR475" s="268">
        <f>Table4[[#This Row],[Liter]]</f>
        <v>36</v>
      </c>
    </row>
    <row r="476" spans="1:44" s="16" customFormat="1" hidden="1" x14ac:dyDescent="0.5">
      <c r="A476" s="3">
        <f t="shared" si="92"/>
        <v>2026</v>
      </c>
      <c r="B476" s="8">
        <f t="shared" si="93"/>
        <v>1</v>
      </c>
      <c r="C476" s="82">
        <v>46052</v>
      </c>
      <c r="D476" s="15">
        <f t="shared" ca="1" si="94"/>
        <v>46097</v>
      </c>
      <c r="E476" s="15" t="str">
        <f t="shared" ca="1" si="95"/>
        <v>1-Months</v>
      </c>
      <c r="F476" s="8" t="str">
        <f>VLOOKUP(N476,Stock[#Data],5,FALSE)</f>
        <v>BE</v>
      </c>
      <c r="G476" s="82" t="s">
        <v>1230</v>
      </c>
      <c r="H476" s="15"/>
      <c r="I476" s="7" t="s">
        <v>95</v>
      </c>
      <c r="J476" s="8" t="str">
        <f>VLOOKUP(I476,Customers[#Data],2,FALSE)</f>
        <v>ကျော်စတား</v>
      </c>
      <c r="K476" s="15" t="str">
        <f>VLOOKUP(I476,Customers[#Data],4,FALSE)</f>
        <v>Yay</v>
      </c>
      <c r="L476" s="15" t="str">
        <f>VLOOKUP(I476,Customers[#Data],5,FALSE)</f>
        <v>WholeSales</v>
      </c>
      <c r="M476" s="7" t="s">
        <v>7</v>
      </c>
      <c r="N476" s="7" t="s">
        <v>514</v>
      </c>
      <c r="O476" s="14" t="str">
        <f>VLOOKUP(N476,Stock[#Data],2,FALSE)</f>
        <v>ဇေယျဝတီ Red</v>
      </c>
      <c r="P476" s="44">
        <f>VLOOKUP(N476,Stock[#Data],3,FALSE)</f>
        <v>0.64</v>
      </c>
      <c r="Q476" s="3">
        <f>VLOOKUP(N476,Stock[#Data],4,FALSE)</f>
        <v>14</v>
      </c>
      <c r="R476" s="11"/>
      <c r="S476" s="45">
        <f>IFERROR(Table4[[#This Row],[Bottle]]/Table4[[#This Row],[ပါဝင်မှု]]+Table4[[#This Row],[SalesPK]],0)</f>
        <v>150</v>
      </c>
      <c r="T476" s="12">
        <v>150</v>
      </c>
      <c r="U476" s="10">
        <f>Table4[[#This Row],[ပါဝင်မှု]]*Table4[[#This Row],[SalesPK]]+Table4[[#This Row],[Bottle]]</f>
        <v>2100</v>
      </c>
      <c r="V476" s="10">
        <f>Table4[[#This Row],[SalesBot]]*Table4[[#This Row],[ML]]</f>
        <v>1344</v>
      </c>
      <c r="W476" s="1">
        <f>VLOOKUP(N476,Stock[#Data],6,FALSE)</f>
        <v>1350</v>
      </c>
      <c r="X476" s="8">
        <f>+Table4[[#This Row],[SalesBot]]*Table4[[#This Row],[နှုံး]]</f>
        <v>2835000</v>
      </c>
      <c r="Y476" s="12"/>
      <c r="Z476" s="12"/>
      <c r="AA476" s="12"/>
      <c r="AB476" s="9"/>
      <c r="AC476" s="12"/>
      <c r="AD476" s="9"/>
      <c r="AE476" s="12"/>
      <c r="AF47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2835000</v>
      </c>
      <c r="AG476" s="24"/>
      <c r="AH476" s="266">
        <f>Table4[[#This Row],[Date]]</f>
        <v>46052</v>
      </c>
      <c r="AI476" s="264" t="str">
        <f t="shared" si="86"/>
        <v>Jan</v>
      </c>
      <c r="AJ476" s="264" t="str">
        <f t="shared" si="87"/>
        <v>2026</v>
      </c>
      <c r="AK476" s="270" t="str">
        <f>Table4[[#This Row],[ကုန်သည်အမည်]]</f>
        <v>ကျော်စတား</v>
      </c>
      <c r="AL476" s="270" t="str">
        <f>Table4[[#This Row],[Township]]</f>
        <v>Yay</v>
      </c>
      <c r="AM476" s="271" t="str">
        <f>Table4[[#This Row],[WholeSales]]</f>
        <v>WholeSales</v>
      </c>
      <c r="AN476" s="272" t="str">
        <f>Table4[[#This Row],[Particular]]</f>
        <v>ကုန်ရောင်း(အကြွေး)</v>
      </c>
      <c r="AO476" s="273" t="str">
        <f>Table4[[#This Row],[StockName]]</f>
        <v>ဇေယျဝတီ Red</v>
      </c>
      <c r="AP476" s="268">
        <f>Table4[[#This Row],[Parking]]</f>
        <v>150</v>
      </c>
      <c r="AQ476" s="268">
        <f>Table4[[#This Row],[SalesBot]]</f>
        <v>2100</v>
      </c>
      <c r="AR476" s="268">
        <f>Table4[[#This Row],[Liter]]</f>
        <v>1344</v>
      </c>
    </row>
    <row r="477" spans="1:44" s="16" customFormat="1" hidden="1" x14ac:dyDescent="0.5">
      <c r="A477" s="3">
        <f t="shared" si="92"/>
        <v>2026</v>
      </c>
      <c r="B477" s="8">
        <f t="shared" si="93"/>
        <v>1</v>
      </c>
      <c r="C477" s="82">
        <v>46052</v>
      </c>
      <c r="D477" s="15">
        <f t="shared" ca="1" si="94"/>
        <v>46097</v>
      </c>
      <c r="E477" s="15" t="str">
        <f t="shared" ca="1" si="95"/>
        <v>1-Months</v>
      </c>
      <c r="F477" s="8" t="str">
        <f>VLOOKUP(N477,Stock[#Data],5,FALSE)</f>
        <v>BE</v>
      </c>
      <c r="G477" s="82" t="s">
        <v>1230</v>
      </c>
      <c r="H477" s="15"/>
      <c r="I477" s="7" t="s">
        <v>95</v>
      </c>
      <c r="J477" s="8" t="str">
        <f>VLOOKUP(I477,Customers[#Data],2,FALSE)</f>
        <v>ကျော်စတား</v>
      </c>
      <c r="K477" s="15" t="str">
        <f>VLOOKUP(I477,Customers[#Data],4,FALSE)</f>
        <v>Yay</v>
      </c>
      <c r="L477" s="15" t="str">
        <f>VLOOKUP(I477,Customers[#Data],5,FALSE)</f>
        <v>WholeSales</v>
      </c>
      <c r="M477" s="7" t="s">
        <v>7</v>
      </c>
      <c r="N477" s="7" t="s">
        <v>517</v>
      </c>
      <c r="O477" s="14" t="str">
        <f>VLOOKUP(N477,Stock[#Data],2,FALSE)</f>
        <v>ဇေယျဝတီ Red (1 Liter) 30%</v>
      </c>
      <c r="P477" s="44">
        <f>VLOOKUP(N477,Stock[#Data],3,FALSE)</f>
        <v>1</v>
      </c>
      <c r="Q477" s="3">
        <f>VLOOKUP(N477,Stock[#Data],4,FALSE)</f>
        <v>12</v>
      </c>
      <c r="R477" s="11"/>
      <c r="S477" s="45">
        <f>IFERROR(Table4[[#This Row],[Bottle]]/Table4[[#This Row],[ပါဝင်မှု]]+Table4[[#This Row],[SalesPK]],0)</f>
        <v>100</v>
      </c>
      <c r="T477" s="12">
        <v>100</v>
      </c>
      <c r="U477" s="10">
        <f>Table4[[#This Row],[ပါဝင်မှု]]*Table4[[#This Row],[SalesPK]]+Table4[[#This Row],[Bottle]]</f>
        <v>1200</v>
      </c>
      <c r="V477" s="10">
        <f>Table4[[#This Row],[SalesBot]]*Table4[[#This Row],[ML]]</f>
        <v>1200</v>
      </c>
      <c r="W477" s="1">
        <f>VLOOKUP(N477,Stock[#Data],6,FALSE)</f>
        <v>1710</v>
      </c>
      <c r="X477" s="8">
        <f>+Table4[[#This Row],[SalesBot]]*Table4[[#This Row],[နှုံး]]</f>
        <v>2052000</v>
      </c>
      <c r="Y477" s="12"/>
      <c r="Z477" s="12"/>
      <c r="AA477" s="12"/>
      <c r="AB477" s="9"/>
      <c r="AC477" s="12"/>
      <c r="AD477" s="9"/>
      <c r="AE477" s="12"/>
      <c r="AF47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477" s="24"/>
      <c r="AH477" s="266">
        <f>Table4[[#This Row],[Date]]</f>
        <v>46052</v>
      </c>
      <c r="AI477" s="264" t="str">
        <f t="shared" si="86"/>
        <v>Jan</v>
      </c>
      <c r="AJ477" s="264" t="str">
        <f t="shared" si="87"/>
        <v>2026</v>
      </c>
      <c r="AK477" s="270" t="str">
        <f>Table4[[#This Row],[ကုန်သည်အမည်]]</f>
        <v>ကျော်စတား</v>
      </c>
      <c r="AL477" s="270" t="str">
        <f>Table4[[#This Row],[Township]]</f>
        <v>Yay</v>
      </c>
      <c r="AM477" s="271" t="str">
        <f>Table4[[#This Row],[WholeSales]]</f>
        <v>WholeSales</v>
      </c>
      <c r="AN477" s="272" t="str">
        <f>Table4[[#This Row],[Particular]]</f>
        <v>ကုန်ရောင်း(အကြွေး)</v>
      </c>
      <c r="AO477" s="273" t="str">
        <f>Table4[[#This Row],[StockName]]</f>
        <v>ဇေယျဝတီ Red (1 Liter) 30%</v>
      </c>
      <c r="AP477" s="268">
        <f>Table4[[#This Row],[Parking]]</f>
        <v>100</v>
      </c>
      <c r="AQ477" s="268">
        <f>Table4[[#This Row],[SalesBot]]</f>
        <v>1200</v>
      </c>
      <c r="AR477" s="268">
        <f>Table4[[#This Row],[Liter]]</f>
        <v>1200</v>
      </c>
    </row>
    <row r="478" spans="1:44" s="16" customFormat="1" hidden="1" x14ac:dyDescent="0.5">
      <c r="A478" s="3">
        <f t="shared" si="92"/>
        <v>2026</v>
      </c>
      <c r="B478" s="8">
        <f t="shared" si="93"/>
        <v>1</v>
      </c>
      <c r="C478" s="82">
        <v>46052</v>
      </c>
      <c r="D478" s="15">
        <f t="shared" ca="1" si="94"/>
        <v>46097</v>
      </c>
      <c r="E478" s="15" t="str">
        <f t="shared" ca="1" si="95"/>
        <v>1-Months</v>
      </c>
      <c r="F478" s="8" t="str">
        <f>VLOOKUP(N478,Stock[#Data],5,FALSE)</f>
        <v>BE</v>
      </c>
      <c r="G478" s="82" t="s">
        <v>1231</v>
      </c>
      <c r="H478" s="15"/>
      <c r="I478" s="7" t="s">
        <v>82</v>
      </c>
      <c r="J478" s="8" t="str">
        <f>VLOOKUP(I478,Customers[#Data],2,FALSE)</f>
        <v>ဒေါ်ထွန်းမေ</v>
      </c>
      <c r="K478" s="15" t="str">
        <f>VLOOKUP(I478,Customers[#Data],4,FALSE)</f>
        <v>Maw La Myaing</v>
      </c>
      <c r="L478" s="15" t="str">
        <f>VLOOKUP(I478,Customers[#Data],5,FALSE)</f>
        <v>WholeSales</v>
      </c>
      <c r="M478" s="7" t="s">
        <v>7</v>
      </c>
      <c r="N478" s="7" t="s">
        <v>521</v>
      </c>
      <c r="O478" s="14" t="str">
        <f>VLOOKUP(N478,Stock[#Data],2,FALSE)</f>
        <v>ဒဂုံအရက်သန့်</v>
      </c>
      <c r="P478" s="44">
        <f>VLOOKUP(N478,Stock[#Data],3,FALSE)</f>
        <v>0.64</v>
      </c>
      <c r="Q478" s="3">
        <f>VLOOKUP(N478,Stock[#Data],4,FALSE)</f>
        <v>24</v>
      </c>
      <c r="R478" s="11"/>
      <c r="S478" s="45">
        <f>IFERROR(Table4[[#This Row],[Bottle]]/Table4[[#This Row],[ပါဝင်မှု]]+Table4[[#This Row],[SalesPK]],0)</f>
        <v>60</v>
      </c>
      <c r="T478" s="12">
        <v>60</v>
      </c>
      <c r="U478" s="10">
        <f>Table4[[#This Row],[ပါဝင်မှု]]*Table4[[#This Row],[SalesPK]]+Table4[[#This Row],[Bottle]]</f>
        <v>1440</v>
      </c>
      <c r="V478" s="10">
        <f>Table4[[#This Row],[SalesBot]]*Table4[[#This Row],[ML]]</f>
        <v>921.6</v>
      </c>
      <c r="W478" s="1">
        <f>VLOOKUP(N478,Stock[#Data],6,FALSE)</f>
        <v>1350</v>
      </c>
      <c r="X478" s="8">
        <f>+Table4[[#This Row],[SalesBot]]*Table4[[#This Row],[နှုံး]]</f>
        <v>1944000</v>
      </c>
      <c r="Y478" s="12"/>
      <c r="Z478" s="12"/>
      <c r="AA478" s="12"/>
      <c r="AB478" s="9"/>
      <c r="AC478" s="12"/>
      <c r="AD478" s="9"/>
      <c r="AE478" s="12"/>
      <c r="AF47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1944000</v>
      </c>
      <c r="AG478" s="24"/>
      <c r="AH478" s="266">
        <f>Table4[[#This Row],[Date]]</f>
        <v>46052</v>
      </c>
      <c r="AI478" s="264" t="str">
        <f t="shared" si="86"/>
        <v>Jan</v>
      </c>
      <c r="AJ478" s="264" t="str">
        <f t="shared" si="87"/>
        <v>2026</v>
      </c>
      <c r="AK478" s="270" t="str">
        <f>Table4[[#This Row],[ကုန်သည်အမည်]]</f>
        <v>ဒေါ်ထွန်းမေ</v>
      </c>
      <c r="AL478" s="270" t="str">
        <f>Table4[[#This Row],[Township]]</f>
        <v>Maw La Myaing</v>
      </c>
      <c r="AM478" s="271" t="str">
        <f>Table4[[#This Row],[WholeSales]]</f>
        <v>WholeSales</v>
      </c>
      <c r="AN478" s="272" t="str">
        <f>Table4[[#This Row],[Particular]]</f>
        <v>ကုန်ရောင်း(အကြွေး)</v>
      </c>
      <c r="AO478" s="273" t="str">
        <f>Table4[[#This Row],[StockName]]</f>
        <v>ဒဂုံအရက်သန့်</v>
      </c>
      <c r="AP478" s="268">
        <f>Table4[[#This Row],[Parking]]</f>
        <v>60</v>
      </c>
      <c r="AQ478" s="268">
        <f>Table4[[#This Row],[SalesBot]]</f>
        <v>1440</v>
      </c>
      <c r="AR478" s="268">
        <f>Table4[[#This Row],[Liter]]</f>
        <v>921.6</v>
      </c>
    </row>
    <row r="479" spans="1:44" s="16" customFormat="1" hidden="1" x14ac:dyDescent="0.5">
      <c r="A479" s="3">
        <f>YEAR(C479)</f>
        <v>2026</v>
      </c>
      <c r="B479" s="8">
        <f>MONTH(C479)</f>
        <v>1</v>
      </c>
      <c r="C479" s="82">
        <v>46052</v>
      </c>
      <c r="D479" s="15">
        <f ca="1">TODAY()</f>
        <v>46097</v>
      </c>
      <c r="E479" s="15" t="str">
        <f ca="1">DATEDIF(C479,D479,"M")&amp;"-Months"</f>
        <v>1-Months</v>
      </c>
      <c r="F479" s="8" t="str">
        <f>VLOOKUP(N479,Stock[#Data],5,FALSE)</f>
        <v>BE</v>
      </c>
      <c r="G479" s="82" t="s">
        <v>1232</v>
      </c>
      <c r="H479" s="15"/>
      <c r="I479" s="7" t="s">
        <v>91</v>
      </c>
      <c r="J479" s="8" t="str">
        <f>VLOOKUP(I479,Customers[#Data],2,FALSE)</f>
        <v>တော်၀င်</v>
      </c>
      <c r="K479" s="15" t="str">
        <f>VLOOKUP(I479,Customers[#Data],4,FALSE)</f>
        <v>Belin</v>
      </c>
      <c r="L479" s="15" t="str">
        <f>VLOOKUP(I479,Customers[#Data],5,FALSE)</f>
        <v>SemiWholeSales</v>
      </c>
      <c r="M479" s="7" t="s">
        <v>9</v>
      </c>
      <c r="N479" s="7" t="s">
        <v>516</v>
      </c>
      <c r="O479" s="14" t="str">
        <f>VLOOKUP(N479,Stock[#Data],2,FALSE)</f>
        <v>ဇေ Vodka</v>
      </c>
      <c r="P479" s="44">
        <f>VLOOKUP(N479,Stock[#Data],3,FALSE)</f>
        <v>0.64</v>
      </c>
      <c r="Q479" s="3">
        <f>VLOOKUP(N479,Stock[#Data],4,FALSE)</f>
        <v>14</v>
      </c>
      <c r="R479" s="11">
        <v>5</v>
      </c>
      <c r="S479" s="45">
        <f>IFERROR(Table4[[#This Row],[Bottle]]/Table4[[#This Row],[ပါဝင်မှု]]+Table4[[#This Row],[SalesPK]],0)</f>
        <v>0.35714285714285715</v>
      </c>
      <c r="T479" s="12"/>
      <c r="U479" s="10">
        <f>Table4[[#This Row],[ပါဝင်မှု]]*Table4[[#This Row],[SalesPK]]+Table4[[#This Row],[Bottle]]</f>
        <v>5</v>
      </c>
      <c r="V479" s="10">
        <f>Table4[[#This Row],[SalesBot]]*Table4[[#This Row],[ML]]</f>
        <v>3.2</v>
      </c>
      <c r="W479" s="1">
        <f>VLOOKUP(N479,Stock[#Data],6,FALSE)</f>
        <v>1400</v>
      </c>
      <c r="X479" s="8">
        <f>+Table4[[#This Row],[SalesBot]]*Table4[[#This Row],[နှုံး]]</f>
        <v>7000</v>
      </c>
      <c r="Y479" s="12"/>
      <c r="Z479" s="12"/>
      <c r="AA479" s="12"/>
      <c r="AB479" s="9"/>
      <c r="AC479" s="12"/>
      <c r="AD479" s="9"/>
      <c r="AE479" s="12"/>
      <c r="AF47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7000</v>
      </c>
      <c r="AG479" s="24"/>
      <c r="AH479" s="266">
        <f>Table4[[#This Row],[Date]]</f>
        <v>46052</v>
      </c>
      <c r="AI479" s="264" t="str">
        <f t="shared" si="86"/>
        <v>Jan</v>
      </c>
      <c r="AJ479" s="264" t="str">
        <f t="shared" si="87"/>
        <v>2026</v>
      </c>
      <c r="AK479" s="270" t="str">
        <f>Table4[[#This Row],[ကုန်သည်အမည်]]</f>
        <v>တော်၀င်</v>
      </c>
      <c r="AL479" s="270" t="str">
        <f>Table4[[#This Row],[Township]]</f>
        <v>Belin</v>
      </c>
      <c r="AM479" s="271" t="str">
        <f>Table4[[#This Row],[WholeSales]]</f>
        <v>SemiWholeSales</v>
      </c>
      <c r="AN479" s="272" t="str">
        <f>Table4[[#This Row],[Particular]]</f>
        <v>လက်ဆောင်</v>
      </c>
      <c r="AO479" s="273" t="str">
        <f>Table4[[#This Row],[StockName]]</f>
        <v>ဇေ Vodka</v>
      </c>
      <c r="AP479" s="268">
        <f>Table4[[#This Row],[Parking]]</f>
        <v>0.35714285714285715</v>
      </c>
      <c r="AQ479" s="268">
        <f>Table4[[#This Row],[SalesBot]]</f>
        <v>5</v>
      </c>
      <c r="AR479" s="268">
        <f>Table4[[#This Row],[Liter]]</f>
        <v>3.2</v>
      </c>
    </row>
    <row r="480" spans="1:44" s="16" customFormat="1" hidden="1" x14ac:dyDescent="0.5">
      <c r="A480" s="3">
        <f t="shared" si="92"/>
        <v>2026</v>
      </c>
      <c r="B480" s="8">
        <f t="shared" si="93"/>
        <v>1</v>
      </c>
      <c r="C480" s="82">
        <v>46052</v>
      </c>
      <c r="D480" s="15">
        <f t="shared" ca="1" si="94"/>
        <v>46097</v>
      </c>
      <c r="E480" s="15" t="str">
        <f t="shared" ca="1" si="95"/>
        <v>1-Months</v>
      </c>
      <c r="F480" s="8" t="str">
        <f>VLOOKUP(N480,Stock[#Data],5,FALSE)</f>
        <v>BE</v>
      </c>
      <c r="G480" s="82" t="s">
        <v>1232</v>
      </c>
      <c r="H480" s="15" t="s">
        <v>127</v>
      </c>
      <c r="I480" s="7" t="s">
        <v>91</v>
      </c>
      <c r="J480" s="8" t="str">
        <f>VLOOKUP(I480,Customers[#Data],2,FALSE)</f>
        <v>တော်၀င်</v>
      </c>
      <c r="K480" s="15" t="str">
        <f>VLOOKUP(I480,Customers[#Data],4,FALSE)</f>
        <v>Belin</v>
      </c>
      <c r="L480" s="15" t="str">
        <f>VLOOKUP(I480,Customers[#Data],5,FALSE)</f>
        <v>SemiWholeSales</v>
      </c>
      <c r="M480" s="7" t="s">
        <v>7</v>
      </c>
      <c r="N480" s="7" t="s">
        <v>516</v>
      </c>
      <c r="O480" s="14" t="str">
        <f>VLOOKUP(N480,Stock[#Data],2,FALSE)</f>
        <v>ဇေ Vodka</v>
      </c>
      <c r="P480" s="44">
        <f>VLOOKUP(N480,Stock[#Data],3,FALSE)</f>
        <v>0.64</v>
      </c>
      <c r="Q480" s="3">
        <f>VLOOKUP(N480,Stock[#Data],4,FALSE)</f>
        <v>14</v>
      </c>
      <c r="R480" s="11"/>
      <c r="S480" s="45">
        <f>IFERROR(Table4[[#This Row],[Bottle]]/Table4[[#This Row],[ပါဝင်မှု]]+Table4[[#This Row],[SalesPK]],0)</f>
        <v>200</v>
      </c>
      <c r="T480" s="12">
        <v>200</v>
      </c>
      <c r="U480" s="10">
        <f>Table4[[#This Row],[ပါဝင်မှု]]*Table4[[#This Row],[SalesPK]]+Table4[[#This Row],[Bottle]]</f>
        <v>2800</v>
      </c>
      <c r="V480" s="10">
        <f>Table4[[#This Row],[SalesBot]]*Table4[[#This Row],[ML]]</f>
        <v>1792</v>
      </c>
      <c r="W480" s="1">
        <f>VLOOKUP(N480,Stock[#Data],6,FALSE)</f>
        <v>1400</v>
      </c>
      <c r="X480" s="8">
        <f>+Table4[[#This Row],[SalesBot]]*Table4[[#This Row],[နှုံး]]</f>
        <v>3920000</v>
      </c>
      <c r="Y480" s="12"/>
      <c r="Z480" s="12"/>
      <c r="AA480" s="12"/>
      <c r="AB480" s="9"/>
      <c r="AC480" s="12"/>
      <c r="AD480" s="9"/>
      <c r="AE480" s="12"/>
      <c r="AF48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3920000</v>
      </c>
      <c r="AG480" s="24"/>
      <c r="AH480" s="266">
        <f>Table4[[#This Row],[Date]]</f>
        <v>46052</v>
      </c>
      <c r="AI480" s="264" t="str">
        <f t="shared" si="86"/>
        <v>Jan</v>
      </c>
      <c r="AJ480" s="264" t="str">
        <f t="shared" si="87"/>
        <v>2026</v>
      </c>
      <c r="AK480" s="270" t="str">
        <f>Table4[[#This Row],[ကုန်သည်အမည်]]</f>
        <v>တော်၀င်</v>
      </c>
      <c r="AL480" s="270" t="str">
        <f>Table4[[#This Row],[Township]]</f>
        <v>Belin</v>
      </c>
      <c r="AM480" s="271" t="str">
        <f>Table4[[#This Row],[WholeSales]]</f>
        <v>SemiWholeSales</v>
      </c>
      <c r="AN480" s="272" t="str">
        <f>Table4[[#This Row],[Particular]]</f>
        <v>ကုန်ရောင်း(အကြွေး)</v>
      </c>
      <c r="AO480" s="273" t="str">
        <f>Table4[[#This Row],[StockName]]</f>
        <v>ဇေ Vodka</v>
      </c>
      <c r="AP480" s="268">
        <f>Table4[[#This Row],[Parking]]</f>
        <v>200</v>
      </c>
      <c r="AQ480" s="268">
        <f>Table4[[#This Row],[SalesBot]]</f>
        <v>2800</v>
      </c>
      <c r="AR480" s="268">
        <f>Table4[[#This Row],[Liter]]</f>
        <v>1792</v>
      </c>
    </row>
    <row r="481" spans="1:44" s="16" customFormat="1" hidden="1" x14ac:dyDescent="0.5">
      <c r="A481" s="3">
        <f t="shared" si="92"/>
        <v>2026</v>
      </c>
      <c r="B481" s="8">
        <f t="shared" si="93"/>
        <v>1</v>
      </c>
      <c r="C481" s="82">
        <v>46052</v>
      </c>
      <c r="D481" s="15">
        <f t="shared" ca="1" si="94"/>
        <v>46097</v>
      </c>
      <c r="E481" s="15" t="str">
        <f t="shared" ca="1" si="95"/>
        <v>1-Months</v>
      </c>
      <c r="F481" s="8" t="str">
        <f>VLOOKUP(N481,Stock[#Data],5,FALSE)</f>
        <v>BE</v>
      </c>
      <c r="G481" s="82" t="s">
        <v>1232</v>
      </c>
      <c r="H481" s="15" t="s">
        <v>127</v>
      </c>
      <c r="I481" s="7" t="s">
        <v>91</v>
      </c>
      <c r="J481" s="8" t="str">
        <f>VLOOKUP(I481,Customers[#Data],2,FALSE)</f>
        <v>တော်၀င်</v>
      </c>
      <c r="K481" s="15" t="str">
        <f>VLOOKUP(I481,Customers[#Data],4,FALSE)</f>
        <v>Belin</v>
      </c>
      <c r="L481" s="15" t="str">
        <f>VLOOKUP(I481,Customers[#Data],5,FALSE)</f>
        <v>SemiWholeSales</v>
      </c>
      <c r="M481" s="7" t="s">
        <v>7</v>
      </c>
      <c r="N481" s="7" t="s">
        <v>515</v>
      </c>
      <c r="O481" s="14" t="str">
        <f>VLOOKUP(N481,Stock[#Data],2,FALSE)</f>
        <v>ဇေ Vodka</v>
      </c>
      <c r="P481" s="44">
        <f>VLOOKUP(N481,Stock[#Data],3,FALSE)</f>
        <v>0.7</v>
      </c>
      <c r="Q481" s="3">
        <f>VLOOKUP(N481,Stock[#Data],4,FALSE)</f>
        <v>12</v>
      </c>
      <c r="R481" s="11"/>
      <c r="S481" s="45">
        <f>IFERROR(Table4[[#This Row],[Bottle]]/Table4[[#This Row],[ပါဝင်မှု]]+Table4[[#This Row],[SalesPK]],0)</f>
        <v>10</v>
      </c>
      <c r="T481" s="12">
        <v>10</v>
      </c>
      <c r="U481" s="10">
        <f>Table4[[#This Row],[ပါဝင်မှု]]*Table4[[#This Row],[SalesPK]]+Table4[[#This Row],[Bottle]]</f>
        <v>120</v>
      </c>
      <c r="V481" s="10">
        <f>Table4[[#This Row],[SalesBot]]*Table4[[#This Row],[ML]]</f>
        <v>84</v>
      </c>
      <c r="W481" s="1">
        <f>VLOOKUP(N481,Stock[#Data],6,FALSE)</f>
        <v>2020</v>
      </c>
      <c r="X481" s="8">
        <f>+Table4[[#This Row],[SalesBot]]*Table4[[#This Row],[နှုံး]]</f>
        <v>242400</v>
      </c>
      <c r="Y481" s="12"/>
      <c r="Z481" s="12"/>
      <c r="AA481" s="12"/>
      <c r="AB481" s="9"/>
      <c r="AC481" s="12"/>
      <c r="AD481" s="9"/>
      <c r="AE481" s="12"/>
      <c r="AF48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242400</v>
      </c>
      <c r="AG481" s="24"/>
      <c r="AH481" s="266">
        <f>Table4[[#This Row],[Date]]</f>
        <v>46052</v>
      </c>
      <c r="AI481" s="264" t="str">
        <f t="shared" si="86"/>
        <v>Jan</v>
      </c>
      <c r="AJ481" s="264" t="str">
        <f t="shared" si="87"/>
        <v>2026</v>
      </c>
      <c r="AK481" s="270" t="str">
        <f>Table4[[#This Row],[ကုန်သည်အမည်]]</f>
        <v>တော်၀င်</v>
      </c>
      <c r="AL481" s="270" t="str">
        <f>Table4[[#This Row],[Township]]</f>
        <v>Belin</v>
      </c>
      <c r="AM481" s="271" t="str">
        <f>Table4[[#This Row],[WholeSales]]</f>
        <v>SemiWholeSales</v>
      </c>
      <c r="AN481" s="272" t="str">
        <f>Table4[[#This Row],[Particular]]</f>
        <v>ကုန်ရောင်း(အကြွေး)</v>
      </c>
      <c r="AO481" s="273" t="str">
        <f>Table4[[#This Row],[StockName]]</f>
        <v>ဇေ Vodka</v>
      </c>
      <c r="AP481" s="268">
        <f>Table4[[#This Row],[Parking]]</f>
        <v>10</v>
      </c>
      <c r="AQ481" s="268">
        <f>Table4[[#This Row],[SalesBot]]</f>
        <v>120</v>
      </c>
      <c r="AR481" s="268">
        <f>Table4[[#This Row],[Liter]]</f>
        <v>84</v>
      </c>
    </row>
    <row r="482" spans="1:44" s="16" customFormat="1" hidden="1" x14ac:dyDescent="0.5">
      <c r="A482" s="3">
        <f t="shared" ref="A482:A513" si="96">YEAR(C482)</f>
        <v>2026</v>
      </c>
      <c r="B482" s="8">
        <f t="shared" ref="B482:B513" si="97">MONTH(C482)</f>
        <v>1</v>
      </c>
      <c r="C482" s="82">
        <v>46053</v>
      </c>
      <c r="D482" s="15">
        <f t="shared" ref="D482:D513" ca="1" si="98">TODAY()</f>
        <v>46097</v>
      </c>
      <c r="E482" s="15" t="str">
        <f t="shared" ref="E482:E513" ca="1" si="99">DATEDIF(C482,D482,"M")&amp;"-Months"</f>
        <v>1-Months</v>
      </c>
      <c r="F482" s="8" t="str">
        <f>VLOOKUP(N482,Stock[#Data],5,FALSE)</f>
        <v>BE</v>
      </c>
      <c r="G482" s="82" t="s">
        <v>1233</v>
      </c>
      <c r="H482" s="15"/>
      <c r="I482" s="7" t="s">
        <v>579</v>
      </c>
      <c r="J482" s="8" t="str">
        <f>VLOOKUP(I482,Customers[#Data],2,FALSE)</f>
        <v>ကောင်းခေတ်</v>
      </c>
      <c r="K482" s="15" t="str">
        <f>VLOOKUP(I482,Customers[#Data],4,FALSE)</f>
        <v>Maw La Myaing</v>
      </c>
      <c r="L482" s="15" t="str">
        <f>VLOOKUP(I482,Customers[#Data],5,FALSE)</f>
        <v>Van Sales</v>
      </c>
      <c r="M482" s="7" t="s">
        <v>6</v>
      </c>
      <c r="N482" s="7" t="s">
        <v>516</v>
      </c>
      <c r="O482" s="14" t="str">
        <f>VLOOKUP(N482,Stock[#Data],2,FALSE)</f>
        <v>ဇေ Vodka</v>
      </c>
      <c r="P482" s="44">
        <f>VLOOKUP(N482,Stock[#Data],3,FALSE)</f>
        <v>0.64</v>
      </c>
      <c r="Q482" s="3">
        <f>VLOOKUP(N482,Stock[#Data],4,FALSE)</f>
        <v>14</v>
      </c>
      <c r="R482" s="11"/>
      <c r="S482" s="45">
        <f>IFERROR(Table4[[#This Row],[Bottle]]/Table4[[#This Row],[ပါဝင်မှု]]+Table4[[#This Row],[SalesPK]],0)</f>
        <v>5</v>
      </c>
      <c r="T482" s="12">
        <v>5</v>
      </c>
      <c r="U482" s="10">
        <f>Table4[[#This Row],[ပါဝင်မှု]]*Table4[[#This Row],[SalesPK]]+Table4[[#This Row],[Bottle]]</f>
        <v>70</v>
      </c>
      <c r="V482" s="10">
        <f>Table4[[#This Row],[SalesBot]]*Table4[[#This Row],[ML]]</f>
        <v>44.800000000000004</v>
      </c>
      <c r="W482" s="1">
        <f>VLOOKUP(N482,Stock[#Data],6,FALSE)</f>
        <v>1400</v>
      </c>
      <c r="X482" s="8">
        <f>+Table4[[#This Row],[SalesBot]]*Table4[[#This Row],[နှုံး]]</f>
        <v>98000</v>
      </c>
      <c r="Y482" s="12"/>
      <c r="Z482" s="12"/>
      <c r="AA482" s="12"/>
      <c r="AB482" s="9"/>
      <c r="AC482" s="12"/>
      <c r="AD482" s="9"/>
      <c r="AE482" s="12"/>
      <c r="AF48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</v>
      </c>
      <c r="AG482" s="24"/>
      <c r="AH482" s="266">
        <f>Table4[[#This Row],[Date]]</f>
        <v>46053</v>
      </c>
      <c r="AI482" s="264" t="str">
        <f t="shared" si="86"/>
        <v>Jan</v>
      </c>
      <c r="AJ482" s="264" t="str">
        <f t="shared" si="87"/>
        <v>2026</v>
      </c>
      <c r="AK482" s="270" t="str">
        <f>Table4[[#This Row],[ကုန်သည်အမည်]]</f>
        <v>ကောင်းခေတ်</v>
      </c>
      <c r="AL482" s="270" t="str">
        <f>Table4[[#This Row],[Township]]</f>
        <v>Maw La Myaing</v>
      </c>
      <c r="AM482" s="271" t="str">
        <f>Table4[[#This Row],[WholeSales]]</f>
        <v>Van Sales</v>
      </c>
      <c r="AN482" s="272" t="str">
        <f>Table4[[#This Row],[Particular]]</f>
        <v>ကုန်ရောင်း(လက်ငင်း)</v>
      </c>
      <c r="AO482" s="273" t="str">
        <f>Table4[[#This Row],[StockName]]</f>
        <v>ဇေ Vodka</v>
      </c>
      <c r="AP482" s="268">
        <f>Table4[[#This Row],[Parking]]</f>
        <v>5</v>
      </c>
      <c r="AQ482" s="268">
        <f>Table4[[#This Row],[SalesBot]]</f>
        <v>70</v>
      </c>
      <c r="AR482" s="268">
        <f>Table4[[#This Row],[Liter]]</f>
        <v>44.800000000000004</v>
      </c>
    </row>
    <row r="483" spans="1:44" s="16" customFormat="1" hidden="1" x14ac:dyDescent="0.5">
      <c r="A483" s="3">
        <f t="shared" si="96"/>
        <v>2026</v>
      </c>
      <c r="B483" s="8">
        <f t="shared" si="97"/>
        <v>1</v>
      </c>
      <c r="C483" s="82">
        <v>46053</v>
      </c>
      <c r="D483" s="15">
        <f t="shared" ca="1" si="98"/>
        <v>46097</v>
      </c>
      <c r="E483" s="15" t="str">
        <f t="shared" ca="1" si="99"/>
        <v>1-Months</v>
      </c>
      <c r="F483" s="8" t="str">
        <f>VLOOKUP(N483,Stock[#Data],5,FALSE)</f>
        <v>BE</v>
      </c>
      <c r="G483" s="82" t="s">
        <v>1233</v>
      </c>
      <c r="H483" s="15"/>
      <c r="I483" s="7" t="s">
        <v>579</v>
      </c>
      <c r="J483" s="8" t="str">
        <f>VLOOKUP(I483,Customers[#Data],2,FALSE)</f>
        <v>ကောင်းခေတ်</v>
      </c>
      <c r="K483" s="15" t="str">
        <f>VLOOKUP(I483,Customers[#Data],4,FALSE)</f>
        <v>Maw La Myaing</v>
      </c>
      <c r="L483" s="15" t="str">
        <f>VLOOKUP(I483,Customers[#Data],5,FALSE)</f>
        <v>Van Sales</v>
      </c>
      <c r="M483" s="7" t="s">
        <v>6</v>
      </c>
      <c r="N483" s="7" t="s">
        <v>518</v>
      </c>
      <c r="O483" s="14" t="str">
        <f>VLOOKUP(N483,Stock[#Data],2,FALSE)</f>
        <v>"ဇေ" ကော်ဘူး (1 Liter)</v>
      </c>
      <c r="P483" s="44">
        <f>VLOOKUP(N483,Stock[#Data],3,FALSE)</f>
        <v>1</v>
      </c>
      <c r="Q483" s="3">
        <f>VLOOKUP(N483,Stock[#Data],4,FALSE)</f>
        <v>12</v>
      </c>
      <c r="R483" s="11"/>
      <c r="S483" s="45">
        <f>IFERROR(Table4[[#This Row],[Bottle]]/Table4[[#This Row],[ပါဝင်မှု]]+Table4[[#This Row],[SalesPK]],0)</f>
        <v>5</v>
      </c>
      <c r="T483" s="12">
        <v>5</v>
      </c>
      <c r="U483" s="10">
        <f>Table4[[#This Row],[ပါဝင်မှု]]*Table4[[#This Row],[SalesPK]]+Table4[[#This Row],[Bottle]]</f>
        <v>60</v>
      </c>
      <c r="V483" s="10">
        <f>Table4[[#This Row],[SalesBot]]*Table4[[#This Row],[ML]]</f>
        <v>60</v>
      </c>
      <c r="W483" s="1">
        <f>VLOOKUP(N483,Stock[#Data],6,FALSE)</f>
        <v>1675</v>
      </c>
      <c r="X483" s="8">
        <f>+Table4[[#This Row],[SalesBot]]*Table4[[#This Row],[နှုံး]]</f>
        <v>100500</v>
      </c>
      <c r="Y483" s="12"/>
      <c r="Z483" s="12"/>
      <c r="AA483" s="12"/>
      <c r="AB483" s="9"/>
      <c r="AC483" s="12"/>
      <c r="AD483" s="9"/>
      <c r="AE483" s="12"/>
      <c r="AF48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483" s="24"/>
      <c r="AH483" s="266">
        <f>Table4[[#This Row],[Date]]</f>
        <v>46053</v>
      </c>
      <c r="AI483" s="264" t="str">
        <f t="shared" si="86"/>
        <v>Jan</v>
      </c>
      <c r="AJ483" s="264" t="str">
        <f t="shared" si="87"/>
        <v>2026</v>
      </c>
      <c r="AK483" s="270" t="str">
        <f>Table4[[#This Row],[ကုန်သည်အမည်]]</f>
        <v>ကောင်းခေတ်</v>
      </c>
      <c r="AL483" s="270" t="str">
        <f>Table4[[#This Row],[Township]]</f>
        <v>Maw La Myaing</v>
      </c>
      <c r="AM483" s="271" t="str">
        <f>Table4[[#This Row],[WholeSales]]</f>
        <v>Van Sales</v>
      </c>
      <c r="AN483" s="272" t="str">
        <f>Table4[[#This Row],[Particular]]</f>
        <v>ကုန်ရောင်း(လက်ငင်း)</v>
      </c>
      <c r="AO483" s="273" t="str">
        <f>Table4[[#This Row],[StockName]]</f>
        <v>"ဇေ" ကော်ဘူး (1 Liter)</v>
      </c>
      <c r="AP483" s="268">
        <f>Table4[[#This Row],[Parking]]</f>
        <v>5</v>
      </c>
      <c r="AQ483" s="268">
        <f>Table4[[#This Row],[SalesBot]]</f>
        <v>60</v>
      </c>
      <c r="AR483" s="268">
        <f>Table4[[#This Row],[Liter]]</f>
        <v>60</v>
      </c>
    </row>
    <row r="484" spans="1:44" s="16" customFormat="1" hidden="1" x14ac:dyDescent="0.5">
      <c r="A484" s="3">
        <f t="shared" si="96"/>
        <v>2026</v>
      </c>
      <c r="B484" s="8">
        <f t="shared" si="97"/>
        <v>1</v>
      </c>
      <c r="C484" s="82">
        <v>46053</v>
      </c>
      <c r="D484" s="15">
        <f t="shared" ca="1" si="98"/>
        <v>46097</v>
      </c>
      <c r="E484" s="15" t="str">
        <f t="shared" ca="1" si="99"/>
        <v>1-Months</v>
      </c>
      <c r="F484" s="8" t="str">
        <f>VLOOKUP(N484,Stock[#Data],5,FALSE)</f>
        <v>BE</v>
      </c>
      <c r="G484" s="82" t="s">
        <v>1234</v>
      </c>
      <c r="H484" s="15"/>
      <c r="I484" s="7" t="s">
        <v>560</v>
      </c>
      <c r="J484" s="8" t="str">
        <f>VLOOKUP(I484,Customers[#Data],2,FALSE)</f>
        <v>မသန္တာ</v>
      </c>
      <c r="K484" s="15" t="str">
        <f>VLOOKUP(I484,Customers[#Data],4,FALSE)</f>
        <v>Maw La Myaing</v>
      </c>
      <c r="L484" s="15" t="str">
        <f>VLOOKUP(I484,Customers[#Data],5,FALSE)</f>
        <v>Van Sales</v>
      </c>
      <c r="M484" s="7" t="s">
        <v>6</v>
      </c>
      <c r="N484" s="7" t="s">
        <v>518</v>
      </c>
      <c r="O484" s="14" t="str">
        <f>VLOOKUP(N484,Stock[#Data],2,FALSE)</f>
        <v>"ဇေ" ကော်ဘူး (1 Liter)</v>
      </c>
      <c r="P484" s="44">
        <f>VLOOKUP(N484,Stock[#Data],3,FALSE)</f>
        <v>1</v>
      </c>
      <c r="Q484" s="3">
        <f>VLOOKUP(N484,Stock[#Data],4,FALSE)</f>
        <v>12</v>
      </c>
      <c r="R484" s="11"/>
      <c r="S484" s="45">
        <f>IFERROR(Table4[[#This Row],[Bottle]]/Table4[[#This Row],[ပါဝင်မှု]]+Table4[[#This Row],[SalesPK]],0)</f>
        <v>5</v>
      </c>
      <c r="T484" s="12">
        <v>5</v>
      </c>
      <c r="U484" s="10">
        <f>Table4[[#This Row],[ပါဝင်မှု]]*Table4[[#This Row],[SalesPK]]+Table4[[#This Row],[Bottle]]</f>
        <v>60</v>
      </c>
      <c r="V484" s="10">
        <f>Table4[[#This Row],[SalesBot]]*Table4[[#This Row],[ML]]</f>
        <v>60</v>
      </c>
      <c r="W484" s="1">
        <f>VLOOKUP(N484,Stock[#Data],6,FALSE)</f>
        <v>1675</v>
      </c>
      <c r="X484" s="8">
        <f>+Table4[[#This Row],[SalesBot]]*Table4[[#This Row],[နှုံး]]</f>
        <v>100500</v>
      </c>
      <c r="Y484" s="12"/>
      <c r="Z484" s="12"/>
      <c r="AA484" s="12"/>
      <c r="AB484" s="9"/>
      <c r="AC484" s="12"/>
      <c r="AD484" s="9"/>
      <c r="AE484" s="12"/>
      <c r="AF48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484" s="24"/>
      <c r="AH484" s="266">
        <f>Table4[[#This Row],[Date]]</f>
        <v>46053</v>
      </c>
      <c r="AI484" s="264" t="str">
        <f t="shared" si="86"/>
        <v>Jan</v>
      </c>
      <c r="AJ484" s="264" t="str">
        <f t="shared" si="87"/>
        <v>2026</v>
      </c>
      <c r="AK484" s="270" t="str">
        <f>Table4[[#This Row],[ကုန်သည်အမည်]]</f>
        <v>မသန္တာ</v>
      </c>
      <c r="AL484" s="270" t="str">
        <f>Table4[[#This Row],[Township]]</f>
        <v>Maw La Myaing</v>
      </c>
      <c r="AM484" s="271" t="str">
        <f>Table4[[#This Row],[WholeSales]]</f>
        <v>Van Sales</v>
      </c>
      <c r="AN484" s="272" t="str">
        <f>Table4[[#This Row],[Particular]]</f>
        <v>ကုန်ရောင်း(လက်ငင်း)</v>
      </c>
      <c r="AO484" s="273" t="str">
        <f>Table4[[#This Row],[StockName]]</f>
        <v>"ဇေ" ကော်ဘူး (1 Liter)</v>
      </c>
      <c r="AP484" s="268">
        <f>Table4[[#This Row],[Parking]]</f>
        <v>5</v>
      </c>
      <c r="AQ484" s="268">
        <f>Table4[[#This Row],[SalesBot]]</f>
        <v>60</v>
      </c>
      <c r="AR484" s="268">
        <f>Table4[[#This Row],[Liter]]</f>
        <v>60</v>
      </c>
    </row>
    <row r="485" spans="1:44" s="16" customFormat="1" hidden="1" x14ac:dyDescent="0.5">
      <c r="A485" s="3">
        <f t="shared" si="96"/>
        <v>2026</v>
      </c>
      <c r="B485" s="8">
        <f t="shared" si="97"/>
        <v>1</v>
      </c>
      <c r="C485" s="82">
        <v>46053</v>
      </c>
      <c r="D485" s="15">
        <f t="shared" ca="1" si="98"/>
        <v>46097</v>
      </c>
      <c r="E485" s="15" t="str">
        <f t="shared" ca="1" si="99"/>
        <v>1-Months</v>
      </c>
      <c r="F485" s="8" t="str">
        <f>VLOOKUP(N485,Stock[#Data],5,FALSE)</f>
        <v>BE</v>
      </c>
      <c r="G485" s="82" t="s">
        <v>1235</v>
      </c>
      <c r="H485" s="15"/>
      <c r="I485" s="7" t="s">
        <v>540</v>
      </c>
      <c r="J485" s="8" t="str">
        <f>VLOOKUP(I485,Customers[#Data],2,FALSE)</f>
        <v>ကိုမွန်လေး</v>
      </c>
      <c r="K485" s="15" t="str">
        <f>VLOOKUP(I485,Customers[#Data],4,FALSE)</f>
        <v>Yay</v>
      </c>
      <c r="L485" s="15" t="str">
        <f>VLOOKUP(I485,Customers[#Data],5,FALSE)</f>
        <v>SemiWholeSales</v>
      </c>
      <c r="M485" s="7" t="s">
        <v>6</v>
      </c>
      <c r="N485" s="7" t="s">
        <v>514</v>
      </c>
      <c r="O485" s="14" t="str">
        <f>VLOOKUP(N485,Stock[#Data],2,FALSE)</f>
        <v>ဇေယျဝတီ Red</v>
      </c>
      <c r="P485" s="44">
        <f>VLOOKUP(N485,Stock[#Data],3,FALSE)</f>
        <v>0.64</v>
      </c>
      <c r="Q485" s="3">
        <f>VLOOKUP(N485,Stock[#Data],4,FALSE)</f>
        <v>14</v>
      </c>
      <c r="R485" s="11"/>
      <c r="S485" s="45">
        <f>IFERROR(Table4[[#This Row],[Bottle]]/Table4[[#This Row],[ပါဝင်မှု]]+Table4[[#This Row],[SalesPK]],0)</f>
        <v>50</v>
      </c>
      <c r="T485" s="12">
        <v>50</v>
      </c>
      <c r="U485" s="10">
        <f>Table4[[#This Row],[ပါဝင်မှု]]*Table4[[#This Row],[SalesPK]]+Table4[[#This Row],[Bottle]]</f>
        <v>700</v>
      </c>
      <c r="V485" s="10">
        <f>Table4[[#This Row],[SalesBot]]*Table4[[#This Row],[ML]]</f>
        <v>448</v>
      </c>
      <c r="W485" s="1">
        <f>VLOOKUP(N485,Stock[#Data],6,FALSE)</f>
        <v>1350</v>
      </c>
      <c r="X485" s="8">
        <f>+Table4[[#This Row],[SalesBot]]*Table4[[#This Row],[နှုံး]]</f>
        <v>945000</v>
      </c>
      <c r="Y485" s="12"/>
      <c r="Z485" s="12"/>
      <c r="AA485" s="12"/>
      <c r="AB485" s="9"/>
      <c r="AC485" s="12"/>
      <c r="AD485" s="9"/>
      <c r="AE485" s="12"/>
      <c r="AF48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485" s="24"/>
      <c r="AH485" s="266">
        <f>Table4[[#This Row],[Date]]</f>
        <v>46053</v>
      </c>
      <c r="AI485" s="264" t="str">
        <f t="shared" si="86"/>
        <v>Jan</v>
      </c>
      <c r="AJ485" s="264" t="str">
        <f t="shared" si="87"/>
        <v>2026</v>
      </c>
      <c r="AK485" s="270" t="str">
        <f>Table4[[#This Row],[ကုန်သည်အမည်]]</f>
        <v>ကိုမွန်လေး</v>
      </c>
      <c r="AL485" s="270" t="str">
        <f>Table4[[#This Row],[Township]]</f>
        <v>Yay</v>
      </c>
      <c r="AM485" s="271" t="str">
        <f>Table4[[#This Row],[WholeSales]]</f>
        <v>SemiWholeSales</v>
      </c>
      <c r="AN485" s="272" t="str">
        <f>Table4[[#This Row],[Particular]]</f>
        <v>ကုန်ရောင်း(လက်ငင်း)</v>
      </c>
      <c r="AO485" s="273" t="str">
        <f>Table4[[#This Row],[StockName]]</f>
        <v>ဇေယျဝတီ Red</v>
      </c>
      <c r="AP485" s="268">
        <f>Table4[[#This Row],[Parking]]</f>
        <v>50</v>
      </c>
      <c r="AQ485" s="268">
        <f>Table4[[#This Row],[SalesBot]]</f>
        <v>700</v>
      </c>
      <c r="AR485" s="268">
        <f>Table4[[#This Row],[Liter]]</f>
        <v>448</v>
      </c>
    </row>
    <row r="486" spans="1:44" s="16" customFormat="1" hidden="1" x14ac:dyDescent="0.5">
      <c r="A486" s="3">
        <f t="shared" si="96"/>
        <v>2026</v>
      </c>
      <c r="B486" s="8">
        <f t="shared" si="97"/>
        <v>1</v>
      </c>
      <c r="C486" s="82">
        <v>46053</v>
      </c>
      <c r="D486" s="15">
        <f t="shared" ca="1" si="98"/>
        <v>46097</v>
      </c>
      <c r="E486" s="15" t="str">
        <f t="shared" ca="1" si="99"/>
        <v>1-Months</v>
      </c>
      <c r="F486" s="8" t="str">
        <f>VLOOKUP(N486,Stock[#Data],5,FALSE)</f>
        <v>BE</v>
      </c>
      <c r="G486" s="82" t="s">
        <v>1235</v>
      </c>
      <c r="H486" s="15"/>
      <c r="I486" s="7" t="s">
        <v>82</v>
      </c>
      <c r="J486" s="8" t="str">
        <f>VLOOKUP(I486,Customers[#Data],2,FALSE)</f>
        <v>ဒေါ်ထွန်းမေ</v>
      </c>
      <c r="K486" s="15" t="str">
        <f>VLOOKUP(I486,Customers[#Data],4,FALSE)</f>
        <v>Maw La Myaing</v>
      </c>
      <c r="L486" s="15" t="str">
        <f>VLOOKUP(I486,Customers[#Data],5,FALSE)</f>
        <v>WholeSales</v>
      </c>
      <c r="M486" s="7" t="s">
        <v>6</v>
      </c>
      <c r="N486" s="7" t="s">
        <v>514</v>
      </c>
      <c r="O486" s="14" t="str">
        <f>VLOOKUP(N486,Stock[#Data],2,FALSE)</f>
        <v>ဇေယျဝတီ Red</v>
      </c>
      <c r="P486" s="44">
        <f>VLOOKUP(N486,Stock[#Data],3,FALSE)</f>
        <v>0.64</v>
      </c>
      <c r="Q486" s="3">
        <f>VLOOKUP(N486,Stock[#Data],4,FALSE)</f>
        <v>14</v>
      </c>
      <c r="R486" s="11"/>
      <c r="S486" s="45">
        <f>IFERROR(Table4[[#This Row],[Bottle]]/Table4[[#This Row],[ပါဝင်မှု]]+Table4[[#This Row],[SalesPK]],0)</f>
        <v>50</v>
      </c>
      <c r="T486" s="12">
        <v>50</v>
      </c>
      <c r="U486" s="10">
        <f>Table4[[#This Row],[ပါဝင်မှု]]*Table4[[#This Row],[SalesPK]]+Table4[[#This Row],[Bottle]]</f>
        <v>700</v>
      </c>
      <c r="V486" s="10">
        <f>Table4[[#This Row],[SalesBot]]*Table4[[#This Row],[ML]]</f>
        <v>448</v>
      </c>
      <c r="W486" s="1">
        <f>VLOOKUP(N486,Stock[#Data],6,FALSE)</f>
        <v>1350</v>
      </c>
      <c r="X486" s="8">
        <f>+Table4[[#This Row],[SalesBot]]*Table4[[#This Row],[နှုံး]]</f>
        <v>945000</v>
      </c>
      <c r="Y486" s="12"/>
      <c r="Z486" s="12"/>
      <c r="AA486" s="12"/>
      <c r="AB486" s="9"/>
      <c r="AC486" s="12"/>
      <c r="AD486" s="9"/>
      <c r="AE486" s="12"/>
      <c r="AF48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486" s="24"/>
      <c r="AH486" s="266">
        <f>Table4[[#This Row],[Date]]</f>
        <v>46053</v>
      </c>
      <c r="AI486" s="264" t="str">
        <f t="shared" si="86"/>
        <v>Jan</v>
      </c>
      <c r="AJ486" s="264" t="str">
        <f t="shared" si="87"/>
        <v>2026</v>
      </c>
      <c r="AK486" s="270" t="str">
        <f>Table4[[#This Row],[ကုန်သည်အမည်]]</f>
        <v>ဒေါ်ထွန်းမေ</v>
      </c>
      <c r="AL486" s="270" t="str">
        <f>Table4[[#This Row],[Township]]</f>
        <v>Maw La Myaing</v>
      </c>
      <c r="AM486" s="271" t="str">
        <f>Table4[[#This Row],[WholeSales]]</f>
        <v>WholeSales</v>
      </c>
      <c r="AN486" s="272" t="str">
        <f>Table4[[#This Row],[Particular]]</f>
        <v>ကုန်ရောင်း(လက်ငင်း)</v>
      </c>
      <c r="AO486" s="273" t="str">
        <f>Table4[[#This Row],[StockName]]</f>
        <v>ဇေယျဝတီ Red</v>
      </c>
      <c r="AP486" s="268">
        <f>Table4[[#This Row],[Parking]]</f>
        <v>50</v>
      </c>
      <c r="AQ486" s="268">
        <f>Table4[[#This Row],[SalesBot]]</f>
        <v>700</v>
      </c>
      <c r="AR486" s="268">
        <f>Table4[[#This Row],[Liter]]</f>
        <v>448</v>
      </c>
    </row>
    <row r="487" spans="1:44" s="16" customFormat="1" hidden="1" x14ac:dyDescent="0.5">
      <c r="A487" s="3">
        <f t="shared" si="96"/>
        <v>2026</v>
      </c>
      <c r="B487" s="8">
        <f t="shared" si="97"/>
        <v>1</v>
      </c>
      <c r="C487" s="82">
        <v>46053</v>
      </c>
      <c r="D487" s="15">
        <f t="shared" ca="1" si="98"/>
        <v>46097</v>
      </c>
      <c r="E487" s="15" t="str">
        <f t="shared" ca="1" si="99"/>
        <v>1-Months</v>
      </c>
      <c r="F487" s="8" t="str">
        <f>VLOOKUP(N487,Stock[#Data],5,FALSE)</f>
        <v>BE</v>
      </c>
      <c r="G487" s="82" t="s">
        <v>1235</v>
      </c>
      <c r="H487" s="15"/>
      <c r="I487" s="7" t="s">
        <v>111</v>
      </c>
      <c r="J487" s="8" t="str">
        <f>VLOOKUP(I487,Customers[#Data],2,FALSE)</f>
        <v>လင်းသစ်</v>
      </c>
      <c r="K487" s="15" t="str">
        <f>VLOOKUP(I487,Customers[#Data],4,FALSE)</f>
        <v>Yay</v>
      </c>
      <c r="L487" s="15" t="str">
        <f>VLOOKUP(I487,Customers[#Data],5,FALSE)</f>
        <v>WholeSales</v>
      </c>
      <c r="M487" s="7" t="s">
        <v>6</v>
      </c>
      <c r="N487" s="7" t="s">
        <v>514</v>
      </c>
      <c r="O487" s="14" t="str">
        <f>VLOOKUP(N487,Stock[#Data],2,FALSE)</f>
        <v>ဇေယျဝတီ Red</v>
      </c>
      <c r="P487" s="44">
        <f>VLOOKUP(N487,Stock[#Data],3,FALSE)</f>
        <v>0.64</v>
      </c>
      <c r="Q487" s="3">
        <f>VLOOKUP(N487,Stock[#Data],4,FALSE)</f>
        <v>14</v>
      </c>
      <c r="R487" s="11"/>
      <c r="S487" s="45">
        <f>IFERROR(Table4[[#This Row],[Bottle]]/Table4[[#This Row],[ပါဝင်မှု]]+Table4[[#This Row],[SalesPK]],0)</f>
        <v>75</v>
      </c>
      <c r="T487" s="12">
        <v>75</v>
      </c>
      <c r="U487" s="10">
        <f>Table4[[#This Row],[ပါဝင်မှု]]*Table4[[#This Row],[SalesPK]]+Table4[[#This Row],[Bottle]]</f>
        <v>1050</v>
      </c>
      <c r="V487" s="10">
        <f>Table4[[#This Row],[SalesBot]]*Table4[[#This Row],[ML]]</f>
        <v>672</v>
      </c>
      <c r="W487" s="1">
        <f>VLOOKUP(N487,Stock[#Data],6,FALSE)</f>
        <v>1350</v>
      </c>
      <c r="X487" s="8">
        <f>+Table4[[#This Row],[SalesBot]]*Table4[[#This Row],[နှုံး]]</f>
        <v>1417500</v>
      </c>
      <c r="Y487" s="12"/>
      <c r="Z487" s="12"/>
      <c r="AA487" s="12"/>
      <c r="AB487" s="9"/>
      <c r="AC487" s="12"/>
      <c r="AD487" s="9"/>
      <c r="AE487" s="12"/>
      <c r="AF48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1417500</v>
      </c>
      <c r="AG487" s="24"/>
      <c r="AH487" s="266">
        <f>Table4[[#This Row],[Date]]</f>
        <v>46053</v>
      </c>
      <c r="AI487" s="264" t="str">
        <f t="shared" si="86"/>
        <v>Jan</v>
      </c>
      <c r="AJ487" s="264" t="str">
        <f t="shared" si="87"/>
        <v>2026</v>
      </c>
      <c r="AK487" s="270" t="str">
        <f>Table4[[#This Row],[ကုန်သည်အမည်]]</f>
        <v>လင်းသစ်</v>
      </c>
      <c r="AL487" s="270" t="str">
        <f>Table4[[#This Row],[Township]]</f>
        <v>Yay</v>
      </c>
      <c r="AM487" s="271" t="str">
        <f>Table4[[#This Row],[WholeSales]]</f>
        <v>WholeSales</v>
      </c>
      <c r="AN487" s="272" t="str">
        <f>Table4[[#This Row],[Particular]]</f>
        <v>ကုန်ရောင်း(လက်ငင်း)</v>
      </c>
      <c r="AO487" s="273" t="str">
        <f>Table4[[#This Row],[StockName]]</f>
        <v>ဇေယျဝတီ Red</v>
      </c>
      <c r="AP487" s="268">
        <f>Table4[[#This Row],[Parking]]</f>
        <v>75</v>
      </c>
      <c r="AQ487" s="268">
        <f>Table4[[#This Row],[SalesBot]]</f>
        <v>1050</v>
      </c>
      <c r="AR487" s="268">
        <f>Table4[[#This Row],[Liter]]</f>
        <v>672</v>
      </c>
    </row>
    <row r="488" spans="1:44" s="16" customFormat="1" hidden="1" x14ac:dyDescent="0.5">
      <c r="A488" s="3">
        <f t="shared" si="96"/>
        <v>2026</v>
      </c>
      <c r="B488" s="8">
        <f t="shared" si="97"/>
        <v>1</v>
      </c>
      <c r="C488" s="82">
        <v>46053</v>
      </c>
      <c r="D488" s="15">
        <f t="shared" ca="1" si="98"/>
        <v>46097</v>
      </c>
      <c r="E488" s="15" t="str">
        <f t="shared" ca="1" si="99"/>
        <v>1-Months</v>
      </c>
      <c r="F488" s="8" t="str">
        <f>VLOOKUP(N488,Stock[#Data],5,FALSE)</f>
        <v>BE</v>
      </c>
      <c r="G488" s="82" t="s">
        <v>1235</v>
      </c>
      <c r="H488" s="15"/>
      <c r="I488" s="7" t="s">
        <v>111</v>
      </c>
      <c r="J488" s="8" t="str">
        <f>VLOOKUP(I488,Customers[#Data],2,FALSE)</f>
        <v>လင်းသစ်</v>
      </c>
      <c r="K488" s="15" t="str">
        <f>VLOOKUP(I488,Customers[#Data],4,FALSE)</f>
        <v>Yay</v>
      </c>
      <c r="L488" s="15" t="str">
        <f>VLOOKUP(I488,Customers[#Data],5,FALSE)</f>
        <v>WholeSales</v>
      </c>
      <c r="M488" s="7" t="s">
        <v>6</v>
      </c>
      <c r="N488" s="7" t="s">
        <v>517</v>
      </c>
      <c r="O488" s="14" t="str">
        <f>VLOOKUP(N488,Stock[#Data],2,FALSE)</f>
        <v>ဇေယျဝတီ Red (1 Liter) 30%</v>
      </c>
      <c r="P488" s="44">
        <f>VLOOKUP(N488,Stock[#Data],3,FALSE)</f>
        <v>1</v>
      </c>
      <c r="Q488" s="3">
        <f>VLOOKUP(N488,Stock[#Data],4,FALSE)</f>
        <v>12</v>
      </c>
      <c r="R488" s="11"/>
      <c r="S488" s="45">
        <f>IFERROR(Table4[[#This Row],[Bottle]]/Table4[[#This Row],[ပါဝင်မှု]]+Table4[[#This Row],[SalesPK]],0)</f>
        <v>75</v>
      </c>
      <c r="T488" s="12">
        <v>75</v>
      </c>
      <c r="U488" s="10">
        <f>Table4[[#This Row],[ပါဝင်မှု]]*Table4[[#This Row],[SalesPK]]+Table4[[#This Row],[Bottle]]</f>
        <v>900</v>
      </c>
      <c r="V488" s="10">
        <f>Table4[[#This Row],[SalesBot]]*Table4[[#This Row],[ML]]</f>
        <v>900</v>
      </c>
      <c r="W488" s="1">
        <f>VLOOKUP(N488,Stock[#Data],6,FALSE)</f>
        <v>1710</v>
      </c>
      <c r="X488" s="8">
        <f>+Table4[[#This Row],[SalesBot]]*Table4[[#This Row],[နှုံး]]</f>
        <v>1539000</v>
      </c>
      <c r="Y488" s="12"/>
      <c r="Z488" s="12"/>
      <c r="AA488" s="12"/>
      <c r="AB488" s="9"/>
      <c r="AC488" s="12"/>
      <c r="AD488" s="9"/>
      <c r="AE488" s="12"/>
      <c r="AF48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1539000</v>
      </c>
      <c r="AG488" s="24"/>
      <c r="AH488" s="266">
        <f>Table4[[#This Row],[Date]]</f>
        <v>46053</v>
      </c>
      <c r="AI488" s="264" t="str">
        <f t="shared" si="86"/>
        <v>Jan</v>
      </c>
      <c r="AJ488" s="264" t="str">
        <f t="shared" si="87"/>
        <v>2026</v>
      </c>
      <c r="AK488" s="270" t="str">
        <f>Table4[[#This Row],[ကုန်သည်အမည်]]</f>
        <v>လင်းသစ်</v>
      </c>
      <c r="AL488" s="270" t="str">
        <f>Table4[[#This Row],[Township]]</f>
        <v>Yay</v>
      </c>
      <c r="AM488" s="271" t="str">
        <f>Table4[[#This Row],[WholeSales]]</f>
        <v>WholeSales</v>
      </c>
      <c r="AN488" s="272" t="str">
        <f>Table4[[#This Row],[Particular]]</f>
        <v>ကုန်ရောင်း(လက်ငင်း)</v>
      </c>
      <c r="AO488" s="273" t="str">
        <f>Table4[[#This Row],[StockName]]</f>
        <v>ဇေယျဝတီ Red (1 Liter) 30%</v>
      </c>
      <c r="AP488" s="268">
        <f>Table4[[#This Row],[Parking]]</f>
        <v>75</v>
      </c>
      <c r="AQ488" s="268">
        <f>Table4[[#This Row],[SalesBot]]</f>
        <v>900</v>
      </c>
      <c r="AR488" s="268">
        <f>Table4[[#This Row],[Liter]]</f>
        <v>900</v>
      </c>
    </row>
    <row r="489" spans="1:44" s="16" customFormat="1" hidden="1" x14ac:dyDescent="0.5">
      <c r="A489" s="3">
        <f t="shared" si="96"/>
        <v>2026</v>
      </c>
      <c r="B489" s="8">
        <f t="shared" si="97"/>
        <v>1</v>
      </c>
      <c r="C489" s="82">
        <v>46053</v>
      </c>
      <c r="D489" s="15">
        <f t="shared" ca="1" si="98"/>
        <v>46097</v>
      </c>
      <c r="E489" s="15" t="str">
        <f t="shared" ca="1" si="99"/>
        <v>1-Months</v>
      </c>
      <c r="F489" s="8" t="str">
        <f>VLOOKUP(N489,Stock[#Data],5,FALSE)</f>
        <v>BE</v>
      </c>
      <c r="G489" s="82" t="s">
        <v>1236</v>
      </c>
      <c r="H489" s="15"/>
      <c r="I489" s="7" t="s">
        <v>541</v>
      </c>
      <c r="J489" s="8" t="str">
        <f>VLOOKUP(I489,Customers[#Data],2,FALSE)</f>
        <v>ကိုကျော်ရွှေ</v>
      </c>
      <c r="K489" s="15" t="str">
        <f>VLOOKUP(I489,Customers[#Data],4,FALSE)</f>
        <v>Mudon</v>
      </c>
      <c r="L489" s="15" t="str">
        <f>VLOOKUP(I489,Customers[#Data],5,FALSE)</f>
        <v>SemiWholeSales</v>
      </c>
      <c r="M489" s="7" t="s">
        <v>6</v>
      </c>
      <c r="N489" s="7" t="s">
        <v>520</v>
      </c>
      <c r="O489" s="14" t="str">
        <f>VLOOKUP(N489,Stock[#Data],2,FALSE)</f>
        <v>ဇေယျဝတီ  Red(ပု)</v>
      </c>
      <c r="P489" s="44">
        <f>VLOOKUP(N489,Stock[#Data],3,FALSE)</f>
        <v>0.64</v>
      </c>
      <c r="Q489" s="3">
        <f>VLOOKUP(N489,Stock[#Data],4,FALSE)</f>
        <v>14</v>
      </c>
      <c r="R489" s="11"/>
      <c r="S489" s="45">
        <f>IFERROR(Table4[[#This Row],[Bottle]]/Table4[[#This Row],[ပါဝင်မှု]]+Table4[[#This Row],[SalesPK]],0)</f>
        <v>30</v>
      </c>
      <c r="T489" s="12">
        <v>30</v>
      </c>
      <c r="U489" s="10">
        <f>Table4[[#This Row],[ပါဝင်မှု]]*Table4[[#This Row],[SalesPK]]+Table4[[#This Row],[Bottle]]</f>
        <v>420</v>
      </c>
      <c r="V489" s="10">
        <f>Table4[[#This Row],[SalesBot]]*Table4[[#This Row],[ML]]</f>
        <v>268.8</v>
      </c>
      <c r="W489" s="1">
        <f>VLOOKUP(N489,Stock[#Data],6,FALSE)</f>
        <v>1800</v>
      </c>
      <c r="X489" s="8">
        <f>+Table4[[#This Row],[SalesBot]]*Table4[[#This Row],[နှုံး]]</f>
        <v>756000</v>
      </c>
      <c r="Y489" s="12"/>
      <c r="Z489" s="12"/>
      <c r="AA489" s="12"/>
      <c r="AB489" s="9"/>
      <c r="AC489" s="12"/>
      <c r="AD489" s="9"/>
      <c r="AE489" s="12"/>
      <c r="AF48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756000</v>
      </c>
      <c r="AG489" s="24"/>
      <c r="AH489" s="266">
        <f>Table4[[#This Row],[Date]]</f>
        <v>46053</v>
      </c>
      <c r="AI489" s="264" t="str">
        <f t="shared" si="86"/>
        <v>Jan</v>
      </c>
      <c r="AJ489" s="264" t="str">
        <f t="shared" si="87"/>
        <v>2026</v>
      </c>
      <c r="AK489" s="270" t="str">
        <f>Table4[[#This Row],[ကုန်သည်အမည်]]</f>
        <v>ကိုကျော်ရွှေ</v>
      </c>
      <c r="AL489" s="270" t="str">
        <f>Table4[[#This Row],[Township]]</f>
        <v>Mudon</v>
      </c>
      <c r="AM489" s="271" t="str">
        <f>Table4[[#This Row],[WholeSales]]</f>
        <v>SemiWholeSales</v>
      </c>
      <c r="AN489" s="272" t="str">
        <f>Table4[[#This Row],[Particular]]</f>
        <v>ကုန်ရောင်း(လက်ငင်း)</v>
      </c>
      <c r="AO489" s="273" t="str">
        <f>Table4[[#This Row],[StockName]]</f>
        <v>ဇေယျဝတီ  Red(ပု)</v>
      </c>
      <c r="AP489" s="268">
        <f>Table4[[#This Row],[Parking]]</f>
        <v>30</v>
      </c>
      <c r="AQ489" s="268">
        <f>Table4[[#This Row],[SalesBot]]</f>
        <v>420</v>
      </c>
      <c r="AR489" s="268">
        <f>Table4[[#This Row],[Liter]]</f>
        <v>268.8</v>
      </c>
    </row>
    <row r="490" spans="1:44" s="16" customFormat="1" hidden="1" x14ac:dyDescent="0.5">
      <c r="A490" s="3">
        <f t="shared" si="96"/>
        <v>2026</v>
      </c>
      <c r="B490" s="8">
        <f t="shared" si="97"/>
        <v>1</v>
      </c>
      <c r="C490" s="82">
        <v>46053</v>
      </c>
      <c r="D490" s="15">
        <f t="shared" ca="1" si="98"/>
        <v>46097</v>
      </c>
      <c r="E490" s="15" t="str">
        <f t="shared" ca="1" si="99"/>
        <v>1-Months</v>
      </c>
      <c r="F490" s="8" t="str">
        <f>VLOOKUP(N490,Stock[#Data],5,FALSE)</f>
        <v>BE</v>
      </c>
      <c r="G490" s="82" t="s">
        <v>1237</v>
      </c>
      <c r="H490" s="15"/>
      <c r="I490" s="7" t="s">
        <v>546</v>
      </c>
      <c r="J490" s="8" t="str">
        <f>VLOOKUP(I490,Customers[#Data],2,FALSE)</f>
        <v>မသီတာ၀င်း</v>
      </c>
      <c r="K490" s="15" t="str">
        <f>VLOOKUP(I490,Customers[#Data],4,FALSE)</f>
        <v>Mudon</v>
      </c>
      <c r="L490" s="15" t="str">
        <f>VLOOKUP(I490,Customers[#Data],5,FALSE)</f>
        <v>SemiWholeSales</v>
      </c>
      <c r="M490" s="7" t="s">
        <v>6</v>
      </c>
      <c r="N490" s="7" t="s">
        <v>520</v>
      </c>
      <c r="O490" s="14" t="str">
        <f>VLOOKUP(N490,Stock[#Data],2,FALSE)</f>
        <v>ဇေယျဝတီ  Red(ပု)</v>
      </c>
      <c r="P490" s="44">
        <f>VLOOKUP(N490,Stock[#Data],3,FALSE)</f>
        <v>0.64</v>
      </c>
      <c r="Q490" s="3">
        <f>VLOOKUP(N490,Stock[#Data],4,FALSE)</f>
        <v>14</v>
      </c>
      <c r="R490" s="11"/>
      <c r="S490" s="45">
        <f>IFERROR(Table4[[#This Row],[Bottle]]/Table4[[#This Row],[ပါဝင်မှု]]+Table4[[#This Row],[SalesPK]],0)</f>
        <v>25</v>
      </c>
      <c r="T490" s="12">
        <v>25</v>
      </c>
      <c r="U490" s="10">
        <f>Table4[[#This Row],[ပါဝင်မှု]]*Table4[[#This Row],[SalesPK]]+Table4[[#This Row],[Bottle]]</f>
        <v>350</v>
      </c>
      <c r="V490" s="10">
        <f>Table4[[#This Row],[SalesBot]]*Table4[[#This Row],[ML]]</f>
        <v>224</v>
      </c>
      <c r="W490" s="1">
        <f>VLOOKUP(N490,Stock[#Data],6,FALSE)</f>
        <v>1800</v>
      </c>
      <c r="X490" s="8">
        <f>+Table4[[#This Row],[SalesBot]]*Table4[[#This Row],[နှုံး]]</f>
        <v>630000</v>
      </c>
      <c r="Y490" s="12"/>
      <c r="Z490" s="12"/>
      <c r="AA490" s="12"/>
      <c r="AB490" s="9"/>
      <c r="AC490" s="12"/>
      <c r="AD490" s="9"/>
      <c r="AE490" s="12"/>
      <c r="AF49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630000</v>
      </c>
      <c r="AG490" s="24"/>
      <c r="AH490" s="266">
        <f>Table4[[#This Row],[Date]]</f>
        <v>46053</v>
      </c>
      <c r="AI490" s="264" t="str">
        <f t="shared" si="86"/>
        <v>Jan</v>
      </c>
      <c r="AJ490" s="264" t="str">
        <f t="shared" si="87"/>
        <v>2026</v>
      </c>
      <c r="AK490" s="270" t="str">
        <f>Table4[[#This Row],[ကုန်သည်အမည်]]</f>
        <v>မသီတာ၀င်း</v>
      </c>
      <c r="AL490" s="270" t="str">
        <f>Table4[[#This Row],[Township]]</f>
        <v>Mudon</v>
      </c>
      <c r="AM490" s="271" t="str">
        <f>Table4[[#This Row],[WholeSales]]</f>
        <v>SemiWholeSales</v>
      </c>
      <c r="AN490" s="272" t="str">
        <f>Table4[[#This Row],[Particular]]</f>
        <v>ကုန်ရောင်း(လက်ငင်း)</v>
      </c>
      <c r="AO490" s="273" t="str">
        <f>Table4[[#This Row],[StockName]]</f>
        <v>ဇေယျဝတီ  Red(ပု)</v>
      </c>
      <c r="AP490" s="268">
        <f>Table4[[#This Row],[Parking]]</f>
        <v>25</v>
      </c>
      <c r="AQ490" s="268">
        <f>Table4[[#This Row],[SalesBot]]</f>
        <v>350</v>
      </c>
      <c r="AR490" s="268">
        <f>Table4[[#This Row],[Liter]]</f>
        <v>224</v>
      </c>
    </row>
    <row r="491" spans="1:44" s="16" customFormat="1" hidden="1" x14ac:dyDescent="0.5">
      <c r="A491" s="3">
        <f t="shared" si="96"/>
        <v>2026</v>
      </c>
      <c r="B491" s="8">
        <f t="shared" si="97"/>
        <v>1</v>
      </c>
      <c r="C491" s="82">
        <v>46053</v>
      </c>
      <c r="D491" s="15">
        <f t="shared" ca="1" si="98"/>
        <v>46097</v>
      </c>
      <c r="E491" s="15" t="str">
        <f t="shared" ca="1" si="99"/>
        <v>1-Months</v>
      </c>
      <c r="F491" s="8" t="str">
        <f>VLOOKUP(N491,Stock[#Data],5,FALSE)</f>
        <v>BE</v>
      </c>
      <c r="G491" s="82" t="s">
        <v>1238</v>
      </c>
      <c r="H491" s="15"/>
      <c r="I491" s="7" t="s">
        <v>109</v>
      </c>
      <c r="J491" s="8" t="str">
        <f>VLOOKUP(I491,Customers[#Data],2,FALSE)</f>
        <v>ဦးမင်းလွင်</v>
      </c>
      <c r="K491" s="15" t="str">
        <f>VLOOKUP(I491,Customers[#Data],4,FALSE)</f>
        <v>Maw La Myaing</v>
      </c>
      <c r="L491" s="15" t="str">
        <f>VLOOKUP(I491,Customers[#Data],5,FALSE)</f>
        <v>WholeSales</v>
      </c>
      <c r="M491" s="7" t="s">
        <v>6</v>
      </c>
      <c r="N491" s="7" t="s">
        <v>521</v>
      </c>
      <c r="O491" s="14" t="str">
        <f>VLOOKUP(N491,Stock[#Data],2,FALSE)</f>
        <v>ဒဂုံအရက်သန့်</v>
      </c>
      <c r="P491" s="44">
        <f>VLOOKUP(N491,Stock[#Data],3,FALSE)</f>
        <v>0.64</v>
      </c>
      <c r="Q491" s="3">
        <f>VLOOKUP(N491,Stock[#Data],4,FALSE)</f>
        <v>24</v>
      </c>
      <c r="R491" s="11"/>
      <c r="S491" s="45">
        <f>IFERROR(Table4[[#This Row],[Bottle]]/Table4[[#This Row],[ပါဝင်မှု]]+Table4[[#This Row],[SalesPK]],0)</f>
        <v>20</v>
      </c>
      <c r="T491" s="12">
        <v>20</v>
      </c>
      <c r="U491" s="10">
        <f>Table4[[#This Row],[ပါဝင်မှု]]*Table4[[#This Row],[SalesPK]]+Table4[[#This Row],[Bottle]]</f>
        <v>480</v>
      </c>
      <c r="V491" s="10">
        <f>Table4[[#This Row],[SalesBot]]*Table4[[#This Row],[ML]]</f>
        <v>307.2</v>
      </c>
      <c r="W491" s="1">
        <f>VLOOKUP(N491,Stock[#Data],6,FALSE)</f>
        <v>1350</v>
      </c>
      <c r="X491" s="8">
        <f>+Table4[[#This Row],[SalesBot]]*Table4[[#This Row],[နှုံး]]</f>
        <v>648000</v>
      </c>
      <c r="Y491" s="12"/>
      <c r="Z491" s="12"/>
      <c r="AA491" s="12"/>
      <c r="AB491" s="9"/>
      <c r="AC491" s="12"/>
      <c r="AD491" s="9"/>
      <c r="AE491" s="12"/>
      <c r="AF49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648000</v>
      </c>
      <c r="AG491" s="24"/>
      <c r="AH491" s="266">
        <f>Table4[[#This Row],[Date]]</f>
        <v>46053</v>
      </c>
      <c r="AI491" s="264" t="str">
        <f t="shared" si="86"/>
        <v>Jan</v>
      </c>
      <c r="AJ491" s="264" t="str">
        <f t="shared" si="87"/>
        <v>2026</v>
      </c>
      <c r="AK491" s="270" t="str">
        <f>Table4[[#This Row],[ကုန်သည်အမည်]]</f>
        <v>ဦးမင်းလွင်</v>
      </c>
      <c r="AL491" s="270" t="str">
        <f>Table4[[#This Row],[Township]]</f>
        <v>Maw La Myaing</v>
      </c>
      <c r="AM491" s="271" t="str">
        <f>Table4[[#This Row],[WholeSales]]</f>
        <v>WholeSales</v>
      </c>
      <c r="AN491" s="272" t="str">
        <f>Table4[[#This Row],[Particular]]</f>
        <v>ကုန်ရောင်း(လက်ငင်း)</v>
      </c>
      <c r="AO491" s="273" t="str">
        <f>Table4[[#This Row],[StockName]]</f>
        <v>ဒဂုံအရက်သန့်</v>
      </c>
      <c r="AP491" s="268">
        <f>Table4[[#This Row],[Parking]]</f>
        <v>20</v>
      </c>
      <c r="AQ491" s="268">
        <f>Table4[[#This Row],[SalesBot]]</f>
        <v>480</v>
      </c>
      <c r="AR491" s="268">
        <f>Table4[[#This Row],[Liter]]</f>
        <v>307.2</v>
      </c>
    </row>
    <row r="492" spans="1:44" s="16" customFormat="1" hidden="1" x14ac:dyDescent="0.5">
      <c r="A492" s="3">
        <f t="shared" si="96"/>
        <v>2026</v>
      </c>
      <c r="B492" s="8">
        <f t="shared" si="97"/>
        <v>1</v>
      </c>
      <c r="C492" s="82">
        <v>46053</v>
      </c>
      <c r="D492" s="15">
        <f t="shared" ca="1" si="98"/>
        <v>46097</v>
      </c>
      <c r="E492" s="15" t="str">
        <f t="shared" ca="1" si="99"/>
        <v>1-Months</v>
      </c>
      <c r="F492" s="8" t="str">
        <f>VLOOKUP(N492,Stock[#Data],5,FALSE)</f>
        <v>BE</v>
      </c>
      <c r="G492" s="82" t="s">
        <v>1239</v>
      </c>
      <c r="H492" s="15"/>
      <c r="I492" s="7" t="s">
        <v>813</v>
      </c>
      <c r="J492" s="8" t="str">
        <f>VLOOKUP(I492,Customers[#Data],2,FALSE)</f>
        <v>မနှင်းပွင့်ဖြူ</v>
      </c>
      <c r="K492" s="15" t="str">
        <f>VLOOKUP(I492,Customers[#Data],4,FALSE)</f>
        <v>Yay</v>
      </c>
      <c r="L492" s="15" t="str">
        <f>VLOOKUP(I492,Customers[#Data],5,FALSE)</f>
        <v>Van Sales</v>
      </c>
      <c r="M492" s="7" t="s">
        <v>6</v>
      </c>
      <c r="N492" s="7" t="s">
        <v>517</v>
      </c>
      <c r="O492" s="14" t="str">
        <f>VLOOKUP(N492,Stock[#Data],2,FALSE)</f>
        <v>ဇေယျဝတီ Red (1 Liter) 30%</v>
      </c>
      <c r="P492" s="44">
        <f>VLOOKUP(N492,Stock[#Data],3,FALSE)</f>
        <v>1</v>
      </c>
      <c r="Q492" s="3">
        <f>VLOOKUP(N492,Stock[#Data],4,FALSE)</f>
        <v>12</v>
      </c>
      <c r="R492" s="11"/>
      <c r="S492" s="45">
        <f>IFERROR(Table4[[#This Row],[Bottle]]/Table4[[#This Row],[ပါဝင်မှု]]+Table4[[#This Row],[SalesPK]],0)</f>
        <v>300</v>
      </c>
      <c r="T492" s="12">
        <v>300</v>
      </c>
      <c r="U492" s="10">
        <f>Table4[[#This Row],[ပါဝင်မှု]]*Table4[[#This Row],[SalesPK]]+Table4[[#This Row],[Bottle]]</f>
        <v>3600</v>
      </c>
      <c r="V492" s="10">
        <f>Table4[[#This Row],[SalesBot]]*Table4[[#This Row],[ML]]</f>
        <v>3600</v>
      </c>
      <c r="W492" s="1">
        <f>VLOOKUP(N492,Stock[#Data],6,FALSE)</f>
        <v>1710</v>
      </c>
      <c r="X492" s="8">
        <f>+Table4[[#This Row],[SalesBot]]*Table4[[#This Row],[နှုံး]]</f>
        <v>6156000</v>
      </c>
      <c r="Y492" s="12"/>
      <c r="Z492" s="12"/>
      <c r="AA492" s="12"/>
      <c r="AB492" s="9"/>
      <c r="AC492" s="12"/>
      <c r="AD492" s="9"/>
      <c r="AE492" s="12"/>
      <c r="AF49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6156000</v>
      </c>
      <c r="AG492" s="24"/>
      <c r="AH492" s="266">
        <f>Table4[[#This Row],[Date]]</f>
        <v>46053</v>
      </c>
      <c r="AI492" s="264" t="str">
        <f t="shared" si="86"/>
        <v>Jan</v>
      </c>
      <c r="AJ492" s="264" t="str">
        <f t="shared" si="87"/>
        <v>2026</v>
      </c>
      <c r="AK492" s="270" t="str">
        <f>Table4[[#This Row],[ကုန်သည်အမည်]]</f>
        <v>မနှင်းပွင့်ဖြူ</v>
      </c>
      <c r="AL492" s="270" t="str">
        <f>Table4[[#This Row],[Township]]</f>
        <v>Yay</v>
      </c>
      <c r="AM492" s="271" t="str">
        <f>Table4[[#This Row],[WholeSales]]</f>
        <v>Van Sales</v>
      </c>
      <c r="AN492" s="272" t="str">
        <f>Table4[[#This Row],[Particular]]</f>
        <v>ကုန်ရောင်း(လက်ငင်း)</v>
      </c>
      <c r="AO492" s="273" t="str">
        <f>Table4[[#This Row],[StockName]]</f>
        <v>ဇေယျဝတီ Red (1 Liter) 30%</v>
      </c>
      <c r="AP492" s="268">
        <f>Table4[[#This Row],[Parking]]</f>
        <v>300</v>
      </c>
      <c r="AQ492" s="268">
        <f>Table4[[#This Row],[SalesBot]]</f>
        <v>3600</v>
      </c>
      <c r="AR492" s="268">
        <f>Table4[[#This Row],[Liter]]</f>
        <v>3600</v>
      </c>
    </row>
    <row r="493" spans="1:44" s="16" customFormat="1" hidden="1" x14ac:dyDescent="0.5">
      <c r="A493" s="3">
        <f t="shared" si="96"/>
        <v>2026</v>
      </c>
      <c r="B493" s="8">
        <f t="shared" si="97"/>
        <v>1</v>
      </c>
      <c r="C493" s="82">
        <v>46053</v>
      </c>
      <c r="D493" s="15">
        <f t="shared" ca="1" si="98"/>
        <v>46097</v>
      </c>
      <c r="E493" s="15" t="str">
        <f t="shared" ca="1" si="99"/>
        <v>1-Months</v>
      </c>
      <c r="F493" s="8" t="str">
        <f>VLOOKUP(N493,Stock[#Data],5,FALSE)</f>
        <v>BE</v>
      </c>
      <c r="G493" s="82" t="s">
        <v>1240</v>
      </c>
      <c r="H493" s="15"/>
      <c r="I493" s="7" t="s">
        <v>538</v>
      </c>
      <c r="J493" s="8" t="str">
        <f>VLOOKUP(I493,Customers[#Data],2,FALSE)</f>
        <v>ဒေါ်နွယ်နွယ်ရီ(ရွှေတောင်ကြား)</v>
      </c>
      <c r="K493" s="15" t="str">
        <f>VLOOKUP(I493,Customers[#Data],4,FALSE)</f>
        <v>Yay</v>
      </c>
      <c r="L493" s="15" t="str">
        <f>VLOOKUP(I493,Customers[#Data],5,FALSE)</f>
        <v>WholeSales</v>
      </c>
      <c r="M493" s="7" t="s">
        <v>6</v>
      </c>
      <c r="N493" s="7" t="s">
        <v>517</v>
      </c>
      <c r="O493" s="14" t="str">
        <f>VLOOKUP(N493,Stock[#Data],2,FALSE)</f>
        <v>ဇေယျဝတီ Red (1 Liter) 30%</v>
      </c>
      <c r="P493" s="44">
        <f>VLOOKUP(N493,Stock[#Data],3,FALSE)</f>
        <v>1</v>
      </c>
      <c r="Q493" s="3">
        <f>VLOOKUP(N493,Stock[#Data],4,FALSE)</f>
        <v>12</v>
      </c>
      <c r="R493" s="11"/>
      <c r="S493" s="45">
        <f>IFERROR(Table4[[#This Row],[Bottle]]/Table4[[#This Row],[ပါဝင်မှု]]+Table4[[#This Row],[SalesPK]],0)</f>
        <v>100</v>
      </c>
      <c r="T493" s="12">
        <v>100</v>
      </c>
      <c r="U493" s="10">
        <f>Table4[[#This Row],[ပါဝင်မှု]]*Table4[[#This Row],[SalesPK]]+Table4[[#This Row],[Bottle]]</f>
        <v>1200</v>
      </c>
      <c r="V493" s="10">
        <f>Table4[[#This Row],[SalesBot]]*Table4[[#This Row],[ML]]</f>
        <v>1200</v>
      </c>
      <c r="W493" s="1">
        <f>VLOOKUP(N493,Stock[#Data],6,FALSE)</f>
        <v>1710</v>
      </c>
      <c r="X493" s="8">
        <f>+Table4[[#This Row],[SalesBot]]*Table4[[#This Row],[နှုံး]]</f>
        <v>2052000</v>
      </c>
      <c r="Y493" s="12"/>
      <c r="Z493" s="12"/>
      <c r="AA493" s="12"/>
      <c r="AB493" s="9"/>
      <c r="AC493" s="12"/>
      <c r="AD493" s="9"/>
      <c r="AE493" s="12"/>
      <c r="AF49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493" s="24"/>
      <c r="AH493" s="266">
        <f>Table4[[#This Row],[Date]]</f>
        <v>46053</v>
      </c>
      <c r="AI493" s="264" t="str">
        <f t="shared" si="86"/>
        <v>Jan</v>
      </c>
      <c r="AJ493" s="264" t="str">
        <f t="shared" si="87"/>
        <v>2026</v>
      </c>
      <c r="AK493" s="270" t="str">
        <f>Table4[[#This Row],[ကုန်သည်အမည်]]</f>
        <v>ဒေါ်နွယ်နွယ်ရီ(ရွှေတောင်ကြား)</v>
      </c>
      <c r="AL493" s="270" t="str">
        <f>Table4[[#This Row],[Township]]</f>
        <v>Yay</v>
      </c>
      <c r="AM493" s="271" t="str">
        <f>Table4[[#This Row],[WholeSales]]</f>
        <v>WholeSales</v>
      </c>
      <c r="AN493" s="272" t="str">
        <f>Table4[[#This Row],[Particular]]</f>
        <v>ကုန်ရောင်း(လက်ငင်း)</v>
      </c>
      <c r="AO493" s="273" t="str">
        <f>Table4[[#This Row],[StockName]]</f>
        <v>ဇေယျဝတီ Red (1 Liter) 30%</v>
      </c>
      <c r="AP493" s="268">
        <f>Table4[[#This Row],[Parking]]</f>
        <v>100</v>
      </c>
      <c r="AQ493" s="268">
        <f>Table4[[#This Row],[SalesBot]]</f>
        <v>1200</v>
      </c>
      <c r="AR493" s="268">
        <f>Table4[[#This Row],[Liter]]</f>
        <v>1200</v>
      </c>
    </row>
    <row r="494" spans="1:44" s="16" customFormat="1" hidden="1" x14ac:dyDescent="0.5">
      <c r="A494" s="3">
        <f t="shared" si="96"/>
        <v>2026</v>
      </c>
      <c r="B494" s="8">
        <f t="shared" si="97"/>
        <v>1</v>
      </c>
      <c r="C494" s="82">
        <v>46053</v>
      </c>
      <c r="D494" s="15">
        <f t="shared" ca="1" si="98"/>
        <v>46097</v>
      </c>
      <c r="E494" s="15" t="str">
        <f t="shared" ca="1" si="99"/>
        <v>1-Months</v>
      </c>
      <c r="F494" s="8" t="str">
        <f>VLOOKUP(N494,Stock[#Data],5,FALSE)</f>
        <v>BE</v>
      </c>
      <c r="G494" s="82" t="s">
        <v>1241</v>
      </c>
      <c r="H494" s="15"/>
      <c r="I494" s="7" t="s">
        <v>100</v>
      </c>
      <c r="J494" s="8" t="str">
        <f>VLOOKUP(I494,Customers[#Data],2,FALSE)</f>
        <v>ကိုရှမ်း</v>
      </c>
      <c r="K494" s="15" t="str">
        <f>VLOOKUP(I494,Customers[#Data],4,FALSE)</f>
        <v>Yay</v>
      </c>
      <c r="L494" s="15" t="str">
        <f>VLOOKUP(I494,Customers[#Data],5,FALSE)</f>
        <v>SemiWholeSales</v>
      </c>
      <c r="M494" s="7" t="s">
        <v>7</v>
      </c>
      <c r="N494" s="7" t="s">
        <v>514</v>
      </c>
      <c r="O494" s="14" t="str">
        <f>VLOOKUP(N494,Stock[#Data],2,FALSE)</f>
        <v>ဇေယျဝတီ Red</v>
      </c>
      <c r="P494" s="44">
        <f>VLOOKUP(N494,Stock[#Data],3,FALSE)</f>
        <v>0.64</v>
      </c>
      <c r="Q494" s="3">
        <f>VLOOKUP(N494,Stock[#Data],4,FALSE)</f>
        <v>14</v>
      </c>
      <c r="R494" s="11"/>
      <c r="S494" s="45">
        <f>IFERROR(Table4[[#This Row],[Bottle]]/Table4[[#This Row],[ပါဝင်မှု]]+Table4[[#This Row],[SalesPK]],0)</f>
        <v>100</v>
      </c>
      <c r="T494" s="12">
        <v>100</v>
      </c>
      <c r="U494" s="10">
        <f>Table4[[#This Row],[ပါဝင်မှု]]*Table4[[#This Row],[SalesPK]]+Table4[[#This Row],[Bottle]]</f>
        <v>1400</v>
      </c>
      <c r="V494" s="10">
        <f>Table4[[#This Row],[SalesBot]]*Table4[[#This Row],[ML]]</f>
        <v>896</v>
      </c>
      <c r="W494" s="1">
        <f>VLOOKUP(N494,Stock[#Data],6,FALSE)</f>
        <v>1350</v>
      </c>
      <c r="X494" s="8">
        <f>+Table4[[#This Row],[SalesBot]]*Table4[[#This Row],[နှုံး]]</f>
        <v>1890000</v>
      </c>
      <c r="Y494" s="12"/>
      <c r="Z494" s="12"/>
      <c r="AA494" s="12"/>
      <c r="AB494" s="9"/>
      <c r="AC494" s="12"/>
      <c r="AD494" s="9"/>
      <c r="AE494" s="12"/>
      <c r="AF49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494" s="24"/>
      <c r="AH494" s="266">
        <f>Table4[[#This Row],[Date]]</f>
        <v>46053</v>
      </c>
      <c r="AI494" s="264" t="str">
        <f t="shared" si="86"/>
        <v>Jan</v>
      </c>
      <c r="AJ494" s="264" t="str">
        <f t="shared" si="87"/>
        <v>2026</v>
      </c>
      <c r="AK494" s="270" t="str">
        <f>Table4[[#This Row],[ကုန်သည်အမည်]]</f>
        <v>ကိုရှမ်း</v>
      </c>
      <c r="AL494" s="270" t="str">
        <f>Table4[[#This Row],[Township]]</f>
        <v>Yay</v>
      </c>
      <c r="AM494" s="271" t="str">
        <f>Table4[[#This Row],[WholeSales]]</f>
        <v>SemiWholeSales</v>
      </c>
      <c r="AN494" s="272" t="str">
        <f>Table4[[#This Row],[Particular]]</f>
        <v>ကုန်ရောင်း(အကြွေး)</v>
      </c>
      <c r="AO494" s="273" t="str">
        <f>Table4[[#This Row],[StockName]]</f>
        <v>ဇေယျဝတီ Red</v>
      </c>
      <c r="AP494" s="268">
        <f>Table4[[#This Row],[Parking]]</f>
        <v>100</v>
      </c>
      <c r="AQ494" s="268">
        <f>Table4[[#This Row],[SalesBot]]</f>
        <v>1400</v>
      </c>
      <c r="AR494" s="268">
        <f>Table4[[#This Row],[Liter]]</f>
        <v>896</v>
      </c>
    </row>
    <row r="495" spans="1:44" s="16" customFormat="1" hidden="1" x14ac:dyDescent="0.5">
      <c r="A495" s="3">
        <f t="shared" si="96"/>
        <v>2026</v>
      </c>
      <c r="B495" s="8">
        <f t="shared" si="97"/>
        <v>1</v>
      </c>
      <c r="C495" s="82">
        <v>46053</v>
      </c>
      <c r="D495" s="15">
        <f t="shared" ca="1" si="98"/>
        <v>46097</v>
      </c>
      <c r="E495" s="15" t="str">
        <f t="shared" ca="1" si="99"/>
        <v>1-Months</v>
      </c>
      <c r="F495" s="8" t="str">
        <f>VLOOKUP(N495,Stock[#Data],5,FALSE)</f>
        <v>BE</v>
      </c>
      <c r="G495" s="82" t="s">
        <v>1242</v>
      </c>
      <c r="H495" s="15"/>
      <c r="I495" s="7" t="s">
        <v>98</v>
      </c>
      <c r="J495" s="8" t="str">
        <f>VLOOKUP(I495,Customers[#Data],2,FALSE)</f>
        <v>ကိုထိုက်စိုး</v>
      </c>
      <c r="K495" s="15" t="str">
        <f>VLOOKUP(I495,Customers[#Data],4,FALSE)</f>
        <v>Yay</v>
      </c>
      <c r="L495" s="15" t="str">
        <f>VLOOKUP(I495,Customers[#Data],5,FALSE)</f>
        <v>WholeSales</v>
      </c>
      <c r="M495" s="7" t="s">
        <v>7</v>
      </c>
      <c r="N495" s="7" t="s">
        <v>514</v>
      </c>
      <c r="O495" s="14" t="str">
        <f>VLOOKUP(N495,Stock[#Data],2,FALSE)</f>
        <v>ဇေယျဝတီ Red</v>
      </c>
      <c r="P495" s="44">
        <f>VLOOKUP(N495,Stock[#Data],3,FALSE)</f>
        <v>0.64</v>
      </c>
      <c r="Q495" s="3">
        <f>VLOOKUP(N495,Stock[#Data],4,FALSE)</f>
        <v>14</v>
      </c>
      <c r="R495" s="11"/>
      <c r="S495" s="45">
        <f>IFERROR(Table4[[#This Row],[Bottle]]/Table4[[#This Row],[ပါဝင်မှု]]+Table4[[#This Row],[SalesPK]],0)</f>
        <v>100</v>
      </c>
      <c r="T495" s="12">
        <v>100</v>
      </c>
      <c r="U495" s="10">
        <f>Table4[[#This Row],[ပါဝင်မှု]]*Table4[[#This Row],[SalesPK]]+Table4[[#This Row],[Bottle]]</f>
        <v>1400</v>
      </c>
      <c r="V495" s="10">
        <f>Table4[[#This Row],[SalesBot]]*Table4[[#This Row],[ML]]</f>
        <v>896</v>
      </c>
      <c r="W495" s="1">
        <f>VLOOKUP(N495,Stock[#Data],6,FALSE)</f>
        <v>1350</v>
      </c>
      <c r="X495" s="8">
        <f>+Table4[[#This Row],[SalesBot]]*Table4[[#This Row],[နှုံး]]</f>
        <v>1890000</v>
      </c>
      <c r="Y495" s="12"/>
      <c r="Z495" s="12"/>
      <c r="AA495" s="12"/>
      <c r="AB495" s="9"/>
      <c r="AC495" s="12"/>
      <c r="AD495" s="9"/>
      <c r="AE495" s="12"/>
      <c r="AF49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495" s="24"/>
      <c r="AH495" s="266">
        <f>Table4[[#This Row],[Date]]</f>
        <v>46053</v>
      </c>
      <c r="AI495" s="264" t="str">
        <f t="shared" si="86"/>
        <v>Jan</v>
      </c>
      <c r="AJ495" s="264" t="str">
        <f t="shared" si="87"/>
        <v>2026</v>
      </c>
      <c r="AK495" s="270" t="str">
        <f>Table4[[#This Row],[ကုန်သည်အမည်]]</f>
        <v>ကိုထိုက်စိုး</v>
      </c>
      <c r="AL495" s="270" t="str">
        <f>Table4[[#This Row],[Township]]</f>
        <v>Yay</v>
      </c>
      <c r="AM495" s="271" t="str">
        <f>Table4[[#This Row],[WholeSales]]</f>
        <v>WholeSales</v>
      </c>
      <c r="AN495" s="272" t="str">
        <f>Table4[[#This Row],[Particular]]</f>
        <v>ကုန်ရောင်း(အကြွေး)</v>
      </c>
      <c r="AO495" s="273" t="str">
        <f>Table4[[#This Row],[StockName]]</f>
        <v>ဇေယျဝတီ Red</v>
      </c>
      <c r="AP495" s="268">
        <f>Table4[[#This Row],[Parking]]</f>
        <v>100</v>
      </c>
      <c r="AQ495" s="268">
        <f>Table4[[#This Row],[SalesBot]]</f>
        <v>1400</v>
      </c>
      <c r="AR495" s="268">
        <f>Table4[[#This Row],[Liter]]</f>
        <v>896</v>
      </c>
    </row>
    <row r="496" spans="1:44" s="16" customFormat="1" hidden="1" x14ac:dyDescent="0.5">
      <c r="A496" s="3">
        <f t="shared" si="96"/>
        <v>2026</v>
      </c>
      <c r="B496" s="8">
        <f t="shared" si="97"/>
        <v>1</v>
      </c>
      <c r="C496" s="82">
        <v>46053</v>
      </c>
      <c r="D496" s="15">
        <f t="shared" ca="1" si="98"/>
        <v>46097</v>
      </c>
      <c r="E496" s="15" t="str">
        <f t="shared" ca="1" si="99"/>
        <v>1-Months</v>
      </c>
      <c r="F496" s="8" t="str">
        <f>VLOOKUP(N496,Stock[#Data],5,FALSE)</f>
        <v>BE</v>
      </c>
      <c r="G496" s="82" t="s">
        <v>1242</v>
      </c>
      <c r="H496" s="15"/>
      <c r="I496" s="7" t="s">
        <v>98</v>
      </c>
      <c r="J496" s="8" t="str">
        <f>VLOOKUP(I496,Customers[#Data],2,FALSE)</f>
        <v>ကိုထိုက်စိုး</v>
      </c>
      <c r="K496" s="15" t="str">
        <f>VLOOKUP(I496,Customers[#Data],4,FALSE)</f>
        <v>Yay</v>
      </c>
      <c r="L496" s="15" t="str">
        <f>VLOOKUP(I496,Customers[#Data],5,FALSE)</f>
        <v>WholeSales</v>
      </c>
      <c r="M496" s="7" t="s">
        <v>7</v>
      </c>
      <c r="N496" s="7" t="s">
        <v>517</v>
      </c>
      <c r="O496" s="14" t="str">
        <f>VLOOKUP(N496,Stock[#Data],2,FALSE)</f>
        <v>ဇေယျဝတီ Red (1 Liter) 30%</v>
      </c>
      <c r="P496" s="44">
        <f>VLOOKUP(N496,Stock[#Data],3,FALSE)</f>
        <v>1</v>
      </c>
      <c r="Q496" s="3">
        <f>VLOOKUP(N496,Stock[#Data],4,FALSE)</f>
        <v>12</v>
      </c>
      <c r="R496" s="11"/>
      <c r="S496" s="45">
        <f>IFERROR(Table4[[#This Row],[Bottle]]/Table4[[#This Row],[ပါဝင်မှု]]+Table4[[#This Row],[SalesPK]],0)</f>
        <v>400</v>
      </c>
      <c r="T496" s="12">
        <v>400</v>
      </c>
      <c r="U496" s="10">
        <f>Table4[[#This Row],[ပါဝင်မှု]]*Table4[[#This Row],[SalesPK]]+Table4[[#This Row],[Bottle]]</f>
        <v>4800</v>
      </c>
      <c r="V496" s="10">
        <f>Table4[[#This Row],[SalesBot]]*Table4[[#This Row],[ML]]</f>
        <v>4800</v>
      </c>
      <c r="W496" s="1">
        <f>VLOOKUP(N496,Stock[#Data],6,FALSE)</f>
        <v>1710</v>
      </c>
      <c r="X496" s="8">
        <f>+Table4[[#This Row],[SalesBot]]*Table4[[#This Row],[နှုံး]]</f>
        <v>8208000</v>
      </c>
      <c r="Y496" s="12"/>
      <c r="Z496" s="12"/>
      <c r="AA496" s="12"/>
      <c r="AB496" s="9"/>
      <c r="AC496" s="12"/>
      <c r="AD496" s="9"/>
      <c r="AE496" s="12"/>
      <c r="AF49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8208000</v>
      </c>
      <c r="AG496" s="24"/>
      <c r="AH496" s="266">
        <f>Table4[[#This Row],[Date]]</f>
        <v>46053</v>
      </c>
      <c r="AI496" s="264" t="str">
        <f t="shared" si="86"/>
        <v>Jan</v>
      </c>
      <c r="AJ496" s="264" t="str">
        <f t="shared" si="87"/>
        <v>2026</v>
      </c>
      <c r="AK496" s="270" t="str">
        <f>Table4[[#This Row],[ကုန်သည်အမည်]]</f>
        <v>ကိုထိုက်စိုး</v>
      </c>
      <c r="AL496" s="270" t="str">
        <f>Table4[[#This Row],[Township]]</f>
        <v>Yay</v>
      </c>
      <c r="AM496" s="271" t="str">
        <f>Table4[[#This Row],[WholeSales]]</f>
        <v>WholeSales</v>
      </c>
      <c r="AN496" s="272" t="str">
        <f>Table4[[#This Row],[Particular]]</f>
        <v>ကုန်ရောင်း(အကြွေး)</v>
      </c>
      <c r="AO496" s="273" t="str">
        <f>Table4[[#This Row],[StockName]]</f>
        <v>ဇေယျဝတီ Red (1 Liter) 30%</v>
      </c>
      <c r="AP496" s="268">
        <f>Table4[[#This Row],[Parking]]</f>
        <v>400</v>
      </c>
      <c r="AQ496" s="268">
        <f>Table4[[#This Row],[SalesBot]]</f>
        <v>4800</v>
      </c>
      <c r="AR496" s="268">
        <f>Table4[[#This Row],[Liter]]</f>
        <v>4800</v>
      </c>
    </row>
    <row r="497" spans="1:44" s="16" customFormat="1" hidden="1" x14ac:dyDescent="0.5">
      <c r="A497" s="3">
        <f t="shared" si="96"/>
        <v>2026</v>
      </c>
      <c r="B497" s="8">
        <f t="shared" si="97"/>
        <v>1</v>
      </c>
      <c r="C497" s="82">
        <v>46053</v>
      </c>
      <c r="D497" s="15">
        <f t="shared" ca="1" si="98"/>
        <v>46097</v>
      </c>
      <c r="E497" s="15" t="str">
        <f t="shared" ca="1" si="99"/>
        <v>1-Months</v>
      </c>
      <c r="F497" s="8" t="str">
        <f>VLOOKUP(N497,Stock[#Data],5,FALSE)</f>
        <v>BE</v>
      </c>
      <c r="G497" s="82" t="s">
        <v>1243</v>
      </c>
      <c r="H497" s="15"/>
      <c r="I497" s="7" t="s">
        <v>95</v>
      </c>
      <c r="J497" s="8" t="str">
        <f>VLOOKUP(I497,Customers[#Data],2,FALSE)</f>
        <v>ကျော်စတား</v>
      </c>
      <c r="K497" s="15" t="str">
        <f>VLOOKUP(I497,Customers[#Data],4,FALSE)</f>
        <v>Yay</v>
      </c>
      <c r="L497" s="15" t="str">
        <f>VLOOKUP(I497,Customers[#Data],5,FALSE)</f>
        <v>WholeSales</v>
      </c>
      <c r="M497" s="7" t="s">
        <v>7</v>
      </c>
      <c r="N497" s="7" t="s">
        <v>514</v>
      </c>
      <c r="O497" s="14" t="str">
        <f>VLOOKUP(N497,Stock[#Data],2,FALSE)</f>
        <v>ဇေယျဝတီ Red</v>
      </c>
      <c r="P497" s="44">
        <f>VLOOKUP(N497,Stock[#Data],3,FALSE)</f>
        <v>0.64</v>
      </c>
      <c r="Q497" s="3">
        <f>VLOOKUP(N497,Stock[#Data],4,FALSE)</f>
        <v>14</v>
      </c>
      <c r="R497" s="11"/>
      <c r="S497" s="45">
        <f>IFERROR(Table4[[#This Row],[Bottle]]/Table4[[#This Row],[ပါဝင်မှု]]+Table4[[#This Row],[SalesPK]],0)</f>
        <v>250</v>
      </c>
      <c r="T497" s="12">
        <v>250</v>
      </c>
      <c r="U497" s="10">
        <f>Table4[[#This Row],[ပါဝင်မှု]]*Table4[[#This Row],[SalesPK]]+Table4[[#This Row],[Bottle]]</f>
        <v>3500</v>
      </c>
      <c r="V497" s="10">
        <f>Table4[[#This Row],[SalesBot]]*Table4[[#This Row],[ML]]</f>
        <v>2240</v>
      </c>
      <c r="W497" s="1">
        <f>VLOOKUP(N497,Stock[#Data],6,FALSE)</f>
        <v>1350</v>
      </c>
      <c r="X497" s="8">
        <f>+Table4[[#This Row],[SalesBot]]*Table4[[#This Row],[နှုံး]]</f>
        <v>4725000</v>
      </c>
      <c r="Y497" s="12"/>
      <c r="Z497" s="12"/>
      <c r="AA497" s="12"/>
      <c r="AB497" s="9"/>
      <c r="AC497" s="12"/>
      <c r="AD497" s="9"/>
      <c r="AE497" s="12"/>
      <c r="AF49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4725000</v>
      </c>
      <c r="AG497" s="24"/>
      <c r="AH497" s="266">
        <f>Table4[[#This Row],[Date]]</f>
        <v>46053</v>
      </c>
      <c r="AI497" s="264" t="str">
        <f t="shared" si="86"/>
        <v>Jan</v>
      </c>
      <c r="AJ497" s="264" t="str">
        <f t="shared" si="87"/>
        <v>2026</v>
      </c>
      <c r="AK497" s="270" t="str">
        <f>Table4[[#This Row],[ကုန်သည်အမည်]]</f>
        <v>ကျော်စတား</v>
      </c>
      <c r="AL497" s="270" t="str">
        <f>Table4[[#This Row],[Township]]</f>
        <v>Yay</v>
      </c>
      <c r="AM497" s="271" t="str">
        <f>Table4[[#This Row],[WholeSales]]</f>
        <v>WholeSales</v>
      </c>
      <c r="AN497" s="272" t="str">
        <f>Table4[[#This Row],[Particular]]</f>
        <v>ကုန်ရောင်း(အကြွေး)</v>
      </c>
      <c r="AO497" s="273" t="str">
        <f>Table4[[#This Row],[StockName]]</f>
        <v>ဇေယျဝတီ Red</v>
      </c>
      <c r="AP497" s="268">
        <f>Table4[[#This Row],[Parking]]</f>
        <v>250</v>
      </c>
      <c r="AQ497" s="268">
        <f>Table4[[#This Row],[SalesBot]]</f>
        <v>3500</v>
      </c>
      <c r="AR497" s="268">
        <f>Table4[[#This Row],[Liter]]</f>
        <v>2240</v>
      </c>
    </row>
    <row r="498" spans="1:44" s="16" customFormat="1" hidden="1" x14ac:dyDescent="0.5">
      <c r="A498" s="3">
        <f t="shared" si="96"/>
        <v>2026</v>
      </c>
      <c r="B498" s="8">
        <f t="shared" si="97"/>
        <v>1</v>
      </c>
      <c r="C498" s="82">
        <v>46053</v>
      </c>
      <c r="D498" s="15">
        <f t="shared" ca="1" si="98"/>
        <v>46097</v>
      </c>
      <c r="E498" s="15" t="str">
        <f t="shared" ca="1" si="99"/>
        <v>1-Months</v>
      </c>
      <c r="F498" s="8" t="str">
        <f>VLOOKUP(N498,Stock[#Data],5,FALSE)</f>
        <v>BE</v>
      </c>
      <c r="G498" s="82" t="s">
        <v>1243</v>
      </c>
      <c r="H498" s="15"/>
      <c r="I498" s="7" t="s">
        <v>95</v>
      </c>
      <c r="J498" s="8" t="str">
        <f>VLOOKUP(I498,Customers[#Data],2,FALSE)</f>
        <v>ကျော်စတား</v>
      </c>
      <c r="K498" s="15" t="str">
        <f>VLOOKUP(I498,Customers[#Data],4,FALSE)</f>
        <v>Yay</v>
      </c>
      <c r="L498" s="15" t="str">
        <f>VLOOKUP(I498,Customers[#Data],5,FALSE)</f>
        <v>WholeSales</v>
      </c>
      <c r="M498" s="7" t="s">
        <v>7</v>
      </c>
      <c r="N498" s="7" t="s">
        <v>517</v>
      </c>
      <c r="O498" s="14" t="str">
        <f>VLOOKUP(N498,Stock[#Data],2,FALSE)</f>
        <v>ဇေယျဝတီ Red (1 Liter) 30%</v>
      </c>
      <c r="P498" s="44">
        <f>VLOOKUP(N498,Stock[#Data],3,FALSE)</f>
        <v>1</v>
      </c>
      <c r="Q498" s="3">
        <f>VLOOKUP(N498,Stock[#Data],4,FALSE)</f>
        <v>12</v>
      </c>
      <c r="R498" s="11"/>
      <c r="S498" s="45">
        <f>IFERROR(Table4[[#This Row],[Bottle]]/Table4[[#This Row],[ပါဝင်မှု]]+Table4[[#This Row],[SalesPK]],0)</f>
        <v>160</v>
      </c>
      <c r="T498" s="12">
        <v>160</v>
      </c>
      <c r="U498" s="10">
        <f>Table4[[#This Row],[ပါဝင်မှု]]*Table4[[#This Row],[SalesPK]]+Table4[[#This Row],[Bottle]]</f>
        <v>1920</v>
      </c>
      <c r="V498" s="10">
        <f>Table4[[#This Row],[SalesBot]]*Table4[[#This Row],[ML]]</f>
        <v>1920</v>
      </c>
      <c r="W498" s="1">
        <f>VLOOKUP(N498,Stock[#Data],6,FALSE)</f>
        <v>1710</v>
      </c>
      <c r="X498" s="8">
        <f>+Table4[[#This Row],[SalesBot]]*Table4[[#This Row],[နှုံး]]</f>
        <v>3283200</v>
      </c>
      <c r="Y498" s="12"/>
      <c r="Z498" s="12"/>
      <c r="AA498" s="12"/>
      <c r="AB498" s="9"/>
      <c r="AC498" s="12"/>
      <c r="AD498" s="9"/>
      <c r="AE498" s="12"/>
      <c r="AF49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3283200</v>
      </c>
      <c r="AG498" s="24"/>
      <c r="AH498" s="266">
        <f>Table4[[#This Row],[Date]]</f>
        <v>46053</v>
      </c>
      <c r="AI498" s="264" t="str">
        <f t="shared" si="86"/>
        <v>Jan</v>
      </c>
      <c r="AJ498" s="264" t="str">
        <f t="shared" si="87"/>
        <v>2026</v>
      </c>
      <c r="AK498" s="270" t="str">
        <f>Table4[[#This Row],[ကုန်သည်အမည်]]</f>
        <v>ကျော်စတား</v>
      </c>
      <c r="AL498" s="270" t="str">
        <f>Table4[[#This Row],[Township]]</f>
        <v>Yay</v>
      </c>
      <c r="AM498" s="271" t="str">
        <f>Table4[[#This Row],[WholeSales]]</f>
        <v>WholeSales</v>
      </c>
      <c r="AN498" s="272" t="str">
        <f>Table4[[#This Row],[Particular]]</f>
        <v>ကုန်ရောင်း(အကြွေး)</v>
      </c>
      <c r="AO498" s="273" t="str">
        <f>Table4[[#This Row],[StockName]]</f>
        <v>ဇေယျဝတီ Red (1 Liter) 30%</v>
      </c>
      <c r="AP498" s="268">
        <f>Table4[[#This Row],[Parking]]</f>
        <v>160</v>
      </c>
      <c r="AQ498" s="268">
        <f>Table4[[#This Row],[SalesBot]]</f>
        <v>1920</v>
      </c>
      <c r="AR498" s="268">
        <f>Table4[[#This Row],[Liter]]</f>
        <v>1920</v>
      </c>
    </row>
    <row r="499" spans="1:44" s="16" customFormat="1" hidden="1" x14ac:dyDescent="0.5">
      <c r="A499" s="3">
        <f t="shared" si="96"/>
        <v>2026</v>
      </c>
      <c r="B499" s="8">
        <f t="shared" si="97"/>
        <v>1</v>
      </c>
      <c r="C499" s="82">
        <v>46053</v>
      </c>
      <c r="D499" s="15">
        <f t="shared" ca="1" si="98"/>
        <v>46097</v>
      </c>
      <c r="E499" s="15" t="str">
        <f t="shared" ca="1" si="99"/>
        <v>1-Months</v>
      </c>
      <c r="F499" s="8" t="str">
        <f>VLOOKUP(N499,Stock[#Data],5,FALSE)</f>
        <v>BE</v>
      </c>
      <c r="G499" s="82" t="s">
        <v>1244</v>
      </c>
      <c r="H499" s="15"/>
      <c r="I499" s="7" t="s">
        <v>538</v>
      </c>
      <c r="J499" s="8" t="str">
        <f>VLOOKUP(I499,Customers[#Data],2,FALSE)</f>
        <v>ဒေါ်နွယ်နွယ်ရီ(ရွှေတောင်ကြား)</v>
      </c>
      <c r="K499" s="15" t="str">
        <f>VLOOKUP(I499,Customers[#Data],4,FALSE)</f>
        <v>Yay</v>
      </c>
      <c r="L499" s="15" t="str">
        <f>VLOOKUP(I499,Customers[#Data],5,FALSE)</f>
        <v>WholeSales</v>
      </c>
      <c r="M499" s="7" t="s">
        <v>7</v>
      </c>
      <c r="N499" s="7" t="s">
        <v>514</v>
      </c>
      <c r="O499" s="14" t="str">
        <f>VLOOKUP(N499,Stock[#Data],2,FALSE)</f>
        <v>ဇေယျဝတီ Red</v>
      </c>
      <c r="P499" s="44">
        <f>VLOOKUP(N499,Stock[#Data],3,FALSE)</f>
        <v>0.64</v>
      </c>
      <c r="Q499" s="3">
        <f>VLOOKUP(N499,Stock[#Data],4,FALSE)</f>
        <v>14</v>
      </c>
      <c r="R499" s="11"/>
      <c r="S499" s="45">
        <f>IFERROR(Table4[[#This Row],[Bottle]]/Table4[[#This Row],[ပါဝင်မှု]]+Table4[[#This Row],[SalesPK]],0)</f>
        <v>500</v>
      </c>
      <c r="T499" s="12">
        <v>500</v>
      </c>
      <c r="U499" s="10">
        <f>Table4[[#This Row],[ပါဝင်မှု]]*Table4[[#This Row],[SalesPK]]+Table4[[#This Row],[Bottle]]</f>
        <v>7000</v>
      </c>
      <c r="V499" s="10">
        <f>Table4[[#This Row],[SalesBot]]*Table4[[#This Row],[ML]]</f>
        <v>4480</v>
      </c>
      <c r="W499" s="1">
        <f>VLOOKUP(N499,Stock[#Data],6,FALSE)</f>
        <v>1350</v>
      </c>
      <c r="X499" s="8">
        <f>+Table4[[#This Row],[SalesBot]]*Table4[[#This Row],[နှုံး]]</f>
        <v>9450000</v>
      </c>
      <c r="Y499" s="12"/>
      <c r="Z499" s="12"/>
      <c r="AA499" s="12"/>
      <c r="AB499" s="9"/>
      <c r="AC499" s="12"/>
      <c r="AD499" s="9"/>
      <c r="AE499" s="12"/>
      <c r="AF49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9450000</v>
      </c>
      <c r="AG499" s="24"/>
      <c r="AH499" s="266">
        <f>Table4[[#This Row],[Date]]</f>
        <v>46053</v>
      </c>
      <c r="AI499" s="264" t="str">
        <f t="shared" si="86"/>
        <v>Jan</v>
      </c>
      <c r="AJ499" s="264" t="str">
        <f t="shared" si="87"/>
        <v>2026</v>
      </c>
      <c r="AK499" s="270" t="str">
        <f>Table4[[#This Row],[ကုန်သည်အမည်]]</f>
        <v>ဒေါ်နွယ်နွယ်ရီ(ရွှေတောင်ကြား)</v>
      </c>
      <c r="AL499" s="270" t="str">
        <f>Table4[[#This Row],[Township]]</f>
        <v>Yay</v>
      </c>
      <c r="AM499" s="271" t="str">
        <f>Table4[[#This Row],[WholeSales]]</f>
        <v>WholeSales</v>
      </c>
      <c r="AN499" s="272" t="str">
        <f>Table4[[#This Row],[Particular]]</f>
        <v>ကုန်ရောင်း(အကြွေး)</v>
      </c>
      <c r="AO499" s="273" t="str">
        <f>Table4[[#This Row],[StockName]]</f>
        <v>ဇေယျဝတီ Red</v>
      </c>
      <c r="AP499" s="268">
        <f>Table4[[#This Row],[Parking]]</f>
        <v>500</v>
      </c>
      <c r="AQ499" s="268">
        <f>Table4[[#This Row],[SalesBot]]</f>
        <v>7000</v>
      </c>
      <c r="AR499" s="268">
        <f>Table4[[#This Row],[Liter]]</f>
        <v>4480</v>
      </c>
    </row>
    <row r="500" spans="1:44" s="16" customFormat="1" hidden="1" x14ac:dyDescent="0.5">
      <c r="A500" s="3">
        <f t="shared" si="96"/>
        <v>2026</v>
      </c>
      <c r="B500" s="8">
        <f t="shared" si="97"/>
        <v>1</v>
      </c>
      <c r="C500" s="82">
        <v>46053</v>
      </c>
      <c r="D500" s="15">
        <f t="shared" ca="1" si="98"/>
        <v>46097</v>
      </c>
      <c r="E500" s="15" t="str">
        <f t="shared" ca="1" si="99"/>
        <v>1-Months</v>
      </c>
      <c r="F500" s="8" t="str">
        <f>VLOOKUP(N500,Stock[#Data],5,FALSE)</f>
        <v>BE</v>
      </c>
      <c r="G500" s="82" t="s">
        <v>1244</v>
      </c>
      <c r="H500" s="15"/>
      <c r="I500" s="7" t="s">
        <v>538</v>
      </c>
      <c r="J500" s="8" t="str">
        <f>VLOOKUP(I500,Customers[#Data],2,FALSE)</f>
        <v>ဒေါ်နွယ်နွယ်ရီ(ရွှေတောင်ကြား)</v>
      </c>
      <c r="K500" s="15" t="str">
        <f>VLOOKUP(I500,Customers[#Data],4,FALSE)</f>
        <v>Yay</v>
      </c>
      <c r="L500" s="15" t="str">
        <f>VLOOKUP(I500,Customers[#Data],5,FALSE)</f>
        <v>WholeSales</v>
      </c>
      <c r="M500" s="7" t="s">
        <v>7</v>
      </c>
      <c r="N500" s="7" t="s">
        <v>517</v>
      </c>
      <c r="O500" s="14" t="str">
        <f>VLOOKUP(N500,Stock[#Data],2,FALSE)</f>
        <v>ဇေယျဝတီ Red (1 Liter) 30%</v>
      </c>
      <c r="P500" s="44">
        <f>VLOOKUP(N500,Stock[#Data],3,FALSE)</f>
        <v>1</v>
      </c>
      <c r="Q500" s="3">
        <f>VLOOKUP(N500,Stock[#Data],4,FALSE)</f>
        <v>12</v>
      </c>
      <c r="R500" s="11"/>
      <c r="S500" s="45">
        <f>IFERROR(Table4[[#This Row],[Bottle]]/Table4[[#This Row],[ပါဝင်မှု]]+Table4[[#This Row],[SalesPK]],0)</f>
        <v>100</v>
      </c>
      <c r="T500" s="12">
        <v>100</v>
      </c>
      <c r="U500" s="10">
        <f>Table4[[#This Row],[ပါဝင်မှု]]*Table4[[#This Row],[SalesPK]]+Table4[[#This Row],[Bottle]]</f>
        <v>1200</v>
      </c>
      <c r="V500" s="10">
        <f>Table4[[#This Row],[SalesBot]]*Table4[[#This Row],[ML]]</f>
        <v>1200</v>
      </c>
      <c r="W500" s="1">
        <f>VLOOKUP(N500,Stock[#Data],6,FALSE)</f>
        <v>1710</v>
      </c>
      <c r="X500" s="8">
        <f>+Table4[[#This Row],[SalesBot]]*Table4[[#This Row],[နှုံး]]</f>
        <v>2052000</v>
      </c>
      <c r="Y500" s="12"/>
      <c r="Z500" s="12"/>
      <c r="AA500" s="12"/>
      <c r="AB500" s="9"/>
      <c r="AC500" s="12"/>
      <c r="AD500" s="9"/>
      <c r="AE500" s="12"/>
      <c r="AF50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500" s="24"/>
      <c r="AH500" s="266">
        <f>Table4[[#This Row],[Date]]</f>
        <v>46053</v>
      </c>
      <c r="AI500" s="264" t="str">
        <f t="shared" si="86"/>
        <v>Jan</v>
      </c>
      <c r="AJ500" s="264" t="str">
        <f t="shared" si="87"/>
        <v>2026</v>
      </c>
      <c r="AK500" s="270" t="str">
        <f>Table4[[#This Row],[ကုန်သည်အမည်]]</f>
        <v>ဒေါ်နွယ်နွယ်ရီ(ရွှေတောင်ကြား)</v>
      </c>
      <c r="AL500" s="270" t="str">
        <f>Table4[[#This Row],[Township]]</f>
        <v>Yay</v>
      </c>
      <c r="AM500" s="271" t="str">
        <f>Table4[[#This Row],[WholeSales]]</f>
        <v>WholeSales</v>
      </c>
      <c r="AN500" s="272" t="str">
        <f>Table4[[#This Row],[Particular]]</f>
        <v>ကုန်ရောင်း(အကြွေး)</v>
      </c>
      <c r="AO500" s="273" t="str">
        <f>Table4[[#This Row],[StockName]]</f>
        <v>ဇေယျဝတီ Red (1 Liter) 30%</v>
      </c>
      <c r="AP500" s="268">
        <f>Table4[[#This Row],[Parking]]</f>
        <v>100</v>
      </c>
      <c r="AQ500" s="268">
        <f>Table4[[#This Row],[SalesBot]]</f>
        <v>1200</v>
      </c>
      <c r="AR500" s="268">
        <f>Table4[[#This Row],[Liter]]</f>
        <v>1200</v>
      </c>
    </row>
    <row r="501" spans="1:44" s="16" customFormat="1" hidden="1" x14ac:dyDescent="0.5">
      <c r="A501" s="3">
        <f t="shared" si="96"/>
        <v>2026</v>
      </c>
      <c r="B501" s="8">
        <f t="shared" si="97"/>
        <v>1</v>
      </c>
      <c r="C501" s="82">
        <v>46053</v>
      </c>
      <c r="D501" s="15">
        <f t="shared" ca="1" si="98"/>
        <v>46097</v>
      </c>
      <c r="E501" s="15" t="str">
        <f t="shared" ca="1" si="99"/>
        <v>1-Months</v>
      </c>
      <c r="F501" s="8" t="str">
        <f>VLOOKUP(N501,Stock[#Data],5,FALSE)</f>
        <v>BE</v>
      </c>
      <c r="G501" s="82" t="s">
        <v>1245</v>
      </c>
      <c r="H501" s="15"/>
      <c r="I501" s="7" t="s">
        <v>76</v>
      </c>
      <c r="J501" s="8" t="str">
        <f>VLOOKUP(I501,Customers[#Data],2,FALSE)</f>
        <v>Thailand</v>
      </c>
      <c r="K501" s="15" t="str">
        <f>VLOOKUP(I501,Customers[#Data],4,FALSE)</f>
        <v>Mudon</v>
      </c>
      <c r="L501" s="15" t="str">
        <f>VLOOKUP(I501,Customers[#Data],5,FALSE)</f>
        <v>SemiWholeSales</v>
      </c>
      <c r="M501" s="7" t="s">
        <v>7</v>
      </c>
      <c r="N501" s="7" t="s">
        <v>520</v>
      </c>
      <c r="O501" s="14" t="str">
        <f>VLOOKUP(N501,Stock[#Data],2,FALSE)</f>
        <v>ဇေယျဝတီ  Red(ပု)</v>
      </c>
      <c r="P501" s="44">
        <f>VLOOKUP(N501,Stock[#Data],3,FALSE)</f>
        <v>0.64</v>
      </c>
      <c r="Q501" s="3">
        <f>VLOOKUP(N501,Stock[#Data],4,FALSE)</f>
        <v>14</v>
      </c>
      <c r="R501" s="11"/>
      <c r="S501" s="45">
        <f>IFERROR(Table4[[#This Row],[Bottle]]/Table4[[#This Row],[ပါဝင်မှု]]+Table4[[#This Row],[SalesPK]],0)</f>
        <v>50</v>
      </c>
      <c r="T501" s="12">
        <v>50</v>
      </c>
      <c r="U501" s="10">
        <f>Table4[[#This Row],[ပါဝင်မှု]]*Table4[[#This Row],[SalesPK]]+Table4[[#This Row],[Bottle]]</f>
        <v>700</v>
      </c>
      <c r="V501" s="10">
        <f>Table4[[#This Row],[SalesBot]]*Table4[[#This Row],[ML]]</f>
        <v>448</v>
      </c>
      <c r="W501" s="1">
        <f>VLOOKUP(N501,Stock[#Data],6,FALSE)</f>
        <v>1800</v>
      </c>
      <c r="X501" s="8">
        <f>+Table4[[#This Row],[SalesBot]]*Table4[[#This Row],[နှုံး]]</f>
        <v>1260000</v>
      </c>
      <c r="Y501" s="12"/>
      <c r="Z501" s="12"/>
      <c r="AA501" s="12"/>
      <c r="AB501" s="9"/>
      <c r="AC501" s="12"/>
      <c r="AD501" s="9"/>
      <c r="AE501" s="12"/>
      <c r="AF50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501" s="24"/>
      <c r="AH501" s="266">
        <f>Table4[[#This Row],[Date]]</f>
        <v>46053</v>
      </c>
      <c r="AI501" s="264" t="str">
        <f t="shared" si="86"/>
        <v>Jan</v>
      </c>
      <c r="AJ501" s="264" t="str">
        <f t="shared" si="87"/>
        <v>2026</v>
      </c>
      <c r="AK501" s="270" t="str">
        <f>Table4[[#This Row],[ကုန်သည်အမည်]]</f>
        <v>Thailand</v>
      </c>
      <c r="AL501" s="270" t="str">
        <f>Table4[[#This Row],[Township]]</f>
        <v>Mudon</v>
      </c>
      <c r="AM501" s="271" t="str">
        <f>Table4[[#This Row],[WholeSales]]</f>
        <v>SemiWholeSales</v>
      </c>
      <c r="AN501" s="272" t="str">
        <f>Table4[[#This Row],[Particular]]</f>
        <v>ကုန်ရောင်း(အကြွေး)</v>
      </c>
      <c r="AO501" s="273" t="str">
        <f>Table4[[#This Row],[StockName]]</f>
        <v>ဇေယျဝတီ  Red(ပု)</v>
      </c>
      <c r="AP501" s="268">
        <f>Table4[[#This Row],[Parking]]</f>
        <v>50</v>
      </c>
      <c r="AQ501" s="268">
        <f>Table4[[#This Row],[SalesBot]]</f>
        <v>700</v>
      </c>
      <c r="AR501" s="268">
        <f>Table4[[#This Row],[Liter]]</f>
        <v>448</v>
      </c>
    </row>
    <row r="502" spans="1:44" s="16" customFormat="1" hidden="1" x14ac:dyDescent="0.5">
      <c r="A502" s="3">
        <f t="shared" si="96"/>
        <v>2026</v>
      </c>
      <c r="B502" s="8">
        <f t="shared" si="97"/>
        <v>2</v>
      </c>
      <c r="C502" s="82">
        <v>46055</v>
      </c>
      <c r="D502" s="15">
        <f t="shared" ca="1" si="98"/>
        <v>46097</v>
      </c>
      <c r="E502" s="15" t="str">
        <f t="shared" ca="1" si="99"/>
        <v>1-Months</v>
      </c>
      <c r="F502" s="8" t="str">
        <f>VLOOKUP(N502,Stock[#Data],5,FALSE)</f>
        <v>BE</v>
      </c>
      <c r="G502" s="82" t="s">
        <v>1253</v>
      </c>
      <c r="H502" s="15"/>
      <c r="I502" s="7" t="s">
        <v>95</v>
      </c>
      <c r="J502" s="8" t="str">
        <f>VLOOKUP(I502,Customers[#Data],2,FALSE)</f>
        <v>ကျော်စတား</v>
      </c>
      <c r="K502" s="15" t="str">
        <f>VLOOKUP(I502,Customers[#Data],4,FALSE)</f>
        <v>Yay</v>
      </c>
      <c r="L502" s="15" t="str">
        <f>VLOOKUP(I502,Customers[#Data],5,FALSE)</f>
        <v>WholeSales</v>
      </c>
      <c r="M502" s="7" t="s">
        <v>7</v>
      </c>
      <c r="N502" s="7" t="s">
        <v>514</v>
      </c>
      <c r="O502" s="14" t="str">
        <f>VLOOKUP(N502,Stock[#Data],2,FALSE)</f>
        <v>ဇေယျဝတီ Red</v>
      </c>
      <c r="P502" s="44">
        <f>VLOOKUP(N502,Stock[#Data],3,FALSE)</f>
        <v>0.64</v>
      </c>
      <c r="Q502" s="3">
        <f>VLOOKUP(N502,Stock[#Data],4,FALSE)</f>
        <v>14</v>
      </c>
      <c r="R502" s="11"/>
      <c r="S502" s="45">
        <f>IFERROR(Table4[[#This Row],[Bottle]]/Table4[[#This Row],[ပါဝင်မှု]]+Table4[[#This Row],[SalesPK]],0)</f>
        <v>170</v>
      </c>
      <c r="T502" s="12">
        <v>170</v>
      </c>
      <c r="U502" s="10">
        <f>Table4[[#This Row],[ပါဝင်မှု]]*Table4[[#This Row],[SalesPK]]+Table4[[#This Row],[Bottle]]</f>
        <v>2380</v>
      </c>
      <c r="V502" s="10">
        <f>Table4[[#This Row],[SalesBot]]*Table4[[#This Row],[ML]]</f>
        <v>1523.2</v>
      </c>
      <c r="W502" s="1">
        <f>VLOOKUP(N502,Stock[#Data],6,FALSE)</f>
        <v>1350</v>
      </c>
      <c r="X502" s="8">
        <f>+Table4[[#This Row],[SalesBot]]*Table4[[#This Row],[နှုံး]]</f>
        <v>3213000</v>
      </c>
      <c r="Y502" s="12"/>
      <c r="Z502" s="12"/>
      <c r="AA502" s="12"/>
      <c r="AB502" s="9"/>
      <c r="AC502" s="12"/>
      <c r="AD502" s="9"/>
      <c r="AE502" s="12"/>
      <c r="AF50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3213000</v>
      </c>
      <c r="AG502" s="24"/>
      <c r="AH502" s="266"/>
      <c r="AI502" s="264" t="str">
        <f t="shared" si="86"/>
        <v>Jan</v>
      </c>
      <c r="AJ502" s="264"/>
      <c r="AK502" s="270" t="str">
        <f>Table4[[#This Row],[ကုန်သည်အမည်]]</f>
        <v>ကျော်စတား</v>
      </c>
      <c r="AL502" s="270" t="str">
        <f>Table4[[#This Row],[Township]]</f>
        <v>Yay</v>
      </c>
      <c r="AM502" s="271" t="str">
        <f>Table4[[#This Row],[WholeSales]]</f>
        <v>WholeSales</v>
      </c>
      <c r="AN502" s="272"/>
      <c r="AO502" s="273" t="str">
        <f>Table4[[#This Row],[StockName]]</f>
        <v>ဇေယျဝတီ Red</v>
      </c>
      <c r="AP502" s="268"/>
      <c r="AQ502" s="268">
        <f>Table4[[#This Row],[SalesBot]]</f>
        <v>2380</v>
      </c>
      <c r="AR502" s="268">
        <f>Table4[[#This Row],[Liter]]</f>
        <v>1523.2</v>
      </c>
    </row>
    <row r="503" spans="1:44" s="16" customFormat="1" hidden="1" x14ac:dyDescent="0.5">
      <c r="A503" s="3">
        <f t="shared" si="96"/>
        <v>2026</v>
      </c>
      <c r="B503" s="8">
        <f t="shared" si="97"/>
        <v>2</v>
      </c>
      <c r="C503" s="82">
        <v>46055</v>
      </c>
      <c r="D503" s="15">
        <f t="shared" ca="1" si="98"/>
        <v>46097</v>
      </c>
      <c r="E503" s="15" t="str">
        <f t="shared" ca="1" si="99"/>
        <v>1-Months</v>
      </c>
      <c r="F503" s="8" t="str">
        <f>VLOOKUP(N503,Stock[#Data],5,FALSE)</f>
        <v>BE</v>
      </c>
      <c r="G503" s="82" t="s">
        <v>1253</v>
      </c>
      <c r="H503" s="15"/>
      <c r="I503" s="7" t="s">
        <v>95</v>
      </c>
      <c r="J503" s="8" t="str">
        <f>VLOOKUP(I503,Customers[#Data],2,FALSE)</f>
        <v>ကျော်စတား</v>
      </c>
      <c r="K503" s="15" t="str">
        <f>VLOOKUP(I503,Customers[#Data],4,FALSE)</f>
        <v>Yay</v>
      </c>
      <c r="L503" s="15" t="str">
        <f>VLOOKUP(I503,Customers[#Data],5,FALSE)</f>
        <v>WholeSales</v>
      </c>
      <c r="M503" s="7" t="s">
        <v>7</v>
      </c>
      <c r="N503" s="7" t="s">
        <v>517</v>
      </c>
      <c r="O503" s="14" t="str">
        <f>VLOOKUP(N503,Stock[#Data],2,FALSE)</f>
        <v>ဇေယျဝတီ Red (1 Liter) 30%</v>
      </c>
      <c r="P503" s="44">
        <f>VLOOKUP(N503,Stock[#Data],3,FALSE)</f>
        <v>1</v>
      </c>
      <c r="Q503" s="3">
        <f>VLOOKUP(N503,Stock[#Data],4,FALSE)</f>
        <v>12</v>
      </c>
      <c r="R503" s="11"/>
      <c r="S503" s="45">
        <f>IFERROR(Table4[[#This Row],[Bottle]]/Table4[[#This Row],[ပါဝင်မှု]]+Table4[[#This Row],[SalesPK]],0)</f>
        <v>100</v>
      </c>
      <c r="T503" s="12">
        <v>100</v>
      </c>
      <c r="U503" s="10">
        <f>Table4[[#This Row],[ပါဝင်မှု]]*Table4[[#This Row],[SalesPK]]+Table4[[#This Row],[Bottle]]</f>
        <v>1200</v>
      </c>
      <c r="V503" s="10">
        <f>Table4[[#This Row],[SalesBot]]*Table4[[#This Row],[ML]]</f>
        <v>1200</v>
      </c>
      <c r="W503" s="1">
        <f>VLOOKUP(N503,Stock[#Data],6,FALSE)</f>
        <v>1710</v>
      </c>
      <c r="X503" s="8">
        <f>+Table4[[#This Row],[SalesBot]]*Table4[[#This Row],[နှုံး]]</f>
        <v>2052000</v>
      </c>
      <c r="Y503" s="12"/>
      <c r="Z503" s="12"/>
      <c r="AA503" s="12"/>
      <c r="AB503" s="9"/>
      <c r="AC503" s="12"/>
      <c r="AD503" s="9"/>
      <c r="AE503" s="12"/>
      <c r="AF50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503" s="24"/>
      <c r="AH503" s="266"/>
      <c r="AI503" s="264" t="str">
        <f t="shared" si="86"/>
        <v>Jan</v>
      </c>
      <c r="AJ503" s="264"/>
      <c r="AK503" s="270" t="str">
        <f>Table4[[#This Row],[ကုန်သည်အမည်]]</f>
        <v>ကျော်စတား</v>
      </c>
      <c r="AL503" s="270" t="str">
        <f>Table4[[#This Row],[Township]]</f>
        <v>Yay</v>
      </c>
      <c r="AM503" s="271" t="str">
        <f>Table4[[#This Row],[WholeSales]]</f>
        <v>WholeSales</v>
      </c>
      <c r="AN503" s="272"/>
      <c r="AO503" s="273" t="str">
        <f>Table4[[#This Row],[StockName]]</f>
        <v>ဇေယျဝတီ Red (1 Liter) 30%</v>
      </c>
      <c r="AP503" s="268"/>
      <c r="AQ503" s="268">
        <f>Table4[[#This Row],[SalesBot]]</f>
        <v>1200</v>
      </c>
      <c r="AR503" s="268">
        <f>Table4[[#This Row],[Liter]]</f>
        <v>1200</v>
      </c>
    </row>
    <row r="504" spans="1:44" s="16" customFormat="1" hidden="1" x14ac:dyDescent="0.5">
      <c r="A504" s="3">
        <f t="shared" si="96"/>
        <v>2026</v>
      </c>
      <c r="B504" s="8">
        <f t="shared" si="97"/>
        <v>2</v>
      </c>
      <c r="C504" s="82">
        <v>46055</v>
      </c>
      <c r="D504" s="15">
        <f t="shared" ca="1" si="98"/>
        <v>46097</v>
      </c>
      <c r="E504" s="15" t="str">
        <f t="shared" ca="1" si="99"/>
        <v>1-Months</v>
      </c>
      <c r="F504" s="8" t="str">
        <f>VLOOKUP(N504,Stock[#Data],5,FALSE)</f>
        <v>BE</v>
      </c>
      <c r="G504" s="82" t="s">
        <v>1254</v>
      </c>
      <c r="H504" s="15"/>
      <c r="I504" s="7" t="s">
        <v>94</v>
      </c>
      <c r="J504" s="8" t="str">
        <f>VLOOKUP(I504,Customers[#Data],2,FALSE)</f>
        <v>ကိုထွန်းနိုင်</v>
      </c>
      <c r="K504" s="15" t="str">
        <f>VLOOKUP(I504,Customers[#Data],4,FALSE)</f>
        <v>Yay</v>
      </c>
      <c r="L504" s="15" t="str">
        <f>VLOOKUP(I504,Customers[#Data],5,FALSE)</f>
        <v>WholeSales</v>
      </c>
      <c r="M504" s="7" t="s">
        <v>7</v>
      </c>
      <c r="N504" s="7" t="s">
        <v>514</v>
      </c>
      <c r="O504" s="14" t="str">
        <f>VLOOKUP(N504,Stock[#Data],2,FALSE)</f>
        <v>ဇေယျဝတီ Red</v>
      </c>
      <c r="P504" s="44">
        <f>VLOOKUP(N504,Stock[#Data],3,FALSE)</f>
        <v>0.64</v>
      </c>
      <c r="Q504" s="3">
        <f>VLOOKUP(N504,Stock[#Data],4,FALSE)</f>
        <v>14</v>
      </c>
      <c r="R504" s="11"/>
      <c r="S504" s="45">
        <f>IFERROR(Table4[[#This Row],[Bottle]]/Table4[[#This Row],[ပါဝင်မှု]]+Table4[[#This Row],[SalesPK]],0)</f>
        <v>300</v>
      </c>
      <c r="T504" s="12">
        <v>300</v>
      </c>
      <c r="U504" s="10">
        <f>Table4[[#This Row],[ပါဝင်မှု]]*Table4[[#This Row],[SalesPK]]+Table4[[#This Row],[Bottle]]</f>
        <v>4200</v>
      </c>
      <c r="V504" s="10">
        <f>Table4[[#This Row],[SalesBot]]*Table4[[#This Row],[ML]]</f>
        <v>2688</v>
      </c>
      <c r="W504" s="1">
        <f>VLOOKUP(N504,Stock[#Data],6,FALSE)</f>
        <v>1350</v>
      </c>
      <c r="X504" s="8">
        <f>+Table4[[#This Row],[SalesBot]]*Table4[[#This Row],[နှုံး]]</f>
        <v>5670000</v>
      </c>
      <c r="Y504" s="12"/>
      <c r="Z504" s="12"/>
      <c r="AA504" s="12"/>
      <c r="AB504" s="9"/>
      <c r="AC504" s="12"/>
      <c r="AD504" s="9"/>
      <c r="AE504" s="12"/>
      <c r="AF50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5670000</v>
      </c>
      <c r="AG504" s="24"/>
      <c r="AH504" s="266"/>
      <c r="AI504" s="264" t="str">
        <f t="shared" si="86"/>
        <v>Jan</v>
      </c>
      <c r="AJ504" s="264"/>
      <c r="AK504" s="270" t="str">
        <f>Table4[[#This Row],[ကုန်သည်အမည်]]</f>
        <v>ကိုထွန်းနိုင်</v>
      </c>
      <c r="AL504" s="270" t="str">
        <f>Table4[[#This Row],[Township]]</f>
        <v>Yay</v>
      </c>
      <c r="AM504" s="271" t="str">
        <f>Table4[[#This Row],[WholeSales]]</f>
        <v>WholeSales</v>
      </c>
      <c r="AN504" s="272"/>
      <c r="AO504" s="273" t="str">
        <f>Table4[[#This Row],[StockName]]</f>
        <v>ဇေယျဝတီ Red</v>
      </c>
      <c r="AP504" s="268"/>
      <c r="AQ504" s="268">
        <f>Table4[[#This Row],[SalesBot]]</f>
        <v>4200</v>
      </c>
      <c r="AR504" s="268">
        <f>Table4[[#This Row],[Liter]]</f>
        <v>2688</v>
      </c>
    </row>
    <row r="505" spans="1:44" s="16" customFormat="1" hidden="1" x14ac:dyDescent="0.5">
      <c r="A505" s="3">
        <f t="shared" si="96"/>
        <v>2026</v>
      </c>
      <c r="B505" s="8">
        <f t="shared" si="97"/>
        <v>2</v>
      </c>
      <c r="C505" s="82">
        <v>46055</v>
      </c>
      <c r="D505" s="15">
        <f t="shared" ca="1" si="98"/>
        <v>46097</v>
      </c>
      <c r="E505" s="15" t="str">
        <f t="shared" ca="1" si="99"/>
        <v>1-Months</v>
      </c>
      <c r="F505" s="8" t="str">
        <f>VLOOKUP(N505,Stock[#Data],5,FALSE)</f>
        <v>BE</v>
      </c>
      <c r="G505" s="82" t="s">
        <v>1254</v>
      </c>
      <c r="H505" s="15"/>
      <c r="I505" s="7" t="s">
        <v>94</v>
      </c>
      <c r="J505" s="8" t="str">
        <f>VLOOKUP(I505,Customers[#Data],2,FALSE)</f>
        <v>ကိုထွန်းနိုင်</v>
      </c>
      <c r="K505" s="15" t="str">
        <f>VLOOKUP(I505,Customers[#Data],4,FALSE)</f>
        <v>Yay</v>
      </c>
      <c r="L505" s="15" t="str">
        <f>VLOOKUP(I505,Customers[#Data],5,FALSE)</f>
        <v>WholeSales</v>
      </c>
      <c r="M505" s="7" t="s">
        <v>7</v>
      </c>
      <c r="N505" s="7" t="s">
        <v>517</v>
      </c>
      <c r="O505" s="14" t="str">
        <f>VLOOKUP(N505,Stock[#Data],2,FALSE)</f>
        <v>ဇေယျဝတီ Red (1 Liter) 30%</v>
      </c>
      <c r="P505" s="44">
        <f>VLOOKUP(N505,Stock[#Data],3,FALSE)</f>
        <v>1</v>
      </c>
      <c r="Q505" s="3">
        <f>VLOOKUP(N505,Stock[#Data],4,FALSE)</f>
        <v>12</v>
      </c>
      <c r="R505" s="11"/>
      <c r="S505" s="45">
        <f>IFERROR(Table4[[#This Row],[Bottle]]/Table4[[#This Row],[ပါဝင်မှု]]+Table4[[#This Row],[SalesPK]],0)</f>
        <v>100</v>
      </c>
      <c r="T505" s="12">
        <v>100</v>
      </c>
      <c r="U505" s="10">
        <f>Table4[[#This Row],[ပါဝင်မှု]]*Table4[[#This Row],[SalesPK]]+Table4[[#This Row],[Bottle]]</f>
        <v>1200</v>
      </c>
      <c r="V505" s="10">
        <f>Table4[[#This Row],[SalesBot]]*Table4[[#This Row],[ML]]</f>
        <v>1200</v>
      </c>
      <c r="W505" s="1">
        <f>VLOOKUP(N505,Stock[#Data],6,FALSE)</f>
        <v>1710</v>
      </c>
      <c r="X505" s="8">
        <f>+Table4[[#This Row],[SalesBot]]*Table4[[#This Row],[နှုံး]]</f>
        <v>2052000</v>
      </c>
      <c r="Y505" s="12"/>
      <c r="Z505" s="12"/>
      <c r="AA505" s="12"/>
      <c r="AB505" s="9"/>
      <c r="AC505" s="12"/>
      <c r="AD505" s="9"/>
      <c r="AE505" s="12"/>
      <c r="AF50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505" s="24"/>
      <c r="AH505" s="266"/>
      <c r="AI505" s="264" t="str">
        <f t="shared" si="86"/>
        <v>Jan</v>
      </c>
      <c r="AJ505" s="264"/>
      <c r="AK505" s="270" t="str">
        <f>Table4[[#This Row],[ကုန်သည်အမည်]]</f>
        <v>ကိုထွန်းနိုင်</v>
      </c>
      <c r="AL505" s="270" t="str">
        <f>Table4[[#This Row],[Township]]</f>
        <v>Yay</v>
      </c>
      <c r="AM505" s="271" t="str">
        <f>Table4[[#This Row],[WholeSales]]</f>
        <v>WholeSales</v>
      </c>
      <c r="AN505" s="272"/>
      <c r="AO505" s="273" t="str">
        <f>Table4[[#This Row],[StockName]]</f>
        <v>ဇေယျဝတီ Red (1 Liter) 30%</v>
      </c>
      <c r="AP505" s="268"/>
      <c r="AQ505" s="268">
        <f>Table4[[#This Row],[SalesBot]]</f>
        <v>1200</v>
      </c>
      <c r="AR505" s="268">
        <f>Table4[[#This Row],[Liter]]</f>
        <v>1200</v>
      </c>
    </row>
    <row r="506" spans="1:44" s="16" customFormat="1" hidden="1" x14ac:dyDescent="0.5">
      <c r="A506" s="3">
        <f t="shared" si="96"/>
        <v>2026</v>
      </c>
      <c r="B506" s="8">
        <f t="shared" si="97"/>
        <v>2</v>
      </c>
      <c r="C506" s="82">
        <v>46055</v>
      </c>
      <c r="D506" s="15">
        <f t="shared" ca="1" si="98"/>
        <v>46097</v>
      </c>
      <c r="E506" s="15" t="str">
        <f t="shared" ca="1" si="99"/>
        <v>1-Months</v>
      </c>
      <c r="F506" s="8" t="str">
        <f>VLOOKUP(N506,Stock[#Data],5,FALSE)</f>
        <v>BE</v>
      </c>
      <c r="G506" s="82" t="s">
        <v>1255</v>
      </c>
      <c r="H506" s="15"/>
      <c r="I506" s="7" t="s">
        <v>95</v>
      </c>
      <c r="J506" s="8" t="str">
        <f>VLOOKUP(I506,Customers[#Data],2,FALSE)</f>
        <v>ကျော်စတား</v>
      </c>
      <c r="K506" s="15" t="str">
        <f>VLOOKUP(I506,Customers[#Data],4,FALSE)</f>
        <v>Yay</v>
      </c>
      <c r="L506" s="15" t="str">
        <f>VLOOKUP(I506,Customers[#Data],5,FALSE)</f>
        <v>WholeSales</v>
      </c>
      <c r="M506" s="7" t="s">
        <v>7</v>
      </c>
      <c r="N506" s="7" t="s">
        <v>517</v>
      </c>
      <c r="O506" s="14" t="str">
        <f>VLOOKUP(N506,Stock[#Data],2,FALSE)</f>
        <v>ဇေယျဝတီ Red (1 Liter) 30%</v>
      </c>
      <c r="P506" s="44">
        <f>VLOOKUP(N506,Stock[#Data],3,FALSE)</f>
        <v>1</v>
      </c>
      <c r="Q506" s="3">
        <f>VLOOKUP(N506,Stock[#Data],4,FALSE)</f>
        <v>12</v>
      </c>
      <c r="R506" s="11"/>
      <c r="S506" s="45">
        <f>IFERROR(Table4[[#This Row],[Bottle]]/Table4[[#This Row],[ပါဝင်မှု]]+Table4[[#This Row],[SalesPK]],0)</f>
        <v>165</v>
      </c>
      <c r="T506" s="12">
        <v>165</v>
      </c>
      <c r="U506" s="10">
        <f>Table4[[#This Row],[ပါဝင်မှု]]*Table4[[#This Row],[SalesPK]]+Table4[[#This Row],[Bottle]]</f>
        <v>1980</v>
      </c>
      <c r="V506" s="10">
        <f>Table4[[#This Row],[SalesBot]]*Table4[[#This Row],[ML]]</f>
        <v>1980</v>
      </c>
      <c r="W506" s="1">
        <f>VLOOKUP(N506,Stock[#Data],6,FALSE)</f>
        <v>1710</v>
      </c>
      <c r="X506" s="8">
        <f>+Table4[[#This Row],[SalesBot]]*Table4[[#This Row],[နှုံး]]</f>
        <v>3385800</v>
      </c>
      <c r="Y506" s="12"/>
      <c r="Z506" s="12"/>
      <c r="AA506" s="12"/>
      <c r="AB506" s="9"/>
      <c r="AC506" s="12"/>
      <c r="AD506" s="9"/>
      <c r="AE506" s="12"/>
      <c r="AF50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3385800</v>
      </c>
      <c r="AG506" s="24"/>
      <c r="AH506" s="266"/>
      <c r="AI506" s="264" t="str">
        <f t="shared" si="86"/>
        <v>Jan</v>
      </c>
      <c r="AJ506" s="264"/>
      <c r="AK506" s="270" t="str">
        <f>Table4[[#This Row],[ကုန်သည်အမည်]]</f>
        <v>ကျော်စတား</v>
      </c>
      <c r="AL506" s="270" t="str">
        <f>Table4[[#This Row],[Township]]</f>
        <v>Yay</v>
      </c>
      <c r="AM506" s="271" t="str">
        <f>Table4[[#This Row],[WholeSales]]</f>
        <v>WholeSales</v>
      </c>
      <c r="AN506" s="272"/>
      <c r="AO506" s="273" t="str">
        <f>Table4[[#This Row],[StockName]]</f>
        <v>ဇေယျဝတီ Red (1 Liter) 30%</v>
      </c>
      <c r="AP506" s="268"/>
      <c r="AQ506" s="268">
        <f>Table4[[#This Row],[SalesBot]]</f>
        <v>1980</v>
      </c>
      <c r="AR506" s="268">
        <f>Table4[[#This Row],[Liter]]</f>
        <v>1980</v>
      </c>
    </row>
    <row r="507" spans="1:44" s="16" customFormat="1" hidden="1" x14ac:dyDescent="0.5">
      <c r="A507" s="3">
        <f t="shared" si="96"/>
        <v>2026</v>
      </c>
      <c r="B507" s="8">
        <f t="shared" si="97"/>
        <v>2</v>
      </c>
      <c r="C507" s="82">
        <v>46055</v>
      </c>
      <c r="D507" s="15">
        <f t="shared" ca="1" si="98"/>
        <v>46097</v>
      </c>
      <c r="E507" s="15" t="str">
        <f t="shared" ca="1" si="99"/>
        <v>1-Months</v>
      </c>
      <c r="F507" s="8" t="str">
        <f>VLOOKUP(N507,Stock[#Data],5,FALSE)</f>
        <v>BE</v>
      </c>
      <c r="G507" s="82" t="s">
        <v>1256</v>
      </c>
      <c r="H507" s="15"/>
      <c r="I507" s="7" t="s">
        <v>101</v>
      </c>
      <c r="J507" s="8" t="str">
        <f>VLOOKUP(I507,Customers[#Data],2,FALSE)</f>
        <v>ကိုမောင်+မသူဇာ</v>
      </c>
      <c r="K507" s="15" t="str">
        <f>VLOOKUP(I507,Customers[#Data],4,FALSE)</f>
        <v>Yay</v>
      </c>
      <c r="L507" s="15" t="str">
        <f>VLOOKUP(I507,Customers[#Data],5,FALSE)</f>
        <v>WholeSales</v>
      </c>
      <c r="M507" s="7" t="s">
        <v>7</v>
      </c>
      <c r="N507" s="7" t="s">
        <v>517</v>
      </c>
      <c r="O507" s="14" t="str">
        <f>VLOOKUP(N507,Stock[#Data],2,FALSE)</f>
        <v>ဇေယျဝတီ Red (1 Liter) 30%</v>
      </c>
      <c r="P507" s="44">
        <f>VLOOKUP(N507,Stock[#Data],3,FALSE)</f>
        <v>1</v>
      </c>
      <c r="Q507" s="3">
        <f>VLOOKUP(N507,Stock[#Data],4,FALSE)</f>
        <v>12</v>
      </c>
      <c r="R507" s="11"/>
      <c r="S507" s="45">
        <f>IFERROR(Table4[[#This Row],[Bottle]]/Table4[[#This Row],[ပါဝင်မှု]]+Table4[[#This Row],[SalesPK]],0)</f>
        <v>50</v>
      </c>
      <c r="T507" s="12">
        <v>50</v>
      </c>
      <c r="U507" s="10">
        <f>Table4[[#This Row],[ပါဝင်မှု]]*Table4[[#This Row],[SalesPK]]+Table4[[#This Row],[Bottle]]</f>
        <v>600</v>
      </c>
      <c r="V507" s="10">
        <f>Table4[[#This Row],[SalesBot]]*Table4[[#This Row],[ML]]</f>
        <v>600</v>
      </c>
      <c r="W507" s="1">
        <f>VLOOKUP(N507,Stock[#Data],6,FALSE)</f>
        <v>1710</v>
      </c>
      <c r="X507" s="8">
        <f>+Table4[[#This Row],[SalesBot]]*Table4[[#This Row],[နှုံး]]</f>
        <v>1026000</v>
      </c>
      <c r="Y507" s="12"/>
      <c r="Z507" s="12"/>
      <c r="AA507" s="12"/>
      <c r="AB507" s="9"/>
      <c r="AC507" s="12"/>
      <c r="AD507" s="9"/>
      <c r="AE507" s="12"/>
      <c r="AF50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507" s="24"/>
      <c r="AH507" s="266"/>
      <c r="AI507" s="264" t="str">
        <f t="shared" si="86"/>
        <v>Jan</v>
      </c>
      <c r="AJ507" s="264"/>
      <c r="AK507" s="270" t="str">
        <f>Table4[[#This Row],[ကုန်သည်အမည်]]</f>
        <v>ကိုမောင်+မသူဇာ</v>
      </c>
      <c r="AL507" s="270" t="str">
        <f>Table4[[#This Row],[Township]]</f>
        <v>Yay</v>
      </c>
      <c r="AM507" s="271" t="str">
        <f>Table4[[#This Row],[WholeSales]]</f>
        <v>WholeSales</v>
      </c>
      <c r="AN507" s="272"/>
      <c r="AO507" s="273" t="str">
        <f>Table4[[#This Row],[StockName]]</f>
        <v>ဇေယျဝတီ Red (1 Liter) 30%</v>
      </c>
      <c r="AP507" s="268"/>
      <c r="AQ507" s="268">
        <f>Table4[[#This Row],[SalesBot]]</f>
        <v>600</v>
      </c>
      <c r="AR507" s="268">
        <f>Table4[[#This Row],[Liter]]</f>
        <v>600</v>
      </c>
    </row>
    <row r="508" spans="1:44" s="16" customFormat="1" hidden="1" x14ac:dyDescent="0.5">
      <c r="A508" s="3">
        <f t="shared" si="96"/>
        <v>2026</v>
      </c>
      <c r="B508" s="8">
        <f t="shared" si="97"/>
        <v>2</v>
      </c>
      <c r="C508" s="82">
        <v>46055</v>
      </c>
      <c r="D508" s="15">
        <f t="shared" ca="1" si="98"/>
        <v>46097</v>
      </c>
      <c r="E508" s="15" t="str">
        <f t="shared" ca="1" si="99"/>
        <v>1-Months</v>
      </c>
      <c r="F508" s="8" t="str">
        <f>VLOOKUP(N508,Stock[#Data],5,FALSE)</f>
        <v>BE</v>
      </c>
      <c r="G508" s="82" t="s">
        <v>1257</v>
      </c>
      <c r="H508" s="15"/>
      <c r="I508" s="7" t="s">
        <v>553</v>
      </c>
      <c r="J508" s="8" t="str">
        <f>VLOOKUP(I508,Customers[#Data],2,FALSE)</f>
        <v>ကိုမောင်ဦး</v>
      </c>
      <c r="K508" s="15" t="str">
        <f>VLOOKUP(I508,Customers[#Data],4,FALSE)</f>
        <v>Maw La Myaing</v>
      </c>
      <c r="L508" s="15" t="str">
        <f>VLOOKUP(I508,Customers[#Data],5,FALSE)</f>
        <v>Mini Whole Sales</v>
      </c>
      <c r="M508" s="7" t="s">
        <v>6</v>
      </c>
      <c r="N508" s="7" t="s">
        <v>516</v>
      </c>
      <c r="O508" s="14" t="str">
        <f>VLOOKUP(N508,Stock[#Data],2,FALSE)</f>
        <v>ဇေ Vodka</v>
      </c>
      <c r="P508" s="44">
        <f>VLOOKUP(N508,Stock[#Data],3,FALSE)</f>
        <v>0.64</v>
      </c>
      <c r="Q508" s="3">
        <f>VLOOKUP(N508,Stock[#Data],4,FALSE)</f>
        <v>14</v>
      </c>
      <c r="R508" s="11"/>
      <c r="S508" s="45">
        <f>IFERROR(Table4[[#This Row],[Bottle]]/Table4[[#This Row],[ပါဝင်မှု]]+Table4[[#This Row],[SalesPK]],0)</f>
        <v>10</v>
      </c>
      <c r="T508" s="12">
        <v>10</v>
      </c>
      <c r="U508" s="10">
        <f>Table4[[#This Row],[ပါဝင်မှု]]*Table4[[#This Row],[SalesPK]]+Table4[[#This Row],[Bottle]]</f>
        <v>140</v>
      </c>
      <c r="V508" s="10">
        <f>Table4[[#This Row],[SalesBot]]*Table4[[#This Row],[ML]]</f>
        <v>89.600000000000009</v>
      </c>
      <c r="W508" s="1">
        <f>VLOOKUP(N508,Stock[#Data],6,FALSE)</f>
        <v>1400</v>
      </c>
      <c r="X508" s="8">
        <f>+Table4[[#This Row],[SalesBot]]*Table4[[#This Row],[နှုံး]]</f>
        <v>196000</v>
      </c>
      <c r="Y508" s="12"/>
      <c r="Z508" s="12"/>
      <c r="AA508" s="12"/>
      <c r="AB508" s="9"/>
      <c r="AC508" s="12"/>
      <c r="AD508" s="9"/>
      <c r="AE508" s="12"/>
      <c r="AF50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508" s="24"/>
      <c r="AH508" s="266"/>
      <c r="AI508" s="264" t="str">
        <f t="shared" si="86"/>
        <v>Jan</v>
      </c>
      <c r="AJ508" s="264"/>
      <c r="AK508" s="270" t="str">
        <f>Table4[[#This Row],[ကုန်သည်အမည်]]</f>
        <v>ကိုမောင်ဦး</v>
      </c>
      <c r="AL508" s="270" t="str">
        <f>Table4[[#This Row],[Township]]</f>
        <v>Maw La Myaing</v>
      </c>
      <c r="AM508" s="271" t="str">
        <f>Table4[[#This Row],[WholeSales]]</f>
        <v>Mini Whole Sales</v>
      </c>
      <c r="AN508" s="272"/>
      <c r="AO508" s="273" t="str">
        <f>Table4[[#This Row],[StockName]]</f>
        <v>ဇေ Vodka</v>
      </c>
      <c r="AP508" s="268"/>
      <c r="AQ508" s="268">
        <f>Table4[[#This Row],[SalesBot]]</f>
        <v>140</v>
      </c>
      <c r="AR508" s="268">
        <f>Table4[[#This Row],[Liter]]</f>
        <v>89.600000000000009</v>
      </c>
    </row>
    <row r="509" spans="1:44" s="16" customFormat="1" hidden="1" x14ac:dyDescent="0.5">
      <c r="A509" s="3">
        <f t="shared" si="96"/>
        <v>2026</v>
      </c>
      <c r="B509" s="8">
        <f t="shared" si="97"/>
        <v>2</v>
      </c>
      <c r="C509" s="82">
        <v>46055</v>
      </c>
      <c r="D509" s="15">
        <f t="shared" ca="1" si="98"/>
        <v>46097</v>
      </c>
      <c r="E509" s="15" t="str">
        <f t="shared" ca="1" si="99"/>
        <v>1-Months</v>
      </c>
      <c r="F509" s="8" t="str">
        <f>VLOOKUP(N509,Stock[#Data],5,FALSE)</f>
        <v>BE</v>
      </c>
      <c r="G509" s="82" t="s">
        <v>1258</v>
      </c>
      <c r="H509" s="15"/>
      <c r="I509" s="7" t="s">
        <v>793</v>
      </c>
      <c r="J509" s="8" t="str">
        <f>VLOOKUP(I509,Customers[#Data],2,FALSE)</f>
        <v>ဖြိုးဝေဝင်း</v>
      </c>
      <c r="K509" s="15" t="str">
        <f>VLOOKUP(I509,Customers[#Data],4,FALSE)</f>
        <v>Maw La Myaing</v>
      </c>
      <c r="L509" s="15" t="str">
        <f>VLOOKUP(I509,Customers[#Data],5,FALSE)</f>
        <v>Van Sales</v>
      </c>
      <c r="M509" s="7" t="s">
        <v>6</v>
      </c>
      <c r="N509" s="7" t="s">
        <v>516</v>
      </c>
      <c r="O509" s="14" t="str">
        <f>VLOOKUP(N509,Stock[#Data],2,FALSE)</f>
        <v>ဇေ Vodka</v>
      </c>
      <c r="P509" s="44">
        <f>VLOOKUP(N509,Stock[#Data],3,FALSE)</f>
        <v>0.64</v>
      </c>
      <c r="Q509" s="3">
        <f>VLOOKUP(N509,Stock[#Data],4,FALSE)</f>
        <v>14</v>
      </c>
      <c r="R509" s="11"/>
      <c r="S509" s="45">
        <f>IFERROR(Table4[[#This Row],[Bottle]]/Table4[[#This Row],[ပါဝင်မှု]]+Table4[[#This Row],[SalesPK]],0)</f>
        <v>10</v>
      </c>
      <c r="T509" s="12">
        <v>10</v>
      </c>
      <c r="U509" s="10">
        <f>Table4[[#This Row],[ပါဝင်မှု]]*Table4[[#This Row],[SalesPK]]+Table4[[#This Row],[Bottle]]</f>
        <v>140</v>
      </c>
      <c r="V509" s="10">
        <f>Table4[[#This Row],[SalesBot]]*Table4[[#This Row],[ML]]</f>
        <v>89.600000000000009</v>
      </c>
      <c r="W509" s="1">
        <f>VLOOKUP(N509,Stock[#Data],6,FALSE)</f>
        <v>1400</v>
      </c>
      <c r="X509" s="8">
        <f>+Table4[[#This Row],[SalesBot]]*Table4[[#This Row],[နှုံး]]</f>
        <v>196000</v>
      </c>
      <c r="Y509" s="12"/>
      <c r="Z509" s="12"/>
      <c r="AA509" s="12"/>
      <c r="AB509" s="9"/>
      <c r="AC509" s="12"/>
      <c r="AD509" s="9"/>
      <c r="AE509" s="12"/>
      <c r="AF50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509" s="24"/>
      <c r="AH509" s="266"/>
      <c r="AI509" s="264" t="str">
        <f t="shared" si="86"/>
        <v>Jan</v>
      </c>
      <c r="AJ509" s="264"/>
      <c r="AK509" s="270" t="str">
        <f>Table4[[#This Row],[ကုန်သည်အမည်]]</f>
        <v>ဖြိုးဝေဝင်း</v>
      </c>
      <c r="AL509" s="270" t="str">
        <f>Table4[[#This Row],[Township]]</f>
        <v>Maw La Myaing</v>
      </c>
      <c r="AM509" s="271" t="str">
        <f>Table4[[#This Row],[WholeSales]]</f>
        <v>Van Sales</v>
      </c>
      <c r="AN509" s="272"/>
      <c r="AO509" s="273" t="str">
        <f>Table4[[#This Row],[StockName]]</f>
        <v>ဇေ Vodka</v>
      </c>
      <c r="AP509" s="268"/>
      <c r="AQ509" s="268">
        <f>Table4[[#This Row],[SalesBot]]</f>
        <v>140</v>
      </c>
      <c r="AR509" s="268">
        <f>Table4[[#This Row],[Liter]]</f>
        <v>89.600000000000009</v>
      </c>
    </row>
    <row r="510" spans="1:44" s="16" customFormat="1" hidden="1" x14ac:dyDescent="0.5">
      <c r="A510" s="3">
        <f t="shared" si="96"/>
        <v>2026</v>
      </c>
      <c r="B510" s="8">
        <f t="shared" si="97"/>
        <v>2</v>
      </c>
      <c r="C510" s="82">
        <v>46055</v>
      </c>
      <c r="D510" s="15">
        <f t="shared" ca="1" si="98"/>
        <v>46097</v>
      </c>
      <c r="E510" s="15" t="str">
        <f t="shared" ca="1" si="99"/>
        <v>1-Months</v>
      </c>
      <c r="F510" s="8" t="str">
        <f>VLOOKUP(N510,Stock[#Data],5,FALSE)</f>
        <v>BE</v>
      </c>
      <c r="G510" s="82" t="s">
        <v>1259</v>
      </c>
      <c r="H510" s="15"/>
      <c r="I510" s="7" t="s">
        <v>586</v>
      </c>
      <c r="J510" s="8" t="str">
        <f>VLOOKUP(I510,Customers[#Data],2,FALSE)</f>
        <v>ကိုကြီး</v>
      </c>
      <c r="K510" s="15" t="str">
        <f>VLOOKUP(I510,Customers[#Data],4,FALSE)</f>
        <v>Maw La Myaing</v>
      </c>
      <c r="L510" s="15" t="str">
        <f>VLOOKUP(I510,Customers[#Data],5,FALSE)</f>
        <v>Van Sales</v>
      </c>
      <c r="M510" s="7" t="s">
        <v>6</v>
      </c>
      <c r="N510" s="7" t="s">
        <v>516</v>
      </c>
      <c r="O510" s="14" t="str">
        <f>VLOOKUP(N510,Stock[#Data],2,FALSE)</f>
        <v>ဇေ Vodka</v>
      </c>
      <c r="P510" s="44">
        <f>VLOOKUP(N510,Stock[#Data],3,FALSE)</f>
        <v>0.64</v>
      </c>
      <c r="Q510" s="3">
        <f>VLOOKUP(N510,Stock[#Data],4,FALSE)</f>
        <v>14</v>
      </c>
      <c r="R510" s="11"/>
      <c r="S510" s="45">
        <f>IFERROR(Table4[[#This Row],[Bottle]]/Table4[[#This Row],[ပါဝင်မှု]]+Table4[[#This Row],[SalesPK]],0)</f>
        <v>25</v>
      </c>
      <c r="T510" s="12">
        <v>25</v>
      </c>
      <c r="U510" s="10">
        <f>Table4[[#This Row],[ပါဝင်မှု]]*Table4[[#This Row],[SalesPK]]+Table4[[#This Row],[Bottle]]</f>
        <v>350</v>
      </c>
      <c r="V510" s="10">
        <f>Table4[[#This Row],[SalesBot]]*Table4[[#This Row],[ML]]</f>
        <v>224</v>
      </c>
      <c r="W510" s="1">
        <f>VLOOKUP(N510,Stock[#Data],6,FALSE)</f>
        <v>1400</v>
      </c>
      <c r="X510" s="8">
        <f>+Table4[[#This Row],[SalesBot]]*Table4[[#This Row],[နှုံး]]</f>
        <v>490000</v>
      </c>
      <c r="Y510" s="12"/>
      <c r="Z510" s="12"/>
      <c r="AA510" s="12"/>
      <c r="AB510" s="9"/>
      <c r="AC510" s="12"/>
      <c r="AD510" s="9"/>
      <c r="AE510" s="12"/>
      <c r="AF51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490000</v>
      </c>
      <c r="AG510" s="24"/>
      <c r="AH510" s="266"/>
      <c r="AI510" s="264" t="str">
        <f t="shared" si="86"/>
        <v>Jan</v>
      </c>
      <c r="AJ510" s="264"/>
      <c r="AK510" s="270" t="str">
        <f>Table4[[#This Row],[ကုန်သည်အမည်]]</f>
        <v>ကိုကြီး</v>
      </c>
      <c r="AL510" s="270" t="str">
        <f>Table4[[#This Row],[Township]]</f>
        <v>Maw La Myaing</v>
      </c>
      <c r="AM510" s="271" t="str">
        <f>Table4[[#This Row],[WholeSales]]</f>
        <v>Van Sales</v>
      </c>
      <c r="AN510" s="272"/>
      <c r="AO510" s="273" t="str">
        <f>Table4[[#This Row],[StockName]]</f>
        <v>ဇေ Vodka</v>
      </c>
      <c r="AP510" s="268"/>
      <c r="AQ510" s="268">
        <f>Table4[[#This Row],[SalesBot]]</f>
        <v>350</v>
      </c>
      <c r="AR510" s="268">
        <f>Table4[[#This Row],[Liter]]</f>
        <v>224</v>
      </c>
    </row>
    <row r="511" spans="1:44" s="16" customFormat="1" hidden="1" x14ac:dyDescent="0.5">
      <c r="A511" s="3">
        <f t="shared" si="96"/>
        <v>2026</v>
      </c>
      <c r="B511" s="8">
        <f t="shared" si="97"/>
        <v>2</v>
      </c>
      <c r="C511" s="82">
        <v>46055</v>
      </c>
      <c r="D511" s="15">
        <f t="shared" ca="1" si="98"/>
        <v>46097</v>
      </c>
      <c r="E511" s="15" t="str">
        <f t="shared" ca="1" si="99"/>
        <v>1-Months</v>
      </c>
      <c r="F511" s="8" t="str">
        <f>VLOOKUP(N511,Stock[#Data],5,FALSE)</f>
        <v>BE</v>
      </c>
      <c r="G511" s="82" t="s">
        <v>1260</v>
      </c>
      <c r="H511" s="15"/>
      <c r="I511" s="7" t="s">
        <v>109</v>
      </c>
      <c r="J511" s="8" t="str">
        <f>VLOOKUP(I511,Customers[#Data],2,FALSE)</f>
        <v>ဦးမင်းလွင်</v>
      </c>
      <c r="K511" s="15" t="str">
        <f>VLOOKUP(I511,Customers[#Data],4,FALSE)</f>
        <v>Maw La Myaing</v>
      </c>
      <c r="L511" s="15" t="str">
        <f>VLOOKUP(I511,Customers[#Data],5,FALSE)</f>
        <v>WholeSales</v>
      </c>
      <c r="M511" s="7" t="s">
        <v>6</v>
      </c>
      <c r="N511" s="7" t="s">
        <v>521</v>
      </c>
      <c r="O511" s="14" t="str">
        <f>VLOOKUP(N511,Stock[#Data],2,FALSE)</f>
        <v>ဒဂုံအရက်သန့်</v>
      </c>
      <c r="P511" s="44">
        <f>VLOOKUP(N511,Stock[#Data],3,FALSE)</f>
        <v>0.64</v>
      </c>
      <c r="Q511" s="3">
        <f>VLOOKUP(N511,Stock[#Data],4,FALSE)</f>
        <v>24</v>
      </c>
      <c r="R511" s="11"/>
      <c r="S511" s="45">
        <f>IFERROR(Table4[[#This Row],[Bottle]]/Table4[[#This Row],[ပါဝင်မှု]]+Table4[[#This Row],[SalesPK]],0)</f>
        <v>20</v>
      </c>
      <c r="T511" s="12">
        <v>20</v>
      </c>
      <c r="U511" s="10">
        <f>Table4[[#This Row],[ပါဝင်မှု]]*Table4[[#This Row],[SalesPK]]+Table4[[#This Row],[Bottle]]</f>
        <v>480</v>
      </c>
      <c r="V511" s="10">
        <f>Table4[[#This Row],[SalesBot]]*Table4[[#This Row],[ML]]</f>
        <v>307.2</v>
      </c>
      <c r="W511" s="1">
        <f>VLOOKUP(N511,Stock[#Data],6,FALSE)</f>
        <v>1350</v>
      </c>
      <c r="X511" s="8">
        <f>+Table4[[#This Row],[SalesBot]]*Table4[[#This Row],[နှုံး]]</f>
        <v>648000</v>
      </c>
      <c r="Y511" s="12"/>
      <c r="Z511" s="12"/>
      <c r="AA511" s="12"/>
      <c r="AB511" s="9"/>
      <c r="AC511" s="12"/>
      <c r="AD511" s="9"/>
      <c r="AE511" s="12"/>
      <c r="AF51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648000</v>
      </c>
      <c r="AG511" s="24"/>
      <c r="AH511" s="266"/>
      <c r="AI511" s="264" t="str">
        <f t="shared" si="86"/>
        <v>Jan</v>
      </c>
      <c r="AJ511" s="264"/>
      <c r="AK511" s="270" t="str">
        <f>Table4[[#This Row],[ကုန်သည်အမည်]]</f>
        <v>ဦးမင်းလွင်</v>
      </c>
      <c r="AL511" s="270" t="str">
        <f>Table4[[#This Row],[Township]]</f>
        <v>Maw La Myaing</v>
      </c>
      <c r="AM511" s="271" t="str">
        <f>Table4[[#This Row],[WholeSales]]</f>
        <v>WholeSales</v>
      </c>
      <c r="AN511" s="272"/>
      <c r="AO511" s="273" t="str">
        <f>Table4[[#This Row],[StockName]]</f>
        <v>ဒဂုံအရက်သန့်</v>
      </c>
      <c r="AP511" s="268"/>
      <c r="AQ511" s="268">
        <f>Table4[[#This Row],[SalesBot]]</f>
        <v>480</v>
      </c>
      <c r="AR511" s="268">
        <f>Table4[[#This Row],[Liter]]</f>
        <v>307.2</v>
      </c>
    </row>
    <row r="512" spans="1:44" s="16" customFormat="1" hidden="1" x14ac:dyDescent="0.5">
      <c r="A512" s="3">
        <f t="shared" si="96"/>
        <v>2026</v>
      </c>
      <c r="B512" s="8">
        <f t="shared" si="97"/>
        <v>2</v>
      </c>
      <c r="C512" s="82">
        <v>46055</v>
      </c>
      <c r="D512" s="15">
        <f t="shared" ca="1" si="98"/>
        <v>46097</v>
      </c>
      <c r="E512" s="15" t="str">
        <f t="shared" ca="1" si="99"/>
        <v>1-Months</v>
      </c>
      <c r="F512" s="8" t="str">
        <f>VLOOKUP(N512,Stock[#Data],5,FALSE)</f>
        <v>BE</v>
      </c>
      <c r="G512" s="82" t="s">
        <v>1261</v>
      </c>
      <c r="H512" s="15"/>
      <c r="I512" s="7" t="s">
        <v>110</v>
      </c>
      <c r="J512" s="8" t="str">
        <f>VLOOKUP(I512,Customers[#Data],2,FALSE)</f>
        <v>ပြည့်လျှံ</v>
      </c>
      <c r="K512" s="15" t="str">
        <f>VLOOKUP(I512,Customers[#Data],4,FALSE)</f>
        <v>Maw La Myaing</v>
      </c>
      <c r="L512" s="15" t="str">
        <f>VLOOKUP(I512,Customers[#Data],5,FALSE)</f>
        <v>WholeSales</v>
      </c>
      <c r="M512" s="7" t="s">
        <v>6</v>
      </c>
      <c r="N512" s="7" t="s">
        <v>517</v>
      </c>
      <c r="O512" s="14" t="str">
        <f>VLOOKUP(N512,Stock[#Data],2,FALSE)</f>
        <v>ဇေယျဝတီ Red (1 Liter) 30%</v>
      </c>
      <c r="P512" s="44">
        <f>VLOOKUP(N512,Stock[#Data],3,FALSE)</f>
        <v>1</v>
      </c>
      <c r="Q512" s="3">
        <f>VLOOKUP(N512,Stock[#Data],4,FALSE)</f>
        <v>12</v>
      </c>
      <c r="R512" s="11"/>
      <c r="S512" s="45">
        <f>IFERROR(Table4[[#This Row],[Bottle]]/Table4[[#This Row],[ပါဝင်မှု]]+Table4[[#This Row],[SalesPK]],0)</f>
        <v>200</v>
      </c>
      <c r="T512" s="12">
        <v>200</v>
      </c>
      <c r="U512" s="10">
        <f>Table4[[#This Row],[ပါဝင်မှု]]*Table4[[#This Row],[SalesPK]]+Table4[[#This Row],[Bottle]]</f>
        <v>2400</v>
      </c>
      <c r="V512" s="10">
        <f>Table4[[#This Row],[SalesBot]]*Table4[[#This Row],[ML]]</f>
        <v>2400</v>
      </c>
      <c r="W512" s="1">
        <f>VLOOKUP(N512,Stock[#Data],6,FALSE)</f>
        <v>1710</v>
      </c>
      <c r="X512" s="8">
        <f>+Table4[[#This Row],[SalesBot]]*Table4[[#This Row],[နှုံး]]</f>
        <v>4104000</v>
      </c>
      <c r="Y512" s="12"/>
      <c r="Z512" s="12"/>
      <c r="AA512" s="12"/>
      <c r="AB512" s="9"/>
      <c r="AC512" s="12"/>
      <c r="AD512" s="9"/>
      <c r="AE512" s="12"/>
      <c r="AF51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4104000</v>
      </c>
      <c r="AG512" s="24"/>
      <c r="AH512" s="266"/>
      <c r="AI512" s="264" t="str">
        <f t="shared" si="86"/>
        <v>Jan</v>
      </c>
      <c r="AJ512" s="264"/>
      <c r="AK512" s="270" t="str">
        <f>Table4[[#This Row],[ကုန်သည်အမည်]]</f>
        <v>ပြည့်လျှံ</v>
      </c>
      <c r="AL512" s="270" t="str">
        <f>Table4[[#This Row],[Township]]</f>
        <v>Maw La Myaing</v>
      </c>
      <c r="AM512" s="271" t="str">
        <f>Table4[[#This Row],[WholeSales]]</f>
        <v>WholeSales</v>
      </c>
      <c r="AN512" s="272"/>
      <c r="AO512" s="273" t="str">
        <f>Table4[[#This Row],[StockName]]</f>
        <v>ဇေယျဝတီ Red (1 Liter) 30%</v>
      </c>
      <c r="AP512" s="268"/>
      <c r="AQ512" s="268">
        <f>Table4[[#This Row],[SalesBot]]</f>
        <v>2400</v>
      </c>
      <c r="AR512" s="268">
        <f>Table4[[#This Row],[Liter]]</f>
        <v>2400</v>
      </c>
    </row>
    <row r="513" spans="1:44" s="16" customFormat="1" hidden="1" x14ac:dyDescent="0.5">
      <c r="A513" s="3">
        <f t="shared" si="96"/>
        <v>2026</v>
      </c>
      <c r="B513" s="8">
        <f t="shared" si="97"/>
        <v>2</v>
      </c>
      <c r="C513" s="82">
        <v>46055</v>
      </c>
      <c r="D513" s="15">
        <f t="shared" ca="1" si="98"/>
        <v>46097</v>
      </c>
      <c r="E513" s="15" t="str">
        <f t="shared" ca="1" si="99"/>
        <v>1-Months</v>
      </c>
      <c r="F513" s="8" t="str">
        <f>VLOOKUP(N513,Stock[#Data],5,FALSE)</f>
        <v>BE</v>
      </c>
      <c r="G513" s="82" t="s">
        <v>1262</v>
      </c>
      <c r="H513" s="15"/>
      <c r="I513" s="7" t="s">
        <v>480</v>
      </c>
      <c r="J513" s="8" t="str">
        <f>VLOOKUP(I513,Customers[#Data],2,FALSE)</f>
        <v>ကိုဝင်းထွဋ်အောင်</v>
      </c>
      <c r="K513" s="15" t="str">
        <f>VLOOKUP(I513,Customers[#Data],4,FALSE)</f>
        <v>Maw La Myaing</v>
      </c>
      <c r="L513" s="15" t="str">
        <f>VLOOKUP(I513,Customers[#Data],5,FALSE)</f>
        <v>Van Sales</v>
      </c>
      <c r="M513" s="7" t="s">
        <v>6</v>
      </c>
      <c r="N513" s="7" t="s">
        <v>517</v>
      </c>
      <c r="O513" s="14" t="str">
        <f>VLOOKUP(N513,Stock[#Data],2,FALSE)</f>
        <v>ဇေယျဝတီ Red (1 Liter) 30%</v>
      </c>
      <c r="P513" s="44">
        <f>VLOOKUP(N513,Stock[#Data],3,FALSE)</f>
        <v>1</v>
      </c>
      <c r="Q513" s="3">
        <f>VLOOKUP(N513,Stock[#Data],4,FALSE)</f>
        <v>12</v>
      </c>
      <c r="R513" s="11"/>
      <c r="S513" s="45">
        <f>IFERROR(Table4[[#This Row],[Bottle]]/Table4[[#This Row],[ပါဝင်မှု]]+Table4[[#This Row],[SalesPK]],0)</f>
        <v>50</v>
      </c>
      <c r="T513" s="12">
        <v>50</v>
      </c>
      <c r="U513" s="10">
        <f>Table4[[#This Row],[ပါဝင်မှု]]*Table4[[#This Row],[SalesPK]]+Table4[[#This Row],[Bottle]]</f>
        <v>600</v>
      </c>
      <c r="V513" s="10">
        <f>Table4[[#This Row],[SalesBot]]*Table4[[#This Row],[ML]]</f>
        <v>600</v>
      </c>
      <c r="W513" s="1">
        <f>VLOOKUP(N513,Stock[#Data],6,FALSE)</f>
        <v>1710</v>
      </c>
      <c r="X513" s="8">
        <f>+Table4[[#This Row],[SalesBot]]*Table4[[#This Row],[နှုံး]]</f>
        <v>1026000</v>
      </c>
      <c r="Y513" s="12"/>
      <c r="Z513" s="12"/>
      <c r="AA513" s="12"/>
      <c r="AB513" s="9"/>
      <c r="AC513" s="12"/>
      <c r="AD513" s="9"/>
      <c r="AE513" s="12"/>
      <c r="AF51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513" s="24"/>
      <c r="AH513" s="266"/>
      <c r="AI513" s="264" t="str">
        <f t="shared" si="86"/>
        <v>Jan</v>
      </c>
      <c r="AJ513" s="264"/>
      <c r="AK513" s="270" t="str">
        <f>Table4[[#This Row],[ကုန်သည်အမည်]]</f>
        <v>ကိုဝင်းထွဋ်အောင်</v>
      </c>
      <c r="AL513" s="270" t="str">
        <f>Table4[[#This Row],[Township]]</f>
        <v>Maw La Myaing</v>
      </c>
      <c r="AM513" s="271" t="str">
        <f>Table4[[#This Row],[WholeSales]]</f>
        <v>Van Sales</v>
      </c>
      <c r="AN513" s="272"/>
      <c r="AO513" s="273" t="str">
        <f>Table4[[#This Row],[StockName]]</f>
        <v>ဇေယျဝတီ Red (1 Liter) 30%</v>
      </c>
      <c r="AP513" s="268"/>
      <c r="AQ513" s="268">
        <f>Table4[[#This Row],[SalesBot]]</f>
        <v>600</v>
      </c>
      <c r="AR513" s="268">
        <f>Table4[[#This Row],[Liter]]</f>
        <v>600</v>
      </c>
    </row>
    <row r="514" spans="1:44" s="16" customFormat="1" hidden="1" x14ac:dyDescent="0.5">
      <c r="A514" s="3">
        <f t="shared" si="92"/>
        <v>2026</v>
      </c>
      <c r="B514" s="8">
        <f t="shared" si="93"/>
        <v>2</v>
      </c>
      <c r="C514" s="82">
        <v>46055</v>
      </c>
      <c r="D514" s="15">
        <f t="shared" ca="1" si="94"/>
        <v>46097</v>
      </c>
      <c r="E514" s="15" t="str">
        <f t="shared" ca="1" si="95"/>
        <v>1-Months</v>
      </c>
      <c r="F514" s="8" t="str">
        <f>VLOOKUP(N514,Stock[#Data],5,FALSE)</f>
        <v>BE</v>
      </c>
      <c r="G514" s="82" t="s">
        <v>1262</v>
      </c>
      <c r="H514" s="15"/>
      <c r="I514" s="7" t="s">
        <v>480</v>
      </c>
      <c r="J514" s="8" t="str">
        <f>VLOOKUP(I514,Customers[#Data],2,FALSE)</f>
        <v>ကိုဝင်းထွဋ်အောင်</v>
      </c>
      <c r="K514" s="15" t="str">
        <f>VLOOKUP(I514,Customers[#Data],4,FALSE)</f>
        <v>Maw La Myaing</v>
      </c>
      <c r="L514" s="15" t="str">
        <f>VLOOKUP(I514,Customers[#Data],5,FALSE)</f>
        <v>Van Sales</v>
      </c>
      <c r="M514" s="7" t="s">
        <v>6</v>
      </c>
      <c r="N514" s="7" t="s">
        <v>516</v>
      </c>
      <c r="O514" s="14" t="str">
        <f>VLOOKUP(N514,Stock[#Data],2,FALSE)</f>
        <v>ဇေ Vodka</v>
      </c>
      <c r="P514" s="44">
        <f>VLOOKUP(N514,Stock[#Data],3,FALSE)</f>
        <v>0.64</v>
      </c>
      <c r="Q514" s="3">
        <f>VLOOKUP(N514,Stock[#Data],4,FALSE)</f>
        <v>14</v>
      </c>
      <c r="R514" s="11"/>
      <c r="S514" s="45">
        <f>IFERROR(Table4[[#This Row],[Bottle]]/Table4[[#This Row],[ပါဝင်မှု]]+Table4[[#This Row],[SalesPK]],0)</f>
        <v>5</v>
      </c>
      <c r="T514" s="12">
        <v>5</v>
      </c>
      <c r="U514" s="10">
        <f>Table4[[#This Row],[ပါဝင်မှု]]*Table4[[#This Row],[SalesPK]]+Table4[[#This Row],[Bottle]]</f>
        <v>70</v>
      </c>
      <c r="V514" s="10">
        <f>Table4[[#This Row],[SalesBot]]*Table4[[#This Row],[ML]]</f>
        <v>44.800000000000004</v>
      </c>
      <c r="W514" s="1">
        <f>VLOOKUP(N514,Stock[#Data],6,FALSE)</f>
        <v>1400</v>
      </c>
      <c r="X514" s="8">
        <f>+Table4[[#This Row],[SalesBot]]*Table4[[#This Row],[နှုံး]]</f>
        <v>98000</v>
      </c>
      <c r="Y514" s="12"/>
      <c r="Z514" s="12"/>
      <c r="AA514" s="12"/>
      <c r="AB514" s="9"/>
      <c r="AC514" s="12"/>
      <c r="AD514" s="9"/>
      <c r="AE514" s="12"/>
      <c r="AF51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</v>
      </c>
      <c r="AG514" s="24"/>
      <c r="AH514" s="266"/>
      <c r="AI514" s="264" t="str">
        <f t="shared" si="86"/>
        <v>Jan</v>
      </c>
      <c r="AJ514" s="264"/>
      <c r="AK514" s="270" t="str">
        <f>Table4[[#This Row],[ကုန်သည်အမည်]]</f>
        <v>ကိုဝင်းထွဋ်အောင်</v>
      </c>
      <c r="AL514" s="270" t="str">
        <f>Table4[[#This Row],[Township]]</f>
        <v>Maw La Myaing</v>
      </c>
      <c r="AM514" s="271" t="str">
        <f>Table4[[#This Row],[WholeSales]]</f>
        <v>Van Sales</v>
      </c>
      <c r="AN514" s="272"/>
      <c r="AO514" s="273" t="str">
        <f>Table4[[#This Row],[StockName]]</f>
        <v>ဇေ Vodka</v>
      </c>
      <c r="AP514" s="268"/>
      <c r="AQ514" s="268">
        <f>Table4[[#This Row],[SalesBot]]</f>
        <v>70</v>
      </c>
      <c r="AR514" s="268">
        <f>Table4[[#This Row],[Liter]]</f>
        <v>44.800000000000004</v>
      </c>
    </row>
    <row r="515" spans="1:44" s="16" customFormat="1" hidden="1" x14ac:dyDescent="0.5">
      <c r="A515" s="3">
        <f t="shared" si="88"/>
        <v>2026</v>
      </c>
      <c r="B515" s="8">
        <f t="shared" si="89"/>
        <v>2</v>
      </c>
      <c r="C515" s="82">
        <v>46055</v>
      </c>
      <c r="D515" s="15">
        <f t="shared" ca="1" si="90"/>
        <v>46097</v>
      </c>
      <c r="E515" s="15" t="str">
        <f t="shared" ca="1" si="91"/>
        <v>1-Months</v>
      </c>
      <c r="F515" s="8" t="str">
        <f>VLOOKUP(N515,Stock[#Data],5,FALSE)</f>
        <v>BE</v>
      </c>
      <c r="G515" s="82" t="s">
        <v>682</v>
      </c>
      <c r="H515" s="15"/>
      <c r="I515" s="49" t="s">
        <v>590</v>
      </c>
      <c r="J515" s="8" t="str">
        <f>VLOOKUP(I515,Customers[#Data],2,FALSE)</f>
        <v>ကိုနေကျော်</v>
      </c>
      <c r="K515" s="15" t="str">
        <f>VLOOKUP(I515,Customers[#Data],4,FALSE)</f>
        <v>Mudon</v>
      </c>
      <c r="L515" s="15" t="str">
        <f>VLOOKUP(I515,Customers[#Data],5,FALSE)</f>
        <v>Van Sales</v>
      </c>
      <c r="M515" s="7" t="s">
        <v>6</v>
      </c>
      <c r="N515" s="7" t="s">
        <v>518</v>
      </c>
      <c r="O515" s="14" t="str">
        <f>VLOOKUP(N515,Stock[#Data],2,FALSE)</f>
        <v>"ဇေ" ကော်ဘူး (1 Liter)</v>
      </c>
      <c r="P515" s="44">
        <f>VLOOKUP(N515,Stock[#Data],3,FALSE)</f>
        <v>1</v>
      </c>
      <c r="Q515" s="3">
        <f>VLOOKUP(N515,Stock[#Data],4,FALSE)</f>
        <v>12</v>
      </c>
      <c r="R515" s="11"/>
      <c r="S515" s="45">
        <f>IFERROR(Table4[[#This Row],[Bottle]]/Table4[[#This Row],[ပါဝင်မှု]]+Table4[[#This Row],[SalesPK]],0)</f>
        <v>10</v>
      </c>
      <c r="T515" s="12">
        <v>10</v>
      </c>
      <c r="U515" s="10">
        <f>Table4[[#This Row],[ပါဝင်မှု]]*Table4[[#This Row],[SalesPK]]+Table4[[#This Row],[Bottle]]</f>
        <v>120</v>
      </c>
      <c r="V515" s="10">
        <f>Table4[[#This Row],[SalesBot]]*Table4[[#This Row],[ML]]</f>
        <v>120</v>
      </c>
      <c r="W515" s="1">
        <f>VLOOKUP(N515,Stock[#Data],6,FALSE)</f>
        <v>1675</v>
      </c>
      <c r="X515" s="8">
        <f>+Table4[[#This Row],[SalesBot]]*Table4[[#This Row],[နှုံး]]</f>
        <v>201000</v>
      </c>
      <c r="Y515" s="12"/>
      <c r="Z515" s="12"/>
      <c r="AA515" s="12"/>
      <c r="AB515" s="9"/>
      <c r="AC515" s="12"/>
      <c r="AD515" s="9"/>
      <c r="AE515" s="12"/>
      <c r="AF51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201000</v>
      </c>
      <c r="AG515" s="24"/>
      <c r="AH515" s="266"/>
      <c r="AI515" s="264" t="str">
        <f t="shared" ref="AI515:AI612" si="100">TEXT(AH515,"mmm")</f>
        <v>Jan</v>
      </c>
      <c r="AJ515" s="264"/>
      <c r="AK515" s="270" t="str">
        <f>Table4[[#This Row],[ကုန်သည်အမည်]]</f>
        <v>ကိုနေကျော်</v>
      </c>
      <c r="AL515" s="270" t="str">
        <f>Table4[[#This Row],[Township]]</f>
        <v>Mudon</v>
      </c>
      <c r="AM515" s="271" t="str">
        <f>Table4[[#This Row],[WholeSales]]</f>
        <v>Van Sales</v>
      </c>
      <c r="AN515" s="272"/>
      <c r="AO515" s="273" t="str">
        <f>Table4[[#This Row],[StockName]]</f>
        <v>"ဇေ" ကော်ဘူး (1 Liter)</v>
      </c>
      <c r="AP515" s="268"/>
      <c r="AQ515" s="268">
        <f>Table4[[#This Row],[SalesBot]]</f>
        <v>120</v>
      </c>
      <c r="AR515" s="268">
        <f>Table4[[#This Row],[Liter]]</f>
        <v>120</v>
      </c>
    </row>
    <row r="516" spans="1:44" s="16" customFormat="1" hidden="1" x14ac:dyDescent="0.5">
      <c r="A516" s="3">
        <f t="shared" si="88"/>
        <v>2026</v>
      </c>
      <c r="B516" s="8">
        <f t="shared" si="89"/>
        <v>2</v>
      </c>
      <c r="C516" s="82">
        <v>46055</v>
      </c>
      <c r="D516" s="15">
        <f t="shared" ca="1" si="90"/>
        <v>46097</v>
      </c>
      <c r="E516" s="15" t="str">
        <f t="shared" ca="1" si="91"/>
        <v>1-Months</v>
      </c>
      <c r="F516" s="8" t="str">
        <f>VLOOKUP(N516,Stock[#Data],5,FALSE)</f>
        <v>BE</v>
      </c>
      <c r="G516" s="82" t="s">
        <v>1263</v>
      </c>
      <c r="H516" s="15"/>
      <c r="I516" s="7" t="s">
        <v>595</v>
      </c>
      <c r="J516" s="8" t="str">
        <f>VLOOKUP(I516,Customers[#Data],2,FALSE)</f>
        <v>နော်သင်းစုလှိုင်</v>
      </c>
      <c r="K516" s="15" t="str">
        <f>VLOOKUP(I516,Customers[#Data],4,FALSE)</f>
        <v>KawKareik</v>
      </c>
      <c r="L516" s="15" t="str">
        <f>VLOOKUP(I516,Customers[#Data],5,FALSE)</f>
        <v>Van Sales</v>
      </c>
      <c r="M516" s="7" t="s">
        <v>7</v>
      </c>
      <c r="N516" s="7" t="s">
        <v>518</v>
      </c>
      <c r="O516" s="14" t="str">
        <f>VLOOKUP(N516,Stock[#Data],2,FALSE)</f>
        <v>"ဇေ" ကော်ဘူး (1 Liter)</v>
      </c>
      <c r="P516" s="44">
        <f>VLOOKUP(N516,Stock[#Data],3,FALSE)</f>
        <v>1</v>
      </c>
      <c r="Q516" s="3">
        <f>VLOOKUP(N516,Stock[#Data],4,FALSE)</f>
        <v>12</v>
      </c>
      <c r="R516" s="11"/>
      <c r="S516" s="45">
        <f>IFERROR(Table4[[#This Row],[Bottle]]/Table4[[#This Row],[ပါဝင်မှု]]+Table4[[#This Row],[SalesPK]],0)</f>
        <v>5</v>
      </c>
      <c r="T516" s="12">
        <v>5</v>
      </c>
      <c r="U516" s="10">
        <f>Table4[[#This Row],[ပါဝင်မှု]]*Table4[[#This Row],[SalesPK]]+Table4[[#This Row],[Bottle]]</f>
        <v>60</v>
      </c>
      <c r="V516" s="10">
        <f>Table4[[#This Row],[SalesBot]]*Table4[[#This Row],[ML]]</f>
        <v>60</v>
      </c>
      <c r="W516" s="1">
        <f>VLOOKUP(N516,Stock[#Data],6,FALSE)</f>
        <v>1675</v>
      </c>
      <c r="X516" s="8">
        <f>+Table4[[#This Row],[SalesBot]]*Table4[[#This Row],[နှုံး]]</f>
        <v>100500</v>
      </c>
      <c r="Y516" s="12"/>
      <c r="Z516" s="12"/>
      <c r="AA516" s="12"/>
      <c r="AB516" s="9"/>
      <c r="AC516" s="12"/>
      <c r="AD516" s="9"/>
      <c r="AE516" s="12"/>
      <c r="AF51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516" s="24"/>
      <c r="AH516" s="266"/>
      <c r="AI516" s="264" t="str">
        <f t="shared" si="100"/>
        <v>Jan</v>
      </c>
      <c r="AJ516" s="264"/>
      <c r="AK516" s="270" t="str">
        <f>Table4[[#This Row],[ကုန်သည်အမည်]]</f>
        <v>နော်သင်းစုလှိုင်</v>
      </c>
      <c r="AL516" s="270" t="str">
        <f>Table4[[#This Row],[Township]]</f>
        <v>KawKareik</v>
      </c>
      <c r="AM516" s="271" t="str">
        <f>Table4[[#This Row],[WholeSales]]</f>
        <v>Van Sales</v>
      </c>
      <c r="AN516" s="272"/>
      <c r="AO516" s="273" t="str">
        <f>Table4[[#This Row],[StockName]]</f>
        <v>"ဇေ" ကော်ဘူး (1 Liter)</v>
      </c>
      <c r="AP516" s="268"/>
      <c r="AQ516" s="268">
        <f>Table4[[#This Row],[SalesBot]]</f>
        <v>60</v>
      </c>
      <c r="AR516" s="268">
        <f>Table4[[#This Row],[Liter]]</f>
        <v>60</v>
      </c>
    </row>
    <row r="517" spans="1:44" s="16" customFormat="1" hidden="1" x14ac:dyDescent="0.5">
      <c r="A517" s="3">
        <f t="shared" si="40"/>
        <v>2026</v>
      </c>
      <c r="B517" s="8">
        <f t="shared" si="41"/>
        <v>2</v>
      </c>
      <c r="C517" s="6">
        <v>46056</v>
      </c>
      <c r="D517" s="15">
        <f t="shared" ca="1" si="42"/>
        <v>46097</v>
      </c>
      <c r="E517" s="15" t="str">
        <f t="shared" ca="1" si="43"/>
        <v>1-Months</v>
      </c>
      <c r="F517" s="8" t="str">
        <f>VLOOKUP(N517,Stock[#Data],5,FALSE)</f>
        <v>BE</v>
      </c>
      <c r="G517" s="82" t="s">
        <v>1264</v>
      </c>
      <c r="H517" s="15"/>
      <c r="I517" s="7" t="s">
        <v>101</v>
      </c>
      <c r="J517" s="8" t="str">
        <f>VLOOKUP(I517,Customers[#Data],2,FALSE)</f>
        <v>ကိုမောင်+မသူဇာ</v>
      </c>
      <c r="K517" s="15" t="str">
        <f>VLOOKUP(I517,Customers[#Data],4,FALSE)</f>
        <v>Yay</v>
      </c>
      <c r="L517" s="15" t="str">
        <f>VLOOKUP(I517,Customers[#Data],5,FALSE)</f>
        <v>WholeSales</v>
      </c>
      <c r="M517" s="7" t="s">
        <v>7</v>
      </c>
      <c r="N517" s="7" t="s">
        <v>517</v>
      </c>
      <c r="O517" s="14" t="str">
        <f>VLOOKUP(N517,Stock[#Data],2,FALSE)</f>
        <v>ဇေယျဝတီ Red (1 Liter) 30%</v>
      </c>
      <c r="P517" s="44">
        <f>VLOOKUP(N517,Stock[#Data],3,FALSE)</f>
        <v>1</v>
      </c>
      <c r="Q517" s="3">
        <f>VLOOKUP(N517,Stock[#Data],4,FALSE)</f>
        <v>12</v>
      </c>
      <c r="R517" s="11"/>
      <c r="S517" s="45">
        <f>IFERROR(Table4[[#This Row],[Bottle]]/Table4[[#This Row],[ပါဝင်မှု]]+Table4[[#This Row],[SalesPK]],0)</f>
        <v>30</v>
      </c>
      <c r="T517" s="12">
        <v>30</v>
      </c>
      <c r="U517" s="10">
        <f>Table4[[#This Row],[ပါဝင်မှု]]*Table4[[#This Row],[SalesPK]]+Table4[[#This Row],[Bottle]]</f>
        <v>360</v>
      </c>
      <c r="V517" s="10">
        <f>Table4[[#This Row],[SalesBot]]*Table4[[#This Row],[ML]]</f>
        <v>360</v>
      </c>
      <c r="W517" s="1">
        <f>VLOOKUP(N517,Stock[#Data],6,FALSE)</f>
        <v>1710</v>
      </c>
      <c r="X517" s="8">
        <f>+Table4[[#This Row],[SalesBot]]*Table4[[#This Row],[နှုံး]]</f>
        <v>615600</v>
      </c>
      <c r="Y517" s="12"/>
      <c r="Z517" s="12"/>
      <c r="AA517" s="12"/>
      <c r="AB517" s="9"/>
      <c r="AC517" s="12"/>
      <c r="AD517" s="9"/>
      <c r="AE517" s="12"/>
      <c r="AF51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615600</v>
      </c>
      <c r="AG517" s="24"/>
      <c r="AH517" s="266">
        <f>Table4[[#This Row],[Date]]</f>
        <v>46056</v>
      </c>
      <c r="AI517" s="264" t="str">
        <f t="shared" si="100"/>
        <v>Feb</v>
      </c>
      <c r="AJ517" s="264" t="str">
        <f t="shared" ref="AJ517:AJ612" si="101">TEXT(AH517,"yyyy")</f>
        <v>2026</v>
      </c>
      <c r="AK517" s="270" t="str">
        <f>Table4[[#This Row],[ကုန်သည်အမည်]]</f>
        <v>ကိုမောင်+မသူဇာ</v>
      </c>
      <c r="AL517" s="270" t="str">
        <f>Table4[[#This Row],[Township]]</f>
        <v>Yay</v>
      </c>
      <c r="AM517" s="271" t="str">
        <f>Table4[[#This Row],[WholeSales]]</f>
        <v>WholeSales</v>
      </c>
      <c r="AN517" s="272" t="str">
        <f>Table4[[#This Row],[Particular]]</f>
        <v>ကုန်ရောင်း(အကြွေး)</v>
      </c>
      <c r="AO517" s="273" t="str">
        <f>Table4[[#This Row],[StockName]]</f>
        <v>ဇေယျဝတီ Red (1 Liter) 30%</v>
      </c>
      <c r="AP517" s="268">
        <f>Table4[[#This Row],[Parking]]</f>
        <v>30</v>
      </c>
      <c r="AQ517" s="268">
        <f>Table4[[#This Row],[SalesBot]]</f>
        <v>360</v>
      </c>
      <c r="AR517" s="268">
        <f>Table4[[#This Row],[Liter]]</f>
        <v>360</v>
      </c>
    </row>
    <row r="518" spans="1:44" s="16" customFormat="1" hidden="1" x14ac:dyDescent="0.5">
      <c r="A518" s="3">
        <f t="shared" ref="A518:A610" si="102">YEAR(C518)</f>
        <v>2026</v>
      </c>
      <c r="B518" s="8">
        <f t="shared" ref="B518:B610" si="103">MONTH(C518)</f>
        <v>2</v>
      </c>
      <c r="C518" s="6">
        <v>46056</v>
      </c>
      <c r="D518" s="15">
        <f t="shared" ref="D518:D610" ca="1" si="104">TODAY()</f>
        <v>46097</v>
      </c>
      <c r="E518" s="15" t="str">
        <f t="shared" ref="E518:E610" ca="1" si="105">DATEDIF(C518,D518,"M")&amp;"-Months"</f>
        <v>1-Months</v>
      </c>
      <c r="F518" s="8" t="str">
        <f>VLOOKUP(N518,Stock[#Data],5,FALSE)</f>
        <v>BE</v>
      </c>
      <c r="G518" s="82" t="s">
        <v>1265</v>
      </c>
      <c r="H518" s="15"/>
      <c r="I518" s="7" t="s">
        <v>95</v>
      </c>
      <c r="J518" s="8" t="str">
        <f>VLOOKUP(I518,Customers[#Data],2,FALSE)</f>
        <v>ကျော်စတား</v>
      </c>
      <c r="K518" s="15" t="str">
        <f>VLOOKUP(I518,Customers[#Data],4,FALSE)</f>
        <v>Yay</v>
      </c>
      <c r="L518" s="15" t="str">
        <f>VLOOKUP(I518,Customers[#Data],5,FALSE)</f>
        <v>WholeSales</v>
      </c>
      <c r="M518" s="7" t="s">
        <v>7</v>
      </c>
      <c r="N518" s="7" t="s">
        <v>514</v>
      </c>
      <c r="O518" s="14" t="str">
        <f>VLOOKUP(N518,Stock[#Data],2,FALSE)</f>
        <v>ဇေယျဝတီ Red</v>
      </c>
      <c r="P518" s="44">
        <f>VLOOKUP(N518,Stock[#Data],3,FALSE)</f>
        <v>0.64</v>
      </c>
      <c r="Q518" s="3">
        <f>VLOOKUP(N518,Stock[#Data],4,FALSE)</f>
        <v>14</v>
      </c>
      <c r="R518" s="11"/>
      <c r="S518" s="45">
        <f>IFERROR(Table4[[#This Row],[Bottle]]/Table4[[#This Row],[ပါဝင်မှု]]+Table4[[#This Row],[SalesPK]],0)</f>
        <v>200</v>
      </c>
      <c r="T518" s="12">
        <v>200</v>
      </c>
      <c r="U518" s="10">
        <f>Table4[[#This Row],[ပါဝင်မှု]]*Table4[[#This Row],[SalesPK]]+Table4[[#This Row],[Bottle]]</f>
        <v>2800</v>
      </c>
      <c r="V518" s="10">
        <f>Table4[[#This Row],[SalesBot]]*Table4[[#This Row],[ML]]</f>
        <v>1792</v>
      </c>
      <c r="W518" s="1">
        <f>VLOOKUP(N518,Stock[#Data],6,FALSE)</f>
        <v>1350</v>
      </c>
      <c r="X518" s="8">
        <f>+Table4[[#This Row],[SalesBot]]*Table4[[#This Row],[နှုံး]]</f>
        <v>3780000</v>
      </c>
      <c r="Y518" s="12"/>
      <c r="Z518" s="12"/>
      <c r="AA518" s="12"/>
      <c r="AB518" s="9"/>
      <c r="AC518" s="12"/>
      <c r="AD518" s="9"/>
      <c r="AE518" s="12"/>
      <c r="AF51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3780000</v>
      </c>
      <c r="AG518" s="24"/>
      <c r="AH518" s="266">
        <f>Table4[[#This Row],[Date]]</f>
        <v>46056</v>
      </c>
      <c r="AI518" s="264" t="str">
        <f t="shared" si="100"/>
        <v>Feb</v>
      </c>
      <c r="AJ518" s="264" t="str">
        <f t="shared" si="101"/>
        <v>2026</v>
      </c>
      <c r="AK518" s="270" t="str">
        <f>Table4[[#This Row],[ကုန်သည်အမည်]]</f>
        <v>ကျော်စတား</v>
      </c>
      <c r="AL518" s="270" t="str">
        <f>Table4[[#This Row],[Township]]</f>
        <v>Yay</v>
      </c>
      <c r="AM518" s="271" t="str">
        <f>Table4[[#This Row],[WholeSales]]</f>
        <v>WholeSales</v>
      </c>
      <c r="AN518" s="272" t="str">
        <f>Table4[[#This Row],[Particular]]</f>
        <v>ကုန်ရောင်း(အကြွေး)</v>
      </c>
      <c r="AO518" s="273" t="str">
        <f>Table4[[#This Row],[StockName]]</f>
        <v>ဇေယျဝတီ Red</v>
      </c>
      <c r="AP518" s="268">
        <f>Table4[[#This Row],[Parking]]</f>
        <v>200</v>
      </c>
      <c r="AQ518" s="268">
        <f>Table4[[#This Row],[SalesBot]]</f>
        <v>2800</v>
      </c>
      <c r="AR518" s="268">
        <f>Table4[[#This Row],[Liter]]</f>
        <v>1792</v>
      </c>
    </row>
    <row r="519" spans="1:44" s="16" customFormat="1" hidden="1" x14ac:dyDescent="0.5">
      <c r="A519" s="3">
        <f t="shared" si="102"/>
        <v>2026</v>
      </c>
      <c r="B519" s="8">
        <f t="shared" si="103"/>
        <v>2</v>
      </c>
      <c r="C519" s="6">
        <v>46056</v>
      </c>
      <c r="D519" s="15">
        <f t="shared" ca="1" si="104"/>
        <v>46097</v>
      </c>
      <c r="E519" s="15" t="str">
        <f t="shared" ca="1" si="105"/>
        <v>1-Months</v>
      </c>
      <c r="F519" s="8" t="str">
        <f>VLOOKUP(N519,Stock[#Data],5,FALSE)</f>
        <v>BE</v>
      </c>
      <c r="G519" s="82" t="s">
        <v>1266</v>
      </c>
      <c r="H519" s="15"/>
      <c r="I519" s="7" t="s">
        <v>106</v>
      </c>
      <c r="J519" s="8" t="str">
        <f>VLOOKUP(I519,Customers[#Data],2,FALSE)</f>
        <v>ကိုမျိုးအောင်</v>
      </c>
      <c r="K519" s="15" t="str">
        <f>VLOOKUP(I519,Customers[#Data],4,FALSE)</f>
        <v>Maw La Myaing</v>
      </c>
      <c r="L519" s="15" t="str">
        <f>VLOOKUP(I519,Customers[#Data],5,FALSE)</f>
        <v>WholeSales</v>
      </c>
      <c r="M519" s="7" t="s">
        <v>6</v>
      </c>
      <c r="N519" s="7" t="s">
        <v>516</v>
      </c>
      <c r="O519" s="14" t="str">
        <f>VLOOKUP(N519,Stock[#Data],2,FALSE)</f>
        <v>ဇေ Vodka</v>
      </c>
      <c r="P519" s="44">
        <f>VLOOKUP(N519,Stock[#Data],3,FALSE)</f>
        <v>0.64</v>
      </c>
      <c r="Q519" s="3">
        <f>VLOOKUP(N519,Stock[#Data],4,FALSE)</f>
        <v>14</v>
      </c>
      <c r="R519" s="11"/>
      <c r="S519" s="45">
        <f>IFERROR(Table4[[#This Row],[Bottle]]/Table4[[#This Row],[ပါဝင်မှု]]+Table4[[#This Row],[SalesPK]],0)</f>
        <v>20</v>
      </c>
      <c r="T519" s="12">
        <v>20</v>
      </c>
      <c r="U519" s="10">
        <f>Table4[[#This Row],[ပါဝင်မှု]]*Table4[[#This Row],[SalesPK]]+Table4[[#This Row],[Bottle]]</f>
        <v>280</v>
      </c>
      <c r="V519" s="10">
        <f>Table4[[#This Row],[SalesBot]]*Table4[[#This Row],[ML]]</f>
        <v>179.20000000000002</v>
      </c>
      <c r="W519" s="1">
        <f>VLOOKUP(N519,Stock[#Data],6,FALSE)</f>
        <v>1400</v>
      </c>
      <c r="X519" s="8">
        <f>+Table4[[#This Row],[SalesBot]]*Table4[[#This Row],[နှုံး]]</f>
        <v>392000</v>
      </c>
      <c r="Y519" s="12"/>
      <c r="Z519" s="12"/>
      <c r="AA519" s="12"/>
      <c r="AB519" s="9"/>
      <c r="AC519" s="12"/>
      <c r="AD519" s="9"/>
      <c r="AE519" s="12"/>
      <c r="AF51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392000</v>
      </c>
      <c r="AG519" s="24"/>
      <c r="AH519" s="266">
        <f>Table4[[#This Row],[Date]]</f>
        <v>46056</v>
      </c>
      <c r="AI519" s="264" t="str">
        <f t="shared" si="100"/>
        <v>Feb</v>
      </c>
      <c r="AJ519" s="264" t="str">
        <f t="shared" si="101"/>
        <v>2026</v>
      </c>
      <c r="AK519" s="270" t="str">
        <f>Table4[[#This Row],[ကုန်သည်အမည်]]</f>
        <v>ကိုမျိုးအောင်</v>
      </c>
      <c r="AL519" s="270" t="str">
        <f>Table4[[#This Row],[Township]]</f>
        <v>Maw La Myaing</v>
      </c>
      <c r="AM519" s="271" t="str">
        <f>Table4[[#This Row],[WholeSales]]</f>
        <v>WholeSales</v>
      </c>
      <c r="AN519" s="272" t="str">
        <f>Table4[[#This Row],[Particular]]</f>
        <v>ကုန်ရောင်း(လက်ငင်း)</v>
      </c>
      <c r="AO519" s="273" t="str">
        <f>Table4[[#This Row],[StockName]]</f>
        <v>ဇေ Vodka</v>
      </c>
      <c r="AP519" s="268">
        <f>Table4[[#This Row],[Parking]]</f>
        <v>20</v>
      </c>
      <c r="AQ519" s="268">
        <f>Table4[[#This Row],[SalesBot]]</f>
        <v>280</v>
      </c>
      <c r="AR519" s="268">
        <f>Table4[[#This Row],[Liter]]</f>
        <v>179.20000000000002</v>
      </c>
    </row>
    <row r="520" spans="1:44" s="16" customFormat="1" hidden="1" x14ac:dyDescent="0.5">
      <c r="A520" s="3">
        <f t="shared" si="102"/>
        <v>2026</v>
      </c>
      <c r="B520" s="8">
        <f t="shared" si="103"/>
        <v>2</v>
      </c>
      <c r="C520" s="6">
        <v>46056</v>
      </c>
      <c r="D520" s="15">
        <f t="shared" ca="1" si="104"/>
        <v>46097</v>
      </c>
      <c r="E520" s="15" t="str">
        <f t="shared" ca="1" si="105"/>
        <v>1-Months</v>
      </c>
      <c r="F520" s="8" t="str">
        <f>VLOOKUP(N520,Stock[#Data],5,FALSE)</f>
        <v>BE</v>
      </c>
      <c r="G520" s="82" t="s">
        <v>1267</v>
      </c>
      <c r="H520" s="15"/>
      <c r="I520" s="7" t="s">
        <v>541</v>
      </c>
      <c r="J520" s="8" t="str">
        <f>VLOOKUP(I520,Customers[#Data],2,FALSE)</f>
        <v>ကိုကျော်ရွှေ</v>
      </c>
      <c r="K520" s="15" t="str">
        <f>VLOOKUP(I520,Customers[#Data],4,FALSE)</f>
        <v>Mudon</v>
      </c>
      <c r="L520" s="15" t="str">
        <f>VLOOKUP(I520,Customers[#Data],5,FALSE)</f>
        <v>SemiWholeSales</v>
      </c>
      <c r="M520" s="7" t="s">
        <v>6</v>
      </c>
      <c r="N520" s="7" t="s">
        <v>520</v>
      </c>
      <c r="O520" s="14" t="str">
        <f>VLOOKUP(N520,Stock[#Data],2,FALSE)</f>
        <v>ဇေယျဝတီ  Red(ပု)</v>
      </c>
      <c r="P520" s="44">
        <f>VLOOKUP(N520,Stock[#Data],3,FALSE)</f>
        <v>0.64</v>
      </c>
      <c r="Q520" s="3">
        <f>VLOOKUP(N520,Stock[#Data],4,FALSE)</f>
        <v>14</v>
      </c>
      <c r="R520" s="11"/>
      <c r="S520" s="45">
        <f>IFERROR(Table4[[#This Row],[Bottle]]/Table4[[#This Row],[ပါဝင်မှု]]+Table4[[#This Row],[SalesPK]],0)</f>
        <v>50</v>
      </c>
      <c r="T520" s="12">
        <v>50</v>
      </c>
      <c r="U520" s="10">
        <f>Table4[[#This Row],[ပါဝင်မှု]]*Table4[[#This Row],[SalesPK]]+Table4[[#This Row],[Bottle]]</f>
        <v>700</v>
      </c>
      <c r="V520" s="10">
        <f>Table4[[#This Row],[SalesBot]]*Table4[[#This Row],[ML]]</f>
        <v>448</v>
      </c>
      <c r="W520" s="1">
        <f>VLOOKUP(N520,Stock[#Data],6,FALSE)</f>
        <v>1800</v>
      </c>
      <c r="X520" s="8">
        <f>+Table4[[#This Row],[SalesBot]]*Table4[[#This Row],[နှုံး]]</f>
        <v>1260000</v>
      </c>
      <c r="Y520" s="12"/>
      <c r="Z520" s="12"/>
      <c r="AA520" s="12"/>
      <c r="AB520" s="9"/>
      <c r="AC520" s="12"/>
      <c r="AD520" s="9"/>
      <c r="AE520" s="12"/>
      <c r="AF52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520" s="24"/>
      <c r="AH520" s="266">
        <f>Table4[[#This Row],[Date]]</f>
        <v>46056</v>
      </c>
      <c r="AI520" s="264" t="str">
        <f t="shared" si="100"/>
        <v>Feb</v>
      </c>
      <c r="AJ520" s="264" t="str">
        <f t="shared" si="101"/>
        <v>2026</v>
      </c>
      <c r="AK520" s="270" t="str">
        <f>Table4[[#This Row],[ကုန်သည်အမည်]]</f>
        <v>ကိုကျော်ရွှေ</v>
      </c>
      <c r="AL520" s="270" t="str">
        <f>Table4[[#This Row],[Township]]</f>
        <v>Mudon</v>
      </c>
      <c r="AM520" s="271" t="str">
        <f>Table4[[#This Row],[WholeSales]]</f>
        <v>SemiWholeSales</v>
      </c>
      <c r="AN520" s="272" t="str">
        <f>Table4[[#This Row],[Particular]]</f>
        <v>ကုန်ရောင်း(လက်ငင်း)</v>
      </c>
      <c r="AO520" s="273" t="str">
        <f>Table4[[#This Row],[StockName]]</f>
        <v>ဇေယျဝတီ  Red(ပု)</v>
      </c>
      <c r="AP520" s="268">
        <f>Table4[[#This Row],[Parking]]</f>
        <v>50</v>
      </c>
      <c r="AQ520" s="268">
        <f>Table4[[#This Row],[SalesBot]]</f>
        <v>700</v>
      </c>
      <c r="AR520" s="268">
        <f>Table4[[#This Row],[Liter]]</f>
        <v>448</v>
      </c>
    </row>
    <row r="521" spans="1:44" s="16" customFormat="1" hidden="1" x14ac:dyDescent="0.5">
      <c r="A521" s="3">
        <f t="shared" si="102"/>
        <v>2026</v>
      </c>
      <c r="B521" s="8">
        <f t="shared" si="103"/>
        <v>2</v>
      </c>
      <c r="C521" s="6">
        <v>46056</v>
      </c>
      <c r="D521" s="15">
        <f t="shared" ca="1" si="104"/>
        <v>46097</v>
      </c>
      <c r="E521" s="15" t="str">
        <f t="shared" ca="1" si="105"/>
        <v>1-Months</v>
      </c>
      <c r="F521" s="8" t="str">
        <f>VLOOKUP(N521,Stock[#Data],5,FALSE)</f>
        <v>BE</v>
      </c>
      <c r="G521" s="82" t="s">
        <v>1268</v>
      </c>
      <c r="H521" s="15"/>
      <c r="I521" s="7" t="s">
        <v>563</v>
      </c>
      <c r="J521" s="8" t="str">
        <f>VLOOKUP(I521,Customers[#Data],2,FALSE)</f>
        <v>အမောင်</v>
      </c>
      <c r="K521" s="15" t="str">
        <f>VLOOKUP(I521,Customers[#Data],4,FALSE)</f>
        <v>Mudon</v>
      </c>
      <c r="L521" s="15" t="str">
        <f>VLOOKUP(I521,Customers[#Data],5,FALSE)</f>
        <v>Van Sales</v>
      </c>
      <c r="M521" s="7" t="s">
        <v>6</v>
      </c>
      <c r="N521" s="7" t="s">
        <v>520</v>
      </c>
      <c r="O521" s="14" t="str">
        <f>VLOOKUP(N521,Stock[#Data],2,FALSE)</f>
        <v>ဇေယျဝတီ  Red(ပု)</v>
      </c>
      <c r="P521" s="44">
        <f>VLOOKUP(N521,Stock[#Data],3,FALSE)</f>
        <v>0.64</v>
      </c>
      <c r="Q521" s="3">
        <f>VLOOKUP(N521,Stock[#Data],4,FALSE)</f>
        <v>14</v>
      </c>
      <c r="R521" s="11"/>
      <c r="S521" s="45">
        <f>IFERROR(Table4[[#This Row],[Bottle]]/Table4[[#This Row],[ပါဝင်မှု]]+Table4[[#This Row],[SalesPK]],0)</f>
        <v>25</v>
      </c>
      <c r="T521" s="12">
        <v>25</v>
      </c>
      <c r="U521" s="10">
        <f>Table4[[#This Row],[ပါဝင်မှု]]*Table4[[#This Row],[SalesPK]]+Table4[[#This Row],[Bottle]]</f>
        <v>350</v>
      </c>
      <c r="V521" s="10">
        <f>Table4[[#This Row],[SalesBot]]*Table4[[#This Row],[ML]]</f>
        <v>224</v>
      </c>
      <c r="W521" s="1">
        <f>VLOOKUP(N521,Stock[#Data],6,FALSE)</f>
        <v>1800</v>
      </c>
      <c r="X521" s="8">
        <f>+Table4[[#This Row],[SalesBot]]*Table4[[#This Row],[နှုံး]]</f>
        <v>630000</v>
      </c>
      <c r="Y521" s="12"/>
      <c r="Z521" s="12"/>
      <c r="AA521" s="12"/>
      <c r="AB521" s="9"/>
      <c r="AC521" s="12"/>
      <c r="AD521" s="9"/>
      <c r="AE521" s="12"/>
      <c r="AF52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630000</v>
      </c>
      <c r="AG521" s="24"/>
      <c r="AH521" s="266">
        <f>Table4[[#This Row],[Date]]</f>
        <v>46056</v>
      </c>
      <c r="AI521" s="264" t="str">
        <f t="shared" si="100"/>
        <v>Feb</v>
      </c>
      <c r="AJ521" s="264" t="str">
        <f t="shared" si="101"/>
        <v>2026</v>
      </c>
      <c r="AK521" s="270" t="str">
        <f>Table4[[#This Row],[ကုန်သည်အမည်]]</f>
        <v>အမောင်</v>
      </c>
      <c r="AL521" s="270" t="str">
        <f>Table4[[#This Row],[Township]]</f>
        <v>Mudon</v>
      </c>
      <c r="AM521" s="271" t="str">
        <f>Table4[[#This Row],[WholeSales]]</f>
        <v>Van Sales</v>
      </c>
      <c r="AN521" s="272" t="str">
        <f>Table4[[#This Row],[Particular]]</f>
        <v>ကုန်ရောင်း(လက်ငင်း)</v>
      </c>
      <c r="AO521" s="273" t="str">
        <f>Table4[[#This Row],[StockName]]</f>
        <v>ဇေယျဝတီ  Red(ပု)</v>
      </c>
      <c r="AP521" s="268">
        <f>Table4[[#This Row],[Parking]]</f>
        <v>25</v>
      </c>
      <c r="AQ521" s="268">
        <f>Table4[[#This Row],[SalesBot]]</f>
        <v>350</v>
      </c>
      <c r="AR521" s="268">
        <f>Table4[[#This Row],[Liter]]</f>
        <v>224</v>
      </c>
    </row>
    <row r="522" spans="1:44" s="16" customFormat="1" hidden="1" x14ac:dyDescent="0.5">
      <c r="A522" s="3">
        <f t="shared" si="102"/>
        <v>2026</v>
      </c>
      <c r="B522" s="8">
        <f t="shared" si="103"/>
        <v>2</v>
      </c>
      <c r="C522" s="6">
        <v>46056</v>
      </c>
      <c r="D522" s="15">
        <f t="shared" ca="1" si="104"/>
        <v>46097</v>
      </c>
      <c r="E522" s="15" t="str">
        <f t="shared" ca="1" si="105"/>
        <v>1-Months</v>
      </c>
      <c r="F522" s="8" t="str">
        <f>VLOOKUP(N522,Stock[#Data],5,FALSE)</f>
        <v>BE</v>
      </c>
      <c r="G522" s="82" t="s">
        <v>1269</v>
      </c>
      <c r="H522" s="15"/>
      <c r="I522" s="7" t="s">
        <v>109</v>
      </c>
      <c r="J522" s="8" t="str">
        <f>VLOOKUP(I522,Customers[#Data],2,FALSE)</f>
        <v>ဦးမင်းလွင်</v>
      </c>
      <c r="K522" s="15" t="str">
        <f>VLOOKUP(I522,Customers[#Data],4,FALSE)</f>
        <v>Maw La Myaing</v>
      </c>
      <c r="L522" s="15" t="str">
        <f>VLOOKUP(I522,Customers[#Data],5,FALSE)</f>
        <v>WholeSales</v>
      </c>
      <c r="M522" s="7" t="s">
        <v>6</v>
      </c>
      <c r="N522" s="7" t="s">
        <v>521</v>
      </c>
      <c r="O522" s="14" t="str">
        <f>VLOOKUP(N522,Stock[#Data],2,FALSE)</f>
        <v>ဒဂုံအရက်သန့်</v>
      </c>
      <c r="P522" s="44">
        <f>VLOOKUP(N522,Stock[#Data],3,FALSE)</f>
        <v>0.64</v>
      </c>
      <c r="Q522" s="3">
        <f>VLOOKUP(N522,Stock[#Data],4,FALSE)</f>
        <v>24</v>
      </c>
      <c r="R522" s="11"/>
      <c r="S522" s="45">
        <f>IFERROR(Table4[[#This Row],[Bottle]]/Table4[[#This Row],[ပါဝင်မှု]]+Table4[[#This Row],[SalesPK]],0)</f>
        <v>30</v>
      </c>
      <c r="T522" s="12">
        <v>30</v>
      </c>
      <c r="U522" s="10">
        <f>Table4[[#This Row],[ပါဝင်မှု]]*Table4[[#This Row],[SalesPK]]+Table4[[#This Row],[Bottle]]</f>
        <v>720</v>
      </c>
      <c r="V522" s="10">
        <f>Table4[[#This Row],[SalesBot]]*Table4[[#This Row],[ML]]</f>
        <v>460.8</v>
      </c>
      <c r="W522" s="1">
        <f>VLOOKUP(N522,Stock[#Data],6,FALSE)</f>
        <v>1350</v>
      </c>
      <c r="X522" s="8">
        <f>+Table4[[#This Row],[SalesBot]]*Table4[[#This Row],[နှုံး]]</f>
        <v>972000</v>
      </c>
      <c r="Y522" s="12"/>
      <c r="Z522" s="12"/>
      <c r="AA522" s="12"/>
      <c r="AB522" s="9"/>
      <c r="AC522" s="12"/>
      <c r="AD522" s="9"/>
      <c r="AE522" s="12"/>
      <c r="AF52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972000</v>
      </c>
      <c r="AG522" s="24"/>
      <c r="AH522" s="266">
        <f>Table4[[#This Row],[Date]]</f>
        <v>46056</v>
      </c>
      <c r="AI522" s="264" t="str">
        <f t="shared" si="100"/>
        <v>Feb</v>
      </c>
      <c r="AJ522" s="264" t="str">
        <f t="shared" si="101"/>
        <v>2026</v>
      </c>
      <c r="AK522" s="270" t="str">
        <f>Table4[[#This Row],[ကုန်သည်အမည်]]</f>
        <v>ဦးမင်းလွင်</v>
      </c>
      <c r="AL522" s="270" t="str">
        <f>Table4[[#This Row],[Township]]</f>
        <v>Maw La Myaing</v>
      </c>
      <c r="AM522" s="271" t="str">
        <f>Table4[[#This Row],[WholeSales]]</f>
        <v>WholeSales</v>
      </c>
      <c r="AN522" s="272" t="str">
        <f>Table4[[#This Row],[Particular]]</f>
        <v>ကုန်ရောင်း(လက်ငင်း)</v>
      </c>
      <c r="AO522" s="273" t="str">
        <f>Table4[[#This Row],[StockName]]</f>
        <v>ဒဂုံအရက်သန့်</v>
      </c>
      <c r="AP522" s="268">
        <f>Table4[[#This Row],[Parking]]</f>
        <v>30</v>
      </c>
      <c r="AQ522" s="268">
        <f>Table4[[#This Row],[SalesBot]]</f>
        <v>720</v>
      </c>
      <c r="AR522" s="268">
        <f>Table4[[#This Row],[Liter]]</f>
        <v>460.8</v>
      </c>
    </row>
    <row r="523" spans="1:44" s="16" customFormat="1" hidden="1" x14ac:dyDescent="0.5">
      <c r="A523" s="3">
        <f t="shared" si="102"/>
        <v>2026</v>
      </c>
      <c r="B523" s="8">
        <f t="shared" si="103"/>
        <v>2</v>
      </c>
      <c r="C523" s="6">
        <v>46056</v>
      </c>
      <c r="D523" s="15">
        <f t="shared" ca="1" si="104"/>
        <v>46097</v>
      </c>
      <c r="E523" s="15" t="str">
        <f t="shared" ca="1" si="105"/>
        <v>1-Months</v>
      </c>
      <c r="F523" s="8" t="str">
        <f>VLOOKUP(N523,Stock[#Data],5,FALSE)</f>
        <v>BE</v>
      </c>
      <c r="G523" s="82" t="s">
        <v>1270</v>
      </c>
      <c r="H523" s="15"/>
      <c r="I523" s="7" t="s">
        <v>321</v>
      </c>
      <c r="J523" s="8" t="str">
        <f>VLOOKUP(I523,Customers[#Data],2,FALSE)</f>
        <v>စူပါ</v>
      </c>
      <c r="K523" s="15" t="str">
        <f>VLOOKUP(I523,Customers[#Data],4,FALSE)</f>
        <v>Mudon</v>
      </c>
      <c r="L523" s="15" t="str">
        <f>VLOOKUP(I523,Customers[#Data],5,FALSE)</f>
        <v>Van Sales</v>
      </c>
      <c r="M523" s="7" t="s">
        <v>6</v>
      </c>
      <c r="N523" s="7" t="s">
        <v>517</v>
      </c>
      <c r="O523" s="14" t="str">
        <f>VLOOKUP(N523,Stock[#Data],2,FALSE)</f>
        <v>ဇေယျဝတီ Red (1 Liter) 30%</v>
      </c>
      <c r="P523" s="44">
        <f>VLOOKUP(N523,Stock[#Data],3,FALSE)</f>
        <v>1</v>
      </c>
      <c r="Q523" s="3">
        <f>VLOOKUP(N523,Stock[#Data],4,FALSE)</f>
        <v>12</v>
      </c>
      <c r="R523" s="11"/>
      <c r="S523" s="45">
        <f>IFERROR(Table4[[#This Row],[Bottle]]/Table4[[#This Row],[ပါဝင်မှု]]+Table4[[#This Row],[SalesPK]],0)</f>
        <v>50</v>
      </c>
      <c r="T523" s="12">
        <v>50</v>
      </c>
      <c r="U523" s="10">
        <f>Table4[[#This Row],[ပါဝင်မှု]]*Table4[[#This Row],[SalesPK]]+Table4[[#This Row],[Bottle]]</f>
        <v>600</v>
      </c>
      <c r="V523" s="10">
        <f>Table4[[#This Row],[SalesBot]]*Table4[[#This Row],[ML]]</f>
        <v>600</v>
      </c>
      <c r="W523" s="1">
        <f>VLOOKUP(N523,Stock[#Data],6,FALSE)</f>
        <v>1710</v>
      </c>
      <c r="X523" s="8">
        <f>+Table4[[#This Row],[SalesBot]]*Table4[[#This Row],[နှုံး]]</f>
        <v>1026000</v>
      </c>
      <c r="Y523" s="12"/>
      <c r="Z523" s="12"/>
      <c r="AA523" s="12"/>
      <c r="AB523" s="9"/>
      <c r="AC523" s="12"/>
      <c r="AD523" s="9"/>
      <c r="AE523" s="12"/>
      <c r="AF52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523" s="24"/>
      <c r="AH523" s="266">
        <f>Table4[[#This Row],[Date]]</f>
        <v>46056</v>
      </c>
      <c r="AI523" s="264" t="str">
        <f t="shared" si="100"/>
        <v>Feb</v>
      </c>
      <c r="AJ523" s="264" t="str">
        <f t="shared" si="101"/>
        <v>2026</v>
      </c>
      <c r="AK523" s="270" t="str">
        <f>Table4[[#This Row],[ကုန်သည်အမည်]]</f>
        <v>စူပါ</v>
      </c>
      <c r="AL523" s="270" t="str">
        <f>Table4[[#This Row],[Township]]</f>
        <v>Mudon</v>
      </c>
      <c r="AM523" s="271" t="str">
        <f>Table4[[#This Row],[WholeSales]]</f>
        <v>Van Sales</v>
      </c>
      <c r="AN523" s="272" t="str">
        <f>Table4[[#This Row],[Particular]]</f>
        <v>ကုန်ရောင်း(လက်ငင်း)</v>
      </c>
      <c r="AO523" s="273" t="str">
        <f>Table4[[#This Row],[StockName]]</f>
        <v>ဇေယျဝတီ Red (1 Liter) 30%</v>
      </c>
      <c r="AP523" s="268">
        <f>Table4[[#This Row],[Parking]]</f>
        <v>50</v>
      </c>
      <c r="AQ523" s="268">
        <f>Table4[[#This Row],[SalesBot]]</f>
        <v>600</v>
      </c>
      <c r="AR523" s="268">
        <f>Table4[[#This Row],[Liter]]</f>
        <v>600</v>
      </c>
    </row>
    <row r="524" spans="1:44" s="16" customFormat="1" hidden="1" x14ac:dyDescent="0.5">
      <c r="A524" s="3">
        <f t="shared" si="102"/>
        <v>2026</v>
      </c>
      <c r="B524" s="8">
        <f t="shared" si="103"/>
        <v>2</v>
      </c>
      <c r="C524" s="6">
        <v>46056</v>
      </c>
      <c r="D524" s="15">
        <f t="shared" ca="1" si="104"/>
        <v>46097</v>
      </c>
      <c r="E524" s="15" t="str">
        <f t="shared" ca="1" si="105"/>
        <v>1-Months</v>
      </c>
      <c r="F524" s="8" t="str">
        <f>VLOOKUP(N524,Stock[#Data],5,FALSE)</f>
        <v>BE</v>
      </c>
      <c r="G524" s="82" t="s">
        <v>1271</v>
      </c>
      <c r="H524" s="15"/>
      <c r="I524" s="7" t="s">
        <v>535</v>
      </c>
      <c r="J524" s="8" t="str">
        <f>VLOOKUP(I524,Customers[#Data],2,FALSE)</f>
        <v>ကိုရဲ</v>
      </c>
      <c r="K524" s="15" t="str">
        <f>VLOOKUP(I524,Customers[#Data],4,FALSE)</f>
        <v>Yay</v>
      </c>
      <c r="L524" s="15" t="str">
        <f>VLOOKUP(I524,Customers[#Data],5,FALSE)</f>
        <v>Van Sales</v>
      </c>
      <c r="M524" s="7" t="s">
        <v>6</v>
      </c>
      <c r="N524" s="7" t="s">
        <v>517</v>
      </c>
      <c r="O524" s="14" t="str">
        <f>VLOOKUP(N524,Stock[#Data],2,FALSE)</f>
        <v>ဇေယျဝတီ Red (1 Liter) 30%</v>
      </c>
      <c r="P524" s="44">
        <f>VLOOKUP(N524,Stock[#Data],3,FALSE)</f>
        <v>1</v>
      </c>
      <c r="Q524" s="3">
        <f>VLOOKUP(N524,Stock[#Data],4,FALSE)</f>
        <v>12</v>
      </c>
      <c r="R524" s="11"/>
      <c r="S524" s="45">
        <f>IFERROR(Table4[[#This Row],[Bottle]]/Table4[[#This Row],[ပါဝင်မှု]]+Table4[[#This Row],[SalesPK]],0)</f>
        <v>50</v>
      </c>
      <c r="T524" s="12">
        <v>50</v>
      </c>
      <c r="U524" s="10">
        <f>Table4[[#This Row],[ပါဝင်မှု]]*Table4[[#This Row],[SalesPK]]+Table4[[#This Row],[Bottle]]</f>
        <v>600</v>
      </c>
      <c r="V524" s="10">
        <f>Table4[[#This Row],[SalesBot]]*Table4[[#This Row],[ML]]</f>
        <v>600</v>
      </c>
      <c r="W524" s="1">
        <f>VLOOKUP(N524,Stock[#Data],6,FALSE)</f>
        <v>1710</v>
      </c>
      <c r="X524" s="8">
        <f>+Table4[[#This Row],[SalesBot]]*Table4[[#This Row],[နှုံး]]</f>
        <v>1026000</v>
      </c>
      <c r="Y524" s="12"/>
      <c r="Z524" s="12"/>
      <c r="AA524" s="12"/>
      <c r="AB524" s="9"/>
      <c r="AC524" s="12"/>
      <c r="AD524" s="9"/>
      <c r="AE524" s="12"/>
      <c r="AF52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524" s="24"/>
      <c r="AH524" s="266">
        <f>Table4[[#This Row],[Date]]</f>
        <v>46056</v>
      </c>
      <c r="AI524" s="264" t="str">
        <f t="shared" si="100"/>
        <v>Feb</v>
      </c>
      <c r="AJ524" s="264" t="str">
        <f t="shared" si="101"/>
        <v>2026</v>
      </c>
      <c r="AK524" s="270" t="str">
        <f>Table4[[#This Row],[ကုန်သည်အမည်]]</f>
        <v>ကိုရဲ</v>
      </c>
      <c r="AL524" s="270" t="str">
        <f>Table4[[#This Row],[Township]]</f>
        <v>Yay</v>
      </c>
      <c r="AM524" s="271" t="str">
        <f>Table4[[#This Row],[WholeSales]]</f>
        <v>Van Sales</v>
      </c>
      <c r="AN524" s="272" t="str">
        <f>Table4[[#This Row],[Particular]]</f>
        <v>ကုန်ရောင်း(လက်ငင်း)</v>
      </c>
      <c r="AO524" s="273" t="str">
        <f>Table4[[#This Row],[StockName]]</f>
        <v>ဇေယျဝတီ Red (1 Liter) 30%</v>
      </c>
      <c r="AP524" s="268">
        <f>Table4[[#This Row],[Parking]]</f>
        <v>50</v>
      </c>
      <c r="AQ524" s="268">
        <f>Table4[[#This Row],[SalesBot]]</f>
        <v>600</v>
      </c>
      <c r="AR524" s="268">
        <f>Table4[[#This Row],[Liter]]</f>
        <v>600</v>
      </c>
    </row>
    <row r="525" spans="1:44" s="16" customFormat="1" hidden="1" x14ac:dyDescent="0.5">
      <c r="A525" s="3">
        <f t="shared" si="102"/>
        <v>2026</v>
      </c>
      <c r="B525" s="8">
        <f t="shared" si="103"/>
        <v>2</v>
      </c>
      <c r="C525" s="6">
        <v>46056</v>
      </c>
      <c r="D525" s="15">
        <f t="shared" ca="1" si="104"/>
        <v>46097</v>
      </c>
      <c r="E525" s="15" t="str">
        <f t="shared" ca="1" si="105"/>
        <v>1-Months</v>
      </c>
      <c r="F525" s="8" t="str">
        <f>VLOOKUP(N525,Stock[#Data],5,FALSE)</f>
        <v>BE</v>
      </c>
      <c r="G525" s="82" t="s">
        <v>1272</v>
      </c>
      <c r="H525" s="15"/>
      <c r="I525" s="7" t="s">
        <v>1131</v>
      </c>
      <c r="J525" s="8" t="str">
        <f>VLOOKUP(I525,Customers[#Data],2,FALSE)</f>
        <v>ရွှေကြိုးကြာ</v>
      </c>
      <c r="K525" s="15" t="str">
        <f>VLOOKUP(I525,Customers[#Data],4,FALSE)</f>
        <v>Maw La Myaing</v>
      </c>
      <c r="L525" s="15" t="str">
        <f>VLOOKUP(I525,Customers[#Data],5,FALSE)</f>
        <v>Van Sales</v>
      </c>
      <c r="M525" s="7" t="s">
        <v>6</v>
      </c>
      <c r="N525" s="7" t="s">
        <v>516</v>
      </c>
      <c r="O525" s="14" t="str">
        <f>VLOOKUP(N525,Stock[#Data],2,FALSE)</f>
        <v>ဇေ Vodka</v>
      </c>
      <c r="P525" s="44">
        <f>VLOOKUP(N525,Stock[#Data],3,FALSE)</f>
        <v>0.64</v>
      </c>
      <c r="Q525" s="3">
        <f>VLOOKUP(N525,Stock[#Data],4,FALSE)</f>
        <v>14</v>
      </c>
      <c r="R525" s="11"/>
      <c r="S525" s="45">
        <f>IFERROR(Table4[[#This Row],[Bottle]]/Table4[[#This Row],[ပါဝင်မှု]]+Table4[[#This Row],[SalesPK]],0)</f>
        <v>10</v>
      </c>
      <c r="T525" s="12">
        <v>10</v>
      </c>
      <c r="U525" s="10">
        <f>Table4[[#This Row],[ပါဝင်မှု]]*Table4[[#This Row],[SalesPK]]+Table4[[#This Row],[Bottle]]</f>
        <v>140</v>
      </c>
      <c r="V525" s="10">
        <f>Table4[[#This Row],[SalesBot]]*Table4[[#This Row],[ML]]</f>
        <v>89.600000000000009</v>
      </c>
      <c r="W525" s="1">
        <f>VLOOKUP(N525,Stock[#Data],6,FALSE)</f>
        <v>1400</v>
      </c>
      <c r="X525" s="8">
        <f>+Table4[[#This Row],[SalesBot]]*Table4[[#This Row],[နှုံး]]</f>
        <v>196000</v>
      </c>
      <c r="Y525" s="12"/>
      <c r="Z525" s="12"/>
      <c r="AA525" s="12"/>
      <c r="AB525" s="9"/>
      <c r="AC525" s="12"/>
      <c r="AD525" s="9"/>
      <c r="AE525" s="12"/>
      <c r="AF52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525" s="24"/>
      <c r="AH525" s="266">
        <f>Table4[[#This Row],[Date]]</f>
        <v>46056</v>
      </c>
      <c r="AI525" s="264" t="str">
        <f t="shared" si="100"/>
        <v>Feb</v>
      </c>
      <c r="AJ525" s="264" t="str">
        <f t="shared" si="101"/>
        <v>2026</v>
      </c>
      <c r="AK525" s="270" t="str">
        <f>Table4[[#This Row],[ကုန်သည်အမည်]]</f>
        <v>ရွှေကြိုးကြာ</v>
      </c>
      <c r="AL525" s="270" t="str">
        <f>Table4[[#This Row],[Township]]</f>
        <v>Maw La Myaing</v>
      </c>
      <c r="AM525" s="271" t="str">
        <f>Table4[[#This Row],[WholeSales]]</f>
        <v>Van Sales</v>
      </c>
      <c r="AN525" s="272" t="str">
        <f>Table4[[#This Row],[Particular]]</f>
        <v>ကုန်ရောင်း(လက်ငင်း)</v>
      </c>
      <c r="AO525" s="273" t="str">
        <f>Table4[[#This Row],[StockName]]</f>
        <v>ဇေ Vodka</v>
      </c>
      <c r="AP525" s="268">
        <f>Table4[[#This Row],[Parking]]</f>
        <v>10</v>
      </c>
      <c r="AQ525" s="268">
        <f>Table4[[#This Row],[SalesBot]]</f>
        <v>140</v>
      </c>
      <c r="AR525" s="268">
        <f>Table4[[#This Row],[Liter]]</f>
        <v>89.600000000000009</v>
      </c>
    </row>
    <row r="526" spans="1:44" s="16" customFormat="1" hidden="1" x14ac:dyDescent="0.5">
      <c r="A526" s="3">
        <f t="shared" si="102"/>
        <v>2026</v>
      </c>
      <c r="B526" s="8">
        <f t="shared" si="103"/>
        <v>2</v>
      </c>
      <c r="C526" s="6">
        <v>46056</v>
      </c>
      <c r="D526" s="15">
        <f t="shared" ca="1" si="104"/>
        <v>46097</v>
      </c>
      <c r="E526" s="15" t="str">
        <f t="shared" ca="1" si="105"/>
        <v>1-Months</v>
      </c>
      <c r="F526" s="8" t="str">
        <f>VLOOKUP(N526,Stock[#Data],5,FALSE)</f>
        <v>BE</v>
      </c>
      <c r="G526" s="82" t="s">
        <v>1273</v>
      </c>
      <c r="H526" s="15"/>
      <c r="I526" s="7" t="s">
        <v>792</v>
      </c>
      <c r="J526" s="8" t="str">
        <f>VLOOKUP(I526,Customers[#Data],2,FALSE)</f>
        <v>Friday Mon</v>
      </c>
      <c r="K526" s="15" t="str">
        <f>VLOOKUP(I526,Customers[#Data],4,FALSE)</f>
        <v>Maw La Myaing</v>
      </c>
      <c r="L526" s="15" t="str">
        <f>VLOOKUP(I526,Customers[#Data],5,FALSE)</f>
        <v>Van Sales</v>
      </c>
      <c r="M526" s="7" t="s">
        <v>6</v>
      </c>
      <c r="N526" s="7" t="s">
        <v>518</v>
      </c>
      <c r="O526" s="14" t="str">
        <f>VLOOKUP(N526,Stock[#Data],2,FALSE)</f>
        <v>"ဇေ" ကော်ဘူး (1 Liter)</v>
      </c>
      <c r="P526" s="44">
        <f>VLOOKUP(N526,Stock[#Data],3,FALSE)</f>
        <v>1</v>
      </c>
      <c r="Q526" s="3">
        <f>VLOOKUP(N526,Stock[#Data],4,FALSE)</f>
        <v>12</v>
      </c>
      <c r="R526" s="11"/>
      <c r="S526" s="45">
        <f>IFERROR(Table4[[#This Row],[Bottle]]/Table4[[#This Row],[ပါဝင်မှု]]+Table4[[#This Row],[SalesPK]],0)</f>
        <v>20</v>
      </c>
      <c r="T526" s="12">
        <v>20</v>
      </c>
      <c r="U526" s="10">
        <f>Table4[[#This Row],[ပါဝင်မှု]]*Table4[[#This Row],[SalesPK]]+Table4[[#This Row],[Bottle]]</f>
        <v>240</v>
      </c>
      <c r="V526" s="10">
        <f>Table4[[#This Row],[SalesBot]]*Table4[[#This Row],[ML]]</f>
        <v>240</v>
      </c>
      <c r="W526" s="1">
        <f>VLOOKUP(N526,Stock[#Data],6,FALSE)</f>
        <v>1675</v>
      </c>
      <c r="X526" s="8">
        <f>+Table4[[#This Row],[SalesBot]]*Table4[[#This Row],[နှုံး]]</f>
        <v>402000</v>
      </c>
      <c r="Y526" s="12"/>
      <c r="Z526" s="12"/>
      <c r="AA526" s="12"/>
      <c r="AB526" s="9"/>
      <c r="AC526" s="12"/>
      <c r="AD526" s="9"/>
      <c r="AE526" s="12"/>
      <c r="AF52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402000</v>
      </c>
      <c r="AG526" s="24"/>
      <c r="AH526" s="266">
        <f>Table4[[#This Row],[Date]]</f>
        <v>46056</v>
      </c>
      <c r="AI526" s="264" t="str">
        <f t="shared" si="100"/>
        <v>Feb</v>
      </c>
      <c r="AJ526" s="264" t="str">
        <f t="shared" si="101"/>
        <v>2026</v>
      </c>
      <c r="AK526" s="270" t="str">
        <f>Table4[[#This Row],[ကုန်သည်အမည်]]</f>
        <v>Friday Mon</v>
      </c>
      <c r="AL526" s="270" t="str">
        <f>Table4[[#This Row],[Township]]</f>
        <v>Maw La Myaing</v>
      </c>
      <c r="AM526" s="271" t="str">
        <f>Table4[[#This Row],[WholeSales]]</f>
        <v>Van Sales</v>
      </c>
      <c r="AN526" s="272" t="str">
        <f>Table4[[#This Row],[Particular]]</f>
        <v>ကုန်ရောင်း(လက်ငင်း)</v>
      </c>
      <c r="AO526" s="273" t="str">
        <f>Table4[[#This Row],[StockName]]</f>
        <v>"ဇေ" ကော်ဘူး (1 Liter)</v>
      </c>
      <c r="AP526" s="268">
        <f>Table4[[#This Row],[Parking]]</f>
        <v>20</v>
      </c>
      <c r="AQ526" s="268">
        <f>Table4[[#This Row],[SalesBot]]</f>
        <v>240</v>
      </c>
      <c r="AR526" s="268">
        <f>Table4[[#This Row],[Liter]]</f>
        <v>240</v>
      </c>
    </row>
    <row r="527" spans="1:44" s="16" customFormat="1" hidden="1" x14ac:dyDescent="0.5">
      <c r="A527" s="3">
        <f t="shared" si="102"/>
        <v>2026</v>
      </c>
      <c r="B527" s="8">
        <f t="shared" si="103"/>
        <v>2</v>
      </c>
      <c r="C527" s="6">
        <v>46056</v>
      </c>
      <c r="D527" s="15">
        <f t="shared" ca="1" si="104"/>
        <v>46097</v>
      </c>
      <c r="E527" s="15" t="str">
        <f t="shared" ca="1" si="105"/>
        <v>1-Months</v>
      </c>
      <c r="F527" s="8" t="str">
        <f>VLOOKUP(N527,Stock[#Data],5,FALSE)</f>
        <v>BE</v>
      </c>
      <c r="G527" s="82" t="s">
        <v>1275</v>
      </c>
      <c r="H527" s="15"/>
      <c r="I527" s="7" t="s">
        <v>1274</v>
      </c>
      <c r="J527" s="8" t="str">
        <f>VLOOKUP(I527,Customers[#Data],2,FALSE)</f>
        <v>Comment</v>
      </c>
      <c r="K527" s="15" t="str">
        <f>VLOOKUP(I527,Customers[#Data],4,FALSE)</f>
        <v>Maw La Myaing</v>
      </c>
      <c r="L527" s="15" t="str">
        <f>VLOOKUP(I527,Customers[#Data],5,FALSE)</f>
        <v>Van Sales</v>
      </c>
      <c r="M527" s="7" t="s">
        <v>6</v>
      </c>
      <c r="N527" s="7" t="s">
        <v>522</v>
      </c>
      <c r="O527" s="14" t="str">
        <f>VLOOKUP(N527,Stock[#Data],2,FALSE)</f>
        <v>ဒဂုံမန်ကျည်း ကော်ဘူး (1 Liter)</v>
      </c>
      <c r="P527" s="44">
        <f>VLOOKUP(N527,Stock[#Data],3,FALSE)</f>
        <v>1</v>
      </c>
      <c r="Q527" s="3">
        <f>VLOOKUP(N527,Stock[#Data],4,FALSE)</f>
        <v>12</v>
      </c>
      <c r="R527" s="11"/>
      <c r="S527" s="45">
        <f>IFERROR(Table4[[#This Row],[Bottle]]/Table4[[#This Row],[ပါဝင်မှု]]+Table4[[#This Row],[SalesPK]],0)</f>
        <v>2</v>
      </c>
      <c r="T527" s="12">
        <v>2</v>
      </c>
      <c r="U527" s="10">
        <f>Table4[[#This Row],[ပါဝင်မှု]]*Table4[[#This Row],[SalesPK]]+Table4[[#This Row],[Bottle]]</f>
        <v>24</v>
      </c>
      <c r="V527" s="10">
        <f>Table4[[#This Row],[SalesBot]]*Table4[[#This Row],[ML]]</f>
        <v>24</v>
      </c>
      <c r="W527" s="1">
        <f>VLOOKUP(N527,Stock[#Data],6,FALSE)</f>
        <v>1600</v>
      </c>
      <c r="X527" s="8">
        <f>+Table4[[#This Row],[SalesBot]]*Table4[[#This Row],[နှုံး]]</f>
        <v>38400</v>
      </c>
      <c r="Y527" s="12"/>
      <c r="Z527" s="12"/>
      <c r="AA527" s="12"/>
      <c r="AB527" s="9"/>
      <c r="AC527" s="12"/>
      <c r="AD527" s="9"/>
      <c r="AE527" s="12"/>
      <c r="AF52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38400</v>
      </c>
      <c r="AG527" s="24"/>
      <c r="AH527" s="266">
        <f>Table4[[#This Row],[Date]]</f>
        <v>46056</v>
      </c>
      <c r="AI527" s="264" t="str">
        <f t="shared" si="100"/>
        <v>Feb</v>
      </c>
      <c r="AJ527" s="264" t="str">
        <f t="shared" si="101"/>
        <v>2026</v>
      </c>
      <c r="AK527" s="270" t="str">
        <f>Table4[[#This Row],[ကုန်သည်အမည်]]</f>
        <v>Comment</v>
      </c>
      <c r="AL527" s="270" t="str">
        <f>Table4[[#This Row],[Township]]</f>
        <v>Maw La Myaing</v>
      </c>
      <c r="AM527" s="271" t="str">
        <f>Table4[[#This Row],[WholeSales]]</f>
        <v>Van Sales</v>
      </c>
      <c r="AN527" s="272" t="str">
        <f>Table4[[#This Row],[Particular]]</f>
        <v>ကုန်ရောင်း(လက်ငင်း)</v>
      </c>
      <c r="AO527" s="273" t="str">
        <f>Table4[[#This Row],[StockName]]</f>
        <v>ဒဂုံမန်ကျည်း ကော်ဘူး (1 Liter)</v>
      </c>
      <c r="AP527" s="268">
        <f>Table4[[#This Row],[Parking]]</f>
        <v>2</v>
      </c>
      <c r="AQ527" s="268">
        <f>Table4[[#This Row],[SalesBot]]</f>
        <v>24</v>
      </c>
      <c r="AR527" s="268">
        <f>Table4[[#This Row],[Liter]]</f>
        <v>24</v>
      </c>
    </row>
    <row r="528" spans="1:44" s="16" customFormat="1" hidden="1" x14ac:dyDescent="0.5">
      <c r="A528" s="3">
        <f t="shared" si="102"/>
        <v>2026</v>
      </c>
      <c r="B528" s="8">
        <f t="shared" si="103"/>
        <v>2</v>
      </c>
      <c r="C528" s="6">
        <v>46056</v>
      </c>
      <c r="D528" s="15">
        <f t="shared" ca="1" si="104"/>
        <v>46097</v>
      </c>
      <c r="E528" s="15" t="str">
        <f t="shared" ca="1" si="105"/>
        <v>1-Months</v>
      </c>
      <c r="F528" s="8" t="str">
        <f>VLOOKUP(N528,Stock[#Data],5,FALSE)</f>
        <v>BE</v>
      </c>
      <c r="G528" s="82" t="s">
        <v>1275</v>
      </c>
      <c r="H528" s="15"/>
      <c r="I528" s="7" t="s">
        <v>1274</v>
      </c>
      <c r="J528" s="8" t="str">
        <f>VLOOKUP(I528,Customers[#Data],2,FALSE)</f>
        <v>Comment</v>
      </c>
      <c r="K528" s="15" t="str">
        <f>VLOOKUP(I528,Customers[#Data],4,FALSE)</f>
        <v>Maw La Myaing</v>
      </c>
      <c r="L528" s="15" t="str">
        <f>VLOOKUP(I528,Customers[#Data],5,FALSE)</f>
        <v>Van Sales</v>
      </c>
      <c r="M528" s="7" t="s">
        <v>9</v>
      </c>
      <c r="N528" s="7" t="s">
        <v>522</v>
      </c>
      <c r="O528" s="14" t="str">
        <f>VLOOKUP(N528,Stock[#Data],2,FALSE)</f>
        <v>ဒဂုံမန်ကျည်း ကော်ဘူး (1 Liter)</v>
      </c>
      <c r="P528" s="44">
        <f>VLOOKUP(N528,Stock[#Data],3,FALSE)</f>
        <v>1</v>
      </c>
      <c r="Q528" s="3">
        <f>VLOOKUP(N528,Stock[#Data],4,FALSE)</f>
        <v>12</v>
      </c>
      <c r="R528" s="11">
        <v>3</v>
      </c>
      <c r="S528" s="45">
        <f>IFERROR(Table4[[#This Row],[Bottle]]/Table4[[#This Row],[ပါဝင်မှု]]+Table4[[#This Row],[SalesPK]],0)</f>
        <v>0.25</v>
      </c>
      <c r="T528" s="12"/>
      <c r="U528" s="10">
        <f>Table4[[#This Row],[ပါဝင်မှု]]*Table4[[#This Row],[SalesPK]]+Table4[[#This Row],[Bottle]]</f>
        <v>3</v>
      </c>
      <c r="V528" s="10">
        <f>Table4[[#This Row],[SalesBot]]*Table4[[#This Row],[ML]]</f>
        <v>3</v>
      </c>
      <c r="W528" s="1">
        <f>VLOOKUP(N528,Stock[#Data],6,FALSE)</f>
        <v>1600</v>
      </c>
      <c r="X528" s="8">
        <f>+Table4[[#This Row],[SalesBot]]*Table4[[#This Row],[နှုံး]]</f>
        <v>4800</v>
      </c>
      <c r="Y528" s="12"/>
      <c r="Z528" s="12"/>
      <c r="AA528" s="12"/>
      <c r="AB528" s="9"/>
      <c r="AC528" s="12"/>
      <c r="AD528" s="9"/>
      <c r="AE528" s="12"/>
      <c r="AF52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4800</v>
      </c>
      <c r="AG528" s="24"/>
      <c r="AH528" s="266">
        <f>Table4[[#This Row],[Date]]</f>
        <v>46056</v>
      </c>
      <c r="AI528" s="264" t="str">
        <f t="shared" si="100"/>
        <v>Feb</v>
      </c>
      <c r="AJ528" s="264" t="str">
        <f t="shared" si="101"/>
        <v>2026</v>
      </c>
      <c r="AK528" s="270" t="str">
        <f>Table4[[#This Row],[ကုန်သည်အမည်]]</f>
        <v>Comment</v>
      </c>
      <c r="AL528" s="270" t="str">
        <f>Table4[[#This Row],[Township]]</f>
        <v>Maw La Myaing</v>
      </c>
      <c r="AM528" s="271" t="str">
        <f>Table4[[#This Row],[WholeSales]]</f>
        <v>Van Sales</v>
      </c>
      <c r="AN528" s="272" t="str">
        <f>Table4[[#This Row],[Particular]]</f>
        <v>လက်ဆောင်</v>
      </c>
      <c r="AO528" s="273" t="str">
        <f>Table4[[#This Row],[StockName]]</f>
        <v>ဒဂုံမန်ကျည်း ကော်ဘူး (1 Liter)</v>
      </c>
      <c r="AP528" s="268">
        <f>Table4[[#This Row],[Parking]]</f>
        <v>0.25</v>
      </c>
      <c r="AQ528" s="268">
        <f>Table4[[#This Row],[SalesBot]]</f>
        <v>3</v>
      </c>
      <c r="AR528" s="268">
        <f>Table4[[#This Row],[Liter]]</f>
        <v>3</v>
      </c>
    </row>
    <row r="529" spans="1:44" s="16" customFormat="1" hidden="1" x14ac:dyDescent="0.5">
      <c r="A529" s="3">
        <f t="shared" si="102"/>
        <v>2026</v>
      </c>
      <c r="B529" s="8">
        <f t="shared" si="103"/>
        <v>2</v>
      </c>
      <c r="C529" s="6">
        <v>46056</v>
      </c>
      <c r="D529" s="15">
        <f t="shared" ca="1" si="104"/>
        <v>46097</v>
      </c>
      <c r="E529" s="15" t="str">
        <f t="shared" ca="1" si="105"/>
        <v>1-Months</v>
      </c>
      <c r="F529" s="8" t="str">
        <f>VLOOKUP(N529,Stock[#Data],5,FALSE)</f>
        <v>BE</v>
      </c>
      <c r="G529" s="82" t="s">
        <v>1276</v>
      </c>
      <c r="H529" s="15"/>
      <c r="I529" s="7" t="s">
        <v>553</v>
      </c>
      <c r="J529" s="8" t="str">
        <f>VLOOKUP(I529,Customers[#Data],2,FALSE)</f>
        <v>ကိုမောင်ဦး</v>
      </c>
      <c r="K529" s="15" t="str">
        <f>VLOOKUP(I529,Customers[#Data],4,FALSE)</f>
        <v>Maw La Myaing</v>
      </c>
      <c r="L529" s="15" t="str">
        <f>VLOOKUP(I529,Customers[#Data],5,FALSE)</f>
        <v>Mini Whole Sales</v>
      </c>
      <c r="M529" s="7" t="s">
        <v>6</v>
      </c>
      <c r="N529" s="7" t="s">
        <v>522</v>
      </c>
      <c r="O529" s="14" t="str">
        <f>VLOOKUP(N529,Stock[#Data],2,FALSE)</f>
        <v>ဒဂုံမန်ကျည်း ကော်ဘူး (1 Liter)</v>
      </c>
      <c r="P529" s="44">
        <f>VLOOKUP(N529,Stock[#Data],3,FALSE)</f>
        <v>1</v>
      </c>
      <c r="Q529" s="3">
        <f>VLOOKUP(N529,Stock[#Data],4,FALSE)</f>
        <v>12</v>
      </c>
      <c r="R529" s="11"/>
      <c r="S529" s="45">
        <f>IFERROR(Table4[[#This Row],[Bottle]]/Table4[[#This Row],[ပါဝင်မှု]]+Table4[[#This Row],[SalesPK]],0)</f>
        <v>1</v>
      </c>
      <c r="T529" s="12">
        <v>1</v>
      </c>
      <c r="U529" s="10">
        <f>Table4[[#This Row],[ပါဝင်မှု]]*Table4[[#This Row],[SalesPK]]+Table4[[#This Row],[Bottle]]</f>
        <v>12</v>
      </c>
      <c r="V529" s="10">
        <f>Table4[[#This Row],[SalesBot]]*Table4[[#This Row],[ML]]</f>
        <v>12</v>
      </c>
      <c r="W529" s="1">
        <f>VLOOKUP(N529,Stock[#Data],6,FALSE)</f>
        <v>1600</v>
      </c>
      <c r="X529" s="8">
        <f>+Table4[[#This Row],[SalesBot]]*Table4[[#This Row],[နှုံး]]</f>
        <v>19200</v>
      </c>
      <c r="Y529" s="12"/>
      <c r="Z529" s="12"/>
      <c r="AA529" s="12"/>
      <c r="AB529" s="9"/>
      <c r="AC529" s="12"/>
      <c r="AD529" s="9"/>
      <c r="AE529" s="12"/>
      <c r="AF52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529" s="24"/>
      <c r="AH529" s="266">
        <f>Table4[[#This Row],[Date]]</f>
        <v>46056</v>
      </c>
      <c r="AI529" s="264" t="str">
        <f t="shared" si="100"/>
        <v>Feb</v>
      </c>
      <c r="AJ529" s="264" t="str">
        <f t="shared" si="101"/>
        <v>2026</v>
      </c>
      <c r="AK529" s="270" t="str">
        <f>Table4[[#This Row],[ကုန်သည်အမည်]]</f>
        <v>ကိုမောင်ဦး</v>
      </c>
      <c r="AL529" s="270" t="str">
        <f>Table4[[#This Row],[Township]]</f>
        <v>Maw La Myaing</v>
      </c>
      <c r="AM529" s="271" t="str">
        <f>Table4[[#This Row],[WholeSales]]</f>
        <v>Mini Whole Sales</v>
      </c>
      <c r="AN529" s="272" t="str">
        <f>Table4[[#This Row],[Particular]]</f>
        <v>ကုန်ရောင်း(လက်ငင်း)</v>
      </c>
      <c r="AO529" s="273" t="str">
        <f>Table4[[#This Row],[StockName]]</f>
        <v>ဒဂုံမန်ကျည်း ကော်ဘူး (1 Liter)</v>
      </c>
      <c r="AP529" s="268">
        <f>Table4[[#This Row],[Parking]]</f>
        <v>1</v>
      </c>
      <c r="AQ529" s="268">
        <f>Table4[[#This Row],[SalesBot]]</f>
        <v>12</v>
      </c>
      <c r="AR529" s="268">
        <f>Table4[[#This Row],[Liter]]</f>
        <v>12</v>
      </c>
    </row>
    <row r="530" spans="1:44" s="16" customFormat="1" hidden="1" x14ac:dyDescent="0.5">
      <c r="A530" s="3">
        <f t="shared" si="102"/>
        <v>2026</v>
      </c>
      <c r="B530" s="8">
        <f t="shared" si="103"/>
        <v>2</v>
      </c>
      <c r="C530" s="6">
        <v>46056</v>
      </c>
      <c r="D530" s="15">
        <f t="shared" ca="1" si="104"/>
        <v>46097</v>
      </c>
      <c r="E530" s="15" t="str">
        <f t="shared" ca="1" si="105"/>
        <v>1-Months</v>
      </c>
      <c r="F530" s="8" t="str">
        <f>VLOOKUP(N530,Stock[#Data],5,FALSE)</f>
        <v>BE</v>
      </c>
      <c r="G530" s="82" t="s">
        <v>1277</v>
      </c>
      <c r="H530" s="15"/>
      <c r="I530" s="7" t="s">
        <v>790</v>
      </c>
      <c r="J530" s="8" t="str">
        <f>VLOOKUP(I530,Customers[#Data],2,FALSE)</f>
        <v>လရောင်ဝင်း</v>
      </c>
      <c r="K530" s="15" t="str">
        <f>VLOOKUP(I530,Customers[#Data],4,FALSE)</f>
        <v>Maw La Myaing</v>
      </c>
      <c r="L530" s="15" t="str">
        <f>VLOOKUP(I530,Customers[#Data],5,FALSE)</f>
        <v>Van Sales</v>
      </c>
      <c r="M530" s="7" t="s">
        <v>6</v>
      </c>
      <c r="N530" s="7" t="s">
        <v>522</v>
      </c>
      <c r="O530" s="14" t="str">
        <f>VLOOKUP(N530,Stock[#Data],2,FALSE)</f>
        <v>ဒဂုံမန်ကျည်း ကော်ဘူး (1 Liter)</v>
      </c>
      <c r="P530" s="44">
        <f>VLOOKUP(N530,Stock[#Data],3,FALSE)</f>
        <v>1</v>
      </c>
      <c r="Q530" s="3">
        <f>VLOOKUP(N530,Stock[#Data],4,FALSE)</f>
        <v>12</v>
      </c>
      <c r="R530" s="11"/>
      <c r="S530" s="45">
        <f>IFERROR(Table4[[#This Row],[Bottle]]/Table4[[#This Row],[ပါဝင်မှု]]+Table4[[#This Row],[SalesPK]],0)</f>
        <v>1</v>
      </c>
      <c r="T530" s="12">
        <v>1</v>
      </c>
      <c r="U530" s="10">
        <f>Table4[[#This Row],[ပါဝင်မှု]]*Table4[[#This Row],[SalesPK]]+Table4[[#This Row],[Bottle]]</f>
        <v>12</v>
      </c>
      <c r="V530" s="10">
        <f>Table4[[#This Row],[SalesBot]]*Table4[[#This Row],[ML]]</f>
        <v>12</v>
      </c>
      <c r="W530" s="1">
        <f>VLOOKUP(N530,Stock[#Data],6,FALSE)</f>
        <v>1600</v>
      </c>
      <c r="X530" s="8">
        <f>+Table4[[#This Row],[SalesBot]]*Table4[[#This Row],[နှုံး]]</f>
        <v>19200</v>
      </c>
      <c r="Y530" s="12"/>
      <c r="Z530" s="12"/>
      <c r="AA530" s="12"/>
      <c r="AB530" s="9"/>
      <c r="AC530" s="12"/>
      <c r="AD530" s="9"/>
      <c r="AE530" s="12"/>
      <c r="AF53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530" s="24"/>
      <c r="AH530" s="266">
        <f>Table4[[#This Row],[Date]]</f>
        <v>46056</v>
      </c>
      <c r="AI530" s="264" t="str">
        <f t="shared" si="100"/>
        <v>Feb</v>
      </c>
      <c r="AJ530" s="264" t="str">
        <f t="shared" si="101"/>
        <v>2026</v>
      </c>
      <c r="AK530" s="270" t="str">
        <f>Table4[[#This Row],[ကုန်သည်အမည်]]</f>
        <v>လရောင်ဝင်း</v>
      </c>
      <c r="AL530" s="270" t="str">
        <f>Table4[[#This Row],[Township]]</f>
        <v>Maw La Myaing</v>
      </c>
      <c r="AM530" s="271" t="str">
        <f>Table4[[#This Row],[WholeSales]]</f>
        <v>Van Sales</v>
      </c>
      <c r="AN530" s="272" t="str">
        <f>Table4[[#This Row],[Particular]]</f>
        <v>ကုန်ရောင်း(လက်ငင်း)</v>
      </c>
      <c r="AO530" s="273" t="str">
        <f>Table4[[#This Row],[StockName]]</f>
        <v>ဒဂုံမန်ကျည်း ကော်ဘူး (1 Liter)</v>
      </c>
      <c r="AP530" s="268">
        <f>Table4[[#This Row],[Parking]]</f>
        <v>1</v>
      </c>
      <c r="AQ530" s="268">
        <f>Table4[[#This Row],[SalesBot]]</f>
        <v>12</v>
      </c>
      <c r="AR530" s="268">
        <f>Table4[[#This Row],[Liter]]</f>
        <v>12</v>
      </c>
    </row>
    <row r="531" spans="1:44" s="16" customFormat="1" hidden="1" x14ac:dyDescent="0.5">
      <c r="A531" s="3">
        <f>YEAR(C531)</f>
        <v>2026</v>
      </c>
      <c r="B531" s="8">
        <f>MONTH(C531)</f>
        <v>2</v>
      </c>
      <c r="C531" s="6">
        <v>46056</v>
      </c>
      <c r="D531" s="15">
        <f ca="1">TODAY()</f>
        <v>46097</v>
      </c>
      <c r="E531" s="15" t="str">
        <f ca="1">DATEDIF(C531,D531,"M")&amp;"-Months"</f>
        <v>1-Months</v>
      </c>
      <c r="F531" s="8" t="str">
        <f>VLOOKUP(N531,Stock[#Data],5,FALSE)</f>
        <v>BE</v>
      </c>
      <c r="G531" s="82" t="s">
        <v>1277</v>
      </c>
      <c r="H531" s="15"/>
      <c r="I531" s="7" t="s">
        <v>790</v>
      </c>
      <c r="J531" s="8" t="str">
        <f>VLOOKUP(I531,Customers[#Data],2,FALSE)</f>
        <v>လရောင်ဝင်း</v>
      </c>
      <c r="K531" s="15" t="str">
        <f>VLOOKUP(I531,Customers[#Data],4,FALSE)</f>
        <v>Maw La Myaing</v>
      </c>
      <c r="L531" s="15" t="str">
        <f>VLOOKUP(I531,Customers[#Data],5,FALSE)</f>
        <v>Van Sales</v>
      </c>
      <c r="M531" s="7" t="s">
        <v>6</v>
      </c>
      <c r="N531" s="7" t="s">
        <v>425</v>
      </c>
      <c r="O531" s="14" t="str">
        <f>VLOOKUP(N531,Stock[#Data],2,FALSE)</f>
        <v>ကောင်းကြည်-1Li</v>
      </c>
      <c r="P531" s="44">
        <f>VLOOKUP(N531,Stock[#Data],3,FALSE)</f>
        <v>1</v>
      </c>
      <c r="Q531" s="3">
        <f>VLOOKUP(N531,Stock[#Data],4,FALSE)</f>
        <v>12</v>
      </c>
      <c r="R531" s="11">
        <v>10</v>
      </c>
      <c r="S531" s="45">
        <f>IFERROR(Table4[[#This Row],[Bottle]]/Table4[[#This Row],[ပါဝင်မှု]]+Table4[[#This Row],[SalesPK]],0)</f>
        <v>0.83333333333333337</v>
      </c>
      <c r="T531" s="12"/>
      <c r="U531" s="10">
        <f>Table4[[#This Row],[ပါဝင်မှု]]*Table4[[#This Row],[SalesPK]]+Table4[[#This Row],[Bottle]]</f>
        <v>10</v>
      </c>
      <c r="V531" s="10">
        <f>Table4[[#This Row],[SalesBot]]*Table4[[#This Row],[ML]]</f>
        <v>10</v>
      </c>
      <c r="W531" s="1">
        <f>VLOOKUP(N531,Stock[#Data],6,FALSE)</f>
        <v>1500</v>
      </c>
      <c r="X531" s="8">
        <f>+Table4[[#This Row],[SalesBot]]*Table4[[#This Row],[နှုံး]]</f>
        <v>15000</v>
      </c>
      <c r="Y531" s="12"/>
      <c r="Z531" s="12"/>
      <c r="AA531" s="12"/>
      <c r="AB531" s="9"/>
      <c r="AC531" s="12"/>
      <c r="AD531" s="9"/>
      <c r="AE531" s="12"/>
      <c r="AF53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15000</v>
      </c>
      <c r="AG531" s="24"/>
      <c r="AH531" s="266">
        <f>Table4[[#This Row],[Date]]</f>
        <v>46056</v>
      </c>
      <c r="AI531" s="264" t="str">
        <f t="shared" si="100"/>
        <v>Feb</v>
      </c>
      <c r="AJ531" s="264" t="str">
        <f t="shared" si="101"/>
        <v>2026</v>
      </c>
      <c r="AK531" s="270" t="str">
        <f>Table4[[#This Row],[ကုန်သည်အမည်]]</f>
        <v>လရောင်ဝင်း</v>
      </c>
      <c r="AL531" s="270" t="str">
        <f>Table4[[#This Row],[Township]]</f>
        <v>Maw La Myaing</v>
      </c>
      <c r="AM531" s="271" t="str">
        <f>Table4[[#This Row],[WholeSales]]</f>
        <v>Van Sales</v>
      </c>
      <c r="AN531" s="272" t="str">
        <f>Table4[[#This Row],[Particular]]</f>
        <v>ကုန်ရောင်း(လက်ငင်း)</v>
      </c>
      <c r="AO531" s="273" t="str">
        <f>Table4[[#This Row],[StockName]]</f>
        <v>ကောင်းကြည်-1Li</v>
      </c>
      <c r="AP531" s="268">
        <f>Table4[[#This Row],[Parking]]</f>
        <v>0.83333333333333337</v>
      </c>
      <c r="AQ531" s="268">
        <f>Table4[[#This Row],[SalesBot]]</f>
        <v>10</v>
      </c>
      <c r="AR531" s="268">
        <f>Table4[[#This Row],[Liter]]</f>
        <v>10</v>
      </c>
    </row>
    <row r="532" spans="1:44" s="16" customFormat="1" hidden="1" x14ac:dyDescent="0.5">
      <c r="A532" s="3">
        <f t="shared" si="102"/>
        <v>2026</v>
      </c>
      <c r="B532" s="8">
        <f t="shared" si="103"/>
        <v>2</v>
      </c>
      <c r="C532" s="6">
        <v>46056</v>
      </c>
      <c r="D532" s="15">
        <f t="shared" ca="1" si="104"/>
        <v>46097</v>
      </c>
      <c r="E532" s="15" t="str">
        <f t="shared" ca="1" si="105"/>
        <v>1-Months</v>
      </c>
      <c r="F532" s="8" t="str">
        <f>VLOOKUP(N532,Stock[#Data],5,FALSE)</f>
        <v>BE</v>
      </c>
      <c r="G532" s="82" t="s">
        <v>1278</v>
      </c>
      <c r="H532" s="15"/>
      <c r="I532" s="7" t="s">
        <v>1279</v>
      </c>
      <c r="J532" s="8" t="str">
        <f>VLOOKUP(I532,Customers[#Data],2,FALSE)</f>
        <v>ဟိန်း</v>
      </c>
      <c r="K532" s="15" t="str">
        <f>VLOOKUP(I532,Customers[#Data],4,FALSE)</f>
        <v>Maw La Myaing</v>
      </c>
      <c r="L532" s="15" t="str">
        <f>VLOOKUP(I532,Customers[#Data],5,FALSE)</f>
        <v>Van Sales</v>
      </c>
      <c r="M532" s="7" t="s">
        <v>6</v>
      </c>
      <c r="N532" s="7" t="s">
        <v>425</v>
      </c>
      <c r="O532" s="14" t="str">
        <f>VLOOKUP(N532,Stock[#Data],2,FALSE)</f>
        <v>ကောင်းကြည်-1Li</v>
      </c>
      <c r="P532" s="44">
        <f>VLOOKUP(N532,Stock[#Data],3,FALSE)</f>
        <v>1</v>
      </c>
      <c r="Q532" s="3">
        <f>VLOOKUP(N532,Stock[#Data],4,FALSE)</f>
        <v>12</v>
      </c>
      <c r="R532" s="11"/>
      <c r="S532" s="45">
        <f>IFERROR(Table4[[#This Row],[Bottle]]/Table4[[#This Row],[ပါဝင်မှု]]+Table4[[#This Row],[SalesPK]],0)</f>
        <v>2</v>
      </c>
      <c r="T532" s="12">
        <v>2</v>
      </c>
      <c r="U532" s="10">
        <f>Table4[[#This Row],[ပါဝင်မှု]]*Table4[[#This Row],[SalesPK]]+Table4[[#This Row],[Bottle]]</f>
        <v>24</v>
      </c>
      <c r="V532" s="10">
        <f>Table4[[#This Row],[SalesBot]]*Table4[[#This Row],[ML]]</f>
        <v>24</v>
      </c>
      <c r="W532" s="1">
        <f>VLOOKUP(N532,Stock[#Data],6,FALSE)</f>
        <v>1500</v>
      </c>
      <c r="X532" s="8">
        <f>+Table4[[#This Row],[SalesBot]]*Table4[[#This Row],[နှုံး]]</f>
        <v>36000</v>
      </c>
      <c r="Y532" s="12"/>
      <c r="Z532" s="12"/>
      <c r="AA532" s="12"/>
      <c r="AB532" s="9"/>
      <c r="AC532" s="12"/>
      <c r="AD532" s="9"/>
      <c r="AE532" s="12"/>
      <c r="AF53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36000</v>
      </c>
      <c r="AG532" s="24"/>
      <c r="AH532" s="266">
        <f>Table4[[#This Row],[Date]]</f>
        <v>46056</v>
      </c>
      <c r="AI532" s="264" t="str">
        <f t="shared" si="100"/>
        <v>Feb</v>
      </c>
      <c r="AJ532" s="264" t="str">
        <f t="shared" si="101"/>
        <v>2026</v>
      </c>
      <c r="AK532" s="270" t="str">
        <f>Table4[[#This Row],[ကုန်သည်အမည်]]</f>
        <v>ဟိန်း</v>
      </c>
      <c r="AL532" s="270" t="str">
        <f>Table4[[#This Row],[Township]]</f>
        <v>Maw La Myaing</v>
      </c>
      <c r="AM532" s="271" t="str">
        <f>Table4[[#This Row],[WholeSales]]</f>
        <v>Van Sales</v>
      </c>
      <c r="AN532" s="272" t="str">
        <f>Table4[[#This Row],[Particular]]</f>
        <v>ကုန်ရောင်း(လက်ငင်း)</v>
      </c>
      <c r="AO532" s="273" t="str">
        <f>Table4[[#This Row],[StockName]]</f>
        <v>ကောင်းကြည်-1Li</v>
      </c>
      <c r="AP532" s="268">
        <f>Table4[[#This Row],[Parking]]</f>
        <v>2</v>
      </c>
      <c r="AQ532" s="268">
        <f>Table4[[#This Row],[SalesBot]]</f>
        <v>24</v>
      </c>
      <c r="AR532" s="268">
        <f>Table4[[#This Row],[Liter]]</f>
        <v>24</v>
      </c>
    </row>
    <row r="533" spans="1:44" s="16" customFormat="1" hidden="1" x14ac:dyDescent="0.5">
      <c r="A533" s="3">
        <f t="shared" si="102"/>
        <v>2026</v>
      </c>
      <c r="B533" s="8">
        <f t="shared" si="103"/>
        <v>2</v>
      </c>
      <c r="C533" s="6">
        <v>46056</v>
      </c>
      <c r="D533" s="15">
        <f t="shared" ca="1" si="104"/>
        <v>46097</v>
      </c>
      <c r="E533" s="15" t="str">
        <f t="shared" ca="1" si="105"/>
        <v>1-Months</v>
      </c>
      <c r="F533" s="8" t="str">
        <f>VLOOKUP(N533,Stock[#Data],5,FALSE)</f>
        <v>BE</v>
      </c>
      <c r="G533" s="82" t="s">
        <v>1284</v>
      </c>
      <c r="H533" s="15"/>
      <c r="I533" s="7" t="s">
        <v>1281</v>
      </c>
      <c r="J533" s="8" t="str">
        <f>VLOOKUP(I533,Customers[#Data],2,FALSE)</f>
        <v>ဦးသန်းဆွေ</v>
      </c>
      <c r="K533" s="15" t="str">
        <f>VLOOKUP(I533,Customers[#Data],4,FALSE)</f>
        <v>Maw La Myaing</v>
      </c>
      <c r="L533" s="15" t="str">
        <f>VLOOKUP(I533,Customers[#Data],5,FALSE)</f>
        <v>Van Sales</v>
      </c>
      <c r="M533" s="7" t="s">
        <v>6</v>
      </c>
      <c r="N533" s="7" t="s">
        <v>425</v>
      </c>
      <c r="O533" s="14" t="str">
        <f>VLOOKUP(N533,Stock[#Data],2,FALSE)</f>
        <v>ကောင်းကြည်-1Li</v>
      </c>
      <c r="P533" s="44">
        <f>VLOOKUP(N533,Stock[#Data],3,FALSE)</f>
        <v>1</v>
      </c>
      <c r="Q533" s="3">
        <f>VLOOKUP(N533,Stock[#Data],4,FALSE)</f>
        <v>12</v>
      </c>
      <c r="R533" s="11"/>
      <c r="S533" s="45">
        <f>IFERROR(Table4[[#This Row],[Bottle]]/Table4[[#This Row],[ပါဝင်မှု]]+Table4[[#This Row],[SalesPK]],0)</f>
        <v>1</v>
      </c>
      <c r="T533" s="12">
        <v>1</v>
      </c>
      <c r="U533" s="10">
        <f>Table4[[#This Row],[ပါဝင်မှု]]*Table4[[#This Row],[SalesPK]]+Table4[[#This Row],[Bottle]]</f>
        <v>12</v>
      </c>
      <c r="V533" s="10">
        <f>Table4[[#This Row],[SalesBot]]*Table4[[#This Row],[ML]]</f>
        <v>12</v>
      </c>
      <c r="W533" s="1">
        <f>VLOOKUP(N533,Stock[#Data],6,FALSE)</f>
        <v>1500</v>
      </c>
      <c r="X533" s="8">
        <f>+Table4[[#This Row],[SalesBot]]*Table4[[#This Row],[နှုံး]]</f>
        <v>18000</v>
      </c>
      <c r="Y533" s="12"/>
      <c r="Z533" s="12"/>
      <c r="AA533" s="12"/>
      <c r="AB533" s="9"/>
      <c r="AC533" s="12"/>
      <c r="AD533" s="9"/>
      <c r="AE533" s="12"/>
      <c r="AF53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533" s="24"/>
      <c r="AH533" s="266">
        <f>Table4[[#This Row],[Date]]</f>
        <v>46056</v>
      </c>
      <c r="AI533" s="264" t="str">
        <f t="shared" si="100"/>
        <v>Feb</v>
      </c>
      <c r="AJ533" s="264" t="str">
        <f t="shared" si="101"/>
        <v>2026</v>
      </c>
      <c r="AK533" s="270" t="str">
        <f>Table4[[#This Row],[ကုန်သည်အမည်]]</f>
        <v>ဦးသန်းဆွေ</v>
      </c>
      <c r="AL533" s="270" t="str">
        <f>Table4[[#This Row],[Township]]</f>
        <v>Maw La Myaing</v>
      </c>
      <c r="AM533" s="271" t="str">
        <f>Table4[[#This Row],[WholeSales]]</f>
        <v>Van Sales</v>
      </c>
      <c r="AN533" s="272" t="str">
        <f>Table4[[#This Row],[Particular]]</f>
        <v>ကုန်ရောင်း(လက်ငင်း)</v>
      </c>
      <c r="AO533" s="273" t="str">
        <f>Table4[[#This Row],[StockName]]</f>
        <v>ကောင်းကြည်-1Li</v>
      </c>
      <c r="AP533" s="268">
        <f>Table4[[#This Row],[Parking]]</f>
        <v>1</v>
      </c>
      <c r="AQ533" s="268">
        <f>Table4[[#This Row],[SalesBot]]</f>
        <v>12</v>
      </c>
      <c r="AR533" s="268">
        <f>Table4[[#This Row],[Liter]]</f>
        <v>12</v>
      </c>
    </row>
    <row r="534" spans="1:44" s="16" customFormat="1" hidden="1" x14ac:dyDescent="0.5">
      <c r="A534" s="3">
        <f t="shared" si="102"/>
        <v>2026</v>
      </c>
      <c r="B534" s="8">
        <f t="shared" si="103"/>
        <v>2</v>
      </c>
      <c r="C534" s="6">
        <v>46056</v>
      </c>
      <c r="D534" s="15">
        <f t="shared" ca="1" si="104"/>
        <v>46097</v>
      </c>
      <c r="E534" s="15" t="str">
        <f t="shared" ca="1" si="105"/>
        <v>1-Months</v>
      </c>
      <c r="F534" s="8" t="str">
        <f>VLOOKUP(N534,Stock[#Data],5,FALSE)</f>
        <v>BE</v>
      </c>
      <c r="G534" s="82" t="s">
        <v>1284</v>
      </c>
      <c r="H534" s="15"/>
      <c r="I534" s="7" t="s">
        <v>1281</v>
      </c>
      <c r="J534" s="8" t="str">
        <f>VLOOKUP(I534,Customers[#Data],2,FALSE)</f>
        <v>ဦးသန်းဆွေ</v>
      </c>
      <c r="K534" s="15" t="str">
        <f>VLOOKUP(I534,Customers[#Data],4,FALSE)</f>
        <v>Maw La Myaing</v>
      </c>
      <c r="L534" s="15" t="str">
        <f>VLOOKUP(I534,Customers[#Data],5,FALSE)</f>
        <v>Van Sales</v>
      </c>
      <c r="M534" s="7" t="s">
        <v>6</v>
      </c>
      <c r="N534" s="7" t="s">
        <v>508</v>
      </c>
      <c r="O534" s="14" t="str">
        <f>VLOOKUP(N534,Stock[#Data],2,FALSE)</f>
        <v>ကောင်းကြည်-1Li</v>
      </c>
      <c r="P534" s="44">
        <f>VLOOKUP(N534,Stock[#Data],3,FALSE)</f>
        <v>1</v>
      </c>
      <c r="Q534" s="3">
        <f>VLOOKUP(N534,Stock[#Data],4,FALSE)</f>
        <v>12</v>
      </c>
      <c r="R534" s="11">
        <v>6</v>
      </c>
      <c r="S534" s="45">
        <f>IFERROR(Table4[[#This Row],[Bottle]]/Table4[[#This Row],[ပါဝင်မှု]]+Table4[[#This Row],[SalesPK]],0)</f>
        <v>0.5</v>
      </c>
      <c r="T534" s="12"/>
      <c r="U534" s="10">
        <f>Table4[[#This Row],[ပါဝင်မှု]]*Table4[[#This Row],[SalesPK]]+Table4[[#This Row],[Bottle]]</f>
        <v>6</v>
      </c>
      <c r="V534" s="10">
        <f>Table4[[#This Row],[SalesBot]]*Table4[[#This Row],[ML]]</f>
        <v>6</v>
      </c>
      <c r="W534" s="1">
        <f>VLOOKUP(N534,Stock[#Data],6,FALSE)</f>
        <v>1850</v>
      </c>
      <c r="X534" s="8">
        <f>+Table4[[#This Row],[SalesBot]]*Table4[[#This Row],[နှုံး]]</f>
        <v>11100</v>
      </c>
      <c r="Y534" s="12"/>
      <c r="Z534" s="12"/>
      <c r="AA534" s="12"/>
      <c r="AB534" s="9"/>
      <c r="AC534" s="12"/>
      <c r="AD534" s="9"/>
      <c r="AE534" s="12"/>
      <c r="AF53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11100</v>
      </c>
      <c r="AG534" s="24"/>
      <c r="AH534" s="266">
        <f>Table4[[#This Row],[Date]]</f>
        <v>46056</v>
      </c>
      <c r="AI534" s="264" t="str">
        <f t="shared" si="100"/>
        <v>Feb</v>
      </c>
      <c r="AJ534" s="264" t="str">
        <f t="shared" si="101"/>
        <v>2026</v>
      </c>
      <c r="AK534" s="270" t="str">
        <f>Table4[[#This Row],[ကုန်သည်အမည်]]</f>
        <v>ဦးသန်းဆွေ</v>
      </c>
      <c r="AL534" s="270" t="str">
        <f>Table4[[#This Row],[Township]]</f>
        <v>Maw La Myaing</v>
      </c>
      <c r="AM534" s="271" t="str">
        <f>Table4[[#This Row],[WholeSales]]</f>
        <v>Van Sales</v>
      </c>
      <c r="AN534" s="272" t="str">
        <f>Table4[[#This Row],[Particular]]</f>
        <v>ကုန်ရောင်း(လက်ငင်း)</v>
      </c>
      <c r="AO534" s="273" t="str">
        <f>Table4[[#This Row],[StockName]]</f>
        <v>ကောင်းကြည်-1Li</v>
      </c>
      <c r="AP534" s="268">
        <f>Table4[[#This Row],[Parking]]</f>
        <v>0.5</v>
      </c>
      <c r="AQ534" s="268">
        <f>Table4[[#This Row],[SalesBot]]</f>
        <v>6</v>
      </c>
      <c r="AR534" s="268">
        <f>Table4[[#This Row],[Liter]]</f>
        <v>6</v>
      </c>
    </row>
    <row r="535" spans="1:44" s="16" customFormat="1" hidden="1" x14ac:dyDescent="0.5">
      <c r="A535" s="3">
        <f t="shared" si="102"/>
        <v>2026</v>
      </c>
      <c r="B535" s="8">
        <f t="shared" si="103"/>
        <v>2</v>
      </c>
      <c r="C535" s="6">
        <v>46056</v>
      </c>
      <c r="D535" s="15">
        <f t="shared" ca="1" si="104"/>
        <v>46097</v>
      </c>
      <c r="E535" s="15" t="str">
        <f t="shared" ca="1" si="105"/>
        <v>1-Months</v>
      </c>
      <c r="F535" s="8" t="str">
        <f>VLOOKUP(N535,Stock[#Data],5,FALSE)</f>
        <v>BE</v>
      </c>
      <c r="G535" s="82" t="s">
        <v>1285</v>
      </c>
      <c r="H535" s="15"/>
      <c r="I535" s="7" t="s">
        <v>267</v>
      </c>
      <c r="J535" s="8" t="str">
        <f>VLOOKUP(I535,Customers[#Data],2,FALSE)</f>
        <v>Hi Hi</v>
      </c>
      <c r="K535" s="15" t="str">
        <f>VLOOKUP(I535,Customers[#Data],4,FALSE)</f>
        <v>Maw La Myaing</v>
      </c>
      <c r="L535" s="15" t="str">
        <f>VLOOKUP(I535,Customers[#Data],5,FALSE)</f>
        <v>Van Sales</v>
      </c>
      <c r="M535" s="7" t="s">
        <v>6</v>
      </c>
      <c r="N535" s="7" t="s">
        <v>425</v>
      </c>
      <c r="O535" s="14" t="str">
        <f>VLOOKUP(N535,Stock[#Data],2,FALSE)</f>
        <v>ကောင်းကြည်-1Li</v>
      </c>
      <c r="P535" s="44">
        <f>VLOOKUP(N535,Stock[#Data],3,FALSE)</f>
        <v>1</v>
      </c>
      <c r="Q535" s="3">
        <f>VLOOKUP(N535,Stock[#Data],4,FALSE)</f>
        <v>12</v>
      </c>
      <c r="R535" s="11">
        <v>5</v>
      </c>
      <c r="S535" s="45">
        <f>IFERROR(Table4[[#This Row],[Bottle]]/Table4[[#This Row],[ပါဝင်မှု]]+Table4[[#This Row],[SalesPK]],0)</f>
        <v>0.41666666666666669</v>
      </c>
      <c r="T535" s="12"/>
      <c r="U535" s="10">
        <f>Table4[[#This Row],[ပါဝင်မှု]]*Table4[[#This Row],[SalesPK]]+Table4[[#This Row],[Bottle]]</f>
        <v>5</v>
      </c>
      <c r="V535" s="10">
        <f>Table4[[#This Row],[SalesBot]]*Table4[[#This Row],[ML]]</f>
        <v>5</v>
      </c>
      <c r="W535" s="1">
        <f>VLOOKUP(N535,Stock[#Data],6,FALSE)</f>
        <v>1500</v>
      </c>
      <c r="X535" s="8">
        <f>+Table4[[#This Row],[SalesBot]]*Table4[[#This Row],[နှုံး]]</f>
        <v>7500</v>
      </c>
      <c r="Y535" s="12"/>
      <c r="Z535" s="12"/>
      <c r="AA535" s="12"/>
      <c r="AB535" s="9"/>
      <c r="AC535" s="12"/>
      <c r="AD535" s="9"/>
      <c r="AE535" s="12"/>
      <c r="AF53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7500</v>
      </c>
      <c r="AG535" s="24"/>
      <c r="AH535" s="266">
        <f>Table4[[#This Row],[Date]]</f>
        <v>46056</v>
      </c>
      <c r="AI535" s="264" t="str">
        <f t="shared" si="100"/>
        <v>Feb</v>
      </c>
      <c r="AJ535" s="264" t="str">
        <f t="shared" si="101"/>
        <v>2026</v>
      </c>
      <c r="AK535" s="270" t="str">
        <f>Table4[[#This Row],[ကုန်သည်အမည်]]</f>
        <v>Hi Hi</v>
      </c>
      <c r="AL535" s="270" t="str">
        <f>Table4[[#This Row],[Township]]</f>
        <v>Maw La Myaing</v>
      </c>
      <c r="AM535" s="271" t="str">
        <f>Table4[[#This Row],[WholeSales]]</f>
        <v>Van Sales</v>
      </c>
      <c r="AN535" s="272" t="str">
        <f>Table4[[#This Row],[Particular]]</f>
        <v>ကုန်ရောင်း(လက်ငင်း)</v>
      </c>
      <c r="AO535" s="273" t="str">
        <f>Table4[[#This Row],[StockName]]</f>
        <v>ကောင်းကြည်-1Li</v>
      </c>
      <c r="AP535" s="268">
        <f>Table4[[#This Row],[Parking]]</f>
        <v>0.41666666666666669</v>
      </c>
      <c r="AQ535" s="268">
        <f>Table4[[#This Row],[SalesBot]]</f>
        <v>5</v>
      </c>
      <c r="AR535" s="268">
        <f>Table4[[#This Row],[Liter]]</f>
        <v>5</v>
      </c>
    </row>
    <row r="536" spans="1:44" s="16" customFormat="1" hidden="1" x14ac:dyDescent="0.5">
      <c r="A536" s="3">
        <f t="shared" si="102"/>
        <v>2026</v>
      </c>
      <c r="B536" s="8">
        <f t="shared" si="103"/>
        <v>2</v>
      </c>
      <c r="C536" s="6">
        <v>46056</v>
      </c>
      <c r="D536" s="15">
        <f t="shared" ca="1" si="104"/>
        <v>46097</v>
      </c>
      <c r="E536" s="15" t="str">
        <f t="shared" ca="1" si="105"/>
        <v>1-Months</v>
      </c>
      <c r="F536" s="8" t="str">
        <f>VLOOKUP(N536,Stock[#Data],5,FALSE)</f>
        <v>BE</v>
      </c>
      <c r="G536" s="82" t="s">
        <v>1285</v>
      </c>
      <c r="H536" s="15"/>
      <c r="I536" s="7" t="s">
        <v>267</v>
      </c>
      <c r="J536" s="8" t="str">
        <f>VLOOKUP(I536,Customers[#Data],2,FALSE)</f>
        <v>Hi Hi</v>
      </c>
      <c r="K536" s="15" t="str">
        <f>VLOOKUP(I536,Customers[#Data],4,FALSE)</f>
        <v>Maw La Myaing</v>
      </c>
      <c r="L536" s="15" t="str">
        <f>VLOOKUP(I536,Customers[#Data],5,FALSE)</f>
        <v>Van Sales</v>
      </c>
      <c r="M536" s="7" t="s">
        <v>6</v>
      </c>
      <c r="N536" s="7" t="s">
        <v>508</v>
      </c>
      <c r="O536" s="14" t="str">
        <f>VLOOKUP(N536,Stock[#Data],2,FALSE)</f>
        <v>ကောင်းကြည်-1Li</v>
      </c>
      <c r="P536" s="44">
        <f>VLOOKUP(N536,Stock[#Data],3,FALSE)</f>
        <v>1</v>
      </c>
      <c r="Q536" s="3">
        <f>VLOOKUP(N536,Stock[#Data],4,FALSE)</f>
        <v>12</v>
      </c>
      <c r="R536" s="11">
        <v>5</v>
      </c>
      <c r="S536" s="45">
        <f>IFERROR(Table4[[#This Row],[Bottle]]/Table4[[#This Row],[ပါဝင်မှု]]+Table4[[#This Row],[SalesPK]],0)</f>
        <v>0.41666666666666669</v>
      </c>
      <c r="T536" s="12"/>
      <c r="U536" s="10">
        <f>Table4[[#This Row],[ပါဝင်မှု]]*Table4[[#This Row],[SalesPK]]+Table4[[#This Row],[Bottle]]</f>
        <v>5</v>
      </c>
      <c r="V536" s="10">
        <f>Table4[[#This Row],[SalesBot]]*Table4[[#This Row],[ML]]</f>
        <v>5</v>
      </c>
      <c r="W536" s="1">
        <f>VLOOKUP(N536,Stock[#Data],6,FALSE)</f>
        <v>1850</v>
      </c>
      <c r="X536" s="8">
        <f>+Table4[[#This Row],[SalesBot]]*Table4[[#This Row],[နှုံး]]</f>
        <v>9250</v>
      </c>
      <c r="Y536" s="12"/>
      <c r="Z536" s="12"/>
      <c r="AA536" s="12"/>
      <c r="AB536" s="9"/>
      <c r="AC536" s="12"/>
      <c r="AD536" s="9"/>
      <c r="AE536" s="12"/>
      <c r="AF53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9250</v>
      </c>
      <c r="AG536" s="24"/>
      <c r="AH536" s="266">
        <f>Table4[[#This Row],[Date]]</f>
        <v>46056</v>
      </c>
      <c r="AI536" s="264" t="str">
        <f t="shared" si="100"/>
        <v>Feb</v>
      </c>
      <c r="AJ536" s="264" t="str">
        <f t="shared" si="101"/>
        <v>2026</v>
      </c>
      <c r="AK536" s="270" t="str">
        <f>Table4[[#This Row],[ကုန်သည်အမည်]]</f>
        <v>Hi Hi</v>
      </c>
      <c r="AL536" s="270" t="str">
        <f>Table4[[#This Row],[Township]]</f>
        <v>Maw La Myaing</v>
      </c>
      <c r="AM536" s="271" t="str">
        <f>Table4[[#This Row],[WholeSales]]</f>
        <v>Van Sales</v>
      </c>
      <c r="AN536" s="272" t="str">
        <f>Table4[[#This Row],[Particular]]</f>
        <v>ကုန်ရောင်း(လက်ငင်း)</v>
      </c>
      <c r="AO536" s="273" t="str">
        <f>Table4[[#This Row],[StockName]]</f>
        <v>ကောင်းကြည်-1Li</v>
      </c>
      <c r="AP536" s="268">
        <f>Table4[[#This Row],[Parking]]</f>
        <v>0.41666666666666669</v>
      </c>
      <c r="AQ536" s="268">
        <f>Table4[[#This Row],[SalesBot]]</f>
        <v>5</v>
      </c>
      <c r="AR536" s="268">
        <f>Table4[[#This Row],[Liter]]</f>
        <v>5</v>
      </c>
    </row>
    <row r="537" spans="1:44" s="16" customFormat="1" hidden="1" x14ac:dyDescent="0.5">
      <c r="A537" s="3">
        <f>YEAR(C537)</f>
        <v>2026</v>
      </c>
      <c r="B537" s="8">
        <f>MONTH(C537)</f>
        <v>2</v>
      </c>
      <c r="C537" s="6">
        <v>46056</v>
      </c>
      <c r="D537" s="15">
        <f ca="1">TODAY()</f>
        <v>46097</v>
      </c>
      <c r="E537" s="15" t="str">
        <f ca="1">DATEDIF(C537,D537,"M")&amp;"-Months"</f>
        <v>1-Months</v>
      </c>
      <c r="F537" s="8" t="str">
        <f>VLOOKUP(N537,Stock[#Data],5,FALSE)</f>
        <v>BE</v>
      </c>
      <c r="G537" s="82" t="s">
        <v>1285</v>
      </c>
      <c r="H537" s="15"/>
      <c r="I537" s="7" t="s">
        <v>267</v>
      </c>
      <c r="J537" s="8" t="str">
        <f>VLOOKUP(I537,Customers[#Data],2,FALSE)</f>
        <v>Hi Hi</v>
      </c>
      <c r="K537" s="15" t="str">
        <f>VLOOKUP(I537,Customers[#Data],4,FALSE)</f>
        <v>Maw La Myaing</v>
      </c>
      <c r="L537" s="15" t="str">
        <f>VLOOKUP(I537,Customers[#Data],5,FALSE)</f>
        <v>Van Sales</v>
      </c>
      <c r="M537" s="7" t="s">
        <v>9</v>
      </c>
      <c r="N537" s="7" t="s">
        <v>522</v>
      </c>
      <c r="O537" s="14" t="str">
        <f>VLOOKUP(N537,Stock[#Data],2,FALSE)</f>
        <v>ဒဂုံမန်ကျည်း ကော်ဘူး (1 Liter)</v>
      </c>
      <c r="P537" s="44">
        <f>VLOOKUP(N537,Stock[#Data],3,FALSE)</f>
        <v>1</v>
      </c>
      <c r="Q537" s="3">
        <f>VLOOKUP(N537,Stock[#Data],4,FALSE)</f>
        <v>12</v>
      </c>
      <c r="R537" s="11">
        <v>3</v>
      </c>
      <c r="S537" s="45">
        <f>IFERROR(Table4[[#This Row],[Bottle]]/Table4[[#This Row],[ပါဝင်မှု]]+Table4[[#This Row],[SalesPK]],0)</f>
        <v>0.25</v>
      </c>
      <c r="T537" s="12"/>
      <c r="U537" s="10">
        <f>Table4[[#This Row],[ပါဝင်မှု]]*Table4[[#This Row],[SalesPK]]+Table4[[#This Row],[Bottle]]</f>
        <v>3</v>
      </c>
      <c r="V537" s="10">
        <f>Table4[[#This Row],[SalesBot]]*Table4[[#This Row],[ML]]</f>
        <v>3</v>
      </c>
      <c r="W537" s="1">
        <f>VLOOKUP(N537,Stock[#Data],6,FALSE)</f>
        <v>1600</v>
      </c>
      <c r="X537" s="8">
        <f>+Table4[[#This Row],[SalesBot]]*Table4[[#This Row],[နှုံး]]</f>
        <v>4800</v>
      </c>
      <c r="Y537" s="12"/>
      <c r="Z537" s="12"/>
      <c r="AA537" s="12"/>
      <c r="AB537" s="9"/>
      <c r="AC537" s="12"/>
      <c r="AD537" s="9"/>
      <c r="AE537" s="12"/>
      <c r="AF53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4800</v>
      </c>
      <c r="AG537" s="24"/>
      <c r="AH537" s="266">
        <f>Table4[[#This Row],[Date]]</f>
        <v>46056</v>
      </c>
      <c r="AI537" s="264" t="str">
        <f t="shared" si="100"/>
        <v>Feb</v>
      </c>
      <c r="AJ537" s="264" t="str">
        <f t="shared" si="101"/>
        <v>2026</v>
      </c>
      <c r="AK537" s="270" t="str">
        <f>Table4[[#This Row],[ကုန်သည်အမည်]]</f>
        <v>Hi Hi</v>
      </c>
      <c r="AL537" s="270" t="str">
        <f>Table4[[#This Row],[Township]]</f>
        <v>Maw La Myaing</v>
      </c>
      <c r="AM537" s="271" t="str">
        <f>Table4[[#This Row],[WholeSales]]</f>
        <v>Van Sales</v>
      </c>
      <c r="AN537" s="272" t="str">
        <f>Table4[[#This Row],[Particular]]</f>
        <v>လက်ဆောင်</v>
      </c>
      <c r="AO537" s="273" t="str">
        <f>Table4[[#This Row],[StockName]]</f>
        <v>ဒဂုံမန်ကျည်း ကော်ဘူး (1 Liter)</v>
      </c>
      <c r="AP537" s="268">
        <f>Table4[[#This Row],[Parking]]</f>
        <v>0.25</v>
      </c>
      <c r="AQ537" s="268">
        <f>Table4[[#This Row],[SalesBot]]</f>
        <v>3</v>
      </c>
      <c r="AR537" s="268">
        <f>Table4[[#This Row],[Liter]]</f>
        <v>3</v>
      </c>
    </row>
    <row r="538" spans="1:44" s="16" customFormat="1" hidden="1" x14ac:dyDescent="0.5">
      <c r="A538" s="3">
        <f t="shared" si="102"/>
        <v>2026</v>
      </c>
      <c r="B538" s="8">
        <f t="shared" si="103"/>
        <v>2</v>
      </c>
      <c r="C538" s="6">
        <v>46056</v>
      </c>
      <c r="D538" s="15">
        <f t="shared" ca="1" si="104"/>
        <v>46097</v>
      </c>
      <c r="E538" s="15" t="str">
        <f t="shared" ca="1" si="105"/>
        <v>1-Months</v>
      </c>
      <c r="F538" s="8" t="str">
        <f>VLOOKUP(N538,Stock[#Data],5,FALSE)</f>
        <v>BE</v>
      </c>
      <c r="G538" s="82" t="s">
        <v>1286</v>
      </c>
      <c r="H538" s="15"/>
      <c r="I538" s="7" t="s">
        <v>601</v>
      </c>
      <c r="J538" s="8" t="str">
        <f>VLOOKUP(I538,Customers[#Data],2,FALSE)</f>
        <v>၀ဿာန်နှင်း</v>
      </c>
      <c r="K538" s="15" t="str">
        <f>VLOOKUP(I538,Customers[#Data],4,FALSE)</f>
        <v>Maw La Myaing</v>
      </c>
      <c r="L538" s="15" t="str">
        <f>VLOOKUP(I538,Customers[#Data],5,FALSE)</f>
        <v>Van Sales</v>
      </c>
      <c r="M538" s="7" t="s">
        <v>6</v>
      </c>
      <c r="N538" s="7" t="s">
        <v>425</v>
      </c>
      <c r="O538" s="14" t="str">
        <f>VLOOKUP(N538,Stock[#Data],2,FALSE)</f>
        <v>ကောင်းကြည်-1Li</v>
      </c>
      <c r="P538" s="44">
        <f>VLOOKUP(N538,Stock[#Data],3,FALSE)</f>
        <v>1</v>
      </c>
      <c r="Q538" s="3">
        <f>VLOOKUP(N538,Stock[#Data],4,FALSE)</f>
        <v>12</v>
      </c>
      <c r="R538" s="11"/>
      <c r="S538" s="45">
        <f>IFERROR(Table4[[#This Row],[Bottle]]/Table4[[#This Row],[ပါဝင်မှု]]+Table4[[#This Row],[SalesPK]],0)</f>
        <v>1</v>
      </c>
      <c r="T538" s="12">
        <v>1</v>
      </c>
      <c r="U538" s="10">
        <f>Table4[[#This Row],[ပါဝင်မှု]]*Table4[[#This Row],[SalesPK]]+Table4[[#This Row],[Bottle]]</f>
        <v>12</v>
      </c>
      <c r="V538" s="10">
        <f>Table4[[#This Row],[SalesBot]]*Table4[[#This Row],[ML]]</f>
        <v>12</v>
      </c>
      <c r="W538" s="1">
        <f>VLOOKUP(N538,Stock[#Data],6,FALSE)</f>
        <v>1500</v>
      </c>
      <c r="X538" s="8">
        <f>+Table4[[#This Row],[SalesBot]]*Table4[[#This Row],[နှုံး]]</f>
        <v>18000</v>
      </c>
      <c r="Y538" s="12"/>
      <c r="Z538" s="12"/>
      <c r="AA538" s="12"/>
      <c r="AB538" s="9"/>
      <c r="AC538" s="12"/>
      <c r="AD538" s="9"/>
      <c r="AE538" s="12"/>
      <c r="AF53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538" s="24"/>
      <c r="AH538" s="266">
        <f>Table4[[#This Row],[Date]]</f>
        <v>46056</v>
      </c>
      <c r="AI538" s="264" t="str">
        <f t="shared" si="100"/>
        <v>Feb</v>
      </c>
      <c r="AJ538" s="264" t="str">
        <f t="shared" si="101"/>
        <v>2026</v>
      </c>
      <c r="AK538" s="270" t="str">
        <f>Table4[[#This Row],[ကုန်သည်အမည်]]</f>
        <v>၀ဿာန်နှင်း</v>
      </c>
      <c r="AL538" s="270" t="str">
        <f>Table4[[#This Row],[Township]]</f>
        <v>Maw La Myaing</v>
      </c>
      <c r="AM538" s="271" t="str">
        <f>Table4[[#This Row],[WholeSales]]</f>
        <v>Van Sales</v>
      </c>
      <c r="AN538" s="272" t="str">
        <f>Table4[[#This Row],[Particular]]</f>
        <v>ကုန်ရောင်း(လက်ငင်း)</v>
      </c>
      <c r="AO538" s="273" t="str">
        <f>Table4[[#This Row],[StockName]]</f>
        <v>ကောင်းကြည်-1Li</v>
      </c>
      <c r="AP538" s="268">
        <f>Table4[[#This Row],[Parking]]</f>
        <v>1</v>
      </c>
      <c r="AQ538" s="268">
        <f>Table4[[#This Row],[SalesBot]]</f>
        <v>12</v>
      </c>
      <c r="AR538" s="268">
        <f>Table4[[#This Row],[Liter]]</f>
        <v>12</v>
      </c>
    </row>
    <row r="539" spans="1:44" s="16" customFormat="1" hidden="1" x14ac:dyDescent="0.5">
      <c r="A539" s="3">
        <f t="shared" si="102"/>
        <v>2026</v>
      </c>
      <c r="B539" s="8">
        <f t="shared" si="103"/>
        <v>2</v>
      </c>
      <c r="C539" s="6">
        <v>46056</v>
      </c>
      <c r="D539" s="15">
        <f t="shared" ca="1" si="104"/>
        <v>46097</v>
      </c>
      <c r="E539" s="15" t="str">
        <f t="shared" ca="1" si="105"/>
        <v>1-Months</v>
      </c>
      <c r="F539" s="8" t="str">
        <f>VLOOKUP(N539,Stock[#Data],5,FALSE)</f>
        <v>BE</v>
      </c>
      <c r="G539" s="82" t="s">
        <v>1286</v>
      </c>
      <c r="H539" s="15"/>
      <c r="I539" s="7" t="s">
        <v>601</v>
      </c>
      <c r="J539" s="8" t="str">
        <f>VLOOKUP(I539,Customers[#Data],2,FALSE)</f>
        <v>၀ဿာန်နှင်း</v>
      </c>
      <c r="K539" s="15" t="str">
        <f>VLOOKUP(I539,Customers[#Data],4,FALSE)</f>
        <v>Maw La Myaing</v>
      </c>
      <c r="L539" s="15" t="str">
        <f>VLOOKUP(I539,Customers[#Data],5,FALSE)</f>
        <v>Van Sales</v>
      </c>
      <c r="M539" s="7" t="s">
        <v>6</v>
      </c>
      <c r="N539" s="7" t="s">
        <v>533</v>
      </c>
      <c r="O539" s="14" t="str">
        <f>VLOOKUP(N539,Stock[#Data],2,FALSE)</f>
        <v>ရွှေမန်း</v>
      </c>
      <c r="P539" s="44">
        <f>VLOOKUP(N539,Stock[#Data],3,FALSE)</f>
        <v>0.64</v>
      </c>
      <c r="Q539" s="3">
        <f>VLOOKUP(N539,Stock[#Data],4,FALSE)</f>
        <v>14</v>
      </c>
      <c r="R539" s="11">
        <v>6</v>
      </c>
      <c r="S539" s="45">
        <f>IFERROR(Table4[[#This Row],[Bottle]]/Table4[[#This Row],[ပါဝင်မှု]]+Table4[[#This Row],[SalesPK]],0)</f>
        <v>0.42857142857142855</v>
      </c>
      <c r="T539" s="12"/>
      <c r="U539" s="10">
        <f>Table4[[#This Row],[ပါဝင်မှု]]*Table4[[#This Row],[SalesPK]]+Table4[[#This Row],[Bottle]]</f>
        <v>6</v>
      </c>
      <c r="V539" s="10">
        <f>Table4[[#This Row],[SalesBot]]*Table4[[#This Row],[ML]]</f>
        <v>3.84</v>
      </c>
      <c r="W539" s="1">
        <f>VLOOKUP(N539,Stock[#Data],6,FALSE)</f>
        <v>1500</v>
      </c>
      <c r="X539" s="8">
        <f>+Table4[[#This Row],[SalesBot]]*Table4[[#This Row],[နှုံး]]</f>
        <v>9000</v>
      </c>
      <c r="Y539" s="12"/>
      <c r="Z539" s="12"/>
      <c r="AA539" s="12"/>
      <c r="AB539" s="9"/>
      <c r="AC539" s="12"/>
      <c r="AD539" s="9"/>
      <c r="AE539" s="12"/>
      <c r="AF53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9000</v>
      </c>
      <c r="AG539" s="24"/>
      <c r="AH539" s="266">
        <f>Table4[[#This Row],[Date]]</f>
        <v>46056</v>
      </c>
      <c r="AI539" s="264" t="str">
        <f t="shared" si="100"/>
        <v>Feb</v>
      </c>
      <c r="AJ539" s="264" t="str">
        <f t="shared" si="101"/>
        <v>2026</v>
      </c>
      <c r="AK539" s="270" t="str">
        <f>Table4[[#This Row],[ကုန်သည်အမည်]]</f>
        <v>၀ဿာန်နှင်း</v>
      </c>
      <c r="AL539" s="270" t="str">
        <f>Table4[[#This Row],[Township]]</f>
        <v>Maw La Myaing</v>
      </c>
      <c r="AM539" s="271" t="str">
        <f>Table4[[#This Row],[WholeSales]]</f>
        <v>Van Sales</v>
      </c>
      <c r="AN539" s="272" t="str">
        <f>Table4[[#This Row],[Particular]]</f>
        <v>ကုန်ရောင်း(လက်ငင်း)</v>
      </c>
      <c r="AO539" s="273" t="str">
        <f>Table4[[#This Row],[StockName]]</f>
        <v>ရွှေမန်း</v>
      </c>
      <c r="AP539" s="268">
        <f>Table4[[#This Row],[Parking]]</f>
        <v>0.42857142857142855</v>
      </c>
      <c r="AQ539" s="268">
        <f>Table4[[#This Row],[SalesBot]]</f>
        <v>6</v>
      </c>
      <c r="AR539" s="268">
        <f>Table4[[#This Row],[Liter]]</f>
        <v>3.84</v>
      </c>
    </row>
    <row r="540" spans="1:44" s="16" customFormat="1" hidden="1" x14ac:dyDescent="0.5">
      <c r="A540" s="3">
        <f t="shared" si="102"/>
        <v>2026</v>
      </c>
      <c r="B540" s="8">
        <f t="shared" si="103"/>
        <v>2</v>
      </c>
      <c r="C540" s="6">
        <v>46057</v>
      </c>
      <c r="D540" s="15">
        <f t="shared" ca="1" si="104"/>
        <v>46097</v>
      </c>
      <c r="E540" s="15" t="str">
        <f t="shared" ca="1" si="105"/>
        <v>1-Months</v>
      </c>
      <c r="F540" s="8" t="str">
        <f>VLOOKUP(N540,Stock[#Data],5,FALSE)</f>
        <v>BE</v>
      </c>
      <c r="G540" s="82" t="s">
        <v>1287</v>
      </c>
      <c r="H540" s="15"/>
      <c r="I540" s="7" t="s">
        <v>83</v>
      </c>
      <c r="J540" s="8" t="str">
        <f>VLOOKUP(I540,Customers[#Data],2,FALSE)</f>
        <v>ကိုစိုးနိုင်</v>
      </c>
      <c r="K540" s="15" t="str">
        <f>VLOOKUP(I540,Customers[#Data],4,FALSE)</f>
        <v>Paung</v>
      </c>
      <c r="L540" s="15" t="str">
        <f>VLOOKUP(I540,Customers[#Data],5,FALSE)</f>
        <v>Van Sales</v>
      </c>
      <c r="M540" s="7" t="s">
        <v>7</v>
      </c>
      <c r="N540" s="7" t="s">
        <v>516</v>
      </c>
      <c r="O540" s="14" t="str">
        <f>VLOOKUP(N540,Stock[#Data],2,FALSE)</f>
        <v>ဇေ Vodka</v>
      </c>
      <c r="P540" s="44">
        <f>VLOOKUP(N540,Stock[#Data],3,FALSE)</f>
        <v>0.64</v>
      </c>
      <c r="Q540" s="3">
        <f>VLOOKUP(N540,Stock[#Data],4,FALSE)</f>
        <v>14</v>
      </c>
      <c r="R540" s="11"/>
      <c r="S540" s="45">
        <f>IFERROR(Table4[[#This Row],[Bottle]]/Table4[[#This Row],[ပါဝင်မှု]]+Table4[[#This Row],[SalesPK]],0)</f>
        <v>30</v>
      </c>
      <c r="T540" s="12">
        <v>30</v>
      </c>
      <c r="U540" s="10">
        <f>Table4[[#This Row],[ပါဝင်မှု]]*Table4[[#This Row],[SalesPK]]+Table4[[#This Row],[Bottle]]</f>
        <v>420</v>
      </c>
      <c r="V540" s="10">
        <f>Table4[[#This Row],[SalesBot]]*Table4[[#This Row],[ML]]</f>
        <v>268.8</v>
      </c>
      <c r="W540" s="1">
        <f>VLOOKUP(N540,Stock[#Data],6,FALSE)</f>
        <v>1400</v>
      </c>
      <c r="X540" s="8">
        <f>+Table4[[#This Row],[SalesBot]]*Table4[[#This Row],[နှုံး]]</f>
        <v>588000</v>
      </c>
      <c r="Y540" s="12"/>
      <c r="Z540" s="12"/>
      <c r="AA540" s="12"/>
      <c r="AB540" s="9"/>
      <c r="AC540" s="12"/>
      <c r="AD540" s="9"/>
      <c r="AE540" s="12"/>
      <c r="AF54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588000</v>
      </c>
      <c r="AG540" s="24"/>
      <c r="AH540" s="266">
        <f>Table4[[#This Row],[Date]]</f>
        <v>46057</v>
      </c>
      <c r="AI540" s="264" t="str">
        <f t="shared" si="100"/>
        <v>Feb</v>
      </c>
      <c r="AJ540" s="264" t="str">
        <f t="shared" si="101"/>
        <v>2026</v>
      </c>
      <c r="AK540" s="270" t="str">
        <f>Table4[[#This Row],[ကုန်သည်အမည်]]</f>
        <v>ကိုစိုးနိုင်</v>
      </c>
      <c r="AL540" s="270" t="str">
        <f>Table4[[#This Row],[Township]]</f>
        <v>Paung</v>
      </c>
      <c r="AM540" s="271" t="str">
        <f>Table4[[#This Row],[WholeSales]]</f>
        <v>Van Sales</v>
      </c>
      <c r="AN540" s="272" t="str">
        <f>Table4[[#This Row],[Particular]]</f>
        <v>ကုန်ရောင်း(အကြွေး)</v>
      </c>
      <c r="AO540" s="273" t="str">
        <f>Table4[[#This Row],[StockName]]</f>
        <v>ဇေ Vodka</v>
      </c>
      <c r="AP540" s="268">
        <f>Table4[[#This Row],[Parking]]</f>
        <v>30</v>
      </c>
      <c r="AQ540" s="268">
        <f>Table4[[#This Row],[SalesBot]]</f>
        <v>420</v>
      </c>
      <c r="AR540" s="268">
        <f>Table4[[#This Row],[Liter]]</f>
        <v>268.8</v>
      </c>
    </row>
    <row r="541" spans="1:44" s="16" customFormat="1" hidden="1" x14ac:dyDescent="0.5">
      <c r="A541" s="3">
        <f t="shared" si="102"/>
        <v>2026</v>
      </c>
      <c r="B541" s="8">
        <f t="shared" si="103"/>
        <v>2</v>
      </c>
      <c r="C541" s="6">
        <v>46057</v>
      </c>
      <c r="D541" s="15">
        <f t="shared" ca="1" si="104"/>
        <v>46097</v>
      </c>
      <c r="E541" s="15" t="str">
        <f t="shared" ca="1" si="105"/>
        <v>1-Months</v>
      </c>
      <c r="F541" s="8" t="str">
        <f>VLOOKUP(N541,Stock[#Data],5,FALSE)</f>
        <v>BE</v>
      </c>
      <c r="G541" s="82" t="s">
        <v>1287</v>
      </c>
      <c r="H541" s="15"/>
      <c r="I541" s="7" t="s">
        <v>83</v>
      </c>
      <c r="J541" s="8" t="str">
        <f>VLOOKUP(I541,Customers[#Data],2,FALSE)</f>
        <v>ကိုစိုးနိုင်</v>
      </c>
      <c r="K541" s="15" t="str">
        <f>VLOOKUP(I541,Customers[#Data],4,FALSE)</f>
        <v>Paung</v>
      </c>
      <c r="L541" s="15" t="str">
        <f>VLOOKUP(I541,Customers[#Data],5,FALSE)</f>
        <v>Van Sales</v>
      </c>
      <c r="M541" s="7" t="s">
        <v>7</v>
      </c>
      <c r="N541" s="7" t="s">
        <v>521</v>
      </c>
      <c r="O541" s="14" t="str">
        <f>VLOOKUP(N541,Stock[#Data],2,FALSE)</f>
        <v>ဒဂုံအရက်သန့်</v>
      </c>
      <c r="P541" s="44">
        <f>VLOOKUP(N541,Stock[#Data],3,FALSE)</f>
        <v>0.64</v>
      </c>
      <c r="Q541" s="3">
        <f>VLOOKUP(N541,Stock[#Data],4,FALSE)</f>
        <v>24</v>
      </c>
      <c r="R541" s="11"/>
      <c r="S541" s="45">
        <f>IFERROR(Table4[[#This Row],[Bottle]]/Table4[[#This Row],[ပါဝင်မှု]]+Table4[[#This Row],[SalesPK]],0)</f>
        <v>10</v>
      </c>
      <c r="T541" s="12">
        <v>10</v>
      </c>
      <c r="U541" s="10">
        <f>Table4[[#This Row],[ပါဝင်မှု]]*Table4[[#This Row],[SalesPK]]+Table4[[#This Row],[Bottle]]</f>
        <v>240</v>
      </c>
      <c r="V541" s="10">
        <f>Table4[[#This Row],[SalesBot]]*Table4[[#This Row],[ML]]</f>
        <v>153.6</v>
      </c>
      <c r="W541" s="1">
        <f>VLOOKUP(N541,Stock[#Data],6,FALSE)</f>
        <v>1350</v>
      </c>
      <c r="X541" s="8">
        <f>+Table4[[#This Row],[SalesBot]]*Table4[[#This Row],[နှုံး]]</f>
        <v>324000</v>
      </c>
      <c r="Y541" s="12"/>
      <c r="Z541" s="12"/>
      <c r="AA541" s="12"/>
      <c r="AB541" s="9"/>
      <c r="AC541" s="12"/>
      <c r="AD541" s="9"/>
      <c r="AE541" s="12"/>
      <c r="AF54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324000</v>
      </c>
      <c r="AG541" s="24"/>
      <c r="AH541" s="266">
        <f>Table4[[#This Row],[Date]]</f>
        <v>46057</v>
      </c>
      <c r="AI541" s="264" t="str">
        <f t="shared" si="100"/>
        <v>Feb</v>
      </c>
      <c r="AJ541" s="264" t="str">
        <f t="shared" si="101"/>
        <v>2026</v>
      </c>
      <c r="AK541" s="270" t="str">
        <f>Table4[[#This Row],[ကုန်သည်အမည်]]</f>
        <v>ကိုစိုးနိုင်</v>
      </c>
      <c r="AL541" s="270" t="str">
        <f>Table4[[#This Row],[Township]]</f>
        <v>Paung</v>
      </c>
      <c r="AM541" s="271" t="str">
        <f>Table4[[#This Row],[WholeSales]]</f>
        <v>Van Sales</v>
      </c>
      <c r="AN541" s="272" t="str">
        <f>Table4[[#This Row],[Particular]]</f>
        <v>ကုန်ရောင်း(အကြွေး)</v>
      </c>
      <c r="AO541" s="273" t="str">
        <f>Table4[[#This Row],[StockName]]</f>
        <v>ဒဂုံအရက်သန့်</v>
      </c>
      <c r="AP541" s="268">
        <f>Table4[[#This Row],[Parking]]</f>
        <v>10</v>
      </c>
      <c r="AQ541" s="268">
        <f>Table4[[#This Row],[SalesBot]]</f>
        <v>240</v>
      </c>
      <c r="AR541" s="268">
        <f>Table4[[#This Row],[Liter]]</f>
        <v>153.6</v>
      </c>
    </row>
    <row r="542" spans="1:44" s="16" customFormat="1" hidden="1" x14ac:dyDescent="0.5">
      <c r="A542" s="3">
        <f t="shared" si="102"/>
        <v>2026</v>
      </c>
      <c r="B542" s="8">
        <f t="shared" si="103"/>
        <v>2</v>
      </c>
      <c r="C542" s="6">
        <v>46057</v>
      </c>
      <c r="D542" s="15">
        <f t="shared" ca="1" si="104"/>
        <v>46097</v>
      </c>
      <c r="E542" s="15" t="str">
        <f t="shared" ca="1" si="105"/>
        <v>1-Months</v>
      </c>
      <c r="F542" s="8" t="str">
        <f>VLOOKUP(N542,Stock[#Data],5,FALSE)</f>
        <v>BE</v>
      </c>
      <c r="G542" s="82" t="s">
        <v>1288</v>
      </c>
      <c r="H542" s="15"/>
      <c r="I542" s="7" t="s">
        <v>95</v>
      </c>
      <c r="J542" s="8" t="str">
        <f>VLOOKUP(I542,Customers[#Data],2,FALSE)</f>
        <v>ကျော်စတား</v>
      </c>
      <c r="K542" s="15" t="str">
        <f>VLOOKUP(I542,Customers[#Data],4,FALSE)</f>
        <v>Yay</v>
      </c>
      <c r="L542" s="15" t="str">
        <f>VLOOKUP(I542,Customers[#Data],5,FALSE)</f>
        <v>WholeSales</v>
      </c>
      <c r="M542" s="7" t="s">
        <v>7</v>
      </c>
      <c r="N542" s="7" t="s">
        <v>514</v>
      </c>
      <c r="O542" s="14" t="str">
        <f>VLOOKUP(N542,Stock[#Data],2,FALSE)</f>
        <v>ဇေယျဝတီ Red</v>
      </c>
      <c r="P542" s="44">
        <f>VLOOKUP(N542,Stock[#Data],3,FALSE)</f>
        <v>0.64</v>
      </c>
      <c r="Q542" s="3">
        <f>VLOOKUP(N542,Stock[#Data],4,FALSE)</f>
        <v>14</v>
      </c>
      <c r="R542" s="11"/>
      <c r="S542" s="45">
        <f>IFERROR(Table4[[#This Row],[Bottle]]/Table4[[#This Row],[ပါဝင်မှု]]+Table4[[#This Row],[SalesPK]],0)</f>
        <v>120</v>
      </c>
      <c r="T542" s="12">
        <v>120</v>
      </c>
      <c r="U542" s="10">
        <f>Table4[[#This Row],[ပါဝင်မှု]]*Table4[[#This Row],[SalesPK]]+Table4[[#This Row],[Bottle]]</f>
        <v>1680</v>
      </c>
      <c r="V542" s="10">
        <f>Table4[[#This Row],[SalesBot]]*Table4[[#This Row],[ML]]</f>
        <v>1075.2</v>
      </c>
      <c r="W542" s="1">
        <f>VLOOKUP(N542,Stock[#Data],6,FALSE)</f>
        <v>1350</v>
      </c>
      <c r="X542" s="8">
        <f>+Table4[[#This Row],[SalesBot]]*Table4[[#This Row],[နှုံး]]</f>
        <v>2268000</v>
      </c>
      <c r="Y542" s="12"/>
      <c r="Z542" s="12"/>
      <c r="AA542" s="12"/>
      <c r="AB542" s="9"/>
      <c r="AC542" s="12"/>
      <c r="AD542" s="9"/>
      <c r="AE542" s="12"/>
      <c r="AF54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2268000</v>
      </c>
      <c r="AG542" s="24"/>
      <c r="AH542" s="266">
        <f>Table4[[#This Row],[Date]]</f>
        <v>46057</v>
      </c>
      <c r="AI542" s="264" t="str">
        <f t="shared" si="100"/>
        <v>Feb</v>
      </c>
      <c r="AJ542" s="264" t="str">
        <f t="shared" si="101"/>
        <v>2026</v>
      </c>
      <c r="AK542" s="270" t="str">
        <f>Table4[[#This Row],[ကုန်သည်အမည်]]</f>
        <v>ကျော်စတား</v>
      </c>
      <c r="AL542" s="270" t="str">
        <f>Table4[[#This Row],[Township]]</f>
        <v>Yay</v>
      </c>
      <c r="AM542" s="271" t="str">
        <f>Table4[[#This Row],[WholeSales]]</f>
        <v>WholeSales</v>
      </c>
      <c r="AN542" s="272" t="str">
        <f>Table4[[#This Row],[Particular]]</f>
        <v>ကုန်ရောင်း(အကြွေး)</v>
      </c>
      <c r="AO542" s="273" t="str">
        <f>Table4[[#This Row],[StockName]]</f>
        <v>ဇေယျဝတီ Red</v>
      </c>
      <c r="AP542" s="268">
        <f>Table4[[#This Row],[Parking]]</f>
        <v>120</v>
      </c>
      <c r="AQ542" s="268">
        <f>Table4[[#This Row],[SalesBot]]</f>
        <v>1680</v>
      </c>
      <c r="AR542" s="268">
        <f>Table4[[#This Row],[Liter]]</f>
        <v>1075.2</v>
      </c>
    </row>
    <row r="543" spans="1:44" s="16" customFormat="1" hidden="1" x14ac:dyDescent="0.5">
      <c r="A543" s="3">
        <f t="shared" si="102"/>
        <v>2026</v>
      </c>
      <c r="B543" s="8">
        <f t="shared" si="103"/>
        <v>2</v>
      </c>
      <c r="C543" s="6">
        <v>46057</v>
      </c>
      <c r="D543" s="15">
        <f t="shared" ca="1" si="104"/>
        <v>46097</v>
      </c>
      <c r="E543" s="15" t="str">
        <f t="shared" ca="1" si="105"/>
        <v>1-Months</v>
      </c>
      <c r="F543" s="8" t="str">
        <f>VLOOKUP(N543,Stock[#Data],5,FALSE)</f>
        <v>BE</v>
      </c>
      <c r="G543" s="82" t="s">
        <v>1288</v>
      </c>
      <c r="H543" s="15"/>
      <c r="I543" s="7" t="s">
        <v>95</v>
      </c>
      <c r="J543" s="8" t="str">
        <f>VLOOKUP(I543,Customers[#Data],2,FALSE)</f>
        <v>ကျော်စတား</v>
      </c>
      <c r="K543" s="15" t="str">
        <f>VLOOKUP(I543,Customers[#Data],4,FALSE)</f>
        <v>Yay</v>
      </c>
      <c r="L543" s="15" t="str">
        <f>VLOOKUP(I543,Customers[#Data],5,FALSE)</f>
        <v>WholeSales</v>
      </c>
      <c r="M543" s="7" t="s">
        <v>7</v>
      </c>
      <c r="N543" s="7" t="s">
        <v>517</v>
      </c>
      <c r="O543" s="14" t="str">
        <f>VLOOKUP(N543,Stock[#Data],2,FALSE)</f>
        <v>ဇေယျဝတီ Red (1 Liter) 30%</v>
      </c>
      <c r="P543" s="44">
        <f>VLOOKUP(N543,Stock[#Data],3,FALSE)</f>
        <v>1</v>
      </c>
      <c r="Q543" s="3">
        <f>VLOOKUP(N543,Stock[#Data],4,FALSE)</f>
        <v>12</v>
      </c>
      <c r="R543" s="11"/>
      <c r="S543" s="45">
        <f>IFERROR(Table4[[#This Row],[Bottle]]/Table4[[#This Row],[ပါဝင်မှု]]+Table4[[#This Row],[SalesPK]],0)</f>
        <v>100</v>
      </c>
      <c r="T543" s="12">
        <v>100</v>
      </c>
      <c r="U543" s="10">
        <f>Table4[[#This Row],[ပါဝင်မှု]]*Table4[[#This Row],[SalesPK]]+Table4[[#This Row],[Bottle]]</f>
        <v>1200</v>
      </c>
      <c r="V543" s="10">
        <f>Table4[[#This Row],[SalesBot]]*Table4[[#This Row],[ML]]</f>
        <v>1200</v>
      </c>
      <c r="W543" s="1">
        <f>VLOOKUP(N543,Stock[#Data],6,FALSE)</f>
        <v>1710</v>
      </c>
      <c r="X543" s="8">
        <f>+Table4[[#This Row],[SalesBot]]*Table4[[#This Row],[နှုံး]]</f>
        <v>2052000</v>
      </c>
      <c r="Y543" s="12"/>
      <c r="Z543" s="12"/>
      <c r="AA543" s="12"/>
      <c r="AB543" s="9"/>
      <c r="AC543" s="12"/>
      <c r="AD543" s="9"/>
      <c r="AE543" s="12"/>
      <c r="AF54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543" s="24"/>
      <c r="AH543" s="266">
        <f>Table4[[#This Row],[Date]]</f>
        <v>46057</v>
      </c>
      <c r="AI543" s="264" t="str">
        <f t="shared" si="100"/>
        <v>Feb</v>
      </c>
      <c r="AJ543" s="264" t="str">
        <f t="shared" si="101"/>
        <v>2026</v>
      </c>
      <c r="AK543" s="270" t="str">
        <f>Table4[[#This Row],[ကုန်သည်အမည်]]</f>
        <v>ကျော်စတား</v>
      </c>
      <c r="AL543" s="270" t="str">
        <f>Table4[[#This Row],[Township]]</f>
        <v>Yay</v>
      </c>
      <c r="AM543" s="271" t="str">
        <f>Table4[[#This Row],[WholeSales]]</f>
        <v>WholeSales</v>
      </c>
      <c r="AN543" s="272" t="str">
        <f>Table4[[#This Row],[Particular]]</f>
        <v>ကုန်ရောင်း(အကြွေး)</v>
      </c>
      <c r="AO543" s="273" t="str">
        <f>Table4[[#This Row],[StockName]]</f>
        <v>ဇေယျဝတီ Red (1 Liter) 30%</v>
      </c>
      <c r="AP543" s="268">
        <f>Table4[[#This Row],[Parking]]</f>
        <v>100</v>
      </c>
      <c r="AQ543" s="268">
        <f>Table4[[#This Row],[SalesBot]]</f>
        <v>1200</v>
      </c>
      <c r="AR543" s="268">
        <f>Table4[[#This Row],[Liter]]</f>
        <v>1200</v>
      </c>
    </row>
    <row r="544" spans="1:44" s="16" customFormat="1" hidden="1" x14ac:dyDescent="0.5">
      <c r="A544" s="3">
        <f t="shared" ref="A544:A575" si="106">YEAR(C544)</f>
        <v>2026</v>
      </c>
      <c r="B544" s="8">
        <f t="shared" ref="B544:B575" si="107">MONTH(C544)</f>
        <v>2</v>
      </c>
      <c r="C544" s="6">
        <v>46057</v>
      </c>
      <c r="D544" s="15">
        <f t="shared" ref="D544:D575" ca="1" si="108">TODAY()</f>
        <v>46097</v>
      </c>
      <c r="E544" s="15" t="str">
        <f t="shared" ref="E544:E575" ca="1" si="109">DATEDIF(C544,D544,"M")&amp;"-Months"</f>
        <v>1-Months</v>
      </c>
      <c r="F544" s="8" t="str">
        <f>VLOOKUP(N544,Stock[#Data],5,FALSE)</f>
        <v>BE</v>
      </c>
      <c r="G544" s="82" t="s">
        <v>1289</v>
      </c>
      <c r="H544" s="15"/>
      <c r="I544" s="7" t="s">
        <v>538</v>
      </c>
      <c r="J544" s="8" t="str">
        <f>VLOOKUP(I544,Customers[#Data],2,FALSE)</f>
        <v>ဒေါ်နွယ်နွယ်ရီ(ရွှေတောင်ကြား)</v>
      </c>
      <c r="K544" s="15" t="str">
        <f>VLOOKUP(I544,Customers[#Data],4,FALSE)</f>
        <v>Yay</v>
      </c>
      <c r="L544" s="15" t="str">
        <f>VLOOKUP(I544,Customers[#Data],5,FALSE)</f>
        <v>WholeSales</v>
      </c>
      <c r="M544" s="7" t="s">
        <v>7</v>
      </c>
      <c r="N544" s="7" t="s">
        <v>517</v>
      </c>
      <c r="O544" s="14" t="str">
        <f>VLOOKUP(N544,Stock[#Data],2,FALSE)</f>
        <v>ဇေယျဝတီ Red (1 Liter) 30%</v>
      </c>
      <c r="P544" s="44">
        <f>VLOOKUP(N544,Stock[#Data],3,FALSE)</f>
        <v>1</v>
      </c>
      <c r="Q544" s="3">
        <f>VLOOKUP(N544,Stock[#Data],4,FALSE)</f>
        <v>12</v>
      </c>
      <c r="R544" s="11"/>
      <c r="S544" s="45">
        <f>IFERROR(Table4[[#This Row],[Bottle]]/Table4[[#This Row],[ပါဝင်မှု]]+Table4[[#This Row],[SalesPK]],0)</f>
        <v>100</v>
      </c>
      <c r="T544" s="12">
        <v>100</v>
      </c>
      <c r="U544" s="10">
        <f>Table4[[#This Row],[ပါဝင်မှု]]*Table4[[#This Row],[SalesPK]]+Table4[[#This Row],[Bottle]]</f>
        <v>1200</v>
      </c>
      <c r="V544" s="10">
        <f>Table4[[#This Row],[SalesBot]]*Table4[[#This Row],[ML]]</f>
        <v>1200</v>
      </c>
      <c r="W544" s="1">
        <f>VLOOKUP(N544,Stock[#Data],6,FALSE)</f>
        <v>1710</v>
      </c>
      <c r="X544" s="8">
        <f>+Table4[[#This Row],[SalesBot]]*Table4[[#This Row],[နှုံး]]</f>
        <v>2052000</v>
      </c>
      <c r="Y544" s="12"/>
      <c r="Z544" s="12"/>
      <c r="AA544" s="12"/>
      <c r="AB544" s="9"/>
      <c r="AC544" s="12"/>
      <c r="AD544" s="9"/>
      <c r="AE544" s="12"/>
      <c r="AF54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544" s="24"/>
      <c r="AH544" s="266">
        <f>Table4[[#This Row],[Date]]</f>
        <v>46057</v>
      </c>
      <c r="AI544" s="264" t="str">
        <f t="shared" si="100"/>
        <v>Feb</v>
      </c>
      <c r="AJ544" s="264" t="str">
        <f t="shared" si="101"/>
        <v>2026</v>
      </c>
      <c r="AK544" s="270" t="str">
        <f>Table4[[#This Row],[ကုန်သည်အမည်]]</f>
        <v>ဒေါ်နွယ်နွယ်ရီ(ရွှေတောင်ကြား)</v>
      </c>
      <c r="AL544" s="270" t="str">
        <f>Table4[[#This Row],[Township]]</f>
        <v>Yay</v>
      </c>
      <c r="AM544" s="271" t="str">
        <f>Table4[[#This Row],[WholeSales]]</f>
        <v>WholeSales</v>
      </c>
      <c r="AN544" s="272" t="str">
        <f>Table4[[#This Row],[Particular]]</f>
        <v>ကုန်ရောင်း(အကြွေး)</v>
      </c>
      <c r="AO544" s="273" t="str">
        <f>Table4[[#This Row],[StockName]]</f>
        <v>ဇေယျဝတီ Red (1 Liter) 30%</v>
      </c>
      <c r="AP544" s="268">
        <f>Table4[[#This Row],[Parking]]</f>
        <v>100</v>
      </c>
      <c r="AQ544" s="268">
        <f>Table4[[#This Row],[SalesBot]]</f>
        <v>1200</v>
      </c>
      <c r="AR544" s="268">
        <f>Table4[[#This Row],[Liter]]</f>
        <v>1200</v>
      </c>
    </row>
    <row r="545" spans="1:44" s="16" customFormat="1" hidden="1" x14ac:dyDescent="0.5">
      <c r="A545" s="3">
        <f t="shared" si="106"/>
        <v>2026</v>
      </c>
      <c r="B545" s="8">
        <f t="shared" si="107"/>
        <v>2</v>
      </c>
      <c r="C545" s="6">
        <v>46057</v>
      </c>
      <c r="D545" s="15">
        <f t="shared" ca="1" si="108"/>
        <v>46097</v>
      </c>
      <c r="E545" s="15" t="str">
        <f t="shared" ca="1" si="109"/>
        <v>1-Months</v>
      </c>
      <c r="F545" s="8" t="str">
        <f>VLOOKUP(N545,Stock[#Data],5,FALSE)</f>
        <v>BE</v>
      </c>
      <c r="G545" s="82" t="s">
        <v>1290</v>
      </c>
      <c r="H545" s="15"/>
      <c r="I545" s="7" t="s">
        <v>101</v>
      </c>
      <c r="J545" s="8" t="str">
        <f>VLOOKUP(I545,Customers[#Data],2,FALSE)</f>
        <v>ကိုမောင်+မသူဇာ</v>
      </c>
      <c r="K545" s="15" t="str">
        <f>VLOOKUP(I545,Customers[#Data],4,FALSE)</f>
        <v>Yay</v>
      </c>
      <c r="L545" s="15" t="str">
        <f>VLOOKUP(I545,Customers[#Data],5,FALSE)</f>
        <v>WholeSales</v>
      </c>
      <c r="M545" s="7" t="s">
        <v>7</v>
      </c>
      <c r="N545" s="7" t="s">
        <v>517</v>
      </c>
      <c r="O545" s="14" t="str">
        <f>VLOOKUP(N545,Stock[#Data],2,FALSE)</f>
        <v>ဇေယျဝတီ Red (1 Liter) 30%</v>
      </c>
      <c r="P545" s="44">
        <f>VLOOKUP(N545,Stock[#Data],3,FALSE)</f>
        <v>1</v>
      </c>
      <c r="Q545" s="3">
        <f>VLOOKUP(N545,Stock[#Data],4,FALSE)</f>
        <v>12</v>
      </c>
      <c r="R545" s="11"/>
      <c r="S545" s="45">
        <f>IFERROR(Table4[[#This Row],[Bottle]]/Table4[[#This Row],[ပါဝင်မှု]]+Table4[[#This Row],[SalesPK]],0)</f>
        <v>50</v>
      </c>
      <c r="T545" s="12">
        <v>50</v>
      </c>
      <c r="U545" s="10">
        <f>Table4[[#This Row],[ပါဝင်မှု]]*Table4[[#This Row],[SalesPK]]+Table4[[#This Row],[Bottle]]</f>
        <v>600</v>
      </c>
      <c r="V545" s="10">
        <f>Table4[[#This Row],[SalesBot]]*Table4[[#This Row],[ML]]</f>
        <v>600</v>
      </c>
      <c r="W545" s="1">
        <f>VLOOKUP(N545,Stock[#Data],6,FALSE)</f>
        <v>1710</v>
      </c>
      <c r="X545" s="8">
        <f>+Table4[[#This Row],[SalesBot]]*Table4[[#This Row],[နှုံး]]</f>
        <v>1026000</v>
      </c>
      <c r="Y545" s="12"/>
      <c r="Z545" s="12"/>
      <c r="AA545" s="12"/>
      <c r="AB545" s="9"/>
      <c r="AC545" s="12"/>
      <c r="AD545" s="9"/>
      <c r="AE545" s="12"/>
      <c r="AF54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545" s="24"/>
      <c r="AH545" s="266">
        <f>Table4[[#This Row],[Date]]</f>
        <v>46057</v>
      </c>
      <c r="AI545" s="264" t="str">
        <f t="shared" si="100"/>
        <v>Feb</v>
      </c>
      <c r="AJ545" s="264" t="str">
        <f t="shared" si="101"/>
        <v>2026</v>
      </c>
      <c r="AK545" s="270" t="str">
        <f>Table4[[#This Row],[ကုန်သည်အမည်]]</f>
        <v>ကိုမောင်+မသူဇာ</v>
      </c>
      <c r="AL545" s="270" t="str">
        <f>Table4[[#This Row],[Township]]</f>
        <v>Yay</v>
      </c>
      <c r="AM545" s="271" t="str">
        <f>Table4[[#This Row],[WholeSales]]</f>
        <v>WholeSales</v>
      </c>
      <c r="AN545" s="272" t="str">
        <f>Table4[[#This Row],[Particular]]</f>
        <v>ကုန်ရောင်း(အကြွေး)</v>
      </c>
      <c r="AO545" s="273" t="str">
        <f>Table4[[#This Row],[StockName]]</f>
        <v>ဇေယျဝတီ Red (1 Liter) 30%</v>
      </c>
      <c r="AP545" s="268">
        <f>Table4[[#This Row],[Parking]]</f>
        <v>50</v>
      </c>
      <c r="AQ545" s="268">
        <f>Table4[[#This Row],[SalesBot]]</f>
        <v>600</v>
      </c>
      <c r="AR545" s="268">
        <f>Table4[[#This Row],[Liter]]</f>
        <v>600</v>
      </c>
    </row>
    <row r="546" spans="1:44" s="16" customFormat="1" hidden="1" x14ac:dyDescent="0.5">
      <c r="A546" s="3">
        <f t="shared" si="106"/>
        <v>2026</v>
      </c>
      <c r="B546" s="8">
        <f t="shared" si="107"/>
        <v>2</v>
      </c>
      <c r="C546" s="6">
        <v>46057</v>
      </c>
      <c r="D546" s="15">
        <f t="shared" ca="1" si="108"/>
        <v>46097</v>
      </c>
      <c r="E546" s="15" t="str">
        <f t="shared" ca="1" si="109"/>
        <v>1-Months</v>
      </c>
      <c r="F546" s="8" t="str">
        <f>VLOOKUP(N546,Stock[#Data],5,FALSE)</f>
        <v>BE</v>
      </c>
      <c r="G546" s="82" t="s">
        <v>1291</v>
      </c>
      <c r="H546" s="15"/>
      <c r="I546" s="7" t="s">
        <v>108</v>
      </c>
      <c r="J546" s="8" t="str">
        <f>VLOOKUP(I546,Customers[#Data],2,FALSE)</f>
        <v>ကိုညီညီဆွေ</v>
      </c>
      <c r="K546" s="15" t="str">
        <f>VLOOKUP(I546,Customers[#Data],4,FALSE)</f>
        <v>Maw La Myaing</v>
      </c>
      <c r="L546" s="15" t="str">
        <f>VLOOKUP(I546,Customers[#Data],5,FALSE)</f>
        <v>WholeSales</v>
      </c>
      <c r="M546" s="7" t="s">
        <v>6</v>
      </c>
      <c r="N546" s="7" t="s">
        <v>516</v>
      </c>
      <c r="O546" s="14" t="str">
        <f>VLOOKUP(N546,Stock[#Data],2,FALSE)</f>
        <v>ဇေ Vodka</v>
      </c>
      <c r="P546" s="44">
        <f>VLOOKUP(N546,Stock[#Data],3,FALSE)</f>
        <v>0.64</v>
      </c>
      <c r="Q546" s="3">
        <f>VLOOKUP(N546,Stock[#Data],4,FALSE)</f>
        <v>14</v>
      </c>
      <c r="R546" s="11"/>
      <c r="S546" s="45">
        <f>IFERROR(Table4[[#This Row],[Bottle]]/Table4[[#This Row],[ပါဝင်မှု]]+Table4[[#This Row],[SalesPK]],0)</f>
        <v>100</v>
      </c>
      <c r="T546" s="12">
        <v>100</v>
      </c>
      <c r="U546" s="10">
        <f>Table4[[#This Row],[ပါဝင်မှု]]*Table4[[#This Row],[SalesPK]]+Table4[[#This Row],[Bottle]]</f>
        <v>1400</v>
      </c>
      <c r="V546" s="10">
        <f>Table4[[#This Row],[SalesBot]]*Table4[[#This Row],[ML]]</f>
        <v>896</v>
      </c>
      <c r="W546" s="1">
        <f>VLOOKUP(N546,Stock[#Data],6,FALSE)</f>
        <v>1400</v>
      </c>
      <c r="X546" s="8">
        <f>+Table4[[#This Row],[SalesBot]]*Table4[[#This Row],[နှုံး]]</f>
        <v>1960000</v>
      </c>
      <c r="Y546" s="12"/>
      <c r="Z546" s="12"/>
      <c r="AA546" s="12"/>
      <c r="AB546" s="9"/>
      <c r="AC546" s="12"/>
      <c r="AD546" s="9"/>
      <c r="AE546" s="12"/>
      <c r="AF54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1960000</v>
      </c>
      <c r="AG546" s="24"/>
      <c r="AH546" s="266">
        <f>Table4[[#This Row],[Date]]</f>
        <v>46057</v>
      </c>
      <c r="AI546" s="264" t="str">
        <f t="shared" si="100"/>
        <v>Feb</v>
      </c>
      <c r="AJ546" s="264" t="str">
        <f t="shared" si="101"/>
        <v>2026</v>
      </c>
      <c r="AK546" s="270" t="str">
        <f>Table4[[#This Row],[ကုန်သည်အမည်]]</f>
        <v>ကိုညီညီဆွေ</v>
      </c>
      <c r="AL546" s="270" t="str">
        <f>Table4[[#This Row],[Township]]</f>
        <v>Maw La Myaing</v>
      </c>
      <c r="AM546" s="271" t="str">
        <f>Table4[[#This Row],[WholeSales]]</f>
        <v>WholeSales</v>
      </c>
      <c r="AN546" s="272" t="str">
        <f>Table4[[#This Row],[Particular]]</f>
        <v>ကုန်ရောင်း(လက်ငင်း)</v>
      </c>
      <c r="AO546" s="273" t="str">
        <f>Table4[[#This Row],[StockName]]</f>
        <v>ဇေ Vodka</v>
      </c>
      <c r="AP546" s="268">
        <f>Table4[[#This Row],[Parking]]</f>
        <v>100</v>
      </c>
      <c r="AQ546" s="268">
        <f>Table4[[#This Row],[SalesBot]]</f>
        <v>1400</v>
      </c>
      <c r="AR546" s="268">
        <f>Table4[[#This Row],[Liter]]</f>
        <v>896</v>
      </c>
    </row>
    <row r="547" spans="1:44" s="16" customFormat="1" hidden="1" x14ac:dyDescent="0.5">
      <c r="A547" s="3">
        <f t="shared" si="106"/>
        <v>2026</v>
      </c>
      <c r="B547" s="8">
        <f t="shared" si="107"/>
        <v>2</v>
      </c>
      <c r="C547" s="6">
        <v>46057</v>
      </c>
      <c r="D547" s="15">
        <f t="shared" ca="1" si="108"/>
        <v>46097</v>
      </c>
      <c r="E547" s="15" t="str">
        <f t="shared" ca="1" si="109"/>
        <v>1-Months</v>
      </c>
      <c r="F547" s="8" t="str">
        <f>VLOOKUP(N547,Stock[#Data],5,FALSE)</f>
        <v>BE</v>
      </c>
      <c r="G547" s="82" t="s">
        <v>1292</v>
      </c>
      <c r="H547" s="15"/>
      <c r="I547" s="7" t="s">
        <v>106</v>
      </c>
      <c r="J547" s="8" t="str">
        <f>VLOOKUP(I547,Customers[#Data],2,FALSE)</f>
        <v>ကိုမျိုးအောင်</v>
      </c>
      <c r="K547" s="15" t="str">
        <f>VLOOKUP(I547,Customers[#Data],4,FALSE)</f>
        <v>Maw La Myaing</v>
      </c>
      <c r="L547" s="15" t="str">
        <f>VLOOKUP(I547,Customers[#Data],5,FALSE)</f>
        <v>WholeSales</v>
      </c>
      <c r="M547" s="7" t="s">
        <v>6</v>
      </c>
      <c r="N547" s="7" t="s">
        <v>516</v>
      </c>
      <c r="O547" s="14" t="str">
        <f>VLOOKUP(N547,Stock[#Data],2,FALSE)</f>
        <v>ဇေ Vodka</v>
      </c>
      <c r="P547" s="44">
        <f>VLOOKUP(N547,Stock[#Data],3,FALSE)</f>
        <v>0.64</v>
      </c>
      <c r="Q547" s="3">
        <f>VLOOKUP(N547,Stock[#Data],4,FALSE)</f>
        <v>14</v>
      </c>
      <c r="R547" s="11"/>
      <c r="S547" s="45">
        <f>IFERROR(Table4[[#This Row],[Bottle]]/Table4[[#This Row],[ပါဝင်မှု]]+Table4[[#This Row],[SalesPK]],0)</f>
        <v>15</v>
      </c>
      <c r="T547" s="12">
        <v>15</v>
      </c>
      <c r="U547" s="10">
        <f>Table4[[#This Row],[ပါဝင်မှု]]*Table4[[#This Row],[SalesPK]]+Table4[[#This Row],[Bottle]]</f>
        <v>210</v>
      </c>
      <c r="V547" s="10">
        <f>Table4[[#This Row],[SalesBot]]*Table4[[#This Row],[ML]]</f>
        <v>134.4</v>
      </c>
      <c r="W547" s="1">
        <f>VLOOKUP(N547,Stock[#Data],6,FALSE)</f>
        <v>1400</v>
      </c>
      <c r="X547" s="8">
        <f>+Table4[[#This Row],[SalesBot]]*Table4[[#This Row],[နှုံး]]</f>
        <v>294000</v>
      </c>
      <c r="Y547" s="12"/>
      <c r="Z547" s="12"/>
      <c r="AA547" s="12"/>
      <c r="AB547" s="9"/>
      <c r="AC547" s="12"/>
      <c r="AD547" s="9"/>
      <c r="AE547" s="12"/>
      <c r="AF54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294000</v>
      </c>
      <c r="AG547" s="24"/>
      <c r="AH547" s="266">
        <f>Table4[[#This Row],[Date]]</f>
        <v>46057</v>
      </c>
      <c r="AI547" s="264" t="str">
        <f t="shared" si="100"/>
        <v>Feb</v>
      </c>
      <c r="AJ547" s="264" t="str">
        <f t="shared" si="101"/>
        <v>2026</v>
      </c>
      <c r="AK547" s="270" t="str">
        <f>Table4[[#This Row],[ကုန်သည်အမည်]]</f>
        <v>ကိုမျိုးအောင်</v>
      </c>
      <c r="AL547" s="270" t="str">
        <f>Table4[[#This Row],[Township]]</f>
        <v>Maw La Myaing</v>
      </c>
      <c r="AM547" s="271" t="str">
        <f>Table4[[#This Row],[WholeSales]]</f>
        <v>WholeSales</v>
      </c>
      <c r="AN547" s="272" t="str">
        <f>Table4[[#This Row],[Particular]]</f>
        <v>ကုန်ရောင်း(လက်ငင်း)</v>
      </c>
      <c r="AO547" s="273" t="str">
        <f>Table4[[#This Row],[StockName]]</f>
        <v>ဇေ Vodka</v>
      </c>
      <c r="AP547" s="268">
        <f>Table4[[#This Row],[Parking]]</f>
        <v>15</v>
      </c>
      <c r="AQ547" s="268">
        <f>Table4[[#This Row],[SalesBot]]</f>
        <v>210</v>
      </c>
      <c r="AR547" s="268">
        <f>Table4[[#This Row],[Liter]]</f>
        <v>134.4</v>
      </c>
    </row>
    <row r="548" spans="1:44" s="16" customFormat="1" hidden="1" x14ac:dyDescent="0.5">
      <c r="A548" s="3">
        <f t="shared" si="106"/>
        <v>2026</v>
      </c>
      <c r="B548" s="8">
        <f t="shared" si="107"/>
        <v>2</v>
      </c>
      <c r="C548" s="6">
        <v>46057</v>
      </c>
      <c r="D548" s="15">
        <f t="shared" ca="1" si="108"/>
        <v>46097</v>
      </c>
      <c r="E548" s="15" t="str">
        <f t="shared" ca="1" si="109"/>
        <v>1-Months</v>
      </c>
      <c r="F548" s="8" t="str">
        <f>VLOOKUP(N548,Stock[#Data],5,FALSE)</f>
        <v>BE</v>
      </c>
      <c r="G548" s="82" t="s">
        <v>1292</v>
      </c>
      <c r="H548" s="15"/>
      <c r="I548" s="7" t="s">
        <v>106</v>
      </c>
      <c r="J548" s="8" t="str">
        <f>VLOOKUP(I548,Customers[#Data],2,FALSE)</f>
        <v>ကိုမျိုးအောင်</v>
      </c>
      <c r="K548" s="15" t="str">
        <f>VLOOKUP(I548,Customers[#Data],4,FALSE)</f>
        <v>Maw La Myaing</v>
      </c>
      <c r="L548" s="15" t="str">
        <f>VLOOKUP(I548,Customers[#Data],5,FALSE)</f>
        <v>WholeSales</v>
      </c>
      <c r="M548" s="7" t="s">
        <v>6</v>
      </c>
      <c r="N548" s="7" t="s">
        <v>514</v>
      </c>
      <c r="O548" s="14" t="str">
        <f>VLOOKUP(N548,Stock[#Data],2,FALSE)</f>
        <v>ဇေယျဝတီ Red</v>
      </c>
      <c r="P548" s="44">
        <f>VLOOKUP(N548,Stock[#Data],3,FALSE)</f>
        <v>0.64</v>
      </c>
      <c r="Q548" s="3">
        <f>VLOOKUP(N548,Stock[#Data],4,FALSE)</f>
        <v>14</v>
      </c>
      <c r="R548" s="11"/>
      <c r="S548" s="45">
        <f>IFERROR(Table4[[#This Row],[Bottle]]/Table4[[#This Row],[ပါဝင်မှု]]+Table4[[#This Row],[SalesPK]],0)</f>
        <v>10</v>
      </c>
      <c r="T548" s="12">
        <v>10</v>
      </c>
      <c r="U548" s="10">
        <f>Table4[[#This Row],[ပါဝင်မှု]]*Table4[[#This Row],[SalesPK]]+Table4[[#This Row],[Bottle]]</f>
        <v>140</v>
      </c>
      <c r="V548" s="10">
        <f>Table4[[#This Row],[SalesBot]]*Table4[[#This Row],[ML]]</f>
        <v>89.600000000000009</v>
      </c>
      <c r="W548" s="1">
        <f>VLOOKUP(N548,Stock[#Data],6,FALSE)</f>
        <v>1350</v>
      </c>
      <c r="X548" s="8">
        <f>+Table4[[#This Row],[SalesBot]]*Table4[[#This Row],[နှုံး]]</f>
        <v>189000</v>
      </c>
      <c r="Y548" s="12"/>
      <c r="Z548" s="12"/>
      <c r="AA548" s="12"/>
      <c r="AB548" s="9"/>
      <c r="AC548" s="12"/>
      <c r="AD548" s="9"/>
      <c r="AE548" s="12"/>
      <c r="AF54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</v>
      </c>
      <c r="AG548" s="24"/>
      <c r="AH548" s="266">
        <f>Table4[[#This Row],[Date]]</f>
        <v>46057</v>
      </c>
      <c r="AI548" s="264" t="str">
        <f t="shared" si="100"/>
        <v>Feb</v>
      </c>
      <c r="AJ548" s="264" t="str">
        <f t="shared" si="101"/>
        <v>2026</v>
      </c>
      <c r="AK548" s="270" t="str">
        <f>Table4[[#This Row],[ကုန်သည်အမည်]]</f>
        <v>ကိုမျိုးအောင်</v>
      </c>
      <c r="AL548" s="270" t="str">
        <f>Table4[[#This Row],[Township]]</f>
        <v>Maw La Myaing</v>
      </c>
      <c r="AM548" s="271" t="str">
        <f>Table4[[#This Row],[WholeSales]]</f>
        <v>WholeSales</v>
      </c>
      <c r="AN548" s="272" t="str">
        <f>Table4[[#This Row],[Particular]]</f>
        <v>ကုန်ရောင်း(လက်ငင်း)</v>
      </c>
      <c r="AO548" s="273" t="str">
        <f>Table4[[#This Row],[StockName]]</f>
        <v>ဇေယျဝတီ Red</v>
      </c>
      <c r="AP548" s="268">
        <f>Table4[[#This Row],[Parking]]</f>
        <v>10</v>
      </c>
      <c r="AQ548" s="268">
        <f>Table4[[#This Row],[SalesBot]]</f>
        <v>140</v>
      </c>
      <c r="AR548" s="268">
        <f>Table4[[#This Row],[Liter]]</f>
        <v>89.600000000000009</v>
      </c>
    </row>
    <row r="549" spans="1:44" s="16" customFormat="1" hidden="1" x14ac:dyDescent="0.5">
      <c r="A549" s="3">
        <f t="shared" si="106"/>
        <v>2026</v>
      </c>
      <c r="B549" s="8">
        <f t="shared" si="107"/>
        <v>2</v>
      </c>
      <c r="C549" s="6">
        <v>46057</v>
      </c>
      <c r="D549" s="15">
        <f t="shared" ca="1" si="108"/>
        <v>46097</v>
      </c>
      <c r="E549" s="15" t="str">
        <f t="shared" ca="1" si="109"/>
        <v>1-Months</v>
      </c>
      <c r="F549" s="8" t="str">
        <f>VLOOKUP(N549,Stock[#Data],5,FALSE)</f>
        <v>BE</v>
      </c>
      <c r="G549" s="82" t="s">
        <v>1292</v>
      </c>
      <c r="H549" s="15"/>
      <c r="I549" s="7" t="s">
        <v>106</v>
      </c>
      <c r="J549" s="8" t="str">
        <f>VLOOKUP(I549,Customers[#Data],2,FALSE)</f>
        <v>ကိုမျိုးအောင်</v>
      </c>
      <c r="K549" s="15" t="str">
        <f>VLOOKUP(I549,Customers[#Data],4,FALSE)</f>
        <v>Maw La Myaing</v>
      </c>
      <c r="L549" s="15" t="str">
        <f>VLOOKUP(I549,Customers[#Data],5,FALSE)</f>
        <v>WholeSales</v>
      </c>
      <c r="M549" s="7" t="s">
        <v>6</v>
      </c>
      <c r="N549" s="7" t="s">
        <v>519</v>
      </c>
      <c r="O549" s="14" t="str">
        <f>VLOOKUP(N549,Stock[#Data],2,FALSE)</f>
        <v>ဇေယျဝတီ High 43%</v>
      </c>
      <c r="P549" s="44">
        <f>VLOOKUP(N549,Stock[#Data],3,FALSE)</f>
        <v>0.64</v>
      </c>
      <c r="Q549" s="3">
        <f>VLOOKUP(N549,Stock[#Data],4,FALSE)</f>
        <v>14</v>
      </c>
      <c r="R549" s="11"/>
      <c r="S549" s="45">
        <f>IFERROR(Table4[[#This Row],[Bottle]]/Table4[[#This Row],[ပါဝင်မှု]]+Table4[[#This Row],[SalesPK]],0)</f>
        <v>10</v>
      </c>
      <c r="T549" s="12">
        <v>10</v>
      </c>
      <c r="U549" s="10">
        <f>Table4[[#This Row],[ပါဝင်မှု]]*Table4[[#This Row],[SalesPK]]+Table4[[#This Row],[Bottle]]</f>
        <v>140</v>
      </c>
      <c r="V549" s="10">
        <f>Table4[[#This Row],[SalesBot]]*Table4[[#This Row],[ML]]</f>
        <v>89.600000000000009</v>
      </c>
      <c r="W549" s="1">
        <f>VLOOKUP(N549,Stock[#Data],6,FALSE)</f>
        <v>1500</v>
      </c>
      <c r="X549" s="8">
        <f>+Table4[[#This Row],[SalesBot]]*Table4[[#This Row],[နှုံး]]</f>
        <v>210000</v>
      </c>
      <c r="Y549" s="12"/>
      <c r="Z549" s="12"/>
      <c r="AA549" s="12"/>
      <c r="AB549" s="9"/>
      <c r="AC549" s="12"/>
      <c r="AD549" s="9"/>
      <c r="AE549" s="12"/>
      <c r="AF54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210000</v>
      </c>
      <c r="AG549" s="24"/>
      <c r="AH549" s="266">
        <f>Table4[[#This Row],[Date]]</f>
        <v>46057</v>
      </c>
      <c r="AI549" s="264" t="str">
        <f t="shared" si="100"/>
        <v>Feb</v>
      </c>
      <c r="AJ549" s="264" t="str">
        <f t="shared" si="101"/>
        <v>2026</v>
      </c>
      <c r="AK549" s="270" t="str">
        <f>Table4[[#This Row],[ကုန်သည်အမည်]]</f>
        <v>ကိုမျိုးအောင်</v>
      </c>
      <c r="AL549" s="270" t="str">
        <f>Table4[[#This Row],[Township]]</f>
        <v>Maw La Myaing</v>
      </c>
      <c r="AM549" s="271" t="str">
        <f>Table4[[#This Row],[WholeSales]]</f>
        <v>WholeSales</v>
      </c>
      <c r="AN549" s="272" t="str">
        <f>Table4[[#This Row],[Particular]]</f>
        <v>ကုန်ရောင်း(လက်ငင်း)</v>
      </c>
      <c r="AO549" s="273" t="str">
        <f>Table4[[#This Row],[StockName]]</f>
        <v>ဇေယျဝတီ High 43%</v>
      </c>
      <c r="AP549" s="268">
        <f>Table4[[#This Row],[Parking]]</f>
        <v>10</v>
      </c>
      <c r="AQ549" s="268">
        <f>Table4[[#This Row],[SalesBot]]</f>
        <v>140</v>
      </c>
      <c r="AR549" s="268">
        <f>Table4[[#This Row],[Liter]]</f>
        <v>89.600000000000009</v>
      </c>
    </row>
    <row r="550" spans="1:44" s="16" customFormat="1" hidden="1" x14ac:dyDescent="0.5">
      <c r="A550" s="3">
        <f t="shared" si="106"/>
        <v>2026</v>
      </c>
      <c r="B550" s="8">
        <f t="shared" si="107"/>
        <v>2</v>
      </c>
      <c r="C550" s="6">
        <v>46057</v>
      </c>
      <c r="D550" s="15">
        <f t="shared" ca="1" si="108"/>
        <v>46097</v>
      </c>
      <c r="E550" s="15" t="str">
        <f t="shared" ca="1" si="109"/>
        <v>1-Months</v>
      </c>
      <c r="F550" s="8" t="str">
        <f>VLOOKUP(N550,Stock[#Data],5,FALSE)</f>
        <v>BE</v>
      </c>
      <c r="G550" s="82" t="s">
        <v>1293</v>
      </c>
      <c r="H550" s="15"/>
      <c r="I550" s="7" t="s">
        <v>108</v>
      </c>
      <c r="J550" s="8" t="str">
        <f>VLOOKUP(I550,Customers[#Data],2,FALSE)</f>
        <v>ကိုညီညီဆွေ</v>
      </c>
      <c r="K550" s="15" t="str">
        <f>VLOOKUP(I550,Customers[#Data],4,FALSE)</f>
        <v>Maw La Myaing</v>
      </c>
      <c r="L550" s="15" t="str">
        <f>VLOOKUP(I550,Customers[#Data],5,FALSE)</f>
        <v>WholeSales</v>
      </c>
      <c r="M550" s="7" t="s">
        <v>6</v>
      </c>
      <c r="N550" s="7" t="s">
        <v>516</v>
      </c>
      <c r="O550" s="14" t="str">
        <f>VLOOKUP(N550,Stock[#Data],2,FALSE)</f>
        <v>ဇေ Vodka</v>
      </c>
      <c r="P550" s="44">
        <f>VLOOKUP(N550,Stock[#Data],3,FALSE)</f>
        <v>0.64</v>
      </c>
      <c r="Q550" s="3">
        <f>VLOOKUP(N550,Stock[#Data],4,FALSE)</f>
        <v>14</v>
      </c>
      <c r="R550" s="11"/>
      <c r="S550" s="45">
        <f>IFERROR(Table4[[#This Row],[Bottle]]/Table4[[#This Row],[ပါဝင်မှု]]+Table4[[#This Row],[SalesPK]],0)</f>
        <v>70</v>
      </c>
      <c r="T550" s="12">
        <v>70</v>
      </c>
      <c r="U550" s="10">
        <f>Table4[[#This Row],[ပါဝင်မှု]]*Table4[[#This Row],[SalesPK]]+Table4[[#This Row],[Bottle]]</f>
        <v>980</v>
      </c>
      <c r="V550" s="10">
        <f>Table4[[#This Row],[SalesBot]]*Table4[[#This Row],[ML]]</f>
        <v>627.20000000000005</v>
      </c>
      <c r="W550" s="1">
        <f>VLOOKUP(N550,Stock[#Data],6,FALSE)</f>
        <v>1400</v>
      </c>
      <c r="X550" s="8">
        <f>+Table4[[#This Row],[SalesBot]]*Table4[[#This Row],[နှုံး]]</f>
        <v>1372000</v>
      </c>
      <c r="Y550" s="12"/>
      <c r="Z550" s="12"/>
      <c r="AA550" s="12"/>
      <c r="AB550" s="9"/>
      <c r="AC550" s="12"/>
      <c r="AD550" s="9"/>
      <c r="AE550" s="12"/>
      <c r="AF55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1372000</v>
      </c>
      <c r="AG550" s="24"/>
      <c r="AH550" s="266">
        <f>Table4[[#This Row],[Date]]</f>
        <v>46057</v>
      </c>
      <c r="AI550" s="264" t="str">
        <f t="shared" si="100"/>
        <v>Feb</v>
      </c>
      <c r="AJ550" s="264" t="str">
        <f t="shared" si="101"/>
        <v>2026</v>
      </c>
      <c r="AK550" s="270" t="str">
        <f>Table4[[#This Row],[ကုန်သည်အမည်]]</f>
        <v>ကိုညီညီဆွေ</v>
      </c>
      <c r="AL550" s="270" t="str">
        <f>Table4[[#This Row],[Township]]</f>
        <v>Maw La Myaing</v>
      </c>
      <c r="AM550" s="271" t="str">
        <f>Table4[[#This Row],[WholeSales]]</f>
        <v>WholeSales</v>
      </c>
      <c r="AN550" s="272" t="str">
        <f>Table4[[#This Row],[Particular]]</f>
        <v>ကုန်ရောင်း(လက်ငင်း)</v>
      </c>
      <c r="AO550" s="273" t="str">
        <f>Table4[[#This Row],[StockName]]</f>
        <v>ဇေ Vodka</v>
      </c>
      <c r="AP550" s="268">
        <f>Table4[[#This Row],[Parking]]</f>
        <v>70</v>
      </c>
      <c r="AQ550" s="268">
        <f>Table4[[#This Row],[SalesBot]]</f>
        <v>980</v>
      </c>
      <c r="AR550" s="268">
        <f>Table4[[#This Row],[Liter]]</f>
        <v>627.20000000000005</v>
      </c>
    </row>
    <row r="551" spans="1:44" s="16" customFormat="1" hidden="1" x14ac:dyDescent="0.5">
      <c r="A551" s="3">
        <f t="shared" si="106"/>
        <v>2026</v>
      </c>
      <c r="B551" s="8">
        <f t="shared" si="107"/>
        <v>2</v>
      </c>
      <c r="C551" s="6">
        <v>46057</v>
      </c>
      <c r="D551" s="15">
        <f t="shared" ca="1" si="108"/>
        <v>46097</v>
      </c>
      <c r="E551" s="15" t="str">
        <f t="shared" ca="1" si="109"/>
        <v>1-Months</v>
      </c>
      <c r="F551" s="8" t="str">
        <f>VLOOKUP(N551,Stock[#Data],5,FALSE)</f>
        <v>BE</v>
      </c>
      <c r="G551" s="82" t="s">
        <v>1293</v>
      </c>
      <c r="H551" s="15"/>
      <c r="I551" s="7" t="s">
        <v>108</v>
      </c>
      <c r="J551" s="8" t="str">
        <f>VLOOKUP(I551,Customers[#Data],2,FALSE)</f>
        <v>ကိုညီညီဆွေ</v>
      </c>
      <c r="K551" s="15" t="str">
        <f>VLOOKUP(I551,Customers[#Data],4,FALSE)</f>
        <v>Maw La Myaing</v>
      </c>
      <c r="L551" s="15" t="str">
        <f>VLOOKUP(I551,Customers[#Data],5,FALSE)</f>
        <v>WholeSales</v>
      </c>
      <c r="M551" s="7" t="s">
        <v>6</v>
      </c>
      <c r="N551" s="7" t="s">
        <v>514</v>
      </c>
      <c r="O551" s="14" t="str">
        <f>VLOOKUP(N551,Stock[#Data],2,FALSE)</f>
        <v>ဇေယျဝတီ Red</v>
      </c>
      <c r="P551" s="44">
        <f>VLOOKUP(N551,Stock[#Data],3,FALSE)</f>
        <v>0.64</v>
      </c>
      <c r="Q551" s="3">
        <f>VLOOKUP(N551,Stock[#Data],4,FALSE)</f>
        <v>14</v>
      </c>
      <c r="R551" s="11"/>
      <c r="S551" s="45">
        <f>IFERROR(Table4[[#This Row],[Bottle]]/Table4[[#This Row],[ပါဝင်မှု]]+Table4[[#This Row],[SalesPK]],0)</f>
        <v>30</v>
      </c>
      <c r="T551" s="12">
        <v>30</v>
      </c>
      <c r="U551" s="10">
        <f>Table4[[#This Row],[ပါဝင်မှု]]*Table4[[#This Row],[SalesPK]]+Table4[[#This Row],[Bottle]]</f>
        <v>420</v>
      </c>
      <c r="V551" s="10">
        <f>Table4[[#This Row],[SalesBot]]*Table4[[#This Row],[ML]]</f>
        <v>268.8</v>
      </c>
      <c r="W551" s="1">
        <f>VLOOKUP(N551,Stock[#Data],6,FALSE)</f>
        <v>1350</v>
      </c>
      <c r="X551" s="8">
        <f>+Table4[[#This Row],[SalesBot]]*Table4[[#This Row],[နှုံး]]</f>
        <v>567000</v>
      </c>
      <c r="Y551" s="12"/>
      <c r="Z551" s="12"/>
      <c r="AA551" s="12"/>
      <c r="AB551" s="9"/>
      <c r="AC551" s="12"/>
      <c r="AD551" s="9"/>
      <c r="AE551" s="12"/>
      <c r="AF55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567000</v>
      </c>
      <c r="AG551" s="24"/>
      <c r="AH551" s="266">
        <f>Table4[[#This Row],[Date]]</f>
        <v>46057</v>
      </c>
      <c r="AI551" s="264" t="str">
        <f t="shared" si="100"/>
        <v>Feb</v>
      </c>
      <c r="AJ551" s="264" t="str">
        <f t="shared" si="101"/>
        <v>2026</v>
      </c>
      <c r="AK551" s="270" t="str">
        <f>Table4[[#This Row],[ကုန်သည်အမည်]]</f>
        <v>ကိုညီညီဆွေ</v>
      </c>
      <c r="AL551" s="270" t="str">
        <f>Table4[[#This Row],[Township]]</f>
        <v>Maw La Myaing</v>
      </c>
      <c r="AM551" s="271" t="str">
        <f>Table4[[#This Row],[WholeSales]]</f>
        <v>WholeSales</v>
      </c>
      <c r="AN551" s="272" t="str">
        <f>Table4[[#This Row],[Particular]]</f>
        <v>ကုန်ရောင်း(လက်ငင်း)</v>
      </c>
      <c r="AO551" s="273" t="str">
        <f>Table4[[#This Row],[StockName]]</f>
        <v>ဇေယျဝတီ Red</v>
      </c>
      <c r="AP551" s="268">
        <f>Table4[[#This Row],[Parking]]</f>
        <v>30</v>
      </c>
      <c r="AQ551" s="268">
        <f>Table4[[#This Row],[SalesBot]]</f>
        <v>420</v>
      </c>
      <c r="AR551" s="268">
        <f>Table4[[#This Row],[Liter]]</f>
        <v>268.8</v>
      </c>
    </row>
    <row r="552" spans="1:44" s="16" customFormat="1" hidden="1" x14ac:dyDescent="0.5">
      <c r="A552" s="3">
        <f t="shared" si="106"/>
        <v>2026</v>
      </c>
      <c r="B552" s="8">
        <f t="shared" si="107"/>
        <v>2</v>
      </c>
      <c r="C552" s="6">
        <v>46057</v>
      </c>
      <c r="D552" s="15">
        <f t="shared" ca="1" si="108"/>
        <v>46097</v>
      </c>
      <c r="E552" s="15" t="str">
        <f t="shared" ca="1" si="109"/>
        <v>1-Months</v>
      </c>
      <c r="F552" s="8" t="str">
        <f>VLOOKUP(N552,Stock[#Data],5,FALSE)</f>
        <v>BE</v>
      </c>
      <c r="G552" s="82" t="s">
        <v>1293</v>
      </c>
      <c r="H552" s="15"/>
      <c r="I552" s="7" t="s">
        <v>108</v>
      </c>
      <c r="J552" s="8" t="str">
        <f>VLOOKUP(I552,Customers[#Data],2,FALSE)</f>
        <v>ကိုညီညီဆွေ</v>
      </c>
      <c r="K552" s="15" t="str">
        <f>VLOOKUP(I552,Customers[#Data],4,FALSE)</f>
        <v>Maw La Myaing</v>
      </c>
      <c r="L552" s="15" t="str">
        <f>VLOOKUP(I552,Customers[#Data],5,FALSE)</f>
        <v>WholeSales</v>
      </c>
      <c r="M552" s="7" t="s">
        <v>6</v>
      </c>
      <c r="N552" s="7" t="s">
        <v>517</v>
      </c>
      <c r="O552" s="14" t="str">
        <f>VLOOKUP(N552,Stock[#Data],2,FALSE)</f>
        <v>ဇေယျဝတီ Red (1 Liter) 30%</v>
      </c>
      <c r="P552" s="44">
        <f>VLOOKUP(N552,Stock[#Data],3,FALSE)</f>
        <v>1</v>
      </c>
      <c r="Q552" s="3">
        <f>VLOOKUP(N552,Stock[#Data],4,FALSE)</f>
        <v>12</v>
      </c>
      <c r="R552" s="11"/>
      <c r="S552" s="45">
        <f>IFERROR(Table4[[#This Row],[Bottle]]/Table4[[#This Row],[ပါဝင်မှု]]+Table4[[#This Row],[SalesPK]],0)</f>
        <v>50</v>
      </c>
      <c r="T552" s="12">
        <v>50</v>
      </c>
      <c r="U552" s="10">
        <f>Table4[[#This Row],[ပါဝင်မှု]]*Table4[[#This Row],[SalesPK]]+Table4[[#This Row],[Bottle]]</f>
        <v>600</v>
      </c>
      <c r="V552" s="10">
        <f>Table4[[#This Row],[SalesBot]]*Table4[[#This Row],[ML]]</f>
        <v>600</v>
      </c>
      <c r="W552" s="1">
        <f>VLOOKUP(N552,Stock[#Data],6,FALSE)</f>
        <v>1710</v>
      </c>
      <c r="X552" s="8">
        <f>+Table4[[#This Row],[SalesBot]]*Table4[[#This Row],[နှုံး]]</f>
        <v>1026000</v>
      </c>
      <c r="Y552" s="12"/>
      <c r="Z552" s="12"/>
      <c r="AA552" s="12"/>
      <c r="AB552" s="9"/>
      <c r="AC552" s="12"/>
      <c r="AD552" s="9"/>
      <c r="AE552" s="12"/>
      <c r="AF55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552" s="24"/>
      <c r="AH552" s="266">
        <f>Table4[[#This Row],[Date]]</f>
        <v>46057</v>
      </c>
      <c r="AI552" s="264" t="str">
        <f t="shared" si="100"/>
        <v>Feb</v>
      </c>
      <c r="AJ552" s="264" t="str">
        <f t="shared" si="101"/>
        <v>2026</v>
      </c>
      <c r="AK552" s="270" t="str">
        <f>Table4[[#This Row],[ကုန်သည်အမည်]]</f>
        <v>ကိုညီညီဆွေ</v>
      </c>
      <c r="AL552" s="270" t="str">
        <f>Table4[[#This Row],[Township]]</f>
        <v>Maw La Myaing</v>
      </c>
      <c r="AM552" s="271" t="str">
        <f>Table4[[#This Row],[WholeSales]]</f>
        <v>WholeSales</v>
      </c>
      <c r="AN552" s="272" t="str">
        <f>Table4[[#This Row],[Particular]]</f>
        <v>ကုန်ရောင်း(လက်ငင်း)</v>
      </c>
      <c r="AO552" s="273" t="str">
        <f>Table4[[#This Row],[StockName]]</f>
        <v>ဇေယျဝတီ Red (1 Liter) 30%</v>
      </c>
      <c r="AP552" s="268">
        <f>Table4[[#This Row],[Parking]]</f>
        <v>50</v>
      </c>
      <c r="AQ552" s="268">
        <f>Table4[[#This Row],[SalesBot]]</f>
        <v>600</v>
      </c>
      <c r="AR552" s="268">
        <f>Table4[[#This Row],[Liter]]</f>
        <v>600</v>
      </c>
    </row>
    <row r="553" spans="1:44" s="16" customFormat="1" hidden="1" x14ac:dyDescent="0.5">
      <c r="A553" s="3">
        <f t="shared" si="106"/>
        <v>2026</v>
      </c>
      <c r="B553" s="8">
        <f t="shared" si="107"/>
        <v>2</v>
      </c>
      <c r="C553" s="6">
        <v>46057</v>
      </c>
      <c r="D553" s="15">
        <f t="shared" ca="1" si="108"/>
        <v>46097</v>
      </c>
      <c r="E553" s="15" t="str">
        <f t="shared" ca="1" si="109"/>
        <v>1-Months</v>
      </c>
      <c r="F553" s="8" t="str">
        <f>VLOOKUP(N553,Stock[#Data],5,FALSE)</f>
        <v>BE</v>
      </c>
      <c r="G553" s="82" t="s">
        <v>1294</v>
      </c>
      <c r="H553" s="15"/>
      <c r="I553" s="7" t="s">
        <v>314</v>
      </c>
      <c r="J553" s="8" t="str">
        <f>VLOOKUP(I553,Customers[#Data],2,FALSE)</f>
        <v>ကိုကျော်မြင့်</v>
      </c>
      <c r="K553" s="15" t="str">
        <f>VLOOKUP(I553,Customers[#Data],4,FALSE)</f>
        <v>Maw La Myaing</v>
      </c>
      <c r="L553" s="15" t="str">
        <f>VLOOKUP(I553,Customers[#Data],5,FALSE)</f>
        <v>Van Sales</v>
      </c>
      <c r="M553" s="7" t="s">
        <v>6</v>
      </c>
      <c r="N553" s="7" t="s">
        <v>518</v>
      </c>
      <c r="O553" s="14" t="str">
        <f>VLOOKUP(N553,Stock[#Data],2,FALSE)</f>
        <v>"ဇေ" ကော်ဘူး (1 Liter)</v>
      </c>
      <c r="P553" s="44">
        <f>VLOOKUP(N553,Stock[#Data],3,FALSE)</f>
        <v>1</v>
      </c>
      <c r="Q553" s="3">
        <f>VLOOKUP(N553,Stock[#Data],4,FALSE)</f>
        <v>12</v>
      </c>
      <c r="R553" s="11"/>
      <c r="S553" s="45">
        <f>IFERROR(Table4[[#This Row],[Bottle]]/Table4[[#This Row],[ပါဝင်မှု]]+Table4[[#This Row],[SalesPK]],0)</f>
        <v>5</v>
      </c>
      <c r="T553" s="12">
        <v>5</v>
      </c>
      <c r="U553" s="10">
        <f>Table4[[#This Row],[ပါဝင်မှု]]*Table4[[#This Row],[SalesPK]]+Table4[[#This Row],[Bottle]]</f>
        <v>60</v>
      </c>
      <c r="V553" s="10">
        <f>Table4[[#This Row],[SalesBot]]*Table4[[#This Row],[ML]]</f>
        <v>60</v>
      </c>
      <c r="W553" s="1">
        <f>VLOOKUP(N553,Stock[#Data],6,FALSE)</f>
        <v>1675</v>
      </c>
      <c r="X553" s="8">
        <f>+Table4[[#This Row],[SalesBot]]*Table4[[#This Row],[နှုံး]]</f>
        <v>100500</v>
      </c>
      <c r="Y553" s="12"/>
      <c r="Z553" s="12"/>
      <c r="AA553" s="12"/>
      <c r="AB553" s="9"/>
      <c r="AC553" s="12"/>
      <c r="AD553" s="9"/>
      <c r="AE553" s="12"/>
      <c r="AF55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553" s="24"/>
      <c r="AH553" s="266">
        <f>Table4[[#This Row],[Date]]</f>
        <v>46057</v>
      </c>
      <c r="AI553" s="264" t="str">
        <f t="shared" si="100"/>
        <v>Feb</v>
      </c>
      <c r="AJ553" s="264" t="str">
        <f t="shared" si="101"/>
        <v>2026</v>
      </c>
      <c r="AK553" s="270" t="str">
        <f>Table4[[#This Row],[ကုန်သည်အမည်]]</f>
        <v>ကိုကျော်မြင့်</v>
      </c>
      <c r="AL553" s="270" t="str">
        <f>Table4[[#This Row],[Township]]</f>
        <v>Maw La Myaing</v>
      </c>
      <c r="AM553" s="271" t="str">
        <f>Table4[[#This Row],[WholeSales]]</f>
        <v>Van Sales</v>
      </c>
      <c r="AN553" s="272" t="str">
        <f>Table4[[#This Row],[Particular]]</f>
        <v>ကုန်ရောင်း(လက်ငင်း)</v>
      </c>
      <c r="AO553" s="273" t="str">
        <f>Table4[[#This Row],[StockName]]</f>
        <v>"ဇေ" ကော်ဘူး (1 Liter)</v>
      </c>
      <c r="AP553" s="268">
        <f>Table4[[#This Row],[Parking]]</f>
        <v>5</v>
      </c>
      <c r="AQ553" s="268">
        <f>Table4[[#This Row],[SalesBot]]</f>
        <v>60</v>
      </c>
      <c r="AR553" s="268">
        <f>Table4[[#This Row],[Liter]]</f>
        <v>60</v>
      </c>
    </row>
    <row r="554" spans="1:44" s="16" customFormat="1" hidden="1" x14ac:dyDescent="0.5">
      <c r="A554" s="3">
        <f t="shared" si="106"/>
        <v>2026</v>
      </c>
      <c r="B554" s="8">
        <f t="shared" si="107"/>
        <v>2</v>
      </c>
      <c r="C554" s="6">
        <v>46057</v>
      </c>
      <c r="D554" s="15">
        <f t="shared" ca="1" si="108"/>
        <v>46097</v>
      </c>
      <c r="E554" s="15" t="str">
        <f t="shared" ca="1" si="109"/>
        <v>1-Months</v>
      </c>
      <c r="F554" s="8" t="str">
        <f>VLOOKUP(N554,Stock[#Data],5,FALSE)</f>
        <v>BE</v>
      </c>
      <c r="G554" s="82" t="s">
        <v>1295</v>
      </c>
      <c r="H554" s="15"/>
      <c r="I554" s="7" t="s">
        <v>538</v>
      </c>
      <c r="J554" s="8" t="str">
        <f>VLOOKUP(I554,Customers[#Data],2,FALSE)</f>
        <v>ဒေါ်နွယ်နွယ်ရီ(ရွှေတောင်ကြား)</v>
      </c>
      <c r="K554" s="15" t="str">
        <f>VLOOKUP(I554,Customers[#Data],4,FALSE)</f>
        <v>Yay</v>
      </c>
      <c r="L554" s="15" t="str">
        <f>VLOOKUP(I554,Customers[#Data],5,FALSE)</f>
        <v>WholeSales</v>
      </c>
      <c r="M554" s="7" t="s">
        <v>6</v>
      </c>
      <c r="N554" s="7" t="s">
        <v>517</v>
      </c>
      <c r="O554" s="14" t="str">
        <f>VLOOKUP(N554,Stock[#Data],2,FALSE)</f>
        <v>ဇေယျဝတီ Red (1 Liter) 30%</v>
      </c>
      <c r="P554" s="44">
        <f>VLOOKUP(N554,Stock[#Data],3,FALSE)</f>
        <v>1</v>
      </c>
      <c r="Q554" s="3">
        <f>VLOOKUP(N554,Stock[#Data],4,FALSE)</f>
        <v>12</v>
      </c>
      <c r="R554" s="11"/>
      <c r="S554" s="45">
        <f>IFERROR(Table4[[#This Row],[Bottle]]/Table4[[#This Row],[ပါဝင်မှု]]+Table4[[#This Row],[SalesPK]],0)</f>
        <v>100</v>
      </c>
      <c r="T554" s="12">
        <v>100</v>
      </c>
      <c r="U554" s="10">
        <f>Table4[[#This Row],[ပါဝင်မှု]]*Table4[[#This Row],[SalesPK]]+Table4[[#This Row],[Bottle]]</f>
        <v>1200</v>
      </c>
      <c r="V554" s="10">
        <f>Table4[[#This Row],[SalesBot]]*Table4[[#This Row],[ML]]</f>
        <v>1200</v>
      </c>
      <c r="W554" s="1">
        <f>VLOOKUP(N554,Stock[#Data],6,FALSE)</f>
        <v>1710</v>
      </c>
      <c r="X554" s="8">
        <f>+Table4[[#This Row],[SalesBot]]*Table4[[#This Row],[နှုံး]]</f>
        <v>2052000</v>
      </c>
      <c r="Y554" s="12"/>
      <c r="Z554" s="12"/>
      <c r="AA554" s="12"/>
      <c r="AB554" s="9"/>
      <c r="AC554" s="12"/>
      <c r="AD554" s="9"/>
      <c r="AE554" s="12"/>
      <c r="AF55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554" s="24"/>
      <c r="AH554" s="266">
        <f>Table4[[#This Row],[Date]]</f>
        <v>46057</v>
      </c>
      <c r="AI554" s="264" t="str">
        <f t="shared" si="100"/>
        <v>Feb</v>
      </c>
      <c r="AJ554" s="264" t="str">
        <f t="shared" si="101"/>
        <v>2026</v>
      </c>
      <c r="AK554" s="270" t="str">
        <f>Table4[[#This Row],[ကုန်သည်အမည်]]</f>
        <v>ဒေါ်နွယ်နွယ်ရီ(ရွှေတောင်ကြား)</v>
      </c>
      <c r="AL554" s="270" t="str">
        <f>Table4[[#This Row],[Township]]</f>
        <v>Yay</v>
      </c>
      <c r="AM554" s="271" t="str">
        <f>Table4[[#This Row],[WholeSales]]</f>
        <v>WholeSales</v>
      </c>
      <c r="AN554" s="272" t="str">
        <f>Table4[[#This Row],[Particular]]</f>
        <v>ကုန်ရောင်း(လက်ငင်း)</v>
      </c>
      <c r="AO554" s="273" t="str">
        <f>Table4[[#This Row],[StockName]]</f>
        <v>ဇေယျဝတီ Red (1 Liter) 30%</v>
      </c>
      <c r="AP554" s="268">
        <f>Table4[[#This Row],[Parking]]</f>
        <v>100</v>
      </c>
      <c r="AQ554" s="268">
        <f>Table4[[#This Row],[SalesBot]]</f>
        <v>1200</v>
      </c>
      <c r="AR554" s="268">
        <f>Table4[[#This Row],[Liter]]</f>
        <v>1200</v>
      </c>
    </row>
    <row r="555" spans="1:44" s="16" customFormat="1" hidden="1" x14ac:dyDescent="0.5">
      <c r="A555" s="3">
        <f t="shared" si="106"/>
        <v>2026</v>
      </c>
      <c r="B555" s="8">
        <f t="shared" si="107"/>
        <v>2</v>
      </c>
      <c r="C555" s="6">
        <v>46058</v>
      </c>
      <c r="D555" s="15">
        <f t="shared" ca="1" si="108"/>
        <v>46097</v>
      </c>
      <c r="E555" s="15" t="str">
        <f t="shared" ca="1" si="109"/>
        <v>1-Months</v>
      </c>
      <c r="F555" s="8" t="str">
        <f>VLOOKUP(N555,Stock[#Data],5,FALSE)</f>
        <v>BE</v>
      </c>
      <c r="G555" s="82" t="s">
        <v>1296</v>
      </c>
      <c r="H555" s="15"/>
      <c r="I555" s="7" t="s">
        <v>101</v>
      </c>
      <c r="J555" s="8" t="str">
        <f>VLOOKUP(I555,Customers[#Data],2,FALSE)</f>
        <v>ကိုမောင်+မသူဇာ</v>
      </c>
      <c r="K555" s="15" t="str">
        <f>VLOOKUP(I555,Customers[#Data],4,FALSE)</f>
        <v>Yay</v>
      </c>
      <c r="L555" s="15" t="str">
        <f>VLOOKUP(I555,Customers[#Data],5,FALSE)</f>
        <v>WholeSales</v>
      </c>
      <c r="M555" s="7" t="s">
        <v>7</v>
      </c>
      <c r="N555" s="7" t="s">
        <v>517</v>
      </c>
      <c r="O555" s="14" t="str">
        <f>VLOOKUP(N555,Stock[#Data],2,FALSE)</f>
        <v>ဇေယျဝတီ Red (1 Liter) 30%</v>
      </c>
      <c r="P555" s="44">
        <f>VLOOKUP(N555,Stock[#Data],3,FALSE)</f>
        <v>1</v>
      </c>
      <c r="Q555" s="3">
        <f>VLOOKUP(N555,Stock[#Data],4,FALSE)</f>
        <v>12</v>
      </c>
      <c r="R555" s="11"/>
      <c r="S555" s="45">
        <f>IFERROR(Table4[[#This Row],[Bottle]]/Table4[[#This Row],[ပါဝင်မှု]]+Table4[[#This Row],[SalesPK]],0)</f>
        <v>100</v>
      </c>
      <c r="T555" s="12">
        <v>100</v>
      </c>
      <c r="U555" s="10">
        <f>Table4[[#This Row],[ပါဝင်မှု]]*Table4[[#This Row],[SalesPK]]+Table4[[#This Row],[Bottle]]</f>
        <v>1200</v>
      </c>
      <c r="V555" s="10">
        <f>Table4[[#This Row],[SalesBot]]*Table4[[#This Row],[ML]]</f>
        <v>1200</v>
      </c>
      <c r="W555" s="1">
        <f>VLOOKUP(N555,Stock[#Data],6,FALSE)</f>
        <v>1710</v>
      </c>
      <c r="X555" s="8">
        <f>+Table4[[#This Row],[SalesBot]]*Table4[[#This Row],[နှုံး]]</f>
        <v>2052000</v>
      </c>
      <c r="Y555" s="12"/>
      <c r="Z555" s="12"/>
      <c r="AA555" s="12"/>
      <c r="AB555" s="9"/>
      <c r="AC555" s="12"/>
      <c r="AD555" s="9"/>
      <c r="AE555" s="12"/>
      <c r="AF55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555" s="24"/>
      <c r="AH555" s="266">
        <f>Table4[[#This Row],[Date]]</f>
        <v>46058</v>
      </c>
      <c r="AI555" s="264" t="str">
        <f t="shared" si="100"/>
        <v>Feb</v>
      </c>
      <c r="AJ555" s="264" t="str">
        <f t="shared" si="101"/>
        <v>2026</v>
      </c>
      <c r="AK555" s="270" t="str">
        <f>Table4[[#This Row],[ကုန်သည်အမည်]]</f>
        <v>ကိုမောင်+မသူဇာ</v>
      </c>
      <c r="AL555" s="270" t="str">
        <f>Table4[[#This Row],[Township]]</f>
        <v>Yay</v>
      </c>
      <c r="AM555" s="271" t="str">
        <f>Table4[[#This Row],[WholeSales]]</f>
        <v>WholeSales</v>
      </c>
      <c r="AN555" s="272" t="str">
        <f>Table4[[#This Row],[Particular]]</f>
        <v>ကုန်ရောင်း(အကြွေး)</v>
      </c>
      <c r="AO555" s="273" t="str">
        <f>Table4[[#This Row],[StockName]]</f>
        <v>ဇေယျဝတီ Red (1 Liter) 30%</v>
      </c>
      <c r="AP555" s="268">
        <f>Table4[[#This Row],[Parking]]</f>
        <v>100</v>
      </c>
      <c r="AQ555" s="268">
        <f>Table4[[#This Row],[SalesBot]]</f>
        <v>1200</v>
      </c>
      <c r="AR555" s="268">
        <f>Table4[[#This Row],[Liter]]</f>
        <v>1200</v>
      </c>
    </row>
    <row r="556" spans="1:44" s="16" customFormat="1" hidden="1" x14ac:dyDescent="0.5">
      <c r="A556" s="3">
        <f t="shared" si="106"/>
        <v>2026</v>
      </c>
      <c r="B556" s="8">
        <f t="shared" si="107"/>
        <v>2</v>
      </c>
      <c r="C556" s="6">
        <v>46058</v>
      </c>
      <c r="D556" s="15">
        <f t="shared" ca="1" si="108"/>
        <v>46097</v>
      </c>
      <c r="E556" s="15" t="str">
        <f t="shared" ca="1" si="109"/>
        <v>1-Months</v>
      </c>
      <c r="F556" s="8" t="str">
        <f>VLOOKUP(N556,Stock[#Data],5,FALSE)</f>
        <v>BE</v>
      </c>
      <c r="G556" s="82" t="s">
        <v>1297</v>
      </c>
      <c r="H556" s="15"/>
      <c r="I556" s="7" t="s">
        <v>95</v>
      </c>
      <c r="J556" s="8" t="str">
        <f>VLOOKUP(I556,Customers[#Data],2,FALSE)</f>
        <v>ကျော်စတား</v>
      </c>
      <c r="K556" s="15" t="str">
        <f>VLOOKUP(I556,Customers[#Data],4,FALSE)</f>
        <v>Yay</v>
      </c>
      <c r="L556" s="15" t="str">
        <f>VLOOKUP(I556,Customers[#Data],5,FALSE)</f>
        <v>WholeSales</v>
      </c>
      <c r="M556" s="7" t="s">
        <v>7</v>
      </c>
      <c r="N556" s="7" t="s">
        <v>514</v>
      </c>
      <c r="O556" s="14" t="str">
        <f>VLOOKUP(N556,Stock[#Data],2,FALSE)</f>
        <v>ဇေယျဝတီ Red</v>
      </c>
      <c r="P556" s="44">
        <f>VLOOKUP(N556,Stock[#Data],3,FALSE)</f>
        <v>0.64</v>
      </c>
      <c r="Q556" s="3">
        <f>VLOOKUP(N556,Stock[#Data],4,FALSE)</f>
        <v>14</v>
      </c>
      <c r="R556" s="11"/>
      <c r="S556" s="45">
        <f>IFERROR(Table4[[#This Row],[Bottle]]/Table4[[#This Row],[ပါဝင်မှု]]+Table4[[#This Row],[SalesPK]],0)</f>
        <v>200</v>
      </c>
      <c r="T556" s="12">
        <v>200</v>
      </c>
      <c r="U556" s="10">
        <f>Table4[[#This Row],[ပါဝင်မှု]]*Table4[[#This Row],[SalesPK]]+Table4[[#This Row],[Bottle]]</f>
        <v>2800</v>
      </c>
      <c r="V556" s="10">
        <f>Table4[[#This Row],[SalesBot]]*Table4[[#This Row],[ML]]</f>
        <v>1792</v>
      </c>
      <c r="W556" s="1">
        <f>VLOOKUP(N556,Stock[#Data],6,FALSE)</f>
        <v>1350</v>
      </c>
      <c r="X556" s="8">
        <f>+Table4[[#This Row],[SalesBot]]*Table4[[#This Row],[နှုံး]]</f>
        <v>3780000</v>
      </c>
      <c r="Y556" s="12"/>
      <c r="Z556" s="12"/>
      <c r="AA556" s="12"/>
      <c r="AB556" s="9"/>
      <c r="AC556" s="12"/>
      <c r="AD556" s="9"/>
      <c r="AE556" s="12"/>
      <c r="AF55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3780000</v>
      </c>
      <c r="AG556" s="24"/>
      <c r="AH556" s="266">
        <f>Table4[[#This Row],[Date]]</f>
        <v>46058</v>
      </c>
      <c r="AI556" s="264" t="str">
        <f t="shared" si="100"/>
        <v>Feb</v>
      </c>
      <c r="AJ556" s="264" t="str">
        <f t="shared" si="101"/>
        <v>2026</v>
      </c>
      <c r="AK556" s="270" t="str">
        <f>Table4[[#This Row],[ကုန်သည်အမည်]]</f>
        <v>ကျော်စတား</v>
      </c>
      <c r="AL556" s="270" t="str">
        <f>Table4[[#This Row],[Township]]</f>
        <v>Yay</v>
      </c>
      <c r="AM556" s="271" t="str">
        <f>Table4[[#This Row],[WholeSales]]</f>
        <v>WholeSales</v>
      </c>
      <c r="AN556" s="272" t="str">
        <f>Table4[[#This Row],[Particular]]</f>
        <v>ကုန်ရောင်း(အကြွေး)</v>
      </c>
      <c r="AO556" s="273" t="str">
        <f>Table4[[#This Row],[StockName]]</f>
        <v>ဇေယျဝတီ Red</v>
      </c>
      <c r="AP556" s="268">
        <f>Table4[[#This Row],[Parking]]</f>
        <v>200</v>
      </c>
      <c r="AQ556" s="268">
        <f>Table4[[#This Row],[SalesBot]]</f>
        <v>2800</v>
      </c>
      <c r="AR556" s="268">
        <f>Table4[[#This Row],[Liter]]</f>
        <v>1792</v>
      </c>
    </row>
    <row r="557" spans="1:44" s="16" customFormat="1" hidden="1" x14ac:dyDescent="0.5">
      <c r="A557" s="3">
        <f t="shared" si="106"/>
        <v>2026</v>
      </c>
      <c r="B557" s="8">
        <f t="shared" si="107"/>
        <v>2</v>
      </c>
      <c r="C557" s="6">
        <v>46058</v>
      </c>
      <c r="D557" s="15">
        <f t="shared" ca="1" si="108"/>
        <v>46097</v>
      </c>
      <c r="E557" s="15" t="str">
        <f t="shared" ca="1" si="109"/>
        <v>1-Months</v>
      </c>
      <c r="F557" s="8" t="str">
        <f>VLOOKUP(N557,Stock[#Data],5,FALSE)</f>
        <v>BE</v>
      </c>
      <c r="G557" s="82" t="s">
        <v>1297</v>
      </c>
      <c r="H557" s="15"/>
      <c r="I557" s="7" t="s">
        <v>95</v>
      </c>
      <c r="J557" s="8" t="str">
        <f>VLOOKUP(I557,Customers[#Data],2,FALSE)</f>
        <v>ကျော်စတား</v>
      </c>
      <c r="K557" s="15" t="str">
        <f>VLOOKUP(I557,Customers[#Data],4,FALSE)</f>
        <v>Yay</v>
      </c>
      <c r="L557" s="15" t="str">
        <f>VLOOKUP(I557,Customers[#Data],5,FALSE)</f>
        <v>WholeSales</v>
      </c>
      <c r="M557" s="7" t="s">
        <v>7</v>
      </c>
      <c r="N557" s="7" t="s">
        <v>517</v>
      </c>
      <c r="O557" s="14" t="str">
        <f>VLOOKUP(N557,Stock[#Data],2,FALSE)</f>
        <v>ဇေယျဝတီ Red (1 Liter) 30%</v>
      </c>
      <c r="P557" s="44">
        <f>VLOOKUP(N557,Stock[#Data],3,FALSE)</f>
        <v>1</v>
      </c>
      <c r="Q557" s="3">
        <f>VLOOKUP(N557,Stock[#Data],4,FALSE)</f>
        <v>12</v>
      </c>
      <c r="R557" s="11"/>
      <c r="S557" s="45">
        <f>IFERROR(Table4[[#This Row],[Bottle]]/Table4[[#This Row],[ပါဝင်မှု]]+Table4[[#This Row],[SalesPK]],0)</f>
        <v>70</v>
      </c>
      <c r="T557" s="12">
        <v>70</v>
      </c>
      <c r="U557" s="10">
        <f>Table4[[#This Row],[ပါဝင်မှု]]*Table4[[#This Row],[SalesPK]]+Table4[[#This Row],[Bottle]]</f>
        <v>840</v>
      </c>
      <c r="V557" s="10">
        <f>Table4[[#This Row],[SalesBot]]*Table4[[#This Row],[ML]]</f>
        <v>840</v>
      </c>
      <c r="W557" s="1">
        <f>VLOOKUP(N557,Stock[#Data],6,FALSE)</f>
        <v>1710</v>
      </c>
      <c r="X557" s="8">
        <f>+Table4[[#This Row],[SalesBot]]*Table4[[#This Row],[နှုံး]]</f>
        <v>1436400</v>
      </c>
      <c r="Y557" s="12"/>
      <c r="Z557" s="12"/>
      <c r="AA557" s="12"/>
      <c r="AB557" s="9"/>
      <c r="AC557" s="12"/>
      <c r="AD557" s="9"/>
      <c r="AE557" s="12"/>
      <c r="AF55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1436400</v>
      </c>
      <c r="AG557" s="24"/>
      <c r="AH557" s="266">
        <f>Table4[[#This Row],[Date]]</f>
        <v>46058</v>
      </c>
      <c r="AI557" s="264" t="str">
        <f t="shared" si="100"/>
        <v>Feb</v>
      </c>
      <c r="AJ557" s="264" t="str">
        <f t="shared" si="101"/>
        <v>2026</v>
      </c>
      <c r="AK557" s="270" t="str">
        <f>Table4[[#This Row],[ကုန်သည်အမည်]]</f>
        <v>ကျော်စတား</v>
      </c>
      <c r="AL557" s="270" t="str">
        <f>Table4[[#This Row],[Township]]</f>
        <v>Yay</v>
      </c>
      <c r="AM557" s="271" t="str">
        <f>Table4[[#This Row],[WholeSales]]</f>
        <v>WholeSales</v>
      </c>
      <c r="AN557" s="272" t="str">
        <f>Table4[[#This Row],[Particular]]</f>
        <v>ကုန်ရောင်း(အကြွေး)</v>
      </c>
      <c r="AO557" s="273" t="str">
        <f>Table4[[#This Row],[StockName]]</f>
        <v>ဇေယျဝတီ Red (1 Liter) 30%</v>
      </c>
      <c r="AP557" s="268">
        <f>Table4[[#This Row],[Parking]]</f>
        <v>70</v>
      </c>
      <c r="AQ557" s="268">
        <f>Table4[[#This Row],[SalesBot]]</f>
        <v>840</v>
      </c>
      <c r="AR557" s="268">
        <f>Table4[[#This Row],[Liter]]</f>
        <v>840</v>
      </c>
    </row>
    <row r="558" spans="1:44" s="16" customFormat="1" hidden="1" x14ac:dyDescent="0.5">
      <c r="A558" s="3">
        <f t="shared" si="106"/>
        <v>2026</v>
      </c>
      <c r="B558" s="8">
        <f t="shared" si="107"/>
        <v>2</v>
      </c>
      <c r="C558" s="6">
        <v>46058</v>
      </c>
      <c r="D558" s="15">
        <f t="shared" ca="1" si="108"/>
        <v>46097</v>
      </c>
      <c r="E558" s="15" t="str">
        <f t="shared" ca="1" si="109"/>
        <v>1-Months</v>
      </c>
      <c r="F558" s="8" t="str">
        <f>VLOOKUP(N558,Stock[#Data],5,FALSE)</f>
        <v>BE</v>
      </c>
      <c r="G558" s="82" t="s">
        <v>1298</v>
      </c>
      <c r="H558" s="15"/>
      <c r="I558" s="7" t="s">
        <v>82</v>
      </c>
      <c r="J558" s="8" t="str">
        <f>VLOOKUP(I558,Customers[#Data],2,FALSE)</f>
        <v>ဒေါ်ထွန်းမေ</v>
      </c>
      <c r="K558" s="15" t="str">
        <f>VLOOKUP(I558,Customers[#Data],4,FALSE)</f>
        <v>Maw La Myaing</v>
      </c>
      <c r="L558" s="15" t="str">
        <f>VLOOKUP(I558,Customers[#Data],5,FALSE)</f>
        <v>WholeSales</v>
      </c>
      <c r="M558" s="7" t="s">
        <v>7</v>
      </c>
      <c r="N558" s="7" t="s">
        <v>521</v>
      </c>
      <c r="O558" s="14" t="str">
        <f>VLOOKUP(N558,Stock[#Data],2,FALSE)</f>
        <v>ဒဂုံအရက်သန့်</v>
      </c>
      <c r="P558" s="44">
        <f>VLOOKUP(N558,Stock[#Data],3,FALSE)</f>
        <v>0.64</v>
      </c>
      <c r="Q558" s="3">
        <f>VLOOKUP(N558,Stock[#Data],4,FALSE)</f>
        <v>24</v>
      </c>
      <c r="R558" s="11"/>
      <c r="S558" s="45">
        <f>IFERROR(Table4[[#This Row],[Bottle]]/Table4[[#This Row],[ပါဝင်မှု]]+Table4[[#This Row],[SalesPK]],0)</f>
        <v>60</v>
      </c>
      <c r="T558" s="12">
        <v>60</v>
      </c>
      <c r="U558" s="10">
        <f>Table4[[#This Row],[ပါဝင်မှု]]*Table4[[#This Row],[SalesPK]]+Table4[[#This Row],[Bottle]]</f>
        <v>1440</v>
      </c>
      <c r="V558" s="10">
        <f>Table4[[#This Row],[SalesBot]]*Table4[[#This Row],[ML]]</f>
        <v>921.6</v>
      </c>
      <c r="W558" s="1">
        <f>VLOOKUP(N558,Stock[#Data],6,FALSE)</f>
        <v>1350</v>
      </c>
      <c r="X558" s="8">
        <f>+Table4[[#This Row],[SalesBot]]*Table4[[#This Row],[နှုံး]]</f>
        <v>1944000</v>
      </c>
      <c r="Y558" s="12"/>
      <c r="Z558" s="12"/>
      <c r="AA558" s="12"/>
      <c r="AB558" s="9"/>
      <c r="AC558" s="12"/>
      <c r="AD558" s="9"/>
      <c r="AE558" s="12"/>
      <c r="AF55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1944000</v>
      </c>
      <c r="AG558" s="24"/>
      <c r="AH558" s="266">
        <f>Table4[[#This Row],[Date]]</f>
        <v>46058</v>
      </c>
      <c r="AI558" s="264" t="str">
        <f t="shared" si="100"/>
        <v>Feb</v>
      </c>
      <c r="AJ558" s="264" t="str">
        <f t="shared" si="101"/>
        <v>2026</v>
      </c>
      <c r="AK558" s="270" t="str">
        <f>Table4[[#This Row],[ကုန်သည်အမည်]]</f>
        <v>ဒေါ်ထွန်းမေ</v>
      </c>
      <c r="AL558" s="270" t="str">
        <f>Table4[[#This Row],[Township]]</f>
        <v>Maw La Myaing</v>
      </c>
      <c r="AM558" s="271" t="str">
        <f>Table4[[#This Row],[WholeSales]]</f>
        <v>WholeSales</v>
      </c>
      <c r="AN558" s="272" t="str">
        <f>Table4[[#This Row],[Particular]]</f>
        <v>ကုန်ရောင်း(အကြွေး)</v>
      </c>
      <c r="AO558" s="273" t="str">
        <f>Table4[[#This Row],[StockName]]</f>
        <v>ဒဂုံအရက်သန့်</v>
      </c>
      <c r="AP558" s="268">
        <f>Table4[[#This Row],[Parking]]</f>
        <v>60</v>
      </c>
      <c r="AQ558" s="268">
        <f>Table4[[#This Row],[SalesBot]]</f>
        <v>1440</v>
      </c>
      <c r="AR558" s="268">
        <f>Table4[[#This Row],[Liter]]</f>
        <v>921.6</v>
      </c>
    </row>
    <row r="559" spans="1:44" s="16" customFormat="1" hidden="1" x14ac:dyDescent="0.5">
      <c r="A559" s="3">
        <f t="shared" si="106"/>
        <v>2026</v>
      </c>
      <c r="B559" s="8">
        <f t="shared" si="107"/>
        <v>2</v>
      </c>
      <c r="C559" s="6">
        <v>46058</v>
      </c>
      <c r="D559" s="15">
        <f t="shared" ca="1" si="108"/>
        <v>46097</v>
      </c>
      <c r="E559" s="15" t="str">
        <f t="shared" ca="1" si="109"/>
        <v>1-Months</v>
      </c>
      <c r="F559" s="8" t="str">
        <f>VLOOKUP(N559,Stock[#Data],5,FALSE)</f>
        <v>BE</v>
      </c>
      <c r="G559" s="82" t="s">
        <v>1299</v>
      </c>
      <c r="H559" s="15"/>
      <c r="I559" s="7" t="s">
        <v>110</v>
      </c>
      <c r="J559" s="8" t="str">
        <f>VLOOKUP(I559,Customers[#Data],2,FALSE)</f>
        <v>ပြည့်လျှံ</v>
      </c>
      <c r="K559" s="15" t="str">
        <f>VLOOKUP(I559,Customers[#Data],4,FALSE)</f>
        <v>Maw La Myaing</v>
      </c>
      <c r="L559" s="15" t="str">
        <f>VLOOKUP(I559,Customers[#Data],5,FALSE)</f>
        <v>WholeSales</v>
      </c>
      <c r="M559" s="7" t="s">
        <v>6</v>
      </c>
      <c r="N559" s="7" t="s">
        <v>516</v>
      </c>
      <c r="O559" s="14" t="str">
        <f>VLOOKUP(N559,Stock[#Data],2,FALSE)</f>
        <v>ဇေ Vodka</v>
      </c>
      <c r="P559" s="44">
        <f>VLOOKUP(N559,Stock[#Data],3,FALSE)</f>
        <v>0.64</v>
      </c>
      <c r="Q559" s="3">
        <f>VLOOKUP(N559,Stock[#Data],4,FALSE)</f>
        <v>14</v>
      </c>
      <c r="R559" s="11"/>
      <c r="S559" s="45">
        <f>IFERROR(Table4[[#This Row],[Bottle]]/Table4[[#This Row],[ပါဝင်မှု]]+Table4[[#This Row],[SalesPK]],0)</f>
        <v>120</v>
      </c>
      <c r="T559" s="12">
        <v>120</v>
      </c>
      <c r="U559" s="10">
        <f>Table4[[#This Row],[ပါဝင်မှု]]*Table4[[#This Row],[SalesPK]]+Table4[[#This Row],[Bottle]]</f>
        <v>1680</v>
      </c>
      <c r="V559" s="10">
        <f>Table4[[#This Row],[SalesBot]]*Table4[[#This Row],[ML]]</f>
        <v>1075.2</v>
      </c>
      <c r="W559" s="1">
        <f>VLOOKUP(N559,Stock[#Data],6,FALSE)</f>
        <v>1400</v>
      </c>
      <c r="X559" s="8">
        <f>+Table4[[#This Row],[SalesBot]]*Table4[[#This Row],[နှုံး]]</f>
        <v>2352000</v>
      </c>
      <c r="Y559" s="12"/>
      <c r="Z559" s="12"/>
      <c r="AA559" s="12"/>
      <c r="AB559" s="9"/>
      <c r="AC559" s="12"/>
      <c r="AD559" s="9"/>
      <c r="AE559" s="12"/>
      <c r="AF55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2352000</v>
      </c>
      <c r="AG559" s="24"/>
      <c r="AH559" s="266">
        <f>Table4[[#This Row],[Date]]</f>
        <v>46058</v>
      </c>
      <c r="AI559" s="264" t="str">
        <f t="shared" si="100"/>
        <v>Feb</v>
      </c>
      <c r="AJ559" s="264" t="str">
        <f t="shared" si="101"/>
        <v>2026</v>
      </c>
      <c r="AK559" s="270" t="str">
        <f>Table4[[#This Row],[ကုန်သည်အမည်]]</f>
        <v>ပြည့်လျှံ</v>
      </c>
      <c r="AL559" s="270" t="str">
        <f>Table4[[#This Row],[Township]]</f>
        <v>Maw La Myaing</v>
      </c>
      <c r="AM559" s="271" t="str">
        <f>Table4[[#This Row],[WholeSales]]</f>
        <v>WholeSales</v>
      </c>
      <c r="AN559" s="272" t="str">
        <f>Table4[[#This Row],[Particular]]</f>
        <v>ကုန်ရောင်း(လက်ငင်း)</v>
      </c>
      <c r="AO559" s="273" t="str">
        <f>Table4[[#This Row],[StockName]]</f>
        <v>ဇေ Vodka</v>
      </c>
      <c r="AP559" s="268">
        <f>Table4[[#This Row],[Parking]]</f>
        <v>120</v>
      </c>
      <c r="AQ559" s="268">
        <f>Table4[[#This Row],[SalesBot]]</f>
        <v>1680</v>
      </c>
      <c r="AR559" s="268">
        <f>Table4[[#This Row],[Liter]]</f>
        <v>1075.2</v>
      </c>
    </row>
    <row r="560" spans="1:44" s="16" customFormat="1" hidden="1" x14ac:dyDescent="0.5">
      <c r="A560" s="3">
        <f t="shared" si="106"/>
        <v>2026</v>
      </c>
      <c r="B560" s="8">
        <f t="shared" si="107"/>
        <v>2</v>
      </c>
      <c r="C560" s="6">
        <v>46058</v>
      </c>
      <c r="D560" s="15">
        <f t="shared" ca="1" si="108"/>
        <v>46097</v>
      </c>
      <c r="E560" s="15" t="str">
        <f t="shared" ca="1" si="109"/>
        <v>1-Months</v>
      </c>
      <c r="F560" s="8" t="str">
        <f>VLOOKUP(N560,Stock[#Data],5,FALSE)</f>
        <v>BE</v>
      </c>
      <c r="G560" s="82" t="s">
        <v>1299</v>
      </c>
      <c r="H560" s="15"/>
      <c r="I560" s="7" t="s">
        <v>110</v>
      </c>
      <c r="J560" s="8" t="str">
        <f>VLOOKUP(I560,Customers[#Data],2,FALSE)</f>
        <v>ပြည့်လျှံ</v>
      </c>
      <c r="K560" s="15" t="str">
        <f>VLOOKUP(I560,Customers[#Data],4,FALSE)</f>
        <v>Maw La Myaing</v>
      </c>
      <c r="L560" s="15" t="str">
        <f>VLOOKUP(I560,Customers[#Data],5,FALSE)</f>
        <v>WholeSales</v>
      </c>
      <c r="M560" s="7" t="s">
        <v>6</v>
      </c>
      <c r="N560" s="7" t="s">
        <v>518</v>
      </c>
      <c r="O560" s="14" t="str">
        <f>VLOOKUP(N560,Stock[#Data],2,FALSE)</f>
        <v>"ဇေ" ကော်ဘူး (1 Liter)</v>
      </c>
      <c r="P560" s="44">
        <f>VLOOKUP(N560,Stock[#Data],3,FALSE)</f>
        <v>1</v>
      </c>
      <c r="Q560" s="3">
        <f>VLOOKUP(N560,Stock[#Data],4,FALSE)</f>
        <v>12</v>
      </c>
      <c r="R560" s="11"/>
      <c r="S560" s="45">
        <f>IFERROR(Table4[[#This Row],[Bottle]]/Table4[[#This Row],[ပါဝင်မှု]]+Table4[[#This Row],[SalesPK]],0)</f>
        <v>30</v>
      </c>
      <c r="T560" s="12">
        <v>30</v>
      </c>
      <c r="U560" s="10">
        <f>Table4[[#This Row],[ပါဝင်မှု]]*Table4[[#This Row],[SalesPK]]+Table4[[#This Row],[Bottle]]</f>
        <v>360</v>
      </c>
      <c r="V560" s="10">
        <f>Table4[[#This Row],[SalesBot]]*Table4[[#This Row],[ML]]</f>
        <v>360</v>
      </c>
      <c r="W560" s="1">
        <f>VLOOKUP(N560,Stock[#Data],6,FALSE)</f>
        <v>1675</v>
      </c>
      <c r="X560" s="8">
        <f>+Table4[[#This Row],[SalesBot]]*Table4[[#This Row],[နှုံး]]</f>
        <v>603000</v>
      </c>
      <c r="Y560" s="12"/>
      <c r="Z560" s="12"/>
      <c r="AA560" s="12"/>
      <c r="AB560" s="9"/>
      <c r="AC560" s="12"/>
      <c r="AD560" s="9"/>
      <c r="AE560" s="12"/>
      <c r="AF56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603000</v>
      </c>
      <c r="AG560" s="24"/>
      <c r="AH560" s="266">
        <f>Table4[[#This Row],[Date]]</f>
        <v>46058</v>
      </c>
      <c r="AI560" s="264" t="str">
        <f t="shared" si="100"/>
        <v>Feb</v>
      </c>
      <c r="AJ560" s="264" t="str">
        <f t="shared" si="101"/>
        <v>2026</v>
      </c>
      <c r="AK560" s="270" t="str">
        <f>Table4[[#This Row],[ကုန်သည်အမည်]]</f>
        <v>ပြည့်လျှံ</v>
      </c>
      <c r="AL560" s="270" t="str">
        <f>Table4[[#This Row],[Township]]</f>
        <v>Maw La Myaing</v>
      </c>
      <c r="AM560" s="271" t="str">
        <f>Table4[[#This Row],[WholeSales]]</f>
        <v>WholeSales</v>
      </c>
      <c r="AN560" s="272" t="str">
        <f>Table4[[#This Row],[Particular]]</f>
        <v>ကုန်ရောင်း(လက်ငင်း)</v>
      </c>
      <c r="AO560" s="273" t="str">
        <f>Table4[[#This Row],[StockName]]</f>
        <v>"ဇေ" ကော်ဘူး (1 Liter)</v>
      </c>
      <c r="AP560" s="268">
        <f>Table4[[#This Row],[Parking]]</f>
        <v>30</v>
      </c>
      <c r="AQ560" s="268">
        <f>Table4[[#This Row],[SalesBot]]</f>
        <v>360</v>
      </c>
      <c r="AR560" s="268">
        <f>Table4[[#This Row],[Liter]]</f>
        <v>360</v>
      </c>
    </row>
    <row r="561" spans="1:44" s="16" customFormat="1" hidden="1" x14ac:dyDescent="0.5">
      <c r="A561" s="3">
        <f t="shared" si="106"/>
        <v>2026</v>
      </c>
      <c r="B561" s="8">
        <f t="shared" si="107"/>
        <v>2</v>
      </c>
      <c r="C561" s="6">
        <v>46058</v>
      </c>
      <c r="D561" s="15">
        <f t="shared" ca="1" si="108"/>
        <v>46097</v>
      </c>
      <c r="E561" s="15" t="str">
        <f t="shared" ca="1" si="109"/>
        <v>1-Months</v>
      </c>
      <c r="F561" s="8" t="str">
        <f>VLOOKUP(N561,Stock[#Data],5,FALSE)</f>
        <v>BE</v>
      </c>
      <c r="G561" s="82" t="s">
        <v>1299</v>
      </c>
      <c r="H561" s="15"/>
      <c r="I561" s="7" t="s">
        <v>110</v>
      </c>
      <c r="J561" s="8" t="str">
        <f>VLOOKUP(I561,Customers[#Data],2,FALSE)</f>
        <v>ပြည့်လျှံ</v>
      </c>
      <c r="K561" s="15" t="str">
        <f>VLOOKUP(I561,Customers[#Data],4,FALSE)</f>
        <v>Maw La Myaing</v>
      </c>
      <c r="L561" s="15" t="str">
        <f>VLOOKUP(I561,Customers[#Data],5,FALSE)</f>
        <v>WholeSales</v>
      </c>
      <c r="M561" s="7" t="s">
        <v>9</v>
      </c>
      <c r="N561" s="7" t="s">
        <v>516</v>
      </c>
      <c r="O561" s="14" t="str">
        <f>VLOOKUP(N561,Stock[#Data],2,FALSE)</f>
        <v>ဇေ Vodka</v>
      </c>
      <c r="P561" s="44">
        <f>VLOOKUP(N561,Stock[#Data],3,FALSE)</f>
        <v>0.64</v>
      </c>
      <c r="Q561" s="3">
        <f>VLOOKUP(N561,Stock[#Data],4,FALSE)</f>
        <v>14</v>
      </c>
      <c r="R561" s="11">
        <v>3</v>
      </c>
      <c r="S561" s="45">
        <f>IFERROR(Table4[[#This Row],[Bottle]]/Table4[[#This Row],[ပါဝင်မှု]]+Table4[[#This Row],[SalesPK]],0)</f>
        <v>0.21428571428571427</v>
      </c>
      <c r="T561" s="12"/>
      <c r="U561" s="10">
        <f>Table4[[#This Row],[ပါဝင်မှု]]*Table4[[#This Row],[SalesPK]]+Table4[[#This Row],[Bottle]]</f>
        <v>3</v>
      </c>
      <c r="V561" s="10">
        <f>Table4[[#This Row],[SalesBot]]*Table4[[#This Row],[ML]]</f>
        <v>1.92</v>
      </c>
      <c r="W561" s="1">
        <f>VLOOKUP(N561,Stock[#Data],6,FALSE)</f>
        <v>1400</v>
      </c>
      <c r="X561" s="8">
        <f>+Table4[[#This Row],[SalesBot]]*Table4[[#This Row],[နှုံး]]</f>
        <v>4200</v>
      </c>
      <c r="Y561" s="12"/>
      <c r="Z561" s="12"/>
      <c r="AA561" s="12"/>
      <c r="AB561" s="9"/>
      <c r="AC561" s="12"/>
      <c r="AD561" s="9"/>
      <c r="AE561" s="12"/>
      <c r="AF56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4200</v>
      </c>
      <c r="AG561" s="24"/>
      <c r="AH561" s="266">
        <f>Table4[[#This Row],[Date]]</f>
        <v>46058</v>
      </c>
      <c r="AI561" s="264" t="str">
        <f t="shared" si="100"/>
        <v>Feb</v>
      </c>
      <c r="AJ561" s="264" t="str">
        <f t="shared" si="101"/>
        <v>2026</v>
      </c>
      <c r="AK561" s="270" t="str">
        <f>Table4[[#This Row],[ကုန်သည်အမည်]]</f>
        <v>ပြည့်လျှံ</v>
      </c>
      <c r="AL561" s="270" t="str">
        <f>Table4[[#This Row],[Township]]</f>
        <v>Maw La Myaing</v>
      </c>
      <c r="AM561" s="271" t="str">
        <f>Table4[[#This Row],[WholeSales]]</f>
        <v>WholeSales</v>
      </c>
      <c r="AN561" s="272" t="str">
        <f>Table4[[#This Row],[Particular]]</f>
        <v>လက်ဆောင်</v>
      </c>
      <c r="AO561" s="273" t="str">
        <f>Table4[[#This Row],[StockName]]</f>
        <v>ဇေ Vodka</v>
      </c>
      <c r="AP561" s="268">
        <f>Table4[[#This Row],[Parking]]</f>
        <v>0.21428571428571427</v>
      </c>
      <c r="AQ561" s="268">
        <f>Table4[[#This Row],[SalesBot]]</f>
        <v>3</v>
      </c>
      <c r="AR561" s="268">
        <f>Table4[[#This Row],[Liter]]</f>
        <v>1.92</v>
      </c>
    </row>
    <row r="562" spans="1:44" s="16" customFormat="1" hidden="1" x14ac:dyDescent="0.5">
      <c r="A562" s="3">
        <f t="shared" si="106"/>
        <v>2026</v>
      </c>
      <c r="B562" s="8">
        <f t="shared" si="107"/>
        <v>2</v>
      </c>
      <c r="C562" s="6">
        <v>46058</v>
      </c>
      <c r="D562" s="15">
        <f t="shared" ca="1" si="108"/>
        <v>46097</v>
      </c>
      <c r="E562" s="15" t="str">
        <f t="shared" ca="1" si="109"/>
        <v>1-Months</v>
      </c>
      <c r="F562" s="8" t="str">
        <f>VLOOKUP(N562,Stock[#Data],5,FALSE)</f>
        <v>BE</v>
      </c>
      <c r="G562" s="82" t="s">
        <v>1300</v>
      </c>
      <c r="H562" s="15"/>
      <c r="I562" s="7" t="s">
        <v>107</v>
      </c>
      <c r="J562" s="8" t="str">
        <f>VLOOKUP(I562,Customers[#Data],2,FALSE)</f>
        <v>မင်းမင်းထွန်း</v>
      </c>
      <c r="K562" s="15" t="str">
        <f>VLOOKUP(I562,Customers[#Data],4,FALSE)</f>
        <v>Paung</v>
      </c>
      <c r="L562" s="15" t="str">
        <f>VLOOKUP(I562,Customers[#Data],5,FALSE)</f>
        <v>Van Sales</v>
      </c>
      <c r="M562" s="7" t="s">
        <v>6</v>
      </c>
      <c r="N562" s="7" t="s">
        <v>516</v>
      </c>
      <c r="O562" s="14" t="str">
        <f>VLOOKUP(N562,Stock[#Data],2,FALSE)</f>
        <v>ဇေ Vodka</v>
      </c>
      <c r="P562" s="44">
        <f>VLOOKUP(N562,Stock[#Data],3,FALSE)</f>
        <v>0.64</v>
      </c>
      <c r="Q562" s="3">
        <f>VLOOKUP(N562,Stock[#Data],4,FALSE)</f>
        <v>14</v>
      </c>
      <c r="R562" s="11"/>
      <c r="S562" s="45">
        <f>IFERROR(Table4[[#This Row],[Bottle]]/Table4[[#This Row],[ပါဝင်မှု]]+Table4[[#This Row],[SalesPK]],0)</f>
        <v>10</v>
      </c>
      <c r="T562" s="12">
        <v>10</v>
      </c>
      <c r="U562" s="10">
        <f>Table4[[#This Row],[ပါဝင်မှု]]*Table4[[#This Row],[SalesPK]]+Table4[[#This Row],[Bottle]]</f>
        <v>140</v>
      </c>
      <c r="V562" s="10">
        <f>Table4[[#This Row],[SalesBot]]*Table4[[#This Row],[ML]]</f>
        <v>89.600000000000009</v>
      </c>
      <c r="W562" s="1">
        <f>VLOOKUP(N562,Stock[#Data],6,FALSE)</f>
        <v>1400</v>
      </c>
      <c r="X562" s="8">
        <f>+Table4[[#This Row],[SalesBot]]*Table4[[#This Row],[နှုံး]]</f>
        <v>196000</v>
      </c>
      <c r="Y562" s="12"/>
      <c r="Z562" s="12"/>
      <c r="AA562" s="12"/>
      <c r="AB562" s="9"/>
      <c r="AC562" s="12"/>
      <c r="AD562" s="9"/>
      <c r="AE562" s="12"/>
      <c r="AF56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562" s="24"/>
      <c r="AH562" s="266">
        <f>Table4[[#This Row],[Date]]</f>
        <v>46058</v>
      </c>
      <c r="AI562" s="264" t="str">
        <f t="shared" si="100"/>
        <v>Feb</v>
      </c>
      <c r="AJ562" s="264" t="str">
        <f t="shared" si="101"/>
        <v>2026</v>
      </c>
      <c r="AK562" s="270" t="str">
        <f>Table4[[#This Row],[ကုန်သည်အမည်]]</f>
        <v>မင်းမင်းထွန်း</v>
      </c>
      <c r="AL562" s="270" t="str">
        <f>Table4[[#This Row],[Township]]</f>
        <v>Paung</v>
      </c>
      <c r="AM562" s="271" t="str">
        <f>Table4[[#This Row],[WholeSales]]</f>
        <v>Van Sales</v>
      </c>
      <c r="AN562" s="272" t="str">
        <f>Table4[[#This Row],[Particular]]</f>
        <v>ကုန်ရောင်း(လက်ငင်း)</v>
      </c>
      <c r="AO562" s="273" t="str">
        <f>Table4[[#This Row],[StockName]]</f>
        <v>ဇေ Vodka</v>
      </c>
      <c r="AP562" s="268">
        <f>Table4[[#This Row],[Parking]]</f>
        <v>10</v>
      </c>
      <c r="AQ562" s="268">
        <f>Table4[[#This Row],[SalesBot]]</f>
        <v>140</v>
      </c>
      <c r="AR562" s="268">
        <f>Table4[[#This Row],[Liter]]</f>
        <v>89.600000000000009</v>
      </c>
    </row>
    <row r="563" spans="1:44" s="16" customFormat="1" hidden="1" x14ac:dyDescent="0.5">
      <c r="A563" s="3">
        <f t="shared" si="106"/>
        <v>2026</v>
      </c>
      <c r="B563" s="8">
        <f t="shared" si="107"/>
        <v>2</v>
      </c>
      <c r="C563" s="6">
        <v>46058</v>
      </c>
      <c r="D563" s="15">
        <f t="shared" ca="1" si="108"/>
        <v>46097</v>
      </c>
      <c r="E563" s="15" t="str">
        <f t="shared" ca="1" si="109"/>
        <v>1-Months</v>
      </c>
      <c r="F563" s="8" t="str">
        <f>VLOOKUP(N563,Stock[#Data],5,FALSE)</f>
        <v>BE</v>
      </c>
      <c r="G563" s="82" t="s">
        <v>1300</v>
      </c>
      <c r="H563" s="15"/>
      <c r="I563" s="7" t="s">
        <v>107</v>
      </c>
      <c r="J563" s="8" t="str">
        <f>VLOOKUP(I563,Customers[#Data],2,FALSE)</f>
        <v>မင်းမင်းထွန်း</v>
      </c>
      <c r="K563" s="15" t="str">
        <f>VLOOKUP(I563,Customers[#Data],4,FALSE)</f>
        <v>Paung</v>
      </c>
      <c r="L563" s="15" t="str">
        <f>VLOOKUP(I563,Customers[#Data],5,FALSE)</f>
        <v>Van Sales</v>
      </c>
      <c r="M563" s="7" t="s">
        <v>6</v>
      </c>
      <c r="N563" s="7" t="s">
        <v>520</v>
      </c>
      <c r="O563" s="14" t="str">
        <f>VLOOKUP(N563,Stock[#Data],2,FALSE)</f>
        <v>ဇေယျဝတီ  Red(ပု)</v>
      </c>
      <c r="P563" s="44">
        <f>VLOOKUP(N563,Stock[#Data],3,FALSE)</f>
        <v>0.64</v>
      </c>
      <c r="Q563" s="3">
        <f>VLOOKUP(N563,Stock[#Data],4,FALSE)</f>
        <v>14</v>
      </c>
      <c r="R563" s="11"/>
      <c r="S563" s="45">
        <f>IFERROR(Table4[[#This Row],[Bottle]]/Table4[[#This Row],[ပါဝင်မှု]]+Table4[[#This Row],[SalesPK]],0)</f>
        <v>10</v>
      </c>
      <c r="T563" s="12">
        <v>10</v>
      </c>
      <c r="U563" s="10">
        <f>Table4[[#This Row],[ပါဝင်မှု]]*Table4[[#This Row],[SalesPK]]+Table4[[#This Row],[Bottle]]</f>
        <v>140</v>
      </c>
      <c r="V563" s="10">
        <f>Table4[[#This Row],[SalesBot]]*Table4[[#This Row],[ML]]</f>
        <v>89.600000000000009</v>
      </c>
      <c r="W563" s="1">
        <f>VLOOKUP(N563,Stock[#Data],6,FALSE)</f>
        <v>1800</v>
      </c>
      <c r="X563" s="8">
        <f>+Table4[[#This Row],[SalesBot]]*Table4[[#This Row],[နှုံး]]</f>
        <v>252000</v>
      </c>
      <c r="Y563" s="12"/>
      <c r="Z563" s="12"/>
      <c r="AA563" s="12"/>
      <c r="AB563" s="9"/>
      <c r="AC563" s="12"/>
      <c r="AD563" s="9"/>
      <c r="AE563" s="12"/>
      <c r="AF56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252000</v>
      </c>
      <c r="AG563" s="24"/>
      <c r="AH563" s="266">
        <f>Table4[[#This Row],[Date]]</f>
        <v>46058</v>
      </c>
      <c r="AI563" s="264" t="str">
        <f t="shared" si="100"/>
        <v>Feb</v>
      </c>
      <c r="AJ563" s="264" t="str">
        <f t="shared" si="101"/>
        <v>2026</v>
      </c>
      <c r="AK563" s="270" t="str">
        <f>Table4[[#This Row],[ကုန်သည်အမည်]]</f>
        <v>မင်းမင်းထွန်း</v>
      </c>
      <c r="AL563" s="270" t="str">
        <f>Table4[[#This Row],[Township]]</f>
        <v>Paung</v>
      </c>
      <c r="AM563" s="271" t="str">
        <f>Table4[[#This Row],[WholeSales]]</f>
        <v>Van Sales</v>
      </c>
      <c r="AN563" s="272" t="str">
        <f>Table4[[#This Row],[Particular]]</f>
        <v>ကုန်ရောင်း(လက်ငင်း)</v>
      </c>
      <c r="AO563" s="273" t="str">
        <f>Table4[[#This Row],[StockName]]</f>
        <v>ဇေယျဝတီ  Red(ပု)</v>
      </c>
      <c r="AP563" s="268">
        <f>Table4[[#This Row],[Parking]]</f>
        <v>10</v>
      </c>
      <c r="AQ563" s="268">
        <f>Table4[[#This Row],[SalesBot]]</f>
        <v>140</v>
      </c>
      <c r="AR563" s="268">
        <f>Table4[[#This Row],[Liter]]</f>
        <v>89.600000000000009</v>
      </c>
    </row>
    <row r="564" spans="1:44" s="16" customFormat="1" hidden="1" x14ac:dyDescent="0.5">
      <c r="A564" s="3">
        <f t="shared" si="106"/>
        <v>2026</v>
      </c>
      <c r="B564" s="8">
        <f t="shared" si="107"/>
        <v>2</v>
      </c>
      <c r="C564" s="6">
        <v>46058</v>
      </c>
      <c r="D564" s="15">
        <f t="shared" ca="1" si="108"/>
        <v>46097</v>
      </c>
      <c r="E564" s="15" t="str">
        <f t="shared" ca="1" si="109"/>
        <v>1-Months</v>
      </c>
      <c r="F564" s="8" t="str">
        <f>VLOOKUP(N564,Stock[#Data],5,FALSE)</f>
        <v>BE</v>
      </c>
      <c r="G564" s="82" t="s">
        <v>1300</v>
      </c>
      <c r="H564" s="15"/>
      <c r="I564" s="7" t="s">
        <v>107</v>
      </c>
      <c r="J564" s="8" t="str">
        <f>VLOOKUP(I564,Customers[#Data],2,FALSE)</f>
        <v>မင်းမင်းထွန်း</v>
      </c>
      <c r="K564" s="15" t="str">
        <f>VLOOKUP(I564,Customers[#Data],4,FALSE)</f>
        <v>Paung</v>
      </c>
      <c r="L564" s="15" t="str">
        <f>VLOOKUP(I564,Customers[#Data],5,FALSE)</f>
        <v>Van Sales</v>
      </c>
      <c r="M564" s="7" t="s">
        <v>6</v>
      </c>
      <c r="N564" s="7" t="s">
        <v>526</v>
      </c>
      <c r="O564" s="14" t="str">
        <f>VLOOKUP(N564,Stock[#Data],2,FALSE)</f>
        <v>ဒဂုံနာနတ်ဝိုင်</v>
      </c>
      <c r="P564" s="44">
        <f>VLOOKUP(N564,Stock[#Data],3,FALSE)</f>
        <v>0.64</v>
      </c>
      <c r="Q564" s="3">
        <f>VLOOKUP(N564,Stock[#Data],4,FALSE)</f>
        <v>14</v>
      </c>
      <c r="R564" s="11"/>
      <c r="S564" s="45">
        <f>IFERROR(Table4[[#This Row],[Bottle]]/Table4[[#This Row],[ပါဝင်မှု]]+Table4[[#This Row],[SalesPK]],0)</f>
        <v>10</v>
      </c>
      <c r="T564" s="12">
        <v>10</v>
      </c>
      <c r="U564" s="10">
        <f>Table4[[#This Row],[ပါဝင်မှု]]*Table4[[#This Row],[SalesPK]]+Table4[[#This Row],[Bottle]]</f>
        <v>140</v>
      </c>
      <c r="V564" s="10">
        <f>Table4[[#This Row],[SalesBot]]*Table4[[#This Row],[ML]]</f>
        <v>89.600000000000009</v>
      </c>
      <c r="W564" s="1">
        <f>VLOOKUP(N564,Stock[#Data],6,FALSE)</f>
        <v>1350</v>
      </c>
      <c r="X564" s="8">
        <f>+Table4[[#This Row],[SalesBot]]*Table4[[#This Row],[နှုံး]]</f>
        <v>189000</v>
      </c>
      <c r="Y564" s="12"/>
      <c r="Z564" s="12"/>
      <c r="AA564" s="12"/>
      <c r="AB564" s="9"/>
      <c r="AC564" s="12"/>
      <c r="AD564" s="9"/>
      <c r="AE564" s="12"/>
      <c r="AF56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</v>
      </c>
      <c r="AG564" s="24"/>
      <c r="AH564" s="266">
        <f>Table4[[#This Row],[Date]]</f>
        <v>46058</v>
      </c>
      <c r="AI564" s="264" t="str">
        <f t="shared" si="100"/>
        <v>Feb</v>
      </c>
      <c r="AJ564" s="264" t="str">
        <f t="shared" si="101"/>
        <v>2026</v>
      </c>
      <c r="AK564" s="270" t="str">
        <f>Table4[[#This Row],[ကုန်သည်အမည်]]</f>
        <v>မင်းမင်းထွန်း</v>
      </c>
      <c r="AL564" s="270" t="str">
        <f>Table4[[#This Row],[Township]]</f>
        <v>Paung</v>
      </c>
      <c r="AM564" s="271" t="str">
        <f>Table4[[#This Row],[WholeSales]]</f>
        <v>Van Sales</v>
      </c>
      <c r="AN564" s="272" t="str">
        <f>Table4[[#This Row],[Particular]]</f>
        <v>ကုန်ရောင်း(လက်ငင်း)</v>
      </c>
      <c r="AO564" s="273" t="str">
        <f>Table4[[#This Row],[StockName]]</f>
        <v>ဒဂုံနာနတ်ဝိုင်</v>
      </c>
      <c r="AP564" s="268">
        <f>Table4[[#This Row],[Parking]]</f>
        <v>10</v>
      </c>
      <c r="AQ564" s="268">
        <f>Table4[[#This Row],[SalesBot]]</f>
        <v>140</v>
      </c>
      <c r="AR564" s="268">
        <f>Table4[[#This Row],[Liter]]</f>
        <v>89.600000000000009</v>
      </c>
    </row>
    <row r="565" spans="1:44" s="16" customFormat="1" hidden="1" x14ac:dyDescent="0.5">
      <c r="A565" s="3">
        <f t="shared" si="106"/>
        <v>2026</v>
      </c>
      <c r="B565" s="8">
        <f t="shared" si="107"/>
        <v>2</v>
      </c>
      <c r="C565" s="6">
        <v>46058</v>
      </c>
      <c r="D565" s="15">
        <f t="shared" ca="1" si="108"/>
        <v>46097</v>
      </c>
      <c r="E565" s="15" t="str">
        <f t="shared" ca="1" si="109"/>
        <v>1-Months</v>
      </c>
      <c r="F565" s="8" t="str">
        <f>VLOOKUP(N565,Stock[#Data],5,FALSE)</f>
        <v>BE</v>
      </c>
      <c r="G565" s="82" t="s">
        <v>1301</v>
      </c>
      <c r="H565" s="15"/>
      <c r="I565" s="7" t="s">
        <v>565</v>
      </c>
      <c r="J565" s="8" t="str">
        <f>VLOOKUP(I565,Customers[#Data],2,FALSE)</f>
        <v>မဇာဇာ</v>
      </c>
      <c r="K565" s="15" t="str">
        <f>VLOOKUP(I565,Customers[#Data],4,FALSE)</f>
        <v>Maw La Myaing</v>
      </c>
      <c r="L565" s="15" t="str">
        <f>VLOOKUP(I565,Customers[#Data],5,FALSE)</f>
        <v>Van Sales</v>
      </c>
      <c r="M565" s="7" t="s">
        <v>6</v>
      </c>
      <c r="N565" s="7" t="s">
        <v>518</v>
      </c>
      <c r="O565" s="14" t="str">
        <f>VLOOKUP(N565,Stock[#Data],2,FALSE)</f>
        <v>"ဇေ" ကော်ဘူး (1 Liter)</v>
      </c>
      <c r="P565" s="44">
        <f>VLOOKUP(N565,Stock[#Data],3,FALSE)</f>
        <v>1</v>
      </c>
      <c r="Q565" s="3">
        <f>VLOOKUP(N565,Stock[#Data],4,FALSE)</f>
        <v>12</v>
      </c>
      <c r="R565" s="11"/>
      <c r="S565" s="45">
        <f>IFERROR(Table4[[#This Row],[Bottle]]/Table4[[#This Row],[ပါဝင်မှု]]+Table4[[#This Row],[SalesPK]],0)</f>
        <v>10</v>
      </c>
      <c r="T565" s="12">
        <v>10</v>
      </c>
      <c r="U565" s="10">
        <f>Table4[[#This Row],[ပါဝင်မှု]]*Table4[[#This Row],[SalesPK]]+Table4[[#This Row],[Bottle]]</f>
        <v>120</v>
      </c>
      <c r="V565" s="10">
        <f>Table4[[#This Row],[SalesBot]]*Table4[[#This Row],[ML]]</f>
        <v>120</v>
      </c>
      <c r="W565" s="1">
        <f>VLOOKUP(N565,Stock[#Data],6,FALSE)</f>
        <v>1675</v>
      </c>
      <c r="X565" s="8">
        <f>+Table4[[#This Row],[SalesBot]]*Table4[[#This Row],[နှုံး]]</f>
        <v>201000</v>
      </c>
      <c r="Y565" s="12"/>
      <c r="Z565" s="12"/>
      <c r="AA565" s="12"/>
      <c r="AB565" s="9"/>
      <c r="AC565" s="12"/>
      <c r="AD565" s="9"/>
      <c r="AE565" s="12"/>
      <c r="AF56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201000</v>
      </c>
      <c r="AG565" s="24"/>
      <c r="AH565" s="266">
        <f>Table4[[#This Row],[Date]]</f>
        <v>46058</v>
      </c>
      <c r="AI565" s="264" t="str">
        <f t="shared" si="100"/>
        <v>Feb</v>
      </c>
      <c r="AJ565" s="264" t="str">
        <f t="shared" si="101"/>
        <v>2026</v>
      </c>
      <c r="AK565" s="270" t="str">
        <f>Table4[[#This Row],[ကုန်သည်အမည်]]</f>
        <v>မဇာဇာ</v>
      </c>
      <c r="AL565" s="270" t="str">
        <f>Table4[[#This Row],[Township]]</f>
        <v>Maw La Myaing</v>
      </c>
      <c r="AM565" s="271" t="str">
        <f>Table4[[#This Row],[WholeSales]]</f>
        <v>Van Sales</v>
      </c>
      <c r="AN565" s="272" t="str">
        <f>Table4[[#This Row],[Particular]]</f>
        <v>ကုန်ရောင်း(လက်ငင်း)</v>
      </c>
      <c r="AO565" s="273" t="str">
        <f>Table4[[#This Row],[StockName]]</f>
        <v>"ဇေ" ကော်ဘူး (1 Liter)</v>
      </c>
      <c r="AP565" s="268">
        <f>Table4[[#This Row],[Parking]]</f>
        <v>10</v>
      </c>
      <c r="AQ565" s="268">
        <f>Table4[[#This Row],[SalesBot]]</f>
        <v>120</v>
      </c>
      <c r="AR565" s="268">
        <f>Table4[[#This Row],[Liter]]</f>
        <v>120</v>
      </c>
    </row>
    <row r="566" spans="1:44" s="16" customFormat="1" hidden="1" x14ac:dyDescent="0.5">
      <c r="A566" s="3">
        <f t="shared" si="106"/>
        <v>2026</v>
      </c>
      <c r="B566" s="8">
        <f t="shared" si="107"/>
        <v>2</v>
      </c>
      <c r="C566" s="6">
        <v>46058</v>
      </c>
      <c r="D566" s="15">
        <f t="shared" ca="1" si="108"/>
        <v>46097</v>
      </c>
      <c r="E566" s="15" t="str">
        <f t="shared" ca="1" si="109"/>
        <v>1-Months</v>
      </c>
      <c r="F566" s="8" t="str">
        <f>VLOOKUP(N566,Stock[#Data],5,FALSE)</f>
        <v>BE</v>
      </c>
      <c r="G566" s="82" t="s">
        <v>1302</v>
      </c>
      <c r="H566" s="15"/>
      <c r="I566" s="7" t="s">
        <v>82</v>
      </c>
      <c r="J566" s="8" t="str">
        <f>VLOOKUP(I566,Customers[#Data],2,FALSE)</f>
        <v>ဒေါ်ထွန်းမေ</v>
      </c>
      <c r="K566" s="15" t="str">
        <f>VLOOKUP(I566,Customers[#Data],4,FALSE)</f>
        <v>Maw La Myaing</v>
      </c>
      <c r="L566" s="15" t="str">
        <f>VLOOKUP(I566,Customers[#Data],5,FALSE)</f>
        <v>WholeSales</v>
      </c>
      <c r="M566" s="7" t="s">
        <v>6</v>
      </c>
      <c r="N566" s="7" t="s">
        <v>514</v>
      </c>
      <c r="O566" s="14" t="str">
        <f>VLOOKUP(N566,Stock[#Data],2,FALSE)</f>
        <v>ဇေယျဝတီ Red</v>
      </c>
      <c r="P566" s="44">
        <f>VLOOKUP(N566,Stock[#Data],3,FALSE)</f>
        <v>0.64</v>
      </c>
      <c r="Q566" s="3">
        <f>VLOOKUP(N566,Stock[#Data],4,FALSE)</f>
        <v>14</v>
      </c>
      <c r="R566" s="11"/>
      <c r="S566" s="45">
        <f>IFERROR(Table4[[#This Row],[Bottle]]/Table4[[#This Row],[ပါဝင်မှု]]+Table4[[#This Row],[SalesPK]],0)</f>
        <v>50</v>
      </c>
      <c r="T566" s="12">
        <v>50</v>
      </c>
      <c r="U566" s="10">
        <f>Table4[[#This Row],[ပါဝင်မှု]]*Table4[[#This Row],[SalesPK]]+Table4[[#This Row],[Bottle]]</f>
        <v>700</v>
      </c>
      <c r="V566" s="10">
        <f>Table4[[#This Row],[SalesBot]]*Table4[[#This Row],[ML]]</f>
        <v>448</v>
      </c>
      <c r="W566" s="1">
        <f>VLOOKUP(N566,Stock[#Data],6,FALSE)</f>
        <v>1350</v>
      </c>
      <c r="X566" s="8">
        <f>+Table4[[#This Row],[SalesBot]]*Table4[[#This Row],[နှုံး]]</f>
        <v>945000</v>
      </c>
      <c r="Y566" s="12"/>
      <c r="Z566" s="12"/>
      <c r="AA566" s="12"/>
      <c r="AB566" s="9"/>
      <c r="AC566" s="12"/>
      <c r="AD566" s="9"/>
      <c r="AE566" s="12"/>
      <c r="AF56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566" s="24"/>
      <c r="AH566" s="266">
        <f>Table4[[#This Row],[Date]]</f>
        <v>46058</v>
      </c>
      <c r="AI566" s="264" t="str">
        <f t="shared" si="100"/>
        <v>Feb</v>
      </c>
      <c r="AJ566" s="264" t="str">
        <f t="shared" si="101"/>
        <v>2026</v>
      </c>
      <c r="AK566" s="270" t="str">
        <f>Table4[[#This Row],[ကုန်သည်အမည်]]</f>
        <v>ဒေါ်ထွန်းမေ</v>
      </c>
      <c r="AL566" s="270" t="str">
        <f>Table4[[#This Row],[Township]]</f>
        <v>Maw La Myaing</v>
      </c>
      <c r="AM566" s="271" t="str">
        <f>Table4[[#This Row],[WholeSales]]</f>
        <v>WholeSales</v>
      </c>
      <c r="AN566" s="272" t="str">
        <f>Table4[[#This Row],[Particular]]</f>
        <v>ကုန်ရောင်း(လက်ငင်း)</v>
      </c>
      <c r="AO566" s="273" t="str">
        <f>Table4[[#This Row],[StockName]]</f>
        <v>ဇေယျဝတီ Red</v>
      </c>
      <c r="AP566" s="268">
        <f>Table4[[#This Row],[Parking]]</f>
        <v>50</v>
      </c>
      <c r="AQ566" s="268">
        <f>Table4[[#This Row],[SalesBot]]</f>
        <v>700</v>
      </c>
      <c r="AR566" s="268">
        <f>Table4[[#This Row],[Liter]]</f>
        <v>448</v>
      </c>
    </row>
    <row r="567" spans="1:44" s="16" customFormat="1" hidden="1" x14ac:dyDescent="0.5">
      <c r="A567" s="3">
        <f t="shared" si="106"/>
        <v>2026</v>
      </c>
      <c r="B567" s="8">
        <f t="shared" si="107"/>
        <v>2</v>
      </c>
      <c r="C567" s="6">
        <v>46058</v>
      </c>
      <c r="D567" s="15">
        <f t="shared" ca="1" si="108"/>
        <v>46097</v>
      </c>
      <c r="E567" s="15" t="str">
        <f t="shared" ca="1" si="109"/>
        <v>1-Months</v>
      </c>
      <c r="F567" s="8" t="str">
        <f>VLOOKUP(N567,Stock[#Data],5,FALSE)</f>
        <v>BE</v>
      </c>
      <c r="G567" s="82" t="s">
        <v>1303</v>
      </c>
      <c r="H567" s="15"/>
      <c r="I567" s="7" t="s">
        <v>141</v>
      </c>
      <c r="J567" s="8" t="str">
        <f>VLOOKUP(I567,Customers[#Data],2,FALSE)</f>
        <v>Outlet</v>
      </c>
      <c r="K567" s="15" t="str">
        <f>VLOOKUP(I567,Customers[#Data],4,FALSE)</f>
        <v>Maw La Myaing</v>
      </c>
      <c r="L567" s="15" t="str">
        <f>VLOOKUP(I567,Customers[#Data],5,FALSE)</f>
        <v>Van Sales</v>
      </c>
      <c r="M567" s="7" t="s">
        <v>6</v>
      </c>
      <c r="N567" s="7" t="s">
        <v>508</v>
      </c>
      <c r="O567" s="14" t="str">
        <f>VLOOKUP(N567,Stock[#Data],2,FALSE)</f>
        <v>ကောင်းကြည်-1Li</v>
      </c>
      <c r="P567" s="44">
        <f>VLOOKUP(N567,Stock[#Data],3,FALSE)</f>
        <v>1</v>
      </c>
      <c r="Q567" s="3">
        <f>VLOOKUP(N567,Stock[#Data],4,FALSE)</f>
        <v>12</v>
      </c>
      <c r="R567" s="11">
        <v>9</v>
      </c>
      <c r="S567" s="45">
        <f>IFERROR(Table4[[#This Row],[Bottle]]/Table4[[#This Row],[ပါဝင်မှု]]+Table4[[#This Row],[SalesPK]],0)</f>
        <v>0.75</v>
      </c>
      <c r="T567" s="12"/>
      <c r="U567" s="10">
        <f>Table4[[#This Row],[ပါဝင်မှု]]*Table4[[#This Row],[SalesPK]]+Table4[[#This Row],[Bottle]]</f>
        <v>9</v>
      </c>
      <c r="V567" s="10">
        <f>Table4[[#This Row],[SalesBot]]*Table4[[#This Row],[ML]]</f>
        <v>9</v>
      </c>
      <c r="W567" s="1">
        <f>VLOOKUP(N567,Stock[#Data],6,FALSE)</f>
        <v>1850</v>
      </c>
      <c r="X567" s="8">
        <f>+Table4[[#This Row],[SalesBot]]*Table4[[#This Row],[နှုံး]]</f>
        <v>16650</v>
      </c>
      <c r="Y567" s="12"/>
      <c r="Z567" s="12"/>
      <c r="AA567" s="12"/>
      <c r="AB567" s="9"/>
      <c r="AC567" s="12"/>
      <c r="AD567" s="9"/>
      <c r="AE567" s="12"/>
      <c r="AF56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16650</v>
      </c>
      <c r="AG567" s="24"/>
      <c r="AH567" s="266">
        <f>Table4[[#This Row],[Date]]</f>
        <v>46058</v>
      </c>
      <c r="AI567" s="264" t="str">
        <f t="shared" si="100"/>
        <v>Feb</v>
      </c>
      <c r="AJ567" s="264" t="str">
        <f t="shared" si="101"/>
        <v>2026</v>
      </c>
      <c r="AK567" s="270" t="str">
        <f>Table4[[#This Row],[ကုန်သည်အမည်]]</f>
        <v>Outlet</v>
      </c>
      <c r="AL567" s="270" t="str">
        <f>Table4[[#This Row],[Township]]</f>
        <v>Maw La Myaing</v>
      </c>
      <c r="AM567" s="271" t="str">
        <f>Table4[[#This Row],[WholeSales]]</f>
        <v>Van Sales</v>
      </c>
      <c r="AN567" s="272" t="str">
        <f>Table4[[#This Row],[Particular]]</f>
        <v>ကုန်ရောင်း(လက်ငင်း)</v>
      </c>
      <c r="AO567" s="273" t="str">
        <f>Table4[[#This Row],[StockName]]</f>
        <v>ကောင်းကြည်-1Li</v>
      </c>
      <c r="AP567" s="268">
        <f>Table4[[#This Row],[Parking]]</f>
        <v>0.75</v>
      </c>
      <c r="AQ567" s="268">
        <f>Table4[[#This Row],[SalesBot]]</f>
        <v>9</v>
      </c>
      <c r="AR567" s="268">
        <f>Table4[[#This Row],[Liter]]</f>
        <v>9</v>
      </c>
    </row>
    <row r="568" spans="1:44" s="16" customFormat="1" hidden="1" x14ac:dyDescent="0.5">
      <c r="A568" s="3">
        <f t="shared" si="106"/>
        <v>2026</v>
      </c>
      <c r="B568" s="8">
        <f t="shared" si="107"/>
        <v>2</v>
      </c>
      <c r="C568" s="6">
        <v>46058</v>
      </c>
      <c r="D568" s="15">
        <f t="shared" ca="1" si="108"/>
        <v>46097</v>
      </c>
      <c r="E568" s="15" t="str">
        <f t="shared" ca="1" si="109"/>
        <v>1-Months</v>
      </c>
      <c r="F568" s="8" t="str">
        <f>VLOOKUP(N568,Stock[#Data],5,FALSE)</f>
        <v>Formula</v>
      </c>
      <c r="G568" s="82" t="s">
        <v>1303</v>
      </c>
      <c r="H568" s="15"/>
      <c r="I568" s="7" t="s">
        <v>141</v>
      </c>
      <c r="J568" s="8" t="str">
        <f>VLOOKUP(I568,Customers[#Data],2,FALSE)</f>
        <v>Outlet</v>
      </c>
      <c r="K568" s="15" t="str">
        <f>VLOOKUP(I568,Customers[#Data],4,FALSE)</f>
        <v>Maw La Myaing</v>
      </c>
      <c r="L568" s="15" t="str">
        <f>VLOOKUP(I568,Customers[#Data],5,FALSE)</f>
        <v>Van Sales</v>
      </c>
      <c r="M568" s="7" t="s">
        <v>6</v>
      </c>
      <c r="N568" s="7" t="s">
        <v>530</v>
      </c>
      <c r="O568" s="14" t="str">
        <f>VLOOKUP(N568,Stock[#Data],2,FALSE)</f>
        <v>Formula Rum 350ml</v>
      </c>
      <c r="P568" s="44">
        <f>VLOOKUP(N568,Stock[#Data],3,FALSE)</f>
        <v>0.35</v>
      </c>
      <c r="Q568" s="3">
        <f>VLOOKUP(N568,Stock[#Data],4,FALSE)</f>
        <v>24</v>
      </c>
      <c r="R568" s="11">
        <v>15</v>
      </c>
      <c r="S568" s="45">
        <f>IFERROR(Table4[[#This Row],[Bottle]]/Table4[[#This Row],[ပါဝင်မှု]]+Table4[[#This Row],[SalesPK]],0)</f>
        <v>2.625</v>
      </c>
      <c r="T568" s="12">
        <v>2</v>
      </c>
      <c r="U568" s="10">
        <f>Table4[[#This Row],[ပါဝင်မှု]]*Table4[[#This Row],[SalesPK]]+Table4[[#This Row],[Bottle]]</f>
        <v>63</v>
      </c>
      <c r="V568" s="10">
        <f>Table4[[#This Row],[SalesBot]]*Table4[[#This Row],[ML]]</f>
        <v>22.049999999999997</v>
      </c>
      <c r="W568" s="1">
        <f>VLOOKUP(N568,Stock[#Data],6,FALSE)</f>
        <v>2100</v>
      </c>
      <c r="X568" s="8">
        <f>+Table4[[#This Row],[SalesBot]]*Table4[[#This Row],[နှုံး]]</f>
        <v>132300</v>
      </c>
      <c r="Y568" s="12"/>
      <c r="Z568" s="12"/>
      <c r="AA568" s="12"/>
      <c r="AB568" s="9"/>
      <c r="AC568" s="12"/>
      <c r="AD568" s="9"/>
      <c r="AE568" s="12"/>
      <c r="AF56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132300</v>
      </c>
      <c r="AG568" s="24"/>
      <c r="AH568" s="266">
        <f>Table4[[#This Row],[Date]]</f>
        <v>46058</v>
      </c>
      <c r="AI568" s="264" t="str">
        <f t="shared" si="100"/>
        <v>Feb</v>
      </c>
      <c r="AJ568" s="264" t="str">
        <f t="shared" si="101"/>
        <v>2026</v>
      </c>
      <c r="AK568" s="270" t="str">
        <f>Table4[[#This Row],[ကုန်သည်အမည်]]</f>
        <v>Outlet</v>
      </c>
      <c r="AL568" s="270" t="str">
        <f>Table4[[#This Row],[Township]]</f>
        <v>Maw La Myaing</v>
      </c>
      <c r="AM568" s="271" t="str">
        <f>Table4[[#This Row],[WholeSales]]</f>
        <v>Van Sales</v>
      </c>
      <c r="AN568" s="272" t="str">
        <f>Table4[[#This Row],[Particular]]</f>
        <v>ကုန်ရောင်း(လက်ငင်း)</v>
      </c>
      <c r="AO568" s="273" t="str">
        <f>Table4[[#This Row],[StockName]]</f>
        <v>Formula Rum 350ml</v>
      </c>
      <c r="AP568" s="268">
        <f>Table4[[#This Row],[Parking]]</f>
        <v>2.625</v>
      </c>
      <c r="AQ568" s="268">
        <f>Table4[[#This Row],[SalesBot]]</f>
        <v>63</v>
      </c>
      <c r="AR568" s="268">
        <f>Table4[[#This Row],[Liter]]</f>
        <v>22.049999999999997</v>
      </c>
    </row>
    <row r="569" spans="1:44" s="16" customFormat="1" hidden="1" x14ac:dyDescent="0.5">
      <c r="A569" s="3">
        <f t="shared" si="106"/>
        <v>2026</v>
      </c>
      <c r="B569" s="8">
        <f t="shared" si="107"/>
        <v>2</v>
      </c>
      <c r="C569" s="6">
        <v>46058</v>
      </c>
      <c r="D569" s="15">
        <f t="shared" ca="1" si="108"/>
        <v>46097</v>
      </c>
      <c r="E569" s="15" t="str">
        <f t="shared" ca="1" si="109"/>
        <v>1-Months</v>
      </c>
      <c r="F569" s="8" t="str">
        <f>VLOOKUP(N569,Stock[#Data],5,FALSE)</f>
        <v>BE</v>
      </c>
      <c r="G569" s="82" t="s">
        <v>1304</v>
      </c>
      <c r="H569" s="15"/>
      <c r="I569" s="7" t="s">
        <v>187</v>
      </c>
      <c r="J569" s="8" t="str">
        <f>VLOOKUP(I569,Customers[#Data],2,FALSE)</f>
        <v>ဦးအေးမြင့်</v>
      </c>
      <c r="K569" s="15" t="str">
        <f>VLOOKUP(I569,Customers[#Data],4,FALSE)</f>
        <v>Thein Zayet</v>
      </c>
      <c r="L569" s="15" t="str">
        <f>VLOOKUP(I569,Customers[#Data],5,FALSE)</f>
        <v>SemiWholeSales</v>
      </c>
      <c r="M569" s="7" t="s">
        <v>6</v>
      </c>
      <c r="N569" s="7" t="s">
        <v>514</v>
      </c>
      <c r="O569" s="14" t="str">
        <f>VLOOKUP(N569,Stock[#Data],2,FALSE)</f>
        <v>ဇေယျဝတီ Red</v>
      </c>
      <c r="P569" s="44">
        <f>VLOOKUP(N569,Stock[#Data],3,FALSE)</f>
        <v>0.64</v>
      </c>
      <c r="Q569" s="3">
        <f>VLOOKUP(N569,Stock[#Data],4,FALSE)</f>
        <v>14</v>
      </c>
      <c r="R569" s="11"/>
      <c r="S569" s="45">
        <f>IFERROR(Table4[[#This Row],[Bottle]]/Table4[[#This Row],[ပါဝင်မှု]]+Table4[[#This Row],[SalesPK]],0)</f>
        <v>150</v>
      </c>
      <c r="T569" s="12">
        <v>150</v>
      </c>
      <c r="U569" s="10">
        <f>Table4[[#This Row],[ပါဝင်မှု]]*Table4[[#This Row],[SalesPK]]+Table4[[#This Row],[Bottle]]</f>
        <v>2100</v>
      </c>
      <c r="V569" s="10">
        <f>Table4[[#This Row],[SalesBot]]*Table4[[#This Row],[ML]]</f>
        <v>1344</v>
      </c>
      <c r="W569" s="1">
        <f>VLOOKUP(N569,Stock[#Data],6,FALSE)</f>
        <v>1350</v>
      </c>
      <c r="X569" s="8">
        <f>+Table4[[#This Row],[SalesBot]]*Table4[[#This Row],[နှုံး]]</f>
        <v>2835000</v>
      </c>
      <c r="Y569" s="12"/>
      <c r="Z569" s="12"/>
      <c r="AA569" s="12"/>
      <c r="AB569" s="9"/>
      <c r="AC569" s="12"/>
      <c r="AD569" s="9"/>
      <c r="AE569" s="12"/>
      <c r="AF56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2835000</v>
      </c>
      <c r="AG569" s="24"/>
      <c r="AH569" s="266">
        <f>Table4[[#This Row],[Date]]</f>
        <v>46058</v>
      </c>
      <c r="AI569" s="264" t="str">
        <f t="shared" si="100"/>
        <v>Feb</v>
      </c>
      <c r="AJ569" s="264" t="str">
        <f t="shared" si="101"/>
        <v>2026</v>
      </c>
      <c r="AK569" s="270" t="str">
        <f>Table4[[#This Row],[ကုန်သည်အမည်]]</f>
        <v>ဦးအေးမြင့်</v>
      </c>
      <c r="AL569" s="270" t="str">
        <f>Table4[[#This Row],[Township]]</f>
        <v>Thein Zayet</v>
      </c>
      <c r="AM569" s="271" t="str">
        <f>Table4[[#This Row],[WholeSales]]</f>
        <v>SemiWholeSales</v>
      </c>
      <c r="AN569" s="272" t="str">
        <f>Table4[[#This Row],[Particular]]</f>
        <v>ကုန်ရောင်း(လက်ငင်း)</v>
      </c>
      <c r="AO569" s="273" t="str">
        <f>Table4[[#This Row],[StockName]]</f>
        <v>ဇေယျဝတီ Red</v>
      </c>
      <c r="AP569" s="268">
        <f>Table4[[#This Row],[Parking]]</f>
        <v>150</v>
      </c>
      <c r="AQ569" s="268">
        <f>Table4[[#This Row],[SalesBot]]</f>
        <v>2100</v>
      </c>
      <c r="AR569" s="268">
        <f>Table4[[#This Row],[Liter]]</f>
        <v>1344</v>
      </c>
    </row>
    <row r="570" spans="1:44" s="16" customFormat="1" hidden="1" x14ac:dyDescent="0.5">
      <c r="A570" s="3">
        <f t="shared" si="106"/>
        <v>2026</v>
      </c>
      <c r="B570" s="8">
        <f t="shared" si="107"/>
        <v>2</v>
      </c>
      <c r="C570" s="6">
        <v>46058</v>
      </c>
      <c r="D570" s="15">
        <f t="shared" ca="1" si="108"/>
        <v>46097</v>
      </c>
      <c r="E570" s="15" t="str">
        <f t="shared" ca="1" si="109"/>
        <v>1-Months</v>
      </c>
      <c r="F570" s="8" t="str">
        <f>VLOOKUP(N570,Stock[#Data],5,FALSE)</f>
        <v>BE</v>
      </c>
      <c r="G570" s="82" t="s">
        <v>1304</v>
      </c>
      <c r="H570" s="15"/>
      <c r="I570" s="7" t="s">
        <v>187</v>
      </c>
      <c r="J570" s="8" t="str">
        <f>VLOOKUP(I570,Customers[#Data],2,FALSE)</f>
        <v>ဦးအေးမြင့်</v>
      </c>
      <c r="K570" s="15" t="str">
        <f>VLOOKUP(I570,Customers[#Data],4,FALSE)</f>
        <v>Thein Zayet</v>
      </c>
      <c r="L570" s="15" t="str">
        <f>VLOOKUP(I570,Customers[#Data],5,FALSE)</f>
        <v>SemiWholeSales</v>
      </c>
      <c r="M570" s="7" t="s">
        <v>6</v>
      </c>
      <c r="N570" s="7" t="s">
        <v>517</v>
      </c>
      <c r="O570" s="14" t="str">
        <f>VLOOKUP(N570,Stock[#Data],2,FALSE)</f>
        <v>ဇေယျဝတီ Red (1 Liter) 30%</v>
      </c>
      <c r="P570" s="44">
        <f>VLOOKUP(N570,Stock[#Data],3,FALSE)</f>
        <v>1</v>
      </c>
      <c r="Q570" s="3">
        <f>VLOOKUP(N570,Stock[#Data],4,FALSE)</f>
        <v>12</v>
      </c>
      <c r="R570" s="11"/>
      <c r="S570" s="45">
        <f>IFERROR(Table4[[#This Row],[Bottle]]/Table4[[#This Row],[ပါဝင်မှု]]+Table4[[#This Row],[SalesPK]],0)</f>
        <v>70</v>
      </c>
      <c r="T570" s="12">
        <v>70</v>
      </c>
      <c r="U570" s="10">
        <f>Table4[[#This Row],[ပါဝင်မှု]]*Table4[[#This Row],[SalesPK]]+Table4[[#This Row],[Bottle]]</f>
        <v>840</v>
      </c>
      <c r="V570" s="10">
        <f>Table4[[#This Row],[SalesBot]]*Table4[[#This Row],[ML]]</f>
        <v>840</v>
      </c>
      <c r="W570" s="1">
        <f>VLOOKUP(N570,Stock[#Data],6,FALSE)</f>
        <v>1710</v>
      </c>
      <c r="X570" s="8">
        <f>+Table4[[#This Row],[SalesBot]]*Table4[[#This Row],[နှုံး]]</f>
        <v>1436400</v>
      </c>
      <c r="Y570" s="12"/>
      <c r="Z570" s="12"/>
      <c r="AA570" s="12"/>
      <c r="AB570" s="9"/>
      <c r="AC570" s="12"/>
      <c r="AD570" s="9"/>
      <c r="AE570" s="12"/>
      <c r="AF57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1436400</v>
      </c>
      <c r="AG570" s="24"/>
      <c r="AH570" s="266">
        <f>Table4[[#This Row],[Date]]</f>
        <v>46058</v>
      </c>
      <c r="AI570" s="264" t="str">
        <f t="shared" si="100"/>
        <v>Feb</v>
      </c>
      <c r="AJ570" s="264" t="str">
        <f t="shared" si="101"/>
        <v>2026</v>
      </c>
      <c r="AK570" s="270" t="str">
        <f>Table4[[#This Row],[ကုန်သည်အမည်]]</f>
        <v>ဦးအေးမြင့်</v>
      </c>
      <c r="AL570" s="270" t="str">
        <f>Table4[[#This Row],[Township]]</f>
        <v>Thein Zayet</v>
      </c>
      <c r="AM570" s="271" t="str">
        <f>Table4[[#This Row],[WholeSales]]</f>
        <v>SemiWholeSales</v>
      </c>
      <c r="AN570" s="272" t="str">
        <f>Table4[[#This Row],[Particular]]</f>
        <v>ကုန်ရောင်း(လက်ငင်း)</v>
      </c>
      <c r="AO570" s="273" t="str">
        <f>Table4[[#This Row],[StockName]]</f>
        <v>ဇေယျဝတီ Red (1 Liter) 30%</v>
      </c>
      <c r="AP570" s="268">
        <f>Table4[[#This Row],[Parking]]</f>
        <v>70</v>
      </c>
      <c r="AQ570" s="268">
        <f>Table4[[#This Row],[SalesBot]]</f>
        <v>840</v>
      </c>
      <c r="AR570" s="268">
        <f>Table4[[#This Row],[Liter]]</f>
        <v>840</v>
      </c>
    </row>
    <row r="571" spans="1:44" s="16" customFormat="1" hidden="1" x14ac:dyDescent="0.5">
      <c r="A571" s="3">
        <f t="shared" si="106"/>
        <v>2026</v>
      </c>
      <c r="B571" s="8">
        <f t="shared" si="107"/>
        <v>2</v>
      </c>
      <c r="C571" s="6">
        <v>46058</v>
      </c>
      <c r="D571" s="15">
        <f t="shared" ca="1" si="108"/>
        <v>46097</v>
      </c>
      <c r="E571" s="15" t="str">
        <f t="shared" ca="1" si="109"/>
        <v>1-Months</v>
      </c>
      <c r="F571" s="8" t="str">
        <f>VLOOKUP(N571,Stock[#Data],5,FALSE)</f>
        <v>BE</v>
      </c>
      <c r="G571" s="82" t="s">
        <v>1304</v>
      </c>
      <c r="H571" s="15"/>
      <c r="I571" s="7" t="s">
        <v>187</v>
      </c>
      <c r="J571" s="8" t="str">
        <f>VLOOKUP(I571,Customers[#Data],2,FALSE)</f>
        <v>ဦးအေးမြင့်</v>
      </c>
      <c r="K571" s="15" t="str">
        <f>VLOOKUP(I571,Customers[#Data],4,FALSE)</f>
        <v>Thein Zayet</v>
      </c>
      <c r="L571" s="15" t="str">
        <f>VLOOKUP(I571,Customers[#Data],5,FALSE)</f>
        <v>SemiWholeSales</v>
      </c>
      <c r="M571" s="7" t="s">
        <v>9</v>
      </c>
      <c r="N571" s="7" t="s">
        <v>514</v>
      </c>
      <c r="O571" s="14" t="str">
        <f>VLOOKUP(N571,Stock[#Data],2,FALSE)</f>
        <v>ဇေယျဝတီ Red</v>
      </c>
      <c r="P571" s="44">
        <f>VLOOKUP(N571,Stock[#Data],3,FALSE)</f>
        <v>0.64</v>
      </c>
      <c r="Q571" s="3">
        <f>VLOOKUP(N571,Stock[#Data],4,FALSE)</f>
        <v>14</v>
      </c>
      <c r="R571" s="11">
        <v>4</v>
      </c>
      <c r="S571" s="45">
        <f>IFERROR(Table4[[#This Row],[Bottle]]/Table4[[#This Row],[ပါဝင်မှု]]+Table4[[#This Row],[SalesPK]],0)</f>
        <v>0.2857142857142857</v>
      </c>
      <c r="T571" s="12"/>
      <c r="U571" s="10">
        <f>Table4[[#This Row],[ပါဝင်မှု]]*Table4[[#This Row],[SalesPK]]+Table4[[#This Row],[Bottle]]</f>
        <v>4</v>
      </c>
      <c r="V571" s="10">
        <f>Table4[[#This Row],[SalesBot]]*Table4[[#This Row],[ML]]</f>
        <v>2.56</v>
      </c>
      <c r="W571" s="1">
        <f>VLOOKUP(N571,Stock[#Data],6,FALSE)</f>
        <v>1350</v>
      </c>
      <c r="X571" s="8">
        <f>+Table4[[#This Row],[SalesBot]]*Table4[[#This Row],[နှုံး]]</f>
        <v>5400</v>
      </c>
      <c r="Y571" s="12"/>
      <c r="Z571" s="12"/>
      <c r="AA571" s="12"/>
      <c r="AB571" s="9"/>
      <c r="AC571" s="12"/>
      <c r="AD571" s="9"/>
      <c r="AE571" s="12"/>
      <c r="AF57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5400</v>
      </c>
      <c r="AG571" s="24"/>
      <c r="AH571" s="266">
        <f>Table4[[#This Row],[Date]]</f>
        <v>46058</v>
      </c>
      <c r="AI571" s="264" t="str">
        <f t="shared" si="100"/>
        <v>Feb</v>
      </c>
      <c r="AJ571" s="264" t="str">
        <f t="shared" si="101"/>
        <v>2026</v>
      </c>
      <c r="AK571" s="270" t="str">
        <f>Table4[[#This Row],[ကုန်သည်အမည်]]</f>
        <v>ဦးအေးမြင့်</v>
      </c>
      <c r="AL571" s="270" t="str">
        <f>Table4[[#This Row],[Township]]</f>
        <v>Thein Zayet</v>
      </c>
      <c r="AM571" s="271" t="str">
        <f>Table4[[#This Row],[WholeSales]]</f>
        <v>SemiWholeSales</v>
      </c>
      <c r="AN571" s="272" t="str">
        <f>Table4[[#This Row],[Particular]]</f>
        <v>လက်ဆောင်</v>
      </c>
      <c r="AO571" s="273" t="str">
        <f>Table4[[#This Row],[StockName]]</f>
        <v>ဇေယျဝတီ Red</v>
      </c>
      <c r="AP571" s="268">
        <f>Table4[[#This Row],[Parking]]</f>
        <v>0.2857142857142857</v>
      </c>
      <c r="AQ571" s="268">
        <f>Table4[[#This Row],[SalesBot]]</f>
        <v>4</v>
      </c>
      <c r="AR571" s="268">
        <f>Table4[[#This Row],[Liter]]</f>
        <v>2.56</v>
      </c>
    </row>
    <row r="572" spans="1:44" s="16" customFormat="1" hidden="1" x14ac:dyDescent="0.5">
      <c r="A572" s="3">
        <f t="shared" si="106"/>
        <v>2026</v>
      </c>
      <c r="B572" s="8">
        <f t="shared" si="107"/>
        <v>2</v>
      </c>
      <c r="C572" s="6">
        <v>46059</v>
      </c>
      <c r="D572" s="15">
        <f t="shared" ca="1" si="108"/>
        <v>46097</v>
      </c>
      <c r="E572" s="15" t="str">
        <f t="shared" ca="1" si="109"/>
        <v>1-Months</v>
      </c>
      <c r="F572" s="8" t="str">
        <f>VLOOKUP(N572,Stock[#Data],5,FALSE)</f>
        <v>BE</v>
      </c>
      <c r="G572" s="82" t="s">
        <v>1305</v>
      </c>
      <c r="H572" s="15"/>
      <c r="I572" s="7" t="s">
        <v>827</v>
      </c>
      <c r="J572" s="8" t="str">
        <f>VLOOKUP(I572,Customers[#Data],2,FALSE)</f>
        <v>မိုးဆန်းချာလီ</v>
      </c>
      <c r="K572" s="15" t="str">
        <f>VLOOKUP(I572,Customers[#Data],4,FALSE)</f>
        <v>Thein Zayet</v>
      </c>
      <c r="L572" s="15" t="str">
        <f>VLOOKUP(I572,Customers[#Data],5,FALSE)</f>
        <v>WholeSales</v>
      </c>
      <c r="M572" s="7" t="s">
        <v>6</v>
      </c>
      <c r="N572" s="7" t="s">
        <v>514</v>
      </c>
      <c r="O572" s="14" t="str">
        <f>VLOOKUP(N572,Stock[#Data],2,FALSE)</f>
        <v>ဇေယျဝတီ Red</v>
      </c>
      <c r="P572" s="44">
        <f>VLOOKUP(N572,Stock[#Data],3,FALSE)</f>
        <v>0.64</v>
      </c>
      <c r="Q572" s="3">
        <f>VLOOKUP(N572,Stock[#Data],4,FALSE)</f>
        <v>14</v>
      </c>
      <c r="R572" s="11"/>
      <c r="S572" s="45">
        <f>IFERROR(Table4[[#This Row],[Bottle]]/Table4[[#This Row],[ပါဝင်မှု]]+Table4[[#This Row],[SalesPK]],0)</f>
        <v>120</v>
      </c>
      <c r="T572" s="12">
        <v>120</v>
      </c>
      <c r="U572" s="10">
        <f>Table4[[#This Row],[ပါဝင်မှု]]*Table4[[#This Row],[SalesPK]]+Table4[[#This Row],[Bottle]]</f>
        <v>1680</v>
      </c>
      <c r="V572" s="10">
        <f>Table4[[#This Row],[SalesBot]]*Table4[[#This Row],[ML]]</f>
        <v>1075.2</v>
      </c>
      <c r="W572" s="1">
        <f>VLOOKUP(N572,Stock[#Data],6,FALSE)</f>
        <v>1350</v>
      </c>
      <c r="X572" s="8">
        <f>+Table4[[#This Row],[SalesBot]]*Table4[[#This Row],[နှုံး]]</f>
        <v>2268000</v>
      </c>
      <c r="Y572" s="12"/>
      <c r="Z572" s="12"/>
      <c r="AA572" s="12"/>
      <c r="AB572" s="9"/>
      <c r="AC572" s="12"/>
      <c r="AD572" s="9"/>
      <c r="AE572" s="12"/>
      <c r="AF57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2268000</v>
      </c>
      <c r="AG572" s="24"/>
      <c r="AH572" s="266">
        <f>Table4[[#This Row],[Date]]</f>
        <v>46059</v>
      </c>
      <c r="AI572" s="264" t="str">
        <f t="shared" si="100"/>
        <v>Feb</v>
      </c>
      <c r="AJ572" s="264" t="str">
        <f t="shared" si="101"/>
        <v>2026</v>
      </c>
      <c r="AK572" s="270" t="str">
        <f>Table4[[#This Row],[ကုန်သည်အမည်]]</f>
        <v>မိုးဆန်းချာလီ</v>
      </c>
      <c r="AL572" s="270" t="str">
        <f>Table4[[#This Row],[Township]]</f>
        <v>Thein Zayet</v>
      </c>
      <c r="AM572" s="271" t="str">
        <f>Table4[[#This Row],[WholeSales]]</f>
        <v>WholeSales</v>
      </c>
      <c r="AN572" s="272" t="str">
        <f>Table4[[#This Row],[Particular]]</f>
        <v>ကုန်ရောင်း(လက်ငင်း)</v>
      </c>
      <c r="AO572" s="273" t="str">
        <f>Table4[[#This Row],[StockName]]</f>
        <v>ဇေယျဝတီ Red</v>
      </c>
      <c r="AP572" s="268">
        <f>Table4[[#This Row],[Parking]]</f>
        <v>120</v>
      </c>
      <c r="AQ572" s="268">
        <f>Table4[[#This Row],[SalesBot]]</f>
        <v>1680</v>
      </c>
      <c r="AR572" s="268">
        <f>Table4[[#This Row],[Liter]]</f>
        <v>1075.2</v>
      </c>
    </row>
    <row r="573" spans="1:44" s="16" customFormat="1" hidden="1" x14ac:dyDescent="0.5">
      <c r="A573" s="3">
        <f t="shared" si="106"/>
        <v>2026</v>
      </c>
      <c r="B573" s="8">
        <f t="shared" si="107"/>
        <v>2</v>
      </c>
      <c r="C573" s="6">
        <v>46059</v>
      </c>
      <c r="D573" s="15">
        <f t="shared" ca="1" si="108"/>
        <v>46097</v>
      </c>
      <c r="E573" s="15" t="str">
        <f t="shared" ca="1" si="109"/>
        <v>1-Months</v>
      </c>
      <c r="F573" s="8" t="str">
        <f>VLOOKUP(N573,Stock[#Data],5,FALSE)</f>
        <v>BE</v>
      </c>
      <c r="G573" s="82" t="s">
        <v>1305</v>
      </c>
      <c r="H573" s="15"/>
      <c r="I573" s="7" t="s">
        <v>827</v>
      </c>
      <c r="J573" s="8" t="str">
        <f>VLOOKUP(I573,Customers[#Data],2,FALSE)</f>
        <v>မိုးဆန်းချာလီ</v>
      </c>
      <c r="K573" s="15" t="str">
        <f>VLOOKUP(I573,Customers[#Data],4,FALSE)</f>
        <v>Thein Zayet</v>
      </c>
      <c r="L573" s="15" t="str">
        <f>VLOOKUP(I573,Customers[#Data],5,FALSE)</f>
        <v>WholeSales</v>
      </c>
      <c r="M573" s="7" t="s">
        <v>6</v>
      </c>
      <c r="N573" s="7" t="s">
        <v>517</v>
      </c>
      <c r="O573" s="14" t="str">
        <f>VLOOKUP(N573,Stock[#Data],2,FALSE)</f>
        <v>ဇေယျဝတီ Red (1 Liter) 30%</v>
      </c>
      <c r="P573" s="44">
        <f>VLOOKUP(N573,Stock[#Data],3,FALSE)</f>
        <v>1</v>
      </c>
      <c r="Q573" s="3">
        <f>VLOOKUP(N573,Stock[#Data],4,FALSE)</f>
        <v>12</v>
      </c>
      <c r="R573" s="11"/>
      <c r="S573" s="45">
        <f>IFERROR(Table4[[#This Row],[Bottle]]/Table4[[#This Row],[ပါဝင်မှု]]+Table4[[#This Row],[SalesPK]],0)</f>
        <v>100</v>
      </c>
      <c r="T573" s="12">
        <v>100</v>
      </c>
      <c r="U573" s="10">
        <f>Table4[[#This Row],[ပါဝင်မှု]]*Table4[[#This Row],[SalesPK]]+Table4[[#This Row],[Bottle]]</f>
        <v>1200</v>
      </c>
      <c r="V573" s="10">
        <f>Table4[[#This Row],[SalesBot]]*Table4[[#This Row],[ML]]</f>
        <v>1200</v>
      </c>
      <c r="W573" s="1">
        <f>VLOOKUP(N573,Stock[#Data],6,FALSE)</f>
        <v>1710</v>
      </c>
      <c r="X573" s="8">
        <f>+Table4[[#This Row],[SalesBot]]*Table4[[#This Row],[နှုံး]]</f>
        <v>2052000</v>
      </c>
      <c r="Y573" s="12"/>
      <c r="Z573" s="12"/>
      <c r="AA573" s="12"/>
      <c r="AB573" s="9"/>
      <c r="AC573" s="12"/>
      <c r="AD573" s="9"/>
      <c r="AE573" s="12"/>
      <c r="AF57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573" s="24"/>
      <c r="AH573" s="266">
        <f>Table4[[#This Row],[Date]]</f>
        <v>46059</v>
      </c>
      <c r="AI573" s="264" t="str">
        <f t="shared" si="100"/>
        <v>Feb</v>
      </c>
      <c r="AJ573" s="264" t="str">
        <f t="shared" si="101"/>
        <v>2026</v>
      </c>
      <c r="AK573" s="270" t="str">
        <f>Table4[[#This Row],[ကုန်သည်အမည်]]</f>
        <v>မိုးဆန်းချာလီ</v>
      </c>
      <c r="AL573" s="270" t="str">
        <f>Table4[[#This Row],[Township]]</f>
        <v>Thein Zayet</v>
      </c>
      <c r="AM573" s="271" t="str">
        <f>Table4[[#This Row],[WholeSales]]</f>
        <v>WholeSales</v>
      </c>
      <c r="AN573" s="272" t="str">
        <f>Table4[[#This Row],[Particular]]</f>
        <v>ကုန်ရောင်း(လက်ငင်း)</v>
      </c>
      <c r="AO573" s="273" t="str">
        <f>Table4[[#This Row],[StockName]]</f>
        <v>ဇေယျဝတီ Red (1 Liter) 30%</v>
      </c>
      <c r="AP573" s="268">
        <f>Table4[[#This Row],[Parking]]</f>
        <v>100</v>
      </c>
      <c r="AQ573" s="268">
        <f>Table4[[#This Row],[SalesBot]]</f>
        <v>1200</v>
      </c>
      <c r="AR573" s="268">
        <f>Table4[[#This Row],[Liter]]</f>
        <v>1200</v>
      </c>
    </row>
    <row r="574" spans="1:44" s="16" customFormat="1" hidden="1" x14ac:dyDescent="0.5">
      <c r="A574" s="3">
        <f t="shared" si="106"/>
        <v>2026</v>
      </c>
      <c r="B574" s="8">
        <f t="shared" si="107"/>
        <v>2</v>
      </c>
      <c r="C574" s="6">
        <v>46059</v>
      </c>
      <c r="D574" s="15">
        <f t="shared" ca="1" si="108"/>
        <v>46097</v>
      </c>
      <c r="E574" s="15" t="str">
        <f t="shared" ca="1" si="109"/>
        <v>1-Months</v>
      </c>
      <c r="F574" s="8" t="str">
        <f>VLOOKUP(N574,Stock[#Data],5,FALSE)</f>
        <v>BE</v>
      </c>
      <c r="G574" s="82" t="s">
        <v>1305</v>
      </c>
      <c r="H574" s="15"/>
      <c r="I574" s="7" t="s">
        <v>827</v>
      </c>
      <c r="J574" s="8" t="str">
        <f>VLOOKUP(I574,Customers[#Data],2,FALSE)</f>
        <v>မိုးဆန်းချာလီ</v>
      </c>
      <c r="K574" s="15" t="str">
        <f>VLOOKUP(I574,Customers[#Data],4,FALSE)</f>
        <v>Thein Zayet</v>
      </c>
      <c r="L574" s="15" t="str">
        <f>VLOOKUP(I574,Customers[#Data],5,FALSE)</f>
        <v>WholeSales</v>
      </c>
      <c r="M574" s="7" t="s">
        <v>9</v>
      </c>
      <c r="N574" s="7" t="s">
        <v>514</v>
      </c>
      <c r="O574" s="14" t="str">
        <f>VLOOKUP(N574,Stock[#Data],2,FALSE)</f>
        <v>ဇေယျဝတီ Red</v>
      </c>
      <c r="P574" s="44">
        <f>VLOOKUP(N574,Stock[#Data],3,FALSE)</f>
        <v>0.64</v>
      </c>
      <c r="Q574" s="3">
        <f>VLOOKUP(N574,Stock[#Data],4,FALSE)</f>
        <v>14</v>
      </c>
      <c r="R574" s="11">
        <v>4</v>
      </c>
      <c r="S574" s="45">
        <f>IFERROR(Table4[[#This Row],[Bottle]]/Table4[[#This Row],[ပါဝင်မှု]]+Table4[[#This Row],[SalesPK]],0)</f>
        <v>0.2857142857142857</v>
      </c>
      <c r="T574" s="12"/>
      <c r="U574" s="10">
        <f>Table4[[#This Row],[ပါဝင်မှု]]*Table4[[#This Row],[SalesPK]]+Table4[[#This Row],[Bottle]]</f>
        <v>4</v>
      </c>
      <c r="V574" s="10">
        <f>Table4[[#This Row],[SalesBot]]*Table4[[#This Row],[ML]]</f>
        <v>2.56</v>
      </c>
      <c r="W574" s="1">
        <f>VLOOKUP(N574,Stock[#Data],6,FALSE)</f>
        <v>1350</v>
      </c>
      <c r="X574" s="8">
        <f>+Table4[[#This Row],[SalesBot]]*Table4[[#This Row],[နှုံး]]</f>
        <v>5400</v>
      </c>
      <c r="Y574" s="12"/>
      <c r="Z574" s="12"/>
      <c r="AA574" s="12"/>
      <c r="AB574" s="9"/>
      <c r="AC574" s="12"/>
      <c r="AD574" s="9"/>
      <c r="AE574" s="12"/>
      <c r="AF57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5400</v>
      </c>
      <c r="AG574" s="24"/>
      <c r="AH574" s="266">
        <f>Table4[[#This Row],[Date]]</f>
        <v>46059</v>
      </c>
      <c r="AI574" s="264" t="str">
        <f t="shared" si="100"/>
        <v>Feb</v>
      </c>
      <c r="AJ574" s="264" t="str">
        <f t="shared" si="101"/>
        <v>2026</v>
      </c>
      <c r="AK574" s="270" t="str">
        <f>Table4[[#This Row],[ကုန်သည်အမည်]]</f>
        <v>မိုးဆန်းချာလီ</v>
      </c>
      <c r="AL574" s="270" t="str">
        <f>Table4[[#This Row],[Township]]</f>
        <v>Thein Zayet</v>
      </c>
      <c r="AM574" s="271" t="str">
        <f>Table4[[#This Row],[WholeSales]]</f>
        <v>WholeSales</v>
      </c>
      <c r="AN574" s="272" t="str">
        <f>Table4[[#This Row],[Particular]]</f>
        <v>လက်ဆောင်</v>
      </c>
      <c r="AO574" s="273" t="str">
        <f>Table4[[#This Row],[StockName]]</f>
        <v>ဇေယျဝတီ Red</v>
      </c>
      <c r="AP574" s="268">
        <f>Table4[[#This Row],[Parking]]</f>
        <v>0.2857142857142857</v>
      </c>
      <c r="AQ574" s="268">
        <f>Table4[[#This Row],[SalesBot]]</f>
        <v>4</v>
      </c>
      <c r="AR574" s="268">
        <f>Table4[[#This Row],[Liter]]</f>
        <v>2.56</v>
      </c>
    </row>
    <row r="575" spans="1:44" s="16" customFormat="1" hidden="1" x14ac:dyDescent="0.5">
      <c r="A575" s="3">
        <f t="shared" si="106"/>
        <v>2026</v>
      </c>
      <c r="B575" s="8">
        <f t="shared" si="107"/>
        <v>2</v>
      </c>
      <c r="C575" s="6">
        <v>46059</v>
      </c>
      <c r="D575" s="15">
        <f t="shared" ca="1" si="108"/>
        <v>46097</v>
      </c>
      <c r="E575" s="15" t="str">
        <f t="shared" ca="1" si="109"/>
        <v>1-Months</v>
      </c>
      <c r="F575" s="8" t="str">
        <f>VLOOKUP(N575,Stock[#Data],5,FALSE)</f>
        <v>BE</v>
      </c>
      <c r="G575" s="82" t="s">
        <v>1306</v>
      </c>
      <c r="H575" s="15"/>
      <c r="I575" s="7" t="s">
        <v>848</v>
      </c>
      <c r="J575" s="8" t="str">
        <f>VLOOKUP(I575,Customers[#Data],2,FALSE)</f>
        <v>အုပ်ကြီး</v>
      </c>
      <c r="K575" s="15" t="str">
        <f>VLOOKUP(I575,Customers[#Data],4,FALSE)</f>
        <v>Maw La Myaing</v>
      </c>
      <c r="L575" s="15" t="str">
        <f>VLOOKUP(I575,Customers[#Data],5,FALSE)</f>
        <v>Van Sales</v>
      </c>
      <c r="M575" s="7" t="s">
        <v>6</v>
      </c>
      <c r="N575" s="7" t="s">
        <v>515</v>
      </c>
      <c r="O575" s="14" t="str">
        <f>VLOOKUP(N575,Stock[#Data],2,FALSE)</f>
        <v>ဇေ Vodka</v>
      </c>
      <c r="P575" s="44">
        <f>VLOOKUP(N575,Stock[#Data],3,FALSE)</f>
        <v>0.7</v>
      </c>
      <c r="Q575" s="3">
        <f>VLOOKUP(N575,Stock[#Data],4,FALSE)</f>
        <v>12</v>
      </c>
      <c r="R575" s="11"/>
      <c r="S575" s="45">
        <f>IFERROR(Table4[[#This Row],[Bottle]]/Table4[[#This Row],[ပါဝင်မှု]]+Table4[[#This Row],[SalesPK]],0)</f>
        <v>2</v>
      </c>
      <c r="T575" s="12">
        <v>2</v>
      </c>
      <c r="U575" s="10">
        <f>Table4[[#This Row],[ပါဝင်မှု]]*Table4[[#This Row],[SalesPK]]+Table4[[#This Row],[Bottle]]</f>
        <v>24</v>
      </c>
      <c r="V575" s="10">
        <f>Table4[[#This Row],[SalesBot]]*Table4[[#This Row],[ML]]</f>
        <v>16.799999999999997</v>
      </c>
      <c r="W575" s="1">
        <f>VLOOKUP(N575,Stock[#Data],6,FALSE)</f>
        <v>2020</v>
      </c>
      <c r="X575" s="8">
        <f>+Table4[[#This Row],[SalesBot]]*Table4[[#This Row],[နှုံး]]</f>
        <v>48480</v>
      </c>
      <c r="Y575" s="12"/>
      <c r="Z575" s="12"/>
      <c r="AA575" s="12"/>
      <c r="AB575" s="9"/>
      <c r="AC575" s="12"/>
      <c r="AD575" s="9"/>
      <c r="AE575" s="12"/>
      <c r="AF57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48480</v>
      </c>
      <c r="AG575" s="24"/>
      <c r="AH575" s="266">
        <f>Table4[[#This Row],[Date]]</f>
        <v>46059</v>
      </c>
      <c r="AI575" s="264" t="str">
        <f t="shared" si="100"/>
        <v>Feb</v>
      </c>
      <c r="AJ575" s="264" t="str">
        <f t="shared" si="101"/>
        <v>2026</v>
      </c>
      <c r="AK575" s="270" t="str">
        <f>Table4[[#This Row],[ကုန်သည်အမည်]]</f>
        <v>အုပ်ကြီး</v>
      </c>
      <c r="AL575" s="270" t="str">
        <f>Table4[[#This Row],[Township]]</f>
        <v>Maw La Myaing</v>
      </c>
      <c r="AM575" s="271" t="str">
        <f>Table4[[#This Row],[WholeSales]]</f>
        <v>Van Sales</v>
      </c>
      <c r="AN575" s="272" t="str">
        <f>Table4[[#This Row],[Particular]]</f>
        <v>ကုန်ရောင်း(လက်ငင်း)</v>
      </c>
      <c r="AO575" s="273" t="str">
        <f>Table4[[#This Row],[StockName]]</f>
        <v>ဇေ Vodka</v>
      </c>
      <c r="AP575" s="268">
        <f>Table4[[#This Row],[Parking]]</f>
        <v>2</v>
      </c>
      <c r="AQ575" s="268">
        <f>Table4[[#This Row],[SalesBot]]</f>
        <v>24</v>
      </c>
      <c r="AR575" s="268">
        <f>Table4[[#This Row],[Liter]]</f>
        <v>16.799999999999997</v>
      </c>
    </row>
    <row r="576" spans="1:44" s="16" customFormat="1" hidden="1" x14ac:dyDescent="0.5">
      <c r="A576" s="3">
        <f t="shared" ref="A576:A608" si="110">YEAR(C576)</f>
        <v>2026</v>
      </c>
      <c r="B576" s="8">
        <f t="shared" ref="B576:B607" si="111">MONTH(C576)</f>
        <v>2</v>
      </c>
      <c r="C576" s="6">
        <v>46059</v>
      </c>
      <c r="D576" s="15">
        <f t="shared" ref="D576:D608" ca="1" si="112">TODAY()</f>
        <v>46097</v>
      </c>
      <c r="E576" s="15" t="str">
        <f t="shared" ref="E576:E607" ca="1" si="113">DATEDIF(C576,D576,"M")&amp;"-Months"</f>
        <v>1-Months</v>
      </c>
      <c r="F576" s="8" t="str">
        <f>VLOOKUP(N576,Stock[#Data],5,FALSE)</f>
        <v>BE</v>
      </c>
      <c r="G576" s="82" t="s">
        <v>1307</v>
      </c>
      <c r="H576" s="15"/>
      <c r="I576" s="7" t="s">
        <v>560</v>
      </c>
      <c r="J576" s="8" t="str">
        <f>VLOOKUP(I576,Customers[#Data],2,FALSE)</f>
        <v>မသန္တာ</v>
      </c>
      <c r="K576" s="15" t="str">
        <f>VLOOKUP(I576,Customers[#Data],4,FALSE)</f>
        <v>Maw La Myaing</v>
      </c>
      <c r="L576" s="15" t="str">
        <f>VLOOKUP(I576,Customers[#Data],5,FALSE)</f>
        <v>Van Sales</v>
      </c>
      <c r="M576" s="7" t="s">
        <v>6</v>
      </c>
      <c r="N576" s="7" t="s">
        <v>518</v>
      </c>
      <c r="O576" s="14" t="str">
        <f>VLOOKUP(N576,Stock[#Data],2,FALSE)</f>
        <v>"ဇေ" ကော်ဘူး (1 Liter)</v>
      </c>
      <c r="P576" s="44">
        <f>VLOOKUP(N576,Stock[#Data],3,FALSE)</f>
        <v>1</v>
      </c>
      <c r="Q576" s="3">
        <f>VLOOKUP(N576,Stock[#Data],4,FALSE)</f>
        <v>12</v>
      </c>
      <c r="R576" s="11"/>
      <c r="S576" s="45">
        <f>IFERROR(Table4[[#This Row],[Bottle]]/Table4[[#This Row],[ပါဝင်မှု]]+Table4[[#This Row],[SalesPK]],0)</f>
        <v>5</v>
      </c>
      <c r="T576" s="12">
        <v>5</v>
      </c>
      <c r="U576" s="10">
        <f>Table4[[#This Row],[ပါဝင်မှု]]*Table4[[#This Row],[SalesPK]]+Table4[[#This Row],[Bottle]]</f>
        <v>60</v>
      </c>
      <c r="V576" s="10">
        <f>Table4[[#This Row],[SalesBot]]*Table4[[#This Row],[ML]]</f>
        <v>60</v>
      </c>
      <c r="W576" s="1">
        <f>VLOOKUP(N576,Stock[#Data],6,FALSE)</f>
        <v>1675</v>
      </c>
      <c r="X576" s="8">
        <f>+Table4[[#This Row],[SalesBot]]*Table4[[#This Row],[နှုံး]]</f>
        <v>100500</v>
      </c>
      <c r="Y576" s="12"/>
      <c r="Z576" s="12"/>
      <c r="AA576" s="12"/>
      <c r="AB576" s="9"/>
      <c r="AC576" s="12"/>
      <c r="AD576" s="9"/>
      <c r="AE576" s="12"/>
      <c r="AF57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576" s="24"/>
      <c r="AH576" s="266">
        <f>Table4[[#This Row],[Date]]</f>
        <v>46059</v>
      </c>
      <c r="AI576" s="264" t="str">
        <f t="shared" si="100"/>
        <v>Feb</v>
      </c>
      <c r="AJ576" s="264" t="str">
        <f t="shared" si="101"/>
        <v>2026</v>
      </c>
      <c r="AK576" s="270" t="str">
        <f>Table4[[#This Row],[ကုန်သည်အမည်]]</f>
        <v>မသန္တာ</v>
      </c>
      <c r="AL576" s="270" t="str">
        <f>Table4[[#This Row],[Township]]</f>
        <v>Maw La Myaing</v>
      </c>
      <c r="AM576" s="271" t="str">
        <f>Table4[[#This Row],[WholeSales]]</f>
        <v>Van Sales</v>
      </c>
      <c r="AN576" s="272" t="str">
        <f>Table4[[#This Row],[Particular]]</f>
        <v>ကုန်ရောင်း(လက်ငင်း)</v>
      </c>
      <c r="AO576" s="273" t="str">
        <f>Table4[[#This Row],[StockName]]</f>
        <v>"ဇေ" ကော်ဘူး (1 Liter)</v>
      </c>
      <c r="AP576" s="268">
        <f>Table4[[#This Row],[Parking]]</f>
        <v>5</v>
      </c>
      <c r="AQ576" s="268">
        <f>Table4[[#This Row],[SalesBot]]</f>
        <v>60</v>
      </c>
      <c r="AR576" s="268">
        <f>Table4[[#This Row],[Liter]]</f>
        <v>60</v>
      </c>
    </row>
    <row r="577" spans="1:44" s="16" customFormat="1" hidden="1" x14ac:dyDescent="0.5">
      <c r="A577" s="3">
        <f t="shared" si="110"/>
        <v>2026</v>
      </c>
      <c r="B577" s="8">
        <f t="shared" si="111"/>
        <v>2</v>
      </c>
      <c r="C577" s="6">
        <v>46059</v>
      </c>
      <c r="D577" s="15">
        <f t="shared" ca="1" si="112"/>
        <v>46097</v>
      </c>
      <c r="E577" s="15" t="str">
        <f t="shared" ca="1" si="113"/>
        <v>1-Months</v>
      </c>
      <c r="F577" s="8" t="str">
        <f>VLOOKUP(N577,Stock[#Data],5,FALSE)</f>
        <v>BE</v>
      </c>
      <c r="G577" s="82" t="s">
        <v>1308</v>
      </c>
      <c r="H577" s="15"/>
      <c r="I577" s="7" t="s">
        <v>95</v>
      </c>
      <c r="J577" s="8" t="str">
        <f>VLOOKUP(I577,Customers[#Data],2,FALSE)</f>
        <v>ကျော်စတား</v>
      </c>
      <c r="K577" s="15" t="str">
        <f>VLOOKUP(I577,Customers[#Data],4,FALSE)</f>
        <v>Yay</v>
      </c>
      <c r="L577" s="15" t="str">
        <f>VLOOKUP(I577,Customers[#Data],5,FALSE)</f>
        <v>WholeSales</v>
      </c>
      <c r="M577" s="7" t="s">
        <v>7</v>
      </c>
      <c r="N577" s="7" t="s">
        <v>514</v>
      </c>
      <c r="O577" s="14" t="str">
        <f>VLOOKUP(N577,Stock[#Data],2,FALSE)</f>
        <v>ဇေယျဝတီ Red</v>
      </c>
      <c r="P577" s="44">
        <f>VLOOKUP(N577,Stock[#Data],3,FALSE)</f>
        <v>0.64</v>
      </c>
      <c r="Q577" s="3">
        <f>VLOOKUP(N577,Stock[#Data],4,FALSE)</f>
        <v>14</v>
      </c>
      <c r="R577" s="11"/>
      <c r="S577" s="45">
        <f>IFERROR(Table4[[#This Row],[Bottle]]/Table4[[#This Row],[ပါဝင်မှု]]+Table4[[#This Row],[SalesPK]],0)</f>
        <v>100</v>
      </c>
      <c r="T577" s="12">
        <v>100</v>
      </c>
      <c r="U577" s="10">
        <f>Table4[[#This Row],[ပါဝင်မှု]]*Table4[[#This Row],[SalesPK]]+Table4[[#This Row],[Bottle]]</f>
        <v>1400</v>
      </c>
      <c r="V577" s="10">
        <f>Table4[[#This Row],[SalesBot]]*Table4[[#This Row],[ML]]</f>
        <v>896</v>
      </c>
      <c r="W577" s="1">
        <f>VLOOKUP(N577,Stock[#Data],6,FALSE)</f>
        <v>1350</v>
      </c>
      <c r="X577" s="8">
        <f>+Table4[[#This Row],[SalesBot]]*Table4[[#This Row],[နှုံး]]</f>
        <v>1890000</v>
      </c>
      <c r="Y577" s="12"/>
      <c r="Z577" s="12"/>
      <c r="AA577" s="12"/>
      <c r="AB577" s="9"/>
      <c r="AC577" s="12"/>
      <c r="AD577" s="9"/>
      <c r="AE577" s="12"/>
      <c r="AF57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577" s="24"/>
      <c r="AH577" s="266">
        <f>Table4[[#This Row],[Date]]</f>
        <v>46059</v>
      </c>
      <c r="AI577" s="264" t="str">
        <f t="shared" si="100"/>
        <v>Feb</v>
      </c>
      <c r="AJ577" s="264" t="str">
        <f t="shared" si="101"/>
        <v>2026</v>
      </c>
      <c r="AK577" s="270" t="str">
        <f>Table4[[#This Row],[ကုန်သည်အမည်]]</f>
        <v>ကျော်စတား</v>
      </c>
      <c r="AL577" s="270" t="str">
        <f>Table4[[#This Row],[Township]]</f>
        <v>Yay</v>
      </c>
      <c r="AM577" s="271" t="str">
        <f>Table4[[#This Row],[WholeSales]]</f>
        <v>WholeSales</v>
      </c>
      <c r="AN577" s="272" t="str">
        <f>Table4[[#This Row],[Particular]]</f>
        <v>ကုန်ရောင်း(အကြွေး)</v>
      </c>
      <c r="AO577" s="273" t="str">
        <f>Table4[[#This Row],[StockName]]</f>
        <v>ဇေယျဝတီ Red</v>
      </c>
      <c r="AP577" s="268">
        <f>Table4[[#This Row],[Parking]]</f>
        <v>100</v>
      </c>
      <c r="AQ577" s="268">
        <f>Table4[[#This Row],[SalesBot]]</f>
        <v>1400</v>
      </c>
      <c r="AR577" s="268">
        <f>Table4[[#This Row],[Liter]]</f>
        <v>896</v>
      </c>
    </row>
    <row r="578" spans="1:44" s="16" customFormat="1" hidden="1" x14ac:dyDescent="0.5">
      <c r="A578" s="3">
        <f t="shared" si="110"/>
        <v>2026</v>
      </c>
      <c r="B578" s="8">
        <f t="shared" si="111"/>
        <v>2</v>
      </c>
      <c r="C578" s="6">
        <v>46059</v>
      </c>
      <c r="D578" s="15">
        <f t="shared" ca="1" si="112"/>
        <v>46097</v>
      </c>
      <c r="E578" s="15" t="str">
        <f t="shared" ca="1" si="113"/>
        <v>1-Months</v>
      </c>
      <c r="F578" s="8" t="str">
        <f>VLOOKUP(N578,Stock[#Data],5,FALSE)</f>
        <v>BE</v>
      </c>
      <c r="G578" s="82" t="s">
        <v>1308</v>
      </c>
      <c r="H578" s="15"/>
      <c r="I578" s="7" t="s">
        <v>95</v>
      </c>
      <c r="J578" s="8" t="str">
        <f>VLOOKUP(I578,Customers[#Data],2,FALSE)</f>
        <v>ကျော်စတား</v>
      </c>
      <c r="K578" s="15" t="str">
        <f>VLOOKUP(I578,Customers[#Data],4,FALSE)</f>
        <v>Yay</v>
      </c>
      <c r="L578" s="15" t="str">
        <f>VLOOKUP(I578,Customers[#Data],5,FALSE)</f>
        <v>WholeSales</v>
      </c>
      <c r="M578" s="7" t="s">
        <v>7</v>
      </c>
      <c r="N578" s="7" t="s">
        <v>517</v>
      </c>
      <c r="O578" s="14" t="str">
        <f>VLOOKUP(N578,Stock[#Data],2,FALSE)</f>
        <v>ဇေယျဝတီ Red (1 Liter) 30%</v>
      </c>
      <c r="P578" s="44">
        <f>VLOOKUP(N578,Stock[#Data],3,FALSE)</f>
        <v>1</v>
      </c>
      <c r="Q578" s="3">
        <f>VLOOKUP(N578,Stock[#Data],4,FALSE)</f>
        <v>12</v>
      </c>
      <c r="R578" s="11"/>
      <c r="S578" s="45">
        <f>IFERROR(Table4[[#This Row],[Bottle]]/Table4[[#This Row],[ပါဝင်မှု]]+Table4[[#This Row],[SalesPK]],0)</f>
        <v>150</v>
      </c>
      <c r="T578" s="12">
        <v>150</v>
      </c>
      <c r="U578" s="10">
        <f>Table4[[#This Row],[ပါဝင်မှု]]*Table4[[#This Row],[SalesPK]]+Table4[[#This Row],[Bottle]]</f>
        <v>1800</v>
      </c>
      <c r="V578" s="10">
        <f>Table4[[#This Row],[SalesBot]]*Table4[[#This Row],[ML]]</f>
        <v>1800</v>
      </c>
      <c r="W578" s="1">
        <f>VLOOKUP(N578,Stock[#Data],6,FALSE)</f>
        <v>1710</v>
      </c>
      <c r="X578" s="8">
        <f>+Table4[[#This Row],[SalesBot]]*Table4[[#This Row],[နှုံး]]</f>
        <v>3078000</v>
      </c>
      <c r="Y578" s="12"/>
      <c r="Z578" s="12"/>
      <c r="AA578" s="12"/>
      <c r="AB578" s="9"/>
      <c r="AC578" s="12"/>
      <c r="AD578" s="9"/>
      <c r="AE578" s="12"/>
      <c r="AF57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3078000</v>
      </c>
      <c r="AG578" s="24"/>
      <c r="AH578" s="266">
        <f>Table4[[#This Row],[Date]]</f>
        <v>46059</v>
      </c>
      <c r="AI578" s="264" t="str">
        <f t="shared" si="100"/>
        <v>Feb</v>
      </c>
      <c r="AJ578" s="264" t="str">
        <f t="shared" si="101"/>
        <v>2026</v>
      </c>
      <c r="AK578" s="270" t="str">
        <f>Table4[[#This Row],[ကုန်သည်အမည်]]</f>
        <v>ကျော်စတား</v>
      </c>
      <c r="AL578" s="270" t="str">
        <f>Table4[[#This Row],[Township]]</f>
        <v>Yay</v>
      </c>
      <c r="AM578" s="271" t="str">
        <f>Table4[[#This Row],[WholeSales]]</f>
        <v>WholeSales</v>
      </c>
      <c r="AN578" s="272" t="str">
        <f>Table4[[#This Row],[Particular]]</f>
        <v>ကုန်ရောင်း(အကြွေး)</v>
      </c>
      <c r="AO578" s="273" t="str">
        <f>Table4[[#This Row],[StockName]]</f>
        <v>ဇေယျဝတီ Red (1 Liter) 30%</v>
      </c>
      <c r="AP578" s="268">
        <f>Table4[[#This Row],[Parking]]</f>
        <v>150</v>
      </c>
      <c r="AQ578" s="268">
        <f>Table4[[#This Row],[SalesBot]]</f>
        <v>1800</v>
      </c>
      <c r="AR578" s="268">
        <f>Table4[[#This Row],[Liter]]</f>
        <v>1800</v>
      </c>
    </row>
    <row r="579" spans="1:44" s="16" customFormat="1" hidden="1" x14ac:dyDescent="0.5">
      <c r="A579" s="3">
        <f t="shared" si="110"/>
        <v>2026</v>
      </c>
      <c r="B579" s="8">
        <f t="shared" si="111"/>
        <v>2</v>
      </c>
      <c r="C579" s="6">
        <v>46059</v>
      </c>
      <c r="D579" s="15">
        <f t="shared" ca="1" si="112"/>
        <v>46097</v>
      </c>
      <c r="E579" s="15" t="str">
        <f t="shared" ca="1" si="113"/>
        <v>1-Months</v>
      </c>
      <c r="F579" s="8" t="str">
        <f>VLOOKUP(N579,Stock[#Data],5,FALSE)</f>
        <v>BE</v>
      </c>
      <c r="G579" s="82" t="s">
        <v>1309</v>
      </c>
      <c r="H579" s="15"/>
      <c r="I579" s="7" t="s">
        <v>93</v>
      </c>
      <c r="J579" s="8" t="str">
        <f>VLOOKUP(I579,Customers[#Data],2,FALSE)</f>
        <v>မဝင့်ဝါထိုက်(ရွှေပင်လယ်)</v>
      </c>
      <c r="K579" s="15" t="str">
        <f>VLOOKUP(I579,Customers[#Data],4,FALSE)</f>
        <v>Yay</v>
      </c>
      <c r="L579" s="15" t="str">
        <f>VLOOKUP(I579,Customers[#Data],5,FALSE)</f>
        <v>WholeSales</v>
      </c>
      <c r="M579" s="7" t="s">
        <v>7</v>
      </c>
      <c r="N579" s="7" t="s">
        <v>514</v>
      </c>
      <c r="O579" s="14" t="str">
        <f>VLOOKUP(N579,Stock[#Data],2,FALSE)</f>
        <v>ဇေယျဝတီ Red</v>
      </c>
      <c r="P579" s="44">
        <f>VLOOKUP(N579,Stock[#Data],3,FALSE)</f>
        <v>0.64</v>
      </c>
      <c r="Q579" s="3">
        <f>VLOOKUP(N579,Stock[#Data],4,FALSE)</f>
        <v>14</v>
      </c>
      <c r="R579" s="11"/>
      <c r="S579" s="45">
        <f>IFERROR(Table4[[#This Row],[Bottle]]/Table4[[#This Row],[ပါဝင်မှု]]+Table4[[#This Row],[SalesPK]],0)</f>
        <v>200</v>
      </c>
      <c r="T579" s="12">
        <v>200</v>
      </c>
      <c r="U579" s="10">
        <f>Table4[[#This Row],[ပါဝင်မှု]]*Table4[[#This Row],[SalesPK]]+Table4[[#This Row],[Bottle]]</f>
        <v>2800</v>
      </c>
      <c r="V579" s="10">
        <f>Table4[[#This Row],[SalesBot]]*Table4[[#This Row],[ML]]</f>
        <v>1792</v>
      </c>
      <c r="W579" s="1">
        <f>VLOOKUP(N579,Stock[#Data],6,FALSE)</f>
        <v>1350</v>
      </c>
      <c r="X579" s="8">
        <f>+Table4[[#This Row],[SalesBot]]*Table4[[#This Row],[နှုံး]]</f>
        <v>3780000</v>
      </c>
      <c r="Y579" s="12"/>
      <c r="Z579" s="12"/>
      <c r="AA579" s="12"/>
      <c r="AB579" s="9"/>
      <c r="AC579" s="12"/>
      <c r="AD579" s="9"/>
      <c r="AE579" s="12"/>
      <c r="AF57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3780000</v>
      </c>
      <c r="AG579" s="24"/>
      <c r="AH579" s="266">
        <f>Table4[[#This Row],[Date]]</f>
        <v>46059</v>
      </c>
      <c r="AI579" s="264" t="str">
        <f t="shared" si="100"/>
        <v>Feb</v>
      </c>
      <c r="AJ579" s="264" t="str">
        <f t="shared" si="101"/>
        <v>2026</v>
      </c>
      <c r="AK579" s="270" t="str">
        <f>Table4[[#This Row],[ကုန်သည်အမည်]]</f>
        <v>မဝင့်ဝါထိုက်(ရွှေပင်လယ်)</v>
      </c>
      <c r="AL579" s="270" t="str">
        <f>Table4[[#This Row],[Township]]</f>
        <v>Yay</v>
      </c>
      <c r="AM579" s="271" t="str">
        <f>Table4[[#This Row],[WholeSales]]</f>
        <v>WholeSales</v>
      </c>
      <c r="AN579" s="272" t="str">
        <f>Table4[[#This Row],[Particular]]</f>
        <v>ကုန်ရောင်း(အကြွေး)</v>
      </c>
      <c r="AO579" s="273" t="str">
        <f>Table4[[#This Row],[StockName]]</f>
        <v>ဇေယျဝတီ Red</v>
      </c>
      <c r="AP579" s="268">
        <f>Table4[[#This Row],[Parking]]</f>
        <v>200</v>
      </c>
      <c r="AQ579" s="268">
        <f>Table4[[#This Row],[SalesBot]]</f>
        <v>2800</v>
      </c>
      <c r="AR579" s="268">
        <f>Table4[[#This Row],[Liter]]</f>
        <v>1792</v>
      </c>
    </row>
    <row r="580" spans="1:44" s="16" customFormat="1" hidden="1" x14ac:dyDescent="0.5">
      <c r="A580" s="3">
        <f t="shared" si="110"/>
        <v>2026</v>
      </c>
      <c r="B580" s="8">
        <f t="shared" si="111"/>
        <v>2</v>
      </c>
      <c r="C580" s="6">
        <v>46059</v>
      </c>
      <c r="D580" s="15">
        <f t="shared" ca="1" si="112"/>
        <v>46097</v>
      </c>
      <c r="E580" s="15" t="str">
        <f t="shared" ca="1" si="113"/>
        <v>1-Months</v>
      </c>
      <c r="F580" s="8" t="str">
        <f>VLOOKUP(N580,Stock[#Data],5,FALSE)</f>
        <v>BE</v>
      </c>
      <c r="G580" s="82" t="s">
        <v>1309</v>
      </c>
      <c r="H580" s="15"/>
      <c r="I580" s="7" t="s">
        <v>92</v>
      </c>
      <c r="J580" s="8" t="str">
        <f>VLOOKUP(I580,Customers[#Data],2,FALSE)</f>
        <v>ကိုမြခက်</v>
      </c>
      <c r="K580" s="15" t="str">
        <f>VLOOKUP(I580,Customers[#Data],4,FALSE)</f>
        <v>Yay</v>
      </c>
      <c r="L580" s="15" t="str">
        <f>VLOOKUP(I580,Customers[#Data],5,FALSE)</f>
        <v>WholeSales</v>
      </c>
      <c r="M580" s="7" t="s">
        <v>7</v>
      </c>
      <c r="N580" s="7" t="s">
        <v>514</v>
      </c>
      <c r="O580" s="14" t="str">
        <f>VLOOKUP(N580,Stock[#Data],2,FALSE)</f>
        <v>ဇေယျဝတီ Red</v>
      </c>
      <c r="P580" s="44">
        <f>VLOOKUP(N580,Stock[#Data],3,FALSE)</f>
        <v>0.64</v>
      </c>
      <c r="Q580" s="3">
        <f>VLOOKUP(N580,Stock[#Data],4,FALSE)</f>
        <v>14</v>
      </c>
      <c r="R580" s="11"/>
      <c r="S580" s="45">
        <f>IFERROR(Table4[[#This Row],[Bottle]]/Table4[[#This Row],[ပါဝင်မှု]]+Table4[[#This Row],[SalesPK]],0)</f>
        <v>100</v>
      </c>
      <c r="T580" s="12">
        <v>100</v>
      </c>
      <c r="U580" s="10">
        <f>Table4[[#This Row],[ပါဝင်မှု]]*Table4[[#This Row],[SalesPK]]+Table4[[#This Row],[Bottle]]</f>
        <v>1400</v>
      </c>
      <c r="V580" s="10">
        <f>Table4[[#This Row],[SalesBot]]*Table4[[#This Row],[ML]]</f>
        <v>896</v>
      </c>
      <c r="W580" s="1">
        <f>VLOOKUP(N580,Stock[#Data],6,FALSE)</f>
        <v>1350</v>
      </c>
      <c r="X580" s="8">
        <f>+Table4[[#This Row],[SalesBot]]*Table4[[#This Row],[နှုံး]]</f>
        <v>1890000</v>
      </c>
      <c r="Y580" s="12"/>
      <c r="Z580" s="12"/>
      <c r="AA580" s="12"/>
      <c r="AB580" s="9"/>
      <c r="AC580" s="12"/>
      <c r="AD580" s="9"/>
      <c r="AE580" s="12"/>
      <c r="AF58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580" s="24"/>
      <c r="AH580" s="266">
        <f>Table4[[#This Row],[Date]]</f>
        <v>46059</v>
      </c>
      <c r="AI580" s="264" t="str">
        <f t="shared" si="100"/>
        <v>Feb</v>
      </c>
      <c r="AJ580" s="264" t="str">
        <f t="shared" si="101"/>
        <v>2026</v>
      </c>
      <c r="AK580" s="270" t="str">
        <f>Table4[[#This Row],[ကုန်သည်အမည်]]</f>
        <v>ကိုမြခက်</v>
      </c>
      <c r="AL580" s="270" t="str">
        <f>Table4[[#This Row],[Township]]</f>
        <v>Yay</v>
      </c>
      <c r="AM580" s="271" t="str">
        <f>Table4[[#This Row],[WholeSales]]</f>
        <v>WholeSales</v>
      </c>
      <c r="AN580" s="272" t="str">
        <f>Table4[[#This Row],[Particular]]</f>
        <v>ကုန်ရောင်း(အကြွေး)</v>
      </c>
      <c r="AO580" s="273" t="str">
        <f>Table4[[#This Row],[StockName]]</f>
        <v>ဇေယျဝတီ Red</v>
      </c>
      <c r="AP580" s="268">
        <f>Table4[[#This Row],[Parking]]</f>
        <v>100</v>
      </c>
      <c r="AQ580" s="268">
        <f>Table4[[#This Row],[SalesBot]]</f>
        <v>1400</v>
      </c>
      <c r="AR580" s="268">
        <f>Table4[[#This Row],[Liter]]</f>
        <v>896</v>
      </c>
    </row>
    <row r="581" spans="1:44" s="16" customFormat="1" hidden="1" x14ac:dyDescent="0.5">
      <c r="A581" s="3">
        <f t="shared" si="110"/>
        <v>2026</v>
      </c>
      <c r="B581" s="8">
        <f t="shared" si="111"/>
        <v>2</v>
      </c>
      <c r="C581" s="6">
        <v>46059</v>
      </c>
      <c r="D581" s="15">
        <f t="shared" ca="1" si="112"/>
        <v>46097</v>
      </c>
      <c r="E581" s="15" t="str">
        <f t="shared" ca="1" si="113"/>
        <v>1-Months</v>
      </c>
      <c r="F581" s="8" t="str">
        <f>VLOOKUP(N581,Stock[#Data],5,FALSE)</f>
        <v>BE</v>
      </c>
      <c r="G581" s="82" t="s">
        <v>1309</v>
      </c>
      <c r="H581" s="15"/>
      <c r="I581" s="7" t="s">
        <v>92</v>
      </c>
      <c r="J581" s="8" t="str">
        <f>VLOOKUP(I581,Customers[#Data],2,FALSE)</f>
        <v>ကိုမြခက်</v>
      </c>
      <c r="K581" s="15" t="str">
        <f>VLOOKUP(I581,Customers[#Data],4,FALSE)</f>
        <v>Yay</v>
      </c>
      <c r="L581" s="15" t="str">
        <f>VLOOKUP(I581,Customers[#Data],5,FALSE)</f>
        <v>WholeSales</v>
      </c>
      <c r="M581" s="7" t="s">
        <v>7</v>
      </c>
      <c r="N581" s="7" t="s">
        <v>517</v>
      </c>
      <c r="O581" s="14" t="str">
        <f>VLOOKUP(N581,Stock[#Data],2,FALSE)</f>
        <v>ဇေယျဝတီ Red (1 Liter) 30%</v>
      </c>
      <c r="P581" s="44">
        <f>VLOOKUP(N581,Stock[#Data],3,FALSE)</f>
        <v>1</v>
      </c>
      <c r="Q581" s="3">
        <f>VLOOKUP(N581,Stock[#Data],4,FALSE)</f>
        <v>12</v>
      </c>
      <c r="R581" s="11"/>
      <c r="S581" s="45">
        <f>IFERROR(Table4[[#This Row],[Bottle]]/Table4[[#This Row],[ပါဝင်မှု]]+Table4[[#This Row],[SalesPK]],0)</f>
        <v>100</v>
      </c>
      <c r="T581" s="12">
        <v>100</v>
      </c>
      <c r="U581" s="10">
        <f>Table4[[#This Row],[ပါဝင်မှု]]*Table4[[#This Row],[SalesPK]]+Table4[[#This Row],[Bottle]]</f>
        <v>1200</v>
      </c>
      <c r="V581" s="10">
        <f>Table4[[#This Row],[SalesBot]]*Table4[[#This Row],[ML]]</f>
        <v>1200</v>
      </c>
      <c r="W581" s="1">
        <f>VLOOKUP(N581,Stock[#Data],6,FALSE)</f>
        <v>1710</v>
      </c>
      <c r="X581" s="8">
        <f>+Table4[[#This Row],[SalesBot]]*Table4[[#This Row],[နှုံး]]</f>
        <v>2052000</v>
      </c>
      <c r="Y581" s="12"/>
      <c r="Z581" s="12"/>
      <c r="AA581" s="12"/>
      <c r="AB581" s="9"/>
      <c r="AC581" s="12"/>
      <c r="AD581" s="9"/>
      <c r="AE581" s="12"/>
      <c r="AF58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581" s="24"/>
      <c r="AH581" s="266">
        <f>Table4[[#This Row],[Date]]</f>
        <v>46059</v>
      </c>
      <c r="AI581" s="264" t="str">
        <f t="shared" si="100"/>
        <v>Feb</v>
      </c>
      <c r="AJ581" s="264" t="str">
        <f t="shared" si="101"/>
        <v>2026</v>
      </c>
      <c r="AK581" s="270" t="str">
        <f>Table4[[#This Row],[ကုန်သည်အမည်]]</f>
        <v>ကိုမြခက်</v>
      </c>
      <c r="AL581" s="270" t="str">
        <f>Table4[[#This Row],[Township]]</f>
        <v>Yay</v>
      </c>
      <c r="AM581" s="271" t="str">
        <f>Table4[[#This Row],[WholeSales]]</f>
        <v>WholeSales</v>
      </c>
      <c r="AN581" s="272" t="str">
        <f>Table4[[#This Row],[Particular]]</f>
        <v>ကုန်ရောင်း(အကြွေး)</v>
      </c>
      <c r="AO581" s="273" t="str">
        <f>Table4[[#This Row],[StockName]]</f>
        <v>ဇေယျဝတီ Red (1 Liter) 30%</v>
      </c>
      <c r="AP581" s="268">
        <f>Table4[[#This Row],[Parking]]</f>
        <v>100</v>
      </c>
      <c r="AQ581" s="268">
        <f>Table4[[#This Row],[SalesBot]]</f>
        <v>1200</v>
      </c>
      <c r="AR581" s="268">
        <f>Table4[[#This Row],[Liter]]</f>
        <v>1200</v>
      </c>
    </row>
    <row r="582" spans="1:44" s="16" customFormat="1" hidden="1" x14ac:dyDescent="0.5">
      <c r="A582" s="3">
        <f t="shared" si="110"/>
        <v>2026</v>
      </c>
      <c r="B582" s="8">
        <f t="shared" si="111"/>
        <v>2</v>
      </c>
      <c r="C582" s="6">
        <v>46060</v>
      </c>
      <c r="D582" s="15">
        <f t="shared" ca="1" si="112"/>
        <v>46097</v>
      </c>
      <c r="E582" s="15" t="str">
        <f t="shared" ca="1" si="113"/>
        <v>1-Months</v>
      </c>
      <c r="F582" s="8" t="str">
        <f>VLOOKUP(N582,Stock[#Data],5,FALSE)</f>
        <v>BE</v>
      </c>
      <c r="G582" s="82" t="s">
        <v>1310</v>
      </c>
      <c r="H582" s="15"/>
      <c r="I582" s="7" t="s">
        <v>95</v>
      </c>
      <c r="J582" s="8" t="str">
        <f>VLOOKUP(I582,Customers[#Data],2,FALSE)</f>
        <v>ကျော်စတား</v>
      </c>
      <c r="K582" s="15" t="str">
        <f>VLOOKUP(I582,Customers[#Data],4,FALSE)</f>
        <v>Yay</v>
      </c>
      <c r="L582" s="15" t="str">
        <f>VLOOKUP(I582,Customers[#Data],5,FALSE)</f>
        <v>WholeSales</v>
      </c>
      <c r="M582" s="7" t="s">
        <v>7</v>
      </c>
      <c r="N582" s="7" t="s">
        <v>514</v>
      </c>
      <c r="O582" s="14" t="str">
        <f>VLOOKUP(N582,Stock[#Data],2,FALSE)</f>
        <v>ဇေယျဝတီ Red</v>
      </c>
      <c r="P582" s="44">
        <f>VLOOKUP(N582,Stock[#Data],3,FALSE)</f>
        <v>0.64</v>
      </c>
      <c r="Q582" s="3">
        <f>VLOOKUP(N582,Stock[#Data],4,FALSE)</f>
        <v>14</v>
      </c>
      <c r="R582" s="11"/>
      <c r="S582" s="45">
        <f>IFERROR(Table4[[#This Row],[Bottle]]/Table4[[#This Row],[ပါဝင်မှု]]+Table4[[#This Row],[SalesPK]],0)</f>
        <v>100</v>
      </c>
      <c r="T582" s="12">
        <v>100</v>
      </c>
      <c r="U582" s="10">
        <f>Table4[[#This Row],[ပါဝင်မှု]]*Table4[[#This Row],[SalesPK]]+Table4[[#This Row],[Bottle]]</f>
        <v>1400</v>
      </c>
      <c r="V582" s="10">
        <f>Table4[[#This Row],[SalesBot]]*Table4[[#This Row],[ML]]</f>
        <v>896</v>
      </c>
      <c r="W582" s="1">
        <f>VLOOKUP(N582,Stock[#Data],6,FALSE)</f>
        <v>1350</v>
      </c>
      <c r="X582" s="8">
        <f>+Table4[[#This Row],[SalesBot]]*Table4[[#This Row],[နှုံး]]</f>
        <v>1890000</v>
      </c>
      <c r="Y582" s="12"/>
      <c r="Z582" s="12"/>
      <c r="AA582" s="12"/>
      <c r="AB582" s="9"/>
      <c r="AC582" s="12"/>
      <c r="AD582" s="9"/>
      <c r="AE582" s="12"/>
      <c r="AF58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582" s="24"/>
      <c r="AH582" s="266">
        <f>Table4[[#This Row],[Date]]</f>
        <v>46060</v>
      </c>
      <c r="AI582" s="264" t="str">
        <f t="shared" si="100"/>
        <v>Feb</v>
      </c>
      <c r="AJ582" s="264" t="str">
        <f t="shared" si="101"/>
        <v>2026</v>
      </c>
      <c r="AK582" s="270" t="str">
        <f>Table4[[#This Row],[ကုန်သည်အမည်]]</f>
        <v>ကျော်စတား</v>
      </c>
      <c r="AL582" s="270" t="str">
        <f>Table4[[#This Row],[Township]]</f>
        <v>Yay</v>
      </c>
      <c r="AM582" s="271" t="str">
        <f>Table4[[#This Row],[WholeSales]]</f>
        <v>WholeSales</v>
      </c>
      <c r="AN582" s="272" t="str">
        <f>Table4[[#This Row],[Particular]]</f>
        <v>ကုန်ရောင်း(အကြွေး)</v>
      </c>
      <c r="AO582" s="273" t="str">
        <f>Table4[[#This Row],[StockName]]</f>
        <v>ဇေယျဝတီ Red</v>
      </c>
      <c r="AP582" s="268">
        <f>Table4[[#This Row],[Parking]]</f>
        <v>100</v>
      </c>
      <c r="AQ582" s="268">
        <f>Table4[[#This Row],[SalesBot]]</f>
        <v>1400</v>
      </c>
      <c r="AR582" s="268">
        <f>Table4[[#This Row],[Liter]]</f>
        <v>896</v>
      </c>
    </row>
    <row r="583" spans="1:44" s="16" customFormat="1" hidden="1" x14ac:dyDescent="0.5">
      <c r="A583" s="3">
        <f t="shared" si="110"/>
        <v>2026</v>
      </c>
      <c r="B583" s="8">
        <f t="shared" si="111"/>
        <v>2</v>
      </c>
      <c r="C583" s="6">
        <v>46060</v>
      </c>
      <c r="D583" s="15">
        <f t="shared" ca="1" si="112"/>
        <v>46097</v>
      </c>
      <c r="E583" s="15" t="str">
        <f t="shared" ca="1" si="113"/>
        <v>1-Months</v>
      </c>
      <c r="F583" s="8" t="str">
        <f>VLOOKUP(N583,Stock[#Data],5,FALSE)</f>
        <v>BE</v>
      </c>
      <c r="G583" s="82" t="s">
        <v>1310</v>
      </c>
      <c r="H583" s="15"/>
      <c r="I583" s="7" t="s">
        <v>95</v>
      </c>
      <c r="J583" s="8" t="str">
        <f>VLOOKUP(I583,Customers[#Data],2,FALSE)</f>
        <v>ကျော်စတား</v>
      </c>
      <c r="K583" s="15" t="str">
        <f>VLOOKUP(I583,Customers[#Data],4,FALSE)</f>
        <v>Yay</v>
      </c>
      <c r="L583" s="15" t="str">
        <f>VLOOKUP(I583,Customers[#Data],5,FALSE)</f>
        <v>WholeSales</v>
      </c>
      <c r="M583" s="7" t="s">
        <v>7</v>
      </c>
      <c r="N583" s="7" t="s">
        <v>517</v>
      </c>
      <c r="O583" s="14" t="str">
        <f>VLOOKUP(N583,Stock[#Data],2,FALSE)</f>
        <v>ဇေယျဝတီ Red (1 Liter) 30%</v>
      </c>
      <c r="P583" s="44">
        <f>VLOOKUP(N583,Stock[#Data],3,FALSE)</f>
        <v>1</v>
      </c>
      <c r="Q583" s="3">
        <f>VLOOKUP(N583,Stock[#Data],4,FALSE)</f>
        <v>12</v>
      </c>
      <c r="R583" s="11"/>
      <c r="S583" s="45">
        <f>IFERROR(Table4[[#This Row],[Bottle]]/Table4[[#This Row],[ပါဝင်မှု]]+Table4[[#This Row],[SalesPK]],0)</f>
        <v>50</v>
      </c>
      <c r="T583" s="12">
        <v>50</v>
      </c>
      <c r="U583" s="10">
        <f>Table4[[#This Row],[ပါဝင်မှု]]*Table4[[#This Row],[SalesPK]]+Table4[[#This Row],[Bottle]]</f>
        <v>600</v>
      </c>
      <c r="V583" s="10">
        <f>Table4[[#This Row],[SalesBot]]*Table4[[#This Row],[ML]]</f>
        <v>600</v>
      </c>
      <c r="W583" s="1">
        <f>VLOOKUP(N583,Stock[#Data],6,FALSE)</f>
        <v>1710</v>
      </c>
      <c r="X583" s="8">
        <f>+Table4[[#This Row],[SalesBot]]*Table4[[#This Row],[နှုံး]]</f>
        <v>1026000</v>
      </c>
      <c r="Y583" s="12"/>
      <c r="Z583" s="12"/>
      <c r="AA583" s="12"/>
      <c r="AB583" s="9"/>
      <c r="AC583" s="12"/>
      <c r="AD583" s="9"/>
      <c r="AE583" s="12"/>
      <c r="AF58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583" s="24"/>
      <c r="AH583" s="266">
        <f>Table4[[#This Row],[Date]]</f>
        <v>46060</v>
      </c>
      <c r="AI583" s="264" t="str">
        <f t="shared" si="100"/>
        <v>Feb</v>
      </c>
      <c r="AJ583" s="264" t="str">
        <f t="shared" si="101"/>
        <v>2026</v>
      </c>
      <c r="AK583" s="270" t="str">
        <f>Table4[[#This Row],[ကုန်သည်အမည်]]</f>
        <v>ကျော်စတား</v>
      </c>
      <c r="AL583" s="270" t="str">
        <f>Table4[[#This Row],[Township]]</f>
        <v>Yay</v>
      </c>
      <c r="AM583" s="271" t="str">
        <f>Table4[[#This Row],[WholeSales]]</f>
        <v>WholeSales</v>
      </c>
      <c r="AN583" s="272" t="str">
        <f>Table4[[#This Row],[Particular]]</f>
        <v>ကုန်ရောင်း(အကြွေး)</v>
      </c>
      <c r="AO583" s="273" t="str">
        <f>Table4[[#This Row],[StockName]]</f>
        <v>ဇေယျဝတီ Red (1 Liter) 30%</v>
      </c>
      <c r="AP583" s="268">
        <f>Table4[[#This Row],[Parking]]</f>
        <v>50</v>
      </c>
      <c r="AQ583" s="268">
        <f>Table4[[#This Row],[SalesBot]]</f>
        <v>600</v>
      </c>
      <c r="AR583" s="268">
        <f>Table4[[#This Row],[Liter]]</f>
        <v>600</v>
      </c>
    </row>
    <row r="584" spans="1:44" s="16" customFormat="1" hidden="1" x14ac:dyDescent="0.5">
      <c r="A584" s="3">
        <f t="shared" si="110"/>
        <v>2026</v>
      </c>
      <c r="B584" s="8">
        <f t="shared" si="111"/>
        <v>2</v>
      </c>
      <c r="C584" s="6">
        <v>46060</v>
      </c>
      <c r="D584" s="15">
        <f t="shared" ca="1" si="112"/>
        <v>46097</v>
      </c>
      <c r="E584" s="15" t="str">
        <f t="shared" ca="1" si="113"/>
        <v>1-Months</v>
      </c>
      <c r="F584" s="8" t="str">
        <f>VLOOKUP(N584,Stock[#Data],5,FALSE)</f>
        <v>BE</v>
      </c>
      <c r="G584" s="82" t="s">
        <v>1311</v>
      </c>
      <c r="H584" s="15"/>
      <c r="I584" s="7" t="s">
        <v>101</v>
      </c>
      <c r="J584" s="8" t="str">
        <f>VLOOKUP(I584,Customers[#Data],2,FALSE)</f>
        <v>ကိုမောင်+မသူဇာ</v>
      </c>
      <c r="K584" s="15" t="str">
        <f>VLOOKUP(I584,Customers[#Data],4,FALSE)</f>
        <v>Yay</v>
      </c>
      <c r="L584" s="15" t="str">
        <f>VLOOKUP(I584,Customers[#Data],5,FALSE)</f>
        <v>WholeSales</v>
      </c>
      <c r="M584" s="7" t="s">
        <v>7</v>
      </c>
      <c r="N584" s="7" t="s">
        <v>517</v>
      </c>
      <c r="O584" s="14" t="str">
        <f>VLOOKUP(N584,Stock[#Data],2,FALSE)</f>
        <v>ဇေယျဝတီ Red (1 Liter) 30%</v>
      </c>
      <c r="P584" s="44">
        <f>VLOOKUP(N584,Stock[#Data],3,FALSE)</f>
        <v>1</v>
      </c>
      <c r="Q584" s="3">
        <f>VLOOKUP(N584,Stock[#Data],4,FALSE)</f>
        <v>12</v>
      </c>
      <c r="R584" s="11"/>
      <c r="S584" s="45">
        <f>IFERROR(Table4[[#This Row],[Bottle]]/Table4[[#This Row],[ပါဝင်မှု]]+Table4[[#This Row],[SalesPK]],0)</f>
        <v>50</v>
      </c>
      <c r="T584" s="12">
        <v>50</v>
      </c>
      <c r="U584" s="10">
        <f>Table4[[#This Row],[ပါဝင်မှု]]*Table4[[#This Row],[SalesPK]]+Table4[[#This Row],[Bottle]]</f>
        <v>600</v>
      </c>
      <c r="V584" s="10">
        <f>Table4[[#This Row],[SalesBot]]*Table4[[#This Row],[ML]]</f>
        <v>600</v>
      </c>
      <c r="W584" s="1">
        <f>VLOOKUP(N584,Stock[#Data],6,FALSE)</f>
        <v>1710</v>
      </c>
      <c r="X584" s="8">
        <f>+Table4[[#This Row],[SalesBot]]*Table4[[#This Row],[နှုံး]]</f>
        <v>1026000</v>
      </c>
      <c r="Y584" s="12"/>
      <c r="Z584" s="12"/>
      <c r="AA584" s="12"/>
      <c r="AB584" s="9"/>
      <c r="AC584" s="12"/>
      <c r="AD584" s="9"/>
      <c r="AE584" s="12"/>
      <c r="AF58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584" s="24"/>
      <c r="AH584" s="266">
        <f>Table4[[#This Row],[Date]]</f>
        <v>46060</v>
      </c>
      <c r="AI584" s="264" t="str">
        <f t="shared" si="100"/>
        <v>Feb</v>
      </c>
      <c r="AJ584" s="264" t="str">
        <f t="shared" si="101"/>
        <v>2026</v>
      </c>
      <c r="AK584" s="270" t="str">
        <f>Table4[[#This Row],[ကုန်သည်အမည်]]</f>
        <v>ကိုမောင်+မသူဇာ</v>
      </c>
      <c r="AL584" s="270" t="str">
        <f>Table4[[#This Row],[Township]]</f>
        <v>Yay</v>
      </c>
      <c r="AM584" s="271" t="str">
        <f>Table4[[#This Row],[WholeSales]]</f>
        <v>WholeSales</v>
      </c>
      <c r="AN584" s="272" t="str">
        <f>Table4[[#This Row],[Particular]]</f>
        <v>ကုန်ရောင်း(အကြွေး)</v>
      </c>
      <c r="AO584" s="273" t="str">
        <f>Table4[[#This Row],[StockName]]</f>
        <v>ဇေယျဝတီ Red (1 Liter) 30%</v>
      </c>
      <c r="AP584" s="268">
        <f>Table4[[#This Row],[Parking]]</f>
        <v>50</v>
      </c>
      <c r="AQ584" s="268">
        <f>Table4[[#This Row],[SalesBot]]</f>
        <v>600</v>
      </c>
      <c r="AR584" s="268">
        <f>Table4[[#This Row],[Liter]]</f>
        <v>600</v>
      </c>
    </row>
    <row r="585" spans="1:44" s="16" customFormat="1" hidden="1" x14ac:dyDescent="0.5">
      <c r="A585" s="3">
        <f t="shared" si="110"/>
        <v>2026</v>
      </c>
      <c r="B585" s="8">
        <f t="shared" si="111"/>
        <v>2</v>
      </c>
      <c r="C585" s="6">
        <v>46060</v>
      </c>
      <c r="D585" s="15">
        <f t="shared" ca="1" si="112"/>
        <v>46097</v>
      </c>
      <c r="E585" s="15" t="str">
        <f t="shared" ca="1" si="113"/>
        <v>1-Months</v>
      </c>
      <c r="F585" s="8" t="str">
        <f>VLOOKUP(N585,Stock[#Data],5,FALSE)</f>
        <v>BE</v>
      </c>
      <c r="G585" s="82" t="s">
        <v>1312</v>
      </c>
      <c r="H585" s="15"/>
      <c r="I585" s="7" t="s">
        <v>569</v>
      </c>
      <c r="J585" s="8" t="str">
        <f>VLOOKUP(I585,Customers[#Data],2,FALSE)</f>
        <v>ကိုပိန်</v>
      </c>
      <c r="K585" s="15" t="str">
        <f>VLOOKUP(I585,Customers[#Data],4,FALSE)</f>
        <v>Maw La Myaing</v>
      </c>
      <c r="L585" s="15" t="str">
        <f>VLOOKUP(I585,Customers[#Data],5,FALSE)</f>
        <v>Van Sales</v>
      </c>
      <c r="M585" s="7" t="s">
        <v>6</v>
      </c>
      <c r="N585" s="7" t="s">
        <v>516</v>
      </c>
      <c r="O585" s="14" t="str">
        <f>VLOOKUP(N585,Stock[#Data],2,FALSE)</f>
        <v>ဇေ Vodka</v>
      </c>
      <c r="P585" s="44">
        <f>VLOOKUP(N585,Stock[#Data],3,FALSE)</f>
        <v>0.64</v>
      </c>
      <c r="Q585" s="3">
        <f>VLOOKUP(N585,Stock[#Data],4,FALSE)</f>
        <v>14</v>
      </c>
      <c r="R585" s="11"/>
      <c r="S585" s="45">
        <f>IFERROR(Table4[[#This Row],[Bottle]]/Table4[[#This Row],[ပါဝင်မှု]]+Table4[[#This Row],[SalesPK]],0)</f>
        <v>10</v>
      </c>
      <c r="T585" s="12">
        <v>10</v>
      </c>
      <c r="U585" s="10">
        <f>Table4[[#This Row],[ပါဝင်မှု]]*Table4[[#This Row],[SalesPK]]+Table4[[#This Row],[Bottle]]</f>
        <v>140</v>
      </c>
      <c r="V585" s="10">
        <f>Table4[[#This Row],[SalesBot]]*Table4[[#This Row],[ML]]</f>
        <v>89.600000000000009</v>
      </c>
      <c r="W585" s="1">
        <f>VLOOKUP(N585,Stock[#Data],6,FALSE)</f>
        <v>1400</v>
      </c>
      <c r="X585" s="8">
        <f>+Table4[[#This Row],[SalesBot]]*Table4[[#This Row],[နှုံး]]</f>
        <v>196000</v>
      </c>
      <c r="Y585" s="12"/>
      <c r="Z585" s="12"/>
      <c r="AA585" s="12"/>
      <c r="AB585" s="9"/>
      <c r="AC585" s="12"/>
      <c r="AD585" s="9"/>
      <c r="AE585" s="12"/>
      <c r="AF58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585" s="24"/>
      <c r="AH585" s="266">
        <f>Table4[[#This Row],[Date]]</f>
        <v>46060</v>
      </c>
      <c r="AI585" s="264" t="str">
        <f t="shared" si="100"/>
        <v>Feb</v>
      </c>
      <c r="AJ585" s="264" t="str">
        <f t="shared" si="101"/>
        <v>2026</v>
      </c>
      <c r="AK585" s="270" t="str">
        <f>Table4[[#This Row],[ကုန်သည်အမည်]]</f>
        <v>ကိုပိန်</v>
      </c>
      <c r="AL585" s="270" t="str">
        <f>Table4[[#This Row],[Township]]</f>
        <v>Maw La Myaing</v>
      </c>
      <c r="AM585" s="271" t="str">
        <f>Table4[[#This Row],[WholeSales]]</f>
        <v>Van Sales</v>
      </c>
      <c r="AN585" s="272" t="str">
        <f>Table4[[#This Row],[Particular]]</f>
        <v>ကုန်ရောင်း(လက်ငင်း)</v>
      </c>
      <c r="AO585" s="273" t="str">
        <f>Table4[[#This Row],[StockName]]</f>
        <v>ဇေ Vodka</v>
      </c>
      <c r="AP585" s="268">
        <f>Table4[[#This Row],[Parking]]</f>
        <v>10</v>
      </c>
      <c r="AQ585" s="268">
        <f>Table4[[#This Row],[SalesBot]]</f>
        <v>140</v>
      </c>
      <c r="AR585" s="268">
        <f>Table4[[#This Row],[Liter]]</f>
        <v>89.600000000000009</v>
      </c>
    </row>
    <row r="586" spans="1:44" s="16" customFormat="1" hidden="1" x14ac:dyDescent="0.5">
      <c r="A586" s="3">
        <f t="shared" si="110"/>
        <v>2026</v>
      </c>
      <c r="B586" s="8">
        <f t="shared" si="111"/>
        <v>2</v>
      </c>
      <c r="C586" s="6">
        <v>46060</v>
      </c>
      <c r="D586" s="15">
        <f t="shared" ca="1" si="112"/>
        <v>46097</v>
      </c>
      <c r="E586" s="15" t="str">
        <f t="shared" ca="1" si="113"/>
        <v>1-Months</v>
      </c>
      <c r="F586" s="8" t="str">
        <f>VLOOKUP(N586,Stock[#Data],5,FALSE)</f>
        <v>BE</v>
      </c>
      <c r="G586" s="82" t="s">
        <v>1313</v>
      </c>
      <c r="H586" s="15"/>
      <c r="I586" s="7" t="s">
        <v>296</v>
      </c>
      <c r="J586" s="8" t="str">
        <f>VLOOKUP(I586,Customers[#Data],2,FALSE)</f>
        <v>A1</v>
      </c>
      <c r="K586" s="15" t="str">
        <f>VLOOKUP(I586,Customers[#Data],4,FALSE)</f>
        <v>Maw La Myaing</v>
      </c>
      <c r="L586" s="15" t="str">
        <f>VLOOKUP(I586,Customers[#Data],5,FALSE)</f>
        <v>SemiWholeSales</v>
      </c>
      <c r="M586" s="7" t="s">
        <v>6</v>
      </c>
      <c r="N586" s="7" t="s">
        <v>516</v>
      </c>
      <c r="O586" s="14" t="str">
        <f>VLOOKUP(N586,Stock[#Data],2,FALSE)</f>
        <v>ဇေ Vodka</v>
      </c>
      <c r="P586" s="44">
        <f>VLOOKUP(N586,Stock[#Data],3,FALSE)</f>
        <v>0.64</v>
      </c>
      <c r="Q586" s="3">
        <f>VLOOKUP(N586,Stock[#Data],4,FALSE)</f>
        <v>14</v>
      </c>
      <c r="R586" s="11"/>
      <c r="S586" s="45">
        <f>IFERROR(Table4[[#This Row],[Bottle]]/Table4[[#This Row],[ပါဝင်မှု]]+Table4[[#This Row],[SalesPK]],0)</f>
        <v>25</v>
      </c>
      <c r="T586" s="12">
        <v>25</v>
      </c>
      <c r="U586" s="10">
        <f>Table4[[#This Row],[ပါဝင်မှု]]*Table4[[#This Row],[SalesPK]]+Table4[[#This Row],[Bottle]]</f>
        <v>350</v>
      </c>
      <c r="V586" s="10">
        <f>Table4[[#This Row],[SalesBot]]*Table4[[#This Row],[ML]]</f>
        <v>224</v>
      </c>
      <c r="W586" s="1">
        <f>VLOOKUP(N586,Stock[#Data],6,FALSE)</f>
        <v>1400</v>
      </c>
      <c r="X586" s="8">
        <f>+Table4[[#This Row],[SalesBot]]*Table4[[#This Row],[နှုံး]]</f>
        <v>490000</v>
      </c>
      <c r="Y586" s="12"/>
      <c r="Z586" s="12"/>
      <c r="AA586" s="12"/>
      <c r="AB586" s="9"/>
      <c r="AC586" s="12"/>
      <c r="AD586" s="9"/>
      <c r="AE586" s="12"/>
      <c r="AF58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490000</v>
      </c>
      <c r="AG586" s="24"/>
      <c r="AH586" s="266">
        <f>Table4[[#This Row],[Date]]</f>
        <v>46060</v>
      </c>
      <c r="AI586" s="264" t="str">
        <f t="shared" si="100"/>
        <v>Feb</v>
      </c>
      <c r="AJ586" s="264" t="str">
        <f t="shared" si="101"/>
        <v>2026</v>
      </c>
      <c r="AK586" s="270" t="str">
        <f>Table4[[#This Row],[ကုန်သည်အမည်]]</f>
        <v>A1</v>
      </c>
      <c r="AL586" s="270" t="str">
        <f>Table4[[#This Row],[Township]]</f>
        <v>Maw La Myaing</v>
      </c>
      <c r="AM586" s="271" t="str">
        <f>Table4[[#This Row],[WholeSales]]</f>
        <v>SemiWholeSales</v>
      </c>
      <c r="AN586" s="272" t="str">
        <f>Table4[[#This Row],[Particular]]</f>
        <v>ကုန်ရောင်း(လက်ငင်း)</v>
      </c>
      <c r="AO586" s="273" t="str">
        <f>Table4[[#This Row],[StockName]]</f>
        <v>ဇေ Vodka</v>
      </c>
      <c r="AP586" s="268">
        <f>Table4[[#This Row],[Parking]]</f>
        <v>25</v>
      </c>
      <c r="AQ586" s="268">
        <f>Table4[[#This Row],[SalesBot]]</f>
        <v>350</v>
      </c>
      <c r="AR586" s="268">
        <f>Table4[[#This Row],[Liter]]</f>
        <v>224</v>
      </c>
    </row>
    <row r="587" spans="1:44" s="16" customFormat="1" hidden="1" x14ac:dyDescent="0.5">
      <c r="A587" s="3">
        <f t="shared" si="110"/>
        <v>2026</v>
      </c>
      <c r="B587" s="8">
        <f t="shared" si="111"/>
        <v>2</v>
      </c>
      <c r="C587" s="6">
        <v>46060</v>
      </c>
      <c r="D587" s="15">
        <f t="shared" ca="1" si="112"/>
        <v>46097</v>
      </c>
      <c r="E587" s="15" t="str">
        <f t="shared" ca="1" si="113"/>
        <v>1-Months</v>
      </c>
      <c r="F587" s="8" t="str">
        <f>VLOOKUP(N587,Stock[#Data],5,FALSE)</f>
        <v>BE</v>
      </c>
      <c r="G587" s="82" t="s">
        <v>1313</v>
      </c>
      <c r="H587" s="15"/>
      <c r="I587" s="7" t="s">
        <v>296</v>
      </c>
      <c r="J587" s="8" t="str">
        <f>VLOOKUP(I587,Customers[#Data],2,FALSE)</f>
        <v>A1</v>
      </c>
      <c r="K587" s="15" t="str">
        <f>VLOOKUP(I587,Customers[#Data],4,FALSE)</f>
        <v>Maw La Myaing</v>
      </c>
      <c r="L587" s="15" t="str">
        <f>VLOOKUP(I587,Customers[#Data],5,FALSE)</f>
        <v>SemiWholeSales</v>
      </c>
      <c r="M587" s="7" t="s">
        <v>6</v>
      </c>
      <c r="N587" s="7" t="s">
        <v>518</v>
      </c>
      <c r="O587" s="14" t="str">
        <f>VLOOKUP(N587,Stock[#Data],2,FALSE)</f>
        <v>"ဇေ" ကော်ဘူး (1 Liter)</v>
      </c>
      <c r="P587" s="44">
        <f>VLOOKUP(N587,Stock[#Data],3,FALSE)</f>
        <v>1</v>
      </c>
      <c r="Q587" s="3">
        <f>VLOOKUP(N587,Stock[#Data],4,FALSE)</f>
        <v>12</v>
      </c>
      <c r="R587" s="11"/>
      <c r="S587" s="45">
        <f>IFERROR(Table4[[#This Row],[Bottle]]/Table4[[#This Row],[ပါဝင်မှု]]+Table4[[#This Row],[SalesPK]],0)</f>
        <v>15</v>
      </c>
      <c r="T587" s="12">
        <v>15</v>
      </c>
      <c r="U587" s="10">
        <f>Table4[[#This Row],[ပါဝင်မှု]]*Table4[[#This Row],[SalesPK]]+Table4[[#This Row],[Bottle]]</f>
        <v>180</v>
      </c>
      <c r="V587" s="10">
        <f>Table4[[#This Row],[SalesBot]]*Table4[[#This Row],[ML]]</f>
        <v>180</v>
      </c>
      <c r="W587" s="1">
        <f>VLOOKUP(N587,Stock[#Data],6,FALSE)</f>
        <v>1675</v>
      </c>
      <c r="X587" s="8">
        <f>+Table4[[#This Row],[SalesBot]]*Table4[[#This Row],[နှုံး]]</f>
        <v>301500</v>
      </c>
      <c r="Y587" s="12"/>
      <c r="Z587" s="12"/>
      <c r="AA587" s="12"/>
      <c r="AB587" s="9"/>
      <c r="AC587" s="12"/>
      <c r="AD587" s="9"/>
      <c r="AE587" s="12"/>
      <c r="AF58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301500</v>
      </c>
      <c r="AG587" s="24"/>
      <c r="AH587" s="266">
        <f>Table4[[#This Row],[Date]]</f>
        <v>46060</v>
      </c>
      <c r="AI587" s="264" t="str">
        <f t="shared" si="100"/>
        <v>Feb</v>
      </c>
      <c r="AJ587" s="264" t="str">
        <f t="shared" si="101"/>
        <v>2026</v>
      </c>
      <c r="AK587" s="270" t="str">
        <f>Table4[[#This Row],[ကုန်သည်အမည်]]</f>
        <v>A1</v>
      </c>
      <c r="AL587" s="270" t="str">
        <f>Table4[[#This Row],[Township]]</f>
        <v>Maw La Myaing</v>
      </c>
      <c r="AM587" s="271" t="str">
        <f>Table4[[#This Row],[WholeSales]]</f>
        <v>SemiWholeSales</v>
      </c>
      <c r="AN587" s="272" t="str">
        <f>Table4[[#This Row],[Particular]]</f>
        <v>ကုန်ရောင်း(လက်ငင်း)</v>
      </c>
      <c r="AO587" s="273" t="str">
        <f>Table4[[#This Row],[StockName]]</f>
        <v>"ဇေ" ကော်ဘူး (1 Liter)</v>
      </c>
      <c r="AP587" s="268">
        <f>Table4[[#This Row],[Parking]]</f>
        <v>15</v>
      </c>
      <c r="AQ587" s="268">
        <f>Table4[[#This Row],[SalesBot]]</f>
        <v>180</v>
      </c>
      <c r="AR587" s="268">
        <f>Table4[[#This Row],[Liter]]</f>
        <v>180</v>
      </c>
    </row>
    <row r="588" spans="1:44" s="16" customFormat="1" hidden="1" x14ac:dyDescent="0.5">
      <c r="A588" s="3">
        <f t="shared" si="110"/>
        <v>2026</v>
      </c>
      <c r="B588" s="8">
        <f t="shared" si="111"/>
        <v>2</v>
      </c>
      <c r="C588" s="6">
        <v>46060</v>
      </c>
      <c r="D588" s="15">
        <f t="shared" ca="1" si="112"/>
        <v>46097</v>
      </c>
      <c r="E588" s="15" t="str">
        <f t="shared" ca="1" si="113"/>
        <v>1-Months</v>
      </c>
      <c r="F588" s="8" t="str">
        <f>VLOOKUP(N588,Stock[#Data],5,FALSE)</f>
        <v>BE</v>
      </c>
      <c r="G588" s="82" t="s">
        <v>1314</v>
      </c>
      <c r="H588" s="15"/>
      <c r="I588" s="7" t="s">
        <v>109</v>
      </c>
      <c r="J588" s="8" t="str">
        <f>VLOOKUP(I588,Customers[#Data],2,FALSE)</f>
        <v>ဦးမင်းလွင်</v>
      </c>
      <c r="K588" s="15" t="str">
        <f>VLOOKUP(I588,Customers[#Data],4,FALSE)</f>
        <v>Maw La Myaing</v>
      </c>
      <c r="L588" s="15" t="str">
        <f>VLOOKUP(I588,Customers[#Data],5,FALSE)</f>
        <v>WholeSales</v>
      </c>
      <c r="M588" s="7" t="s">
        <v>6</v>
      </c>
      <c r="N588" s="7" t="s">
        <v>516</v>
      </c>
      <c r="O588" s="14" t="str">
        <f>VLOOKUP(N588,Stock[#Data],2,FALSE)</f>
        <v>ဇေ Vodka</v>
      </c>
      <c r="P588" s="44">
        <f>VLOOKUP(N588,Stock[#Data],3,FALSE)</f>
        <v>0.64</v>
      </c>
      <c r="Q588" s="3">
        <f>VLOOKUP(N588,Stock[#Data],4,FALSE)</f>
        <v>14</v>
      </c>
      <c r="R588" s="11"/>
      <c r="S588" s="45">
        <f>IFERROR(Table4[[#This Row],[Bottle]]/Table4[[#This Row],[ပါဝင်မှု]]+Table4[[#This Row],[SalesPK]],0)</f>
        <v>20</v>
      </c>
      <c r="T588" s="12">
        <v>20</v>
      </c>
      <c r="U588" s="10">
        <f>Table4[[#This Row],[ပါဝင်မှု]]*Table4[[#This Row],[SalesPK]]+Table4[[#This Row],[Bottle]]</f>
        <v>280</v>
      </c>
      <c r="V588" s="10">
        <f>Table4[[#This Row],[SalesBot]]*Table4[[#This Row],[ML]]</f>
        <v>179.20000000000002</v>
      </c>
      <c r="W588" s="1">
        <f>VLOOKUP(N588,Stock[#Data],6,FALSE)</f>
        <v>1400</v>
      </c>
      <c r="X588" s="8">
        <f>+Table4[[#This Row],[SalesBot]]*Table4[[#This Row],[နှုံး]]</f>
        <v>392000</v>
      </c>
      <c r="Y588" s="12"/>
      <c r="Z588" s="12"/>
      <c r="AA588" s="12"/>
      <c r="AB588" s="9"/>
      <c r="AC588" s="12"/>
      <c r="AD588" s="9"/>
      <c r="AE588" s="12"/>
      <c r="AF58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392000</v>
      </c>
      <c r="AG588" s="24"/>
      <c r="AH588" s="266">
        <f>Table4[[#This Row],[Date]]</f>
        <v>46060</v>
      </c>
      <c r="AI588" s="264" t="str">
        <f t="shared" si="100"/>
        <v>Feb</v>
      </c>
      <c r="AJ588" s="264" t="str">
        <f t="shared" si="101"/>
        <v>2026</v>
      </c>
      <c r="AK588" s="270" t="str">
        <f>Table4[[#This Row],[ကုန်သည်အမည်]]</f>
        <v>ဦးမင်းလွင်</v>
      </c>
      <c r="AL588" s="270" t="str">
        <f>Table4[[#This Row],[Township]]</f>
        <v>Maw La Myaing</v>
      </c>
      <c r="AM588" s="271" t="str">
        <f>Table4[[#This Row],[WholeSales]]</f>
        <v>WholeSales</v>
      </c>
      <c r="AN588" s="272" t="str">
        <f>Table4[[#This Row],[Particular]]</f>
        <v>ကုန်ရောင်း(လက်ငင်း)</v>
      </c>
      <c r="AO588" s="273" t="str">
        <f>Table4[[#This Row],[StockName]]</f>
        <v>ဇေ Vodka</v>
      </c>
      <c r="AP588" s="268">
        <f>Table4[[#This Row],[Parking]]</f>
        <v>20</v>
      </c>
      <c r="AQ588" s="268">
        <f>Table4[[#This Row],[SalesBot]]</f>
        <v>280</v>
      </c>
      <c r="AR588" s="268">
        <f>Table4[[#This Row],[Liter]]</f>
        <v>179.20000000000002</v>
      </c>
    </row>
    <row r="589" spans="1:44" s="16" customFormat="1" hidden="1" x14ac:dyDescent="0.5">
      <c r="A589" s="3">
        <f t="shared" si="110"/>
        <v>2026</v>
      </c>
      <c r="B589" s="8">
        <f t="shared" si="111"/>
        <v>2</v>
      </c>
      <c r="C589" s="6">
        <v>46060</v>
      </c>
      <c r="D589" s="15">
        <f t="shared" ca="1" si="112"/>
        <v>46097</v>
      </c>
      <c r="E589" s="15" t="str">
        <f t="shared" ca="1" si="113"/>
        <v>1-Months</v>
      </c>
      <c r="F589" s="8" t="str">
        <f>VLOOKUP(N589,Stock[#Data],5,FALSE)</f>
        <v>BE</v>
      </c>
      <c r="G589" s="82" t="s">
        <v>1314</v>
      </c>
      <c r="H589" s="15"/>
      <c r="I589" s="7" t="s">
        <v>109</v>
      </c>
      <c r="J589" s="8" t="str">
        <f>VLOOKUP(I589,Customers[#Data],2,FALSE)</f>
        <v>ဦးမင်းလွင်</v>
      </c>
      <c r="K589" s="15" t="str">
        <f>VLOOKUP(I589,Customers[#Data],4,FALSE)</f>
        <v>Maw La Myaing</v>
      </c>
      <c r="L589" s="15" t="str">
        <f>VLOOKUP(I589,Customers[#Data],5,FALSE)</f>
        <v>WholeSales</v>
      </c>
      <c r="M589" s="7" t="s">
        <v>6</v>
      </c>
      <c r="N589" s="7" t="s">
        <v>521</v>
      </c>
      <c r="O589" s="14" t="str">
        <f>VLOOKUP(N589,Stock[#Data],2,FALSE)</f>
        <v>ဒဂုံအရက်သန့်</v>
      </c>
      <c r="P589" s="44">
        <f>VLOOKUP(N589,Stock[#Data],3,FALSE)</f>
        <v>0.64</v>
      </c>
      <c r="Q589" s="3">
        <f>VLOOKUP(N589,Stock[#Data],4,FALSE)</f>
        <v>24</v>
      </c>
      <c r="R589" s="11"/>
      <c r="S589" s="45">
        <f>IFERROR(Table4[[#This Row],[Bottle]]/Table4[[#This Row],[ပါဝင်မှု]]+Table4[[#This Row],[SalesPK]],0)</f>
        <v>60</v>
      </c>
      <c r="T589" s="12">
        <v>60</v>
      </c>
      <c r="U589" s="10">
        <f>Table4[[#This Row],[ပါဝင်မှု]]*Table4[[#This Row],[SalesPK]]+Table4[[#This Row],[Bottle]]</f>
        <v>1440</v>
      </c>
      <c r="V589" s="10">
        <f>Table4[[#This Row],[SalesBot]]*Table4[[#This Row],[ML]]</f>
        <v>921.6</v>
      </c>
      <c r="W589" s="1">
        <f>VLOOKUP(N589,Stock[#Data],6,FALSE)</f>
        <v>1350</v>
      </c>
      <c r="X589" s="8">
        <f>+Table4[[#This Row],[SalesBot]]*Table4[[#This Row],[နှုံး]]</f>
        <v>1944000</v>
      </c>
      <c r="Y589" s="12"/>
      <c r="Z589" s="12"/>
      <c r="AA589" s="12"/>
      <c r="AB589" s="9"/>
      <c r="AC589" s="12"/>
      <c r="AD589" s="9"/>
      <c r="AE589" s="12"/>
      <c r="AF58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1944000</v>
      </c>
      <c r="AG589" s="24"/>
      <c r="AH589" s="266">
        <f>Table4[[#This Row],[Date]]</f>
        <v>46060</v>
      </c>
      <c r="AI589" s="264" t="str">
        <f t="shared" si="100"/>
        <v>Feb</v>
      </c>
      <c r="AJ589" s="264" t="str">
        <f t="shared" si="101"/>
        <v>2026</v>
      </c>
      <c r="AK589" s="270" t="str">
        <f>Table4[[#This Row],[ကုန်သည်အမည်]]</f>
        <v>ဦးမင်းလွင်</v>
      </c>
      <c r="AL589" s="270" t="str">
        <f>Table4[[#This Row],[Township]]</f>
        <v>Maw La Myaing</v>
      </c>
      <c r="AM589" s="271" t="str">
        <f>Table4[[#This Row],[WholeSales]]</f>
        <v>WholeSales</v>
      </c>
      <c r="AN589" s="272" t="str">
        <f>Table4[[#This Row],[Particular]]</f>
        <v>ကုန်ရောင်း(လက်ငင်း)</v>
      </c>
      <c r="AO589" s="273" t="str">
        <f>Table4[[#This Row],[StockName]]</f>
        <v>ဒဂုံအရက်သန့်</v>
      </c>
      <c r="AP589" s="268">
        <f>Table4[[#This Row],[Parking]]</f>
        <v>60</v>
      </c>
      <c r="AQ589" s="268">
        <f>Table4[[#This Row],[SalesBot]]</f>
        <v>1440</v>
      </c>
      <c r="AR589" s="268">
        <f>Table4[[#This Row],[Liter]]</f>
        <v>921.6</v>
      </c>
    </row>
    <row r="590" spans="1:44" s="16" customFormat="1" hidden="1" x14ac:dyDescent="0.5">
      <c r="A590" s="3">
        <f t="shared" si="110"/>
        <v>2026</v>
      </c>
      <c r="B590" s="8">
        <f t="shared" si="111"/>
        <v>2</v>
      </c>
      <c r="C590" s="6">
        <v>46060</v>
      </c>
      <c r="D590" s="15">
        <f t="shared" ca="1" si="112"/>
        <v>46097</v>
      </c>
      <c r="E590" s="15" t="str">
        <f t="shared" ca="1" si="113"/>
        <v>1-Months</v>
      </c>
      <c r="F590" s="8" t="str">
        <f>VLOOKUP(N590,Stock[#Data],5,FALSE)</f>
        <v>BE</v>
      </c>
      <c r="G590" s="82" t="s">
        <v>1315</v>
      </c>
      <c r="H590" s="15"/>
      <c r="I590" s="7" t="s">
        <v>540</v>
      </c>
      <c r="J590" s="8" t="str">
        <f>VLOOKUP(I590,Customers[#Data],2,FALSE)</f>
        <v>ကိုမွန်လေး</v>
      </c>
      <c r="K590" s="15" t="str">
        <f>VLOOKUP(I590,Customers[#Data],4,FALSE)</f>
        <v>Yay</v>
      </c>
      <c r="L590" s="15" t="str">
        <f>VLOOKUP(I590,Customers[#Data],5,FALSE)</f>
        <v>SemiWholeSales</v>
      </c>
      <c r="M590" s="7" t="s">
        <v>6</v>
      </c>
      <c r="N590" s="7" t="s">
        <v>514</v>
      </c>
      <c r="O590" s="14" t="str">
        <f>VLOOKUP(N590,Stock[#Data],2,FALSE)</f>
        <v>ဇေယျဝတီ Red</v>
      </c>
      <c r="P590" s="44">
        <f>VLOOKUP(N590,Stock[#Data],3,FALSE)</f>
        <v>0.64</v>
      </c>
      <c r="Q590" s="3">
        <f>VLOOKUP(N590,Stock[#Data],4,FALSE)</f>
        <v>14</v>
      </c>
      <c r="R590" s="11"/>
      <c r="S590" s="45">
        <f>IFERROR(Table4[[#This Row],[Bottle]]/Table4[[#This Row],[ပါဝင်မှု]]+Table4[[#This Row],[SalesPK]],0)</f>
        <v>50</v>
      </c>
      <c r="T590" s="12">
        <v>50</v>
      </c>
      <c r="U590" s="10">
        <f>Table4[[#This Row],[ပါဝင်မှု]]*Table4[[#This Row],[SalesPK]]+Table4[[#This Row],[Bottle]]</f>
        <v>700</v>
      </c>
      <c r="V590" s="10">
        <f>Table4[[#This Row],[SalesBot]]*Table4[[#This Row],[ML]]</f>
        <v>448</v>
      </c>
      <c r="W590" s="1">
        <f>VLOOKUP(N590,Stock[#Data],6,FALSE)</f>
        <v>1350</v>
      </c>
      <c r="X590" s="8">
        <f>+Table4[[#This Row],[SalesBot]]*Table4[[#This Row],[နှုံး]]</f>
        <v>945000</v>
      </c>
      <c r="Y590" s="12"/>
      <c r="Z590" s="12"/>
      <c r="AA590" s="12"/>
      <c r="AB590" s="9"/>
      <c r="AC590" s="12"/>
      <c r="AD590" s="9"/>
      <c r="AE590" s="12"/>
      <c r="AF59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590" s="24"/>
      <c r="AH590" s="266">
        <f>Table4[[#This Row],[Date]]</f>
        <v>46060</v>
      </c>
      <c r="AI590" s="264" t="str">
        <f t="shared" si="100"/>
        <v>Feb</v>
      </c>
      <c r="AJ590" s="264" t="str">
        <f t="shared" si="101"/>
        <v>2026</v>
      </c>
      <c r="AK590" s="270" t="str">
        <f>Table4[[#This Row],[ကုန်သည်အမည်]]</f>
        <v>ကိုမွန်လေး</v>
      </c>
      <c r="AL590" s="270" t="str">
        <f>Table4[[#This Row],[Township]]</f>
        <v>Yay</v>
      </c>
      <c r="AM590" s="271" t="str">
        <f>Table4[[#This Row],[WholeSales]]</f>
        <v>SemiWholeSales</v>
      </c>
      <c r="AN590" s="272" t="str">
        <f>Table4[[#This Row],[Particular]]</f>
        <v>ကုန်ရောင်း(လက်ငင်း)</v>
      </c>
      <c r="AO590" s="273" t="str">
        <f>Table4[[#This Row],[StockName]]</f>
        <v>ဇေယျဝတီ Red</v>
      </c>
      <c r="AP590" s="268">
        <f>Table4[[#This Row],[Parking]]</f>
        <v>50</v>
      </c>
      <c r="AQ590" s="268">
        <f>Table4[[#This Row],[SalesBot]]</f>
        <v>700</v>
      </c>
      <c r="AR590" s="268">
        <f>Table4[[#This Row],[Liter]]</f>
        <v>448</v>
      </c>
    </row>
    <row r="591" spans="1:44" s="16" customFormat="1" hidden="1" x14ac:dyDescent="0.5">
      <c r="A591" s="3">
        <f t="shared" si="110"/>
        <v>2026</v>
      </c>
      <c r="B591" s="8">
        <f t="shared" si="111"/>
        <v>2</v>
      </c>
      <c r="C591" s="6">
        <v>46060</v>
      </c>
      <c r="D591" s="15">
        <f t="shared" ca="1" si="112"/>
        <v>46097</v>
      </c>
      <c r="E591" s="15" t="str">
        <f t="shared" ca="1" si="113"/>
        <v>1-Months</v>
      </c>
      <c r="F591" s="8" t="str">
        <f>VLOOKUP(N591,Stock[#Data],5,FALSE)</f>
        <v>BE</v>
      </c>
      <c r="G591" s="82" t="s">
        <v>1315</v>
      </c>
      <c r="H591" s="15"/>
      <c r="I591" s="7" t="s">
        <v>540</v>
      </c>
      <c r="J591" s="8" t="str">
        <f>VLOOKUP(I591,Customers[#Data],2,FALSE)</f>
        <v>ကိုမွန်လေး</v>
      </c>
      <c r="K591" s="15" t="str">
        <f>VLOOKUP(I591,Customers[#Data],4,FALSE)</f>
        <v>Yay</v>
      </c>
      <c r="L591" s="15" t="str">
        <f>VLOOKUP(I591,Customers[#Data],5,FALSE)</f>
        <v>SemiWholeSales</v>
      </c>
      <c r="M591" s="7" t="s">
        <v>6</v>
      </c>
      <c r="N591" s="7" t="s">
        <v>517</v>
      </c>
      <c r="O591" s="14" t="str">
        <f>VLOOKUP(N591,Stock[#Data],2,FALSE)</f>
        <v>ဇေယျဝတီ Red (1 Liter) 30%</v>
      </c>
      <c r="P591" s="44">
        <f>VLOOKUP(N591,Stock[#Data],3,FALSE)</f>
        <v>1</v>
      </c>
      <c r="Q591" s="3">
        <f>VLOOKUP(N591,Stock[#Data],4,FALSE)</f>
        <v>12</v>
      </c>
      <c r="R591" s="11"/>
      <c r="S591" s="45">
        <f>IFERROR(Table4[[#This Row],[Bottle]]/Table4[[#This Row],[ပါဝင်မှု]]+Table4[[#This Row],[SalesPK]],0)</f>
        <v>50</v>
      </c>
      <c r="T591" s="12">
        <v>50</v>
      </c>
      <c r="U591" s="10">
        <f>Table4[[#This Row],[ပါဝင်မှု]]*Table4[[#This Row],[SalesPK]]+Table4[[#This Row],[Bottle]]</f>
        <v>600</v>
      </c>
      <c r="V591" s="10">
        <f>Table4[[#This Row],[SalesBot]]*Table4[[#This Row],[ML]]</f>
        <v>600</v>
      </c>
      <c r="W591" s="1">
        <f>VLOOKUP(N591,Stock[#Data],6,FALSE)</f>
        <v>1710</v>
      </c>
      <c r="X591" s="8">
        <f>+Table4[[#This Row],[SalesBot]]*Table4[[#This Row],[နှုံး]]</f>
        <v>1026000</v>
      </c>
      <c r="Y591" s="12"/>
      <c r="Z591" s="12"/>
      <c r="AA591" s="12"/>
      <c r="AB591" s="9"/>
      <c r="AC591" s="12"/>
      <c r="AD591" s="9"/>
      <c r="AE591" s="12"/>
      <c r="AF59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591" s="24"/>
      <c r="AH591" s="266">
        <f>Table4[[#This Row],[Date]]</f>
        <v>46060</v>
      </c>
      <c r="AI591" s="264" t="str">
        <f t="shared" si="100"/>
        <v>Feb</v>
      </c>
      <c r="AJ591" s="264" t="str">
        <f t="shared" si="101"/>
        <v>2026</v>
      </c>
      <c r="AK591" s="270" t="str">
        <f>Table4[[#This Row],[ကုန်သည်အမည်]]</f>
        <v>ကိုမွန်လေး</v>
      </c>
      <c r="AL591" s="270" t="str">
        <f>Table4[[#This Row],[Township]]</f>
        <v>Yay</v>
      </c>
      <c r="AM591" s="271" t="str">
        <f>Table4[[#This Row],[WholeSales]]</f>
        <v>SemiWholeSales</v>
      </c>
      <c r="AN591" s="272" t="str">
        <f>Table4[[#This Row],[Particular]]</f>
        <v>ကုန်ရောင်း(လက်ငင်း)</v>
      </c>
      <c r="AO591" s="273" t="str">
        <f>Table4[[#This Row],[StockName]]</f>
        <v>ဇေယျဝတီ Red (1 Liter) 30%</v>
      </c>
      <c r="AP591" s="268">
        <f>Table4[[#This Row],[Parking]]</f>
        <v>50</v>
      </c>
      <c r="AQ591" s="268">
        <f>Table4[[#This Row],[SalesBot]]</f>
        <v>600</v>
      </c>
      <c r="AR591" s="268">
        <f>Table4[[#This Row],[Liter]]</f>
        <v>600</v>
      </c>
    </row>
    <row r="592" spans="1:44" s="16" customFormat="1" hidden="1" x14ac:dyDescent="0.5">
      <c r="A592" s="3">
        <f t="shared" si="110"/>
        <v>2026</v>
      </c>
      <c r="B592" s="8">
        <f t="shared" si="111"/>
        <v>2</v>
      </c>
      <c r="C592" s="6">
        <v>46060</v>
      </c>
      <c r="D592" s="15">
        <f t="shared" ca="1" si="112"/>
        <v>46097</v>
      </c>
      <c r="E592" s="15" t="str">
        <f t="shared" ca="1" si="113"/>
        <v>1-Months</v>
      </c>
      <c r="F592" s="8" t="str">
        <f>VLOOKUP(N592,Stock[#Data],5,FALSE)</f>
        <v>BE</v>
      </c>
      <c r="G592" s="82" t="s">
        <v>1315</v>
      </c>
      <c r="H592" s="15"/>
      <c r="I592" s="7" t="s">
        <v>106</v>
      </c>
      <c r="J592" s="8" t="str">
        <f>VLOOKUP(I592,Customers[#Data],2,FALSE)</f>
        <v>ကိုမျိုးအောင်</v>
      </c>
      <c r="K592" s="15" t="str">
        <f>VLOOKUP(I592,Customers[#Data],4,FALSE)</f>
        <v>Maw La Myaing</v>
      </c>
      <c r="L592" s="15" t="str">
        <f>VLOOKUP(I592,Customers[#Data],5,FALSE)</f>
        <v>WholeSales</v>
      </c>
      <c r="M592" s="7" t="s">
        <v>6</v>
      </c>
      <c r="N592" s="7" t="s">
        <v>517</v>
      </c>
      <c r="O592" s="14" t="str">
        <f>VLOOKUP(N592,Stock[#Data],2,FALSE)</f>
        <v>ဇေယျဝတီ Red (1 Liter) 30%</v>
      </c>
      <c r="P592" s="44">
        <f>VLOOKUP(N592,Stock[#Data],3,FALSE)</f>
        <v>1</v>
      </c>
      <c r="Q592" s="3">
        <f>VLOOKUP(N592,Stock[#Data],4,FALSE)</f>
        <v>12</v>
      </c>
      <c r="R592" s="11"/>
      <c r="S592" s="45">
        <f>IFERROR(Table4[[#This Row],[Bottle]]/Table4[[#This Row],[ပါဝင်မှု]]+Table4[[#This Row],[SalesPK]],0)</f>
        <v>20</v>
      </c>
      <c r="T592" s="12">
        <v>20</v>
      </c>
      <c r="U592" s="10">
        <f>Table4[[#This Row],[ပါဝင်မှု]]*Table4[[#This Row],[SalesPK]]+Table4[[#This Row],[Bottle]]</f>
        <v>240</v>
      </c>
      <c r="V592" s="10">
        <f>Table4[[#This Row],[SalesBot]]*Table4[[#This Row],[ML]]</f>
        <v>240</v>
      </c>
      <c r="W592" s="1">
        <f>VLOOKUP(N592,Stock[#Data],6,FALSE)</f>
        <v>1710</v>
      </c>
      <c r="X592" s="8">
        <f>+Table4[[#This Row],[SalesBot]]*Table4[[#This Row],[နှုံး]]</f>
        <v>410400</v>
      </c>
      <c r="Y592" s="12"/>
      <c r="Z592" s="12"/>
      <c r="AA592" s="12"/>
      <c r="AB592" s="9"/>
      <c r="AC592" s="12"/>
      <c r="AD592" s="9"/>
      <c r="AE592" s="12"/>
      <c r="AF59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410400</v>
      </c>
      <c r="AG592" s="24"/>
      <c r="AH592" s="266">
        <f>Table4[[#This Row],[Date]]</f>
        <v>46060</v>
      </c>
      <c r="AI592" s="264" t="str">
        <f t="shared" si="100"/>
        <v>Feb</v>
      </c>
      <c r="AJ592" s="264" t="str">
        <f t="shared" si="101"/>
        <v>2026</v>
      </c>
      <c r="AK592" s="270" t="str">
        <f>Table4[[#This Row],[ကုန်သည်အမည်]]</f>
        <v>ကိုမျိုးအောင်</v>
      </c>
      <c r="AL592" s="270" t="str">
        <f>Table4[[#This Row],[Township]]</f>
        <v>Maw La Myaing</v>
      </c>
      <c r="AM592" s="271" t="str">
        <f>Table4[[#This Row],[WholeSales]]</f>
        <v>WholeSales</v>
      </c>
      <c r="AN592" s="272" t="str">
        <f>Table4[[#This Row],[Particular]]</f>
        <v>ကုန်ရောင်း(လက်ငင်း)</v>
      </c>
      <c r="AO592" s="273" t="str">
        <f>Table4[[#This Row],[StockName]]</f>
        <v>ဇေယျဝတီ Red (1 Liter) 30%</v>
      </c>
      <c r="AP592" s="268">
        <f>Table4[[#This Row],[Parking]]</f>
        <v>20</v>
      </c>
      <c r="AQ592" s="268">
        <f>Table4[[#This Row],[SalesBot]]</f>
        <v>240</v>
      </c>
      <c r="AR592" s="268">
        <f>Table4[[#This Row],[Liter]]</f>
        <v>240</v>
      </c>
    </row>
    <row r="593" spans="1:44" s="16" customFormat="1" hidden="1" x14ac:dyDescent="0.5">
      <c r="A593" s="3">
        <f t="shared" si="110"/>
        <v>2026</v>
      </c>
      <c r="B593" s="8">
        <f t="shared" si="111"/>
        <v>2</v>
      </c>
      <c r="C593" s="6">
        <v>46060</v>
      </c>
      <c r="D593" s="15">
        <f t="shared" ca="1" si="112"/>
        <v>46097</v>
      </c>
      <c r="E593" s="15" t="str">
        <f t="shared" ca="1" si="113"/>
        <v>1-Months</v>
      </c>
      <c r="F593" s="8" t="str">
        <f>VLOOKUP(N593,Stock[#Data],5,FALSE)</f>
        <v>BE</v>
      </c>
      <c r="G593" s="82" t="s">
        <v>1315</v>
      </c>
      <c r="H593" s="15"/>
      <c r="I593" s="7" t="s">
        <v>546</v>
      </c>
      <c r="J593" s="8" t="str">
        <f>VLOOKUP(I593,Customers[#Data],2,FALSE)</f>
        <v>မသီတာ၀င်း</v>
      </c>
      <c r="K593" s="15" t="str">
        <f>VLOOKUP(I593,Customers[#Data],4,FALSE)</f>
        <v>Mudon</v>
      </c>
      <c r="L593" s="15" t="str">
        <f>VLOOKUP(I593,Customers[#Data],5,FALSE)</f>
        <v>SemiWholeSales</v>
      </c>
      <c r="M593" s="7" t="s">
        <v>6</v>
      </c>
      <c r="N593" s="7" t="s">
        <v>520</v>
      </c>
      <c r="O593" s="14" t="str">
        <f>VLOOKUP(N593,Stock[#Data],2,FALSE)</f>
        <v>ဇေယျဝတီ  Red(ပု)</v>
      </c>
      <c r="P593" s="44">
        <f>VLOOKUP(N593,Stock[#Data],3,FALSE)</f>
        <v>0.64</v>
      </c>
      <c r="Q593" s="3">
        <f>VLOOKUP(N593,Stock[#Data],4,FALSE)</f>
        <v>14</v>
      </c>
      <c r="R593" s="11"/>
      <c r="S593" s="45">
        <f>IFERROR(Table4[[#This Row],[Bottle]]/Table4[[#This Row],[ပါဝင်မှု]]+Table4[[#This Row],[SalesPK]],0)</f>
        <v>50</v>
      </c>
      <c r="T593" s="12">
        <v>50</v>
      </c>
      <c r="U593" s="10">
        <f>Table4[[#This Row],[ပါဝင်မှု]]*Table4[[#This Row],[SalesPK]]+Table4[[#This Row],[Bottle]]</f>
        <v>700</v>
      </c>
      <c r="V593" s="10">
        <f>Table4[[#This Row],[SalesBot]]*Table4[[#This Row],[ML]]</f>
        <v>448</v>
      </c>
      <c r="W593" s="1">
        <f>VLOOKUP(N593,Stock[#Data],6,FALSE)</f>
        <v>1800</v>
      </c>
      <c r="X593" s="8">
        <f>+Table4[[#This Row],[SalesBot]]*Table4[[#This Row],[နှုံး]]</f>
        <v>1260000</v>
      </c>
      <c r="Y593" s="12"/>
      <c r="Z593" s="12"/>
      <c r="AA593" s="12"/>
      <c r="AB593" s="9"/>
      <c r="AC593" s="12"/>
      <c r="AD593" s="9"/>
      <c r="AE593" s="12"/>
      <c r="AF59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593" s="24"/>
      <c r="AH593" s="266">
        <f>Table4[[#This Row],[Date]]</f>
        <v>46060</v>
      </c>
      <c r="AI593" s="264" t="str">
        <f t="shared" si="100"/>
        <v>Feb</v>
      </c>
      <c r="AJ593" s="264" t="str">
        <f t="shared" si="101"/>
        <v>2026</v>
      </c>
      <c r="AK593" s="270" t="str">
        <f>Table4[[#This Row],[ကုန်သည်အမည်]]</f>
        <v>မသီတာ၀င်း</v>
      </c>
      <c r="AL593" s="270" t="str">
        <f>Table4[[#This Row],[Township]]</f>
        <v>Mudon</v>
      </c>
      <c r="AM593" s="271" t="str">
        <f>Table4[[#This Row],[WholeSales]]</f>
        <v>SemiWholeSales</v>
      </c>
      <c r="AN593" s="272" t="str">
        <f>Table4[[#This Row],[Particular]]</f>
        <v>ကုန်ရောင်း(လက်ငင်း)</v>
      </c>
      <c r="AO593" s="273" t="str">
        <f>Table4[[#This Row],[StockName]]</f>
        <v>ဇေယျဝတီ  Red(ပု)</v>
      </c>
      <c r="AP593" s="268">
        <f>Table4[[#This Row],[Parking]]</f>
        <v>50</v>
      </c>
      <c r="AQ593" s="268">
        <f>Table4[[#This Row],[SalesBot]]</f>
        <v>700</v>
      </c>
      <c r="AR593" s="268">
        <f>Table4[[#This Row],[Liter]]</f>
        <v>448</v>
      </c>
    </row>
    <row r="594" spans="1:44" s="16" customFormat="1" hidden="1" x14ac:dyDescent="0.5">
      <c r="A594" s="3">
        <f t="shared" si="110"/>
        <v>2026</v>
      </c>
      <c r="B594" s="8">
        <f t="shared" si="111"/>
        <v>2</v>
      </c>
      <c r="C594" s="6">
        <v>46060</v>
      </c>
      <c r="D594" s="15">
        <f t="shared" ca="1" si="112"/>
        <v>46097</v>
      </c>
      <c r="E594" s="15" t="str">
        <f t="shared" ca="1" si="113"/>
        <v>1-Months</v>
      </c>
      <c r="F594" s="8" t="str">
        <f>VLOOKUP(N594,Stock[#Data],5,FALSE)</f>
        <v>BE</v>
      </c>
      <c r="G594" s="82" t="s">
        <v>1316</v>
      </c>
      <c r="H594" s="15"/>
      <c r="I594" s="7" t="s">
        <v>535</v>
      </c>
      <c r="J594" s="8" t="str">
        <f>VLOOKUP(I594,Customers[#Data],2,FALSE)</f>
        <v>ကိုရဲ</v>
      </c>
      <c r="K594" s="15" t="str">
        <f>VLOOKUP(I594,Customers[#Data],4,FALSE)</f>
        <v>Yay</v>
      </c>
      <c r="L594" s="15" t="str">
        <f>VLOOKUP(I594,Customers[#Data],5,FALSE)</f>
        <v>Van Sales</v>
      </c>
      <c r="M594" s="7" t="s">
        <v>6</v>
      </c>
      <c r="N594" s="7" t="s">
        <v>517</v>
      </c>
      <c r="O594" s="14" t="str">
        <f>VLOOKUP(N594,Stock[#Data],2,FALSE)</f>
        <v>ဇေယျဝတီ Red (1 Liter) 30%</v>
      </c>
      <c r="P594" s="44">
        <f>VLOOKUP(N594,Stock[#Data],3,FALSE)</f>
        <v>1</v>
      </c>
      <c r="Q594" s="3">
        <f>VLOOKUP(N594,Stock[#Data],4,FALSE)</f>
        <v>12</v>
      </c>
      <c r="R594" s="11"/>
      <c r="S594" s="45">
        <f>IFERROR(Table4[[#This Row],[Bottle]]/Table4[[#This Row],[ပါဝင်မှု]]+Table4[[#This Row],[SalesPK]],0)</f>
        <v>50</v>
      </c>
      <c r="T594" s="12">
        <v>50</v>
      </c>
      <c r="U594" s="10">
        <f>Table4[[#This Row],[ပါဝင်မှု]]*Table4[[#This Row],[SalesPK]]+Table4[[#This Row],[Bottle]]</f>
        <v>600</v>
      </c>
      <c r="V594" s="10">
        <f>Table4[[#This Row],[SalesBot]]*Table4[[#This Row],[ML]]</f>
        <v>600</v>
      </c>
      <c r="W594" s="1">
        <f>VLOOKUP(N594,Stock[#Data],6,FALSE)</f>
        <v>1710</v>
      </c>
      <c r="X594" s="8">
        <f>+Table4[[#This Row],[SalesBot]]*Table4[[#This Row],[နှုံး]]</f>
        <v>1026000</v>
      </c>
      <c r="Y594" s="12"/>
      <c r="Z594" s="12"/>
      <c r="AA594" s="12"/>
      <c r="AB594" s="9"/>
      <c r="AC594" s="12"/>
      <c r="AD594" s="9"/>
      <c r="AE594" s="12"/>
      <c r="AF59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594" s="24"/>
      <c r="AH594" s="266">
        <f>Table4[[#This Row],[Date]]</f>
        <v>46060</v>
      </c>
      <c r="AI594" s="264" t="str">
        <f t="shared" si="100"/>
        <v>Feb</v>
      </c>
      <c r="AJ594" s="264" t="str">
        <f t="shared" si="101"/>
        <v>2026</v>
      </c>
      <c r="AK594" s="270" t="str">
        <f>Table4[[#This Row],[ကုန်သည်အမည်]]</f>
        <v>ကိုရဲ</v>
      </c>
      <c r="AL594" s="270" t="str">
        <f>Table4[[#This Row],[Township]]</f>
        <v>Yay</v>
      </c>
      <c r="AM594" s="271" t="str">
        <f>Table4[[#This Row],[WholeSales]]</f>
        <v>Van Sales</v>
      </c>
      <c r="AN594" s="272" t="str">
        <f>Table4[[#This Row],[Particular]]</f>
        <v>ကုန်ရောင်း(လက်ငင်း)</v>
      </c>
      <c r="AO594" s="273" t="str">
        <f>Table4[[#This Row],[StockName]]</f>
        <v>ဇေယျဝတီ Red (1 Liter) 30%</v>
      </c>
      <c r="AP594" s="268">
        <f>Table4[[#This Row],[Parking]]</f>
        <v>50</v>
      </c>
      <c r="AQ594" s="268">
        <f>Table4[[#This Row],[SalesBot]]</f>
        <v>600</v>
      </c>
      <c r="AR594" s="268">
        <f>Table4[[#This Row],[Liter]]</f>
        <v>600</v>
      </c>
    </row>
    <row r="595" spans="1:44" s="16" customFormat="1" hidden="1" x14ac:dyDescent="0.5">
      <c r="A595" s="3">
        <f t="shared" si="110"/>
        <v>2026</v>
      </c>
      <c r="B595" s="8">
        <f t="shared" si="111"/>
        <v>2</v>
      </c>
      <c r="C595" s="6">
        <v>46060</v>
      </c>
      <c r="D595" s="15">
        <f t="shared" ca="1" si="112"/>
        <v>46097</v>
      </c>
      <c r="E595" s="15" t="str">
        <f t="shared" ca="1" si="113"/>
        <v>1-Months</v>
      </c>
      <c r="F595" s="8" t="str">
        <f>VLOOKUP(N595,Stock[#Data],5,FALSE)</f>
        <v>BE</v>
      </c>
      <c r="G595" s="82" t="s">
        <v>1317</v>
      </c>
      <c r="H595" s="15"/>
      <c r="I595" s="7" t="s">
        <v>77</v>
      </c>
      <c r="J595" s="8" t="str">
        <f>VLOOKUP(I595,Customers[#Data],2,FALSE)</f>
        <v>KP</v>
      </c>
      <c r="K595" s="15" t="str">
        <f>VLOOKUP(I595,Customers[#Data],4,FALSE)</f>
        <v>Maw La Myaing</v>
      </c>
      <c r="L595" s="15" t="str">
        <f>VLOOKUP(I595,Customers[#Data],5,FALSE)</f>
        <v>SemiWholeSales</v>
      </c>
      <c r="M595" s="7" t="s">
        <v>6</v>
      </c>
      <c r="N595" s="7" t="s">
        <v>518</v>
      </c>
      <c r="O595" s="14" t="str">
        <f>VLOOKUP(N595,Stock[#Data],2,FALSE)</f>
        <v>"ဇေ" ကော်ဘူး (1 Liter)</v>
      </c>
      <c r="P595" s="44">
        <f>VLOOKUP(N595,Stock[#Data],3,FALSE)</f>
        <v>1</v>
      </c>
      <c r="Q595" s="3">
        <f>VLOOKUP(N595,Stock[#Data],4,FALSE)</f>
        <v>12</v>
      </c>
      <c r="R595" s="11"/>
      <c r="S595" s="45">
        <f>IFERROR(Table4[[#This Row],[Bottle]]/Table4[[#This Row],[ပါဝင်မှု]]+Table4[[#This Row],[SalesPK]],0)</f>
        <v>4</v>
      </c>
      <c r="T595" s="12">
        <v>4</v>
      </c>
      <c r="U595" s="10">
        <f>Table4[[#This Row],[ပါဝင်မှု]]*Table4[[#This Row],[SalesPK]]+Table4[[#This Row],[Bottle]]</f>
        <v>48</v>
      </c>
      <c r="V595" s="10">
        <f>Table4[[#This Row],[SalesBot]]*Table4[[#This Row],[ML]]</f>
        <v>48</v>
      </c>
      <c r="W595" s="1">
        <f>VLOOKUP(N595,Stock[#Data],6,FALSE)</f>
        <v>1675</v>
      </c>
      <c r="X595" s="8">
        <f>+Table4[[#This Row],[SalesBot]]*Table4[[#This Row],[နှုံး]]</f>
        <v>80400</v>
      </c>
      <c r="Y595" s="12"/>
      <c r="Z595" s="12"/>
      <c r="AA595" s="12"/>
      <c r="AB595" s="9"/>
      <c r="AC595" s="12"/>
      <c r="AD595" s="9"/>
      <c r="AE595" s="12"/>
      <c r="AF59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80400</v>
      </c>
      <c r="AG595" s="24"/>
      <c r="AH595" s="266">
        <f>Table4[[#This Row],[Date]]</f>
        <v>46060</v>
      </c>
      <c r="AI595" s="264" t="str">
        <f t="shared" si="100"/>
        <v>Feb</v>
      </c>
      <c r="AJ595" s="264" t="str">
        <f t="shared" si="101"/>
        <v>2026</v>
      </c>
      <c r="AK595" s="270" t="str">
        <f>Table4[[#This Row],[ကုန်သည်အမည်]]</f>
        <v>KP</v>
      </c>
      <c r="AL595" s="270" t="str">
        <f>Table4[[#This Row],[Township]]</f>
        <v>Maw La Myaing</v>
      </c>
      <c r="AM595" s="271" t="str">
        <f>Table4[[#This Row],[WholeSales]]</f>
        <v>SemiWholeSales</v>
      </c>
      <c r="AN595" s="272" t="str">
        <f>Table4[[#This Row],[Particular]]</f>
        <v>ကုန်ရောင်း(လက်ငင်း)</v>
      </c>
      <c r="AO595" s="273" t="str">
        <f>Table4[[#This Row],[StockName]]</f>
        <v>"ဇေ" ကော်ဘူး (1 Liter)</v>
      </c>
      <c r="AP595" s="268">
        <f>Table4[[#This Row],[Parking]]</f>
        <v>4</v>
      </c>
      <c r="AQ595" s="268">
        <f>Table4[[#This Row],[SalesBot]]</f>
        <v>48</v>
      </c>
      <c r="AR595" s="268">
        <f>Table4[[#This Row],[Liter]]</f>
        <v>48</v>
      </c>
    </row>
    <row r="596" spans="1:44" s="16" customFormat="1" hidden="1" x14ac:dyDescent="0.5">
      <c r="A596" s="3">
        <f t="shared" si="110"/>
        <v>2026</v>
      </c>
      <c r="B596" s="8">
        <f t="shared" si="111"/>
        <v>2</v>
      </c>
      <c r="C596" s="6">
        <v>46060</v>
      </c>
      <c r="D596" s="15">
        <f t="shared" ca="1" si="112"/>
        <v>46097</v>
      </c>
      <c r="E596" s="15" t="str">
        <f t="shared" ca="1" si="113"/>
        <v>1-Months</v>
      </c>
      <c r="F596" s="8" t="str">
        <f>VLOOKUP(N596,Stock[#Data],5,FALSE)</f>
        <v>BE</v>
      </c>
      <c r="G596" s="82" t="s">
        <v>1317</v>
      </c>
      <c r="H596" s="15"/>
      <c r="I596" s="7" t="s">
        <v>77</v>
      </c>
      <c r="J596" s="8" t="str">
        <f>VLOOKUP(I596,Customers[#Data],2,FALSE)</f>
        <v>KP</v>
      </c>
      <c r="K596" s="15" t="str">
        <f>VLOOKUP(I596,Customers[#Data],4,FALSE)</f>
        <v>Maw La Myaing</v>
      </c>
      <c r="L596" s="15" t="str">
        <f>VLOOKUP(I596,Customers[#Data],5,FALSE)</f>
        <v>SemiWholeSales</v>
      </c>
      <c r="M596" s="7" t="s">
        <v>9</v>
      </c>
      <c r="N596" s="7" t="s">
        <v>518</v>
      </c>
      <c r="O596" s="14" t="str">
        <f>VLOOKUP(N596,Stock[#Data],2,FALSE)</f>
        <v>"ဇေ" ကော်ဘူး (1 Liter)</v>
      </c>
      <c r="P596" s="44">
        <f>VLOOKUP(N596,Stock[#Data],3,FALSE)</f>
        <v>1</v>
      </c>
      <c r="Q596" s="3">
        <f>VLOOKUP(N596,Stock[#Data],4,FALSE)</f>
        <v>12</v>
      </c>
      <c r="R596" s="11">
        <v>1</v>
      </c>
      <c r="S596" s="45">
        <f>IFERROR(Table4[[#This Row],[Bottle]]/Table4[[#This Row],[ပါဝင်မှု]]+Table4[[#This Row],[SalesPK]],0)</f>
        <v>8.3333333333333329E-2</v>
      </c>
      <c r="T596" s="12"/>
      <c r="U596" s="10">
        <f>Table4[[#This Row],[ပါဝင်မှု]]*Table4[[#This Row],[SalesPK]]+Table4[[#This Row],[Bottle]]</f>
        <v>1</v>
      </c>
      <c r="V596" s="10">
        <f>Table4[[#This Row],[SalesBot]]*Table4[[#This Row],[ML]]</f>
        <v>1</v>
      </c>
      <c r="W596" s="1">
        <f>VLOOKUP(N596,Stock[#Data],6,FALSE)</f>
        <v>1675</v>
      </c>
      <c r="X596" s="8">
        <f>+Table4[[#This Row],[SalesBot]]*Table4[[#This Row],[နှုံး]]</f>
        <v>1675</v>
      </c>
      <c r="Y596" s="12"/>
      <c r="Z596" s="12"/>
      <c r="AA596" s="12"/>
      <c r="AB596" s="9"/>
      <c r="AC596" s="12"/>
      <c r="AD596" s="9"/>
      <c r="AE596" s="12"/>
      <c r="AF59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1675</v>
      </c>
      <c r="AG596" s="24"/>
      <c r="AH596" s="266">
        <f>Table4[[#This Row],[Date]]</f>
        <v>46060</v>
      </c>
      <c r="AI596" s="264" t="str">
        <f t="shared" si="100"/>
        <v>Feb</v>
      </c>
      <c r="AJ596" s="264" t="str">
        <f t="shared" si="101"/>
        <v>2026</v>
      </c>
      <c r="AK596" s="270" t="str">
        <f>Table4[[#This Row],[ကုန်သည်အမည်]]</f>
        <v>KP</v>
      </c>
      <c r="AL596" s="270" t="str">
        <f>Table4[[#This Row],[Township]]</f>
        <v>Maw La Myaing</v>
      </c>
      <c r="AM596" s="271" t="str">
        <f>Table4[[#This Row],[WholeSales]]</f>
        <v>SemiWholeSales</v>
      </c>
      <c r="AN596" s="272" t="str">
        <f>Table4[[#This Row],[Particular]]</f>
        <v>လက်ဆောင်</v>
      </c>
      <c r="AO596" s="273" t="str">
        <f>Table4[[#This Row],[StockName]]</f>
        <v>"ဇေ" ကော်ဘူး (1 Liter)</v>
      </c>
      <c r="AP596" s="268">
        <f>Table4[[#This Row],[Parking]]</f>
        <v>8.3333333333333329E-2</v>
      </c>
      <c r="AQ596" s="268">
        <f>Table4[[#This Row],[SalesBot]]</f>
        <v>1</v>
      </c>
      <c r="AR596" s="268">
        <f>Table4[[#This Row],[Liter]]</f>
        <v>1</v>
      </c>
    </row>
    <row r="597" spans="1:44" s="16" customFormat="1" hidden="1" x14ac:dyDescent="0.5">
      <c r="A597" s="3">
        <f t="shared" si="110"/>
        <v>2026</v>
      </c>
      <c r="B597" s="8">
        <f t="shared" si="111"/>
        <v>2</v>
      </c>
      <c r="C597" s="6">
        <v>46062</v>
      </c>
      <c r="D597" s="15">
        <f t="shared" ca="1" si="112"/>
        <v>46097</v>
      </c>
      <c r="E597" s="15" t="str">
        <f t="shared" ca="1" si="113"/>
        <v>1-Months</v>
      </c>
      <c r="F597" s="8" t="str">
        <f>VLOOKUP(N597,Stock[#Data],5,FALSE)</f>
        <v>BE</v>
      </c>
      <c r="G597" s="82" t="s">
        <v>1318</v>
      </c>
      <c r="H597" s="15" t="s">
        <v>439</v>
      </c>
      <c r="I597" s="7" t="s">
        <v>114</v>
      </c>
      <c r="J597" s="8" t="str">
        <f>VLOOKUP(I597,Customers[#Data],2,FALSE)</f>
        <v>ကိုမောင်လေး</v>
      </c>
      <c r="K597" s="15" t="str">
        <f>VLOOKUP(I597,Customers[#Data],4,FALSE)</f>
        <v>Than Phyu ZaYat</v>
      </c>
      <c r="L597" s="15" t="str">
        <f>VLOOKUP(I597,Customers[#Data],5,FALSE)</f>
        <v>Van Sales</v>
      </c>
      <c r="M597" s="7" t="s">
        <v>6</v>
      </c>
      <c r="N597" s="7" t="s">
        <v>520</v>
      </c>
      <c r="O597" s="14" t="str">
        <f>VLOOKUP(N597,Stock[#Data],2,FALSE)</f>
        <v>ဇေယျဝတီ  Red(ပု)</v>
      </c>
      <c r="P597" s="44">
        <f>VLOOKUP(N597,Stock[#Data],3,FALSE)</f>
        <v>0.64</v>
      </c>
      <c r="Q597" s="3">
        <f>VLOOKUP(N597,Stock[#Data],4,FALSE)</f>
        <v>14</v>
      </c>
      <c r="R597" s="11"/>
      <c r="S597" s="45">
        <f>IFERROR(Table4[[#This Row],[Bottle]]/Table4[[#This Row],[ပါဝင်မှု]]+Table4[[#This Row],[SalesPK]],0)</f>
        <v>50</v>
      </c>
      <c r="T597" s="12">
        <v>50</v>
      </c>
      <c r="U597" s="10">
        <f>Table4[[#This Row],[ပါဝင်မှု]]*Table4[[#This Row],[SalesPK]]+Table4[[#This Row],[Bottle]]</f>
        <v>700</v>
      </c>
      <c r="V597" s="10">
        <f>Table4[[#This Row],[SalesBot]]*Table4[[#This Row],[ML]]</f>
        <v>448</v>
      </c>
      <c r="W597" s="1">
        <f>VLOOKUP(N597,Stock[#Data],6,FALSE)</f>
        <v>1800</v>
      </c>
      <c r="X597" s="8">
        <f>+Table4[[#This Row],[SalesBot]]*Table4[[#This Row],[နှုံး]]</f>
        <v>1260000</v>
      </c>
      <c r="Y597" s="12"/>
      <c r="Z597" s="12"/>
      <c r="AA597" s="12"/>
      <c r="AB597" s="9"/>
      <c r="AC597" s="12"/>
      <c r="AD597" s="9"/>
      <c r="AE597" s="12"/>
      <c r="AF59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597" s="24"/>
      <c r="AH597" s="266">
        <f>Table4[[#This Row],[Date]]</f>
        <v>46062</v>
      </c>
      <c r="AI597" s="264" t="str">
        <f t="shared" si="100"/>
        <v>Feb</v>
      </c>
      <c r="AJ597" s="264" t="str">
        <f t="shared" si="101"/>
        <v>2026</v>
      </c>
      <c r="AK597" s="270" t="str">
        <f>Table4[[#This Row],[ကုန်သည်အမည်]]</f>
        <v>ကိုမောင်လေး</v>
      </c>
      <c r="AL597" s="270" t="str">
        <f>Table4[[#This Row],[Township]]</f>
        <v>Than Phyu ZaYat</v>
      </c>
      <c r="AM597" s="271" t="str">
        <f>Table4[[#This Row],[WholeSales]]</f>
        <v>Van Sales</v>
      </c>
      <c r="AN597" s="272" t="str">
        <f>Table4[[#This Row],[Particular]]</f>
        <v>ကုန်ရောင်း(လက်ငင်း)</v>
      </c>
      <c r="AO597" s="273" t="str">
        <f>Table4[[#This Row],[StockName]]</f>
        <v>ဇေယျဝတီ  Red(ပု)</v>
      </c>
      <c r="AP597" s="268">
        <f>Table4[[#This Row],[Parking]]</f>
        <v>50</v>
      </c>
      <c r="AQ597" s="268">
        <f>Table4[[#This Row],[SalesBot]]</f>
        <v>700</v>
      </c>
      <c r="AR597" s="268">
        <f>Table4[[#This Row],[Liter]]</f>
        <v>448</v>
      </c>
    </row>
    <row r="598" spans="1:44" s="16" customFormat="1" hidden="1" x14ac:dyDescent="0.5">
      <c r="A598" s="3">
        <f t="shared" si="110"/>
        <v>2026</v>
      </c>
      <c r="B598" s="8">
        <f t="shared" si="111"/>
        <v>2</v>
      </c>
      <c r="C598" s="6">
        <v>46062</v>
      </c>
      <c r="D598" s="15">
        <f t="shared" ca="1" si="112"/>
        <v>46097</v>
      </c>
      <c r="E598" s="15" t="str">
        <f t="shared" ca="1" si="113"/>
        <v>1-Months</v>
      </c>
      <c r="F598" s="8" t="str">
        <f>VLOOKUP(N598,Stock[#Data],5,FALSE)</f>
        <v>BE</v>
      </c>
      <c r="G598" s="82" t="s">
        <v>1319</v>
      </c>
      <c r="H598" s="15"/>
      <c r="I598" s="7" t="s">
        <v>111</v>
      </c>
      <c r="J598" s="8" t="str">
        <f>VLOOKUP(I598,Customers[#Data],2,FALSE)</f>
        <v>လင်းသစ်</v>
      </c>
      <c r="K598" s="15" t="str">
        <f>VLOOKUP(I598,Customers[#Data],4,FALSE)</f>
        <v>Yay</v>
      </c>
      <c r="L598" s="15" t="str">
        <f>VLOOKUP(I598,Customers[#Data],5,FALSE)</f>
        <v>WholeSales</v>
      </c>
      <c r="M598" s="7" t="s">
        <v>6</v>
      </c>
      <c r="N598" s="7" t="s">
        <v>514</v>
      </c>
      <c r="O598" s="14" t="str">
        <f>VLOOKUP(N598,Stock[#Data],2,FALSE)</f>
        <v>ဇေယျဝတီ Red</v>
      </c>
      <c r="P598" s="44">
        <f>VLOOKUP(N598,Stock[#Data],3,FALSE)</f>
        <v>0.64</v>
      </c>
      <c r="Q598" s="3">
        <f>VLOOKUP(N598,Stock[#Data],4,FALSE)</f>
        <v>14</v>
      </c>
      <c r="R598" s="11"/>
      <c r="S598" s="45">
        <f>IFERROR(Table4[[#This Row],[Bottle]]/Table4[[#This Row],[ပါဝင်မှု]]+Table4[[#This Row],[SalesPK]],0)</f>
        <v>40</v>
      </c>
      <c r="T598" s="12">
        <v>40</v>
      </c>
      <c r="U598" s="10">
        <f>Table4[[#This Row],[ပါဝင်မှု]]*Table4[[#This Row],[SalesPK]]+Table4[[#This Row],[Bottle]]</f>
        <v>560</v>
      </c>
      <c r="V598" s="10">
        <f>Table4[[#This Row],[SalesBot]]*Table4[[#This Row],[ML]]</f>
        <v>358.40000000000003</v>
      </c>
      <c r="W598" s="1">
        <f>VLOOKUP(N598,Stock[#Data],6,FALSE)</f>
        <v>1350</v>
      </c>
      <c r="X598" s="8">
        <f>+Table4[[#This Row],[SalesBot]]*Table4[[#This Row],[နှုံး]]</f>
        <v>756000</v>
      </c>
      <c r="Y598" s="12"/>
      <c r="Z598" s="12"/>
      <c r="AA598" s="12"/>
      <c r="AB598" s="9"/>
      <c r="AC598" s="12"/>
      <c r="AD598" s="9"/>
      <c r="AE598" s="12"/>
      <c r="AF59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756000</v>
      </c>
      <c r="AG598" s="24"/>
      <c r="AH598" s="266">
        <f>Table4[[#This Row],[Date]]</f>
        <v>46062</v>
      </c>
      <c r="AI598" s="264" t="str">
        <f t="shared" si="100"/>
        <v>Feb</v>
      </c>
      <c r="AJ598" s="264" t="str">
        <f t="shared" si="101"/>
        <v>2026</v>
      </c>
      <c r="AK598" s="270" t="str">
        <f>Table4[[#This Row],[ကုန်သည်အမည်]]</f>
        <v>လင်းသစ်</v>
      </c>
      <c r="AL598" s="270" t="str">
        <f>Table4[[#This Row],[Township]]</f>
        <v>Yay</v>
      </c>
      <c r="AM598" s="271" t="str">
        <f>Table4[[#This Row],[WholeSales]]</f>
        <v>WholeSales</v>
      </c>
      <c r="AN598" s="272" t="str">
        <f>Table4[[#This Row],[Particular]]</f>
        <v>ကုန်ရောင်း(လက်ငင်း)</v>
      </c>
      <c r="AO598" s="273" t="str">
        <f>Table4[[#This Row],[StockName]]</f>
        <v>ဇေယျဝတီ Red</v>
      </c>
      <c r="AP598" s="268">
        <f>Table4[[#This Row],[Parking]]</f>
        <v>40</v>
      </c>
      <c r="AQ598" s="268">
        <f>Table4[[#This Row],[SalesBot]]</f>
        <v>560</v>
      </c>
      <c r="AR598" s="268">
        <f>Table4[[#This Row],[Liter]]</f>
        <v>358.40000000000003</v>
      </c>
    </row>
    <row r="599" spans="1:44" s="16" customFormat="1" hidden="1" x14ac:dyDescent="0.5">
      <c r="A599" s="3">
        <f t="shared" si="110"/>
        <v>2026</v>
      </c>
      <c r="B599" s="8">
        <f t="shared" si="111"/>
        <v>2</v>
      </c>
      <c r="C599" s="6">
        <v>46062</v>
      </c>
      <c r="D599" s="15">
        <f t="shared" ca="1" si="112"/>
        <v>46097</v>
      </c>
      <c r="E599" s="15" t="str">
        <f t="shared" ca="1" si="113"/>
        <v>1-Months</v>
      </c>
      <c r="F599" s="8" t="str">
        <f>VLOOKUP(N599,Stock[#Data],5,FALSE)</f>
        <v>BE</v>
      </c>
      <c r="G599" s="82" t="s">
        <v>1319</v>
      </c>
      <c r="H599" s="15"/>
      <c r="I599" s="7" t="s">
        <v>111</v>
      </c>
      <c r="J599" s="8" t="str">
        <f>VLOOKUP(I599,Customers[#Data],2,FALSE)</f>
        <v>လင်းသစ်</v>
      </c>
      <c r="K599" s="15" t="str">
        <f>VLOOKUP(I599,Customers[#Data],4,FALSE)</f>
        <v>Yay</v>
      </c>
      <c r="L599" s="15" t="str">
        <f>VLOOKUP(I599,Customers[#Data],5,FALSE)</f>
        <v>WholeSales</v>
      </c>
      <c r="M599" s="7" t="s">
        <v>6</v>
      </c>
      <c r="N599" s="7" t="s">
        <v>517</v>
      </c>
      <c r="O599" s="14" t="str">
        <f>VLOOKUP(N599,Stock[#Data],2,FALSE)</f>
        <v>ဇေယျဝတီ Red (1 Liter) 30%</v>
      </c>
      <c r="P599" s="44">
        <f>VLOOKUP(N599,Stock[#Data],3,FALSE)</f>
        <v>1</v>
      </c>
      <c r="Q599" s="3">
        <f>VLOOKUP(N599,Stock[#Data],4,FALSE)</f>
        <v>12</v>
      </c>
      <c r="R599" s="11"/>
      <c r="S599" s="45">
        <f>IFERROR(Table4[[#This Row],[Bottle]]/Table4[[#This Row],[ပါဝင်မှု]]+Table4[[#This Row],[SalesPK]],0)</f>
        <v>60</v>
      </c>
      <c r="T599" s="12">
        <v>60</v>
      </c>
      <c r="U599" s="10">
        <f>Table4[[#This Row],[ပါဝင်မှု]]*Table4[[#This Row],[SalesPK]]+Table4[[#This Row],[Bottle]]</f>
        <v>720</v>
      </c>
      <c r="V599" s="10">
        <f>Table4[[#This Row],[SalesBot]]*Table4[[#This Row],[ML]]</f>
        <v>720</v>
      </c>
      <c r="W599" s="1">
        <f>VLOOKUP(N599,Stock[#Data],6,FALSE)</f>
        <v>1710</v>
      </c>
      <c r="X599" s="8">
        <f>+Table4[[#This Row],[SalesBot]]*Table4[[#This Row],[နှုံး]]</f>
        <v>1231200</v>
      </c>
      <c r="Y599" s="12"/>
      <c r="Z599" s="12"/>
      <c r="AA599" s="12"/>
      <c r="AB599" s="9"/>
      <c r="AC599" s="12"/>
      <c r="AD599" s="9"/>
      <c r="AE599" s="12"/>
      <c r="AF59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1231200</v>
      </c>
      <c r="AG599" s="24"/>
      <c r="AH599" s="266">
        <f>Table4[[#This Row],[Date]]</f>
        <v>46062</v>
      </c>
      <c r="AI599" s="264" t="str">
        <f t="shared" si="100"/>
        <v>Feb</v>
      </c>
      <c r="AJ599" s="264" t="str">
        <f t="shared" si="101"/>
        <v>2026</v>
      </c>
      <c r="AK599" s="270" t="str">
        <f>Table4[[#This Row],[ကုန်သည်အမည်]]</f>
        <v>လင်းသစ်</v>
      </c>
      <c r="AL599" s="270" t="str">
        <f>Table4[[#This Row],[Township]]</f>
        <v>Yay</v>
      </c>
      <c r="AM599" s="271" t="str">
        <f>Table4[[#This Row],[WholeSales]]</f>
        <v>WholeSales</v>
      </c>
      <c r="AN599" s="272" t="str">
        <f>Table4[[#This Row],[Particular]]</f>
        <v>ကုန်ရောင်း(လက်ငင်း)</v>
      </c>
      <c r="AO599" s="273" t="str">
        <f>Table4[[#This Row],[StockName]]</f>
        <v>ဇေယျဝတီ Red (1 Liter) 30%</v>
      </c>
      <c r="AP599" s="268">
        <f>Table4[[#This Row],[Parking]]</f>
        <v>60</v>
      </c>
      <c r="AQ599" s="268">
        <f>Table4[[#This Row],[SalesBot]]</f>
        <v>720</v>
      </c>
      <c r="AR599" s="268">
        <f>Table4[[#This Row],[Liter]]</f>
        <v>720</v>
      </c>
    </row>
    <row r="600" spans="1:44" s="16" customFormat="1" hidden="1" x14ac:dyDescent="0.5">
      <c r="A600" s="3">
        <f t="shared" si="110"/>
        <v>2026</v>
      </c>
      <c r="B600" s="8">
        <f t="shared" si="111"/>
        <v>2</v>
      </c>
      <c r="C600" s="6">
        <v>46062</v>
      </c>
      <c r="D600" s="15">
        <f t="shared" ca="1" si="112"/>
        <v>46097</v>
      </c>
      <c r="E600" s="15" t="str">
        <f t="shared" ca="1" si="113"/>
        <v>1-Months</v>
      </c>
      <c r="F600" s="8" t="str">
        <f>VLOOKUP(N600,Stock[#Data],5,FALSE)</f>
        <v>BE</v>
      </c>
      <c r="G600" s="82" t="s">
        <v>1320</v>
      </c>
      <c r="H600" s="15"/>
      <c r="I600" s="7" t="s">
        <v>541</v>
      </c>
      <c r="J600" s="8" t="str">
        <f>VLOOKUP(I600,Customers[#Data],2,FALSE)</f>
        <v>ကိုကျော်ရွှေ</v>
      </c>
      <c r="K600" s="15" t="str">
        <f>VLOOKUP(I600,Customers[#Data],4,FALSE)</f>
        <v>Mudon</v>
      </c>
      <c r="L600" s="15" t="str">
        <f>VLOOKUP(I600,Customers[#Data],5,FALSE)</f>
        <v>SemiWholeSales</v>
      </c>
      <c r="M600" s="7" t="s">
        <v>6</v>
      </c>
      <c r="N600" s="7" t="s">
        <v>520</v>
      </c>
      <c r="O600" s="14" t="str">
        <f>VLOOKUP(N600,Stock[#Data],2,FALSE)</f>
        <v>ဇေယျဝတီ  Red(ပု)</v>
      </c>
      <c r="P600" s="44">
        <f>VLOOKUP(N600,Stock[#Data],3,FALSE)</f>
        <v>0.64</v>
      </c>
      <c r="Q600" s="3">
        <f>VLOOKUP(N600,Stock[#Data],4,FALSE)</f>
        <v>14</v>
      </c>
      <c r="R600" s="11"/>
      <c r="S600" s="45">
        <f>IFERROR(Table4[[#This Row],[Bottle]]/Table4[[#This Row],[ပါဝင်မှု]]+Table4[[#This Row],[SalesPK]],0)</f>
        <v>50</v>
      </c>
      <c r="T600" s="12">
        <v>50</v>
      </c>
      <c r="U600" s="10">
        <f>Table4[[#This Row],[ပါဝင်မှု]]*Table4[[#This Row],[SalesPK]]+Table4[[#This Row],[Bottle]]</f>
        <v>700</v>
      </c>
      <c r="V600" s="10">
        <f>Table4[[#This Row],[SalesBot]]*Table4[[#This Row],[ML]]</f>
        <v>448</v>
      </c>
      <c r="W600" s="1">
        <f>VLOOKUP(N600,Stock[#Data],6,FALSE)</f>
        <v>1800</v>
      </c>
      <c r="X600" s="8">
        <f>+Table4[[#This Row],[SalesBot]]*Table4[[#This Row],[နှုံး]]</f>
        <v>1260000</v>
      </c>
      <c r="Y600" s="12"/>
      <c r="Z600" s="12"/>
      <c r="AA600" s="12"/>
      <c r="AB600" s="9"/>
      <c r="AC600" s="12"/>
      <c r="AD600" s="9"/>
      <c r="AE600" s="12"/>
      <c r="AF60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600" s="24"/>
      <c r="AH600" s="266">
        <f>Table4[[#This Row],[Date]]</f>
        <v>46062</v>
      </c>
      <c r="AI600" s="264" t="str">
        <f t="shared" si="100"/>
        <v>Feb</v>
      </c>
      <c r="AJ600" s="264" t="str">
        <f t="shared" si="101"/>
        <v>2026</v>
      </c>
      <c r="AK600" s="270" t="str">
        <f>Table4[[#This Row],[ကုန်သည်အမည်]]</f>
        <v>ကိုကျော်ရွှေ</v>
      </c>
      <c r="AL600" s="270" t="str">
        <f>Table4[[#This Row],[Township]]</f>
        <v>Mudon</v>
      </c>
      <c r="AM600" s="271" t="str">
        <f>Table4[[#This Row],[WholeSales]]</f>
        <v>SemiWholeSales</v>
      </c>
      <c r="AN600" s="272" t="str">
        <f>Table4[[#This Row],[Particular]]</f>
        <v>ကုန်ရောင်း(လက်ငင်း)</v>
      </c>
      <c r="AO600" s="273" t="str">
        <f>Table4[[#This Row],[StockName]]</f>
        <v>ဇေယျဝတီ  Red(ပု)</v>
      </c>
      <c r="AP600" s="268">
        <f>Table4[[#This Row],[Parking]]</f>
        <v>50</v>
      </c>
      <c r="AQ600" s="268">
        <f>Table4[[#This Row],[SalesBot]]</f>
        <v>700</v>
      </c>
      <c r="AR600" s="268">
        <f>Table4[[#This Row],[Liter]]</f>
        <v>448</v>
      </c>
    </row>
    <row r="601" spans="1:44" s="16" customFormat="1" hidden="1" x14ac:dyDescent="0.5">
      <c r="A601" s="3">
        <f t="shared" si="110"/>
        <v>2026</v>
      </c>
      <c r="B601" s="8">
        <f t="shared" si="111"/>
        <v>2</v>
      </c>
      <c r="C601" s="6">
        <v>46062</v>
      </c>
      <c r="D601" s="15">
        <f t="shared" ca="1" si="112"/>
        <v>46097</v>
      </c>
      <c r="E601" s="15" t="str">
        <f t="shared" ca="1" si="113"/>
        <v>1-Months</v>
      </c>
      <c r="F601" s="8" t="str">
        <f>VLOOKUP(N601,Stock[#Data],5,FALSE)</f>
        <v>BE</v>
      </c>
      <c r="G601" s="82" t="s">
        <v>1321</v>
      </c>
      <c r="H601" s="15"/>
      <c r="I601" s="7" t="s">
        <v>922</v>
      </c>
      <c r="J601" s="8" t="str">
        <f>VLOOKUP(I601,Customers[#Data],2,FALSE)</f>
        <v>မိုးဆမ်း</v>
      </c>
      <c r="K601" s="15" t="str">
        <f>VLOOKUP(I601,Customers[#Data],4,FALSE)</f>
        <v>Mudon</v>
      </c>
      <c r="L601" s="15" t="str">
        <f>VLOOKUP(I601,Customers[#Data],5,FALSE)</f>
        <v>SemiWholeSales</v>
      </c>
      <c r="M601" s="7" t="s">
        <v>6</v>
      </c>
      <c r="N601" s="7" t="s">
        <v>520</v>
      </c>
      <c r="O601" s="14" t="str">
        <f>VLOOKUP(N601,Stock[#Data],2,FALSE)</f>
        <v>ဇေယျဝတီ  Red(ပု)</v>
      </c>
      <c r="P601" s="44">
        <f>VLOOKUP(N601,Stock[#Data],3,FALSE)</f>
        <v>0.64</v>
      </c>
      <c r="Q601" s="3">
        <f>VLOOKUP(N601,Stock[#Data],4,FALSE)</f>
        <v>14</v>
      </c>
      <c r="R601" s="11"/>
      <c r="S601" s="45">
        <f>IFERROR(Table4[[#This Row],[Bottle]]/Table4[[#This Row],[ပါဝင်မှု]]+Table4[[#This Row],[SalesPK]],0)</f>
        <v>50</v>
      </c>
      <c r="T601" s="12">
        <v>50</v>
      </c>
      <c r="U601" s="10">
        <f>Table4[[#This Row],[ပါဝင်မှု]]*Table4[[#This Row],[SalesPK]]+Table4[[#This Row],[Bottle]]</f>
        <v>700</v>
      </c>
      <c r="V601" s="10">
        <f>Table4[[#This Row],[SalesBot]]*Table4[[#This Row],[ML]]</f>
        <v>448</v>
      </c>
      <c r="W601" s="1">
        <f>VLOOKUP(N601,Stock[#Data],6,FALSE)</f>
        <v>1800</v>
      </c>
      <c r="X601" s="8">
        <f>+Table4[[#This Row],[SalesBot]]*Table4[[#This Row],[နှုံး]]</f>
        <v>1260000</v>
      </c>
      <c r="Y601" s="12"/>
      <c r="Z601" s="12"/>
      <c r="AA601" s="12"/>
      <c r="AB601" s="9"/>
      <c r="AC601" s="12"/>
      <c r="AD601" s="9"/>
      <c r="AE601" s="12"/>
      <c r="AF60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601" s="24"/>
      <c r="AH601" s="266">
        <f>Table4[[#This Row],[Date]]</f>
        <v>46062</v>
      </c>
      <c r="AI601" s="264" t="str">
        <f t="shared" si="100"/>
        <v>Feb</v>
      </c>
      <c r="AJ601" s="264" t="str">
        <f t="shared" si="101"/>
        <v>2026</v>
      </c>
      <c r="AK601" s="270" t="str">
        <f>Table4[[#This Row],[ကုန်သည်အမည်]]</f>
        <v>မိုးဆမ်း</v>
      </c>
      <c r="AL601" s="270" t="str">
        <f>Table4[[#This Row],[Township]]</f>
        <v>Mudon</v>
      </c>
      <c r="AM601" s="271" t="str">
        <f>Table4[[#This Row],[WholeSales]]</f>
        <v>SemiWholeSales</v>
      </c>
      <c r="AN601" s="272" t="str">
        <f>Table4[[#This Row],[Particular]]</f>
        <v>ကုန်ရောင်း(လက်ငင်း)</v>
      </c>
      <c r="AO601" s="273" t="str">
        <f>Table4[[#This Row],[StockName]]</f>
        <v>ဇေယျဝတီ  Red(ပု)</v>
      </c>
      <c r="AP601" s="268">
        <f>Table4[[#This Row],[Parking]]</f>
        <v>50</v>
      </c>
      <c r="AQ601" s="268">
        <f>Table4[[#This Row],[SalesBot]]</f>
        <v>700</v>
      </c>
      <c r="AR601" s="268">
        <f>Table4[[#This Row],[Liter]]</f>
        <v>448</v>
      </c>
    </row>
    <row r="602" spans="1:44" s="16" customFormat="1" hidden="1" x14ac:dyDescent="0.5">
      <c r="A602" s="3">
        <f t="shared" si="110"/>
        <v>2026</v>
      </c>
      <c r="B602" s="8">
        <f t="shared" si="111"/>
        <v>2</v>
      </c>
      <c r="C602" s="6">
        <v>46062</v>
      </c>
      <c r="D602" s="15">
        <f t="shared" ca="1" si="112"/>
        <v>46097</v>
      </c>
      <c r="E602" s="15" t="str">
        <f t="shared" ca="1" si="113"/>
        <v>1-Months</v>
      </c>
      <c r="F602" s="8" t="str">
        <f>VLOOKUP(N602,Stock[#Data],5,FALSE)</f>
        <v>BE</v>
      </c>
      <c r="G602" s="82" t="s">
        <v>1322</v>
      </c>
      <c r="H602" s="15"/>
      <c r="I602" s="7" t="s">
        <v>109</v>
      </c>
      <c r="J602" s="8" t="str">
        <f>VLOOKUP(I602,Customers[#Data],2,FALSE)</f>
        <v>ဦးမင်းလွင်</v>
      </c>
      <c r="K602" s="15" t="str">
        <f>VLOOKUP(I602,Customers[#Data],4,FALSE)</f>
        <v>Maw La Myaing</v>
      </c>
      <c r="L602" s="15" t="str">
        <f>VLOOKUP(I602,Customers[#Data],5,FALSE)</f>
        <v>WholeSales</v>
      </c>
      <c r="M602" s="7" t="s">
        <v>6</v>
      </c>
      <c r="N602" s="7" t="s">
        <v>519</v>
      </c>
      <c r="O602" s="14" t="str">
        <f>VLOOKUP(N602,Stock[#Data],2,FALSE)</f>
        <v>ဇေယျဝတီ High 43%</v>
      </c>
      <c r="P602" s="44">
        <f>VLOOKUP(N602,Stock[#Data],3,FALSE)</f>
        <v>0.64</v>
      </c>
      <c r="Q602" s="3">
        <f>VLOOKUP(N602,Stock[#Data],4,FALSE)</f>
        <v>14</v>
      </c>
      <c r="R602" s="11"/>
      <c r="S602" s="45">
        <f>IFERROR(Table4[[#This Row],[Bottle]]/Table4[[#This Row],[ပါဝင်မှု]]+Table4[[#This Row],[SalesPK]],0)</f>
        <v>15</v>
      </c>
      <c r="T602" s="12">
        <v>15</v>
      </c>
      <c r="U602" s="10">
        <f>Table4[[#This Row],[ပါဝင်မှု]]*Table4[[#This Row],[SalesPK]]+Table4[[#This Row],[Bottle]]</f>
        <v>210</v>
      </c>
      <c r="V602" s="10">
        <f>Table4[[#This Row],[SalesBot]]*Table4[[#This Row],[ML]]</f>
        <v>134.4</v>
      </c>
      <c r="W602" s="1">
        <f>VLOOKUP(N602,Stock[#Data],6,FALSE)</f>
        <v>1500</v>
      </c>
      <c r="X602" s="8">
        <f>+Table4[[#This Row],[SalesBot]]*Table4[[#This Row],[နှုံး]]</f>
        <v>315000</v>
      </c>
      <c r="Y602" s="12"/>
      <c r="Z602" s="12"/>
      <c r="AA602" s="12"/>
      <c r="AB602" s="9"/>
      <c r="AC602" s="12"/>
      <c r="AD602" s="9"/>
      <c r="AE602" s="12"/>
      <c r="AF60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315000</v>
      </c>
      <c r="AG602" s="24"/>
      <c r="AH602" s="266">
        <f>Table4[[#This Row],[Date]]</f>
        <v>46062</v>
      </c>
      <c r="AI602" s="264" t="str">
        <f t="shared" si="100"/>
        <v>Feb</v>
      </c>
      <c r="AJ602" s="264" t="str">
        <f t="shared" si="101"/>
        <v>2026</v>
      </c>
      <c r="AK602" s="270" t="str">
        <f>Table4[[#This Row],[ကုန်သည်အမည်]]</f>
        <v>ဦးမင်းလွင်</v>
      </c>
      <c r="AL602" s="270" t="str">
        <f>Table4[[#This Row],[Township]]</f>
        <v>Maw La Myaing</v>
      </c>
      <c r="AM602" s="271" t="str">
        <f>Table4[[#This Row],[WholeSales]]</f>
        <v>WholeSales</v>
      </c>
      <c r="AN602" s="272" t="str">
        <f>Table4[[#This Row],[Particular]]</f>
        <v>ကုန်ရောင်း(လက်ငင်း)</v>
      </c>
      <c r="AO602" s="273" t="str">
        <f>Table4[[#This Row],[StockName]]</f>
        <v>ဇေယျဝတီ High 43%</v>
      </c>
      <c r="AP602" s="268">
        <f>Table4[[#This Row],[Parking]]</f>
        <v>15</v>
      </c>
      <c r="AQ602" s="268">
        <f>Table4[[#This Row],[SalesBot]]</f>
        <v>210</v>
      </c>
      <c r="AR602" s="268">
        <f>Table4[[#This Row],[Liter]]</f>
        <v>134.4</v>
      </c>
    </row>
    <row r="603" spans="1:44" s="16" customFormat="1" hidden="1" x14ac:dyDescent="0.5">
      <c r="A603" s="3">
        <f t="shared" si="110"/>
        <v>2026</v>
      </c>
      <c r="B603" s="8">
        <f t="shared" si="111"/>
        <v>2</v>
      </c>
      <c r="C603" s="6">
        <v>46062</v>
      </c>
      <c r="D603" s="15">
        <f t="shared" ca="1" si="112"/>
        <v>46097</v>
      </c>
      <c r="E603" s="15" t="str">
        <f t="shared" ca="1" si="113"/>
        <v>1-Months</v>
      </c>
      <c r="F603" s="8" t="str">
        <f>VLOOKUP(N603,Stock[#Data],5,FALSE)</f>
        <v>BE</v>
      </c>
      <c r="G603" s="82" t="s">
        <v>1322</v>
      </c>
      <c r="H603" s="15"/>
      <c r="I603" s="7" t="s">
        <v>109</v>
      </c>
      <c r="J603" s="8" t="str">
        <f>VLOOKUP(I603,Customers[#Data],2,FALSE)</f>
        <v>ဦးမင်းလွင်</v>
      </c>
      <c r="K603" s="15" t="str">
        <f>VLOOKUP(I603,Customers[#Data],4,FALSE)</f>
        <v>Maw La Myaing</v>
      </c>
      <c r="L603" s="15" t="str">
        <f>VLOOKUP(I603,Customers[#Data],5,FALSE)</f>
        <v>WholeSales</v>
      </c>
      <c r="M603" s="7" t="s">
        <v>6</v>
      </c>
      <c r="N603" s="7" t="s">
        <v>521</v>
      </c>
      <c r="O603" s="14" t="str">
        <f>VLOOKUP(N603,Stock[#Data],2,FALSE)</f>
        <v>ဒဂုံအရက်သန့်</v>
      </c>
      <c r="P603" s="44">
        <f>VLOOKUP(N603,Stock[#Data],3,FALSE)</f>
        <v>0.64</v>
      </c>
      <c r="Q603" s="3">
        <f>VLOOKUP(N603,Stock[#Data],4,FALSE)</f>
        <v>24</v>
      </c>
      <c r="R603" s="11"/>
      <c r="S603" s="45">
        <f>IFERROR(Table4[[#This Row],[Bottle]]/Table4[[#This Row],[ပါဝင်မှု]]+Table4[[#This Row],[SalesPK]],0)</f>
        <v>50</v>
      </c>
      <c r="T603" s="12">
        <v>50</v>
      </c>
      <c r="U603" s="10">
        <f>Table4[[#This Row],[ပါဝင်မှု]]*Table4[[#This Row],[SalesPK]]+Table4[[#This Row],[Bottle]]</f>
        <v>1200</v>
      </c>
      <c r="V603" s="10">
        <f>Table4[[#This Row],[SalesBot]]*Table4[[#This Row],[ML]]</f>
        <v>768</v>
      </c>
      <c r="W603" s="1">
        <f>VLOOKUP(N603,Stock[#Data],6,FALSE)</f>
        <v>1350</v>
      </c>
      <c r="X603" s="8">
        <f>+Table4[[#This Row],[SalesBot]]*Table4[[#This Row],[နှုံး]]</f>
        <v>1620000</v>
      </c>
      <c r="Y603" s="12"/>
      <c r="Z603" s="12"/>
      <c r="AA603" s="12"/>
      <c r="AB603" s="9"/>
      <c r="AC603" s="12"/>
      <c r="AD603" s="9"/>
      <c r="AE603" s="12"/>
      <c r="AF60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1620000</v>
      </c>
      <c r="AG603" s="24"/>
      <c r="AH603" s="266">
        <f>Table4[[#This Row],[Date]]</f>
        <v>46062</v>
      </c>
      <c r="AI603" s="264" t="str">
        <f t="shared" si="100"/>
        <v>Feb</v>
      </c>
      <c r="AJ603" s="264" t="str">
        <f t="shared" si="101"/>
        <v>2026</v>
      </c>
      <c r="AK603" s="270" t="str">
        <f>Table4[[#This Row],[ကုန်သည်အမည်]]</f>
        <v>ဦးမင်းလွင်</v>
      </c>
      <c r="AL603" s="270" t="str">
        <f>Table4[[#This Row],[Township]]</f>
        <v>Maw La Myaing</v>
      </c>
      <c r="AM603" s="271" t="str">
        <f>Table4[[#This Row],[WholeSales]]</f>
        <v>WholeSales</v>
      </c>
      <c r="AN603" s="272" t="str">
        <f>Table4[[#This Row],[Particular]]</f>
        <v>ကုန်ရောင်း(လက်ငင်း)</v>
      </c>
      <c r="AO603" s="273" t="str">
        <f>Table4[[#This Row],[StockName]]</f>
        <v>ဒဂုံအရက်သန့်</v>
      </c>
      <c r="AP603" s="268">
        <f>Table4[[#This Row],[Parking]]</f>
        <v>50</v>
      </c>
      <c r="AQ603" s="268">
        <f>Table4[[#This Row],[SalesBot]]</f>
        <v>1200</v>
      </c>
      <c r="AR603" s="268">
        <f>Table4[[#This Row],[Liter]]</f>
        <v>768</v>
      </c>
    </row>
    <row r="604" spans="1:44" s="16" customFormat="1" hidden="1" x14ac:dyDescent="0.5">
      <c r="A604" s="3">
        <f t="shared" si="110"/>
        <v>2026</v>
      </c>
      <c r="B604" s="8">
        <f t="shared" si="111"/>
        <v>2</v>
      </c>
      <c r="C604" s="6">
        <v>46062</v>
      </c>
      <c r="D604" s="15">
        <f t="shared" ca="1" si="112"/>
        <v>46097</v>
      </c>
      <c r="E604" s="15" t="str">
        <f t="shared" ca="1" si="113"/>
        <v>1-Months</v>
      </c>
      <c r="F604" s="8" t="str">
        <f>VLOOKUP(N604,Stock[#Data],5,FALSE)</f>
        <v>BE</v>
      </c>
      <c r="G604" s="82" t="s">
        <v>1323</v>
      </c>
      <c r="H604" s="15"/>
      <c r="I604" s="7" t="s">
        <v>538</v>
      </c>
      <c r="J604" s="8" t="str">
        <f>VLOOKUP(I604,Customers[#Data],2,FALSE)</f>
        <v>ဒေါ်နွယ်နွယ်ရီ(ရွှေတောင်ကြား)</v>
      </c>
      <c r="K604" s="15" t="str">
        <f>VLOOKUP(I604,Customers[#Data],4,FALSE)</f>
        <v>Yay</v>
      </c>
      <c r="L604" s="15" t="str">
        <f>VLOOKUP(I604,Customers[#Data],5,FALSE)</f>
        <v>WholeSales</v>
      </c>
      <c r="M604" s="7" t="s">
        <v>6</v>
      </c>
      <c r="N604" s="7" t="s">
        <v>517</v>
      </c>
      <c r="O604" s="14" t="str">
        <f>VLOOKUP(N604,Stock[#Data],2,FALSE)</f>
        <v>ဇေယျဝတီ Red (1 Liter) 30%</v>
      </c>
      <c r="P604" s="44">
        <f>VLOOKUP(N604,Stock[#Data],3,FALSE)</f>
        <v>1</v>
      </c>
      <c r="Q604" s="3">
        <f>VLOOKUP(N604,Stock[#Data],4,FALSE)</f>
        <v>12</v>
      </c>
      <c r="R604" s="11"/>
      <c r="S604" s="45">
        <f>IFERROR(Table4[[#This Row],[Bottle]]/Table4[[#This Row],[ပါဝင်မှု]]+Table4[[#This Row],[SalesPK]],0)</f>
        <v>200</v>
      </c>
      <c r="T604" s="12">
        <v>200</v>
      </c>
      <c r="U604" s="10">
        <f>Table4[[#This Row],[ပါဝင်မှု]]*Table4[[#This Row],[SalesPK]]+Table4[[#This Row],[Bottle]]</f>
        <v>2400</v>
      </c>
      <c r="V604" s="10">
        <f>Table4[[#This Row],[SalesBot]]*Table4[[#This Row],[ML]]</f>
        <v>2400</v>
      </c>
      <c r="W604" s="1">
        <f>VLOOKUP(N604,Stock[#Data],6,FALSE)</f>
        <v>1710</v>
      </c>
      <c r="X604" s="8">
        <f>+Table4[[#This Row],[SalesBot]]*Table4[[#This Row],[နှုံး]]</f>
        <v>4104000</v>
      </c>
      <c r="Y604" s="12"/>
      <c r="Z604" s="12"/>
      <c r="AA604" s="12"/>
      <c r="AB604" s="9"/>
      <c r="AC604" s="12"/>
      <c r="AD604" s="9"/>
      <c r="AE604" s="12"/>
      <c r="AF60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4104000</v>
      </c>
      <c r="AG604" s="24"/>
      <c r="AH604" s="266">
        <f>Table4[[#This Row],[Date]]</f>
        <v>46062</v>
      </c>
      <c r="AI604" s="264" t="str">
        <f t="shared" si="100"/>
        <v>Feb</v>
      </c>
      <c r="AJ604" s="264" t="str">
        <f t="shared" si="101"/>
        <v>2026</v>
      </c>
      <c r="AK604" s="270" t="str">
        <f>Table4[[#This Row],[ကုန်သည်အမည်]]</f>
        <v>ဒေါ်နွယ်နွယ်ရီ(ရွှေတောင်ကြား)</v>
      </c>
      <c r="AL604" s="270" t="str">
        <f>Table4[[#This Row],[Township]]</f>
        <v>Yay</v>
      </c>
      <c r="AM604" s="271" t="str">
        <f>Table4[[#This Row],[WholeSales]]</f>
        <v>WholeSales</v>
      </c>
      <c r="AN604" s="272" t="str">
        <f>Table4[[#This Row],[Particular]]</f>
        <v>ကုန်ရောင်း(လက်ငင်း)</v>
      </c>
      <c r="AO604" s="273" t="str">
        <f>Table4[[#This Row],[StockName]]</f>
        <v>ဇေယျဝတီ Red (1 Liter) 30%</v>
      </c>
      <c r="AP604" s="268">
        <f>Table4[[#This Row],[Parking]]</f>
        <v>200</v>
      </c>
      <c r="AQ604" s="268">
        <f>Table4[[#This Row],[SalesBot]]</f>
        <v>2400</v>
      </c>
      <c r="AR604" s="268">
        <f>Table4[[#This Row],[Liter]]</f>
        <v>2400</v>
      </c>
    </row>
    <row r="605" spans="1:44" s="16" customFormat="1" hidden="1" x14ac:dyDescent="0.5">
      <c r="A605" s="3">
        <f t="shared" si="110"/>
        <v>2026</v>
      </c>
      <c r="B605" s="8">
        <f t="shared" si="111"/>
        <v>2</v>
      </c>
      <c r="C605" s="6">
        <v>46062</v>
      </c>
      <c r="D605" s="15">
        <f t="shared" ca="1" si="112"/>
        <v>46097</v>
      </c>
      <c r="E605" s="15" t="str">
        <f t="shared" ca="1" si="113"/>
        <v>1-Months</v>
      </c>
      <c r="F605" s="8" t="str">
        <f>VLOOKUP(N605,Stock[#Data],5,FALSE)</f>
        <v>BE</v>
      </c>
      <c r="G605" s="82" t="s">
        <v>1324</v>
      </c>
      <c r="H605" s="15"/>
      <c r="I605" s="7" t="s">
        <v>78</v>
      </c>
      <c r="J605" s="8" t="str">
        <f>VLOOKUP(I605,Customers[#Data],2,FALSE)</f>
        <v>My-1</v>
      </c>
      <c r="K605" s="15" t="str">
        <f>VLOOKUP(I605,Customers[#Data],4,FALSE)</f>
        <v>Maw La Myaing</v>
      </c>
      <c r="L605" s="15" t="str">
        <f>VLOOKUP(I605,Customers[#Data],5,FALSE)</f>
        <v>Van Sales</v>
      </c>
      <c r="M605" s="7" t="s">
        <v>6</v>
      </c>
      <c r="N605" s="7" t="s">
        <v>508</v>
      </c>
      <c r="O605" s="14" t="str">
        <f>VLOOKUP(N605,Stock[#Data],2,FALSE)</f>
        <v>ကောင်းကြည်-1Li</v>
      </c>
      <c r="P605" s="44">
        <f>VLOOKUP(N605,Stock[#Data],3,FALSE)</f>
        <v>1</v>
      </c>
      <c r="Q605" s="3">
        <f>VLOOKUP(N605,Stock[#Data],4,FALSE)</f>
        <v>12</v>
      </c>
      <c r="R605" s="11"/>
      <c r="S605" s="45">
        <f>IFERROR(Table4[[#This Row],[Bottle]]/Table4[[#This Row],[ပါဝင်မှု]]+Table4[[#This Row],[SalesPK]],0)</f>
        <v>5</v>
      </c>
      <c r="T605" s="12">
        <v>5</v>
      </c>
      <c r="U605" s="10">
        <f>Table4[[#This Row],[ပါဝင်မှု]]*Table4[[#This Row],[SalesPK]]+Table4[[#This Row],[Bottle]]</f>
        <v>60</v>
      </c>
      <c r="V605" s="10">
        <f>Table4[[#This Row],[SalesBot]]*Table4[[#This Row],[ML]]</f>
        <v>60</v>
      </c>
      <c r="W605" s="1">
        <f>VLOOKUP(N605,Stock[#Data],6,FALSE)</f>
        <v>1850</v>
      </c>
      <c r="X605" s="8">
        <f>+Table4[[#This Row],[SalesBot]]*Table4[[#This Row],[နှုံး]]</f>
        <v>111000</v>
      </c>
      <c r="Y605" s="12"/>
      <c r="Z605" s="12"/>
      <c r="AA605" s="12"/>
      <c r="AB605" s="9"/>
      <c r="AC605" s="12"/>
      <c r="AD605" s="9"/>
      <c r="AE605" s="12"/>
      <c r="AF60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111000</v>
      </c>
      <c r="AG605" s="24"/>
      <c r="AH605" s="266">
        <f>Table4[[#This Row],[Date]]</f>
        <v>46062</v>
      </c>
      <c r="AI605" s="264" t="str">
        <f t="shared" si="100"/>
        <v>Feb</v>
      </c>
      <c r="AJ605" s="264" t="str">
        <f t="shared" si="101"/>
        <v>2026</v>
      </c>
      <c r="AK605" s="270" t="str">
        <f>Table4[[#This Row],[ကုန်သည်အမည်]]</f>
        <v>My-1</v>
      </c>
      <c r="AL605" s="270" t="str">
        <f>Table4[[#This Row],[Township]]</f>
        <v>Maw La Myaing</v>
      </c>
      <c r="AM605" s="271" t="str">
        <f>Table4[[#This Row],[WholeSales]]</f>
        <v>Van Sales</v>
      </c>
      <c r="AN605" s="272" t="str">
        <f>Table4[[#This Row],[Particular]]</f>
        <v>ကုန်ရောင်း(လက်ငင်း)</v>
      </c>
      <c r="AO605" s="273" t="str">
        <f>Table4[[#This Row],[StockName]]</f>
        <v>ကောင်းကြည်-1Li</v>
      </c>
      <c r="AP605" s="268">
        <f>Table4[[#This Row],[Parking]]</f>
        <v>5</v>
      </c>
      <c r="AQ605" s="268">
        <f>Table4[[#This Row],[SalesBot]]</f>
        <v>60</v>
      </c>
      <c r="AR605" s="268">
        <f>Table4[[#This Row],[Liter]]</f>
        <v>60</v>
      </c>
    </row>
    <row r="606" spans="1:44" s="16" customFormat="1" hidden="1" x14ac:dyDescent="0.5">
      <c r="A606" s="3">
        <f t="shared" si="110"/>
        <v>2026</v>
      </c>
      <c r="B606" s="8">
        <f t="shared" si="111"/>
        <v>2</v>
      </c>
      <c r="C606" s="6">
        <v>46062</v>
      </c>
      <c r="D606" s="15">
        <f t="shared" ca="1" si="112"/>
        <v>46097</v>
      </c>
      <c r="E606" s="15" t="str">
        <f t="shared" ca="1" si="113"/>
        <v>1-Months</v>
      </c>
      <c r="F606" s="8" t="str">
        <f>VLOOKUP(N606,Stock[#Data],5,FALSE)</f>
        <v>BE</v>
      </c>
      <c r="G606" s="82" t="s">
        <v>1324</v>
      </c>
      <c r="H606" s="15"/>
      <c r="I606" s="7" t="s">
        <v>78</v>
      </c>
      <c r="J606" s="8" t="str">
        <f>VLOOKUP(I606,Customers[#Data],2,FALSE)</f>
        <v>My-1</v>
      </c>
      <c r="K606" s="15" t="str">
        <f>VLOOKUP(I606,Customers[#Data],4,FALSE)</f>
        <v>Maw La Myaing</v>
      </c>
      <c r="L606" s="15" t="str">
        <f>VLOOKUP(I606,Customers[#Data],5,FALSE)</f>
        <v>Van Sales</v>
      </c>
      <c r="M606" s="7" t="s">
        <v>9</v>
      </c>
      <c r="N606" s="7" t="s">
        <v>508</v>
      </c>
      <c r="O606" s="14" t="str">
        <f>VLOOKUP(N606,Stock[#Data],2,FALSE)</f>
        <v>ကောင်းကြည်-1Li</v>
      </c>
      <c r="P606" s="44">
        <f>VLOOKUP(N606,Stock[#Data],3,FALSE)</f>
        <v>1</v>
      </c>
      <c r="Q606" s="3">
        <f>VLOOKUP(N606,Stock[#Data],4,FALSE)</f>
        <v>12</v>
      </c>
      <c r="R606" s="11">
        <v>3</v>
      </c>
      <c r="S606" s="45">
        <f>IFERROR(Table4[[#This Row],[Bottle]]/Table4[[#This Row],[ပါဝင်မှု]]+Table4[[#This Row],[SalesPK]],0)</f>
        <v>0.25</v>
      </c>
      <c r="T606" s="12"/>
      <c r="U606" s="10">
        <f>Table4[[#This Row],[ပါဝင်မှု]]*Table4[[#This Row],[SalesPK]]+Table4[[#This Row],[Bottle]]</f>
        <v>3</v>
      </c>
      <c r="V606" s="10">
        <f>Table4[[#This Row],[SalesBot]]*Table4[[#This Row],[ML]]</f>
        <v>3</v>
      </c>
      <c r="W606" s="1">
        <f>VLOOKUP(N606,Stock[#Data],6,FALSE)</f>
        <v>1850</v>
      </c>
      <c r="X606" s="8">
        <f>+Table4[[#This Row],[SalesBot]]*Table4[[#This Row],[နှုံး]]</f>
        <v>5550</v>
      </c>
      <c r="Y606" s="12"/>
      <c r="Z606" s="12"/>
      <c r="AA606" s="12"/>
      <c r="AB606" s="9"/>
      <c r="AC606" s="12"/>
      <c r="AD606" s="9"/>
      <c r="AE606" s="12"/>
      <c r="AF60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5550</v>
      </c>
      <c r="AG606" s="24"/>
      <c r="AH606" s="266">
        <f>Table4[[#This Row],[Date]]</f>
        <v>46062</v>
      </c>
      <c r="AI606" s="264" t="str">
        <f t="shared" si="100"/>
        <v>Feb</v>
      </c>
      <c r="AJ606" s="264" t="str">
        <f t="shared" si="101"/>
        <v>2026</v>
      </c>
      <c r="AK606" s="270" t="str">
        <f>Table4[[#This Row],[ကုန်သည်အမည်]]</f>
        <v>My-1</v>
      </c>
      <c r="AL606" s="270" t="str">
        <f>Table4[[#This Row],[Township]]</f>
        <v>Maw La Myaing</v>
      </c>
      <c r="AM606" s="271" t="str">
        <f>Table4[[#This Row],[WholeSales]]</f>
        <v>Van Sales</v>
      </c>
      <c r="AN606" s="272" t="str">
        <f>Table4[[#This Row],[Particular]]</f>
        <v>လက်ဆောင်</v>
      </c>
      <c r="AO606" s="273" t="str">
        <f>Table4[[#This Row],[StockName]]</f>
        <v>ကောင်းကြည်-1Li</v>
      </c>
      <c r="AP606" s="268">
        <f>Table4[[#This Row],[Parking]]</f>
        <v>0.25</v>
      </c>
      <c r="AQ606" s="268">
        <f>Table4[[#This Row],[SalesBot]]</f>
        <v>3</v>
      </c>
      <c r="AR606" s="268">
        <f>Table4[[#This Row],[Liter]]</f>
        <v>3</v>
      </c>
    </row>
    <row r="607" spans="1:44" s="16" customFormat="1" hidden="1" x14ac:dyDescent="0.5">
      <c r="A607" s="3">
        <f t="shared" si="110"/>
        <v>2026</v>
      </c>
      <c r="B607" s="8">
        <f t="shared" si="111"/>
        <v>2</v>
      </c>
      <c r="C607" s="6">
        <v>46062</v>
      </c>
      <c r="D607" s="15">
        <f t="shared" ca="1" si="112"/>
        <v>46097</v>
      </c>
      <c r="E607" s="15" t="str">
        <f t="shared" ca="1" si="113"/>
        <v>1-Months</v>
      </c>
      <c r="F607" s="8" t="str">
        <f>VLOOKUP(N607,Stock[#Data],5,FALSE)</f>
        <v>BE</v>
      </c>
      <c r="G607" s="82" t="s">
        <v>1325</v>
      </c>
      <c r="H607" s="15"/>
      <c r="I607" s="7" t="s">
        <v>95</v>
      </c>
      <c r="J607" s="8" t="str">
        <f>VLOOKUP(I607,Customers[#Data],2,FALSE)</f>
        <v>ကျော်စတား</v>
      </c>
      <c r="K607" s="15" t="str">
        <f>VLOOKUP(I607,Customers[#Data],4,FALSE)</f>
        <v>Yay</v>
      </c>
      <c r="L607" s="15" t="str">
        <f>VLOOKUP(I607,Customers[#Data],5,FALSE)</f>
        <v>WholeSales</v>
      </c>
      <c r="M607" s="7" t="s">
        <v>7</v>
      </c>
      <c r="N607" s="7" t="s">
        <v>514</v>
      </c>
      <c r="O607" s="14" t="str">
        <f>VLOOKUP(N607,Stock[#Data],2,FALSE)</f>
        <v>ဇေယျဝတီ Red</v>
      </c>
      <c r="P607" s="44">
        <f>VLOOKUP(N607,Stock[#Data],3,FALSE)</f>
        <v>0.64</v>
      </c>
      <c r="Q607" s="3">
        <f>VLOOKUP(N607,Stock[#Data],4,FALSE)</f>
        <v>14</v>
      </c>
      <c r="R607" s="11"/>
      <c r="S607" s="45">
        <f>IFERROR(Table4[[#This Row],[Bottle]]/Table4[[#This Row],[ပါဝင်မှု]]+Table4[[#This Row],[SalesPK]],0)</f>
        <v>150</v>
      </c>
      <c r="T607" s="12">
        <v>150</v>
      </c>
      <c r="U607" s="10">
        <f>Table4[[#This Row],[ပါဝင်မှု]]*Table4[[#This Row],[SalesPK]]+Table4[[#This Row],[Bottle]]</f>
        <v>2100</v>
      </c>
      <c r="V607" s="10">
        <f>Table4[[#This Row],[SalesBot]]*Table4[[#This Row],[ML]]</f>
        <v>1344</v>
      </c>
      <c r="W607" s="1">
        <f>VLOOKUP(N607,Stock[#Data],6,FALSE)</f>
        <v>1350</v>
      </c>
      <c r="X607" s="8">
        <f>+Table4[[#This Row],[SalesBot]]*Table4[[#This Row],[နှုံး]]</f>
        <v>2835000</v>
      </c>
      <c r="Y607" s="12"/>
      <c r="Z607" s="12"/>
      <c r="AA607" s="12"/>
      <c r="AB607" s="9"/>
      <c r="AC607" s="12"/>
      <c r="AD607" s="9"/>
      <c r="AE607" s="12"/>
      <c r="AF60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2835000</v>
      </c>
      <c r="AG607" s="24"/>
      <c r="AH607" s="266">
        <f>Table4[[#This Row],[Date]]</f>
        <v>46062</v>
      </c>
      <c r="AI607" s="264" t="str">
        <f t="shared" si="100"/>
        <v>Feb</v>
      </c>
      <c r="AJ607" s="264" t="str">
        <f t="shared" si="101"/>
        <v>2026</v>
      </c>
      <c r="AK607" s="270" t="str">
        <f>Table4[[#This Row],[ကုန်သည်အမည်]]</f>
        <v>ကျော်စတား</v>
      </c>
      <c r="AL607" s="270" t="str">
        <f>Table4[[#This Row],[Township]]</f>
        <v>Yay</v>
      </c>
      <c r="AM607" s="271" t="str">
        <f>Table4[[#This Row],[WholeSales]]</f>
        <v>WholeSales</v>
      </c>
      <c r="AN607" s="272" t="str">
        <f>Table4[[#This Row],[Particular]]</f>
        <v>ကုန်ရောင်း(အကြွေး)</v>
      </c>
      <c r="AO607" s="273" t="str">
        <f>Table4[[#This Row],[StockName]]</f>
        <v>ဇေယျဝတီ Red</v>
      </c>
      <c r="AP607" s="268">
        <f>Table4[[#This Row],[Parking]]</f>
        <v>150</v>
      </c>
      <c r="AQ607" s="268">
        <f>Table4[[#This Row],[SalesBot]]</f>
        <v>2100</v>
      </c>
      <c r="AR607" s="268">
        <f>Table4[[#This Row],[Liter]]</f>
        <v>1344</v>
      </c>
    </row>
    <row r="608" spans="1:44" s="16" customFormat="1" hidden="1" x14ac:dyDescent="0.5">
      <c r="A608" s="3">
        <f t="shared" si="110"/>
        <v>2026</v>
      </c>
      <c r="B608" s="8">
        <f t="shared" ref="B608" si="114">MONTH(C608)</f>
        <v>2</v>
      </c>
      <c r="C608" s="6">
        <v>46062</v>
      </c>
      <c r="D608" s="15">
        <f t="shared" ca="1" si="112"/>
        <v>46097</v>
      </c>
      <c r="E608" s="15" t="str">
        <f t="shared" ref="E608" ca="1" si="115">DATEDIF(C608,D608,"M")&amp;"-Months"</f>
        <v>1-Months</v>
      </c>
      <c r="F608" s="8" t="str">
        <f>VLOOKUP(N608,Stock[#Data],5,FALSE)</f>
        <v>BE</v>
      </c>
      <c r="G608" s="82" t="s">
        <v>1325</v>
      </c>
      <c r="H608" s="15"/>
      <c r="I608" s="7" t="s">
        <v>95</v>
      </c>
      <c r="J608" s="8" t="str">
        <f>VLOOKUP(I608,Customers[#Data],2,FALSE)</f>
        <v>ကျော်စတား</v>
      </c>
      <c r="K608" s="15" t="str">
        <f>VLOOKUP(I608,Customers[#Data],4,FALSE)</f>
        <v>Yay</v>
      </c>
      <c r="L608" s="15" t="str">
        <f>VLOOKUP(I608,Customers[#Data],5,FALSE)</f>
        <v>WholeSales</v>
      </c>
      <c r="M608" s="7" t="s">
        <v>7</v>
      </c>
      <c r="N608" s="7" t="s">
        <v>517</v>
      </c>
      <c r="O608" s="14" t="str">
        <f>VLOOKUP(N608,Stock[#Data],2,FALSE)</f>
        <v>ဇေယျဝတီ Red (1 Liter) 30%</v>
      </c>
      <c r="P608" s="44">
        <f>VLOOKUP(N608,Stock[#Data],3,FALSE)</f>
        <v>1</v>
      </c>
      <c r="Q608" s="3">
        <f>VLOOKUP(N608,Stock[#Data],4,FALSE)</f>
        <v>12</v>
      </c>
      <c r="R608" s="11"/>
      <c r="S608" s="45">
        <f>IFERROR(Table4[[#This Row],[Bottle]]/Table4[[#This Row],[ပါဝင်မှု]]+Table4[[#This Row],[SalesPK]],0)</f>
        <v>175</v>
      </c>
      <c r="T608" s="12">
        <v>175</v>
      </c>
      <c r="U608" s="10">
        <f>Table4[[#This Row],[ပါဝင်မှု]]*Table4[[#This Row],[SalesPK]]+Table4[[#This Row],[Bottle]]</f>
        <v>2100</v>
      </c>
      <c r="V608" s="10">
        <f>Table4[[#This Row],[SalesBot]]*Table4[[#This Row],[ML]]</f>
        <v>2100</v>
      </c>
      <c r="W608" s="1">
        <f>VLOOKUP(N608,Stock[#Data],6,FALSE)</f>
        <v>1710</v>
      </c>
      <c r="X608" s="8">
        <f>+Table4[[#This Row],[SalesBot]]*Table4[[#This Row],[နှုံး]]</f>
        <v>3591000</v>
      </c>
      <c r="Y608" s="12"/>
      <c r="Z608" s="12"/>
      <c r="AA608" s="12"/>
      <c r="AB608" s="9"/>
      <c r="AC608" s="12"/>
      <c r="AD608" s="9"/>
      <c r="AE608" s="12"/>
      <c r="AF60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3591000</v>
      </c>
      <c r="AG608" s="24"/>
      <c r="AH608" s="266">
        <f>Table4[[#This Row],[Date]]</f>
        <v>46062</v>
      </c>
      <c r="AI608" s="264" t="str">
        <f t="shared" si="100"/>
        <v>Feb</v>
      </c>
      <c r="AJ608" s="264" t="str">
        <f t="shared" si="101"/>
        <v>2026</v>
      </c>
      <c r="AK608" s="270" t="str">
        <f>Table4[[#This Row],[ကုန်သည်အမည်]]</f>
        <v>ကျော်စတား</v>
      </c>
      <c r="AL608" s="270" t="str">
        <f>Table4[[#This Row],[Township]]</f>
        <v>Yay</v>
      </c>
      <c r="AM608" s="271" t="str">
        <f>Table4[[#This Row],[WholeSales]]</f>
        <v>WholeSales</v>
      </c>
      <c r="AN608" s="272" t="str">
        <f>Table4[[#This Row],[Particular]]</f>
        <v>ကုန်ရောင်း(အကြွေး)</v>
      </c>
      <c r="AO608" s="273" t="str">
        <f>Table4[[#This Row],[StockName]]</f>
        <v>ဇေယျဝတီ Red (1 Liter) 30%</v>
      </c>
      <c r="AP608" s="268">
        <f>Table4[[#This Row],[Parking]]</f>
        <v>175</v>
      </c>
      <c r="AQ608" s="268">
        <f>Table4[[#This Row],[SalesBot]]</f>
        <v>2100</v>
      </c>
      <c r="AR608" s="268">
        <f>Table4[[#This Row],[Liter]]</f>
        <v>2100</v>
      </c>
    </row>
    <row r="609" spans="1:44" s="16" customFormat="1" hidden="1" x14ac:dyDescent="0.5">
      <c r="A609" s="3">
        <f t="shared" si="102"/>
        <v>2026</v>
      </c>
      <c r="B609" s="8">
        <f t="shared" si="103"/>
        <v>2</v>
      </c>
      <c r="C609" s="6">
        <v>46062</v>
      </c>
      <c r="D609" s="15">
        <f t="shared" ca="1" si="104"/>
        <v>46097</v>
      </c>
      <c r="E609" s="15" t="str">
        <f t="shared" ca="1" si="105"/>
        <v>1-Months</v>
      </c>
      <c r="F609" s="8" t="str">
        <f>VLOOKUP(N609,Stock[#Data],5,FALSE)</f>
        <v>BE</v>
      </c>
      <c r="G609" s="82" t="s">
        <v>1326</v>
      </c>
      <c r="H609" s="15"/>
      <c r="I609" s="7" t="s">
        <v>95</v>
      </c>
      <c r="J609" s="8" t="str">
        <f>VLOOKUP(I609,Customers[#Data],2,FALSE)</f>
        <v>ကျော်စတား</v>
      </c>
      <c r="K609" s="15" t="str">
        <f>VLOOKUP(I609,Customers[#Data],4,FALSE)</f>
        <v>Yay</v>
      </c>
      <c r="L609" s="15" t="str">
        <f>VLOOKUP(I609,Customers[#Data],5,FALSE)</f>
        <v>WholeSales</v>
      </c>
      <c r="M609" s="7" t="s">
        <v>7</v>
      </c>
      <c r="N609" s="7" t="s">
        <v>514</v>
      </c>
      <c r="O609" s="14" t="str">
        <f>VLOOKUP(N609,Stock[#Data],2,FALSE)</f>
        <v>ဇေယျဝတီ Red</v>
      </c>
      <c r="P609" s="44">
        <f>VLOOKUP(N609,Stock[#Data],3,FALSE)</f>
        <v>0.64</v>
      </c>
      <c r="Q609" s="3">
        <f>VLOOKUP(N609,Stock[#Data],4,FALSE)</f>
        <v>14</v>
      </c>
      <c r="R609" s="11"/>
      <c r="S609" s="45">
        <f>IFERROR(Table4[[#This Row],[Bottle]]/Table4[[#This Row],[ပါဝင်မှု]]+Table4[[#This Row],[SalesPK]],0)</f>
        <v>100</v>
      </c>
      <c r="T609" s="12">
        <v>100</v>
      </c>
      <c r="U609" s="10">
        <f>Table4[[#This Row],[ပါဝင်မှု]]*Table4[[#This Row],[SalesPK]]+Table4[[#This Row],[Bottle]]</f>
        <v>1400</v>
      </c>
      <c r="V609" s="10">
        <f>Table4[[#This Row],[SalesBot]]*Table4[[#This Row],[ML]]</f>
        <v>896</v>
      </c>
      <c r="W609" s="1">
        <f>VLOOKUP(N609,Stock[#Data],6,FALSE)</f>
        <v>1350</v>
      </c>
      <c r="X609" s="8">
        <f>+Table4[[#This Row],[SalesBot]]*Table4[[#This Row],[နှုံး]]</f>
        <v>1890000</v>
      </c>
      <c r="Y609" s="12"/>
      <c r="Z609" s="12"/>
      <c r="AA609" s="12"/>
      <c r="AB609" s="9"/>
      <c r="AC609" s="12"/>
      <c r="AD609" s="9"/>
      <c r="AE609" s="12"/>
      <c r="AF60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609" s="24"/>
      <c r="AH609" s="266">
        <f>Table4[[#This Row],[Date]]</f>
        <v>46062</v>
      </c>
      <c r="AI609" s="264" t="str">
        <f t="shared" si="100"/>
        <v>Feb</v>
      </c>
      <c r="AJ609" s="264" t="str">
        <f t="shared" si="101"/>
        <v>2026</v>
      </c>
      <c r="AK609" s="270" t="str">
        <f>Table4[[#This Row],[ကုန်သည်အမည်]]</f>
        <v>ကျော်စတား</v>
      </c>
      <c r="AL609" s="270" t="str">
        <f>Table4[[#This Row],[Township]]</f>
        <v>Yay</v>
      </c>
      <c r="AM609" s="271" t="str">
        <f>Table4[[#This Row],[WholeSales]]</f>
        <v>WholeSales</v>
      </c>
      <c r="AN609" s="272" t="str">
        <f>Table4[[#This Row],[Particular]]</f>
        <v>ကုန်ရောင်း(အကြွေး)</v>
      </c>
      <c r="AO609" s="273" t="str">
        <f>Table4[[#This Row],[StockName]]</f>
        <v>ဇေယျဝတီ Red</v>
      </c>
      <c r="AP609" s="268">
        <f>Table4[[#This Row],[Parking]]</f>
        <v>100</v>
      </c>
      <c r="AQ609" s="268">
        <f>Table4[[#This Row],[SalesBot]]</f>
        <v>1400</v>
      </c>
      <c r="AR609" s="268">
        <f>Table4[[#This Row],[Liter]]</f>
        <v>896</v>
      </c>
    </row>
    <row r="610" spans="1:44" s="16" customFormat="1" hidden="1" x14ac:dyDescent="0.5">
      <c r="A610" s="3">
        <f t="shared" si="102"/>
        <v>2026</v>
      </c>
      <c r="B610" s="8">
        <f t="shared" si="103"/>
        <v>2</v>
      </c>
      <c r="C610" s="6">
        <v>46062</v>
      </c>
      <c r="D610" s="15">
        <f t="shared" ca="1" si="104"/>
        <v>46097</v>
      </c>
      <c r="E610" s="15" t="str">
        <f t="shared" ca="1" si="105"/>
        <v>1-Months</v>
      </c>
      <c r="F610" s="8" t="str">
        <f>VLOOKUP(N610,Stock[#Data],5,FALSE)</f>
        <v>BE</v>
      </c>
      <c r="G610" s="82" t="s">
        <v>1326</v>
      </c>
      <c r="H610" s="15"/>
      <c r="I610" s="7" t="s">
        <v>95</v>
      </c>
      <c r="J610" s="8" t="str">
        <f>VLOOKUP(I610,Customers[#Data],2,FALSE)</f>
        <v>ကျော်စတား</v>
      </c>
      <c r="K610" s="15" t="str">
        <f>VLOOKUP(I610,Customers[#Data],4,FALSE)</f>
        <v>Yay</v>
      </c>
      <c r="L610" s="15" t="str">
        <f>VLOOKUP(I610,Customers[#Data],5,FALSE)</f>
        <v>WholeSales</v>
      </c>
      <c r="M610" s="7" t="s">
        <v>7</v>
      </c>
      <c r="N610" s="7" t="s">
        <v>517</v>
      </c>
      <c r="O610" s="14" t="str">
        <f>VLOOKUP(N610,Stock[#Data],2,FALSE)</f>
        <v>ဇေယျဝတီ Red (1 Liter) 30%</v>
      </c>
      <c r="P610" s="44">
        <f>VLOOKUP(N610,Stock[#Data],3,FALSE)</f>
        <v>1</v>
      </c>
      <c r="Q610" s="3">
        <f>VLOOKUP(N610,Stock[#Data],4,FALSE)</f>
        <v>12</v>
      </c>
      <c r="R610" s="11"/>
      <c r="S610" s="45">
        <f>IFERROR(Table4[[#This Row],[Bottle]]/Table4[[#This Row],[ပါဝင်မှု]]+Table4[[#This Row],[SalesPK]],0)</f>
        <v>100</v>
      </c>
      <c r="T610" s="12">
        <v>100</v>
      </c>
      <c r="U610" s="10">
        <f>Table4[[#This Row],[ပါဝင်မှု]]*Table4[[#This Row],[SalesPK]]+Table4[[#This Row],[Bottle]]</f>
        <v>1200</v>
      </c>
      <c r="V610" s="10">
        <f>Table4[[#This Row],[SalesBot]]*Table4[[#This Row],[ML]]</f>
        <v>1200</v>
      </c>
      <c r="W610" s="1">
        <f>VLOOKUP(N610,Stock[#Data],6,FALSE)</f>
        <v>1710</v>
      </c>
      <c r="X610" s="8">
        <f>+Table4[[#This Row],[SalesBot]]*Table4[[#This Row],[နှုံး]]</f>
        <v>2052000</v>
      </c>
      <c r="Y610" s="12"/>
      <c r="Z610" s="12"/>
      <c r="AA610" s="12"/>
      <c r="AB610" s="9"/>
      <c r="AC610" s="12"/>
      <c r="AD610" s="9"/>
      <c r="AE610" s="12"/>
      <c r="AF61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610" s="24"/>
      <c r="AH610" s="266">
        <f>Table4[[#This Row],[Date]]</f>
        <v>46062</v>
      </c>
      <c r="AI610" s="264" t="str">
        <f t="shared" si="100"/>
        <v>Feb</v>
      </c>
      <c r="AJ610" s="264" t="str">
        <f t="shared" si="101"/>
        <v>2026</v>
      </c>
      <c r="AK610" s="270" t="str">
        <f>Table4[[#This Row],[ကုန်သည်အမည်]]</f>
        <v>ကျော်စတား</v>
      </c>
      <c r="AL610" s="270" t="str">
        <f>Table4[[#This Row],[Township]]</f>
        <v>Yay</v>
      </c>
      <c r="AM610" s="271" t="str">
        <f>Table4[[#This Row],[WholeSales]]</f>
        <v>WholeSales</v>
      </c>
      <c r="AN610" s="272" t="str">
        <f>Table4[[#This Row],[Particular]]</f>
        <v>ကုန်ရောင်း(အကြွေး)</v>
      </c>
      <c r="AO610" s="273" t="str">
        <f>Table4[[#This Row],[StockName]]</f>
        <v>ဇေယျဝတီ Red (1 Liter) 30%</v>
      </c>
      <c r="AP610" s="268">
        <f>Table4[[#This Row],[Parking]]</f>
        <v>100</v>
      </c>
      <c r="AQ610" s="268">
        <f>Table4[[#This Row],[SalesBot]]</f>
        <v>1200</v>
      </c>
      <c r="AR610" s="268">
        <f>Table4[[#This Row],[Liter]]</f>
        <v>1200</v>
      </c>
    </row>
    <row r="611" spans="1:44" s="16" customFormat="1" hidden="1" x14ac:dyDescent="0.5">
      <c r="A611" s="3">
        <f t="shared" si="26"/>
        <v>2026</v>
      </c>
      <c r="B611" s="8">
        <f t="shared" si="27"/>
        <v>2</v>
      </c>
      <c r="C611" s="6">
        <v>46062</v>
      </c>
      <c r="D611" s="15">
        <f t="shared" ca="1" si="28"/>
        <v>46097</v>
      </c>
      <c r="E611" s="15" t="str">
        <f t="shared" ca="1" si="29"/>
        <v>1-Months</v>
      </c>
      <c r="F611" s="8" t="str">
        <f>VLOOKUP(N611,Stock[#Data],5,FALSE)</f>
        <v>BE</v>
      </c>
      <c r="G611" s="82" t="s">
        <v>1327</v>
      </c>
      <c r="H611" s="15"/>
      <c r="I611" s="7" t="s">
        <v>538</v>
      </c>
      <c r="J611" s="8" t="str">
        <f>VLOOKUP(I611,Customers[#Data],2,FALSE)</f>
        <v>ဒေါ်နွယ်နွယ်ရီ(ရွှေတောင်ကြား)</v>
      </c>
      <c r="K611" s="15" t="str">
        <f>VLOOKUP(I611,Customers[#Data],4,FALSE)</f>
        <v>Yay</v>
      </c>
      <c r="L611" s="15" t="str">
        <f>VLOOKUP(I611,Customers[#Data],5,FALSE)</f>
        <v>WholeSales</v>
      </c>
      <c r="M611" s="7" t="s">
        <v>7</v>
      </c>
      <c r="N611" s="7" t="s">
        <v>517</v>
      </c>
      <c r="O611" s="14" t="str">
        <f>VLOOKUP(N611,Stock[#Data],2,FALSE)</f>
        <v>ဇေယျဝတီ Red (1 Liter) 30%</v>
      </c>
      <c r="P611" s="44">
        <f>VLOOKUP(N611,Stock[#Data],3,FALSE)</f>
        <v>1</v>
      </c>
      <c r="Q611" s="3">
        <f>VLOOKUP(N611,Stock[#Data],4,FALSE)</f>
        <v>12</v>
      </c>
      <c r="R611" s="11"/>
      <c r="S611" s="45">
        <f>IFERROR(Table4[[#This Row],[Bottle]]/Table4[[#This Row],[ပါဝင်မှု]]+Table4[[#This Row],[SalesPK]],0)</f>
        <v>100</v>
      </c>
      <c r="T611" s="12">
        <v>100</v>
      </c>
      <c r="U611" s="10">
        <f>Table4[[#This Row],[ပါဝင်မှု]]*Table4[[#This Row],[SalesPK]]+Table4[[#This Row],[Bottle]]</f>
        <v>1200</v>
      </c>
      <c r="V611" s="10">
        <f>Table4[[#This Row],[SalesBot]]*Table4[[#This Row],[ML]]</f>
        <v>1200</v>
      </c>
      <c r="W611" s="1">
        <f>VLOOKUP(N611,Stock[#Data],6,FALSE)</f>
        <v>1710</v>
      </c>
      <c r="X611" s="8">
        <f>+Table4[[#This Row],[SalesBot]]*Table4[[#This Row],[နှုံး]]</f>
        <v>2052000</v>
      </c>
      <c r="Y611" s="12"/>
      <c r="Z611" s="12"/>
      <c r="AA611" s="12"/>
      <c r="AB611" s="9"/>
      <c r="AC611" s="12"/>
      <c r="AD611" s="9"/>
      <c r="AE611" s="12"/>
      <c r="AF61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611" s="24"/>
      <c r="AH611" s="266">
        <f>Table4[[#This Row],[Date]]</f>
        <v>46062</v>
      </c>
      <c r="AI611" s="264" t="str">
        <f t="shared" si="100"/>
        <v>Feb</v>
      </c>
      <c r="AJ611" s="264" t="str">
        <f t="shared" si="101"/>
        <v>2026</v>
      </c>
      <c r="AK611" s="270" t="str">
        <f>Table4[[#This Row],[ကုန်သည်အမည်]]</f>
        <v>ဒေါ်နွယ်နွယ်ရီ(ရွှေတောင်ကြား)</v>
      </c>
      <c r="AL611" s="270" t="str">
        <f>Table4[[#This Row],[Township]]</f>
        <v>Yay</v>
      </c>
      <c r="AM611" s="271" t="str">
        <f>Table4[[#This Row],[WholeSales]]</f>
        <v>WholeSales</v>
      </c>
      <c r="AN611" s="272" t="str">
        <f>Table4[[#This Row],[Particular]]</f>
        <v>ကုန်ရောင်း(အကြွေး)</v>
      </c>
      <c r="AO611" s="273" t="str">
        <f>Table4[[#This Row],[StockName]]</f>
        <v>ဇေယျဝတီ Red (1 Liter) 30%</v>
      </c>
      <c r="AP611" s="268">
        <f>Table4[[#This Row],[Parking]]</f>
        <v>100</v>
      </c>
      <c r="AQ611" s="268">
        <f>Table4[[#This Row],[SalesBot]]</f>
        <v>1200</v>
      </c>
      <c r="AR611" s="268">
        <f>Table4[[#This Row],[Liter]]</f>
        <v>1200</v>
      </c>
    </row>
    <row r="612" spans="1:44" s="16" customFormat="1" hidden="1" x14ac:dyDescent="0.5">
      <c r="A612" s="3">
        <f t="shared" si="26"/>
        <v>2026</v>
      </c>
      <c r="B612" s="8">
        <f t="shared" si="27"/>
        <v>2</v>
      </c>
      <c r="C612" s="6">
        <v>46062</v>
      </c>
      <c r="D612" s="15">
        <f t="shared" ca="1" si="28"/>
        <v>46097</v>
      </c>
      <c r="E612" s="15" t="str">
        <f t="shared" ca="1" si="29"/>
        <v>1-Months</v>
      </c>
      <c r="F612" s="8" t="str">
        <f>VLOOKUP(N612,Stock[#Data],5,FALSE)</f>
        <v>BE</v>
      </c>
      <c r="G612" s="82" t="s">
        <v>1328</v>
      </c>
      <c r="H612" s="15"/>
      <c r="I612" s="7" t="s">
        <v>86</v>
      </c>
      <c r="J612" s="8" t="str">
        <f>VLOOKUP(I612,Customers[#Data],2,FALSE)</f>
        <v>ဒေါ်စိန်ယုံ</v>
      </c>
      <c r="K612" s="15" t="str">
        <f>VLOOKUP(I612,Customers[#Data],4,FALSE)</f>
        <v>Mudon</v>
      </c>
      <c r="L612" s="15" t="str">
        <f>VLOOKUP(I612,Customers[#Data],5,FALSE)</f>
        <v>Mini Whole Sales</v>
      </c>
      <c r="M612" s="7" t="s">
        <v>7</v>
      </c>
      <c r="N612" s="7" t="s">
        <v>520</v>
      </c>
      <c r="O612" s="14" t="str">
        <f>VLOOKUP(N612,Stock[#Data],2,FALSE)</f>
        <v>ဇေယျဝတီ  Red(ပု)</v>
      </c>
      <c r="P612" s="44">
        <f>VLOOKUP(N612,Stock[#Data],3,FALSE)</f>
        <v>0.64</v>
      </c>
      <c r="Q612" s="3">
        <f>VLOOKUP(N612,Stock[#Data],4,FALSE)</f>
        <v>14</v>
      </c>
      <c r="R612" s="11"/>
      <c r="S612" s="45">
        <f>IFERROR(Table4[[#This Row],[Bottle]]/Table4[[#This Row],[ပါဝင်မှု]]+Table4[[#This Row],[SalesPK]],0)</f>
        <v>30</v>
      </c>
      <c r="T612" s="12">
        <v>30</v>
      </c>
      <c r="U612" s="10">
        <f>Table4[[#This Row],[ပါဝင်မှု]]*Table4[[#This Row],[SalesPK]]+Table4[[#This Row],[Bottle]]</f>
        <v>420</v>
      </c>
      <c r="V612" s="10">
        <f>Table4[[#This Row],[SalesBot]]*Table4[[#This Row],[ML]]</f>
        <v>268.8</v>
      </c>
      <c r="W612" s="1">
        <f>VLOOKUP(N612,Stock[#Data],6,FALSE)</f>
        <v>1800</v>
      </c>
      <c r="X612" s="8">
        <f>+Table4[[#This Row],[SalesBot]]*Table4[[#This Row],[နှုံး]]</f>
        <v>756000</v>
      </c>
      <c r="Y612" s="12"/>
      <c r="Z612" s="12"/>
      <c r="AA612" s="12"/>
      <c r="AB612" s="9"/>
      <c r="AC612" s="12"/>
      <c r="AD612" s="9"/>
      <c r="AE612" s="12"/>
      <c r="AF61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756000</v>
      </c>
      <c r="AG612" s="24"/>
      <c r="AH612" s="266">
        <f>Table4[[#This Row],[Date]]</f>
        <v>46062</v>
      </c>
      <c r="AI612" s="264" t="str">
        <f t="shared" si="100"/>
        <v>Feb</v>
      </c>
      <c r="AJ612" s="264" t="str">
        <f t="shared" si="101"/>
        <v>2026</v>
      </c>
      <c r="AK612" s="270" t="str">
        <f>Table4[[#This Row],[ကုန်သည်အမည်]]</f>
        <v>ဒေါ်စိန်ယုံ</v>
      </c>
      <c r="AL612" s="270" t="str">
        <f>Table4[[#This Row],[Township]]</f>
        <v>Mudon</v>
      </c>
      <c r="AM612" s="271" t="str">
        <f>Table4[[#This Row],[WholeSales]]</f>
        <v>Mini Whole Sales</v>
      </c>
      <c r="AN612" s="272" t="str">
        <f>Table4[[#This Row],[Particular]]</f>
        <v>ကုန်ရောင်း(အကြွေး)</v>
      </c>
      <c r="AO612" s="273" t="str">
        <f>Table4[[#This Row],[StockName]]</f>
        <v>ဇေယျဝတီ  Red(ပု)</v>
      </c>
      <c r="AP612" s="268">
        <f>Table4[[#This Row],[Parking]]</f>
        <v>30</v>
      </c>
      <c r="AQ612" s="268">
        <f>Table4[[#This Row],[SalesBot]]</f>
        <v>420</v>
      </c>
      <c r="AR612" s="268">
        <f>Table4[[#This Row],[Liter]]</f>
        <v>268.8</v>
      </c>
    </row>
    <row r="613" spans="1:44" s="16" customFormat="1" hidden="1" x14ac:dyDescent="0.5">
      <c r="A613" s="3">
        <f t="shared" ref="A613:A904" si="116">YEAR(C613)</f>
        <v>2026</v>
      </c>
      <c r="B613" s="8">
        <f t="shared" ref="B613:B904" si="117">MONTH(C613)</f>
        <v>2</v>
      </c>
      <c r="C613" s="6">
        <v>46063</v>
      </c>
      <c r="D613" s="15">
        <f t="shared" ref="D613:D904" ca="1" si="118">TODAY()</f>
        <v>46097</v>
      </c>
      <c r="E613" s="15" t="str">
        <f t="shared" ref="E613:E904" ca="1" si="119">DATEDIF(C613,D613,"M")&amp;"-Months"</f>
        <v>1-Months</v>
      </c>
      <c r="F613" s="8" t="str">
        <f>VLOOKUP(N613,Stock[#Data],5,FALSE)</f>
        <v>BE</v>
      </c>
      <c r="G613" s="82" t="s">
        <v>1329</v>
      </c>
      <c r="H613" s="15" t="s">
        <v>439</v>
      </c>
      <c r="I613" s="7" t="s">
        <v>77</v>
      </c>
      <c r="J613" s="8" t="str">
        <f>VLOOKUP(I613,Customers[#Data],2,FALSE)</f>
        <v>KP</v>
      </c>
      <c r="K613" s="15" t="str">
        <f>VLOOKUP(I613,Customers[#Data],4,FALSE)</f>
        <v>Maw La Myaing</v>
      </c>
      <c r="L613" s="15" t="str">
        <f>VLOOKUP(I613,Customers[#Data],5,FALSE)</f>
        <v>SemiWholeSales</v>
      </c>
      <c r="M613" s="7" t="s">
        <v>6</v>
      </c>
      <c r="N613" s="7" t="s">
        <v>522</v>
      </c>
      <c r="O613" s="14" t="str">
        <f>VLOOKUP(N613,Stock[#Data],2,FALSE)</f>
        <v>ဒဂုံမန်ကျည်း ကော်ဘူး (1 Liter)</v>
      </c>
      <c r="P613" s="44">
        <f>VLOOKUP(N613,Stock[#Data],3,FALSE)</f>
        <v>1</v>
      </c>
      <c r="Q613" s="3">
        <f>VLOOKUP(N613,Stock[#Data],4,FALSE)</f>
        <v>12</v>
      </c>
      <c r="R613" s="11"/>
      <c r="S613" s="45">
        <f>IFERROR(Table4[[#This Row],[Bottle]]/Table4[[#This Row],[ပါဝင်မှု]]+Table4[[#This Row],[SalesPK]],0)</f>
        <v>10</v>
      </c>
      <c r="T613" s="12">
        <v>10</v>
      </c>
      <c r="U613" s="10">
        <f>Table4[[#This Row],[ပါဝင်မှု]]*Table4[[#This Row],[SalesPK]]+Table4[[#This Row],[Bottle]]</f>
        <v>120</v>
      </c>
      <c r="V613" s="10">
        <f>Table4[[#This Row],[SalesBot]]*Table4[[#This Row],[ML]]</f>
        <v>120</v>
      </c>
      <c r="W613" s="1">
        <f>VLOOKUP(N613,Stock[#Data],6,FALSE)</f>
        <v>1600</v>
      </c>
      <c r="X613" s="8">
        <f>+Table4[[#This Row],[SalesBot]]*Table4[[#This Row],[နှုံး]]</f>
        <v>192000</v>
      </c>
      <c r="Y613" s="12"/>
      <c r="Z613" s="12"/>
      <c r="AA613" s="12"/>
      <c r="AB613" s="9"/>
      <c r="AC613" s="12"/>
      <c r="AD613" s="9"/>
      <c r="AE613" s="12"/>
      <c r="AF61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192000</v>
      </c>
      <c r="AG613" s="24"/>
      <c r="AH613" s="266">
        <f>Table4[[#This Row],[Date]]</f>
        <v>46063</v>
      </c>
      <c r="AI613" s="264" t="str">
        <f t="shared" ref="AI613:AI676" si="120">TEXT(AH613,"mmm")</f>
        <v>Feb</v>
      </c>
      <c r="AJ613" s="264" t="str">
        <f t="shared" ref="AJ613:AJ676" si="121">TEXT(AH613,"yyyy")</f>
        <v>2026</v>
      </c>
      <c r="AK613" s="270" t="str">
        <f>Table4[[#This Row],[ကုန်သည်အမည်]]</f>
        <v>KP</v>
      </c>
      <c r="AL613" s="270" t="str">
        <f>Table4[[#This Row],[Township]]</f>
        <v>Maw La Myaing</v>
      </c>
      <c r="AM613" s="271" t="str">
        <f>Table4[[#This Row],[WholeSales]]</f>
        <v>SemiWholeSales</v>
      </c>
      <c r="AN613" s="272" t="str">
        <f>Table4[[#This Row],[Particular]]</f>
        <v>ကုန်ရောင်း(လက်ငင်း)</v>
      </c>
      <c r="AO613" s="273" t="str">
        <f>Table4[[#This Row],[StockName]]</f>
        <v>ဒဂုံမန်ကျည်း ကော်ဘူး (1 Liter)</v>
      </c>
      <c r="AP613" s="268">
        <f>Table4[[#This Row],[Parking]]</f>
        <v>10</v>
      </c>
      <c r="AQ613" s="268">
        <f>Table4[[#This Row],[SalesBot]]</f>
        <v>120</v>
      </c>
      <c r="AR613" s="268">
        <f>Table4[[#This Row],[Liter]]</f>
        <v>120</v>
      </c>
    </row>
    <row r="614" spans="1:44" s="16" customFormat="1" hidden="1" x14ac:dyDescent="0.5">
      <c r="A614" s="3">
        <f t="shared" si="116"/>
        <v>2026</v>
      </c>
      <c r="B614" s="8">
        <f t="shared" si="117"/>
        <v>2</v>
      </c>
      <c r="C614" s="6">
        <v>46063</v>
      </c>
      <c r="D614" s="15">
        <f t="shared" ca="1" si="118"/>
        <v>46097</v>
      </c>
      <c r="E614" s="15" t="str">
        <f t="shared" ca="1" si="119"/>
        <v>1-Months</v>
      </c>
      <c r="F614" s="8" t="str">
        <f>VLOOKUP(N614,Stock[#Data],5,FALSE)</f>
        <v>BE</v>
      </c>
      <c r="G614" s="82" t="s">
        <v>1329</v>
      </c>
      <c r="H614" s="15"/>
      <c r="I614" s="7" t="s">
        <v>77</v>
      </c>
      <c r="J614" s="8" t="str">
        <f>VLOOKUP(I614,Customers[#Data],2,FALSE)</f>
        <v>KP</v>
      </c>
      <c r="K614" s="15" t="str">
        <f>VLOOKUP(I614,Customers[#Data],4,FALSE)</f>
        <v>Maw La Myaing</v>
      </c>
      <c r="L614" s="15" t="str">
        <f>VLOOKUP(I614,Customers[#Data],5,FALSE)</f>
        <v>SemiWholeSales</v>
      </c>
      <c r="M614" s="7" t="s">
        <v>9</v>
      </c>
      <c r="N614" s="7" t="s">
        <v>522</v>
      </c>
      <c r="O614" s="14" t="str">
        <f>VLOOKUP(N614,Stock[#Data],2,FALSE)</f>
        <v>ဒဂုံမန်ကျည်း ကော်ဘူး (1 Liter)</v>
      </c>
      <c r="P614" s="44">
        <f>VLOOKUP(N614,Stock[#Data],3,FALSE)</f>
        <v>1</v>
      </c>
      <c r="Q614" s="3">
        <f>VLOOKUP(N614,Stock[#Data],4,FALSE)</f>
        <v>12</v>
      </c>
      <c r="R614" s="11">
        <v>10</v>
      </c>
      <c r="S614" s="45">
        <f>IFERROR(Table4[[#This Row],[Bottle]]/Table4[[#This Row],[ပါဝင်မှု]]+Table4[[#This Row],[SalesPK]],0)</f>
        <v>0.83333333333333337</v>
      </c>
      <c r="T614" s="12"/>
      <c r="U614" s="10">
        <f>Table4[[#This Row],[ပါဝင်မှု]]*Table4[[#This Row],[SalesPK]]+Table4[[#This Row],[Bottle]]</f>
        <v>10</v>
      </c>
      <c r="V614" s="10">
        <f>Table4[[#This Row],[SalesBot]]*Table4[[#This Row],[ML]]</f>
        <v>10</v>
      </c>
      <c r="W614" s="1">
        <f>VLOOKUP(N614,Stock[#Data],6,FALSE)</f>
        <v>1600</v>
      </c>
      <c r="X614" s="8">
        <f>+Table4[[#This Row],[SalesBot]]*Table4[[#This Row],[နှုံး]]</f>
        <v>16000</v>
      </c>
      <c r="Y614" s="12"/>
      <c r="Z614" s="12"/>
      <c r="AA614" s="12"/>
      <c r="AB614" s="9"/>
      <c r="AC614" s="12"/>
      <c r="AD614" s="9"/>
      <c r="AE614" s="12"/>
      <c r="AF61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16000</v>
      </c>
      <c r="AG614" s="24"/>
      <c r="AH614" s="266">
        <f>Table4[[#This Row],[Date]]</f>
        <v>46063</v>
      </c>
      <c r="AI614" s="264" t="str">
        <f t="shared" si="120"/>
        <v>Feb</v>
      </c>
      <c r="AJ614" s="264" t="str">
        <f t="shared" si="121"/>
        <v>2026</v>
      </c>
      <c r="AK614" s="270" t="str">
        <f>Table4[[#This Row],[ကုန်သည်အမည်]]</f>
        <v>KP</v>
      </c>
      <c r="AL614" s="270" t="str">
        <f>Table4[[#This Row],[Township]]</f>
        <v>Maw La Myaing</v>
      </c>
      <c r="AM614" s="271" t="str">
        <f>Table4[[#This Row],[WholeSales]]</f>
        <v>SemiWholeSales</v>
      </c>
      <c r="AN614" s="272" t="str">
        <f>Table4[[#This Row],[Particular]]</f>
        <v>လက်ဆောင်</v>
      </c>
      <c r="AO614" s="273" t="str">
        <f>Table4[[#This Row],[StockName]]</f>
        <v>ဒဂုံမန်ကျည်း ကော်ဘူး (1 Liter)</v>
      </c>
      <c r="AP614" s="268">
        <f>Table4[[#This Row],[Parking]]</f>
        <v>0.83333333333333337</v>
      </c>
      <c r="AQ614" s="268">
        <f>Table4[[#This Row],[SalesBot]]</f>
        <v>10</v>
      </c>
      <c r="AR614" s="268">
        <f>Table4[[#This Row],[Liter]]</f>
        <v>10</v>
      </c>
    </row>
    <row r="615" spans="1:44" s="16" customFormat="1" hidden="1" x14ac:dyDescent="0.5">
      <c r="A615" s="3">
        <f t="shared" si="116"/>
        <v>2026</v>
      </c>
      <c r="B615" s="8">
        <f t="shared" si="117"/>
        <v>2</v>
      </c>
      <c r="C615" s="6">
        <v>46063</v>
      </c>
      <c r="D615" s="15">
        <f t="shared" ca="1" si="118"/>
        <v>46097</v>
      </c>
      <c r="E615" s="15" t="str">
        <f t="shared" ca="1" si="119"/>
        <v>1-Months</v>
      </c>
      <c r="F615" s="8" t="str">
        <f>VLOOKUP(N615,Stock[#Data],5,FALSE)</f>
        <v>BE</v>
      </c>
      <c r="G615" s="82" t="s">
        <v>1330</v>
      </c>
      <c r="H615" s="15" t="s">
        <v>439</v>
      </c>
      <c r="I615" s="7" t="s">
        <v>799</v>
      </c>
      <c r="J615" s="8" t="str">
        <f>VLOOKUP(I615,Customers[#Data],2,FALSE)</f>
        <v>ဖြိုး</v>
      </c>
      <c r="K615" s="15" t="str">
        <f>VLOOKUP(I615,Customers[#Data],4,FALSE)</f>
        <v>Maw La Myaing</v>
      </c>
      <c r="L615" s="15" t="str">
        <f>VLOOKUP(I615,Customers[#Data],5,FALSE)</f>
        <v>Van Sales</v>
      </c>
      <c r="M615" s="7" t="s">
        <v>6</v>
      </c>
      <c r="N615" s="7" t="s">
        <v>522</v>
      </c>
      <c r="O615" s="14" t="str">
        <f>VLOOKUP(N615,Stock[#Data],2,FALSE)</f>
        <v>ဒဂုံမန်ကျည်း ကော်ဘူး (1 Liter)</v>
      </c>
      <c r="P615" s="44">
        <f>VLOOKUP(N615,Stock[#Data],3,FALSE)</f>
        <v>1</v>
      </c>
      <c r="Q615" s="3">
        <f>VLOOKUP(N615,Stock[#Data],4,FALSE)</f>
        <v>12</v>
      </c>
      <c r="R615" s="11"/>
      <c r="S615" s="45">
        <f>IFERROR(Table4[[#This Row],[Bottle]]/Table4[[#This Row],[ပါဝင်မှု]]+Table4[[#This Row],[SalesPK]],0)</f>
        <v>1</v>
      </c>
      <c r="T615" s="12">
        <v>1</v>
      </c>
      <c r="U615" s="10">
        <f>Table4[[#This Row],[ပါဝင်မှု]]*Table4[[#This Row],[SalesPK]]+Table4[[#This Row],[Bottle]]</f>
        <v>12</v>
      </c>
      <c r="V615" s="10">
        <f>Table4[[#This Row],[SalesBot]]*Table4[[#This Row],[ML]]</f>
        <v>12</v>
      </c>
      <c r="W615" s="1">
        <f>VLOOKUP(N615,Stock[#Data],6,FALSE)</f>
        <v>1600</v>
      </c>
      <c r="X615" s="8">
        <f>+Table4[[#This Row],[SalesBot]]*Table4[[#This Row],[နှုံး]]</f>
        <v>19200</v>
      </c>
      <c r="Y615" s="12"/>
      <c r="Z615" s="12"/>
      <c r="AA615" s="12"/>
      <c r="AB615" s="9"/>
      <c r="AC615" s="12"/>
      <c r="AD615" s="9"/>
      <c r="AE615" s="12"/>
      <c r="AF61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615" s="24"/>
      <c r="AH615" s="266">
        <f>Table4[[#This Row],[Date]]</f>
        <v>46063</v>
      </c>
      <c r="AI615" s="264" t="str">
        <f t="shared" si="120"/>
        <v>Feb</v>
      </c>
      <c r="AJ615" s="264" t="str">
        <f t="shared" si="121"/>
        <v>2026</v>
      </c>
      <c r="AK615" s="270" t="str">
        <f>Table4[[#This Row],[ကုန်သည်အမည်]]</f>
        <v>ဖြိုး</v>
      </c>
      <c r="AL615" s="270" t="str">
        <f>Table4[[#This Row],[Township]]</f>
        <v>Maw La Myaing</v>
      </c>
      <c r="AM615" s="271" t="str">
        <f>Table4[[#This Row],[WholeSales]]</f>
        <v>Van Sales</v>
      </c>
      <c r="AN615" s="272" t="str">
        <f>Table4[[#This Row],[Particular]]</f>
        <v>ကုန်ရောင်း(လက်ငင်း)</v>
      </c>
      <c r="AO615" s="273" t="str">
        <f>Table4[[#This Row],[StockName]]</f>
        <v>ဒဂုံမန်ကျည်း ကော်ဘူး (1 Liter)</v>
      </c>
      <c r="AP615" s="268">
        <f>Table4[[#This Row],[Parking]]</f>
        <v>1</v>
      </c>
      <c r="AQ615" s="268">
        <f>Table4[[#This Row],[SalesBot]]</f>
        <v>12</v>
      </c>
      <c r="AR615" s="268">
        <f>Table4[[#This Row],[Liter]]</f>
        <v>12</v>
      </c>
    </row>
    <row r="616" spans="1:44" s="16" customFormat="1" hidden="1" x14ac:dyDescent="0.5">
      <c r="A616" s="3">
        <f t="shared" si="116"/>
        <v>2026</v>
      </c>
      <c r="B616" s="8">
        <f t="shared" si="117"/>
        <v>2</v>
      </c>
      <c r="C616" s="6">
        <v>46063</v>
      </c>
      <c r="D616" s="15">
        <f t="shared" ca="1" si="118"/>
        <v>46097</v>
      </c>
      <c r="E616" s="15" t="str">
        <f t="shared" ca="1" si="119"/>
        <v>1-Months</v>
      </c>
      <c r="F616" s="8" t="str">
        <f>VLOOKUP(N616,Stock[#Data],5,FALSE)</f>
        <v>BE</v>
      </c>
      <c r="G616" s="82" t="s">
        <v>1330</v>
      </c>
      <c r="H616" s="15" t="s">
        <v>439</v>
      </c>
      <c r="I616" s="7" t="s">
        <v>799</v>
      </c>
      <c r="J616" s="8" t="str">
        <f>VLOOKUP(I616,Customers[#Data],2,FALSE)</f>
        <v>ဖြိုး</v>
      </c>
      <c r="K616" s="15" t="str">
        <f>VLOOKUP(I616,Customers[#Data],4,FALSE)</f>
        <v>Maw La Myaing</v>
      </c>
      <c r="L616" s="15" t="str">
        <f>VLOOKUP(I616,Customers[#Data],5,FALSE)</f>
        <v>Van Sales</v>
      </c>
      <c r="M616" s="7" t="s">
        <v>6</v>
      </c>
      <c r="N616" s="7" t="s">
        <v>508</v>
      </c>
      <c r="O616" s="14" t="str">
        <f>VLOOKUP(N616,Stock[#Data],2,FALSE)</f>
        <v>ကောင်းကြည်-1Li</v>
      </c>
      <c r="P616" s="44">
        <f>VLOOKUP(N616,Stock[#Data],3,FALSE)</f>
        <v>1</v>
      </c>
      <c r="Q616" s="3">
        <f>VLOOKUP(N616,Stock[#Data],4,FALSE)</f>
        <v>12</v>
      </c>
      <c r="R616" s="11"/>
      <c r="S616" s="45">
        <f>IFERROR(Table4[[#This Row],[Bottle]]/Table4[[#This Row],[ပါဝင်မှု]]+Table4[[#This Row],[SalesPK]],0)</f>
        <v>1</v>
      </c>
      <c r="T616" s="12">
        <v>1</v>
      </c>
      <c r="U616" s="10">
        <f>Table4[[#This Row],[ပါဝင်မှု]]*Table4[[#This Row],[SalesPK]]+Table4[[#This Row],[Bottle]]</f>
        <v>12</v>
      </c>
      <c r="V616" s="10">
        <f>Table4[[#This Row],[SalesBot]]*Table4[[#This Row],[ML]]</f>
        <v>12</v>
      </c>
      <c r="W616" s="1">
        <f>VLOOKUP(N616,Stock[#Data],6,FALSE)</f>
        <v>1850</v>
      </c>
      <c r="X616" s="8">
        <f>+Table4[[#This Row],[SalesBot]]*Table4[[#This Row],[နှုံး]]</f>
        <v>22200</v>
      </c>
      <c r="Y616" s="12"/>
      <c r="Z616" s="12"/>
      <c r="AA616" s="12"/>
      <c r="AB616" s="9"/>
      <c r="AC616" s="12"/>
      <c r="AD616" s="9"/>
      <c r="AE616" s="12"/>
      <c r="AF61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616" s="24"/>
      <c r="AH616" s="266">
        <f>Table4[[#This Row],[Date]]</f>
        <v>46063</v>
      </c>
      <c r="AI616" s="264" t="str">
        <f t="shared" si="120"/>
        <v>Feb</v>
      </c>
      <c r="AJ616" s="264" t="str">
        <f t="shared" si="121"/>
        <v>2026</v>
      </c>
      <c r="AK616" s="270" t="str">
        <f>Table4[[#This Row],[ကုန်သည်အမည်]]</f>
        <v>ဖြိုး</v>
      </c>
      <c r="AL616" s="270" t="str">
        <f>Table4[[#This Row],[Township]]</f>
        <v>Maw La Myaing</v>
      </c>
      <c r="AM616" s="271" t="str">
        <f>Table4[[#This Row],[WholeSales]]</f>
        <v>Van Sales</v>
      </c>
      <c r="AN616" s="272" t="str">
        <f>Table4[[#This Row],[Particular]]</f>
        <v>ကုန်ရောင်း(လက်ငင်း)</v>
      </c>
      <c r="AO616" s="273" t="str">
        <f>Table4[[#This Row],[StockName]]</f>
        <v>ကောင်းကြည်-1Li</v>
      </c>
      <c r="AP616" s="268">
        <f>Table4[[#This Row],[Parking]]</f>
        <v>1</v>
      </c>
      <c r="AQ616" s="268">
        <f>Table4[[#This Row],[SalesBot]]</f>
        <v>12</v>
      </c>
      <c r="AR616" s="268">
        <f>Table4[[#This Row],[Liter]]</f>
        <v>12</v>
      </c>
    </row>
    <row r="617" spans="1:44" s="16" customFormat="1" hidden="1" x14ac:dyDescent="0.5">
      <c r="A617" s="3">
        <f t="shared" si="116"/>
        <v>2026</v>
      </c>
      <c r="B617" s="8">
        <f t="shared" si="117"/>
        <v>2</v>
      </c>
      <c r="C617" s="6">
        <v>46063</v>
      </c>
      <c r="D617" s="15">
        <f t="shared" ca="1" si="118"/>
        <v>46097</v>
      </c>
      <c r="E617" s="15" t="str">
        <f t="shared" ca="1" si="119"/>
        <v>1-Months</v>
      </c>
      <c r="F617" s="8" t="str">
        <f>VLOOKUP(N617,Stock[#Data],5,FALSE)</f>
        <v>BE</v>
      </c>
      <c r="G617" s="82" t="s">
        <v>1330</v>
      </c>
      <c r="H617" s="15" t="s">
        <v>439</v>
      </c>
      <c r="I617" s="7" t="s">
        <v>799</v>
      </c>
      <c r="J617" s="8" t="str">
        <f>VLOOKUP(I617,Customers[#Data],2,FALSE)</f>
        <v>ဖြိုး</v>
      </c>
      <c r="K617" s="15" t="str">
        <f>VLOOKUP(I617,Customers[#Data],4,FALSE)</f>
        <v>Maw La Myaing</v>
      </c>
      <c r="L617" s="15" t="str">
        <f>VLOOKUP(I617,Customers[#Data],5,FALSE)</f>
        <v>Van Sales</v>
      </c>
      <c r="M617" s="7" t="s">
        <v>6</v>
      </c>
      <c r="N617" s="7" t="s">
        <v>425</v>
      </c>
      <c r="O617" s="14" t="str">
        <f>VLOOKUP(N617,Stock[#Data],2,FALSE)</f>
        <v>ကောင်းကြည်-1Li</v>
      </c>
      <c r="P617" s="44">
        <f>VLOOKUP(N617,Stock[#Data],3,FALSE)</f>
        <v>1</v>
      </c>
      <c r="Q617" s="3">
        <f>VLOOKUP(N617,Stock[#Data],4,FALSE)</f>
        <v>12</v>
      </c>
      <c r="R617" s="11"/>
      <c r="S617" s="45">
        <f>IFERROR(Table4[[#This Row],[Bottle]]/Table4[[#This Row],[ပါဝင်မှု]]+Table4[[#This Row],[SalesPK]],0)</f>
        <v>1</v>
      </c>
      <c r="T617" s="12">
        <v>1</v>
      </c>
      <c r="U617" s="10">
        <f>Table4[[#This Row],[ပါဝင်မှု]]*Table4[[#This Row],[SalesPK]]+Table4[[#This Row],[Bottle]]</f>
        <v>12</v>
      </c>
      <c r="V617" s="10">
        <f>Table4[[#This Row],[SalesBot]]*Table4[[#This Row],[ML]]</f>
        <v>12</v>
      </c>
      <c r="W617" s="1">
        <f>VLOOKUP(N617,Stock[#Data],6,FALSE)</f>
        <v>1500</v>
      </c>
      <c r="X617" s="8">
        <f>+Table4[[#This Row],[SalesBot]]*Table4[[#This Row],[နှုံး]]</f>
        <v>18000</v>
      </c>
      <c r="Y617" s="12"/>
      <c r="Z617" s="12"/>
      <c r="AA617" s="12"/>
      <c r="AB617" s="9"/>
      <c r="AC617" s="12"/>
      <c r="AD617" s="9"/>
      <c r="AE617" s="12"/>
      <c r="AF61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617" s="24"/>
      <c r="AH617" s="266">
        <f>Table4[[#This Row],[Date]]</f>
        <v>46063</v>
      </c>
      <c r="AI617" s="264" t="str">
        <f t="shared" si="120"/>
        <v>Feb</v>
      </c>
      <c r="AJ617" s="264" t="str">
        <f t="shared" si="121"/>
        <v>2026</v>
      </c>
      <c r="AK617" s="270" t="str">
        <f>Table4[[#This Row],[ကုန်သည်အမည်]]</f>
        <v>ဖြိုး</v>
      </c>
      <c r="AL617" s="270" t="str">
        <f>Table4[[#This Row],[Township]]</f>
        <v>Maw La Myaing</v>
      </c>
      <c r="AM617" s="271" t="str">
        <f>Table4[[#This Row],[WholeSales]]</f>
        <v>Van Sales</v>
      </c>
      <c r="AN617" s="272" t="str">
        <f>Table4[[#This Row],[Particular]]</f>
        <v>ကုန်ရောင်း(လက်ငင်း)</v>
      </c>
      <c r="AO617" s="273" t="str">
        <f>Table4[[#This Row],[StockName]]</f>
        <v>ကောင်းကြည်-1Li</v>
      </c>
      <c r="AP617" s="268">
        <f>Table4[[#This Row],[Parking]]</f>
        <v>1</v>
      </c>
      <c r="AQ617" s="268">
        <f>Table4[[#This Row],[SalesBot]]</f>
        <v>12</v>
      </c>
      <c r="AR617" s="268">
        <f>Table4[[#This Row],[Liter]]</f>
        <v>12</v>
      </c>
    </row>
    <row r="618" spans="1:44" s="16" customFormat="1" hidden="1" x14ac:dyDescent="0.5">
      <c r="A618" s="3">
        <f t="shared" si="116"/>
        <v>2026</v>
      </c>
      <c r="B618" s="8">
        <f t="shared" si="117"/>
        <v>2</v>
      </c>
      <c r="C618" s="6">
        <v>46063</v>
      </c>
      <c r="D618" s="15">
        <f t="shared" ca="1" si="118"/>
        <v>46097</v>
      </c>
      <c r="E618" s="15" t="str">
        <f t="shared" ca="1" si="119"/>
        <v>1-Months</v>
      </c>
      <c r="F618" s="8" t="str">
        <f>VLOOKUP(N618,Stock[#Data],5,FALSE)</f>
        <v>BE</v>
      </c>
      <c r="G618" s="82" t="s">
        <v>1330</v>
      </c>
      <c r="H618" s="15"/>
      <c r="I618" s="7" t="s">
        <v>799</v>
      </c>
      <c r="J618" s="8" t="str">
        <f>VLOOKUP(I618,Customers[#Data],2,FALSE)</f>
        <v>ဖြိုး</v>
      </c>
      <c r="K618" s="15" t="str">
        <f>VLOOKUP(I618,Customers[#Data],4,FALSE)</f>
        <v>Maw La Myaing</v>
      </c>
      <c r="L618" s="15" t="str">
        <f>VLOOKUP(I618,Customers[#Data],5,FALSE)</f>
        <v>Van Sales</v>
      </c>
      <c r="M618" s="7" t="s">
        <v>9</v>
      </c>
      <c r="N618" s="7" t="s">
        <v>522</v>
      </c>
      <c r="O618" s="14" t="str">
        <f>VLOOKUP(N618,Stock[#Data],2,FALSE)</f>
        <v>ဒဂုံမန်ကျည်း ကော်ဘူး (1 Liter)</v>
      </c>
      <c r="P618" s="44">
        <f>VLOOKUP(N618,Stock[#Data],3,FALSE)</f>
        <v>1</v>
      </c>
      <c r="Q618" s="3">
        <f>VLOOKUP(N618,Stock[#Data],4,FALSE)</f>
        <v>12</v>
      </c>
      <c r="R618" s="12">
        <v>1</v>
      </c>
      <c r="S618" s="45">
        <f>IFERROR(Table4[[#This Row],[Bottle]]/Table4[[#This Row],[ပါဝင်မှု]]+Table4[[#This Row],[SalesPK]],0)</f>
        <v>8.3333333333333329E-2</v>
      </c>
      <c r="T618" s="12"/>
      <c r="U618" s="10">
        <f>Table4[[#This Row],[ပါဝင်မှု]]*Table4[[#This Row],[SalesPK]]+Table4[[#This Row],[Bottle]]</f>
        <v>1</v>
      </c>
      <c r="V618" s="10">
        <f>Table4[[#This Row],[SalesBot]]*Table4[[#This Row],[ML]]</f>
        <v>1</v>
      </c>
      <c r="W618" s="1">
        <f>VLOOKUP(N618,Stock[#Data],6,FALSE)</f>
        <v>1600</v>
      </c>
      <c r="X618" s="8">
        <f>+Table4[[#This Row],[SalesBot]]*Table4[[#This Row],[နှုံး]]</f>
        <v>1600</v>
      </c>
      <c r="Y618" s="12"/>
      <c r="Z618" s="12"/>
      <c r="AA618" s="12"/>
      <c r="AB618" s="9"/>
      <c r="AC618" s="12"/>
      <c r="AD618" s="9"/>
      <c r="AE618" s="12"/>
      <c r="AF61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618" s="24"/>
      <c r="AH618" s="266">
        <f>Table4[[#This Row],[Date]]</f>
        <v>46063</v>
      </c>
      <c r="AI618" s="264" t="str">
        <f t="shared" si="120"/>
        <v>Feb</v>
      </c>
      <c r="AJ618" s="264" t="str">
        <f t="shared" si="121"/>
        <v>2026</v>
      </c>
      <c r="AK618" s="270" t="str">
        <f>Table4[[#This Row],[ကုန်သည်အမည်]]</f>
        <v>ဖြိုး</v>
      </c>
      <c r="AL618" s="270" t="str">
        <f>Table4[[#This Row],[Township]]</f>
        <v>Maw La Myaing</v>
      </c>
      <c r="AM618" s="271" t="str">
        <f>Table4[[#This Row],[WholeSales]]</f>
        <v>Van Sales</v>
      </c>
      <c r="AN618" s="272" t="str">
        <f>Table4[[#This Row],[Particular]]</f>
        <v>လက်ဆောင်</v>
      </c>
      <c r="AO618" s="273" t="str">
        <f>Table4[[#This Row],[StockName]]</f>
        <v>ဒဂုံမန်ကျည်း ကော်ဘူး (1 Liter)</v>
      </c>
      <c r="AP618" s="268">
        <f>Table4[[#This Row],[Parking]]</f>
        <v>8.3333333333333329E-2</v>
      </c>
      <c r="AQ618" s="268">
        <f>Table4[[#This Row],[SalesBot]]</f>
        <v>1</v>
      </c>
      <c r="AR618" s="268">
        <f>Table4[[#This Row],[Liter]]</f>
        <v>1</v>
      </c>
    </row>
    <row r="619" spans="1:44" s="16" customFormat="1" hidden="1" x14ac:dyDescent="0.5">
      <c r="A619" s="3">
        <f t="shared" si="116"/>
        <v>2026</v>
      </c>
      <c r="B619" s="8">
        <f t="shared" si="117"/>
        <v>2</v>
      </c>
      <c r="C619" s="6">
        <v>46063</v>
      </c>
      <c r="D619" s="15">
        <f t="shared" ca="1" si="118"/>
        <v>46097</v>
      </c>
      <c r="E619" s="15" t="str">
        <f t="shared" ca="1" si="119"/>
        <v>1-Months</v>
      </c>
      <c r="F619" s="8" t="str">
        <f>VLOOKUP(N619,Stock[#Data],5,FALSE)</f>
        <v>BE</v>
      </c>
      <c r="G619" s="82" t="s">
        <v>1330</v>
      </c>
      <c r="H619" s="15"/>
      <c r="I619" s="7" t="s">
        <v>799</v>
      </c>
      <c r="J619" s="8" t="str">
        <f>VLOOKUP(I619,Customers[#Data],2,FALSE)</f>
        <v>ဖြိုး</v>
      </c>
      <c r="K619" s="15" t="str">
        <f>VLOOKUP(I619,Customers[#Data],4,FALSE)</f>
        <v>Maw La Myaing</v>
      </c>
      <c r="L619" s="15" t="str">
        <f>VLOOKUP(I619,Customers[#Data],5,FALSE)</f>
        <v>Van Sales</v>
      </c>
      <c r="M619" s="7" t="s">
        <v>9</v>
      </c>
      <c r="N619" s="7" t="s">
        <v>508</v>
      </c>
      <c r="O619" s="14" t="str">
        <f>VLOOKUP(N619,Stock[#Data],2,FALSE)</f>
        <v>ကောင်းကြည်-1Li</v>
      </c>
      <c r="P619" s="44">
        <f>VLOOKUP(N619,Stock[#Data],3,FALSE)</f>
        <v>1</v>
      </c>
      <c r="Q619" s="3">
        <f>VLOOKUP(N619,Stock[#Data],4,FALSE)</f>
        <v>12</v>
      </c>
      <c r="R619" s="12">
        <v>1</v>
      </c>
      <c r="S619" s="45">
        <f>IFERROR(Table4[[#This Row],[Bottle]]/Table4[[#This Row],[ပါဝင်မှု]]+Table4[[#This Row],[SalesPK]],0)</f>
        <v>8.3333333333333329E-2</v>
      </c>
      <c r="T619" s="12"/>
      <c r="U619" s="10">
        <f>Table4[[#This Row],[ပါဝင်မှု]]*Table4[[#This Row],[SalesPK]]+Table4[[#This Row],[Bottle]]</f>
        <v>1</v>
      </c>
      <c r="V619" s="10">
        <f>Table4[[#This Row],[SalesBot]]*Table4[[#This Row],[ML]]</f>
        <v>1</v>
      </c>
      <c r="W619" s="1">
        <f>VLOOKUP(N619,Stock[#Data],6,FALSE)</f>
        <v>1850</v>
      </c>
      <c r="X619" s="8">
        <f>+Table4[[#This Row],[SalesBot]]*Table4[[#This Row],[နှုံး]]</f>
        <v>1850</v>
      </c>
      <c r="Y619" s="12"/>
      <c r="Z619" s="12"/>
      <c r="AA619" s="12"/>
      <c r="AB619" s="9"/>
      <c r="AC619" s="12"/>
      <c r="AD619" s="9"/>
      <c r="AE619" s="12"/>
      <c r="AF61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619" s="24"/>
      <c r="AH619" s="266">
        <f>Table4[[#This Row],[Date]]</f>
        <v>46063</v>
      </c>
      <c r="AI619" s="264" t="str">
        <f t="shared" si="120"/>
        <v>Feb</v>
      </c>
      <c r="AJ619" s="264" t="str">
        <f t="shared" si="121"/>
        <v>2026</v>
      </c>
      <c r="AK619" s="270" t="str">
        <f>Table4[[#This Row],[ကုန်သည်အမည်]]</f>
        <v>ဖြိုး</v>
      </c>
      <c r="AL619" s="270" t="str">
        <f>Table4[[#This Row],[Township]]</f>
        <v>Maw La Myaing</v>
      </c>
      <c r="AM619" s="271" t="str">
        <f>Table4[[#This Row],[WholeSales]]</f>
        <v>Van Sales</v>
      </c>
      <c r="AN619" s="272" t="str">
        <f>Table4[[#This Row],[Particular]]</f>
        <v>လက်ဆောင်</v>
      </c>
      <c r="AO619" s="273" t="str">
        <f>Table4[[#This Row],[StockName]]</f>
        <v>ကောင်းကြည်-1Li</v>
      </c>
      <c r="AP619" s="268">
        <f>Table4[[#This Row],[Parking]]</f>
        <v>8.3333333333333329E-2</v>
      </c>
      <c r="AQ619" s="268">
        <f>Table4[[#This Row],[SalesBot]]</f>
        <v>1</v>
      </c>
      <c r="AR619" s="268">
        <f>Table4[[#This Row],[Liter]]</f>
        <v>1</v>
      </c>
    </row>
    <row r="620" spans="1:44" s="16" customFormat="1" hidden="1" x14ac:dyDescent="0.5">
      <c r="A620" s="3">
        <f t="shared" si="116"/>
        <v>2026</v>
      </c>
      <c r="B620" s="8">
        <f t="shared" si="117"/>
        <v>2</v>
      </c>
      <c r="C620" s="6">
        <v>46063</v>
      </c>
      <c r="D620" s="15">
        <f t="shared" ca="1" si="118"/>
        <v>46097</v>
      </c>
      <c r="E620" s="15" t="str">
        <f t="shared" ca="1" si="119"/>
        <v>1-Months</v>
      </c>
      <c r="F620" s="8" t="str">
        <f>VLOOKUP(N620,Stock[#Data],5,FALSE)</f>
        <v>BE</v>
      </c>
      <c r="G620" s="82" t="s">
        <v>1330</v>
      </c>
      <c r="H620" s="15"/>
      <c r="I620" s="7" t="s">
        <v>799</v>
      </c>
      <c r="J620" s="8" t="str">
        <f>VLOOKUP(I620,Customers[#Data],2,FALSE)</f>
        <v>ဖြိုး</v>
      </c>
      <c r="K620" s="15" t="str">
        <f>VLOOKUP(I620,Customers[#Data],4,FALSE)</f>
        <v>Maw La Myaing</v>
      </c>
      <c r="L620" s="15" t="str">
        <f>VLOOKUP(I620,Customers[#Data],5,FALSE)</f>
        <v>Van Sales</v>
      </c>
      <c r="M620" s="7" t="s">
        <v>9</v>
      </c>
      <c r="N620" s="7" t="s">
        <v>425</v>
      </c>
      <c r="O620" s="14" t="str">
        <f>VLOOKUP(N620,Stock[#Data],2,FALSE)</f>
        <v>ကောင်းကြည်-1Li</v>
      </c>
      <c r="P620" s="44">
        <f>VLOOKUP(N620,Stock[#Data],3,FALSE)</f>
        <v>1</v>
      </c>
      <c r="Q620" s="3">
        <f>VLOOKUP(N620,Stock[#Data],4,FALSE)</f>
        <v>12</v>
      </c>
      <c r="R620" s="12">
        <v>1</v>
      </c>
      <c r="S620" s="45">
        <f>IFERROR(Table4[[#This Row],[Bottle]]/Table4[[#This Row],[ပါဝင်မှု]]+Table4[[#This Row],[SalesPK]],0)</f>
        <v>8.3333333333333329E-2</v>
      </c>
      <c r="T620" s="12"/>
      <c r="U620" s="10">
        <f>Table4[[#This Row],[ပါဝင်မှု]]*Table4[[#This Row],[SalesPK]]+Table4[[#This Row],[Bottle]]</f>
        <v>1</v>
      </c>
      <c r="V620" s="10">
        <f>Table4[[#This Row],[SalesBot]]*Table4[[#This Row],[ML]]</f>
        <v>1</v>
      </c>
      <c r="W620" s="1">
        <f>VLOOKUP(N620,Stock[#Data],6,FALSE)</f>
        <v>1500</v>
      </c>
      <c r="X620" s="8">
        <f>+Table4[[#This Row],[SalesBot]]*Table4[[#This Row],[နှုံး]]</f>
        <v>1500</v>
      </c>
      <c r="Y620" s="12"/>
      <c r="Z620" s="12"/>
      <c r="AA620" s="12"/>
      <c r="AB620" s="9"/>
      <c r="AC620" s="12"/>
      <c r="AD620" s="9"/>
      <c r="AE620" s="12"/>
      <c r="AF62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620" s="24"/>
      <c r="AH620" s="266">
        <f>Table4[[#This Row],[Date]]</f>
        <v>46063</v>
      </c>
      <c r="AI620" s="264" t="str">
        <f t="shared" si="120"/>
        <v>Feb</v>
      </c>
      <c r="AJ620" s="264" t="str">
        <f t="shared" si="121"/>
        <v>2026</v>
      </c>
      <c r="AK620" s="270" t="str">
        <f>Table4[[#This Row],[ကုန်သည်အမည်]]</f>
        <v>ဖြိုး</v>
      </c>
      <c r="AL620" s="270" t="str">
        <f>Table4[[#This Row],[Township]]</f>
        <v>Maw La Myaing</v>
      </c>
      <c r="AM620" s="271" t="str">
        <f>Table4[[#This Row],[WholeSales]]</f>
        <v>Van Sales</v>
      </c>
      <c r="AN620" s="272" t="str">
        <f>Table4[[#This Row],[Particular]]</f>
        <v>လက်ဆောင်</v>
      </c>
      <c r="AO620" s="273" t="str">
        <f>Table4[[#This Row],[StockName]]</f>
        <v>ကောင်းကြည်-1Li</v>
      </c>
      <c r="AP620" s="268">
        <f>Table4[[#This Row],[Parking]]</f>
        <v>8.3333333333333329E-2</v>
      </c>
      <c r="AQ620" s="268">
        <f>Table4[[#This Row],[SalesBot]]</f>
        <v>1</v>
      </c>
      <c r="AR620" s="268">
        <f>Table4[[#This Row],[Liter]]</f>
        <v>1</v>
      </c>
    </row>
    <row r="621" spans="1:44" s="16" customFormat="1" hidden="1" x14ac:dyDescent="0.5">
      <c r="A621" s="3">
        <f t="shared" si="116"/>
        <v>2026</v>
      </c>
      <c r="B621" s="8">
        <f t="shared" si="117"/>
        <v>2</v>
      </c>
      <c r="C621" s="6">
        <v>46063</v>
      </c>
      <c r="D621" s="15">
        <f t="shared" ca="1" si="118"/>
        <v>46097</v>
      </c>
      <c r="E621" s="15" t="str">
        <f t="shared" ca="1" si="119"/>
        <v>1-Months</v>
      </c>
      <c r="F621" s="8" t="str">
        <f>VLOOKUP(N621,Stock[#Data],5,FALSE)</f>
        <v>BE</v>
      </c>
      <c r="G621" s="82" t="s">
        <v>1331</v>
      </c>
      <c r="H621" s="15" t="s">
        <v>439</v>
      </c>
      <c r="I621" s="7" t="s">
        <v>731</v>
      </c>
      <c r="J621" s="8" t="str">
        <f>VLOOKUP(I621,Customers[#Data],2,FALSE)</f>
        <v>ဘီလျှံနာ</v>
      </c>
      <c r="K621" s="15" t="str">
        <f>VLOOKUP(I621,Customers[#Data],4,FALSE)</f>
        <v>Maw La Myaing</v>
      </c>
      <c r="L621" s="15" t="str">
        <f>VLOOKUP(I621,Customers[#Data],5,FALSE)</f>
        <v>Van Sales</v>
      </c>
      <c r="M621" s="7" t="s">
        <v>6</v>
      </c>
      <c r="N621" s="7" t="s">
        <v>522</v>
      </c>
      <c r="O621" s="14" t="str">
        <f>VLOOKUP(N621,Stock[#Data],2,FALSE)</f>
        <v>ဒဂုံမန်ကျည်း ကော်ဘူး (1 Liter)</v>
      </c>
      <c r="P621" s="44">
        <f>VLOOKUP(N621,Stock[#Data],3,FALSE)</f>
        <v>1</v>
      </c>
      <c r="Q621" s="3">
        <f>VLOOKUP(N621,Stock[#Data],4,FALSE)</f>
        <v>12</v>
      </c>
      <c r="R621" s="11"/>
      <c r="S621" s="45">
        <f>IFERROR(Table4[[#This Row],[Bottle]]/Table4[[#This Row],[ပါဝင်မှု]]+Table4[[#This Row],[SalesPK]],0)</f>
        <v>1</v>
      </c>
      <c r="T621" s="12">
        <v>1</v>
      </c>
      <c r="U621" s="10">
        <f>Table4[[#This Row],[ပါဝင်မှု]]*Table4[[#This Row],[SalesPK]]+Table4[[#This Row],[Bottle]]</f>
        <v>12</v>
      </c>
      <c r="V621" s="10">
        <f>Table4[[#This Row],[SalesBot]]*Table4[[#This Row],[ML]]</f>
        <v>12</v>
      </c>
      <c r="W621" s="1">
        <f>VLOOKUP(N621,Stock[#Data],6,FALSE)</f>
        <v>1600</v>
      </c>
      <c r="X621" s="8">
        <f>+Table4[[#This Row],[SalesBot]]*Table4[[#This Row],[နှုံး]]</f>
        <v>19200</v>
      </c>
      <c r="Y621" s="12"/>
      <c r="Z621" s="12"/>
      <c r="AA621" s="12"/>
      <c r="AB621" s="9"/>
      <c r="AC621" s="12"/>
      <c r="AD621" s="9"/>
      <c r="AE621" s="12"/>
      <c r="AF62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621" s="24"/>
      <c r="AH621" s="266">
        <f>Table4[[#This Row],[Date]]</f>
        <v>46063</v>
      </c>
      <c r="AI621" s="264" t="str">
        <f t="shared" si="120"/>
        <v>Feb</v>
      </c>
      <c r="AJ621" s="264" t="str">
        <f t="shared" si="121"/>
        <v>2026</v>
      </c>
      <c r="AK621" s="270" t="str">
        <f>Table4[[#This Row],[ကုန်သည်အမည်]]</f>
        <v>ဘီလျှံနာ</v>
      </c>
      <c r="AL621" s="270" t="str">
        <f>Table4[[#This Row],[Township]]</f>
        <v>Maw La Myaing</v>
      </c>
      <c r="AM621" s="271" t="str">
        <f>Table4[[#This Row],[WholeSales]]</f>
        <v>Van Sales</v>
      </c>
      <c r="AN621" s="272" t="str">
        <f>Table4[[#This Row],[Particular]]</f>
        <v>ကုန်ရောင်း(လက်ငင်း)</v>
      </c>
      <c r="AO621" s="273" t="str">
        <f>Table4[[#This Row],[StockName]]</f>
        <v>ဒဂုံမန်ကျည်း ကော်ဘူး (1 Liter)</v>
      </c>
      <c r="AP621" s="268">
        <f>Table4[[#This Row],[Parking]]</f>
        <v>1</v>
      </c>
      <c r="AQ621" s="268">
        <f>Table4[[#This Row],[SalesBot]]</f>
        <v>12</v>
      </c>
      <c r="AR621" s="268">
        <f>Table4[[#This Row],[Liter]]</f>
        <v>12</v>
      </c>
    </row>
    <row r="622" spans="1:44" s="16" customFormat="1" hidden="1" x14ac:dyDescent="0.5">
      <c r="A622" s="3">
        <f t="shared" si="116"/>
        <v>2026</v>
      </c>
      <c r="B622" s="8">
        <f t="shared" si="117"/>
        <v>2</v>
      </c>
      <c r="C622" s="6">
        <v>46063</v>
      </c>
      <c r="D622" s="15">
        <f t="shared" ca="1" si="118"/>
        <v>46097</v>
      </c>
      <c r="E622" s="15" t="str">
        <f t="shared" ca="1" si="119"/>
        <v>1-Months</v>
      </c>
      <c r="F622" s="8" t="str">
        <f>VLOOKUP(N622,Stock[#Data],5,FALSE)</f>
        <v>BE</v>
      </c>
      <c r="G622" s="82" t="s">
        <v>1331</v>
      </c>
      <c r="H622" s="15" t="s">
        <v>439</v>
      </c>
      <c r="I622" s="7" t="s">
        <v>731</v>
      </c>
      <c r="J622" s="8" t="str">
        <f>VLOOKUP(I622,Customers[#Data],2,FALSE)</f>
        <v>ဘီလျှံနာ</v>
      </c>
      <c r="K622" s="15" t="str">
        <f>VLOOKUP(I622,Customers[#Data],4,FALSE)</f>
        <v>Maw La Myaing</v>
      </c>
      <c r="L622" s="15" t="str">
        <f>VLOOKUP(I622,Customers[#Data],5,FALSE)</f>
        <v>Van Sales</v>
      </c>
      <c r="M622" s="7" t="s">
        <v>6</v>
      </c>
      <c r="N622" s="7" t="s">
        <v>508</v>
      </c>
      <c r="O622" s="14" t="str">
        <f>VLOOKUP(N622,Stock[#Data],2,FALSE)</f>
        <v>ကောင်းကြည်-1Li</v>
      </c>
      <c r="P622" s="44">
        <f>VLOOKUP(N622,Stock[#Data],3,FALSE)</f>
        <v>1</v>
      </c>
      <c r="Q622" s="3">
        <f>VLOOKUP(N622,Stock[#Data],4,FALSE)</f>
        <v>12</v>
      </c>
      <c r="R622" s="11"/>
      <c r="S622" s="45">
        <f>IFERROR(Table4[[#This Row],[Bottle]]/Table4[[#This Row],[ပါဝင်မှု]]+Table4[[#This Row],[SalesPK]],0)</f>
        <v>1</v>
      </c>
      <c r="T622" s="12">
        <v>1</v>
      </c>
      <c r="U622" s="10">
        <f>Table4[[#This Row],[ပါဝင်မှု]]*Table4[[#This Row],[SalesPK]]+Table4[[#This Row],[Bottle]]</f>
        <v>12</v>
      </c>
      <c r="V622" s="10">
        <f>Table4[[#This Row],[SalesBot]]*Table4[[#This Row],[ML]]</f>
        <v>12</v>
      </c>
      <c r="W622" s="1">
        <f>VLOOKUP(N622,Stock[#Data],6,FALSE)</f>
        <v>1850</v>
      </c>
      <c r="X622" s="8">
        <f>+Table4[[#This Row],[SalesBot]]*Table4[[#This Row],[နှုံး]]</f>
        <v>22200</v>
      </c>
      <c r="Y622" s="12"/>
      <c r="Z622" s="12"/>
      <c r="AA622" s="12"/>
      <c r="AB622" s="9"/>
      <c r="AC622" s="12"/>
      <c r="AD622" s="9"/>
      <c r="AE622" s="12"/>
      <c r="AF62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622" s="24"/>
      <c r="AH622" s="266">
        <f>Table4[[#This Row],[Date]]</f>
        <v>46063</v>
      </c>
      <c r="AI622" s="264" t="str">
        <f t="shared" si="120"/>
        <v>Feb</v>
      </c>
      <c r="AJ622" s="264" t="str">
        <f t="shared" si="121"/>
        <v>2026</v>
      </c>
      <c r="AK622" s="270" t="str">
        <f>Table4[[#This Row],[ကုန်သည်အမည်]]</f>
        <v>ဘီလျှံနာ</v>
      </c>
      <c r="AL622" s="270" t="str">
        <f>Table4[[#This Row],[Township]]</f>
        <v>Maw La Myaing</v>
      </c>
      <c r="AM622" s="271" t="str">
        <f>Table4[[#This Row],[WholeSales]]</f>
        <v>Van Sales</v>
      </c>
      <c r="AN622" s="272" t="str">
        <f>Table4[[#This Row],[Particular]]</f>
        <v>ကုန်ရောင်း(လက်ငင်း)</v>
      </c>
      <c r="AO622" s="273" t="str">
        <f>Table4[[#This Row],[StockName]]</f>
        <v>ကောင်းကြည်-1Li</v>
      </c>
      <c r="AP622" s="268">
        <f>Table4[[#This Row],[Parking]]</f>
        <v>1</v>
      </c>
      <c r="AQ622" s="268">
        <f>Table4[[#This Row],[SalesBot]]</f>
        <v>12</v>
      </c>
      <c r="AR622" s="268">
        <f>Table4[[#This Row],[Liter]]</f>
        <v>12</v>
      </c>
    </row>
    <row r="623" spans="1:44" s="16" customFormat="1" hidden="1" x14ac:dyDescent="0.5">
      <c r="A623" s="3">
        <f t="shared" si="116"/>
        <v>2026</v>
      </c>
      <c r="B623" s="8">
        <f t="shared" si="117"/>
        <v>2</v>
      </c>
      <c r="C623" s="6">
        <v>46063</v>
      </c>
      <c r="D623" s="15">
        <f t="shared" ca="1" si="118"/>
        <v>46097</v>
      </c>
      <c r="E623" s="15" t="str">
        <f t="shared" ca="1" si="119"/>
        <v>1-Months</v>
      </c>
      <c r="F623" s="8" t="str">
        <f>VLOOKUP(N623,Stock[#Data],5,FALSE)</f>
        <v>BE</v>
      </c>
      <c r="G623" s="82" t="s">
        <v>1331</v>
      </c>
      <c r="H623" s="15"/>
      <c r="I623" s="7" t="s">
        <v>731</v>
      </c>
      <c r="J623" s="8" t="str">
        <f>VLOOKUP(I623,Customers[#Data],2,FALSE)</f>
        <v>ဘီလျှံနာ</v>
      </c>
      <c r="K623" s="15" t="str">
        <f>VLOOKUP(I623,Customers[#Data],4,FALSE)</f>
        <v>Maw La Myaing</v>
      </c>
      <c r="L623" s="15" t="str">
        <f>VLOOKUP(I623,Customers[#Data],5,FALSE)</f>
        <v>Van Sales</v>
      </c>
      <c r="M623" s="7" t="s">
        <v>9</v>
      </c>
      <c r="N623" s="7" t="s">
        <v>522</v>
      </c>
      <c r="O623" s="14" t="str">
        <f>VLOOKUP(N623,Stock[#Data],2,FALSE)</f>
        <v>ဒဂုံမန်ကျည်း ကော်ဘူး (1 Liter)</v>
      </c>
      <c r="P623" s="44">
        <f>VLOOKUP(N623,Stock[#Data],3,FALSE)</f>
        <v>1</v>
      </c>
      <c r="Q623" s="3">
        <f>VLOOKUP(N623,Stock[#Data],4,FALSE)</f>
        <v>12</v>
      </c>
      <c r="R623" s="11">
        <v>1</v>
      </c>
      <c r="S623" s="45">
        <f>IFERROR(Table4[[#This Row],[Bottle]]/Table4[[#This Row],[ပါဝင်မှု]]+Table4[[#This Row],[SalesPK]],0)</f>
        <v>8.3333333333333329E-2</v>
      </c>
      <c r="T623" s="12"/>
      <c r="U623" s="10">
        <f>Table4[[#This Row],[ပါဝင်မှု]]*Table4[[#This Row],[SalesPK]]+Table4[[#This Row],[Bottle]]</f>
        <v>1</v>
      </c>
      <c r="V623" s="10">
        <f>Table4[[#This Row],[SalesBot]]*Table4[[#This Row],[ML]]</f>
        <v>1</v>
      </c>
      <c r="W623" s="1">
        <f>VLOOKUP(N623,Stock[#Data],6,FALSE)</f>
        <v>1600</v>
      </c>
      <c r="X623" s="8">
        <f>+Table4[[#This Row],[SalesBot]]*Table4[[#This Row],[နှုံး]]</f>
        <v>1600</v>
      </c>
      <c r="Y623" s="12"/>
      <c r="Z623" s="12"/>
      <c r="AA623" s="12"/>
      <c r="AB623" s="9"/>
      <c r="AC623" s="12"/>
      <c r="AD623" s="9"/>
      <c r="AE623" s="12"/>
      <c r="AF62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623" s="24"/>
      <c r="AH623" s="266">
        <f>Table4[[#This Row],[Date]]</f>
        <v>46063</v>
      </c>
      <c r="AI623" s="264" t="str">
        <f t="shared" si="120"/>
        <v>Feb</v>
      </c>
      <c r="AJ623" s="264" t="str">
        <f t="shared" si="121"/>
        <v>2026</v>
      </c>
      <c r="AK623" s="270" t="str">
        <f>Table4[[#This Row],[ကုန်သည်အမည်]]</f>
        <v>ဘီလျှံနာ</v>
      </c>
      <c r="AL623" s="270" t="str">
        <f>Table4[[#This Row],[Township]]</f>
        <v>Maw La Myaing</v>
      </c>
      <c r="AM623" s="271" t="str">
        <f>Table4[[#This Row],[WholeSales]]</f>
        <v>Van Sales</v>
      </c>
      <c r="AN623" s="272" t="str">
        <f>Table4[[#This Row],[Particular]]</f>
        <v>လက်ဆောင်</v>
      </c>
      <c r="AO623" s="273" t="str">
        <f>Table4[[#This Row],[StockName]]</f>
        <v>ဒဂုံမန်ကျည်း ကော်ဘူး (1 Liter)</v>
      </c>
      <c r="AP623" s="268">
        <f>Table4[[#This Row],[Parking]]</f>
        <v>8.3333333333333329E-2</v>
      </c>
      <c r="AQ623" s="268">
        <f>Table4[[#This Row],[SalesBot]]</f>
        <v>1</v>
      </c>
      <c r="AR623" s="268">
        <f>Table4[[#This Row],[Liter]]</f>
        <v>1</v>
      </c>
    </row>
    <row r="624" spans="1:44" s="16" customFormat="1" hidden="1" x14ac:dyDescent="0.5">
      <c r="A624" s="3">
        <f t="shared" si="116"/>
        <v>2026</v>
      </c>
      <c r="B624" s="8">
        <f t="shared" si="117"/>
        <v>2</v>
      </c>
      <c r="C624" s="6">
        <v>46063</v>
      </c>
      <c r="D624" s="15">
        <f t="shared" ca="1" si="118"/>
        <v>46097</v>
      </c>
      <c r="E624" s="15" t="str">
        <f t="shared" ca="1" si="119"/>
        <v>1-Months</v>
      </c>
      <c r="F624" s="8" t="str">
        <f>VLOOKUP(N624,Stock[#Data],5,FALSE)</f>
        <v>BE</v>
      </c>
      <c r="G624" s="82" t="s">
        <v>1331</v>
      </c>
      <c r="H624" s="15"/>
      <c r="I624" s="7" t="s">
        <v>731</v>
      </c>
      <c r="J624" s="8" t="str">
        <f>VLOOKUP(I624,Customers[#Data],2,FALSE)</f>
        <v>ဘီလျှံနာ</v>
      </c>
      <c r="K624" s="15" t="str">
        <f>VLOOKUP(I624,Customers[#Data],4,FALSE)</f>
        <v>Maw La Myaing</v>
      </c>
      <c r="L624" s="15" t="str">
        <f>VLOOKUP(I624,Customers[#Data],5,FALSE)</f>
        <v>Van Sales</v>
      </c>
      <c r="M624" s="7" t="s">
        <v>9</v>
      </c>
      <c r="N624" s="7" t="s">
        <v>508</v>
      </c>
      <c r="O624" s="14" t="str">
        <f>VLOOKUP(N624,Stock[#Data],2,FALSE)</f>
        <v>ကောင်းကြည်-1Li</v>
      </c>
      <c r="P624" s="44">
        <f>VLOOKUP(N624,Stock[#Data],3,FALSE)</f>
        <v>1</v>
      </c>
      <c r="Q624" s="3">
        <f>VLOOKUP(N624,Stock[#Data],4,FALSE)</f>
        <v>12</v>
      </c>
      <c r="R624" s="11">
        <v>1</v>
      </c>
      <c r="S624" s="45">
        <f>IFERROR(Table4[[#This Row],[Bottle]]/Table4[[#This Row],[ပါဝင်မှု]]+Table4[[#This Row],[SalesPK]],0)</f>
        <v>8.3333333333333329E-2</v>
      </c>
      <c r="T624" s="12"/>
      <c r="U624" s="10">
        <f>Table4[[#This Row],[ပါဝင်မှု]]*Table4[[#This Row],[SalesPK]]+Table4[[#This Row],[Bottle]]</f>
        <v>1</v>
      </c>
      <c r="V624" s="10">
        <f>Table4[[#This Row],[SalesBot]]*Table4[[#This Row],[ML]]</f>
        <v>1</v>
      </c>
      <c r="W624" s="1">
        <f>VLOOKUP(N624,Stock[#Data],6,FALSE)</f>
        <v>1850</v>
      </c>
      <c r="X624" s="8">
        <f>+Table4[[#This Row],[SalesBot]]*Table4[[#This Row],[နှုံး]]</f>
        <v>1850</v>
      </c>
      <c r="Y624" s="12"/>
      <c r="Z624" s="12"/>
      <c r="AA624" s="12"/>
      <c r="AB624" s="9"/>
      <c r="AC624" s="12"/>
      <c r="AD624" s="9"/>
      <c r="AE624" s="12"/>
      <c r="AF62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624" s="24"/>
      <c r="AH624" s="266">
        <f>Table4[[#This Row],[Date]]</f>
        <v>46063</v>
      </c>
      <c r="AI624" s="264" t="str">
        <f t="shared" si="120"/>
        <v>Feb</v>
      </c>
      <c r="AJ624" s="264" t="str">
        <f t="shared" si="121"/>
        <v>2026</v>
      </c>
      <c r="AK624" s="270" t="str">
        <f>Table4[[#This Row],[ကုန်သည်အမည်]]</f>
        <v>ဘီလျှံနာ</v>
      </c>
      <c r="AL624" s="270" t="str">
        <f>Table4[[#This Row],[Township]]</f>
        <v>Maw La Myaing</v>
      </c>
      <c r="AM624" s="271" t="str">
        <f>Table4[[#This Row],[WholeSales]]</f>
        <v>Van Sales</v>
      </c>
      <c r="AN624" s="272" t="str">
        <f>Table4[[#This Row],[Particular]]</f>
        <v>လက်ဆောင်</v>
      </c>
      <c r="AO624" s="273" t="str">
        <f>Table4[[#This Row],[StockName]]</f>
        <v>ကောင်းကြည်-1Li</v>
      </c>
      <c r="AP624" s="268">
        <f>Table4[[#This Row],[Parking]]</f>
        <v>8.3333333333333329E-2</v>
      </c>
      <c r="AQ624" s="268">
        <f>Table4[[#This Row],[SalesBot]]</f>
        <v>1</v>
      </c>
      <c r="AR624" s="268">
        <f>Table4[[#This Row],[Liter]]</f>
        <v>1</v>
      </c>
    </row>
    <row r="625" spans="1:44" s="16" customFormat="1" hidden="1" x14ac:dyDescent="0.5">
      <c r="A625" s="3">
        <f t="shared" si="116"/>
        <v>2026</v>
      </c>
      <c r="B625" s="8">
        <f t="shared" si="117"/>
        <v>2</v>
      </c>
      <c r="C625" s="6">
        <v>46063</v>
      </c>
      <c r="D625" s="15">
        <f t="shared" ca="1" si="118"/>
        <v>46097</v>
      </c>
      <c r="E625" s="15" t="str">
        <f t="shared" ca="1" si="119"/>
        <v>1-Months</v>
      </c>
      <c r="F625" s="8" t="str">
        <f>VLOOKUP(N625,Stock[#Data],5,FALSE)</f>
        <v>BE</v>
      </c>
      <c r="G625" s="82" t="s">
        <v>1332</v>
      </c>
      <c r="H625" s="15" t="s">
        <v>439</v>
      </c>
      <c r="I625" s="7" t="s">
        <v>1333</v>
      </c>
      <c r="J625" s="8" t="str">
        <f>VLOOKUP(I625,Customers[#Data],2,FALSE)</f>
        <v>Ok 1-2</v>
      </c>
      <c r="K625" s="15" t="str">
        <f>VLOOKUP(I625,Customers[#Data],4,FALSE)</f>
        <v>Maw La Myaing</v>
      </c>
      <c r="L625" s="15" t="str">
        <f>VLOOKUP(I625,Customers[#Data],5,FALSE)</f>
        <v>Van Sales</v>
      </c>
      <c r="M625" s="7" t="s">
        <v>6</v>
      </c>
      <c r="N625" s="7" t="s">
        <v>522</v>
      </c>
      <c r="O625" s="14" t="str">
        <f>VLOOKUP(N625,Stock[#Data],2,FALSE)</f>
        <v>ဒဂုံမန်ကျည်း ကော်ဘူး (1 Liter)</v>
      </c>
      <c r="P625" s="44">
        <f>VLOOKUP(N625,Stock[#Data],3,FALSE)</f>
        <v>1</v>
      </c>
      <c r="Q625" s="3">
        <f>VLOOKUP(N625,Stock[#Data],4,FALSE)</f>
        <v>12</v>
      </c>
      <c r="R625" s="11"/>
      <c r="S625" s="45">
        <f>IFERROR(Table4[[#This Row],[Bottle]]/Table4[[#This Row],[ပါဝင်မှု]]+Table4[[#This Row],[SalesPK]],0)</f>
        <v>1</v>
      </c>
      <c r="T625" s="12">
        <v>1</v>
      </c>
      <c r="U625" s="10">
        <f>Table4[[#This Row],[ပါဝင်မှု]]*Table4[[#This Row],[SalesPK]]+Table4[[#This Row],[Bottle]]</f>
        <v>12</v>
      </c>
      <c r="V625" s="10">
        <f>Table4[[#This Row],[SalesBot]]*Table4[[#This Row],[ML]]</f>
        <v>12</v>
      </c>
      <c r="W625" s="1">
        <f>VLOOKUP(N625,Stock[#Data],6,FALSE)</f>
        <v>1600</v>
      </c>
      <c r="X625" s="8">
        <f>+Table4[[#This Row],[SalesBot]]*Table4[[#This Row],[နှုံး]]</f>
        <v>19200</v>
      </c>
      <c r="Y625" s="12"/>
      <c r="Z625" s="12"/>
      <c r="AA625" s="12"/>
      <c r="AB625" s="9"/>
      <c r="AC625" s="12"/>
      <c r="AD625" s="9"/>
      <c r="AE625" s="12"/>
      <c r="AF62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625" s="24"/>
      <c r="AH625" s="266">
        <f>Table4[[#This Row],[Date]]</f>
        <v>46063</v>
      </c>
      <c r="AI625" s="264" t="str">
        <f t="shared" si="120"/>
        <v>Feb</v>
      </c>
      <c r="AJ625" s="264" t="str">
        <f t="shared" si="121"/>
        <v>2026</v>
      </c>
      <c r="AK625" s="270" t="str">
        <f>Table4[[#This Row],[ကုန်သည်အမည်]]</f>
        <v>Ok 1-2</v>
      </c>
      <c r="AL625" s="270" t="str">
        <f>Table4[[#This Row],[Township]]</f>
        <v>Maw La Myaing</v>
      </c>
      <c r="AM625" s="271" t="str">
        <f>Table4[[#This Row],[WholeSales]]</f>
        <v>Van Sales</v>
      </c>
      <c r="AN625" s="272" t="str">
        <f>Table4[[#This Row],[Particular]]</f>
        <v>ကုန်ရောင်း(လက်ငင်း)</v>
      </c>
      <c r="AO625" s="273" t="str">
        <f>Table4[[#This Row],[StockName]]</f>
        <v>ဒဂုံမန်ကျည်း ကော်ဘူး (1 Liter)</v>
      </c>
      <c r="AP625" s="268">
        <f>Table4[[#This Row],[Parking]]</f>
        <v>1</v>
      </c>
      <c r="AQ625" s="268">
        <f>Table4[[#This Row],[SalesBot]]</f>
        <v>12</v>
      </c>
      <c r="AR625" s="268">
        <f>Table4[[#This Row],[Liter]]</f>
        <v>12</v>
      </c>
    </row>
    <row r="626" spans="1:44" s="16" customFormat="1" hidden="1" x14ac:dyDescent="0.5">
      <c r="A626" s="3">
        <f t="shared" si="116"/>
        <v>2026</v>
      </c>
      <c r="B626" s="8">
        <f t="shared" si="117"/>
        <v>2</v>
      </c>
      <c r="C626" s="6">
        <v>46063</v>
      </c>
      <c r="D626" s="15">
        <f t="shared" ca="1" si="118"/>
        <v>46097</v>
      </c>
      <c r="E626" s="15" t="str">
        <f t="shared" ca="1" si="119"/>
        <v>1-Months</v>
      </c>
      <c r="F626" s="8" t="str">
        <f>VLOOKUP(N626,Stock[#Data],5,FALSE)</f>
        <v>BE</v>
      </c>
      <c r="G626" s="82" t="s">
        <v>1332</v>
      </c>
      <c r="H626" s="15" t="s">
        <v>439</v>
      </c>
      <c r="I626" s="7" t="s">
        <v>1333</v>
      </c>
      <c r="J626" s="8" t="str">
        <f>VLOOKUP(I626,Customers[#Data],2,FALSE)</f>
        <v>Ok 1-2</v>
      </c>
      <c r="K626" s="15" t="str">
        <f>VLOOKUP(I626,Customers[#Data],4,FALSE)</f>
        <v>Maw La Myaing</v>
      </c>
      <c r="L626" s="15" t="str">
        <f>VLOOKUP(I626,Customers[#Data],5,FALSE)</f>
        <v>Van Sales</v>
      </c>
      <c r="M626" s="7" t="s">
        <v>6</v>
      </c>
      <c r="N626" s="7" t="s">
        <v>425</v>
      </c>
      <c r="O626" s="14" t="str">
        <f>VLOOKUP(N626,Stock[#Data],2,FALSE)</f>
        <v>ကောင်းကြည်-1Li</v>
      </c>
      <c r="P626" s="44">
        <f>VLOOKUP(N626,Stock[#Data],3,FALSE)</f>
        <v>1</v>
      </c>
      <c r="Q626" s="3">
        <f>VLOOKUP(N626,Stock[#Data],4,FALSE)</f>
        <v>12</v>
      </c>
      <c r="R626" s="11"/>
      <c r="S626" s="45">
        <f>IFERROR(Table4[[#This Row],[Bottle]]/Table4[[#This Row],[ပါဝင်မှု]]+Table4[[#This Row],[SalesPK]],0)</f>
        <v>1</v>
      </c>
      <c r="T626" s="12">
        <v>1</v>
      </c>
      <c r="U626" s="10">
        <f>Table4[[#This Row],[ပါဝင်မှု]]*Table4[[#This Row],[SalesPK]]+Table4[[#This Row],[Bottle]]</f>
        <v>12</v>
      </c>
      <c r="V626" s="10">
        <f>Table4[[#This Row],[SalesBot]]*Table4[[#This Row],[ML]]</f>
        <v>12</v>
      </c>
      <c r="W626" s="1">
        <f>VLOOKUP(N626,Stock[#Data],6,FALSE)</f>
        <v>1500</v>
      </c>
      <c r="X626" s="8">
        <f>+Table4[[#This Row],[SalesBot]]*Table4[[#This Row],[နှုံး]]</f>
        <v>18000</v>
      </c>
      <c r="Y626" s="12"/>
      <c r="Z626" s="12"/>
      <c r="AA626" s="12"/>
      <c r="AB626" s="9"/>
      <c r="AC626" s="12"/>
      <c r="AD626" s="9"/>
      <c r="AE626" s="12"/>
      <c r="AF62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626" s="24"/>
      <c r="AH626" s="266">
        <f>Table4[[#This Row],[Date]]</f>
        <v>46063</v>
      </c>
      <c r="AI626" s="264" t="str">
        <f t="shared" si="120"/>
        <v>Feb</v>
      </c>
      <c r="AJ626" s="264" t="str">
        <f t="shared" si="121"/>
        <v>2026</v>
      </c>
      <c r="AK626" s="270" t="str">
        <f>Table4[[#This Row],[ကုန်သည်အမည်]]</f>
        <v>Ok 1-2</v>
      </c>
      <c r="AL626" s="270" t="str">
        <f>Table4[[#This Row],[Township]]</f>
        <v>Maw La Myaing</v>
      </c>
      <c r="AM626" s="271" t="str">
        <f>Table4[[#This Row],[WholeSales]]</f>
        <v>Van Sales</v>
      </c>
      <c r="AN626" s="272" t="str">
        <f>Table4[[#This Row],[Particular]]</f>
        <v>ကုန်ရောင်း(လက်ငင်း)</v>
      </c>
      <c r="AO626" s="273" t="str">
        <f>Table4[[#This Row],[StockName]]</f>
        <v>ကောင်းကြည်-1Li</v>
      </c>
      <c r="AP626" s="268">
        <f>Table4[[#This Row],[Parking]]</f>
        <v>1</v>
      </c>
      <c r="AQ626" s="268">
        <f>Table4[[#This Row],[SalesBot]]</f>
        <v>12</v>
      </c>
      <c r="AR626" s="268">
        <f>Table4[[#This Row],[Liter]]</f>
        <v>12</v>
      </c>
    </row>
    <row r="627" spans="1:44" s="16" customFormat="1" hidden="1" x14ac:dyDescent="0.5">
      <c r="A627" s="3">
        <f t="shared" si="116"/>
        <v>2026</v>
      </c>
      <c r="B627" s="8">
        <f t="shared" si="117"/>
        <v>2</v>
      </c>
      <c r="C627" s="6">
        <v>46063</v>
      </c>
      <c r="D627" s="15">
        <f t="shared" ca="1" si="118"/>
        <v>46097</v>
      </c>
      <c r="E627" s="15" t="str">
        <f t="shared" ca="1" si="119"/>
        <v>1-Months</v>
      </c>
      <c r="F627" s="8" t="str">
        <f>VLOOKUP(N627,Stock[#Data],5,FALSE)</f>
        <v>BE</v>
      </c>
      <c r="G627" s="82" t="s">
        <v>1332</v>
      </c>
      <c r="H627" s="15"/>
      <c r="I627" s="7" t="s">
        <v>1333</v>
      </c>
      <c r="J627" s="8" t="str">
        <f>VLOOKUP(I627,Customers[#Data],2,FALSE)</f>
        <v>Ok 1-2</v>
      </c>
      <c r="K627" s="15" t="str">
        <f>VLOOKUP(I627,Customers[#Data],4,FALSE)</f>
        <v>Maw La Myaing</v>
      </c>
      <c r="L627" s="15" t="str">
        <f>VLOOKUP(I627,Customers[#Data],5,FALSE)</f>
        <v>Van Sales</v>
      </c>
      <c r="M627" s="7" t="s">
        <v>9</v>
      </c>
      <c r="N627" s="7" t="s">
        <v>522</v>
      </c>
      <c r="O627" s="14" t="str">
        <f>VLOOKUP(N627,Stock[#Data],2,FALSE)</f>
        <v>ဒဂုံမန်ကျည်း ကော်ဘူး (1 Liter)</v>
      </c>
      <c r="P627" s="44">
        <f>VLOOKUP(N627,Stock[#Data],3,FALSE)</f>
        <v>1</v>
      </c>
      <c r="Q627" s="3">
        <f>VLOOKUP(N627,Stock[#Data],4,FALSE)</f>
        <v>12</v>
      </c>
      <c r="R627" s="11">
        <v>1</v>
      </c>
      <c r="S627" s="45">
        <f>IFERROR(Table4[[#This Row],[Bottle]]/Table4[[#This Row],[ပါဝင်မှု]]+Table4[[#This Row],[SalesPK]],0)</f>
        <v>8.3333333333333329E-2</v>
      </c>
      <c r="T627" s="12"/>
      <c r="U627" s="10">
        <f>Table4[[#This Row],[ပါဝင်မှု]]*Table4[[#This Row],[SalesPK]]+Table4[[#This Row],[Bottle]]</f>
        <v>1</v>
      </c>
      <c r="V627" s="10">
        <f>Table4[[#This Row],[SalesBot]]*Table4[[#This Row],[ML]]</f>
        <v>1</v>
      </c>
      <c r="W627" s="1">
        <f>VLOOKUP(N627,Stock[#Data],6,FALSE)</f>
        <v>1600</v>
      </c>
      <c r="X627" s="8">
        <f>+Table4[[#This Row],[SalesBot]]*Table4[[#This Row],[နှုံး]]</f>
        <v>1600</v>
      </c>
      <c r="Y627" s="12"/>
      <c r="Z627" s="12"/>
      <c r="AA627" s="12"/>
      <c r="AB627" s="9"/>
      <c r="AC627" s="12"/>
      <c r="AD627" s="9"/>
      <c r="AE627" s="12"/>
      <c r="AF62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627" s="24"/>
      <c r="AH627" s="266">
        <f>Table4[[#This Row],[Date]]</f>
        <v>46063</v>
      </c>
      <c r="AI627" s="264" t="str">
        <f t="shared" si="120"/>
        <v>Feb</v>
      </c>
      <c r="AJ627" s="264" t="str">
        <f t="shared" si="121"/>
        <v>2026</v>
      </c>
      <c r="AK627" s="270" t="str">
        <f>Table4[[#This Row],[ကုန်သည်အမည်]]</f>
        <v>Ok 1-2</v>
      </c>
      <c r="AL627" s="270" t="str">
        <f>Table4[[#This Row],[Township]]</f>
        <v>Maw La Myaing</v>
      </c>
      <c r="AM627" s="271" t="str">
        <f>Table4[[#This Row],[WholeSales]]</f>
        <v>Van Sales</v>
      </c>
      <c r="AN627" s="272" t="str">
        <f>Table4[[#This Row],[Particular]]</f>
        <v>လက်ဆောင်</v>
      </c>
      <c r="AO627" s="273" t="str">
        <f>Table4[[#This Row],[StockName]]</f>
        <v>ဒဂုံမန်ကျည်း ကော်ဘူး (1 Liter)</v>
      </c>
      <c r="AP627" s="268">
        <f>Table4[[#This Row],[Parking]]</f>
        <v>8.3333333333333329E-2</v>
      </c>
      <c r="AQ627" s="268">
        <f>Table4[[#This Row],[SalesBot]]</f>
        <v>1</v>
      </c>
      <c r="AR627" s="268">
        <f>Table4[[#This Row],[Liter]]</f>
        <v>1</v>
      </c>
    </row>
    <row r="628" spans="1:44" s="16" customFormat="1" hidden="1" x14ac:dyDescent="0.5">
      <c r="A628" s="3">
        <f t="shared" si="116"/>
        <v>2026</v>
      </c>
      <c r="B628" s="8">
        <f t="shared" si="117"/>
        <v>2</v>
      </c>
      <c r="C628" s="6">
        <v>46063</v>
      </c>
      <c r="D628" s="15">
        <f t="shared" ca="1" si="118"/>
        <v>46097</v>
      </c>
      <c r="E628" s="15" t="str">
        <f t="shared" ca="1" si="119"/>
        <v>1-Months</v>
      </c>
      <c r="F628" s="8" t="str">
        <f>VLOOKUP(N628,Stock[#Data],5,FALSE)</f>
        <v>BE</v>
      </c>
      <c r="G628" s="82" t="s">
        <v>1332</v>
      </c>
      <c r="H628" s="15"/>
      <c r="I628" s="7" t="s">
        <v>1333</v>
      </c>
      <c r="J628" s="8" t="str">
        <f>VLOOKUP(I628,Customers[#Data],2,FALSE)</f>
        <v>Ok 1-2</v>
      </c>
      <c r="K628" s="15" t="str">
        <f>VLOOKUP(I628,Customers[#Data],4,FALSE)</f>
        <v>Maw La Myaing</v>
      </c>
      <c r="L628" s="15" t="str">
        <f>VLOOKUP(I628,Customers[#Data],5,FALSE)</f>
        <v>Van Sales</v>
      </c>
      <c r="M628" s="7" t="s">
        <v>9</v>
      </c>
      <c r="N628" s="7" t="s">
        <v>425</v>
      </c>
      <c r="O628" s="14" t="str">
        <f>VLOOKUP(N628,Stock[#Data],2,FALSE)</f>
        <v>ကောင်းကြည်-1Li</v>
      </c>
      <c r="P628" s="44">
        <f>VLOOKUP(N628,Stock[#Data],3,FALSE)</f>
        <v>1</v>
      </c>
      <c r="Q628" s="3">
        <f>VLOOKUP(N628,Stock[#Data],4,FALSE)</f>
        <v>12</v>
      </c>
      <c r="R628" s="11">
        <v>1</v>
      </c>
      <c r="S628" s="45">
        <f>IFERROR(Table4[[#This Row],[Bottle]]/Table4[[#This Row],[ပါဝင်မှု]]+Table4[[#This Row],[SalesPK]],0)</f>
        <v>8.3333333333333329E-2</v>
      </c>
      <c r="T628" s="12"/>
      <c r="U628" s="10">
        <f>Table4[[#This Row],[ပါဝင်မှု]]*Table4[[#This Row],[SalesPK]]+Table4[[#This Row],[Bottle]]</f>
        <v>1</v>
      </c>
      <c r="V628" s="10">
        <f>Table4[[#This Row],[SalesBot]]*Table4[[#This Row],[ML]]</f>
        <v>1</v>
      </c>
      <c r="W628" s="1">
        <f>VLOOKUP(N628,Stock[#Data],6,FALSE)</f>
        <v>1500</v>
      </c>
      <c r="X628" s="8">
        <f>+Table4[[#This Row],[SalesBot]]*Table4[[#This Row],[နှုံး]]</f>
        <v>1500</v>
      </c>
      <c r="Y628" s="12"/>
      <c r="Z628" s="12"/>
      <c r="AA628" s="12"/>
      <c r="AB628" s="9"/>
      <c r="AC628" s="12"/>
      <c r="AD628" s="9"/>
      <c r="AE628" s="12"/>
      <c r="AF62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628" s="24"/>
      <c r="AH628" s="266">
        <f>Table4[[#This Row],[Date]]</f>
        <v>46063</v>
      </c>
      <c r="AI628" s="264" t="str">
        <f t="shared" si="120"/>
        <v>Feb</v>
      </c>
      <c r="AJ628" s="264" t="str">
        <f t="shared" si="121"/>
        <v>2026</v>
      </c>
      <c r="AK628" s="270" t="str">
        <f>Table4[[#This Row],[ကုန်သည်အမည်]]</f>
        <v>Ok 1-2</v>
      </c>
      <c r="AL628" s="270" t="str">
        <f>Table4[[#This Row],[Township]]</f>
        <v>Maw La Myaing</v>
      </c>
      <c r="AM628" s="271" t="str">
        <f>Table4[[#This Row],[WholeSales]]</f>
        <v>Van Sales</v>
      </c>
      <c r="AN628" s="272" t="str">
        <f>Table4[[#This Row],[Particular]]</f>
        <v>လက်ဆောင်</v>
      </c>
      <c r="AO628" s="273" t="str">
        <f>Table4[[#This Row],[StockName]]</f>
        <v>ကောင်းကြည်-1Li</v>
      </c>
      <c r="AP628" s="268">
        <f>Table4[[#This Row],[Parking]]</f>
        <v>8.3333333333333329E-2</v>
      </c>
      <c r="AQ628" s="268">
        <f>Table4[[#This Row],[SalesBot]]</f>
        <v>1</v>
      </c>
      <c r="AR628" s="268">
        <f>Table4[[#This Row],[Liter]]</f>
        <v>1</v>
      </c>
    </row>
    <row r="629" spans="1:44" s="16" customFormat="1" hidden="1" x14ac:dyDescent="0.5">
      <c r="A629" s="3">
        <f t="shared" si="116"/>
        <v>2026</v>
      </c>
      <c r="B629" s="8">
        <f t="shared" si="117"/>
        <v>2</v>
      </c>
      <c r="C629" s="6">
        <v>46063</v>
      </c>
      <c r="D629" s="15">
        <f t="shared" ca="1" si="118"/>
        <v>46097</v>
      </c>
      <c r="E629" s="15" t="str">
        <f t="shared" ca="1" si="119"/>
        <v>1-Months</v>
      </c>
      <c r="F629" s="8" t="str">
        <f>VLOOKUP(N629,Stock[#Data],5,FALSE)</f>
        <v>BE</v>
      </c>
      <c r="G629" s="82" t="s">
        <v>1332</v>
      </c>
      <c r="H629" s="15"/>
      <c r="I629" s="7" t="s">
        <v>1333</v>
      </c>
      <c r="J629" s="8" t="str">
        <f>VLOOKUP(I629,Customers[#Data],2,FALSE)</f>
        <v>Ok 1-2</v>
      </c>
      <c r="K629" s="15" t="str">
        <f>VLOOKUP(I629,Customers[#Data],4,FALSE)</f>
        <v>Maw La Myaing</v>
      </c>
      <c r="L629" s="15" t="str">
        <f>VLOOKUP(I629,Customers[#Data],5,FALSE)</f>
        <v>Van Sales</v>
      </c>
      <c r="M629" s="7" t="s">
        <v>430</v>
      </c>
      <c r="N629" s="7" t="s">
        <v>425</v>
      </c>
      <c r="O629" s="14" t="str">
        <f>VLOOKUP(N629,Stock[#Data],2,FALSE)</f>
        <v>ကောင်းကြည်-1Li</v>
      </c>
      <c r="P629" s="44">
        <f>VLOOKUP(N629,Stock[#Data],3,FALSE)</f>
        <v>1</v>
      </c>
      <c r="Q629" s="3">
        <f>VLOOKUP(N629,Stock[#Data],4,FALSE)</f>
        <v>12</v>
      </c>
      <c r="R629" s="11">
        <v>1</v>
      </c>
      <c r="S629" s="45">
        <f>IFERROR(Table4[[#This Row],[Bottle]]/Table4[[#This Row],[ပါဝင်မှု]]+Table4[[#This Row],[SalesPK]],0)</f>
        <v>8.3333333333333329E-2</v>
      </c>
      <c r="T629" s="12"/>
      <c r="U629" s="10">
        <f>Table4[[#This Row],[ပါဝင်မှု]]*Table4[[#This Row],[SalesPK]]+Table4[[#This Row],[Bottle]]</f>
        <v>1</v>
      </c>
      <c r="V629" s="10">
        <f>Table4[[#This Row],[SalesBot]]*Table4[[#This Row],[ML]]</f>
        <v>1</v>
      </c>
      <c r="W629" s="1">
        <f>VLOOKUP(N629,Stock[#Data],6,FALSE)</f>
        <v>1500</v>
      </c>
      <c r="X629" s="8">
        <f>+Table4[[#This Row],[SalesBot]]*Table4[[#This Row],[နှုံး]]</f>
        <v>1500</v>
      </c>
      <c r="Y629" s="12"/>
      <c r="Z629" s="12"/>
      <c r="AA629" s="12"/>
      <c r="AB629" s="9"/>
      <c r="AC629" s="12"/>
      <c r="AD629" s="9"/>
      <c r="AE629" s="12"/>
      <c r="AF62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629" s="24"/>
      <c r="AH629" s="266">
        <f>Table4[[#This Row],[Date]]</f>
        <v>46063</v>
      </c>
      <c r="AI629" s="264" t="str">
        <f t="shared" si="120"/>
        <v>Feb</v>
      </c>
      <c r="AJ629" s="264" t="str">
        <f t="shared" si="121"/>
        <v>2026</v>
      </c>
      <c r="AK629" s="270" t="str">
        <f>Table4[[#This Row],[ကုန်သည်အမည်]]</f>
        <v>Ok 1-2</v>
      </c>
      <c r="AL629" s="270" t="str">
        <f>Table4[[#This Row],[Township]]</f>
        <v>Maw La Myaing</v>
      </c>
      <c r="AM629" s="271" t="str">
        <f>Table4[[#This Row],[WholeSales]]</f>
        <v>Van Sales</v>
      </c>
      <c r="AN629" s="272" t="str">
        <f>Table4[[#This Row],[Particular]]</f>
        <v>ဖောက်တိုက်</v>
      </c>
      <c r="AO629" s="273" t="str">
        <f>Table4[[#This Row],[StockName]]</f>
        <v>ကောင်းကြည်-1Li</v>
      </c>
      <c r="AP629" s="268">
        <f>Table4[[#This Row],[Parking]]</f>
        <v>8.3333333333333329E-2</v>
      </c>
      <c r="AQ629" s="268">
        <f>Table4[[#This Row],[SalesBot]]</f>
        <v>1</v>
      </c>
      <c r="AR629" s="268">
        <f>Table4[[#This Row],[Liter]]</f>
        <v>1</v>
      </c>
    </row>
    <row r="630" spans="1:44" s="16" customFormat="1" hidden="1" x14ac:dyDescent="0.5">
      <c r="A630" s="3">
        <f t="shared" si="116"/>
        <v>2026</v>
      </c>
      <c r="B630" s="8">
        <f t="shared" si="117"/>
        <v>2</v>
      </c>
      <c r="C630" s="6">
        <v>46063</v>
      </c>
      <c r="D630" s="15">
        <f t="shared" ca="1" si="118"/>
        <v>46097</v>
      </c>
      <c r="E630" s="15" t="str">
        <f t="shared" ca="1" si="119"/>
        <v>1-Months</v>
      </c>
      <c r="F630" s="8" t="str">
        <f>VLOOKUP(N630,Stock[#Data],5,FALSE)</f>
        <v>BE</v>
      </c>
      <c r="G630" s="82" t="s">
        <v>1336</v>
      </c>
      <c r="H630" s="15" t="s">
        <v>439</v>
      </c>
      <c r="I630" s="7" t="s">
        <v>1337</v>
      </c>
      <c r="J630" s="8" t="str">
        <f>VLOOKUP(I630,Customers[#Data],2,FALSE)</f>
        <v>ဒေါ်ခင်သန်းမြင့်</v>
      </c>
      <c r="K630" s="15" t="str">
        <f>VLOOKUP(I630,Customers[#Data],4,FALSE)</f>
        <v>Maw La Myaing</v>
      </c>
      <c r="L630" s="15" t="str">
        <f>VLOOKUP(I630,Customers[#Data],5,FALSE)</f>
        <v>Van Sales</v>
      </c>
      <c r="M630" s="7" t="s">
        <v>6</v>
      </c>
      <c r="N630" s="7" t="s">
        <v>526</v>
      </c>
      <c r="O630" s="14" t="str">
        <f>VLOOKUP(N630,Stock[#Data],2,FALSE)</f>
        <v>ဒဂုံနာနတ်ဝိုင်</v>
      </c>
      <c r="P630" s="44">
        <f>VLOOKUP(N630,Stock[#Data],3,FALSE)</f>
        <v>0.64</v>
      </c>
      <c r="Q630" s="3">
        <f>VLOOKUP(N630,Stock[#Data],4,FALSE)</f>
        <v>14</v>
      </c>
      <c r="R630" s="11"/>
      <c r="S630" s="45">
        <f>IFERROR(Table4[[#This Row],[Bottle]]/Table4[[#This Row],[ပါဝင်မှု]]+Table4[[#This Row],[SalesPK]],0)</f>
        <v>1</v>
      </c>
      <c r="T630" s="12">
        <v>1</v>
      </c>
      <c r="U630" s="10">
        <f>Table4[[#This Row],[ပါဝင်မှု]]*Table4[[#This Row],[SalesPK]]+Table4[[#This Row],[Bottle]]</f>
        <v>14</v>
      </c>
      <c r="V630" s="10">
        <f>Table4[[#This Row],[SalesBot]]*Table4[[#This Row],[ML]]</f>
        <v>8.9600000000000009</v>
      </c>
      <c r="W630" s="1">
        <f>VLOOKUP(N630,Stock[#Data],6,FALSE)</f>
        <v>1350</v>
      </c>
      <c r="X630" s="8">
        <f>+Table4[[#This Row],[SalesBot]]*Table4[[#This Row],[နှုံး]]</f>
        <v>18900</v>
      </c>
      <c r="Y630" s="12"/>
      <c r="Z630" s="12"/>
      <c r="AA630" s="12"/>
      <c r="AB630" s="9"/>
      <c r="AC630" s="12"/>
      <c r="AD630" s="9"/>
      <c r="AE630" s="12"/>
      <c r="AF63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</v>
      </c>
      <c r="AG630" s="24"/>
      <c r="AH630" s="266">
        <f>Table4[[#This Row],[Date]]</f>
        <v>46063</v>
      </c>
      <c r="AI630" s="264" t="str">
        <f t="shared" si="120"/>
        <v>Feb</v>
      </c>
      <c r="AJ630" s="264" t="str">
        <f t="shared" si="121"/>
        <v>2026</v>
      </c>
      <c r="AK630" s="270" t="str">
        <f>Table4[[#This Row],[ကုန်သည်အမည်]]</f>
        <v>ဒေါ်ခင်သန်းမြင့်</v>
      </c>
      <c r="AL630" s="270" t="str">
        <f>Table4[[#This Row],[Township]]</f>
        <v>Maw La Myaing</v>
      </c>
      <c r="AM630" s="271" t="str">
        <f>Table4[[#This Row],[WholeSales]]</f>
        <v>Van Sales</v>
      </c>
      <c r="AN630" s="272" t="str">
        <f>Table4[[#This Row],[Particular]]</f>
        <v>ကုန်ရောင်း(လက်ငင်း)</v>
      </c>
      <c r="AO630" s="273" t="str">
        <f>Table4[[#This Row],[StockName]]</f>
        <v>ဒဂုံနာနတ်ဝိုင်</v>
      </c>
      <c r="AP630" s="268">
        <f>Table4[[#This Row],[Parking]]</f>
        <v>1</v>
      </c>
      <c r="AQ630" s="268">
        <f>Table4[[#This Row],[SalesBot]]</f>
        <v>14</v>
      </c>
      <c r="AR630" s="268">
        <f>Table4[[#This Row],[Liter]]</f>
        <v>8.9600000000000009</v>
      </c>
    </row>
    <row r="631" spans="1:44" s="16" customFormat="1" hidden="1" x14ac:dyDescent="0.5">
      <c r="A631" s="3">
        <f t="shared" si="116"/>
        <v>2026</v>
      </c>
      <c r="B631" s="8">
        <f t="shared" si="117"/>
        <v>2</v>
      </c>
      <c r="C631" s="6">
        <v>46063</v>
      </c>
      <c r="D631" s="15">
        <f t="shared" ca="1" si="118"/>
        <v>46097</v>
      </c>
      <c r="E631" s="15" t="str">
        <f t="shared" ca="1" si="119"/>
        <v>1-Months</v>
      </c>
      <c r="F631" s="8" t="str">
        <f>VLOOKUP(N631,Stock[#Data],5,FALSE)</f>
        <v>BE</v>
      </c>
      <c r="G631" s="82" t="s">
        <v>1336</v>
      </c>
      <c r="H631" s="15" t="s">
        <v>439</v>
      </c>
      <c r="I631" s="7" t="s">
        <v>1337</v>
      </c>
      <c r="J631" s="8" t="str">
        <f>VLOOKUP(I631,Customers[#Data],2,FALSE)</f>
        <v>ဒေါ်ခင်သန်းမြင့်</v>
      </c>
      <c r="K631" s="15" t="str">
        <f>VLOOKUP(I631,Customers[#Data],4,FALSE)</f>
        <v>Maw La Myaing</v>
      </c>
      <c r="L631" s="15" t="str">
        <f>VLOOKUP(I631,Customers[#Data],5,FALSE)</f>
        <v>Van Sales</v>
      </c>
      <c r="M631" s="7" t="s">
        <v>6</v>
      </c>
      <c r="N631" s="7" t="s">
        <v>425</v>
      </c>
      <c r="O631" s="14" t="str">
        <f>VLOOKUP(N631,Stock[#Data],2,FALSE)</f>
        <v>ကောင်းကြည်-1Li</v>
      </c>
      <c r="P631" s="44">
        <f>VLOOKUP(N631,Stock[#Data],3,FALSE)</f>
        <v>1</v>
      </c>
      <c r="Q631" s="3">
        <f>VLOOKUP(N631,Stock[#Data],4,FALSE)</f>
        <v>12</v>
      </c>
      <c r="R631" s="11"/>
      <c r="S631" s="45">
        <f>IFERROR(Table4[[#This Row],[Bottle]]/Table4[[#This Row],[ပါဝင်မှု]]+Table4[[#This Row],[SalesPK]],0)</f>
        <v>1</v>
      </c>
      <c r="T631" s="12">
        <v>1</v>
      </c>
      <c r="U631" s="10">
        <f>Table4[[#This Row],[ပါဝင်မှု]]*Table4[[#This Row],[SalesPK]]+Table4[[#This Row],[Bottle]]</f>
        <v>12</v>
      </c>
      <c r="V631" s="10">
        <f>Table4[[#This Row],[SalesBot]]*Table4[[#This Row],[ML]]</f>
        <v>12</v>
      </c>
      <c r="W631" s="1">
        <f>VLOOKUP(N631,Stock[#Data],6,FALSE)</f>
        <v>1500</v>
      </c>
      <c r="X631" s="8">
        <f>+Table4[[#This Row],[SalesBot]]*Table4[[#This Row],[နှုံး]]</f>
        <v>18000</v>
      </c>
      <c r="Y631" s="12"/>
      <c r="Z631" s="12"/>
      <c r="AA631" s="12"/>
      <c r="AB631" s="9"/>
      <c r="AC631" s="12"/>
      <c r="AD631" s="9"/>
      <c r="AE631" s="12"/>
      <c r="AF63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631" s="24"/>
      <c r="AH631" s="266">
        <f>Table4[[#This Row],[Date]]</f>
        <v>46063</v>
      </c>
      <c r="AI631" s="264" t="str">
        <f t="shared" si="120"/>
        <v>Feb</v>
      </c>
      <c r="AJ631" s="264" t="str">
        <f t="shared" si="121"/>
        <v>2026</v>
      </c>
      <c r="AK631" s="270" t="str">
        <f>Table4[[#This Row],[ကုန်သည်အမည်]]</f>
        <v>ဒေါ်ခင်သန်းမြင့်</v>
      </c>
      <c r="AL631" s="270" t="str">
        <f>Table4[[#This Row],[Township]]</f>
        <v>Maw La Myaing</v>
      </c>
      <c r="AM631" s="271" t="str">
        <f>Table4[[#This Row],[WholeSales]]</f>
        <v>Van Sales</v>
      </c>
      <c r="AN631" s="272" t="str">
        <f>Table4[[#This Row],[Particular]]</f>
        <v>ကုန်ရောင်း(လက်ငင်း)</v>
      </c>
      <c r="AO631" s="273" t="str">
        <f>Table4[[#This Row],[StockName]]</f>
        <v>ကောင်းကြည်-1Li</v>
      </c>
      <c r="AP631" s="268">
        <f>Table4[[#This Row],[Parking]]</f>
        <v>1</v>
      </c>
      <c r="AQ631" s="268">
        <f>Table4[[#This Row],[SalesBot]]</f>
        <v>12</v>
      </c>
      <c r="AR631" s="268">
        <f>Table4[[#This Row],[Liter]]</f>
        <v>12</v>
      </c>
    </row>
    <row r="632" spans="1:44" s="16" customFormat="1" hidden="1" x14ac:dyDescent="0.5">
      <c r="A632" s="3">
        <f t="shared" si="116"/>
        <v>2026</v>
      </c>
      <c r="B632" s="8">
        <f t="shared" si="117"/>
        <v>2</v>
      </c>
      <c r="C632" s="6">
        <v>46063</v>
      </c>
      <c r="D632" s="15">
        <f t="shared" ca="1" si="118"/>
        <v>46097</v>
      </c>
      <c r="E632" s="15" t="str">
        <f t="shared" ca="1" si="119"/>
        <v>1-Months</v>
      </c>
      <c r="F632" s="8" t="str">
        <f>VLOOKUP(N632,Stock[#Data],5,FALSE)</f>
        <v>BE</v>
      </c>
      <c r="G632" s="82" t="s">
        <v>1340</v>
      </c>
      <c r="H632" s="15" t="s">
        <v>439</v>
      </c>
      <c r="I632" s="7" t="s">
        <v>1334</v>
      </c>
      <c r="J632" s="8" t="str">
        <f>VLOOKUP(I632,Customers[#Data],2,FALSE)</f>
        <v>Jocker</v>
      </c>
      <c r="K632" s="15" t="str">
        <f>VLOOKUP(I632,Customers[#Data],4,FALSE)</f>
        <v>Maw La Myaing</v>
      </c>
      <c r="L632" s="15" t="str">
        <f>VLOOKUP(I632,Customers[#Data],5,FALSE)</f>
        <v>Van Sales</v>
      </c>
      <c r="M632" s="7" t="s">
        <v>6</v>
      </c>
      <c r="N632" s="7" t="s">
        <v>522</v>
      </c>
      <c r="O632" s="14" t="str">
        <f>VLOOKUP(N632,Stock[#Data],2,FALSE)</f>
        <v>ဒဂုံမန်ကျည်း ကော်ဘူး (1 Liter)</v>
      </c>
      <c r="P632" s="44">
        <f>VLOOKUP(N632,Stock[#Data],3,FALSE)</f>
        <v>1</v>
      </c>
      <c r="Q632" s="3">
        <f>VLOOKUP(N632,Stock[#Data],4,FALSE)</f>
        <v>12</v>
      </c>
      <c r="R632" s="11"/>
      <c r="S632" s="45">
        <f>IFERROR(Table4[[#This Row],[Bottle]]/Table4[[#This Row],[ပါဝင်မှု]]+Table4[[#This Row],[SalesPK]],0)</f>
        <v>1</v>
      </c>
      <c r="T632" s="12">
        <v>1</v>
      </c>
      <c r="U632" s="10">
        <f>Table4[[#This Row],[ပါဝင်မှု]]*Table4[[#This Row],[SalesPK]]+Table4[[#This Row],[Bottle]]</f>
        <v>12</v>
      </c>
      <c r="V632" s="10">
        <f>Table4[[#This Row],[SalesBot]]*Table4[[#This Row],[ML]]</f>
        <v>12</v>
      </c>
      <c r="W632" s="1">
        <f>VLOOKUP(N632,Stock[#Data],6,FALSE)</f>
        <v>1600</v>
      </c>
      <c r="X632" s="8">
        <f>+Table4[[#This Row],[SalesBot]]*Table4[[#This Row],[နှုံး]]</f>
        <v>19200</v>
      </c>
      <c r="Y632" s="12"/>
      <c r="Z632" s="12"/>
      <c r="AA632" s="12"/>
      <c r="AB632" s="9"/>
      <c r="AC632" s="12"/>
      <c r="AD632" s="9"/>
      <c r="AE632" s="12"/>
      <c r="AF63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632" s="24"/>
      <c r="AH632" s="266">
        <f>Table4[[#This Row],[Date]]</f>
        <v>46063</v>
      </c>
      <c r="AI632" s="264" t="str">
        <f t="shared" si="120"/>
        <v>Feb</v>
      </c>
      <c r="AJ632" s="264" t="str">
        <f t="shared" si="121"/>
        <v>2026</v>
      </c>
      <c r="AK632" s="270" t="str">
        <f>Table4[[#This Row],[ကုန်သည်အမည်]]</f>
        <v>Jocker</v>
      </c>
      <c r="AL632" s="270" t="str">
        <f>Table4[[#This Row],[Township]]</f>
        <v>Maw La Myaing</v>
      </c>
      <c r="AM632" s="271" t="str">
        <f>Table4[[#This Row],[WholeSales]]</f>
        <v>Van Sales</v>
      </c>
      <c r="AN632" s="272" t="str">
        <f>Table4[[#This Row],[Particular]]</f>
        <v>ကုန်ရောင်း(လက်ငင်း)</v>
      </c>
      <c r="AO632" s="273" t="str">
        <f>Table4[[#This Row],[StockName]]</f>
        <v>ဒဂုံမန်ကျည်း ကော်ဘူး (1 Liter)</v>
      </c>
      <c r="AP632" s="268">
        <f>Table4[[#This Row],[Parking]]</f>
        <v>1</v>
      </c>
      <c r="AQ632" s="268">
        <f>Table4[[#This Row],[SalesBot]]</f>
        <v>12</v>
      </c>
      <c r="AR632" s="268">
        <f>Table4[[#This Row],[Liter]]</f>
        <v>12</v>
      </c>
    </row>
    <row r="633" spans="1:44" s="16" customFormat="1" hidden="1" x14ac:dyDescent="0.5">
      <c r="A633" s="3">
        <f t="shared" si="116"/>
        <v>2026</v>
      </c>
      <c r="B633" s="8">
        <f t="shared" si="117"/>
        <v>2</v>
      </c>
      <c r="C633" s="6">
        <v>46063</v>
      </c>
      <c r="D633" s="15">
        <f t="shared" ca="1" si="118"/>
        <v>46097</v>
      </c>
      <c r="E633" s="15" t="str">
        <f t="shared" ca="1" si="119"/>
        <v>1-Months</v>
      </c>
      <c r="F633" s="8" t="str">
        <f>VLOOKUP(N633,Stock[#Data],5,FALSE)</f>
        <v>BE</v>
      </c>
      <c r="G633" s="82" t="s">
        <v>1340</v>
      </c>
      <c r="H633" s="15" t="s">
        <v>439</v>
      </c>
      <c r="I633" s="7" t="s">
        <v>1334</v>
      </c>
      <c r="J633" s="8" t="str">
        <f>VLOOKUP(I633,Customers[#Data],2,FALSE)</f>
        <v>Jocker</v>
      </c>
      <c r="K633" s="15" t="str">
        <f>VLOOKUP(I633,Customers[#Data],4,FALSE)</f>
        <v>Maw La Myaing</v>
      </c>
      <c r="L633" s="15" t="str">
        <f>VLOOKUP(I633,Customers[#Data],5,FALSE)</f>
        <v>Van Sales</v>
      </c>
      <c r="M633" s="7" t="s">
        <v>6</v>
      </c>
      <c r="N633" s="7" t="s">
        <v>508</v>
      </c>
      <c r="O633" s="14" t="str">
        <f>VLOOKUP(N633,Stock[#Data],2,FALSE)</f>
        <v>ကောင်းကြည်-1Li</v>
      </c>
      <c r="P633" s="44">
        <f>VLOOKUP(N633,Stock[#Data],3,FALSE)</f>
        <v>1</v>
      </c>
      <c r="Q633" s="3">
        <f>VLOOKUP(N633,Stock[#Data],4,FALSE)</f>
        <v>12</v>
      </c>
      <c r="R633" s="11">
        <v>6</v>
      </c>
      <c r="S633" s="45">
        <f>IFERROR(Table4[[#This Row],[Bottle]]/Table4[[#This Row],[ပါဝင်မှု]]+Table4[[#This Row],[SalesPK]],0)</f>
        <v>0.5</v>
      </c>
      <c r="T633" s="12"/>
      <c r="U633" s="10">
        <f>Table4[[#This Row],[ပါဝင်မှု]]*Table4[[#This Row],[SalesPK]]+Table4[[#This Row],[Bottle]]</f>
        <v>6</v>
      </c>
      <c r="V633" s="10">
        <f>Table4[[#This Row],[SalesBot]]*Table4[[#This Row],[ML]]</f>
        <v>6</v>
      </c>
      <c r="W633" s="1">
        <f>VLOOKUP(N633,Stock[#Data],6,FALSE)</f>
        <v>1850</v>
      </c>
      <c r="X633" s="8">
        <f>+Table4[[#This Row],[SalesBot]]*Table4[[#This Row],[နှုံး]]</f>
        <v>11100</v>
      </c>
      <c r="Y633" s="12"/>
      <c r="Z633" s="12"/>
      <c r="AA633" s="12"/>
      <c r="AB633" s="9"/>
      <c r="AC633" s="12"/>
      <c r="AD633" s="9"/>
      <c r="AE633" s="12"/>
      <c r="AF63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11100</v>
      </c>
      <c r="AG633" s="24"/>
      <c r="AH633" s="266">
        <f>Table4[[#This Row],[Date]]</f>
        <v>46063</v>
      </c>
      <c r="AI633" s="264" t="str">
        <f t="shared" si="120"/>
        <v>Feb</v>
      </c>
      <c r="AJ633" s="264" t="str">
        <f t="shared" si="121"/>
        <v>2026</v>
      </c>
      <c r="AK633" s="270" t="str">
        <f>Table4[[#This Row],[ကုန်သည်အမည်]]</f>
        <v>Jocker</v>
      </c>
      <c r="AL633" s="270" t="str">
        <f>Table4[[#This Row],[Township]]</f>
        <v>Maw La Myaing</v>
      </c>
      <c r="AM633" s="271" t="str">
        <f>Table4[[#This Row],[WholeSales]]</f>
        <v>Van Sales</v>
      </c>
      <c r="AN633" s="272" t="str">
        <f>Table4[[#This Row],[Particular]]</f>
        <v>ကုန်ရောင်း(လက်ငင်း)</v>
      </c>
      <c r="AO633" s="273" t="str">
        <f>Table4[[#This Row],[StockName]]</f>
        <v>ကောင်းကြည်-1Li</v>
      </c>
      <c r="AP633" s="268">
        <f>Table4[[#This Row],[Parking]]</f>
        <v>0.5</v>
      </c>
      <c r="AQ633" s="268">
        <f>Table4[[#This Row],[SalesBot]]</f>
        <v>6</v>
      </c>
      <c r="AR633" s="268">
        <f>Table4[[#This Row],[Liter]]</f>
        <v>6</v>
      </c>
    </row>
    <row r="634" spans="1:44" s="16" customFormat="1" hidden="1" x14ac:dyDescent="0.5">
      <c r="A634" s="3">
        <f t="shared" si="116"/>
        <v>2026</v>
      </c>
      <c r="B634" s="8">
        <f t="shared" si="117"/>
        <v>2</v>
      </c>
      <c r="C634" s="6">
        <v>46063</v>
      </c>
      <c r="D634" s="15">
        <f t="shared" ca="1" si="118"/>
        <v>46097</v>
      </c>
      <c r="E634" s="15" t="str">
        <f t="shared" ca="1" si="119"/>
        <v>1-Months</v>
      </c>
      <c r="F634" s="8" t="str">
        <f>VLOOKUP(N634,Stock[#Data],5,FALSE)</f>
        <v>BE</v>
      </c>
      <c r="G634" s="82" t="s">
        <v>1340</v>
      </c>
      <c r="H634" s="15" t="s">
        <v>439</v>
      </c>
      <c r="I634" s="7" t="s">
        <v>1334</v>
      </c>
      <c r="J634" s="8" t="str">
        <f>VLOOKUP(I634,Customers[#Data],2,FALSE)</f>
        <v>Jocker</v>
      </c>
      <c r="K634" s="15" t="str">
        <f>VLOOKUP(I634,Customers[#Data],4,FALSE)</f>
        <v>Maw La Myaing</v>
      </c>
      <c r="L634" s="15" t="str">
        <f>VLOOKUP(I634,Customers[#Data],5,FALSE)</f>
        <v>Van Sales</v>
      </c>
      <c r="M634" s="7" t="s">
        <v>6</v>
      </c>
      <c r="N634" s="7" t="s">
        <v>425</v>
      </c>
      <c r="O634" s="14" t="str">
        <f>VLOOKUP(N634,Stock[#Data],2,FALSE)</f>
        <v>ကောင်းကြည်-1Li</v>
      </c>
      <c r="P634" s="44">
        <f>VLOOKUP(N634,Stock[#Data],3,FALSE)</f>
        <v>1</v>
      </c>
      <c r="Q634" s="3">
        <f>VLOOKUP(N634,Stock[#Data],4,FALSE)</f>
        <v>12</v>
      </c>
      <c r="R634" s="11">
        <v>6</v>
      </c>
      <c r="S634" s="45">
        <f>IFERROR(Table4[[#This Row],[Bottle]]/Table4[[#This Row],[ပါဝင်မှု]]+Table4[[#This Row],[SalesPK]],0)</f>
        <v>0.5</v>
      </c>
      <c r="T634" s="12"/>
      <c r="U634" s="10">
        <f>Table4[[#This Row],[ပါဝင်မှု]]*Table4[[#This Row],[SalesPK]]+Table4[[#This Row],[Bottle]]</f>
        <v>6</v>
      </c>
      <c r="V634" s="10">
        <f>Table4[[#This Row],[SalesBot]]*Table4[[#This Row],[ML]]</f>
        <v>6</v>
      </c>
      <c r="W634" s="1">
        <f>VLOOKUP(N634,Stock[#Data],6,FALSE)</f>
        <v>1500</v>
      </c>
      <c r="X634" s="8">
        <f>+Table4[[#This Row],[SalesBot]]*Table4[[#This Row],[နှုံး]]</f>
        <v>9000</v>
      </c>
      <c r="Y634" s="12"/>
      <c r="Z634" s="12"/>
      <c r="AA634" s="12"/>
      <c r="AB634" s="9"/>
      <c r="AC634" s="12"/>
      <c r="AD634" s="9"/>
      <c r="AE634" s="12"/>
      <c r="AF63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9000</v>
      </c>
      <c r="AG634" s="24"/>
      <c r="AH634" s="266">
        <f>Table4[[#This Row],[Date]]</f>
        <v>46063</v>
      </c>
      <c r="AI634" s="264" t="str">
        <f t="shared" si="120"/>
        <v>Feb</v>
      </c>
      <c r="AJ634" s="264" t="str">
        <f t="shared" si="121"/>
        <v>2026</v>
      </c>
      <c r="AK634" s="270" t="str">
        <f>Table4[[#This Row],[ကုန်သည်အမည်]]</f>
        <v>Jocker</v>
      </c>
      <c r="AL634" s="270" t="str">
        <f>Table4[[#This Row],[Township]]</f>
        <v>Maw La Myaing</v>
      </c>
      <c r="AM634" s="271" t="str">
        <f>Table4[[#This Row],[WholeSales]]</f>
        <v>Van Sales</v>
      </c>
      <c r="AN634" s="272" t="str">
        <f>Table4[[#This Row],[Particular]]</f>
        <v>ကုန်ရောင်း(လက်ငင်း)</v>
      </c>
      <c r="AO634" s="273" t="str">
        <f>Table4[[#This Row],[StockName]]</f>
        <v>ကောင်းကြည်-1Li</v>
      </c>
      <c r="AP634" s="268">
        <f>Table4[[#This Row],[Parking]]</f>
        <v>0.5</v>
      </c>
      <c r="AQ634" s="268">
        <f>Table4[[#This Row],[SalesBot]]</f>
        <v>6</v>
      </c>
      <c r="AR634" s="268">
        <f>Table4[[#This Row],[Liter]]</f>
        <v>6</v>
      </c>
    </row>
    <row r="635" spans="1:44" s="16" customFormat="1" hidden="1" x14ac:dyDescent="0.5">
      <c r="A635" s="3">
        <f t="shared" si="116"/>
        <v>2026</v>
      </c>
      <c r="B635" s="8">
        <f t="shared" si="117"/>
        <v>2</v>
      </c>
      <c r="C635" s="6">
        <v>46063</v>
      </c>
      <c r="D635" s="15">
        <f t="shared" ca="1" si="118"/>
        <v>46097</v>
      </c>
      <c r="E635" s="15" t="str">
        <f t="shared" ca="1" si="119"/>
        <v>1-Months</v>
      </c>
      <c r="F635" s="8" t="str">
        <f>VLOOKUP(N635,Stock[#Data],5,FALSE)</f>
        <v>BE</v>
      </c>
      <c r="G635" s="82" t="s">
        <v>1341</v>
      </c>
      <c r="H635" s="15" t="s">
        <v>439</v>
      </c>
      <c r="I635" s="7" t="s">
        <v>560</v>
      </c>
      <c r="J635" s="8" t="str">
        <f>VLOOKUP(I635,Customers[#Data],2,FALSE)</f>
        <v>မသန္တာ</v>
      </c>
      <c r="K635" s="15" t="str">
        <f>VLOOKUP(I635,Customers[#Data],4,FALSE)</f>
        <v>Maw La Myaing</v>
      </c>
      <c r="L635" s="15" t="str">
        <f>VLOOKUP(I635,Customers[#Data],5,FALSE)</f>
        <v>Van Sales</v>
      </c>
      <c r="M635" s="7" t="s">
        <v>6</v>
      </c>
      <c r="N635" s="7" t="s">
        <v>522</v>
      </c>
      <c r="O635" s="14" t="str">
        <f>VLOOKUP(N635,Stock[#Data],2,FALSE)</f>
        <v>ဒဂုံမန်ကျည်း ကော်ဘူး (1 Liter)</v>
      </c>
      <c r="P635" s="44">
        <f>VLOOKUP(N635,Stock[#Data],3,FALSE)</f>
        <v>1</v>
      </c>
      <c r="Q635" s="3">
        <f>VLOOKUP(N635,Stock[#Data],4,FALSE)</f>
        <v>12</v>
      </c>
      <c r="R635" s="11">
        <v>6</v>
      </c>
      <c r="S635" s="45">
        <f>IFERROR(Table4[[#This Row],[Bottle]]/Table4[[#This Row],[ပါဝင်မှု]]+Table4[[#This Row],[SalesPK]],0)</f>
        <v>0.5</v>
      </c>
      <c r="T635" s="12"/>
      <c r="U635" s="10">
        <f>Table4[[#This Row],[ပါဝင်မှု]]*Table4[[#This Row],[SalesPK]]+Table4[[#This Row],[Bottle]]</f>
        <v>6</v>
      </c>
      <c r="V635" s="10">
        <f>Table4[[#This Row],[SalesBot]]*Table4[[#This Row],[ML]]</f>
        <v>6</v>
      </c>
      <c r="W635" s="1">
        <f>VLOOKUP(N635,Stock[#Data],6,FALSE)</f>
        <v>1600</v>
      </c>
      <c r="X635" s="8">
        <f>+Table4[[#This Row],[SalesBot]]*Table4[[#This Row],[နှုံး]]</f>
        <v>9600</v>
      </c>
      <c r="Y635" s="12"/>
      <c r="Z635" s="12"/>
      <c r="AA635" s="12"/>
      <c r="AB635" s="9"/>
      <c r="AC635" s="12"/>
      <c r="AD635" s="9"/>
      <c r="AE635" s="12"/>
      <c r="AF63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9600</v>
      </c>
      <c r="AG635" s="24"/>
      <c r="AH635" s="266">
        <f>Table4[[#This Row],[Date]]</f>
        <v>46063</v>
      </c>
      <c r="AI635" s="264" t="str">
        <f t="shared" si="120"/>
        <v>Feb</v>
      </c>
      <c r="AJ635" s="264" t="str">
        <f t="shared" si="121"/>
        <v>2026</v>
      </c>
      <c r="AK635" s="270" t="str">
        <f>Table4[[#This Row],[ကုန်သည်အမည်]]</f>
        <v>မသန္တာ</v>
      </c>
      <c r="AL635" s="270" t="str">
        <f>Table4[[#This Row],[Township]]</f>
        <v>Maw La Myaing</v>
      </c>
      <c r="AM635" s="271" t="str">
        <f>Table4[[#This Row],[WholeSales]]</f>
        <v>Van Sales</v>
      </c>
      <c r="AN635" s="272" t="str">
        <f>Table4[[#This Row],[Particular]]</f>
        <v>ကုန်ရောင်း(လက်ငင်း)</v>
      </c>
      <c r="AO635" s="273" t="str">
        <f>Table4[[#This Row],[StockName]]</f>
        <v>ဒဂုံမန်ကျည်း ကော်ဘူး (1 Liter)</v>
      </c>
      <c r="AP635" s="268">
        <f>Table4[[#This Row],[Parking]]</f>
        <v>0.5</v>
      </c>
      <c r="AQ635" s="268">
        <f>Table4[[#This Row],[SalesBot]]</f>
        <v>6</v>
      </c>
      <c r="AR635" s="268">
        <f>Table4[[#This Row],[Liter]]</f>
        <v>6</v>
      </c>
    </row>
    <row r="636" spans="1:44" s="16" customFormat="1" hidden="1" x14ac:dyDescent="0.5">
      <c r="A636" s="3">
        <f t="shared" si="116"/>
        <v>2026</v>
      </c>
      <c r="B636" s="8">
        <f t="shared" si="117"/>
        <v>2</v>
      </c>
      <c r="C636" s="6">
        <v>46063</v>
      </c>
      <c r="D636" s="15">
        <f t="shared" ca="1" si="118"/>
        <v>46097</v>
      </c>
      <c r="E636" s="15" t="str">
        <f t="shared" ca="1" si="119"/>
        <v>1-Months</v>
      </c>
      <c r="F636" s="8" t="str">
        <f>VLOOKUP(N636,Stock[#Data],5,FALSE)</f>
        <v>BE</v>
      </c>
      <c r="G636" s="82" t="s">
        <v>1341</v>
      </c>
      <c r="H636" s="15" t="s">
        <v>439</v>
      </c>
      <c r="I636" s="7" t="s">
        <v>560</v>
      </c>
      <c r="J636" s="8" t="str">
        <f>VLOOKUP(I636,Customers[#Data],2,FALSE)</f>
        <v>မသန္တာ</v>
      </c>
      <c r="K636" s="15" t="str">
        <f>VLOOKUP(I636,Customers[#Data],4,FALSE)</f>
        <v>Maw La Myaing</v>
      </c>
      <c r="L636" s="15" t="str">
        <f>VLOOKUP(I636,Customers[#Data],5,FALSE)</f>
        <v>Van Sales</v>
      </c>
      <c r="M636" s="7" t="s">
        <v>6</v>
      </c>
      <c r="N636" s="7" t="s">
        <v>508</v>
      </c>
      <c r="O636" s="14" t="str">
        <f>VLOOKUP(N636,Stock[#Data],2,FALSE)</f>
        <v>ကောင်းကြည်-1Li</v>
      </c>
      <c r="P636" s="44">
        <f>VLOOKUP(N636,Stock[#Data],3,FALSE)</f>
        <v>1</v>
      </c>
      <c r="Q636" s="3">
        <f>VLOOKUP(N636,Stock[#Data],4,FALSE)</f>
        <v>12</v>
      </c>
      <c r="R636" s="11">
        <v>6</v>
      </c>
      <c r="S636" s="45">
        <f>IFERROR(Table4[[#This Row],[Bottle]]/Table4[[#This Row],[ပါဝင်မှု]]+Table4[[#This Row],[SalesPK]],0)</f>
        <v>0.5</v>
      </c>
      <c r="T636" s="12"/>
      <c r="U636" s="10">
        <f>Table4[[#This Row],[ပါဝင်မှု]]*Table4[[#This Row],[SalesPK]]+Table4[[#This Row],[Bottle]]</f>
        <v>6</v>
      </c>
      <c r="V636" s="10">
        <f>Table4[[#This Row],[SalesBot]]*Table4[[#This Row],[ML]]</f>
        <v>6</v>
      </c>
      <c r="W636" s="1">
        <f>VLOOKUP(N636,Stock[#Data],6,FALSE)</f>
        <v>1850</v>
      </c>
      <c r="X636" s="8">
        <f>+Table4[[#This Row],[SalesBot]]*Table4[[#This Row],[နှုံး]]</f>
        <v>11100</v>
      </c>
      <c r="Y636" s="12"/>
      <c r="Z636" s="12"/>
      <c r="AA636" s="12"/>
      <c r="AB636" s="9"/>
      <c r="AC636" s="12"/>
      <c r="AD636" s="9"/>
      <c r="AE636" s="12"/>
      <c r="AF63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11100</v>
      </c>
      <c r="AG636" s="24"/>
      <c r="AH636" s="266">
        <f>Table4[[#This Row],[Date]]</f>
        <v>46063</v>
      </c>
      <c r="AI636" s="264" t="str">
        <f t="shared" si="120"/>
        <v>Feb</v>
      </c>
      <c r="AJ636" s="264" t="str">
        <f t="shared" si="121"/>
        <v>2026</v>
      </c>
      <c r="AK636" s="270" t="str">
        <f>Table4[[#This Row],[ကုန်သည်အမည်]]</f>
        <v>မသန္တာ</v>
      </c>
      <c r="AL636" s="270" t="str">
        <f>Table4[[#This Row],[Township]]</f>
        <v>Maw La Myaing</v>
      </c>
      <c r="AM636" s="271" t="str">
        <f>Table4[[#This Row],[WholeSales]]</f>
        <v>Van Sales</v>
      </c>
      <c r="AN636" s="272" t="str">
        <f>Table4[[#This Row],[Particular]]</f>
        <v>ကုန်ရောင်း(လက်ငင်း)</v>
      </c>
      <c r="AO636" s="273" t="str">
        <f>Table4[[#This Row],[StockName]]</f>
        <v>ကောင်းကြည်-1Li</v>
      </c>
      <c r="AP636" s="268">
        <f>Table4[[#This Row],[Parking]]</f>
        <v>0.5</v>
      </c>
      <c r="AQ636" s="268">
        <f>Table4[[#This Row],[SalesBot]]</f>
        <v>6</v>
      </c>
      <c r="AR636" s="268">
        <f>Table4[[#This Row],[Liter]]</f>
        <v>6</v>
      </c>
    </row>
    <row r="637" spans="1:44" s="16" customFormat="1" hidden="1" x14ac:dyDescent="0.5">
      <c r="A637" s="3">
        <f t="shared" si="116"/>
        <v>2026</v>
      </c>
      <c r="B637" s="8">
        <f t="shared" si="117"/>
        <v>2</v>
      </c>
      <c r="C637" s="6">
        <v>46063</v>
      </c>
      <c r="D637" s="15">
        <f t="shared" ca="1" si="118"/>
        <v>46097</v>
      </c>
      <c r="E637" s="15" t="str">
        <f t="shared" ca="1" si="119"/>
        <v>1-Months</v>
      </c>
      <c r="F637" s="8" t="str">
        <f>VLOOKUP(N637,Stock[#Data],5,FALSE)</f>
        <v>BE</v>
      </c>
      <c r="G637" s="82" t="s">
        <v>1330</v>
      </c>
      <c r="H637" s="15" t="s">
        <v>439</v>
      </c>
      <c r="I637" s="7" t="s">
        <v>549</v>
      </c>
      <c r="J637" s="8" t="str">
        <f>VLOOKUP(I637,Customers[#Data],2,FALSE)</f>
        <v>မွန်လေး</v>
      </c>
      <c r="K637" s="15" t="str">
        <f>VLOOKUP(I637,Customers[#Data],4,FALSE)</f>
        <v>Maw La Myaing</v>
      </c>
      <c r="L637" s="15" t="str">
        <f>VLOOKUP(I637,Customers[#Data],5,FALSE)</f>
        <v>Mini Whole Sales</v>
      </c>
      <c r="M637" s="7" t="s">
        <v>6</v>
      </c>
      <c r="N637" s="7" t="s">
        <v>508</v>
      </c>
      <c r="O637" s="14" t="str">
        <f>VLOOKUP(N637,Stock[#Data],2,FALSE)</f>
        <v>ကောင်းကြည်-1Li</v>
      </c>
      <c r="P637" s="44">
        <f>VLOOKUP(N637,Stock[#Data],3,FALSE)</f>
        <v>1</v>
      </c>
      <c r="Q637" s="3">
        <f>VLOOKUP(N637,Stock[#Data],4,FALSE)</f>
        <v>12</v>
      </c>
      <c r="R637" s="11"/>
      <c r="S637" s="45">
        <f>IFERROR(Table4[[#This Row],[Bottle]]/Table4[[#This Row],[ပါဝင်မှု]]+Table4[[#This Row],[SalesPK]],0)</f>
        <v>5</v>
      </c>
      <c r="T637" s="12">
        <v>5</v>
      </c>
      <c r="U637" s="10">
        <f>Table4[[#This Row],[ပါဝင်မှု]]*Table4[[#This Row],[SalesPK]]+Table4[[#This Row],[Bottle]]</f>
        <v>60</v>
      </c>
      <c r="V637" s="10">
        <f>Table4[[#This Row],[SalesBot]]*Table4[[#This Row],[ML]]</f>
        <v>60</v>
      </c>
      <c r="W637" s="1">
        <f>VLOOKUP(N637,Stock[#Data],6,FALSE)</f>
        <v>1850</v>
      </c>
      <c r="X637" s="8">
        <f>+Table4[[#This Row],[SalesBot]]*Table4[[#This Row],[နှုံး]]</f>
        <v>111000</v>
      </c>
      <c r="Y637" s="12"/>
      <c r="Z637" s="12"/>
      <c r="AA637" s="12"/>
      <c r="AB637" s="9"/>
      <c r="AC637" s="12"/>
      <c r="AD637" s="9"/>
      <c r="AE637" s="12"/>
      <c r="AF63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111000</v>
      </c>
      <c r="AG637" s="24"/>
      <c r="AH637" s="266">
        <f>Table4[[#This Row],[Date]]</f>
        <v>46063</v>
      </c>
      <c r="AI637" s="264" t="str">
        <f t="shared" si="120"/>
        <v>Feb</v>
      </c>
      <c r="AJ637" s="264" t="str">
        <f t="shared" si="121"/>
        <v>2026</v>
      </c>
      <c r="AK637" s="270" t="str">
        <f>Table4[[#This Row],[ကုန်သည်အမည်]]</f>
        <v>မွန်လေး</v>
      </c>
      <c r="AL637" s="270" t="str">
        <f>Table4[[#This Row],[Township]]</f>
        <v>Maw La Myaing</v>
      </c>
      <c r="AM637" s="271" t="str">
        <f>Table4[[#This Row],[WholeSales]]</f>
        <v>Mini Whole Sales</v>
      </c>
      <c r="AN637" s="272" t="str">
        <f>Table4[[#This Row],[Particular]]</f>
        <v>ကုန်ရောင်း(လက်ငင်း)</v>
      </c>
      <c r="AO637" s="273" t="str">
        <f>Table4[[#This Row],[StockName]]</f>
        <v>ကောင်းကြည်-1Li</v>
      </c>
      <c r="AP637" s="268">
        <f>Table4[[#This Row],[Parking]]</f>
        <v>5</v>
      </c>
      <c r="AQ637" s="268">
        <f>Table4[[#This Row],[SalesBot]]</f>
        <v>60</v>
      </c>
      <c r="AR637" s="268">
        <f>Table4[[#This Row],[Liter]]</f>
        <v>60</v>
      </c>
    </row>
    <row r="638" spans="1:44" s="16" customFormat="1" hidden="1" x14ac:dyDescent="0.5">
      <c r="A638" s="3">
        <f t="shared" si="116"/>
        <v>2026</v>
      </c>
      <c r="B638" s="8">
        <f t="shared" si="117"/>
        <v>2</v>
      </c>
      <c r="C638" s="6">
        <v>46063</v>
      </c>
      <c r="D638" s="15">
        <f t="shared" ca="1" si="118"/>
        <v>46097</v>
      </c>
      <c r="E638" s="15" t="str">
        <f t="shared" ca="1" si="119"/>
        <v>1-Months</v>
      </c>
      <c r="F638" s="8" t="str">
        <f>VLOOKUP(N638,Stock[#Data],5,FALSE)</f>
        <v>BE</v>
      </c>
      <c r="G638" s="82" t="s">
        <v>1342</v>
      </c>
      <c r="H638" s="15"/>
      <c r="I638" s="7" t="s">
        <v>91</v>
      </c>
      <c r="J638" s="8" t="str">
        <f>VLOOKUP(I638,Customers[#Data],2,FALSE)</f>
        <v>တော်၀င်</v>
      </c>
      <c r="K638" s="15" t="str">
        <f>VLOOKUP(I638,Customers[#Data],4,FALSE)</f>
        <v>Belin</v>
      </c>
      <c r="L638" s="15" t="str">
        <f>VLOOKUP(I638,Customers[#Data],5,FALSE)</f>
        <v>SemiWholeSales</v>
      </c>
      <c r="M638" s="7" t="s">
        <v>6</v>
      </c>
      <c r="N638" s="7" t="s">
        <v>515</v>
      </c>
      <c r="O638" s="14" t="str">
        <f>VLOOKUP(N638,Stock[#Data],2,FALSE)</f>
        <v>ဇေ Vodka</v>
      </c>
      <c r="P638" s="44">
        <f>VLOOKUP(N638,Stock[#Data],3,FALSE)</f>
        <v>0.7</v>
      </c>
      <c r="Q638" s="3">
        <f>VLOOKUP(N638,Stock[#Data],4,FALSE)</f>
        <v>12</v>
      </c>
      <c r="R638" s="11"/>
      <c r="S638" s="45">
        <f>IFERROR(Table4[[#This Row],[Bottle]]/Table4[[#This Row],[ပါဝင်မှု]]+Table4[[#This Row],[SalesPK]],0)</f>
        <v>100</v>
      </c>
      <c r="T638" s="12">
        <v>100</v>
      </c>
      <c r="U638" s="10">
        <f>Table4[[#This Row],[ပါဝင်မှု]]*Table4[[#This Row],[SalesPK]]+Table4[[#This Row],[Bottle]]</f>
        <v>1200</v>
      </c>
      <c r="V638" s="10">
        <f>Table4[[#This Row],[SalesBot]]*Table4[[#This Row],[ML]]</f>
        <v>840</v>
      </c>
      <c r="W638" s="1">
        <f>VLOOKUP(N638,Stock[#Data],6,FALSE)</f>
        <v>2020</v>
      </c>
      <c r="X638" s="8">
        <f>+Table4[[#This Row],[SalesBot]]*Table4[[#This Row],[နှုံး]]</f>
        <v>2424000</v>
      </c>
      <c r="Y638" s="12"/>
      <c r="Z638" s="12"/>
      <c r="AA638" s="12"/>
      <c r="AB638" s="9"/>
      <c r="AC638" s="12"/>
      <c r="AD638" s="9"/>
      <c r="AE638" s="12"/>
      <c r="AF63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2424000</v>
      </c>
      <c r="AG638" s="24"/>
      <c r="AH638" s="266">
        <f>Table4[[#This Row],[Date]]</f>
        <v>46063</v>
      </c>
      <c r="AI638" s="264" t="str">
        <f t="shared" si="120"/>
        <v>Feb</v>
      </c>
      <c r="AJ638" s="264" t="str">
        <f t="shared" si="121"/>
        <v>2026</v>
      </c>
      <c r="AK638" s="270" t="str">
        <f>Table4[[#This Row],[ကုန်သည်အမည်]]</f>
        <v>တော်၀င်</v>
      </c>
      <c r="AL638" s="270" t="str">
        <f>Table4[[#This Row],[Township]]</f>
        <v>Belin</v>
      </c>
      <c r="AM638" s="271" t="str">
        <f>Table4[[#This Row],[WholeSales]]</f>
        <v>SemiWholeSales</v>
      </c>
      <c r="AN638" s="272" t="str">
        <f>Table4[[#This Row],[Particular]]</f>
        <v>ကုန်ရောင်း(လက်ငင်း)</v>
      </c>
      <c r="AO638" s="273" t="str">
        <f>Table4[[#This Row],[StockName]]</f>
        <v>ဇေ Vodka</v>
      </c>
      <c r="AP638" s="268">
        <f>Table4[[#This Row],[Parking]]</f>
        <v>100</v>
      </c>
      <c r="AQ638" s="268">
        <f>Table4[[#This Row],[SalesBot]]</f>
        <v>1200</v>
      </c>
      <c r="AR638" s="268">
        <f>Table4[[#This Row],[Liter]]</f>
        <v>840</v>
      </c>
    </row>
    <row r="639" spans="1:44" s="16" customFormat="1" hidden="1" x14ac:dyDescent="0.5">
      <c r="A639" s="3">
        <f t="shared" si="116"/>
        <v>2026</v>
      </c>
      <c r="B639" s="8">
        <f t="shared" si="117"/>
        <v>2</v>
      </c>
      <c r="C639" s="6">
        <v>46063</v>
      </c>
      <c r="D639" s="15">
        <f t="shared" ca="1" si="118"/>
        <v>46097</v>
      </c>
      <c r="E639" s="15" t="str">
        <f t="shared" ca="1" si="119"/>
        <v>1-Months</v>
      </c>
      <c r="F639" s="8" t="str">
        <f>VLOOKUP(N639,Stock[#Data],5,FALSE)</f>
        <v>BE</v>
      </c>
      <c r="G639" s="82" t="s">
        <v>1343</v>
      </c>
      <c r="H639" s="15"/>
      <c r="I639" s="7" t="s">
        <v>90</v>
      </c>
      <c r="J639" s="8" t="str">
        <f>VLOOKUP(I639,Customers[#Data],2,FALSE)</f>
        <v>လပြည့်</v>
      </c>
      <c r="K639" s="15" t="str">
        <f>VLOOKUP(I639,Customers[#Data],4,FALSE)</f>
        <v>ThaHtone</v>
      </c>
      <c r="L639" s="15" t="str">
        <f>VLOOKUP(I639,Customers[#Data],5,FALSE)</f>
        <v>Mini Whole Sales</v>
      </c>
      <c r="M639" s="7" t="s">
        <v>6</v>
      </c>
      <c r="N639" s="7" t="s">
        <v>51</v>
      </c>
      <c r="O639" s="14" t="str">
        <f>VLOOKUP(N639,Stock[#Data],2,FALSE)</f>
        <v>ကောင်းကြည်</v>
      </c>
      <c r="P639" s="44">
        <f>VLOOKUP(N639,Stock[#Data],3,FALSE)</f>
        <v>0.64</v>
      </c>
      <c r="Q639" s="3">
        <f>VLOOKUP(N639,Stock[#Data],4,FALSE)</f>
        <v>14</v>
      </c>
      <c r="R639" s="11"/>
      <c r="S639" s="45">
        <f>IFERROR(Table4[[#This Row],[Bottle]]/Table4[[#This Row],[ပါဝင်မှု]]+Table4[[#This Row],[SalesPK]],0)</f>
        <v>100</v>
      </c>
      <c r="T639" s="12">
        <v>100</v>
      </c>
      <c r="U639" s="10">
        <f>Table4[[#This Row],[ပါဝင်မှု]]*Table4[[#This Row],[SalesPK]]+Table4[[#This Row],[Bottle]]</f>
        <v>1400</v>
      </c>
      <c r="V639" s="10">
        <f>Table4[[#This Row],[SalesBot]]*Table4[[#This Row],[ML]]</f>
        <v>896</v>
      </c>
      <c r="W639" s="1">
        <f>VLOOKUP(N639,Stock[#Data],6,FALSE)</f>
        <v>1250</v>
      </c>
      <c r="X639" s="8">
        <f>+Table4[[#This Row],[SalesBot]]*Table4[[#This Row],[နှုံး]]</f>
        <v>1750000</v>
      </c>
      <c r="Y639" s="12"/>
      <c r="Z639" s="12"/>
      <c r="AA639" s="12"/>
      <c r="AB639" s="9"/>
      <c r="AC639" s="12"/>
      <c r="AD639" s="9"/>
      <c r="AE639" s="12"/>
      <c r="AF63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1750000</v>
      </c>
      <c r="AG639" s="24"/>
      <c r="AH639" s="266">
        <f>Table4[[#This Row],[Date]]</f>
        <v>46063</v>
      </c>
      <c r="AI639" s="264" t="str">
        <f t="shared" si="120"/>
        <v>Feb</v>
      </c>
      <c r="AJ639" s="264" t="str">
        <f t="shared" si="121"/>
        <v>2026</v>
      </c>
      <c r="AK639" s="270" t="str">
        <f>Table4[[#This Row],[ကုန်သည်အမည်]]</f>
        <v>လပြည့်</v>
      </c>
      <c r="AL639" s="270" t="str">
        <f>Table4[[#This Row],[Township]]</f>
        <v>ThaHtone</v>
      </c>
      <c r="AM639" s="271" t="str">
        <f>Table4[[#This Row],[WholeSales]]</f>
        <v>Mini Whole Sales</v>
      </c>
      <c r="AN639" s="272" t="str">
        <f>Table4[[#This Row],[Particular]]</f>
        <v>ကုန်ရောင်း(လက်ငင်း)</v>
      </c>
      <c r="AO639" s="273" t="str">
        <f>Table4[[#This Row],[StockName]]</f>
        <v>ကောင်းကြည်</v>
      </c>
      <c r="AP639" s="268">
        <f>Table4[[#This Row],[Parking]]</f>
        <v>100</v>
      </c>
      <c r="AQ639" s="268">
        <f>Table4[[#This Row],[SalesBot]]</f>
        <v>1400</v>
      </c>
      <c r="AR639" s="268">
        <f>Table4[[#This Row],[Liter]]</f>
        <v>896</v>
      </c>
    </row>
    <row r="640" spans="1:44" s="16" customFormat="1" hidden="1" x14ac:dyDescent="0.5">
      <c r="A640" s="3">
        <f t="shared" si="116"/>
        <v>2026</v>
      </c>
      <c r="B640" s="8">
        <f t="shared" si="117"/>
        <v>2</v>
      </c>
      <c r="C640" s="6">
        <v>46063</v>
      </c>
      <c r="D640" s="15">
        <f t="shared" ca="1" si="118"/>
        <v>46097</v>
      </c>
      <c r="E640" s="15" t="str">
        <f t="shared" ca="1" si="119"/>
        <v>1-Months</v>
      </c>
      <c r="F640" s="8" t="str">
        <f>VLOOKUP(N640,Stock[#Data],5,FALSE)</f>
        <v>BE</v>
      </c>
      <c r="G640" s="82" t="s">
        <v>1344</v>
      </c>
      <c r="H640" s="15"/>
      <c r="I640" s="7" t="s">
        <v>101</v>
      </c>
      <c r="J640" s="8" t="str">
        <f>VLOOKUP(I640,Customers[#Data],2,FALSE)</f>
        <v>ကိုမောင်+မသူဇာ</v>
      </c>
      <c r="K640" s="15" t="str">
        <f>VLOOKUP(I640,Customers[#Data],4,FALSE)</f>
        <v>Yay</v>
      </c>
      <c r="L640" s="15" t="str">
        <f>VLOOKUP(I640,Customers[#Data],5,FALSE)</f>
        <v>WholeSales</v>
      </c>
      <c r="M640" s="7" t="s">
        <v>7</v>
      </c>
      <c r="N640" s="7" t="s">
        <v>517</v>
      </c>
      <c r="O640" s="14" t="str">
        <f>VLOOKUP(N640,Stock[#Data],2,FALSE)</f>
        <v>ဇေယျဝတီ Red (1 Liter) 30%</v>
      </c>
      <c r="P640" s="44">
        <f>VLOOKUP(N640,Stock[#Data],3,FALSE)</f>
        <v>1</v>
      </c>
      <c r="Q640" s="3">
        <f>VLOOKUP(N640,Stock[#Data],4,FALSE)</f>
        <v>12</v>
      </c>
      <c r="R640" s="11"/>
      <c r="S640" s="45">
        <f>IFERROR(Table4[[#This Row],[Bottle]]/Table4[[#This Row],[ပါဝင်မှု]]+Table4[[#This Row],[SalesPK]],0)</f>
        <v>50</v>
      </c>
      <c r="T640" s="12">
        <v>50</v>
      </c>
      <c r="U640" s="10">
        <f>Table4[[#This Row],[ပါဝင်မှု]]*Table4[[#This Row],[SalesPK]]+Table4[[#This Row],[Bottle]]</f>
        <v>600</v>
      </c>
      <c r="V640" s="10">
        <f>Table4[[#This Row],[SalesBot]]*Table4[[#This Row],[ML]]</f>
        <v>600</v>
      </c>
      <c r="W640" s="1">
        <f>VLOOKUP(N640,Stock[#Data],6,FALSE)</f>
        <v>1710</v>
      </c>
      <c r="X640" s="8">
        <f>+Table4[[#This Row],[SalesBot]]*Table4[[#This Row],[နှုံး]]</f>
        <v>1026000</v>
      </c>
      <c r="Y640" s="12"/>
      <c r="Z640" s="12"/>
      <c r="AA640" s="12"/>
      <c r="AB640" s="9"/>
      <c r="AC640" s="12"/>
      <c r="AD640" s="9"/>
      <c r="AE640" s="12"/>
      <c r="AF64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640" s="24"/>
      <c r="AH640" s="266">
        <f>Table4[[#This Row],[Date]]</f>
        <v>46063</v>
      </c>
      <c r="AI640" s="264" t="str">
        <f t="shared" si="120"/>
        <v>Feb</v>
      </c>
      <c r="AJ640" s="264" t="str">
        <f t="shared" si="121"/>
        <v>2026</v>
      </c>
      <c r="AK640" s="270" t="str">
        <f>Table4[[#This Row],[ကုန်သည်အမည်]]</f>
        <v>ကိုမောင်+မသူဇာ</v>
      </c>
      <c r="AL640" s="270" t="str">
        <f>Table4[[#This Row],[Township]]</f>
        <v>Yay</v>
      </c>
      <c r="AM640" s="271" t="str">
        <f>Table4[[#This Row],[WholeSales]]</f>
        <v>WholeSales</v>
      </c>
      <c r="AN640" s="272" t="str">
        <f>Table4[[#This Row],[Particular]]</f>
        <v>ကုန်ရောင်း(အကြွေး)</v>
      </c>
      <c r="AO640" s="273" t="str">
        <f>Table4[[#This Row],[StockName]]</f>
        <v>ဇေယျဝတီ Red (1 Liter) 30%</v>
      </c>
      <c r="AP640" s="268">
        <f>Table4[[#This Row],[Parking]]</f>
        <v>50</v>
      </c>
      <c r="AQ640" s="268">
        <f>Table4[[#This Row],[SalesBot]]</f>
        <v>600</v>
      </c>
      <c r="AR640" s="268">
        <f>Table4[[#This Row],[Liter]]</f>
        <v>600</v>
      </c>
    </row>
    <row r="641" spans="1:44" s="16" customFormat="1" hidden="1" x14ac:dyDescent="0.5">
      <c r="A641" s="3">
        <f t="shared" si="116"/>
        <v>2026</v>
      </c>
      <c r="B641" s="8">
        <f t="shared" si="117"/>
        <v>2</v>
      </c>
      <c r="C641" s="6">
        <v>46063</v>
      </c>
      <c r="D641" s="15">
        <f t="shared" ca="1" si="118"/>
        <v>46097</v>
      </c>
      <c r="E641" s="15" t="str">
        <f t="shared" ca="1" si="119"/>
        <v>1-Months</v>
      </c>
      <c r="F641" s="8" t="str">
        <f>VLOOKUP(N641,Stock[#Data],5,FALSE)</f>
        <v>BE</v>
      </c>
      <c r="G641" s="82" t="s">
        <v>1345</v>
      </c>
      <c r="H641" s="15"/>
      <c r="I641" s="7" t="s">
        <v>114</v>
      </c>
      <c r="J641" s="8" t="str">
        <f>VLOOKUP(I641,Customers[#Data],2,FALSE)</f>
        <v>ကိုမောင်လေး</v>
      </c>
      <c r="K641" s="15" t="str">
        <f>VLOOKUP(I641,Customers[#Data],4,FALSE)</f>
        <v>Than Phyu ZaYat</v>
      </c>
      <c r="L641" s="15" t="str">
        <f>VLOOKUP(I641,Customers[#Data],5,FALSE)</f>
        <v>Van Sales</v>
      </c>
      <c r="M641" s="7" t="s">
        <v>7</v>
      </c>
      <c r="N641" s="7" t="s">
        <v>533</v>
      </c>
      <c r="O641" s="14" t="str">
        <f>VLOOKUP(N641,Stock[#Data],2,FALSE)</f>
        <v>ရွှေမန်း</v>
      </c>
      <c r="P641" s="44">
        <f>VLOOKUP(N641,Stock[#Data],3,FALSE)</f>
        <v>0.64</v>
      </c>
      <c r="Q641" s="3">
        <f>VLOOKUP(N641,Stock[#Data],4,FALSE)</f>
        <v>14</v>
      </c>
      <c r="R641" s="11"/>
      <c r="S641" s="45">
        <f>IFERROR(Table4[[#This Row],[Bottle]]/Table4[[#This Row],[ပါဝင်မှု]]+Table4[[#This Row],[SalesPK]],0)</f>
        <v>1</v>
      </c>
      <c r="T641" s="12">
        <v>1</v>
      </c>
      <c r="U641" s="10">
        <f>Table4[[#This Row],[ပါဝင်မှု]]*Table4[[#This Row],[SalesPK]]+Table4[[#This Row],[Bottle]]</f>
        <v>14</v>
      </c>
      <c r="V641" s="10">
        <f>Table4[[#This Row],[SalesBot]]*Table4[[#This Row],[ML]]</f>
        <v>8.9600000000000009</v>
      </c>
      <c r="W641" s="1">
        <f>VLOOKUP(N641,Stock[#Data],6,FALSE)</f>
        <v>1500</v>
      </c>
      <c r="X641" s="8">
        <f>+Table4[[#This Row],[SalesBot]]*Table4[[#This Row],[နှုံး]]</f>
        <v>21000</v>
      </c>
      <c r="Y641" s="12"/>
      <c r="Z641" s="12"/>
      <c r="AA641" s="12"/>
      <c r="AB641" s="9"/>
      <c r="AC641" s="12"/>
      <c r="AD641" s="9"/>
      <c r="AE641" s="12"/>
      <c r="AF64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21000</v>
      </c>
      <c r="AG641" s="24"/>
      <c r="AH641" s="266">
        <f>Table4[[#This Row],[Date]]</f>
        <v>46063</v>
      </c>
      <c r="AI641" s="264" t="str">
        <f t="shared" si="120"/>
        <v>Feb</v>
      </c>
      <c r="AJ641" s="264" t="str">
        <f t="shared" si="121"/>
        <v>2026</v>
      </c>
      <c r="AK641" s="270" t="str">
        <f>Table4[[#This Row],[ကုန်သည်အမည်]]</f>
        <v>ကိုမောင်လေး</v>
      </c>
      <c r="AL641" s="270" t="str">
        <f>Table4[[#This Row],[Township]]</f>
        <v>Than Phyu ZaYat</v>
      </c>
      <c r="AM641" s="271" t="str">
        <f>Table4[[#This Row],[WholeSales]]</f>
        <v>Van Sales</v>
      </c>
      <c r="AN641" s="272" t="str">
        <f>Table4[[#This Row],[Particular]]</f>
        <v>ကုန်ရောင်း(အကြွေး)</v>
      </c>
      <c r="AO641" s="273" t="str">
        <f>Table4[[#This Row],[StockName]]</f>
        <v>ရွှေမန်း</v>
      </c>
      <c r="AP641" s="268">
        <f>Table4[[#This Row],[Parking]]</f>
        <v>1</v>
      </c>
      <c r="AQ641" s="268">
        <f>Table4[[#This Row],[SalesBot]]</f>
        <v>14</v>
      </c>
      <c r="AR641" s="268">
        <f>Table4[[#This Row],[Liter]]</f>
        <v>8.9600000000000009</v>
      </c>
    </row>
    <row r="642" spans="1:44" s="16" customFormat="1" hidden="1" x14ac:dyDescent="0.5">
      <c r="A642" s="3">
        <f t="shared" si="116"/>
        <v>2026</v>
      </c>
      <c r="B642" s="8">
        <f t="shared" si="117"/>
        <v>2</v>
      </c>
      <c r="C642" s="6">
        <v>46063</v>
      </c>
      <c r="D642" s="15">
        <f t="shared" ca="1" si="118"/>
        <v>46097</v>
      </c>
      <c r="E642" s="15" t="str">
        <f t="shared" ca="1" si="119"/>
        <v>1-Months</v>
      </c>
      <c r="F642" s="8" t="str">
        <f>VLOOKUP(N642,Stock[#Data],5,FALSE)</f>
        <v>BE</v>
      </c>
      <c r="G642" s="82" t="s">
        <v>1346</v>
      </c>
      <c r="H642" s="15"/>
      <c r="I642" s="7" t="s">
        <v>749</v>
      </c>
      <c r="J642" s="8" t="str">
        <f>VLOOKUP(I642,Customers[#Data],2,FALSE)</f>
        <v>ဦး၀င်းမြင့်</v>
      </c>
      <c r="K642" s="15" t="str">
        <f>VLOOKUP(I642,Customers[#Data],4,FALSE)</f>
        <v>Maw La Myaing</v>
      </c>
      <c r="L642" s="15" t="str">
        <f>VLOOKUP(I642,Customers[#Data],5,FALSE)</f>
        <v>Van Sales</v>
      </c>
      <c r="M642" s="7" t="s">
        <v>6</v>
      </c>
      <c r="N642" s="7" t="s">
        <v>519</v>
      </c>
      <c r="O642" s="14" t="str">
        <f>VLOOKUP(N642,Stock[#Data],2,FALSE)</f>
        <v>ဇေယျဝတီ High 43%</v>
      </c>
      <c r="P642" s="44">
        <f>VLOOKUP(N642,Stock[#Data],3,FALSE)</f>
        <v>0.64</v>
      </c>
      <c r="Q642" s="3">
        <f>VLOOKUP(N642,Stock[#Data],4,FALSE)</f>
        <v>14</v>
      </c>
      <c r="R642" s="11"/>
      <c r="S642" s="45">
        <f>IFERROR(Table4[[#This Row],[Bottle]]/Table4[[#This Row],[ပါဝင်မှု]]+Table4[[#This Row],[SalesPK]],0)</f>
        <v>50</v>
      </c>
      <c r="T642" s="12">
        <v>50</v>
      </c>
      <c r="U642" s="10">
        <f>Table4[[#This Row],[ပါဝင်မှု]]*Table4[[#This Row],[SalesPK]]+Table4[[#This Row],[Bottle]]</f>
        <v>700</v>
      </c>
      <c r="V642" s="10">
        <f>Table4[[#This Row],[SalesBot]]*Table4[[#This Row],[ML]]</f>
        <v>448</v>
      </c>
      <c r="W642" s="1">
        <f>VLOOKUP(N642,Stock[#Data],6,FALSE)</f>
        <v>1500</v>
      </c>
      <c r="X642" s="8">
        <f>+Table4[[#This Row],[SalesBot]]*Table4[[#This Row],[နှုံး]]</f>
        <v>1050000</v>
      </c>
      <c r="Y642" s="12"/>
      <c r="Z642" s="12"/>
      <c r="AA642" s="12"/>
      <c r="AB642" s="9"/>
      <c r="AC642" s="12"/>
      <c r="AD642" s="9"/>
      <c r="AE642" s="12"/>
      <c r="AF64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1050000</v>
      </c>
      <c r="AG642" s="24"/>
      <c r="AH642" s="266">
        <f>Table4[[#This Row],[Date]]</f>
        <v>46063</v>
      </c>
      <c r="AI642" s="264" t="str">
        <f t="shared" si="120"/>
        <v>Feb</v>
      </c>
      <c r="AJ642" s="264" t="str">
        <f t="shared" si="121"/>
        <v>2026</v>
      </c>
      <c r="AK642" s="270" t="str">
        <f>Table4[[#This Row],[ကုန်သည်အမည်]]</f>
        <v>ဦး၀င်းမြင့်</v>
      </c>
      <c r="AL642" s="270" t="str">
        <f>Table4[[#This Row],[Township]]</f>
        <v>Maw La Myaing</v>
      </c>
      <c r="AM642" s="271" t="str">
        <f>Table4[[#This Row],[WholeSales]]</f>
        <v>Van Sales</v>
      </c>
      <c r="AN642" s="272" t="str">
        <f>Table4[[#This Row],[Particular]]</f>
        <v>ကုန်ရောင်း(လက်ငင်း)</v>
      </c>
      <c r="AO642" s="273" t="str">
        <f>Table4[[#This Row],[StockName]]</f>
        <v>ဇေယျဝတီ High 43%</v>
      </c>
      <c r="AP642" s="268">
        <f>Table4[[#This Row],[Parking]]</f>
        <v>50</v>
      </c>
      <c r="AQ642" s="268">
        <f>Table4[[#This Row],[SalesBot]]</f>
        <v>700</v>
      </c>
      <c r="AR642" s="268">
        <f>Table4[[#This Row],[Liter]]</f>
        <v>448</v>
      </c>
    </row>
    <row r="643" spans="1:44" s="16" customFormat="1" hidden="1" x14ac:dyDescent="0.5">
      <c r="A643" s="3">
        <f t="shared" si="116"/>
        <v>2026</v>
      </c>
      <c r="B643" s="8">
        <f t="shared" si="117"/>
        <v>2</v>
      </c>
      <c r="C643" s="6">
        <v>46063</v>
      </c>
      <c r="D643" s="15">
        <f t="shared" ca="1" si="118"/>
        <v>46097</v>
      </c>
      <c r="E643" s="15" t="str">
        <f t="shared" ca="1" si="119"/>
        <v>1-Months</v>
      </c>
      <c r="F643" s="8" t="str">
        <f>VLOOKUP(N643,Stock[#Data],5,FALSE)</f>
        <v>BE</v>
      </c>
      <c r="G643" s="82" t="s">
        <v>1347</v>
      </c>
      <c r="H643" s="15"/>
      <c r="I643" s="7" t="s">
        <v>107</v>
      </c>
      <c r="J643" s="8" t="str">
        <f>VLOOKUP(I643,Customers[#Data],2,FALSE)</f>
        <v>မင်းမင်းထွန်း</v>
      </c>
      <c r="K643" s="15" t="str">
        <f>VLOOKUP(I643,Customers[#Data],4,FALSE)</f>
        <v>Paung</v>
      </c>
      <c r="L643" s="15" t="str">
        <f>VLOOKUP(I643,Customers[#Data],5,FALSE)</f>
        <v>Van Sales</v>
      </c>
      <c r="M643" s="7" t="s">
        <v>6</v>
      </c>
      <c r="N643" s="7" t="s">
        <v>520</v>
      </c>
      <c r="O643" s="14" t="str">
        <f>VLOOKUP(N643,Stock[#Data],2,FALSE)</f>
        <v>ဇေယျဝတီ  Red(ပု)</v>
      </c>
      <c r="P643" s="44">
        <f>VLOOKUP(N643,Stock[#Data],3,FALSE)</f>
        <v>0.64</v>
      </c>
      <c r="Q643" s="3">
        <f>VLOOKUP(N643,Stock[#Data],4,FALSE)</f>
        <v>14</v>
      </c>
      <c r="R643" s="11"/>
      <c r="S643" s="45">
        <f>IFERROR(Table4[[#This Row],[Bottle]]/Table4[[#This Row],[ပါဝင်မှု]]+Table4[[#This Row],[SalesPK]],0)</f>
        <v>10</v>
      </c>
      <c r="T643" s="12">
        <v>10</v>
      </c>
      <c r="U643" s="10">
        <f>Table4[[#This Row],[ပါဝင်မှု]]*Table4[[#This Row],[SalesPK]]+Table4[[#This Row],[Bottle]]</f>
        <v>140</v>
      </c>
      <c r="V643" s="10">
        <f>Table4[[#This Row],[SalesBot]]*Table4[[#This Row],[ML]]</f>
        <v>89.600000000000009</v>
      </c>
      <c r="W643" s="1">
        <f>VLOOKUP(N643,Stock[#Data],6,FALSE)</f>
        <v>1800</v>
      </c>
      <c r="X643" s="8">
        <f>+Table4[[#This Row],[SalesBot]]*Table4[[#This Row],[နှုံး]]</f>
        <v>252000</v>
      </c>
      <c r="Y643" s="12"/>
      <c r="Z643" s="12"/>
      <c r="AA643" s="12"/>
      <c r="AB643" s="9"/>
      <c r="AC643" s="12"/>
      <c r="AD643" s="9"/>
      <c r="AE643" s="12"/>
      <c r="AF64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252000</v>
      </c>
      <c r="AG643" s="24"/>
      <c r="AH643" s="266">
        <f>Table4[[#This Row],[Date]]</f>
        <v>46063</v>
      </c>
      <c r="AI643" s="264" t="str">
        <f t="shared" si="120"/>
        <v>Feb</v>
      </c>
      <c r="AJ643" s="264" t="str">
        <f t="shared" si="121"/>
        <v>2026</v>
      </c>
      <c r="AK643" s="270" t="str">
        <f>Table4[[#This Row],[ကုန်သည်အမည်]]</f>
        <v>မင်းမင်းထွန်း</v>
      </c>
      <c r="AL643" s="270" t="str">
        <f>Table4[[#This Row],[Township]]</f>
        <v>Paung</v>
      </c>
      <c r="AM643" s="271" t="str">
        <f>Table4[[#This Row],[WholeSales]]</f>
        <v>Van Sales</v>
      </c>
      <c r="AN643" s="272" t="str">
        <f>Table4[[#This Row],[Particular]]</f>
        <v>ကုန်ရောင်း(လက်ငင်း)</v>
      </c>
      <c r="AO643" s="273" t="str">
        <f>Table4[[#This Row],[StockName]]</f>
        <v>ဇေယျဝတီ  Red(ပု)</v>
      </c>
      <c r="AP643" s="268">
        <f>Table4[[#This Row],[Parking]]</f>
        <v>10</v>
      </c>
      <c r="AQ643" s="268">
        <f>Table4[[#This Row],[SalesBot]]</f>
        <v>140</v>
      </c>
      <c r="AR643" s="268">
        <f>Table4[[#This Row],[Liter]]</f>
        <v>89.600000000000009</v>
      </c>
    </row>
    <row r="644" spans="1:44" s="16" customFormat="1" hidden="1" x14ac:dyDescent="0.5">
      <c r="A644" s="3">
        <f t="shared" si="116"/>
        <v>2026</v>
      </c>
      <c r="B644" s="8">
        <f t="shared" si="117"/>
        <v>2</v>
      </c>
      <c r="C644" s="6">
        <v>46063</v>
      </c>
      <c r="D644" s="15">
        <f t="shared" ca="1" si="118"/>
        <v>46097</v>
      </c>
      <c r="E644" s="15" t="str">
        <f t="shared" ca="1" si="119"/>
        <v>1-Months</v>
      </c>
      <c r="F644" s="8" t="str">
        <f>VLOOKUP(N644,Stock[#Data],5,FALSE)</f>
        <v>BE</v>
      </c>
      <c r="G644" s="82" t="s">
        <v>1347</v>
      </c>
      <c r="H644" s="15"/>
      <c r="I644" s="7" t="s">
        <v>107</v>
      </c>
      <c r="J644" s="8" t="str">
        <f>VLOOKUP(I644,Customers[#Data],2,FALSE)</f>
        <v>မင်းမင်းထွန်း</v>
      </c>
      <c r="K644" s="15" t="str">
        <f>VLOOKUP(I644,Customers[#Data],4,FALSE)</f>
        <v>Paung</v>
      </c>
      <c r="L644" s="15" t="str">
        <f>VLOOKUP(I644,Customers[#Data],5,FALSE)</f>
        <v>Van Sales</v>
      </c>
      <c r="M644" s="7" t="s">
        <v>6</v>
      </c>
      <c r="N644" s="7" t="s">
        <v>521</v>
      </c>
      <c r="O644" s="14" t="str">
        <f>VLOOKUP(N644,Stock[#Data],2,FALSE)</f>
        <v>ဒဂုံအရက်သန့်</v>
      </c>
      <c r="P644" s="44">
        <f>VLOOKUP(N644,Stock[#Data],3,FALSE)</f>
        <v>0.64</v>
      </c>
      <c r="Q644" s="3">
        <f>VLOOKUP(N644,Stock[#Data],4,FALSE)</f>
        <v>24</v>
      </c>
      <c r="R644" s="11"/>
      <c r="S644" s="45">
        <f>IFERROR(Table4[[#This Row],[Bottle]]/Table4[[#This Row],[ပါဝင်မှု]]+Table4[[#This Row],[SalesPK]],0)</f>
        <v>5</v>
      </c>
      <c r="T644" s="12">
        <v>5</v>
      </c>
      <c r="U644" s="10">
        <f>Table4[[#This Row],[ပါဝင်မှု]]*Table4[[#This Row],[SalesPK]]+Table4[[#This Row],[Bottle]]</f>
        <v>120</v>
      </c>
      <c r="V644" s="10">
        <f>Table4[[#This Row],[SalesBot]]*Table4[[#This Row],[ML]]</f>
        <v>76.8</v>
      </c>
      <c r="W644" s="1">
        <f>VLOOKUP(N644,Stock[#Data],6,FALSE)</f>
        <v>1350</v>
      </c>
      <c r="X644" s="8">
        <f>+Table4[[#This Row],[SalesBot]]*Table4[[#This Row],[နှုံး]]</f>
        <v>162000</v>
      </c>
      <c r="Y644" s="12"/>
      <c r="Z644" s="12"/>
      <c r="AA644" s="12"/>
      <c r="AB644" s="9"/>
      <c r="AC644" s="12"/>
      <c r="AD644" s="9"/>
      <c r="AE644" s="12"/>
      <c r="AF64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162000</v>
      </c>
      <c r="AG644" s="24"/>
      <c r="AH644" s="266">
        <f>Table4[[#This Row],[Date]]</f>
        <v>46063</v>
      </c>
      <c r="AI644" s="264" t="str">
        <f t="shared" si="120"/>
        <v>Feb</v>
      </c>
      <c r="AJ644" s="264" t="str">
        <f t="shared" si="121"/>
        <v>2026</v>
      </c>
      <c r="AK644" s="270" t="str">
        <f>Table4[[#This Row],[ကုန်သည်အမည်]]</f>
        <v>မင်းမင်းထွန်း</v>
      </c>
      <c r="AL644" s="270" t="str">
        <f>Table4[[#This Row],[Township]]</f>
        <v>Paung</v>
      </c>
      <c r="AM644" s="271" t="str">
        <f>Table4[[#This Row],[WholeSales]]</f>
        <v>Van Sales</v>
      </c>
      <c r="AN644" s="272" t="str">
        <f>Table4[[#This Row],[Particular]]</f>
        <v>ကုန်ရောင်း(လက်ငင်း)</v>
      </c>
      <c r="AO644" s="273" t="str">
        <f>Table4[[#This Row],[StockName]]</f>
        <v>ဒဂုံအရက်သန့်</v>
      </c>
      <c r="AP644" s="268">
        <f>Table4[[#This Row],[Parking]]</f>
        <v>5</v>
      </c>
      <c r="AQ644" s="268">
        <f>Table4[[#This Row],[SalesBot]]</f>
        <v>120</v>
      </c>
      <c r="AR644" s="268">
        <f>Table4[[#This Row],[Liter]]</f>
        <v>76.8</v>
      </c>
    </row>
    <row r="645" spans="1:44" s="16" customFormat="1" hidden="1" x14ac:dyDescent="0.5">
      <c r="A645" s="3">
        <f t="shared" ref="A645:A664" si="122">YEAR(C645)</f>
        <v>2026</v>
      </c>
      <c r="B645" s="8">
        <f t="shared" ref="B645:B664" si="123">MONTH(C645)</f>
        <v>2</v>
      </c>
      <c r="C645" s="6">
        <v>46064</v>
      </c>
      <c r="D645" s="15">
        <f t="shared" ref="D645:D664" ca="1" si="124">TODAY()</f>
        <v>46097</v>
      </c>
      <c r="E645" s="15" t="str">
        <f t="shared" ref="E645:E664" ca="1" si="125">DATEDIF(C645,D645,"M")&amp;"-Months"</f>
        <v>1-Months</v>
      </c>
      <c r="F645" s="8" t="str">
        <f>VLOOKUP(N645,Stock[#Data],5,FALSE)</f>
        <v>BE</v>
      </c>
      <c r="G645" s="82" t="s">
        <v>1348</v>
      </c>
      <c r="H645" s="15"/>
      <c r="I645" s="7" t="s">
        <v>75</v>
      </c>
      <c r="J645" s="8" t="str">
        <f>VLOOKUP(I645,Customers[#Data],2,FALSE)</f>
        <v>3 Brother</v>
      </c>
      <c r="K645" s="15" t="str">
        <f>VLOOKUP(I645,Customers[#Data],4,FALSE)</f>
        <v>Yay</v>
      </c>
      <c r="L645" s="15" t="str">
        <f>VLOOKUP(I645,Customers[#Data],5,FALSE)</f>
        <v>SemiWholeSales</v>
      </c>
      <c r="M645" s="7" t="s">
        <v>7</v>
      </c>
      <c r="N645" s="7" t="s">
        <v>514</v>
      </c>
      <c r="O645" s="14" t="str">
        <f>VLOOKUP(N645,Stock[#Data],2,FALSE)</f>
        <v>ဇေယျဝတီ Red</v>
      </c>
      <c r="P645" s="44">
        <f>VLOOKUP(N645,Stock[#Data],3,FALSE)</f>
        <v>0.64</v>
      </c>
      <c r="Q645" s="3">
        <f>VLOOKUP(N645,Stock[#Data],4,FALSE)</f>
        <v>14</v>
      </c>
      <c r="R645" s="11"/>
      <c r="S645" s="45">
        <f>IFERROR(Table4[[#This Row],[Bottle]]/Table4[[#This Row],[ပါဝင်မှု]]+Table4[[#This Row],[SalesPK]],0)</f>
        <v>50</v>
      </c>
      <c r="T645" s="12">
        <v>50</v>
      </c>
      <c r="U645" s="10">
        <f>Table4[[#This Row],[ပါဝင်မှု]]*Table4[[#This Row],[SalesPK]]+Table4[[#This Row],[Bottle]]</f>
        <v>700</v>
      </c>
      <c r="V645" s="10">
        <f>Table4[[#This Row],[SalesBot]]*Table4[[#This Row],[ML]]</f>
        <v>448</v>
      </c>
      <c r="W645" s="1">
        <f>VLOOKUP(N645,Stock[#Data],6,FALSE)</f>
        <v>1350</v>
      </c>
      <c r="X645" s="8">
        <f>+Table4[[#This Row],[SalesBot]]*Table4[[#This Row],[နှုံး]]</f>
        <v>945000</v>
      </c>
      <c r="Y645" s="12"/>
      <c r="Z645" s="12"/>
      <c r="AA645" s="12"/>
      <c r="AB645" s="9"/>
      <c r="AC645" s="12"/>
      <c r="AD645" s="9"/>
      <c r="AE645" s="12"/>
      <c r="AF64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645" s="24"/>
      <c r="AH645" s="266">
        <f>Table4[[#This Row],[Date]]</f>
        <v>46064</v>
      </c>
      <c r="AI645" s="264" t="str">
        <f t="shared" si="120"/>
        <v>Feb</v>
      </c>
      <c r="AJ645" s="264" t="str">
        <f t="shared" si="121"/>
        <v>2026</v>
      </c>
      <c r="AK645" s="270" t="str">
        <f>Table4[[#This Row],[ကုန်သည်အမည်]]</f>
        <v>3 Brother</v>
      </c>
      <c r="AL645" s="270" t="str">
        <f>Table4[[#This Row],[Township]]</f>
        <v>Yay</v>
      </c>
      <c r="AM645" s="271" t="str">
        <f>Table4[[#This Row],[WholeSales]]</f>
        <v>SemiWholeSales</v>
      </c>
      <c r="AN645" s="272" t="str">
        <f>Table4[[#This Row],[Particular]]</f>
        <v>ကုန်ရောင်း(အကြွေး)</v>
      </c>
      <c r="AO645" s="273" t="str">
        <f>Table4[[#This Row],[StockName]]</f>
        <v>ဇေယျဝတီ Red</v>
      </c>
      <c r="AP645" s="268">
        <f>Table4[[#This Row],[Parking]]</f>
        <v>50</v>
      </c>
      <c r="AQ645" s="268">
        <f>Table4[[#This Row],[SalesBot]]</f>
        <v>700</v>
      </c>
      <c r="AR645" s="268">
        <f>Table4[[#This Row],[Liter]]</f>
        <v>448</v>
      </c>
    </row>
    <row r="646" spans="1:44" s="16" customFormat="1" hidden="1" x14ac:dyDescent="0.5">
      <c r="A646" s="3">
        <f t="shared" si="122"/>
        <v>2026</v>
      </c>
      <c r="B646" s="8">
        <f t="shared" si="123"/>
        <v>2</v>
      </c>
      <c r="C646" s="6">
        <v>46064</v>
      </c>
      <c r="D646" s="15">
        <f t="shared" ca="1" si="124"/>
        <v>46097</v>
      </c>
      <c r="E646" s="15" t="str">
        <f t="shared" ca="1" si="125"/>
        <v>1-Months</v>
      </c>
      <c r="F646" s="8" t="str">
        <f>VLOOKUP(N646,Stock[#Data],5,FALSE)</f>
        <v>BE</v>
      </c>
      <c r="G646" s="82" t="s">
        <v>1348</v>
      </c>
      <c r="H646" s="15"/>
      <c r="I646" s="7" t="s">
        <v>75</v>
      </c>
      <c r="J646" s="8" t="str">
        <f>VLOOKUP(I646,Customers[#Data],2,FALSE)</f>
        <v>3 Brother</v>
      </c>
      <c r="K646" s="15" t="str">
        <f>VLOOKUP(I646,Customers[#Data],4,FALSE)</f>
        <v>Yay</v>
      </c>
      <c r="L646" s="15" t="str">
        <f>VLOOKUP(I646,Customers[#Data],5,FALSE)</f>
        <v>SemiWholeSales</v>
      </c>
      <c r="M646" s="7" t="s">
        <v>7</v>
      </c>
      <c r="N646" s="7" t="s">
        <v>517</v>
      </c>
      <c r="O646" s="14" t="str">
        <f>VLOOKUP(N646,Stock[#Data],2,FALSE)</f>
        <v>ဇေယျဝတီ Red (1 Liter) 30%</v>
      </c>
      <c r="P646" s="44">
        <f>VLOOKUP(N646,Stock[#Data],3,FALSE)</f>
        <v>1</v>
      </c>
      <c r="Q646" s="3">
        <f>VLOOKUP(N646,Stock[#Data],4,FALSE)</f>
        <v>12</v>
      </c>
      <c r="R646" s="11"/>
      <c r="S646" s="45">
        <f>IFERROR(Table4[[#This Row],[Bottle]]/Table4[[#This Row],[ပါဝင်မှု]]+Table4[[#This Row],[SalesPK]],0)</f>
        <v>20</v>
      </c>
      <c r="T646" s="12">
        <v>20</v>
      </c>
      <c r="U646" s="10">
        <f>Table4[[#This Row],[ပါဝင်မှု]]*Table4[[#This Row],[SalesPK]]+Table4[[#This Row],[Bottle]]</f>
        <v>240</v>
      </c>
      <c r="V646" s="10">
        <f>Table4[[#This Row],[SalesBot]]*Table4[[#This Row],[ML]]</f>
        <v>240</v>
      </c>
      <c r="W646" s="1">
        <f>VLOOKUP(N646,Stock[#Data],6,FALSE)</f>
        <v>1710</v>
      </c>
      <c r="X646" s="8">
        <f>+Table4[[#This Row],[SalesBot]]*Table4[[#This Row],[နှုံး]]</f>
        <v>410400</v>
      </c>
      <c r="Y646" s="12"/>
      <c r="Z646" s="12"/>
      <c r="AA646" s="12"/>
      <c r="AB646" s="9"/>
      <c r="AC646" s="12"/>
      <c r="AD646" s="9"/>
      <c r="AE646" s="12"/>
      <c r="AF64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410400</v>
      </c>
      <c r="AG646" s="24"/>
      <c r="AH646" s="266">
        <f>Table4[[#This Row],[Date]]</f>
        <v>46064</v>
      </c>
      <c r="AI646" s="264" t="str">
        <f t="shared" si="120"/>
        <v>Feb</v>
      </c>
      <c r="AJ646" s="264" t="str">
        <f t="shared" si="121"/>
        <v>2026</v>
      </c>
      <c r="AK646" s="270" t="str">
        <f>Table4[[#This Row],[ကုန်သည်အမည်]]</f>
        <v>3 Brother</v>
      </c>
      <c r="AL646" s="270" t="str">
        <f>Table4[[#This Row],[Township]]</f>
        <v>Yay</v>
      </c>
      <c r="AM646" s="271" t="str">
        <f>Table4[[#This Row],[WholeSales]]</f>
        <v>SemiWholeSales</v>
      </c>
      <c r="AN646" s="272" t="str">
        <f>Table4[[#This Row],[Particular]]</f>
        <v>ကုန်ရောင်း(အကြွေး)</v>
      </c>
      <c r="AO646" s="273" t="str">
        <f>Table4[[#This Row],[StockName]]</f>
        <v>ဇေယျဝတီ Red (1 Liter) 30%</v>
      </c>
      <c r="AP646" s="268">
        <f>Table4[[#This Row],[Parking]]</f>
        <v>20</v>
      </c>
      <c r="AQ646" s="268">
        <f>Table4[[#This Row],[SalesBot]]</f>
        <v>240</v>
      </c>
      <c r="AR646" s="268">
        <f>Table4[[#This Row],[Liter]]</f>
        <v>240</v>
      </c>
    </row>
    <row r="647" spans="1:44" s="16" customFormat="1" hidden="1" x14ac:dyDescent="0.5">
      <c r="A647" s="3">
        <f t="shared" si="122"/>
        <v>2026</v>
      </c>
      <c r="B647" s="8">
        <f t="shared" si="123"/>
        <v>2</v>
      </c>
      <c r="C647" s="6">
        <v>46064</v>
      </c>
      <c r="D647" s="15">
        <f t="shared" ca="1" si="124"/>
        <v>46097</v>
      </c>
      <c r="E647" s="15" t="str">
        <f t="shared" ca="1" si="125"/>
        <v>1-Months</v>
      </c>
      <c r="F647" s="8" t="str">
        <f>VLOOKUP(N647,Stock[#Data],5,FALSE)</f>
        <v>BE</v>
      </c>
      <c r="G647" s="82" t="s">
        <v>1349</v>
      </c>
      <c r="H647" s="15"/>
      <c r="I647" s="7" t="s">
        <v>538</v>
      </c>
      <c r="J647" s="8" t="str">
        <f>VLOOKUP(I647,Customers[#Data],2,FALSE)</f>
        <v>ဒေါ်နွယ်နွယ်ရီ(ရွှေတောင်ကြား)</v>
      </c>
      <c r="K647" s="15" t="str">
        <f>VLOOKUP(I647,Customers[#Data],4,FALSE)</f>
        <v>Yay</v>
      </c>
      <c r="L647" s="15" t="str">
        <f>VLOOKUP(I647,Customers[#Data],5,FALSE)</f>
        <v>WholeSales</v>
      </c>
      <c r="M647" s="7" t="s">
        <v>7</v>
      </c>
      <c r="N647" s="7" t="s">
        <v>514</v>
      </c>
      <c r="O647" s="14" t="str">
        <f>VLOOKUP(N647,Stock[#Data],2,FALSE)</f>
        <v>ဇေယျဝတီ Red</v>
      </c>
      <c r="P647" s="44">
        <f>VLOOKUP(N647,Stock[#Data],3,FALSE)</f>
        <v>0.64</v>
      </c>
      <c r="Q647" s="3">
        <f>VLOOKUP(N647,Stock[#Data],4,FALSE)</f>
        <v>14</v>
      </c>
      <c r="R647" s="11"/>
      <c r="S647" s="45">
        <f>IFERROR(Table4[[#This Row],[Bottle]]/Table4[[#This Row],[ပါဝင်မှု]]+Table4[[#This Row],[SalesPK]],0)</f>
        <v>500</v>
      </c>
      <c r="T647" s="12">
        <v>500</v>
      </c>
      <c r="U647" s="10">
        <f>Table4[[#This Row],[ပါဝင်မှု]]*Table4[[#This Row],[SalesPK]]+Table4[[#This Row],[Bottle]]</f>
        <v>7000</v>
      </c>
      <c r="V647" s="10">
        <f>Table4[[#This Row],[SalesBot]]*Table4[[#This Row],[ML]]</f>
        <v>4480</v>
      </c>
      <c r="W647" s="1">
        <f>VLOOKUP(N647,Stock[#Data],6,FALSE)</f>
        <v>1350</v>
      </c>
      <c r="X647" s="8">
        <f>+Table4[[#This Row],[SalesBot]]*Table4[[#This Row],[နှုံး]]</f>
        <v>9450000</v>
      </c>
      <c r="Y647" s="12"/>
      <c r="Z647" s="12"/>
      <c r="AA647" s="12"/>
      <c r="AB647" s="9"/>
      <c r="AC647" s="12"/>
      <c r="AD647" s="9"/>
      <c r="AE647" s="12"/>
      <c r="AF64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9450000</v>
      </c>
      <c r="AG647" s="24"/>
      <c r="AH647" s="266">
        <f>Table4[[#This Row],[Date]]</f>
        <v>46064</v>
      </c>
      <c r="AI647" s="264" t="str">
        <f t="shared" si="120"/>
        <v>Feb</v>
      </c>
      <c r="AJ647" s="264" t="str">
        <f t="shared" si="121"/>
        <v>2026</v>
      </c>
      <c r="AK647" s="270" t="str">
        <f>Table4[[#This Row],[ကုန်သည်အမည်]]</f>
        <v>ဒေါ်နွယ်နွယ်ရီ(ရွှေတောင်ကြား)</v>
      </c>
      <c r="AL647" s="270" t="str">
        <f>Table4[[#This Row],[Township]]</f>
        <v>Yay</v>
      </c>
      <c r="AM647" s="271" t="str">
        <f>Table4[[#This Row],[WholeSales]]</f>
        <v>WholeSales</v>
      </c>
      <c r="AN647" s="272" t="str">
        <f>Table4[[#This Row],[Particular]]</f>
        <v>ကုန်ရောင်း(အကြွေး)</v>
      </c>
      <c r="AO647" s="273" t="str">
        <f>Table4[[#This Row],[StockName]]</f>
        <v>ဇေယျဝတီ Red</v>
      </c>
      <c r="AP647" s="268">
        <f>Table4[[#This Row],[Parking]]</f>
        <v>500</v>
      </c>
      <c r="AQ647" s="268">
        <f>Table4[[#This Row],[SalesBot]]</f>
        <v>7000</v>
      </c>
      <c r="AR647" s="268">
        <f>Table4[[#This Row],[Liter]]</f>
        <v>4480</v>
      </c>
    </row>
    <row r="648" spans="1:44" s="16" customFormat="1" hidden="1" x14ac:dyDescent="0.5">
      <c r="A648" s="3">
        <f t="shared" si="122"/>
        <v>2026</v>
      </c>
      <c r="B648" s="8">
        <f t="shared" si="123"/>
        <v>2</v>
      </c>
      <c r="C648" s="6">
        <v>46064</v>
      </c>
      <c r="D648" s="15">
        <f t="shared" ca="1" si="124"/>
        <v>46097</v>
      </c>
      <c r="E648" s="15" t="str">
        <f t="shared" ca="1" si="125"/>
        <v>1-Months</v>
      </c>
      <c r="F648" s="8" t="str">
        <f>VLOOKUP(N648,Stock[#Data],5,FALSE)</f>
        <v>BE</v>
      </c>
      <c r="G648" s="82" t="s">
        <v>1350</v>
      </c>
      <c r="H648" s="15"/>
      <c r="I648" s="7" t="s">
        <v>95</v>
      </c>
      <c r="J648" s="8" t="str">
        <f>VLOOKUP(I648,Customers[#Data],2,FALSE)</f>
        <v>ကျော်စတား</v>
      </c>
      <c r="K648" s="15" t="str">
        <f>VLOOKUP(I648,Customers[#Data],4,FALSE)</f>
        <v>Yay</v>
      </c>
      <c r="L648" s="15" t="str">
        <f>VLOOKUP(I648,Customers[#Data],5,FALSE)</f>
        <v>WholeSales</v>
      </c>
      <c r="M648" s="7" t="s">
        <v>7</v>
      </c>
      <c r="N648" s="7" t="s">
        <v>514</v>
      </c>
      <c r="O648" s="14" t="str">
        <f>VLOOKUP(N648,Stock[#Data],2,FALSE)</f>
        <v>ဇေယျဝတီ Red</v>
      </c>
      <c r="P648" s="44">
        <f>VLOOKUP(N648,Stock[#Data],3,FALSE)</f>
        <v>0.64</v>
      </c>
      <c r="Q648" s="3">
        <f>VLOOKUP(N648,Stock[#Data],4,FALSE)</f>
        <v>14</v>
      </c>
      <c r="R648" s="11"/>
      <c r="S648" s="45">
        <f>IFERROR(Table4[[#This Row],[Bottle]]/Table4[[#This Row],[ပါဝင်မှု]]+Table4[[#This Row],[SalesPK]],0)</f>
        <v>130</v>
      </c>
      <c r="T648" s="12">
        <v>130</v>
      </c>
      <c r="U648" s="10">
        <f>Table4[[#This Row],[ပါဝင်မှု]]*Table4[[#This Row],[SalesPK]]+Table4[[#This Row],[Bottle]]</f>
        <v>1820</v>
      </c>
      <c r="V648" s="10">
        <f>Table4[[#This Row],[SalesBot]]*Table4[[#This Row],[ML]]</f>
        <v>1164.8</v>
      </c>
      <c r="W648" s="1">
        <f>VLOOKUP(N648,Stock[#Data],6,FALSE)</f>
        <v>1350</v>
      </c>
      <c r="X648" s="8">
        <f>+Table4[[#This Row],[SalesBot]]*Table4[[#This Row],[နှုံး]]</f>
        <v>2457000</v>
      </c>
      <c r="Y648" s="12"/>
      <c r="Z648" s="12"/>
      <c r="AA648" s="12"/>
      <c r="AB648" s="9"/>
      <c r="AC648" s="12"/>
      <c r="AD648" s="9"/>
      <c r="AE648" s="12"/>
      <c r="AF64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2457000</v>
      </c>
      <c r="AG648" s="24"/>
      <c r="AH648" s="266">
        <f>Table4[[#This Row],[Date]]</f>
        <v>46064</v>
      </c>
      <c r="AI648" s="264" t="str">
        <f t="shared" si="120"/>
        <v>Feb</v>
      </c>
      <c r="AJ648" s="264" t="str">
        <f t="shared" si="121"/>
        <v>2026</v>
      </c>
      <c r="AK648" s="270" t="str">
        <f>Table4[[#This Row],[ကုန်သည်အမည်]]</f>
        <v>ကျော်စတား</v>
      </c>
      <c r="AL648" s="270" t="str">
        <f>Table4[[#This Row],[Township]]</f>
        <v>Yay</v>
      </c>
      <c r="AM648" s="271" t="str">
        <f>Table4[[#This Row],[WholeSales]]</f>
        <v>WholeSales</v>
      </c>
      <c r="AN648" s="272" t="str">
        <f>Table4[[#This Row],[Particular]]</f>
        <v>ကုန်ရောင်း(အကြွေး)</v>
      </c>
      <c r="AO648" s="273" t="str">
        <f>Table4[[#This Row],[StockName]]</f>
        <v>ဇေယျဝတီ Red</v>
      </c>
      <c r="AP648" s="268">
        <f>Table4[[#This Row],[Parking]]</f>
        <v>130</v>
      </c>
      <c r="AQ648" s="268">
        <f>Table4[[#This Row],[SalesBot]]</f>
        <v>1820</v>
      </c>
      <c r="AR648" s="268">
        <f>Table4[[#This Row],[Liter]]</f>
        <v>1164.8</v>
      </c>
    </row>
    <row r="649" spans="1:44" s="16" customFormat="1" hidden="1" x14ac:dyDescent="0.5">
      <c r="A649" s="3">
        <f t="shared" si="122"/>
        <v>2026</v>
      </c>
      <c r="B649" s="8">
        <f t="shared" si="123"/>
        <v>2</v>
      </c>
      <c r="C649" s="6">
        <v>46064</v>
      </c>
      <c r="D649" s="15">
        <f t="shared" ca="1" si="124"/>
        <v>46097</v>
      </c>
      <c r="E649" s="15" t="str">
        <f t="shared" ca="1" si="125"/>
        <v>1-Months</v>
      </c>
      <c r="F649" s="8" t="str">
        <f>VLOOKUP(N649,Stock[#Data],5,FALSE)</f>
        <v>BE</v>
      </c>
      <c r="G649" s="82" t="s">
        <v>1350</v>
      </c>
      <c r="H649" s="15"/>
      <c r="I649" s="7" t="s">
        <v>95</v>
      </c>
      <c r="J649" s="8" t="str">
        <f>VLOOKUP(I649,Customers[#Data],2,FALSE)</f>
        <v>ကျော်စတား</v>
      </c>
      <c r="K649" s="15" t="str">
        <f>VLOOKUP(I649,Customers[#Data],4,FALSE)</f>
        <v>Yay</v>
      </c>
      <c r="L649" s="15" t="str">
        <f>VLOOKUP(I649,Customers[#Data],5,FALSE)</f>
        <v>WholeSales</v>
      </c>
      <c r="M649" s="7" t="s">
        <v>7</v>
      </c>
      <c r="N649" s="7" t="s">
        <v>517</v>
      </c>
      <c r="O649" s="14" t="str">
        <f>VLOOKUP(N649,Stock[#Data],2,FALSE)</f>
        <v>ဇေယျဝတီ Red (1 Liter) 30%</v>
      </c>
      <c r="P649" s="44">
        <f>VLOOKUP(N649,Stock[#Data],3,FALSE)</f>
        <v>1</v>
      </c>
      <c r="Q649" s="3">
        <f>VLOOKUP(N649,Stock[#Data],4,FALSE)</f>
        <v>12</v>
      </c>
      <c r="R649" s="11"/>
      <c r="S649" s="45">
        <f>IFERROR(Table4[[#This Row],[Bottle]]/Table4[[#This Row],[ပါဝင်မှု]]+Table4[[#This Row],[SalesPK]],0)</f>
        <v>150</v>
      </c>
      <c r="T649" s="12">
        <v>150</v>
      </c>
      <c r="U649" s="10">
        <f>Table4[[#This Row],[ပါဝင်မှု]]*Table4[[#This Row],[SalesPK]]+Table4[[#This Row],[Bottle]]</f>
        <v>1800</v>
      </c>
      <c r="V649" s="10">
        <f>Table4[[#This Row],[SalesBot]]*Table4[[#This Row],[ML]]</f>
        <v>1800</v>
      </c>
      <c r="W649" s="1">
        <f>VLOOKUP(N649,Stock[#Data],6,FALSE)</f>
        <v>1710</v>
      </c>
      <c r="X649" s="8">
        <f>+Table4[[#This Row],[SalesBot]]*Table4[[#This Row],[နှုံး]]</f>
        <v>3078000</v>
      </c>
      <c r="Y649" s="12"/>
      <c r="Z649" s="12"/>
      <c r="AA649" s="12"/>
      <c r="AB649" s="9"/>
      <c r="AC649" s="12"/>
      <c r="AD649" s="9"/>
      <c r="AE649" s="12"/>
      <c r="AF64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3078000</v>
      </c>
      <c r="AG649" s="24"/>
      <c r="AH649" s="266">
        <f>Table4[[#This Row],[Date]]</f>
        <v>46064</v>
      </c>
      <c r="AI649" s="264" t="str">
        <f t="shared" si="120"/>
        <v>Feb</v>
      </c>
      <c r="AJ649" s="264" t="str">
        <f t="shared" si="121"/>
        <v>2026</v>
      </c>
      <c r="AK649" s="270" t="str">
        <f>Table4[[#This Row],[ကုန်သည်အမည်]]</f>
        <v>ကျော်စတား</v>
      </c>
      <c r="AL649" s="270" t="str">
        <f>Table4[[#This Row],[Township]]</f>
        <v>Yay</v>
      </c>
      <c r="AM649" s="271" t="str">
        <f>Table4[[#This Row],[WholeSales]]</f>
        <v>WholeSales</v>
      </c>
      <c r="AN649" s="272" t="str">
        <f>Table4[[#This Row],[Particular]]</f>
        <v>ကုန်ရောင်း(အကြွေး)</v>
      </c>
      <c r="AO649" s="273" t="str">
        <f>Table4[[#This Row],[StockName]]</f>
        <v>ဇေယျဝတီ Red (1 Liter) 30%</v>
      </c>
      <c r="AP649" s="268">
        <f>Table4[[#This Row],[Parking]]</f>
        <v>150</v>
      </c>
      <c r="AQ649" s="268">
        <f>Table4[[#This Row],[SalesBot]]</f>
        <v>1800</v>
      </c>
      <c r="AR649" s="268">
        <f>Table4[[#This Row],[Liter]]</f>
        <v>1800</v>
      </c>
    </row>
    <row r="650" spans="1:44" s="16" customFormat="1" hidden="1" x14ac:dyDescent="0.5">
      <c r="A650" s="3">
        <f t="shared" si="122"/>
        <v>2026</v>
      </c>
      <c r="B650" s="8">
        <f t="shared" si="123"/>
        <v>2</v>
      </c>
      <c r="C650" s="6">
        <v>46064</v>
      </c>
      <c r="D650" s="15">
        <f t="shared" ca="1" si="124"/>
        <v>46097</v>
      </c>
      <c r="E650" s="15" t="str">
        <f t="shared" ca="1" si="125"/>
        <v>1-Months</v>
      </c>
      <c r="F650" s="8" t="str">
        <f>VLOOKUP(N650,Stock[#Data],5,FALSE)</f>
        <v>BE</v>
      </c>
      <c r="G650" s="82" t="s">
        <v>1351</v>
      </c>
      <c r="H650" s="15"/>
      <c r="I650" s="7" t="s">
        <v>271</v>
      </c>
      <c r="J650" s="8" t="str">
        <f>VLOOKUP(I650,Customers[#Data],2,FALSE)</f>
        <v>ကိုအောင်</v>
      </c>
      <c r="K650" s="15" t="str">
        <f>VLOOKUP(I650,Customers[#Data],4,FALSE)</f>
        <v>Maw La Myaing</v>
      </c>
      <c r="L650" s="15" t="str">
        <f>VLOOKUP(I650,Customers[#Data],5,FALSE)</f>
        <v>Van Sales</v>
      </c>
      <c r="M650" s="7" t="s">
        <v>6</v>
      </c>
      <c r="N650" s="7" t="s">
        <v>516</v>
      </c>
      <c r="O650" s="14" t="str">
        <f>VLOOKUP(N650,Stock[#Data],2,FALSE)</f>
        <v>ဇေ Vodka</v>
      </c>
      <c r="P650" s="44">
        <f>VLOOKUP(N650,Stock[#Data],3,FALSE)</f>
        <v>0.64</v>
      </c>
      <c r="Q650" s="3">
        <f>VLOOKUP(N650,Stock[#Data],4,FALSE)</f>
        <v>14</v>
      </c>
      <c r="R650" s="11"/>
      <c r="S650" s="45">
        <f>IFERROR(Table4[[#This Row],[Bottle]]/Table4[[#This Row],[ပါဝင်မှု]]+Table4[[#This Row],[SalesPK]],0)</f>
        <v>5</v>
      </c>
      <c r="T650" s="12">
        <v>5</v>
      </c>
      <c r="U650" s="10">
        <f>Table4[[#This Row],[ပါဝင်မှု]]*Table4[[#This Row],[SalesPK]]+Table4[[#This Row],[Bottle]]</f>
        <v>70</v>
      </c>
      <c r="V650" s="10">
        <f>Table4[[#This Row],[SalesBot]]*Table4[[#This Row],[ML]]</f>
        <v>44.800000000000004</v>
      </c>
      <c r="W650" s="1">
        <f>VLOOKUP(N650,Stock[#Data],6,FALSE)</f>
        <v>1400</v>
      </c>
      <c r="X650" s="8">
        <f>+Table4[[#This Row],[SalesBot]]*Table4[[#This Row],[နှုံး]]</f>
        <v>98000</v>
      </c>
      <c r="Y650" s="12"/>
      <c r="Z650" s="12"/>
      <c r="AA650" s="12"/>
      <c r="AB650" s="9"/>
      <c r="AC650" s="12"/>
      <c r="AD650" s="9"/>
      <c r="AE650" s="12"/>
      <c r="AF65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</v>
      </c>
      <c r="AG650" s="24"/>
      <c r="AH650" s="266">
        <f>Table4[[#This Row],[Date]]</f>
        <v>46064</v>
      </c>
      <c r="AI650" s="264" t="str">
        <f t="shared" si="120"/>
        <v>Feb</v>
      </c>
      <c r="AJ650" s="264" t="str">
        <f t="shared" si="121"/>
        <v>2026</v>
      </c>
      <c r="AK650" s="270" t="str">
        <f>Table4[[#This Row],[ကုန်သည်အမည်]]</f>
        <v>ကိုအောင်</v>
      </c>
      <c r="AL650" s="270" t="str">
        <f>Table4[[#This Row],[Township]]</f>
        <v>Maw La Myaing</v>
      </c>
      <c r="AM650" s="271" t="str">
        <f>Table4[[#This Row],[WholeSales]]</f>
        <v>Van Sales</v>
      </c>
      <c r="AN650" s="272" t="str">
        <f>Table4[[#This Row],[Particular]]</f>
        <v>ကုန်ရောင်း(လက်ငင်း)</v>
      </c>
      <c r="AO650" s="273" t="str">
        <f>Table4[[#This Row],[StockName]]</f>
        <v>ဇေ Vodka</v>
      </c>
      <c r="AP650" s="268">
        <f>Table4[[#This Row],[Parking]]</f>
        <v>5</v>
      </c>
      <c r="AQ650" s="268">
        <f>Table4[[#This Row],[SalesBot]]</f>
        <v>70</v>
      </c>
      <c r="AR650" s="268">
        <f>Table4[[#This Row],[Liter]]</f>
        <v>44.800000000000004</v>
      </c>
    </row>
    <row r="651" spans="1:44" s="16" customFormat="1" hidden="1" x14ac:dyDescent="0.5">
      <c r="A651" s="3">
        <f t="shared" si="122"/>
        <v>2026</v>
      </c>
      <c r="B651" s="8">
        <f t="shared" si="123"/>
        <v>2</v>
      </c>
      <c r="C651" s="6">
        <v>46064</v>
      </c>
      <c r="D651" s="15">
        <f t="shared" ca="1" si="124"/>
        <v>46097</v>
      </c>
      <c r="E651" s="15" t="str">
        <f t="shared" ca="1" si="125"/>
        <v>1-Months</v>
      </c>
      <c r="F651" s="8" t="str">
        <f>VLOOKUP(N651,Stock[#Data],5,FALSE)</f>
        <v>BE</v>
      </c>
      <c r="G651" s="82" t="s">
        <v>1352</v>
      </c>
      <c r="H651" s="15"/>
      <c r="I651" s="7" t="s">
        <v>555</v>
      </c>
      <c r="J651" s="8" t="str">
        <f>VLOOKUP(I651,Customers[#Data],2,FALSE)</f>
        <v>အနဲကြီး</v>
      </c>
      <c r="K651" s="15" t="str">
        <f>VLOOKUP(I651,Customers[#Data],4,FALSE)</f>
        <v>Maw La Myaing</v>
      </c>
      <c r="L651" s="15" t="str">
        <f>VLOOKUP(I651,Customers[#Data],5,FALSE)</f>
        <v>Mini Whole Sales</v>
      </c>
      <c r="M651" s="7" t="s">
        <v>6</v>
      </c>
      <c r="N651" s="7" t="s">
        <v>516</v>
      </c>
      <c r="O651" s="14" t="str">
        <f>VLOOKUP(N651,Stock[#Data],2,FALSE)</f>
        <v>ဇေ Vodka</v>
      </c>
      <c r="P651" s="44">
        <f>VLOOKUP(N651,Stock[#Data],3,FALSE)</f>
        <v>0.64</v>
      </c>
      <c r="Q651" s="3">
        <f>VLOOKUP(N651,Stock[#Data],4,FALSE)</f>
        <v>14</v>
      </c>
      <c r="R651" s="11"/>
      <c r="S651" s="45">
        <f>IFERROR(Table4[[#This Row],[Bottle]]/Table4[[#This Row],[ပါဝင်မှု]]+Table4[[#This Row],[SalesPK]],0)</f>
        <v>10</v>
      </c>
      <c r="T651" s="12">
        <v>10</v>
      </c>
      <c r="U651" s="10">
        <f>Table4[[#This Row],[ပါဝင်မှု]]*Table4[[#This Row],[SalesPK]]+Table4[[#This Row],[Bottle]]</f>
        <v>140</v>
      </c>
      <c r="V651" s="10">
        <f>Table4[[#This Row],[SalesBot]]*Table4[[#This Row],[ML]]</f>
        <v>89.600000000000009</v>
      </c>
      <c r="W651" s="1">
        <f>VLOOKUP(N651,Stock[#Data],6,FALSE)</f>
        <v>1400</v>
      </c>
      <c r="X651" s="8">
        <f>+Table4[[#This Row],[SalesBot]]*Table4[[#This Row],[နှုံး]]</f>
        <v>196000</v>
      </c>
      <c r="Y651" s="12"/>
      <c r="Z651" s="12"/>
      <c r="AA651" s="12"/>
      <c r="AB651" s="9"/>
      <c r="AC651" s="12"/>
      <c r="AD651" s="9"/>
      <c r="AE651" s="12"/>
      <c r="AF65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651" s="24"/>
      <c r="AH651" s="266">
        <f>Table4[[#This Row],[Date]]</f>
        <v>46064</v>
      </c>
      <c r="AI651" s="264" t="str">
        <f t="shared" si="120"/>
        <v>Feb</v>
      </c>
      <c r="AJ651" s="264" t="str">
        <f t="shared" si="121"/>
        <v>2026</v>
      </c>
      <c r="AK651" s="270" t="str">
        <f>Table4[[#This Row],[ကုန်သည်အမည်]]</f>
        <v>အနဲကြီး</v>
      </c>
      <c r="AL651" s="270" t="str">
        <f>Table4[[#This Row],[Township]]</f>
        <v>Maw La Myaing</v>
      </c>
      <c r="AM651" s="271" t="str">
        <f>Table4[[#This Row],[WholeSales]]</f>
        <v>Mini Whole Sales</v>
      </c>
      <c r="AN651" s="272" t="str">
        <f>Table4[[#This Row],[Particular]]</f>
        <v>ကုန်ရောင်း(လက်ငင်း)</v>
      </c>
      <c r="AO651" s="273" t="str">
        <f>Table4[[#This Row],[StockName]]</f>
        <v>ဇေ Vodka</v>
      </c>
      <c r="AP651" s="268">
        <f>Table4[[#This Row],[Parking]]</f>
        <v>10</v>
      </c>
      <c r="AQ651" s="268">
        <f>Table4[[#This Row],[SalesBot]]</f>
        <v>140</v>
      </c>
      <c r="AR651" s="268">
        <f>Table4[[#This Row],[Liter]]</f>
        <v>89.600000000000009</v>
      </c>
    </row>
    <row r="652" spans="1:44" s="16" customFormat="1" hidden="1" x14ac:dyDescent="0.5">
      <c r="A652" s="3">
        <f t="shared" si="122"/>
        <v>2026</v>
      </c>
      <c r="B652" s="8">
        <f t="shared" si="123"/>
        <v>2</v>
      </c>
      <c r="C652" s="6">
        <v>46064</v>
      </c>
      <c r="D652" s="15">
        <f t="shared" ca="1" si="124"/>
        <v>46097</v>
      </c>
      <c r="E652" s="15" t="str">
        <f t="shared" ca="1" si="125"/>
        <v>1-Months</v>
      </c>
      <c r="F652" s="8" t="str">
        <f>VLOOKUP(N652,Stock[#Data],5,FALSE)</f>
        <v>BE</v>
      </c>
      <c r="G652" s="82" t="s">
        <v>1353</v>
      </c>
      <c r="H652" s="15"/>
      <c r="I652" s="7" t="s">
        <v>267</v>
      </c>
      <c r="J652" s="8" t="str">
        <f>VLOOKUP(I652,Customers[#Data],2,FALSE)</f>
        <v>Hi Hi</v>
      </c>
      <c r="K652" s="15" t="str">
        <f>VLOOKUP(I652,Customers[#Data],4,FALSE)</f>
        <v>Maw La Myaing</v>
      </c>
      <c r="L652" s="15" t="str">
        <f>VLOOKUP(I652,Customers[#Data],5,FALSE)</f>
        <v>Van Sales</v>
      </c>
      <c r="M652" s="7" t="s">
        <v>6</v>
      </c>
      <c r="N652" s="7" t="s">
        <v>516</v>
      </c>
      <c r="O652" s="14" t="str">
        <f>VLOOKUP(N652,Stock[#Data],2,FALSE)</f>
        <v>ဇေ Vodka</v>
      </c>
      <c r="P652" s="44">
        <f>VLOOKUP(N652,Stock[#Data],3,FALSE)</f>
        <v>0.64</v>
      </c>
      <c r="Q652" s="3">
        <f>VLOOKUP(N652,Stock[#Data],4,FALSE)</f>
        <v>14</v>
      </c>
      <c r="R652" s="11"/>
      <c r="S652" s="45">
        <f>IFERROR(Table4[[#This Row],[Bottle]]/Table4[[#This Row],[ပါဝင်မှု]]+Table4[[#This Row],[SalesPK]],0)</f>
        <v>2</v>
      </c>
      <c r="T652" s="12">
        <v>2</v>
      </c>
      <c r="U652" s="10">
        <f>Table4[[#This Row],[ပါဝင်မှု]]*Table4[[#This Row],[SalesPK]]+Table4[[#This Row],[Bottle]]</f>
        <v>28</v>
      </c>
      <c r="V652" s="10">
        <f>Table4[[#This Row],[SalesBot]]*Table4[[#This Row],[ML]]</f>
        <v>17.920000000000002</v>
      </c>
      <c r="W652" s="1">
        <f>VLOOKUP(N652,Stock[#Data],6,FALSE)</f>
        <v>1400</v>
      </c>
      <c r="X652" s="8">
        <f>+Table4[[#This Row],[SalesBot]]*Table4[[#This Row],[နှုံး]]</f>
        <v>39200</v>
      </c>
      <c r="Y652" s="12"/>
      <c r="Z652" s="12"/>
      <c r="AA652" s="12"/>
      <c r="AB652" s="9"/>
      <c r="AC652" s="12"/>
      <c r="AD652" s="9"/>
      <c r="AE652" s="12"/>
      <c r="AF65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39200</v>
      </c>
      <c r="AG652" s="24"/>
      <c r="AH652" s="266">
        <f>Table4[[#This Row],[Date]]</f>
        <v>46064</v>
      </c>
      <c r="AI652" s="264" t="str">
        <f t="shared" si="120"/>
        <v>Feb</v>
      </c>
      <c r="AJ652" s="264" t="str">
        <f t="shared" si="121"/>
        <v>2026</v>
      </c>
      <c r="AK652" s="270" t="str">
        <f>Table4[[#This Row],[ကုန်သည်အမည်]]</f>
        <v>Hi Hi</v>
      </c>
      <c r="AL652" s="270" t="str">
        <f>Table4[[#This Row],[Township]]</f>
        <v>Maw La Myaing</v>
      </c>
      <c r="AM652" s="271" t="str">
        <f>Table4[[#This Row],[WholeSales]]</f>
        <v>Van Sales</v>
      </c>
      <c r="AN652" s="272" t="str">
        <f>Table4[[#This Row],[Particular]]</f>
        <v>ကုန်ရောင်း(လက်ငင်း)</v>
      </c>
      <c r="AO652" s="273" t="str">
        <f>Table4[[#This Row],[StockName]]</f>
        <v>ဇေ Vodka</v>
      </c>
      <c r="AP652" s="268">
        <f>Table4[[#This Row],[Parking]]</f>
        <v>2</v>
      </c>
      <c r="AQ652" s="268">
        <f>Table4[[#This Row],[SalesBot]]</f>
        <v>28</v>
      </c>
      <c r="AR652" s="268">
        <f>Table4[[#This Row],[Liter]]</f>
        <v>17.920000000000002</v>
      </c>
    </row>
    <row r="653" spans="1:44" s="16" customFormat="1" hidden="1" x14ac:dyDescent="0.5">
      <c r="A653" s="3">
        <f t="shared" si="122"/>
        <v>2026</v>
      </c>
      <c r="B653" s="8">
        <f t="shared" si="123"/>
        <v>2</v>
      </c>
      <c r="C653" s="6">
        <v>46064</v>
      </c>
      <c r="D653" s="15">
        <f t="shared" ca="1" si="124"/>
        <v>46097</v>
      </c>
      <c r="E653" s="15" t="str">
        <f t="shared" ca="1" si="125"/>
        <v>1-Months</v>
      </c>
      <c r="F653" s="8" t="str">
        <f>VLOOKUP(N653,Stock[#Data],5,FALSE)</f>
        <v>BE</v>
      </c>
      <c r="G653" s="82" t="s">
        <v>1353</v>
      </c>
      <c r="H653" s="15"/>
      <c r="I653" s="7" t="s">
        <v>267</v>
      </c>
      <c r="J653" s="8" t="str">
        <f>VLOOKUP(I653,Customers[#Data],2,FALSE)</f>
        <v>Hi Hi</v>
      </c>
      <c r="K653" s="15" t="str">
        <f>VLOOKUP(I653,Customers[#Data],4,FALSE)</f>
        <v>Maw La Myaing</v>
      </c>
      <c r="L653" s="15" t="str">
        <f>VLOOKUP(I653,Customers[#Data],5,FALSE)</f>
        <v>Van Sales</v>
      </c>
      <c r="M653" s="7" t="s">
        <v>6</v>
      </c>
      <c r="N653" s="7" t="s">
        <v>518</v>
      </c>
      <c r="O653" s="14" t="str">
        <f>VLOOKUP(N653,Stock[#Data],2,FALSE)</f>
        <v>"ဇေ" ကော်ဘူး (1 Liter)</v>
      </c>
      <c r="P653" s="44">
        <f>VLOOKUP(N653,Stock[#Data],3,FALSE)</f>
        <v>1</v>
      </c>
      <c r="Q653" s="3">
        <f>VLOOKUP(N653,Stock[#Data],4,FALSE)</f>
        <v>12</v>
      </c>
      <c r="R653" s="11"/>
      <c r="S653" s="45">
        <f>IFERROR(Table4[[#This Row],[Bottle]]/Table4[[#This Row],[ပါဝင်မှု]]+Table4[[#This Row],[SalesPK]],0)</f>
        <v>5</v>
      </c>
      <c r="T653" s="12">
        <v>5</v>
      </c>
      <c r="U653" s="10">
        <f>Table4[[#This Row],[ပါဝင်မှု]]*Table4[[#This Row],[SalesPK]]+Table4[[#This Row],[Bottle]]</f>
        <v>60</v>
      </c>
      <c r="V653" s="10">
        <f>Table4[[#This Row],[SalesBot]]*Table4[[#This Row],[ML]]</f>
        <v>60</v>
      </c>
      <c r="W653" s="1">
        <f>VLOOKUP(N653,Stock[#Data],6,FALSE)</f>
        <v>1675</v>
      </c>
      <c r="X653" s="8">
        <f>+Table4[[#This Row],[SalesBot]]*Table4[[#This Row],[နှုံး]]</f>
        <v>100500</v>
      </c>
      <c r="Y653" s="12"/>
      <c r="Z653" s="12"/>
      <c r="AA653" s="12"/>
      <c r="AB653" s="9"/>
      <c r="AC653" s="12"/>
      <c r="AD653" s="9"/>
      <c r="AE653" s="12"/>
      <c r="AF65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653" s="24"/>
      <c r="AH653" s="266">
        <f>Table4[[#This Row],[Date]]</f>
        <v>46064</v>
      </c>
      <c r="AI653" s="264" t="str">
        <f t="shared" si="120"/>
        <v>Feb</v>
      </c>
      <c r="AJ653" s="264" t="str">
        <f t="shared" si="121"/>
        <v>2026</v>
      </c>
      <c r="AK653" s="270" t="str">
        <f>Table4[[#This Row],[ကုန်သည်အမည်]]</f>
        <v>Hi Hi</v>
      </c>
      <c r="AL653" s="270" t="str">
        <f>Table4[[#This Row],[Township]]</f>
        <v>Maw La Myaing</v>
      </c>
      <c r="AM653" s="271" t="str">
        <f>Table4[[#This Row],[WholeSales]]</f>
        <v>Van Sales</v>
      </c>
      <c r="AN653" s="272" t="str">
        <f>Table4[[#This Row],[Particular]]</f>
        <v>ကုန်ရောင်း(လက်ငင်း)</v>
      </c>
      <c r="AO653" s="273" t="str">
        <f>Table4[[#This Row],[StockName]]</f>
        <v>"ဇေ" ကော်ဘူး (1 Liter)</v>
      </c>
      <c r="AP653" s="268">
        <f>Table4[[#This Row],[Parking]]</f>
        <v>5</v>
      </c>
      <c r="AQ653" s="268">
        <f>Table4[[#This Row],[SalesBot]]</f>
        <v>60</v>
      </c>
      <c r="AR653" s="268">
        <f>Table4[[#This Row],[Liter]]</f>
        <v>60</v>
      </c>
    </row>
    <row r="654" spans="1:44" s="16" customFormat="1" hidden="1" x14ac:dyDescent="0.5">
      <c r="A654" s="3">
        <f t="shared" si="122"/>
        <v>2026</v>
      </c>
      <c r="B654" s="8">
        <f t="shared" si="123"/>
        <v>2</v>
      </c>
      <c r="C654" s="6">
        <v>46064</v>
      </c>
      <c r="D654" s="15">
        <f t="shared" ca="1" si="124"/>
        <v>46097</v>
      </c>
      <c r="E654" s="15" t="str">
        <f t="shared" ca="1" si="125"/>
        <v>1-Months</v>
      </c>
      <c r="F654" s="8" t="str">
        <f>VLOOKUP(N654,Stock[#Data],5,FALSE)</f>
        <v>BE</v>
      </c>
      <c r="G654" s="82" t="s">
        <v>1354</v>
      </c>
      <c r="H654" s="15"/>
      <c r="I654" s="7" t="s">
        <v>110</v>
      </c>
      <c r="J654" s="8" t="str">
        <f>VLOOKUP(I654,Customers[#Data],2,FALSE)</f>
        <v>ပြည့်လျှံ</v>
      </c>
      <c r="K654" s="15" t="str">
        <f>VLOOKUP(I654,Customers[#Data],4,FALSE)</f>
        <v>Maw La Myaing</v>
      </c>
      <c r="L654" s="15" t="str">
        <f>VLOOKUP(I654,Customers[#Data],5,FALSE)</f>
        <v>WholeSales</v>
      </c>
      <c r="M654" s="7" t="s">
        <v>6</v>
      </c>
      <c r="N654" s="7" t="s">
        <v>516</v>
      </c>
      <c r="O654" s="14" t="str">
        <f>VLOOKUP(N654,Stock[#Data],2,FALSE)</f>
        <v>ဇေ Vodka</v>
      </c>
      <c r="P654" s="44">
        <f>VLOOKUP(N654,Stock[#Data],3,FALSE)</f>
        <v>0.64</v>
      </c>
      <c r="Q654" s="3">
        <f>VLOOKUP(N654,Stock[#Data],4,FALSE)</f>
        <v>14</v>
      </c>
      <c r="R654" s="11"/>
      <c r="S654" s="45">
        <f>IFERROR(Table4[[#This Row],[Bottle]]/Table4[[#This Row],[ပါဝင်မှု]]+Table4[[#This Row],[SalesPK]],0)</f>
        <v>100</v>
      </c>
      <c r="T654" s="12">
        <v>100</v>
      </c>
      <c r="U654" s="10">
        <f>Table4[[#This Row],[ပါဝင်မှု]]*Table4[[#This Row],[SalesPK]]+Table4[[#This Row],[Bottle]]</f>
        <v>1400</v>
      </c>
      <c r="V654" s="10">
        <f>Table4[[#This Row],[SalesBot]]*Table4[[#This Row],[ML]]</f>
        <v>896</v>
      </c>
      <c r="W654" s="1">
        <f>VLOOKUP(N654,Stock[#Data],6,FALSE)</f>
        <v>1400</v>
      </c>
      <c r="X654" s="8">
        <f>+Table4[[#This Row],[SalesBot]]*Table4[[#This Row],[နှုံး]]</f>
        <v>1960000</v>
      </c>
      <c r="Y654" s="12"/>
      <c r="Z654" s="12"/>
      <c r="AA654" s="12"/>
      <c r="AB654" s="9"/>
      <c r="AC654" s="12"/>
      <c r="AD654" s="9"/>
      <c r="AE654" s="12"/>
      <c r="AF65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1960000</v>
      </c>
      <c r="AG654" s="24"/>
      <c r="AH654" s="266">
        <f>Table4[[#This Row],[Date]]</f>
        <v>46064</v>
      </c>
      <c r="AI654" s="264" t="str">
        <f t="shared" si="120"/>
        <v>Feb</v>
      </c>
      <c r="AJ654" s="264" t="str">
        <f t="shared" si="121"/>
        <v>2026</v>
      </c>
      <c r="AK654" s="270" t="str">
        <f>Table4[[#This Row],[ကုန်သည်အမည်]]</f>
        <v>ပြည့်လျှံ</v>
      </c>
      <c r="AL654" s="270" t="str">
        <f>Table4[[#This Row],[Township]]</f>
        <v>Maw La Myaing</v>
      </c>
      <c r="AM654" s="271" t="str">
        <f>Table4[[#This Row],[WholeSales]]</f>
        <v>WholeSales</v>
      </c>
      <c r="AN654" s="272" t="str">
        <f>Table4[[#This Row],[Particular]]</f>
        <v>ကုန်ရောင်း(လက်ငင်း)</v>
      </c>
      <c r="AO654" s="273" t="str">
        <f>Table4[[#This Row],[StockName]]</f>
        <v>ဇေ Vodka</v>
      </c>
      <c r="AP654" s="268">
        <f>Table4[[#This Row],[Parking]]</f>
        <v>100</v>
      </c>
      <c r="AQ654" s="268">
        <f>Table4[[#This Row],[SalesBot]]</f>
        <v>1400</v>
      </c>
      <c r="AR654" s="268">
        <f>Table4[[#This Row],[Liter]]</f>
        <v>896</v>
      </c>
    </row>
    <row r="655" spans="1:44" s="16" customFormat="1" hidden="1" x14ac:dyDescent="0.5">
      <c r="A655" s="3">
        <f t="shared" si="122"/>
        <v>2026</v>
      </c>
      <c r="B655" s="8">
        <f t="shared" si="123"/>
        <v>2</v>
      </c>
      <c r="C655" s="6">
        <v>46064</v>
      </c>
      <c r="D655" s="15">
        <f t="shared" ca="1" si="124"/>
        <v>46097</v>
      </c>
      <c r="E655" s="15" t="str">
        <f t="shared" ca="1" si="125"/>
        <v>1-Months</v>
      </c>
      <c r="F655" s="8" t="str">
        <f>VLOOKUP(N655,Stock[#Data],5,FALSE)</f>
        <v>BE</v>
      </c>
      <c r="G655" s="82" t="s">
        <v>1354</v>
      </c>
      <c r="H655" s="15"/>
      <c r="I655" s="7" t="s">
        <v>110</v>
      </c>
      <c r="J655" s="8" t="str">
        <f>VLOOKUP(I655,Customers[#Data],2,FALSE)</f>
        <v>ပြည့်လျှံ</v>
      </c>
      <c r="K655" s="15" t="str">
        <f>VLOOKUP(I655,Customers[#Data],4,FALSE)</f>
        <v>Maw La Myaing</v>
      </c>
      <c r="L655" s="15" t="str">
        <f>VLOOKUP(I655,Customers[#Data],5,FALSE)</f>
        <v>WholeSales</v>
      </c>
      <c r="M655" s="7" t="s">
        <v>6</v>
      </c>
      <c r="N655" s="7" t="s">
        <v>514</v>
      </c>
      <c r="O655" s="14" t="str">
        <f>VLOOKUP(N655,Stock[#Data],2,FALSE)</f>
        <v>ဇေယျဝတီ Red</v>
      </c>
      <c r="P655" s="44">
        <f>VLOOKUP(N655,Stock[#Data],3,FALSE)</f>
        <v>0.64</v>
      </c>
      <c r="Q655" s="3">
        <f>VLOOKUP(N655,Stock[#Data],4,FALSE)</f>
        <v>14</v>
      </c>
      <c r="R655" s="11"/>
      <c r="S655" s="45">
        <f>IFERROR(Table4[[#This Row],[Bottle]]/Table4[[#This Row],[ပါဝင်မှု]]+Table4[[#This Row],[SalesPK]],0)</f>
        <v>100</v>
      </c>
      <c r="T655" s="12">
        <v>100</v>
      </c>
      <c r="U655" s="10">
        <f>Table4[[#This Row],[ပါဝင်မှု]]*Table4[[#This Row],[SalesPK]]+Table4[[#This Row],[Bottle]]</f>
        <v>1400</v>
      </c>
      <c r="V655" s="10">
        <f>Table4[[#This Row],[SalesBot]]*Table4[[#This Row],[ML]]</f>
        <v>896</v>
      </c>
      <c r="W655" s="1">
        <f>VLOOKUP(N655,Stock[#Data],6,FALSE)</f>
        <v>1350</v>
      </c>
      <c r="X655" s="8">
        <f>+Table4[[#This Row],[SalesBot]]*Table4[[#This Row],[နှုံး]]</f>
        <v>1890000</v>
      </c>
      <c r="Y655" s="12"/>
      <c r="Z655" s="12"/>
      <c r="AA655" s="12"/>
      <c r="AB655" s="9"/>
      <c r="AC655" s="12"/>
      <c r="AD655" s="9"/>
      <c r="AE655" s="12"/>
      <c r="AF65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655" s="24"/>
      <c r="AH655" s="266">
        <f>Table4[[#This Row],[Date]]</f>
        <v>46064</v>
      </c>
      <c r="AI655" s="264" t="str">
        <f t="shared" si="120"/>
        <v>Feb</v>
      </c>
      <c r="AJ655" s="264" t="str">
        <f t="shared" si="121"/>
        <v>2026</v>
      </c>
      <c r="AK655" s="270" t="str">
        <f>Table4[[#This Row],[ကုန်သည်အမည်]]</f>
        <v>ပြည့်လျှံ</v>
      </c>
      <c r="AL655" s="270" t="str">
        <f>Table4[[#This Row],[Township]]</f>
        <v>Maw La Myaing</v>
      </c>
      <c r="AM655" s="271" t="str">
        <f>Table4[[#This Row],[WholeSales]]</f>
        <v>WholeSales</v>
      </c>
      <c r="AN655" s="272" t="str">
        <f>Table4[[#This Row],[Particular]]</f>
        <v>ကုန်ရောင်း(လက်ငင်း)</v>
      </c>
      <c r="AO655" s="273" t="str">
        <f>Table4[[#This Row],[StockName]]</f>
        <v>ဇေယျဝတီ Red</v>
      </c>
      <c r="AP655" s="268">
        <f>Table4[[#This Row],[Parking]]</f>
        <v>100</v>
      </c>
      <c r="AQ655" s="268">
        <f>Table4[[#This Row],[SalesBot]]</f>
        <v>1400</v>
      </c>
      <c r="AR655" s="268">
        <f>Table4[[#This Row],[Liter]]</f>
        <v>896</v>
      </c>
    </row>
    <row r="656" spans="1:44" s="16" customFormat="1" hidden="1" x14ac:dyDescent="0.5">
      <c r="A656" s="3">
        <f t="shared" si="122"/>
        <v>2026</v>
      </c>
      <c r="B656" s="8">
        <f t="shared" si="123"/>
        <v>2</v>
      </c>
      <c r="C656" s="6">
        <v>46064</v>
      </c>
      <c r="D656" s="15">
        <f t="shared" ca="1" si="124"/>
        <v>46097</v>
      </c>
      <c r="E656" s="15" t="str">
        <f t="shared" ca="1" si="125"/>
        <v>1-Months</v>
      </c>
      <c r="F656" s="8" t="str">
        <f>VLOOKUP(N656,Stock[#Data],5,FALSE)</f>
        <v>BE</v>
      </c>
      <c r="G656" s="82" t="s">
        <v>1354</v>
      </c>
      <c r="H656" s="15"/>
      <c r="I656" s="7" t="s">
        <v>110</v>
      </c>
      <c r="J656" s="8" t="str">
        <f>VLOOKUP(I656,Customers[#Data],2,FALSE)</f>
        <v>ပြည့်လျှံ</v>
      </c>
      <c r="K656" s="15" t="str">
        <f>VLOOKUP(I656,Customers[#Data],4,FALSE)</f>
        <v>Maw La Myaing</v>
      </c>
      <c r="L656" s="15" t="str">
        <f>VLOOKUP(I656,Customers[#Data],5,FALSE)</f>
        <v>WholeSales</v>
      </c>
      <c r="M656" s="7" t="s">
        <v>6</v>
      </c>
      <c r="N656" s="7" t="s">
        <v>517</v>
      </c>
      <c r="O656" s="14" t="str">
        <f>VLOOKUP(N656,Stock[#Data],2,FALSE)</f>
        <v>ဇေယျဝတီ Red (1 Liter) 30%</v>
      </c>
      <c r="P656" s="44">
        <f>VLOOKUP(N656,Stock[#Data],3,FALSE)</f>
        <v>1</v>
      </c>
      <c r="Q656" s="3">
        <f>VLOOKUP(N656,Stock[#Data],4,FALSE)</f>
        <v>12</v>
      </c>
      <c r="R656" s="11"/>
      <c r="S656" s="45">
        <f>IFERROR(Table4[[#This Row],[Bottle]]/Table4[[#This Row],[ပါဝင်မှု]]+Table4[[#This Row],[SalesPK]],0)</f>
        <v>100</v>
      </c>
      <c r="T656" s="12">
        <v>100</v>
      </c>
      <c r="U656" s="10">
        <f>Table4[[#This Row],[ပါဝင်မှု]]*Table4[[#This Row],[SalesPK]]+Table4[[#This Row],[Bottle]]</f>
        <v>1200</v>
      </c>
      <c r="V656" s="10">
        <f>Table4[[#This Row],[SalesBot]]*Table4[[#This Row],[ML]]</f>
        <v>1200</v>
      </c>
      <c r="W656" s="1">
        <f>VLOOKUP(N656,Stock[#Data],6,FALSE)</f>
        <v>1710</v>
      </c>
      <c r="X656" s="8">
        <f>+Table4[[#This Row],[SalesBot]]*Table4[[#This Row],[နှုံး]]</f>
        <v>2052000</v>
      </c>
      <c r="Y656" s="12"/>
      <c r="Z656" s="12"/>
      <c r="AA656" s="12"/>
      <c r="AB656" s="9"/>
      <c r="AC656" s="12"/>
      <c r="AD656" s="9"/>
      <c r="AE656" s="12"/>
      <c r="AF65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656" s="24"/>
      <c r="AH656" s="266">
        <f>Table4[[#This Row],[Date]]</f>
        <v>46064</v>
      </c>
      <c r="AI656" s="264" t="str">
        <f t="shared" si="120"/>
        <v>Feb</v>
      </c>
      <c r="AJ656" s="264" t="str">
        <f t="shared" si="121"/>
        <v>2026</v>
      </c>
      <c r="AK656" s="270" t="str">
        <f>Table4[[#This Row],[ကုန်သည်အမည်]]</f>
        <v>ပြည့်လျှံ</v>
      </c>
      <c r="AL656" s="270" t="str">
        <f>Table4[[#This Row],[Township]]</f>
        <v>Maw La Myaing</v>
      </c>
      <c r="AM656" s="271" t="str">
        <f>Table4[[#This Row],[WholeSales]]</f>
        <v>WholeSales</v>
      </c>
      <c r="AN656" s="272" t="str">
        <f>Table4[[#This Row],[Particular]]</f>
        <v>ကုန်ရောင်း(လက်ငင်း)</v>
      </c>
      <c r="AO656" s="273" t="str">
        <f>Table4[[#This Row],[StockName]]</f>
        <v>ဇေယျဝတီ Red (1 Liter) 30%</v>
      </c>
      <c r="AP656" s="268">
        <f>Table4[[#This Row],[Parking]]</f>
        <v>100</v>
      </c>
      <c r="AQ656" s="268">
        <f>Table4[[#This Row],[SalesBot]]</f>
        <v>1200</v>
      </c>
      <c r="AR656" s="268">
        <f>Table4[[#This Row],[Liter]]</f>
        <v>1200</v>
      </c>
    </row>
    <row r="657" spans="1:44" s="16" customFormat="1" hidden="1" x14ac:dyDescent="0.5">
      <c r="A657" s="3">
        <f t="shared" si="122"/>
        <v>2026</v>
      </c>
      <c r="B657" s="8">
        <f t="shared" si="123"/>
        <v>2</v>
      </c>
      <c r="C657" s="6">
        <v>46064</v>
      </c>
      <c r="D657" s="15">
        <f t="shared" ca="1" si="124"/>
        <v>46097</v>
      </c>
      <c r="E657" s="15" t="str">
        <f t="shared" ca="1" si="125"/>
        <v>1-Months</v>
      </c>
      <c r="F657" s="8" t="str">
        <f>VLOOKUP(N657,Stock[#Data],5,FALSE)</f>
        <v>BE</v>
      </c>
      <c r="G657" s="82" t="s">
        <v>1355</v>
      </c>
      <c r="H657" s="15"/>
      <c r="I657" s="7" t="s">
        <v>543</v>
      </c>
      <c r="J657" s="8" t="str">
        <f>VLOOKUP(I657,Customers[#Data],2,FALSE)</f>
        <v>ဒေါ်မိစိန်</v>
      </c>
      <c r="K657" s="15" t="str">
        <f>VLOOKUP(I657,Customers[#Data],4,FALSE)</f>
        <v>Yay</v>
      </c>
      <c r="L657" s="15" t="str">
        <f>VLOOKUP(I657,Customers[#Data],5,FALSE)</f>
        <v>SemiWholeSales</v>
      </c>
      <c r="M657" s="7" t="s">
        <v>6</v>
      </c>
      <c r="N657" s="7" t="s">
        <v>514</v>
      </c>
      <c r="O657" s="14" t="str">
        <f>VLOOKUP(N657,Stock[#Data],2,FALSE)</f>
        <v>ဇေယျဝတီ Red</v>
      </c>
      <c r="P657" s="44">
        <f>VLOOKUP(N657,Stock[#Data],3,FALSE)</f>
        <v>0.64</v>
      </c>
      <c r="Q657" s="3">
        <f>VLOOKUP(N657,Stock[#Data],4,FALSE)</f>
        <v>14</v>
      </c>
      <c r="R657" s="11"/>
      <c r="S657" s="45">
        <f>IFERROR(Table4[[#This Row],[Bottle]]/Table4[[#This Row],[ပါဝင်မှု]]+Table4[[#This Row],[SalesPK]],0)</f>
        <v>30</v>
      </c>
      <c r="T657" s="12">
        <v>30</v>
      </c>
      <c r="U657" s="10">
        <f>Table4[[#This Row],[ပါဝင်မှု]]*Table4[[#This Row],[SalesPK]]+Table4[[#This Row],[Bottle]]</f>
        <v>420</v>
      </c>
      <c r="V657" s="10">
        <f>Table4[[#This Row],[SalesBot]]*Table4[[#This Row],[ML]]</f>
        <v>268.8</v>
      </c>
      <c r="W657" s="1">
        <f>VLOOKUP(N657,Stock[#Data],6,FALSE)</f>
        <v>1350</v>
      </c>
      <c r="X657" s="8">
        <f>+Table4[[#This Row],[SalesBot]]*Table4[[#This Row],[နှုံး]]</f>
        <v>567000</v>
      </c>
      <c r="Y657" s="12"/>
      <c r="Z657" s="12"/>
      <c r="AA657" s="12"/>
      <c r="AB657" s="9"/>
      <c r="AC657" s="12"/>
      <c r="AD657" s="9"/>
      <c r="AE657" s="12"/>
      <c r="AF65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567000</v>
      </c>
      <c r="AG657" s="24"/>
      <c r="AH657" s="266">
        <f>Table4[[#This Row],[Date]]</f>
        <v>46064</v>
      </c>
      <c r="AI657" s="264" t="str">
        <f t="shared" si="120"/>
        <v>Feb</v>
      </c>
      <c r="AJ657" s="264" t="str">
        <f t="shared" si="121"/>
        <v>2026</v>
      </c>
      <c r="AK657" s="270" t="str">
        <f>Table4[[#This Row],[ကုန်သည်အမည်]]</f>
        <v>ဒေါ်မိစိန်</v>
      </c>
      <c r="AL657" s="270" t="str">
        <f>Table4[[#This Row],[Township]]</f>
        <v>Yay</v>
      </c>
      <c r="AM657" s="271" t="str">
        <f>Table4[[#This Row],[WholeSales]]</f>
        <v>SemiWholeSales</v>
      </c>
      <c r="AN657" s="272" t="str">
        <f>Table4[[#This Row],[Particular]]</f>
        <v>ကုန်ရောင်း(လက်ငင်း)</v>
      </c>
      <c r="AO657" s="273" t="str">
        <f>Table4[[#This Row],[StockName]]</f>
        <v>ဇေယျဝတီ Red</v>
      </c>
      <c r="AP657" s="268">
        <f>Table4[[#This Row],[Parking]]</f>
        <v>30</v>
      </c>
      <c r="AQ657" s="268">
        <f>Table4[[#This Row],[SalesBot]]</f>
        <v>420</v>
      </c>
      <c r="AR657" s="268">
        <f>Table4[[#This Row],[Liter]]</f>
        <v>268.8</v>
      </c>
    </row>
    <row r="658" spans="1:44" s="16" customFormat="1" hidden="1" x14ac:dyDescent="0.5">
      <c r="A658" s="3">
        <f t="shared" si="122"/>
        <v>2026</v>
      </c>
      <c r="B658" s="8">
        <f t="shared" si="123"/>
        <v>2</v>
      </c>
      <c r="C658" s="6">
        <v>46064</v>
      </c>
      <c r="D658" s="15">
        <f t="shared" ca="1" si="124"/>
        <v>46097</v>
      </c>
      <c r="E658" s="15" t="str">
        <f t="shared" ca="1" si="125"/>
        <v>1-Months</v>
      </c>
      <c r="F658" s="8" t="str">
        <f>VLOOKUP(N658,Stock[#Data],5,FALSE)</f>
        <v>BE</v>
      </c>
      <c r="G658" s="82" t="s">
        <v>1355</v>
      </c>
      <c r="H658" s="15"/>
      <c r="I658" s="7" t="s">
        <v>543</v>
      </c>
      <c r="J658" s="8" t="str">
        <f>VLOOKUP(I658,Customers[#Data],2,FALSE)</f>
        <v>ဒေါ်မိစိန်</v>
      </c>
      <c r="K658" s="15" t="str">
        <f>VLOOKUP(I658,Customers[#Data],4,FALSE)</f>
        <v>Yay</v>
      </c>
      <c r="L658" s="15" t="str">
        <f>VLOOKUP(I658,Customers[#Data],5,FALSE)</f>
        <v>SemiWholeSales</v>
      </c>
      <c r="M658" s="7" t="s">
        <v>6</v>
      </c>
      <c r="N658" s="7" t="s">
        <v>517</v>
      </c>
      <c r="O658" s="14" t="str">
        <f>VLOOKUP(N658,Stock[#Data],2,FALSE)</f>
        <v>ဇေယျဝတီ Red (1 Liter) 30%</v>
      </c>
      <c r="P658" s="44">
        <f>VLOOKUP(N658,Stock[#Data],3,FALSE)</f>
        <v>1</v>
      </c>
      <c r="Q658" s="3">
        <f>VLOOKUP(N658,Stock[#Data],4,FALSE)</f>
        <v>12</v>
      </c>
      <c r="R658" s="11"/>
      <c r="S658" s="45">
        <f>IFERROR(Table4[[#This Row],[Bottle]]/Table4[[#This Row],[ပါဝင်မှု]]+Table4[[#This Row],[SalesPK]],0)</f>
        <v>20</v>
      </c>
      <c r="T658" s="12">
        <v>20</v>
      </c>
      <c r="U658" s="10">
        <f>Table4[[#This Row],[ပါဝင်မှု]]*Table4[[#This Row],[SalesPK]]+Table4[[#This Row],[Bottle]]</f>
        <v>240</v>
      </c>
      <c r="V658" s="10">
        <f>Table4[[#This Row],[SalesBot]]*Table4[[#This Row],[ML]]</f>
        <v>240</v>
      </c>
      <c r="W658" s="1">
        <f>VLOOKUP(N658,Stock[#Data],6,FALSE)</f>
        <v>1710</v>
      </c>
      <c r="X658" s="8">
        <f>+Table4[[#This Row],[SalesBot]]*Table4[[#This Row],[နှုံး]]</f>
        <v>410400</v>
      </c>
      <c r="Y658" s="12"/>
      <c r="Z658" s="12"/>
      <c r="AA658" s="12"/>
      <c r="AB658" s="9"/>
      <c r="AC658" s="12"/>
      <c r="AD658" s="9"/>
      <c r="AE658" s="12"/>
      <c r="AF65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410400</v>
      </c>
      <c r="AG658" s="24"/>
      <c r="AH658" s="266">
        <f>Table4[[#This Row],[Date]]</f>
        <v>46064</v>
      </c>
      <c r="AI658" s="264" t="str">
        <f t="shared" si="120"/>
        <v>Feb</v>
      </c>
      <c r="AJ658" s="264" t="str">
        <f t="shared" si="121"/>
        <v>2026</v>
      </c>
      <c r="AK658" s="270" t="str">
        <f>Table4[[#This Row],[ကုန်သည်အမည်]]</f>
        <v>ဒေါ်မိစိန်</v>
      </c>
      <c r="AL658" s="270" t="str">
        <f>Table4[[#This Row],[Township]]</f>
        <v>Yay</v>
      </c>
      <c r="AM658" s="271" t="str">
        <f>Table4[[#This Row],[WholeSales]]</f>
        <v>SemiWholeSales</v>
      </c>
      <c r="AN658" s="272" t="str">
        <f>Table4[[#This Row],[Particular]]</f>
        <v>ကုန်ရောင်း(လက်ငင်း)</v>
      </c>
      <c r="AO658" s="273" t="str">
        <f>Table4[[#This Row],[StockName]]</f>
        <v>ဇေယျဝတီ Red (1 Liter) 30%</v>
      </c>
      <c r="AP658" s="268">
        <f>Table4[[#This Row],[Parking]]</f>
        <v>20</v>
      </c>
      <c r="AQ658" s="268">
        <f>Table4[[#This Row],[SalesBot]]</f>
        <v>240</v>
      </c>
      <c r="AR658" s="268">
        <f>Table4[[#This Row],[Liter]]</f>
        <v>240</v>
      </c>
    </row>
    <row r="659" spans="1:44" s="16" customFormat="1" hidden="1" x14ac:dyDescent="0.5">
      <c r="A659" s="3">
        <f t="shared" si="122"/>
        <v>2026</v>
      </c>
      <c r="B659" s="8">
        <f t="shared" si="123"/>
        <v>2</v>
      </c>
      <c r="C659" s="6">
        <v>46064</v>
      </c>
      <c r="D659" s="15">
        <f t="shared" ca="1" si="124"/>
        <v>46097</v>
      </c>
      <c r="E659" s="15" t="str">
        <f t="shared" ca="1" si="125"/>
        <v>1-Months</v>
      </c>
      <c r="F659" s="8" t="str">
        <f>VLOOKUP(N659,Stock[#Data],5,FALSE)</f>
        <v>BE</v>
      </c>
      <c r="G659" s="82" t="s">
        <v>1356</v>
      </c>
      <c r="H659" s="15"/>
      <c r="I659" s="7" t="s">
        <v>109</v>
      </c>
      <c r="J659" s="8" t="str">
        <f>VLOOKUP(I659,Customers[#Data],2,FALSE)</f>
        <v>ဦးမင်းလွင်</v>
      </c>
      <c r="K659" s="15" t="str">
        <f>VLOOKUP(I659,Customers[#Data],4,FALSE)</f>
        <v>Maw La Myaing</v>
      </c>
      <c r="L659" s="15" t="str">
        <f>VLOOKUP(I659,Customers[#Data],5,FALSE)</f>
        <v>WholeSales</v>
      </c>
      <c r="M659" s="7" t="s">
        <v>6</v>
      </c>
      <c r="N659" s="7" t="s">
        <v>521</v>
      </c>
      <c r="O659" s="14" t="str">
        <f>VLOOKUP(N659,Stock[#Data],2,FALSE)</f>
        <v>ဒဂုံအရက်သန့်</v>
      </c>
      <c r="P659" s="44">
        <f>VLOOKUP(N659,Stock[#Data],3,FALSE)</f>
        <v>0.64</v>
      </c>
      <c r="Q659" s="3">
        <f>VLOOKUP(N659,Stock[#Data],4,FALSE)</f>
        <v>24</v>
      </c>
      <c r="R659" s="11"/>
      <c r="S659" s="45">
        <f>IFERROR(Table4[[#This Row],[Bottle]]/Table4[[#This Row],[ပါဝင်မှု]]+Table4[[#This Row],[SalesPK]],0)</f>
        <v>50</v>
      </c>
      <c r="T659" s="12">
        <v>50</v>
      </c>
      <c r="U659" s="10">
        <f>Table4[[#This Row],[ပါဝင်မှု]]*Table4[[#This Row],[SalesPK]]+Table4[[#This Row],[Bottle]]</f>
        <v>1200</v>
      </c>
      <c r="V659" s="10">
        <f>Table4[[#This Row],[SalesBot]]*Table4[[#This Row],[ML]]</f>
        <v>768</v>
      </c>
      <c r="W659" s="1">
        <f>VLOOKUP(N659,Stock[#Data],6,FALSE)</f>
        <v>1350</v>
      </c>
      <c r="X659" s="8">
        <f>+Table4[[#This Row],[SalesBot]]*Table4[[#This Row],[နှုံး]]</f>
        <v>1620000</v>
      </c>
      <c r="Y659" s="12"/>
      <c r="Z659" s="12"/>
      <c r="AA659" s="12"/>
      <c r="AB659" s="9"/>
      <c r="AC659" s="12"/>
      <c r="AD659" s="9"/>
      <c r="AE659" s="12"/>
      <c r="AF65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1620000</v>
      </c>
      <c r="AG659" s="24"/>
      <c r="AH659" s="266">
        <f>Table4[[#This Row],[Date]]</f>
        <v>46064</v>
      </c>
      <c r="AI659" s="264" t="str">
        <f t="shared" si="120"/>
        <v>Feb</v>
      </c>
      <c r="AJ659" s="264" t="str">
        <f t="shared" si="121"/>
        <v>2026</v>
      </c>
      <c r="AK659" s="270" t="str">
        <f>Table4[[#This Row],[ကုန်သည်အမည်]]</f>
        <v>ဦးမင်းလွင်</v>
      </c>
      <c r="AL659" s="270" t="str">
        <f>Table4[[#This Row],[Township]]</f>
        <v>Maw La Myaing</v>
      </c>
      <c r="AM659" s="271" t="str">
        <f>Table4[[#This Row],[WholeSales]]</f>
        <v>WholeSales</v>
      </c>
      <c r="AN659" s="272" t="str">
        <f>Table4[[#This Row],[Particular]]</f>
        <v>ကုန်ရောင်း(လက်ငင်း)</v>
      </c>
      <c r="AO659" s="273" t="str">
        <f>Table4[[#This Row],[StockName]]</f>
        <v>ဒဂုံအရက်သန့်</v>
      </c>
      <c r="AP659" s="268">
        <f>Table4[[#This Row],[Parking]]</f>
        <v>50</v>
      </c>
      <c r="AQ659" s="268">
        <f>Table4[[#This Row],[SalesBot]]</f>
        <v>1200</v>
      </c>
      <c r="AR659" s="268">
        <f>Table4[[#This Row],[Liter]]</f>
        <v>768</v>
      </c>
    </row>
    <row r="660" spans="1:44" s="16" customFormat="1" hidden="1" x14ac:dyDescent="0.5">
      <c r="A660" s="3">
        <f t="shared" si="122"/>
        <v>2026</v>
      </c>
      <c r="B660" s="8">
        <f t="shared" si="123"/>
        <v>2</v>
      </c>
      <c r="C660" s="6">
        <v>46064</v>
      </c>
      <c r="D660" s="15">
        <f t="shared" ca="1" si="124"/>
        <v>46097</v>
      </c>
      <c r="E660" s="15" t="str">
        <f t="shared" ca="1" si="125"/>
        <v>1-Months</v>
      </c>
      <c r="F660" s="8" t="str">
        <f>VLOOKUP(N660,Stock[#Data],5,FALSE)</f>
        <v>BE</v>
      </c>
      <c r="G660" s="82" t="s">
        <v>1356</v>
      </c>
      <c r="H660" s="15"/>
      <c r="I660" s="7" t="s">
        <v>109</v>
      </c>
      <c r="J660" s="8" t="str">
        <f>VLOOKUP(I660,Customers[#Data],2,FALSE)</f>
        <v>ဦးမင်းလွင်</v>
      </c>
      <c r="K660" s="15" t="str">
        <f>VLOOKUP(I660,Customers[#Data],4,FALSE)</f>
        <v>Maw La Myaing</v>
      </c>
      <c r="L660" s="15" t="str">
        <f>VLOOKUP(I660,Customers[#Data],5,FALSE)</f>
        <v>WholeSales</v>
      </c>
      <c r="M660" s="7" t="s">
        <v>6</v>
      </c>
      <c r="N660" s="7" t="s">
        <v>425</v>
      </c>
      <c r="O660" s="14" t="str">
        <f>VLOOKUP(N660,Stock[#Data],2,FALSE)</f>
        <v>ကောင်းကြည်-1Li</v>
      </c>
      <c r="P660" s="44">
        <f>VLOOKUP(N660,Stock[#Data],3,FALSE)</f>
        <v>1</v>
      </c>
      <c r="Q660" s="3">
        <f>VLOOKUP(N660,Stock[#Data],4,FALSE)</f>
        <v>12</v>
      </c>
      <c r="R660" s="11"/>
      <c r="S660" s="45">
        <f>IFERROR(Table4[[#This Row],[Bottle]]/Table4[[#This Row],[ပါဝင်မှု]]+Table4[[#This Row],[SalesPK]],0)</f>
        <v>5</v>
      </c>
      <c r="T660" s="12">
        <v>5</v>
      </c>
      <c r="U660" s="10">
        <f>Table4[[#This Row],[ပါဝင်မှု]]*Table4[[#This Row],[SalesPK]]+Table4[[#This Row],[Bottle]]</f>
        <v>60</v>
      </c>
      <c r="V660" s="10">
        <f>Table4[[#This Row],[SalesBot]]*Table4[[#This Row],[ML]]</f>
        <v>60</v>
      </c>
      <c r="W660" s="1">
        <f>VLOOKUP(N660,Stock[#Data],6,FALSE)</f>
        <v>1500</v>
      </c>
      <c r="X660" s="8">
        <f>+Table4[[#This Row],[SalesBot]]*Table4[[#This Row],[နှုံး]]</f>
        <v>90000</v>
      </c>
      <c r="Y660" s="12"/>
      <c r="Z660" s="12"/>
      <c r="AA660" s="12"/>
      <c r="AB660" s="9"/>
      <c r="AC660" s="12"/>
      <c r="AD660" s="9"/>
      <c r="AE660" s="12"/>
      <c r="AF66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90000</v>
      </c>
      <c r="AG660" s="24"/>
      <c r="AH660" s="266">
        <f>Table4[[#This Row],[Date]]</f>
        <v>46064</v>
      </c>
      <c r="AI660" s="264" t="str">
        <f t="shared" si="120"/>
        <v>Feb</v>
      </c>
      <c r="AJ660" s="264" t="str">
        <f t="shared" si="121"/>
        <v>2026</v>
      </c>
      <c r="AK660" s="270" t="str">
        <f>Table4[[#This Row],[ကုန်သည်အမည်]]</f>
        <v>ဦးမင်းလွင်</v>
      </c>
      <c r="AL660" s="270" t="str">
        <f>Table4[[#This Row],[Township]]</f>
        <v>Maw La Myaing</v>
      </c>
      <c r="AM660" s="271" t="str">
        <f>Table4[[#This Row],[WholeSales]]</f>
        <v>WholeSales</v>
      </c>
      <c r="AN660" s="272" t="str">
        <f>Table4[[#This Row],[Particular]]</f>
        <v>ကုန်ရောင်း(လက်ငင်း)</v>
      </c>
      <c r="AO660" s="273" t="str">
        <f>Table4[[#This Row],[StockName]]</f>
        <v>ကောင်းကြည်-1Li</v>
      </c>
      <c r="AP660" s="268">
        <f>Table4[[#This Row],[Parking]]</f>
        <v>5</v>
      </c>
      <c r="AQ660" s="268">
        <f>Table4[[#This Row],[SalesBot]]</f>
        <v>60</v>
      </c>
      <c r="AR660" s="268">
        <f>Table4[[#This Row],[Liter]]</f>
        <v>60</v>
      </c>
    </row>
    <row r="661" spans="1:44" s="16" customFormat="1" hidden="1" x14ac:dyDescent="0.5">
      <c r="A661" s="3">
        <f t="shared" si="122"/>
        <v>2026</v>
      </c>
      <c r="B661" s="8">
        <f t="shared" si="123"/>
        <v>2</v>
      </c>
      <c r="C661" s="6">
        <v>46064</v>
      </c>
      <c r="D661" s="15">
        <f t="shared" ca="1" si="124"/>
        <v>46097</v>
      </c>
      <c r="E661" s="15" t="str">
        <f t="shared" ca="1" si="125"/>
        <v>1-Months</v>
      </c>
      <c r="F661" s="8" t="str">
        <f>VLOOKUP(N661,Stock[#Data],5,FALSE)</f>
        <v>BE</v>
      </c>
      <c r="G661" s="82" t="s">
        <v>1357</v>
      </c>
      <c r="H661" s="15" t="s">
        <v>439</v>
      </c>
      <c r="I661" s="7" t="s">
        <v>1358</v>
      </c>
      <c r="J661" s="8" t="str">
        <f>VLOOKUP(I661,Customers[#Data],2,FALSE)</f>
        <v>ဒေါ်တင်တင်အေး</v>
      </c>
      <c r="K661" s="15" t="str">
        <f>VLOOKUP(I661,Customers[#Data],4,FALSE)</f>
        <v>Maw La Myaing</v>
      </c>
      <c r="L661" s="15" t="str">
        <f>VLOOKUP(I661,Customers[#Data],5,FALSE)</f>
        <v>Van Sales</v>
      </c>
      <c r="M661" s="7" t="s">
        <v>6</v>
      </c>
      <c r="N661" s="7" t="s">
        <v>516</v>
      </c>
      <c r="O661" s="14" t="str">
        <f>VLOOKUP(N661,Stock[#Data],2,FALSE)</f>
        <v>ဇေ Vodka</v>
      </c>
      <c r="P661" s="44">
        <f>VLOOKUP(N661,Stock[#Data],3,FALSE)</f>
        <v>0.64</v>
      </c>
      <c r="Q661" s="3">
        <f>VLOOKUP(N661,Stock[#Data],4,FALSE)</f>
        <v>14</v>
      </c>
      <c r="R661" s="11"/>
      <c r="S661" s="45">
        <f>IFERROR(Table4[[#This Row],[Bottle]]/Table4[[#This Row],[ပါဝင်မှု]]+Table4[[#This Row],[SalesPK]],0)</f>
        <v>1</v>
      </c>
      <c r="T661" s="12">
        <v>1</v>
      </c>
      <c r="U661" s="10">
        <f>Table4[[#This Row],[ပါဝင်မှု]]*Table4[[#This Row],[SalesPK]]+Table4[[#This Row],[Bottle]]</f>
        <v>14</v>
      </c>
      <c r="V661" s="10">
        <f>Table4[[#This Row],[SalesBot]]*Table4[[#This Row],[ML]]</f>
        <v>8.9600000000000009</v>
      </c>
      <c r="W661" s="1">
        <f>VLOOKUP(N661,Stock[#Data],6,FALSE)</f>
        <v>1400</v>
      </c>
      <c r="X661" s="8">
        <f>+Table4[[#This Row],[SalesBot]]*Table4[[#This Row],[နှုံး]]</f>
        <v>19600</v>
      </c>
      <c r="Y661" s="12"/>
      <c r="Z661" s="12"/>
      <c r="AA661" s="12"/>
      <c r="AB661" s="9"/>
      <c r="AC661" s="12"/>
      <c r="AD661" s="9"/>
      <c r="AE661" s="12"/>
      <c r="AF66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</v>
      </c>
      <c r="AG661" s="24"/>
      <c r="AH661" s="266">
        <f>Table4[[#This Row],[Date]]</f>
        <v>46064</v>
      </c>
      <c r="AI661" s="264" t="str">
        <f t="shared" si="120"/>
        <v>Feb</v>
      </c>
      <c r="AJ661" s="264" t="str">
        <f t="shared" si="121"/>
        <v>2026</v>
      </c>
      <c r="AK661" s="270" t="str">
        <f>Table4[[#This Row],[ကုန်သည်အမည်]]</f>
        <v>ဒေါ်တင်တင်အေး</v>
      </c>
      <c r="AL661" s="270" t="str">
        <f>Table4[[#This Row],[Township]]</f>
        <v>Maw La Myaing</v>
      </c>
      <c r="AM661" s="271" t="str">
        <f>Table4[[#This Row],[WholeSales]]</f>
        <v>Van Sales</v>
      </c>
      <c r="AN661" s="272" t="str">
        <f>Table4[[#This Row],[Particular]]</f>
        <v>ကုန်ရောင်း(လက်ငင်း)</v>
      </c>
      <c r="AO661" s="273" t="str">
        <f>Table4[[#This Row],[StockName]]</f>
        <v>ဇေ Vodka</v>
      </c>
      <c r="AP661" s="268">
        <f>Table4[[#This Row],[Parking]]</f>
        <v>1</v>
      </c>
      <c r="AQ661" s="268">
        <f>Table4[[#This Row],[SalesBot]]</f>
        <v>14</v>
      </c>
      <c r="AR661" s="268">
        <f>Table4[[#This Row],[Liter]]</f>
        <v>8.9600000000000009</v>
      </c>
    </row>
    <row r="662" spans="1:44" s="16" customFormat="1" hidden="1" x14ac:dyDescent="0.5">
      <c r="A662" s="3">
        <f t="shared" si="122"/>
        <v>2026</v>
      </c>
      <c r="B662" s="8">
        <f t="shared" si="123"/>
        <v>2</v>
      </c>
      <c r="C662" s="6">
        <v>46064</v>
      </c>
      <c r="D662" s="15">
        <f t="shared" ca="1" si="124"/>
        <v>46097</v>
      </c>
      <c r="E662" s="15" t="str">
        <f t="shared" ca="1" si="125"/>
        <v>1-Months</v>
      </c>
      <c r="F662" s="8" t="str">
        <f>VLOOKUP(N662,Stock[#Data],5,FALSE)</f>
        <v>BE</v>
      </c>
      <c r="G662" s="82" t="s">
        <v>1360</v>
      </c>
      <c r="H662" s="15" t="s">
        <v>439</v>
      </c>
      <c r="I662" s="7" t="s">
        <v>1361</v>
      </c>
      <c r="J662" s="8" t="str">
        <f>VLOOKUP(I662,Customers[#Data],2,FALSE)</f>
        <v>KS</v>
      </c>
      <c r="K662" s="15" t="str">
        <f>VLOOKUP(I662,Customers[#Data],4,FALSE)</f>
        <v>Maw La Myaing</v>
      </c>
      <c r="L662" s="15" t="str">
        <f>VLOOKUP(I662,Customers[#Data],5,FALSE)</f>
        <v>Van Sales</v>
      </c>
      <c r="M662" s="7" t="s">
        <v>6</v>
      </c>
      <c r="N662" s="7" t="s">
        <v>516</v>
      </c>
      <c r="O662" s="14" t="str">
        <f>VLOOKUP(N662,Stock[#Data],2,FALSE)</f>
        <v>ဇေ Vodka</v>
      </c>
      <c r="P662" s="44">
        <f>VLOOKUP(N662,Stock[#Data],3,FALSE)</f>
        <v>0.64</v>
      </c>
      <c r="Q662" s="3">
        <f>VLOOKUP(N662,Stock[#Data],4,FALSE)</f>
        <v>14</v>
      </c>
      <c r="R662" s="11"/>
      <c r="S662" s="45">
        <f>IFERROR(Table4[[#This Row],[Bottle]]/Table4[[#This Row],[ပါဝင်မှု]]+Table4[[#This Row],[SalesPK]],0)</f>
        <v>1</v>
      </c>
      <c r="T662" s="12">
        <v>1</v>
      </c>
      <c r="U662" s="10">
        <f>Table4[[#This Row],[ပါဝင်မှု]]*Table4[[#This Row],[SalesPK]]+Table4[[#This Row],[Bottle]]</f>
        <v>14</v>
      </c>
      <c r="V662" s="10">
        <f>Table4[[#This Row],[SalesBot]]*Table4[[#This Row],[ML]]</f>
        <v>8.9600000000000009</v>
      </c>
      <c r="W662" s="1">
        <f>VLOOKUP(N662,Stock[#Data],6,FALSE)</f>
        <v>1400</v>
      </c>
      <c r="X662" s="8">
        <f>+Table4[[#This Row],[SalesBot]]*Table4[[#This Row],[နှုံး]]</f>
        <v>19600</v>
      </c>
      <c r="Y662" s="12"/>
      <c r="Z662" s="12"/>
      <c r="AA662" s="12"/>
      <c r="AB662" s="9"/>
      <c r="AC662" s="12"/>
      <c r="AD662" s="9"/>
      <c r="AE662" s="12"/>
      <c r="AF66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</v>
      </c>
      <c r="AG662" s="24"/>
      <c r="AH662" s="266">
        <f>Table4[[#This Row],[Date]]</f>
        <v>46064</v>
      </c>
      <c r="AI662" s="264" t="str">
        <f t="shared" si="120"/>
        <v>Feb</v>
      </c>
      <c r="AJ662" s="264" t="str">
        <f t="shared" si="121"/>
        <v>2026</v>
      </c>
      <c r="AK662" s="270" t="str">
        <f>Table4[[#This Row],[ကုန်သည်အမည်]]</f>
        <v>KS</v>
      </c>
      <c r="AL662" s="270" t="str">
        <f>Table4[[#This Row],[Township]]</f>
        <v>Maw La Myaing</v>
      </c>
      <c r="AM662" s="271" t="str">
        <f>Table4[[#This Row],[WholeSales]]</f>
        <v>Van Sales</v>
      </c>
      <c r="AN662" s="272" t="str">
        <f>Table4[[#This Row],[Particular]]</f>
        <v>ကုန်ရောင်း(လက်ငင်း)</v>
      </c>
      <c r="AO662" s="273" t="str">
        <f>Table4[[#This Row],[StockName]]</f>
        <v>ဇေ Vodka</v>
      </c>
      <c r="AP662" s="268">
        <f>Table4[[#This Row],[Parking]]</f>
        <v>1</v>
      </c>
      <c r="AQ662" s="268">
        <f>Table4[[#This Row],[SalesBot]]</f>
        <v>14</v>
      </c>
      <c r="AR662" s="268">
        <f>Table4[[#This Row],[Liter]]</f>
        <v>8.9600000000000009</v>
      </c>
    </row>
    <row r="663" spans="1:44" s="16" customFormat="1" hidden="1" x14ac:dyDescent="0.5">
      <c r="A663" s="3">
        <f t="shared" si="122"/>
        <v>2026</v>
      </c>
      <c r="B663" s="8">
        <f t="shared" si="123"/>
        <v>2</v>
      </c>
      <c r="C663" s="6">
        <v>46064</v>
      </c>
      <c r="D663" s="15">
        <f t="shared" ca="1" si="124"/>
        <v>46097</v>
      </c>
      <c r="E663" s="15" t="str">
        <f t="shared" ca="1" si="125"/>
        <v>1-Months</v>
      </c>
      <c r="F663" s="8" t="str">
        <f>VLOOKUP(N663,Stock[#Data],5,FALSE)</f>
        <v>BE</v>
      </c>
      <c r="G663" s="82" t="s">
        <v>1360</v>
      </c>
      <c r="H663" s="15" t="s">
        <v>439</v>
      </c>
      <c r="I663" s="7" t="s">
        <v>1361</v>
      </c>
      <c r="J663" s="8" t="str">
        <f>VLOOKUP(I663,Customers[#Data],2,FALSE)</f>
        <v>KS</v>
      </c>
      <c r="K663" s="15" t="str">
        <f>VLOOKUP(I663,Customers[#Data],4,FALSE)</f>
        <v>Maw La Myaing</v>
      </c>
      <c r="L663" s="15" t="str">
        <f>VLOOKUP(I663,Customers[#Data],5,FALSE)</f>
        <v>Van Sales</v>
      </c>
      <c r="M663" s="7" t="s">
        <v>6</v>
      </c>
      <c r="N663" s="7" t="s">
        <v>522</v>
      </c>
      <c r="O663" s="14" t="str">
        <f>VLOOKUP(N663,Stock[#Data],2,FALSE)</f>
        <v>ဒဂုံမန်ကျည်း ကော်ဘူး (1 Liter)</v>
      </c>
      <c r="P663" s="44">
        <f>VLOOKUP(N663,Stock[#Data],3,FALSE)</f>
        <v>1</v>
      </c>
      <c r="Q663" s="3">
        <f>VLOOKUP(N663,Stock[#Data],4,FALSE)</f>
        <v>12</v>
      </c>
      <c r="R663" s="11"/>
      <c r="S663" s="45">
        <f>IFERROR(Table4[[#This Row],[Bottle]]/Table4[[#This Row],[ပါဝင်မှု]]+Table4[[#This Row],[SalesPK]],0)</f>
        <v>1</v>
      </c>
      <c r="T663" s="12">
        <v>1</v>
      </c>
      <c r="U663" s="10">
        <f>Table4[[#This Row],[ပါဝင်မှု]]*Table4[[#This Row],[SalesPK]]+Table4[[#This Row],[Bottle]]</f>
        <v>12</v>
      </c>
      <c r="V663" s="10">
        <f>Table4[[#This Row],[SalesBot]]*Table4[[#This Row],[ML]]</f>
        <v>12</v>
      </c>
      <c r="W663" s="1">
        <f>VLOOKUP(N663,Stock[#Data],6,FALSE)</f>
        <v>1600</v>
      </c>
      <c r="X663" s="8">
        <f>+Table4[[#This Row],[SalesBot]]*Table4[[#This Row],[နှုံး]]</f>
        <v>19200</v>
      </c>
      <c r="Y663" s="12"/>
      <c r="Z663" s="12"/>
      <c r="AA663" s="12"/>
      <c r="AB663" s="9"/>
      <c r="AC663" s="12"/>
      <c r="AD663" s="9"/>
      <c r="AE663" s="12"/>
      <c r="AF66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663" s="24"/>
      <c r="AH663" s="266">
        <f>Table4[[#This Row],[Date]]</f>
        <v>46064</v>
      </c>
      <c r="AI663" s="264" t="str">
        <f t="shared" si="120"/>
        <v>Feb</v>
      </c>
      <c r="AJ663" s="264" t="str">
        <f t="shared" si="121"/>
        <v>2026</v>
      </c>
      <c r="AK663" s="270" t="str">
        <f>Table4[[#This Row],[ကုန်သည်အမည်]]</f>
        <v>KS</v>
      </c>
      <c r="AL663" s="270" t="str">
        <f>Table4[[#This Row],[Township]]</f>
        <v>Maw La Myaing</v>
      </c>
      <c r="AM663" s="271" t="str">
        <f>Table4[[#This Row],[WholeSales]]</f>
        <v>Van Sales</v>
      </c>
      <c r="AN663" s="272" t="str">
        <f>Table4[[#This Row],[Particular]]</f>
        <v>ကုန်ရောင်း(လက်ငင်း)</v>
      </c>
      <c r="AO663" s="273" t="str">
        <f>Table4[[#This Row],[StockName]]</f>
        <v>ဒဂုံမန်ကျည်း ကော်ဘူး (1 Liter)</v>
      </c>
      <c r="AP663" s="268">
        <f>Table4[[#This Row],[Parking]]</f>
        <v>1</v>
      </c>
      <c r="AQ663" s="268">
        <f>Table4[[#This Row],[SalesBot]]</f>
        <v>12</v>
      </c>
      <c r="AR663" s="268">
        <f>Table4[[#This Row],[Liter]]</f>
        <v>12</v>
      </c>
    </row>
    <row r="664" spans="1:44" s="16" customFormat="1" hidden="1" x14ac:dyDescent="0.5">
      <c r="A664" s="3">
        <f t="shared" si="122"/>
        <v>2026</v>
      </c>
      <c r="B664" s="8">
        <f t="shared" si="123"/>
        <v>2</v>
      </c>
      <c r="C664" s="6">
        <v>46064</v>
      </c>
      <c r="D664" s="15">
        <f t="shared" ca="1" si="124"/>
        <v>46097</v>
      </c>
      <c r="E664" s="15" t="str">
        <f t="shared" ca="1" si="125"/>
        <v>1-Months</v>
      </c>
      <c r="F664" s="8" t="str">
        <f>VLOOKUP(N664,Stock[#Data],5,FALSE)</f>
        <v>BE</v>
      </c>
      <c r="G664" s="82" t="s">
        <v>1362</v>
      </c>
      <c r="H664" s="15" t="s">
        <v>439</v>
      </c>
      <c r="I664" s="7" t="s">
        <v>1621</v>
      </c>
      <c r="J664" s="8" t="str">
        <f>VLOOKUP(I664,Customers[#Data],2,FALSE)</f>
        <v>ကိုမျိုးအောင်</v>
      </c>
      <c r="K664" s="15" t="str">
        <f>VLOOKUP(I664,Customers[#Data],4,FALSE)</f>
        <v>Maw La Myaing</v>
      </c>
      <c r="L664" s="15" t="str">
        <f>VLOOKUP(I664,Customers[#Data],5,FALSE)</f>
        <v>Van Sales</v>
      </c>
      <c r="M664" s="7" t="s">
        <v>6</v>
      </c>
      <c r="N664" s="7" t="s">
        <v>522</v>
      </c>
      <c r="O664" s="14" t="str">
        <f>VLOOKUP(N664,Stock[#Data],2,FALSE)</f>
        <v>ဒဂုံမန်ကျည်း ကော်ဘူး (1 Liter)</v>
      </c>
      <c r="P664" s="44">
        <f>VLOOKUP(N664,Stock[#Data],3,FALSE)</f>
        <v>1</v>
      </c>
      <c r="Q664" s="3">
        <f>VLOOKUP(N664,Stock[#Data],4,FALSE)</f>
        <v>12</v>
      </c>
      <c r="R664" s="11"/>
      <c r="S664" s="45">
        <f>IFERROR(Table4[[#This Row],[Bottle]]/Table4[[#This Row],[ပါဝင်မှု]]+Table4[[#This Row],[SalesPK]],0)</f>
        <v>1</v>
      </c>
      <c r="T664" s="12">
        <v>1</v>
      </c>
      <c r="U664" s="10">
        <f>Table4[[#This Row],[ပါဝင်မှု]]*Table4[[#This Row],[SalesPK]]+Table4[[#This Row],[Bottle]]</f>
        <v>12</v>
      </c>
      <c r="V664" s="10">
        <f>Table4[[#This Row],[SalesBot]]*Table4[[#This Row],[ML]]</f>
        <v>12</v>
      </c>
      <c r="W664" s="1">
        <f>VLOOKUP(N664,Stock[#Data],6,FALSE)</f>
        <v>1600</v>
      </c>
      <c r="X664" s="8">
        <f>+Table4[[#This Row],[SalesBot]]*Table4[[#This Row],[နှုံး]]</f>
        <v>19200</v>
      </c>
      <c r="Y664" s="12"/>
      <c r="Z664" s="12"/>
      <c r="AA664" s="12"/>
      <c r="AB664" s="9"/>
      <c r="AC664" s="12"/>
      <c r="AD664" s="9"/>
      <c r="AE664" s="12"/>
      <c r="AF66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664" s="24"/>
      <c r="AH664" s="266">
        <f>Table4[[#This Row],[Date]]</f>
        <v>46064</v>
      </c>
      <c r="AI664" s="264" t="str">
        <f t="shared" si="120"/>
        <v>Feb</v>
      </c>
      <c r="AJ664" s="264" t="str">
        <f t="shared" si="121"/>
        <v>2026</v>
      </c>
      <c r="AK664" s="270" t="str">
        <f>Table4[[#This Row],[ကုန်သည်အမည်]]</f>
        <v>ကိုမျိုးအောင်</v>
      </c>
      <c r="AL664" s="270" t="str">
        <f>Table4[[#This Row],[Township]]</f>
        <v>Maw La Myaing</v>
      </c>
      <c r="AM664" s="271" t="str">
        <f>Table4[[#This Row],[WholeSales]]</f>
        <v>Van Sales</v>
      </c>
      <c r="AN664" s="272" t="str">
        <f>Table4[[#This Row],[Particular]]</f>
        <v>ကုန်ရောင်း(လက်ငင်း)</v>
      </c>
      <c r="AO664" s="273" t="str">
        <f>Table4[[#This Row],[StockName]]</f>
        <v>ဒဂုံမန်ကျည်း ကော်ဘူး (1 Liter)</v>
      </c>
      <c r="AP664" s="268">
        <f>Table4[[#This Row],[Parking]]</f>
        <v>1</v>
      </c>
      <c r="AQ664" s="268">
        <f>Table4[[#This Row],[SalesBot]]</f>
        <v>12</v>
      </c>
      <c r="AR664" s="268">
        <f>Table4[[#This Row],[Liter]]</f>
        <v>12</v>
      </c>
    </row>
    <row r="665" spans="1:44" s="16" customFormat="1" hidden="1" x14ac:dyDescent="0.5">
      <c r="A665" s="3">
        <f t="shared" si="116"/>
        <v>2026</v>
      </c>
      <c r="B665" s="8">
        <f t="shared" si="117"/>
        <v>2</v>
      </c>
      <c r="C665" s="6">
        <v>46064</v>
      </c>
      <c r="D665" s="15">
        <f t="shared" ca="1" si="118"/>
        <v>46097</v>
      </c>
      <c r="E665" s="15" t="str">
        <f t="shared" ca="1" si="119"/>
        <v>1-Months</v>
      </c>
      <c r="F665" s="8" t="str">
        <f>VLOOKUP(N665,Stock[#Data],5,FALSE)</f>
        <v>BE</v>
      </c>
      <c r="G665" s="82" t="s">
        <v>1362</v>
      </c>
      <c r="H665" s="15" t="s">
        <v>439</v>
      </c>
      <c r="I665" s="7" t="s">
        <v>1621</v>
      </c>
      <c r="J665" s="8" t="str">
        <f>VLOOKUP(I665,Customers[#Data],2,FALSE)</f>
        <v>ကိုမျိုးအောင်</v>
      </c>
      <c r="K665" s="15" t="str">
        <f>VLOOKUP(I665,Customers[#Data],4,FALSE)</f>
        <v>Maw La Myaing</v>
      </c>
      <c r="L665" s="15" t="str">
        <f>VLOOKUP(I665,Customers[#Data],5,FALSE)</f>
        <v>Van Sales</v>
      </c>
      <c r="M665" s="7" t="s">
        <v>6</v>
      </c>
      <c r="N665" s="7" t="s">
        <v>425</v>
      </c>
      <c r="O665" s="14" t="str">
        <f>VLOOKUP(N665,Stock[#Data],2,FALSE)</f>
        <v>ကောင်းကြည်-1Li</v>
      </c>
      <c r="P665" s="44">
        <f>VLOOKUP(N665,Stock[#Data],3,FALSE)</f>
        <v>1</v>
      </c>
      <c r="Q665" s="3">
        <f>VLOOKUP(N665,Stock[#Data],4,FALSE)</f>
        <v>12</v>
      </c>
      <c r="R665" s="11"/>
      <c r="S665" s="45">
        <f>IFERROR(Table4[[#This Row],[Bottle]]/Table4[[#This Row],[ပါဝင်မှု]]+Table4[[#This Row],[SalesPK]],0)</f>
        <v>1</v>
      </c>
      <c r="T665" s="12">
        <v>1</v>
      </c>
      <c r="U665" s="10">
        <f>Table4[[#This Row],[ပါဝင်မှု]]*Table4[[#This Row],[SalesPK]]+Table4[[#This Row],[Bottle]]</f>
        <v>12</v>
      </c>
      <c r="V665" s="10">
        <f>Table4[[#This Row],[SalesBot]]*Table4[[#This Row],[ML]]</f>
        <v>12</v>
      </c>
      <c r="W665" s="1">
        <f>VLOOKUP(N665,Stock[#Data],6,FALSE)</f>
        <v>1500</v>
      </c>
      <c r="X665" s="8">
        <f>+Table4[[#This Row],[SalesBot]]*Table4[[#This Row],[နှုံး]]</f>
        <v>18000</v>
      </c>
      <c r="Y665" s="12"/>
      <c r="Z665" s="12"/>
      <c r="AA665" s="12"/>
      <c r="AB665" s="9"/>
      <c r="AC665" s="12"/>
      <c r="AD665" s="9"/>
      <c r="AE665" s="12"/>
      <c r="AF66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665" s="24"/>
      <c r="AH665" s="266">
        <f>Table4[[#This Row],[Date]]</f>
        <v>46064</v>
      </c>
      <c r="AI665" s="264" t="str">
        <f t="shared" si="120"/>
        <v>Feb</v>
      </c>
      <c r="AJ665" s="264" t="str">
        <f t="shared" si="121"/>
        <v>2026</v>
      </c>
      <c r="AK665" s="270" t="str">
        <f>Table4[[#This Row],[ကုန်သည်အမည်]]</f>
        <v>ကိုမျိုးအောင်</v>
      </c>
      <c r="AL665" s="270" t="str">
        <f>Table4[[#This Row],[Township]]</f>
        <v>Maw La Myaing</v>
      </c>
      <c r="AM665" s="271" t="str">
        <f>Table4[[#This Row],[WholeSales]]</f>
        <v>Van Sales</v>
      </c>
      <c r="AN665" s="272" t="str">
        <f>Table4[[#This Row],[Particular]]</f>
        <v>ကုန်ရောင်း(လက်ငင်း)</v>
      </c>
      <c r="AO665" s="273" t="str">
        <f>Table4[[#This Row],[StockName]]</f>
        <v>ကောင်းကြည်-1Li</v>
      </c>
      <c r="AP665" s="268">
        <f>Table4[[#This Row],[Parking]]</f>
        <v>1</v>
      </c>
      <c r="AQ665" s="268">
        <f>Table4[[#This Row],[SalesBot]]</f>
        <v>12</v>
      </c>
      <c r="AR665" s="268">
        <f>Table4[[#This Row],[Liter]]</f>
        <v>12</v>
      </c>
    </row>
    <row r="666" spans="1:44" s="16" customFormat="1" hidden="1" x14ac:dyDescent="0.5">
      <c r="A666" s="3">
        <f t="shared" si="116"/>
        <v>2026</v>
      </c>
      <c r="B666" s="8">
        <f t="shared" si="117"/>
        <v>2</v>
      </c>
      <c r="C666" s="6">
        <v>46064</v>
      </c>
      <c r="D666" s="15">
        <f t="shared" ca="1" si="118"/>
        <v>46097</v>
      </c>
      <c r="E666" s="15" t="str">
        <f t="shared" ca="1" si="119"/>
        <v>1-Months</v>
      </c>
      <c r="F666" s="8" t="str">
        <f>VLOOKUP(N666,Stock[#Data],5,FALSE)</f>
        <v>BE</v>
      </c>
      <c r="G666" s="82" t="s">
        <v>1362</v>
      </c>
      <c r="H666" s="15" t="s">
        <v>439</v>
      </c>
      <c r="I666" s="7" t="s">
        <v>1621</v>
      </c>
      <c r="J666" s="8" t="str">
        <f>VLOOKUP(I666,Customers[#Data],2,FALSE)</f>
        <v>ကိုမျိုးအောင်</v>
      </c>
      <c r="K666" s="15" t="str">
        <f>VLOOKUP(I666,Customers[#Data],4,FALSE)</f>
        <v>Maw La Myaing</v>
      </c>
      <c r="L666" s="15" t="str">
        <f>VLOOKUP(I666,Customers[#Data],5,FALSE)</f>
        <v>Van Sales</v>
      </c>
      <c r="M666" s="7" t="s">
        <v>6</v>
      </c>
      <c r="N666" s="7" t="s">
        <v>508</v>
      </c>
      <c r="O666" s="14" t="str">
        <f>VLOOKUP(N666,Stock[#Data],2,FALSE)</f>
        <v>ကောင်းကြည်-1Li</v>
      </c>
      <c r="P666" s="44">
        <f>VLOOKUP(N666,Stock[#Data],3,FALSE)</f>
        <v>1</v>
      </c>
      <c r="Q666" s="3">
        <f>VLOOKUP(N666,Stock[#Data],4,FALSE)</f>
        <v>12</v>
      </c>
      <c r="R666" s="11"/>
      <c r="S666" s="45">
        <f>IFERROR(Table4[[#This Row],[Bottle]]/Table4[[#This Row],[ပါဝင်မှု]]+Table4[[#This Row],[SalesPK]],0)</f>
        <v>1</v>
      </c>
      <c r="T666" s="12">
        <v>1</v>
      </c>
      <c r="U666" s="10">
        <f>Table4[[#This Row],[ပါဝင်မှု]]*Table4[[#This Row],[SalesPK]]+Table4[[#This Row],[Bottle]]</f>
        <v>12</v>
      </c>
      <c r="V666" s="10">
        <f>Table4[[#This Row],[SalesBot]]*Table4[[#This Row],[ML]]</f>
        <v>12</v>
      </c>
      <c r="W666" s="1">
        <f>VLOOKUP(N666,Stock[#Data],6,FALSE)</f>
        <v>1850</v>
      </c>
      <c r="X666" s="8">
        <f>+Table4[[#This Row],[SalesBot]]*Table4[[#This Row],[နှုံး]]</f>
        <v>22200</v>
      </c>
      <c r="Y666" s="12"/>
      <c r="Z666" s="12"/>
      <c r="AA666" s="12"/>
      <c r="AB666" s="9"/>
      <c r="AC666" s="12"/>
      <c r="AD666" s="9"/>
      <c r="AE666" s="12"/>
      <c r="AF66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666" s="24"/>
      <c r="AH666" s="266">
        <f>Table4[[#This Row],[Date]]</f>
        <v>46064</v>
      </c>
      <c r="AI666" s="264" t="str">
        <f t="shared" si="120"/>
        <v>Feb</v>
      </c>
      <c r="AJ666" s="264" t="str">
        <f t="shared" si="121"/>
        <v>2026</v>
      </c>
      <c r="AK666" s="270" t="str">
        <f>Table4[[#This Row],[ကုန်သည်အမည်]]</f>
        <v>ကိုမျိုးအောင်</v>
      </c>
      <c r="AL666" s="270" t="str">
        <f>Table4[[#This Row],[Township]]</f>
        <v>Maw La Myaing</v>
      </c>
      <c r="AM666" s="271" t="str">
        <f>Table4[[#This Row],[WholeSales]]</f>
        <v>Van Sales</v>
      </c>
      <c r="AN666" s="272" t="str">
        <f>Table4[[#This Row],[Particular]]</f>
        <v>ကုန်ရောင်း(လက်ငင်း)</v>
      </c>
      <c r="AO666" s="273" t="str">
        <f>Table4[[#This Row],[StockName]]</f>
        <v>ကောင်းကြည်-1Li</v>
      </c>
      <c r="AP666" s="268">
        <f>Table4[[#This Row],[Parking]]</f>
        <v>1</v>
      </c>
      <c r="AQ666" s="268">
        <f>Table4[[#This Row],[SalesBot]]</f>
        <v>12</v>
      </c>
      <c r="AR666" s="268">
        <f>Table4[[#This Row],[Liter]]</f>
        <v>12</v>
      </c>
    </row>
    <row r="667" spans="1:44" s="16" customFormat="1" hidden="1" x14ac:dyDescent="0.5">
      <c r="A667" s="3">
        <f t="shared" ref="A667:A680" si="126">YEAR(C667)</f>
        <v>2026</v>
      </c>
      <c r="B667" s="8">
        <f t="shared" ref="B667:B680" si="127">MONTH(C667)</f>
        <v>2</v>
      </c>
      <c r="C667" s="6">
        <v>46064</v>
      </c>
      <c r="D667" s="15">
        <f t="shared" ref="D667:D680" ca="1" si="128">TODAY()</f>
        <v>46097</v>
      </c>
      <c r="E667" s="15" t="str">
        <f t="shared" ref="E667:E680" ca="1" si="129">DATEDIF(C667,D667,"M")&amp;"-Months"</f>
        <v>1-Months</v>
      </c>
      <c r="F667" s="8" t="str">
        <f>VLOOKUP(N667,Stock[#Data],5,FALSE)</f>
        <v>BE</v>
      </c>
      <c r="G667" s="82" t="s">
        <v>1363</v>
      </c>
      <c r="H667" s="15" t="s">
        <v>439</v>
      </c>
      <c r="I667" s="7" t="s">
        <v>1117</v>
      </c>
      <c r="J667" s="8" t="str">
        <f>VLOOKUP(I667,Customers[#Data],2,FALSE)</f>
        <v>မိုးထိအောင်</v>
      </c>
      <c r="K667" s="15" t="str">
        <f>VLOOKUP(I667,Customers[#Data],4,FALSE)</f>
        <v>Maw La Myaing</v>
      </c>
      <c r="L667" s="15" t="str">
        <f>VLOOKUP(I667,Customers[#Data],5,FALSE)</f>
        <v>Van Sales</v>
      </c>
      <c r="M667" s="7" t="s">
        <v>6</v>
      </c>
      <c r="N667" s="7" t="s">
        <v>425</v>
      </c>
      <c r="O667" s="14" t="str">
        <f>VLOOKUP(N667,Stock[#Data],2,FALSE)</f>
        <v>ကောင်းကြည်-1Li</v>
      </c>
      <c r="P667" s="44">
        <f>VLOOKUP(N667,Stock[#Data],3,FALSE)</f>
        <v>1</v>
      </c>
      <c r="Q667" s="3">
        <f>VLOOKUP(N667,Stock[#Data],4,FALSE)</f>
        <v>12</v>
      </c>
      <c r="R667" s="11">
        <v>5</v>
      </c>
      <c r="S667" s="45">
        <f>IFERROR(Table4[[#This Row],[Bottle]]/Table4[[#This Row],[ပါဝင်မှု]]+Table4[[#This Row],[SalesPK]],0)</f>
        <v>0.41666666666666669</v>
      </c>
      <c r="T667" s="12"/>
      <c r="U667" s="10">
        <f>Table4[[#This Row],[ပါဝင်မှု]]*Table4[[#This Row],[SalesPK]]+Table4[[#This Row],[Bottle]]</f>
        <v>5</v>
      </c>
      <c r="V667" s="10">
        <f>Table4[[#This Row],[SalesBot]]*Table4[[#This Row],[ML]]</f>
        <v>5</v>
      </c>
      <c r="W667" s="1">
        <f>VLOOKUP(N667,Stock[#Data],6,FALSE)</f>
        <v>1500</v>
      </c>
      <c r="X667" s="8">
        <f>+Table4[[#This Row],[SalesBot]]*Table4[[#This Row],[နှုံး]]</f>
        <v>7500</v>
      </c>
      <c r="Y667" s="12"/>
      <c r="Z667" s="12"/>
      <c r="AA667" s="12"/>
      <c r="AB667" s="9"/>
      <c r="AC667" s="12"/>
      <c r="AD667" s="9"/>
      <c r="AE667" s="12"/>
      <c r="AF66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7500</v>
      </c>
      <c r="AG667" s="24"/>
      <c r="AH667" s="266">
        <f>Table4[[#This Row],[Date]]</f>
        <v>46064</v>
      </c>
      <c r="AI667" s="264" t="str">
        <f t="shared" si="120"/>
        <v>Feb</v>
      </c>
      <c r="AJ667" s="264" t="str">
        <f t="shared" si="121"/>
        <v>2026</v>
      </c>
      <c r="AK667" s="270" t="str">
        <f>Table4[[#This Row],[ကုန်သည်အမည်]]</f>
        <v>မိုးထိအောင်</v>
      </c>
      <c r="AL667" s="270" t="str">
        <f>Table4[[#This Row],[Township]]</f>
        <v>Maw La Myaing</v>
      </c>
      <c r="AM667" s="271" t="str">
        <f>Table4[[#This Row],[WholeSales]]</f>
        <v>Van Sales</v>
      </c>
      <c r="AN667" s="272" t="str">
        <f>Table4[[#This Row],[Particular]]</f>
        <v>ကုန်ရောင်း(လက်ငင်း)</v>
      </c>
      <c r="AO667" s="273" t="str">
        <f>Table4[[#This Row],[StockName]]</f>
        <v>ကောင်းကြည်-1Li</v>
      </c>
      <c r="AP667" s="268">
        <f>Table4[[#This Row],[Parking]]</f>
        <v>0.41666666666666669</v>
      </c>
      <c r="AQ667" s="268">
        <f>Table4[[#This Row],[SalesBot]]</f>
        <v>5</v>
      </c>
      <c r="AR667" s="268">
        <f>Table4[[#This Row],[Liter]]</f>
        <v>5</v>
      </c>
    </row>
    <row r="668" spans="1:44" s="16" customFormat="1" hidden="1" x14ac:dyDescent="0.5">
      <c r="A668" s="3">
        <f t="shared" si="126"/>
        <v>2026</v>
      </c>
      <c r="B668" s="8">
        <f t="shared" si="127"/>
        <v>2</v>
      </c>
      <c r="C668" s="6">
        <v>46064</v>
      </c>
      <c r="D668" s="15">
        <f t="shared" ca="1" si="128"/>
        <v>46097</v>
      </c>
      <c r="E668" s="15" t="str">
        <f t="shared" ca="1" si="129"/>
        <v>1-Months</v>
      </c>
      <c r="F668" s="8" t="str">
        <f>VLOOKUP(N668,Stock[#Data],5,FALSE)</f>
        <v>BE</v>
      </c>
      <c r="G668" s="82" t="s">
        <v>1364</v>
      </c>
      <c r="H668" s="15" t="s">
        <v>439</v>
      </c>
      <c r="I668" s="7" t="s">
        <v>1365</v>
      </c>
      <c r="J668" s="8" t="str">
        <f>VLOOKUP(I668,Customers[#Data],2,FALSE)</f>
        <v>ရွှေတော်ဝင်</v>
      </c>
      <c r="K668" s="15" t="str">
        <f>VLOOKUP(I668,Customers[#Data],4,FALSE)</f>
        <v>Maw La Myaing</v>
      </c>
      <c r="L668" s="15" t="str">
        <f>VLOOKUP(I668,Customers[#Data],5,FALSE)</f>
        <v>Van Sales</v>
      </c>
      <c r="M668" s="7" t="s">
        <v>6</v>
      </c>
      <c r="N668" s="7" t="s">
        <v>522</v>
      </c>
      <c r="O668" s="14" t="str">
        <f>VLOOKUP(N668,Stock[#Data],2,FALSE)</f>
        <v>ဒဂုံမန်ကျည်း ကော်ဘူး (1 Liter)</v>
      </c>
      <c r="P668" s="44">
        <f>VLOOKUP(N668,Stock[#Data],3,FALSE)</f>
        <v>1</v>
      </c>
      <c r="Q668" s="3">
        <f>VLOOKUP(N668,Stock[#Data],4,FALSE)</f>
        <v>12</v>
      </c>
      <c r="R668" s="11"/>
      <c r="S668" s="45">
        <f>IFERROR(Table4[[#This Row],[Bottle]]/Table4[[#This Row],[ပါဝင်မှု]]+Table4[[#This Row],[SalesPK]],0)</f>
        <v>2</v>
      </c>
      <c r="T668" s="12">
        <v>2</v>
      </c>
      <c r="U668" s="10">
        <f>Table4[[#This Row],[ပါဝင်မှု]]*Table4[[#This Row],[SalesPK]]+Table4[[#This Row],[Bottle]]</f>
        <v>24</v>
      </c>
      <c r="V668" s="10">
        <f>Table4[[#This Row],[SalesBot]]*Table4[[#This Row],[ML]]</f>
        <v>24</v>
      </c>
      <c r="W668" s="1">
        <f>VLOOKUP(N668,Stock[#Data],6,FALSE)</f>
        <v>1600</v>
      </c>
      <c r="X668" s="8">
        <f>+Table4[[#This Row],[SalesBot]]*Table4[[#This Row],[နှုံး]]</f>
        <v>38400</v>
      </c>
      <c r="Y668" s="12"/>
      <c r="Z668" s="12"/>
      <c r="AA668" s="12"/>
      <c r="AB668" s="9"/>
      <c r="AC668" s="12"/>
      <c r="AD668" s="9"/>
      <c r="AE668" s="12"/>
      <c r="AF66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38400</v>
      </c>
      <c r="AG668" s="24"/>
      <c r="AH668" s="266">
        <f>Table4[[#This Row],[Date]]</f>
        <v>46064</v>
      </c>
      <c r="AI668" s="264" t="str">
        <f t="shared" si="120"/>
        <v>Feb</v>
      </c>
      <c r="AJ668" s="264" t="str">
        <f t="shared" si="121"/>
        <v>2026</v>
      </c>
      <c r="AK668" s="270" t="str">
        <f>Table4[[#This Row],[ကုန်သည်အမည်]]</f>
        <v>ရွှေတော်ဝင်</v>
      </c>
      <c r="AL668" s="270" t="str">
        <f>Table4[[#This Row],[Township]]</f>
        <v>Maw La Myaing</v>
      </c>
      <c r="AM668" s="271" t="str">
        <f>Table4[[#This Row],[WholeSales]]</f>
        <v>Van Sales</v>
      </c>
      <c r="AN668" s="272" t="str">
        <f>Table4[[#This Row],[Particular]]</f>
        <v>ကုန်ရောင်း(လက်ငင်း)</v>
      </c>
      <c r="AO668" s="273" t="str">
        <f>Table4[[#This Row],[StockName]]</f>
        <v>ဒဂုံမန်ကျည်း ကော်ဘူး (1 Liter)</v>
      </c>
      <c r="AP668" s="268">
        <f>Table4[[#This Row],[Parking]]</f>
        <v>2</v>
      </c>
      <c r="AQ668" s="268">
        <f>Table4[[#This Row],[SalesBot]]</f>
        <v>24</v>
      </c>
      <c r="AR668" s="268">
        <f>Table4[[#This Row],[Liter]]</f>
        <v>24</v>
      </c>
    </row>
    <row r="669" spans="1:44" s="16" customFormat="1" hidden="1" x14ac:dyDescent="0.5">
      <c r="A669" s="3">
        <f t="shared" si="126"/>
        <v>2026</v>
      </c>
      <c r="B669" s="8">
        <f t="shared" si="127"/>
        <v>2</v>
      </c>
      <c r="C669" s="6">
        <v>46064</v>
      </c>
      <c r="D669" s="15">
        <f t="shared" ca="1" si="128"/>
        <v>46097</v>
      </c>
      <c r="E669" s="15" t="str">
        <f t="shared" ca="1" si="129"/>
        <v>1-Months</v>
      </c>
      <c r="F669" s="8" t="str">
        <f>VLOOKUP(N669,Stock[#Data],5,FALSE)</f>
        <v>BE</v>
      </c>
      <c r="G669" s="82" t="s">
        <v>1367</v>
      </c>
      <c r="H669" s="15" t="s">
        <v>439</v>
      </c>
      <c r="I669" s="7" t="s">
        <v>1358</v>
      </c>
      <c r="J669" s="8" t="str">
        <f>VLOOKUP(I669,Customers[#Data],2,FALSE)</f>
        <v>ဒေါ်တင်တင်အေး</v>
      </c>
      <c r="K669" s="15" t="str">
        <f>VLOOKUP(I669,Customers[#Data],4,FALSE)</f>
        <v>Maw La Myaing</v>
      </c>
      <c r="L669" s="15" t="str">
        <f>VLOOKUP(I669,Customers[#Data],5,FALSE)</f>
        <v>Van Sales</v>
      </c>
      <c r="M669" s="7" t="s">
        <v>6</v>
      </c>
      <c r="N669" s="7" t="s">
        <v>522</v>
      </c>
      <c r="O669" s="14" t="str">
        <f>VLOOKUP(N669,Stock[#Data],2,FALSE)</f>
        <v>ဒဂုံမန်ကျည်း ကော်ဘူး (1 Liter)</v>
      </c>
      <c r="P669" s="44">
        <f>VLOOKUP(N669,Stock[#Data],3,FALSE)</f>
        <v>1</v>
      </c>
      <c r="Q669" s="3">
        <f>VLOOKUP(N669,Stock[#Data],4,FALSE)</f>
        <v>12</v>
      </c>
      <c r="R669" s="11"/>
      <c r="S669" s="45">
        <f>IFERROR(Table4[[#This Row],[Bottle]]/Table4[[#This Row],[ပါဝင်မှု]]+Table4[[#This Row],[SalesPK]],0)</f>
        <v>1</v>
      </c>
      <c r="T669" s="12">
        <v>1</v>
      </c>
      <c r="U669" s="10">
        <f>Table4[[#This Row],[ပါဝင်မှု]]*Table4[[#This Row],[SalesPK]]+Table4[[#This Row],[Bottle]]</f>
        <v>12</v>
      </c>
      <c r="V669" s="10">
        <f>Table4[[#This Row],[SalesBot]]*Table4[[#This Row],[ML]]</f>
        <v>12</v>
      </c>
      <c r="W669" s="1">
        <f>VLOOKUP(N669,Stock[#Data],6,FALSE)</f>
        <v>1600</v>
      </c>
      <c r="X669" s="8">
        <f>+Table4[[#This Row],[SalesBot]]*Table4[[#This Row],[နှုံး]]</f>
        <v>19200</v>
      </c>
      <c r="Y669" s="12"/>
      <c r="Z669" s="12"/>
      <c r="AA669" s="12"/>
      <c r="AB669" s="9"/>
      <c r="AC669" s="12"/>
      <c r="AD669" s="9"/>
      <c r="AE669" s="12"/>
      <c r="AF66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669" s="24"/>
      <c r="AH669" s="266">
        <f>Table4[[#This Row],[Date]]</f>
        <v>46064</v>
      </c>
      <c r="AI669" s="264" t="str">
        <f t="shared" si="120"/>
        <v>Feb</v>
      </c>
      <c r="AJ669" s="264" t="str">
        <f t="shared" si="121"/>
        <v>2026</v>
      </c>
      <c r="AK669" s="270" t="str">
        <f>Table4[[#This Row],[ကုန်သည်အမည်]]</f>
        <v>ဒေါ်တင်တင်အေး</v>
      </c>
      <c r="AL669" s="270" t="str">
        <f>Table4[[#This Row],[Township]]</f>
        <v>Maw La Myaing</v>
      </c>
      <c r="AM669" s="271" t="str">
        <f>Table4[[#This Row],[WholeSales]]</f>
        <v>Van Sales</v>
      </c>
      <c r="AN669" s="272" t="str">
        <f>Table4[[#This Row],[Particular]]</f>
        <v>ကုန်ရောင်း(လက်ငင်း)</v>
      </c>
      <c r="AO669" s="273" t="str">
        <f>Table4[[#This Row],[StockName]]</f>
        <v>ဒဂုံမန်ကျည်း ကော်ဘူး (1 Liter)</v>
      </c>
      <c r="AP669" s="268">
        <f>Table4[[#This Row],[Parking]]</f>
        <v>1</v>
      </c>
      <c r="AQ669" s="268">
        <f>Table4[[#This Row],[SalesBot]]</f>
        <v>12</v>
      </c>
      <c r="AR669" s="268">
        <f>Table4[[#This Row],[Liter]]</f>
        <v>12</v>
      </c>
    </row>
    <row r="670" spans="1:44" s="16" customFormat="1" hidden="1" x14ac:dyDescent="0.5">
      <c r="A670" s="3">
        <f t="shared" si="126"/>
        <v>2026</v>
      </c>
      <c r="B670" s="8">
        <f t="shared" si="127"/>
        <v>2</v>
      </c>
      <c r="C670" s="6">
        <v>46064</v>
      </c>
      <c r="D670" s="15">
        <f t="shared" ca="1" si="128"/>
        <v>46097</v>
      </c>
      <c r="E670" s="15" t="str">
        <f t="shared" ca="1" si="129"/>
        <v>1-Months</v>
      </c>
      <c r="F670" s="8" t="str">
        <f>VLOOKUP(N670,Stock[#Data],5,FALSE)</f>
        <v>BE</v>
      </c>
      <c r="G670" s="82" t="s">
        <v>1367</v>
      </c>
      <c r="H670" s="15" t="s">
        <v>439</v>
      </c>
      <c r="I670" s="7" t="s">
        <v>1368</v>
      </c>
      <c r="J670" s="8" t="str">
        <f>VLOOKUP(I670,Customers[#Data],2,FALSE)</f>
        <v>ရွှေလှိုင်ဘွား</v>
      </c>
      <c r="K670" s="15" t="str">
        <f>VLOOKUP(I670,Customers[#Data],4,FALSE)</f>
        <v>Maw La Myaing</v>
      </c>
      <c r="L670" s="15" t="str">
        <f>VLOOKUP(I670,Customers[#Data],5,FALSE)</f>
        <v>Van Sales</v>
      </c>
      <c r="M670" s="7" t="s">
        <v>6</v>
      </c>
      <c r="N670" s="7" t="s">
        <v>522</v>
      </c>
      <c r="O670" s="14" t="str">
        <f>VLOOKUP(N670,Stock[#Data],2,FALSE)</f>
        <v>ဒဂုံမန်ကျည်း ကော်ဘူး (1 Liter)</v>
      </c>
      <c r="P670" s="44">
        <f>VLOOKUP(N670,Stock[#Data],3,FALSE)</f>
        <v>1</v>
      </c>
      <c r="Q670" s="3">
        <f>VLOOKUP(N670,Stock[#Data],4,FALSE)</f>
        <v>12</v>
      </c>
      <c r="R670" s="11"/>
      <c r="S670" s="45">
        <f>IFERROR(Table4[[#This Row],[Bottle]]/Table4[[#This Row],[ပါဝင်မှု]]+Table4[[#This Row],[SalesPK]],0)</f>
        <v>1</v>
      </c>
      <c r="T670" s="12">
        <v>1</v>
      </c>
      <c r="U670" s="10">
        <f>Table4[[#This Row],[ပါဝင်မှု]]*Table4[[#This Row],[SalesPK]]+Table4[[#This Row],[Bottle]]</f>
        <v>12</v>
      </c>
      <c r="V670" s="10">
        <f>Table4[[#This Row],[SalesBot]]*Table4[[#This Row],[ML]]</f>
        <v>12</v>
      </c>
      <c r="W670" s="1">
        <f>VLOOKUP(N670,Stock[#Data],6,FALSE)</f>
        <v>1600</v>
      </c>
      <c r="X670" s="8">
        <f>+Table4[[#This Row],[SalesBot]]*Table4[[#This Row],[နှုံး]]</f>
        <v>19200</v>
      </c>
      <c r="Y670" s="12"/>
      <c r="Z670" s="12"/>
      <c r="AA670" s="12"/>
      <c r="AB670" s="9"/>
      <c r="AC670" s="12"/>
      <c r="AD670" s="9"/>
      <c r="AE670" s="12"/>
      <c r="AF67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670" s="24"/>
      <c r="AH670" s="266">
        <f>Table4[[#This Row],[Date]]</f>
        <v>46064</v>
      </c>
      <c r="AI670" s="264" t="str">
        <f t="shared" si="120"/>
        <v>Feb</v>
      </c>
      <c r="AJ670" s="264" t="str">
        <f t="shared" si="121"/>
        <v>2026</v>
      </c>
      <c r="AK670" s="270" t="str">
        <f>Table4[[#This Row],[ကုန်သည်အမည်]]</f>
        <v>ရွှေလှိုင်ဘွား</v>
      </c>
      <c r="AL670" s="270" t="str">
        <f>Table4[[#This Row],[Township]]</f>
        <v>Maw La Myaing</v>
      </c>
      <c r="AM670" s="271" t="str">
        <f>Table4[[#This Row],[WholeSales]]</f>
        <v>Van Sales</v>
      </c>
      <c r="AN670" s="272" t="str">
        <f>Table4[[#This Row],[Particular]]</f>
        <v>ကုန်ရောင်း(လက်ငင်း)</v>
      </c>
      <c r="AO670" s="273" t="str">
        <f>Table4[[#This Row],[StockName]]</f>
        <v>ဒဂုံမန်ကျည်း ကော်ဘူး (1 Liter)</v>
      </c>
      <c r="AP670" s="268">
        <f>Table4[[#This Row],[Parking]]</f>
        <v>1</v>
      </c>
      <c r="AQ670" s="268">
        <f>Table4[[#This Row],[SalesBot]]</f>
        <v>12</v>
      </c>
      <c r="AR670" s="268">
        <f>Table4[[#This Row],[Liter]]</f>
        <v>12</v>
      </c>
    </row>
    <row r="671" spans="1:44" s="16" customFormat="1" hidden="1" x14ac:dyDescent="0.5">
      <c r="A671" s="3">
        <f t="shared" si="126"/>
        <v>2026</v>
      </c>
      <c r="B671" s="8">
        <f t="shared" si="127"/>
        <v>2</v>
      </c>
      <c r="C671" s="6">
        <v>46064</v>
      </c>
      <c r="D671" s="15">
        <f t="shared" ca="1" si="128"/>
        <v>46097</v>
      </c>
      <c r="E671" s="15" t="str">
        <f t="shared" ca="1" si="129"/>
        <v>1-Months</v>
      </c>
      <c r="F671" s="8" t="str">
        <f>VLOOKUP(N671,Stock[#Data],5,FALSE)</f>
        <v>BE</v>
      </c>
      <c r="G671" s="82" t="s">
        <v>1372</v>
      </c>
      <c r="H671" s="15" t="s">
        <v>439</v>
      </c>
      <c r="I671" s="7" t="s">
        <v>1370</v>
      </c>
      <c r="J671" s="8" t="str">
        <f>VLOOKUP(I671,Customers[#Data],2,FALSE)</f>
        <v>ဒေါ်မီး</v>
      </c>
      <c r="K671" s="15" t="str">
        <f>VLOOKUP(I671,Customers[#Data],4,FALSE)</f>
        <v>Maw La Myaing</v>
      </c>
      <c r="L671" s="15" t="str">
        <f>VLOOKUP(I671,Customers[#Data],5,FALSE)</f>
        <v>Van Sales</v>
      </c>
      <c r="M671" s="7" t="s">
        <v>6</v>
      </c>
      <c r="N671" s="7" t="s">
        <v>526</v>
      </c>
      <c r="O671" s="14" t="str">
        <f>VLOOKUP(N671,Stock[#Data],2,FALSE)</f>
        <v>ဒဂုံနာနတ်ဝိုင်</v>
      </c>
      <c r="P671" s="44">
        <f>VLOOKUP(N671,Stock[#Data],3,FALSE)</f>
        <v>0.64</v>
      </c>
      <c r="Q671" s="3">
        <f>VLOOKUP(N671,Stock[#Data],4,FALSE)</f>
        <v>14</v>
      </c>
      <c r="R671" s="11"/>
      <c r="S671" s="45">
        <f>IFERROR(Table4[[#This Row],[Bottle]]/Table4[[#This Row],[ပါဝင်မှု]]+Table4[[#This Row],[SalesPK]],0)</f>
        <v>1</v>
      </c>
      <c r="T671" s="12">
        <v>1</v>
      </c>
      <c r="U671" s="10">
        <f>Table4[[#This Row],[ပါဝင်မှု]]*Table4[[#This Row],[SalesPK]]+Table4[[#This Row],[Bottle]]</f>
        <v>14</v>
      </c>
      <c r="V671" s="10">
        <f>Table4[[#This Row],[SalesBot]]*Table4[[#This Row],[ML]]</f>
        <v>8.9600000000000009</v>
      </c>
      <c r="W671" s="1">
        <f>VLOOKUP(N671,Stock[#Data],6,FALSE)</f>
        <v>1350</v>
      </c>
      <c r="X671" s="8">
        <f>+Table4[[#This Row],[SalesBot]]*Table4[[#This Row],[နှုံး]]</f>
        <v>18900</v>
      </c>
      <c r="Y671" s="12"/>
      <c r="Z671" s="12"/>
      <c r="AA671" s="12"/>
      <c r="AB671" s="9"/>
      <c r="AC671" s="12"/>
      <c r="AD671" s="9"/>
      <c r="AE671" s="12"/>
      <c r="AF67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</v>
      </c>
      <c r="AG671" s="24"/>
      <c r="AH671" s="266">
        <f>Table4[[#This Row],[Date]]</f>
        <v>46064</v>
      </c>
      <c r="AI671" s="264" t="str">
        <f t="shared" si="120"/>
        <v>Feb</v>
      </c>
      <c r="AJ671" s="264" t="str">
        <f t="shared" si="121"/>
        <v>2026</v>
      </c>
      <c r="AK671" s="270" t="str">
        <f>Table4[[#This Row],[ကုန်သည်အမည်]]</f>
        <v>ဒေါ်မီး</v>
      </c>
      <c r="AL671" s="270" t="str">
        <f>Table4[[#This Row],[Township]]</f>
        <v>Maw La Myaing</v>
      </c>
      <c r="AM671" s="271" t="str">
        <f>Table4[[#This Row],[WholeSales]]</f>
        <v>Van Sales</v>
      </c>
      <c r="AN671" s="272" t="str">
        <f>Table4[[#This Row],[Particular]]</f>
        <v>ကုန်ရောင်း(လက်ငင်း)</v>
      </c>
      <c r="AO671" s="273" t="str">
        <f>Table4[[#This Row],[StockName]]</f>
        <v>ဒဂုံနာနတ်ဝိုင်</v>
      </c>
      <c r="AP671" s="268">
        <f>Table4[[#This Row],[Parking]]</f>
        <v>1</v>
      </c>
      <c r="AQ671" s="268">
        <f>Table4[[#This Row],[SalesBot]]</f>
        <v>14</v>
      </c>
      <c r="AR671" s="268">
        <f>Table4[[#This Row],[Liter]]</f>
        <v>8.9600000000000009</v>
      </c>
    </row>
    <row r="672" spans="1:44" s="16" customFormat="1" hidden="1" x14ac:dyDescent="0.5">
      <c r="A672" s="3">
        <f t="shared" si="126"/>
        <v>2026</v>
      </c>
      <c r="B672" s="8">
        <f t="shared" si="127"/>
        <v>2</v>
      </c>
      <c r="C672" s="6">
        <v>46065</v>
      </c>
      <c r="D672" s="15">
        <f t="shared" ca="1" si="128"/>
        <v>46097</v>
      </c>
      <c r="E672" s="15" t="str">
        <f t="shared" ca="1" si="129"/>
        <v>1-Months</v>
      </c>
      <c r="F672" s="8" t="str">
        <f>VLOOKUP(N672,Stock[#Data],5,FALSE)</f>
        <v>BE</v>
      </c>
      <c r="G672" s="82" t="s">
        <v>1373</v>
      </c>
      <c r="H672" s="15"/>
      <c r="I672" s="7" t="s">
        <v>545</v>
      </c>
      <c r="J672" s="8" t="str">
        <f>VLOOKUP(I672,Customers[#Data],2,FALSE)</f>
        <v>ကိုအောင်နိုင်ဦး</v>
      </c>
      <c r="K672" s="15" t="str">
        <f>VLOOKUP(I672,Customers[#Data],4,FALSE)</f>
        <v>Mudon</v>
      </c>
      <c r="L672" s="15" t="str">
        <f>VLOOKUP(I672,Customers[#Data],5,FALSE)</f>
        <v>SemiWholeSales</v>
      </c>
      <c r="M672" s="7" t="s">
        <v>6</v>
      </c>
      <c r="N672" s="7" t="s">
        <v>520</v>
      </c>
      <c r="O672" s="14" t="str">
        <f>VLOOKUP(N672,Stock[#Data],2,FALSE)</f>
        <v>ဇေယျဝတီ  Red(ပု)</v>
      </c>
      <c r="P672" s="44">
        <f>VLOOKUP(N672,Stock[#Data],3,FALSE)</f>
        <v>0.64</v>
      </c>
      <c r="Q672" s="3">
        <f>VLOOKUP(N672,Stock[#Data],4,FALSE)</f>
        <v>14</v>
      </c>
      <c r="R672" s="11"/>
      <c r="S672" s="45">
        <f>IFERROR(Table4[[#This Row],[Bottle]]/Table4[[#This Row],[ပါဝင်မှု]]+Table4[[#This Row],[SalesPK]],0)</f>
        <v>100</v>
      </c>
      <c r="T672" s="12">
        <v>100</v>
      </c>
      <c r="U672" s="10">
        <f>Table4[[#This Row],[ပါဝင်မှု]]*Table4[[#This Row],[SalesPK]]+Table4[[#This Row],[Bottle]]</f>
        <v>1400</v>
      </c>
      <c r="V672" s="10">
        <f>Table4[[#This Row],[SalesBot]]*Table4[[#This Row],[ML]]</f>
        <v>896</v>
      </c>
      <c r="W672" s="1">
        <f>VLOOKUP(N672,Stock[#Data],6,FALSE)</f>
        <v>1800</v>
      </c>
      <c r="X672" s="8">
        <f>+Table4[[#This Row],[SalesBot]]*Table4[[#This Row],[နှုံး]]</f>
        <v>2520000</v>
      </c>
      <c r="Y672" s="12"/>
      <c r="Z672" s="12"/>
      <c r="AA672" s="12"/>
      <c r="AB672" s="9"/>
      <c r="AC672" s="12"/>
      <c r="AD672" s="9"/>
      <c r="AE672" s="12"/>
      <c r="AF67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2520000</v>
      </c>
      <c r="AG672" s="24"/>
      <c r="AH672" s="266">
        <f>Table4[[#This Row],[Date]]</f>
        <v>46065</v>
      </c>
      <c r="AI672" s="264" t="str">
        <f t="shared" si="120"/>
        <v>Feb</v>
      </c>
      <c r="AJ672" s="264" t="str">
        <f t="shared" si="121"/>
        <v>2026</v>
      </c>
      <c r="AK672" s="270" t="str">
        <f>Table4[[#This Row],[ကုန်သည်အမည်]]</f>
        <v>ကိုအောင်နိုင်ဦး</v>
      </c>
      <c r="AL672" s="270" t="str">
        <f>Table4[[#This Row],[Township]]</f>
        <v>Mudon</v>
      </c>
      <c r="AM672" s="271" t="str">
        <f>Table4[[#This Row],[WholeSales]]</f>
        <v>SemiWholeSales</v>
      </c>
      <c r="AN672" s="272" t="str">
        <f>Table4[[#This Row],[Particular]]</f>
        <v>ကုန်ရောင်း(လက်ငင်း)</v>
      </c>
      <c r="AO672" s="273" t="str">
        <f>Table4[[#This Row],[StockName]]</f>
        <v>ဇေယျဝတီ  Red(ပု)</v>
      </c>
      <c r="AP672" s="268">
        <f>Table4[[#This Row],[Parking]]</f>
        <v>100</v>
      </c>
      <c r="AQ672" s="268">
        <f>Table4[[#This Row],[SalesBot]]</f>
        <v>1400</v>
      </c>
      <c r="AR672" s="268">
        <f>Table4[[#This Row],[Liter]]</f>
        <v>896</v>
      </c>
    </row>
    <row r="673" spans="1:44" s="16" customFormat="1" hidden="1" x14ac:dyDescent="0.5">
      <c r="A673" s="3">
        <f t="shared" si="126"/>
        <v>2026</v>
      </c>
      <c r="B673" s="8">
        <f t="shared" si="127"/>
        <v>2</v>
      </c>
      <c r="C673" s="6">
        <v>46065</v>
      </c>
      <c r="D673" s="15">
        <f t="shared" ca="1" si="128"/>
        <v>46097</v>
      </c>
      <c r="E673" s="15" t="str">
        <f t="shared" ca="1" si="129"/>
        <v>1-Months</v>
      </c>
      <c r="F673" s="8" t="str">
        <f>VLOOKUP(N673,Stock[#Data],5,FALSE)</f>
        <v>BE</v>
      </c>
      <c r="G673" s="82" t="s">
        <v>1374</v>
      </c>
      <c r="H673" s="15"/>
      <c r="I673" s="7" t="s">
        <v>77</v>
      </c>
      <c r="J673" s="8" t="str">
        <f>VLOOKUP(I673,Customers[#Data],2,FALSE)</f>
        <v>KP</v>
      </c>
      <c r="K673" s="15" t="str">
        <f>VLOOKUP(I673,Customers[#Data],4,FALSE)</f>
        <v>Maw La Myaing</v>
      </c>
      <c r="L673" s="15" t="str">
        <f>VLOOKUP(I673,Customers[#Data],5,FALSE)</f>
        <v>SemiWholeSales</v>
      </c>
      <c r="M673" s="7" t="s">
        <v>6</v>
      </c>
      <c r="N673" s="7" t="s">
        <v>518</v>
      </c>
      <c r="O673" s="14" t="str">
        <f>VLOOKUP(N673,Stock[#Data],2,FALSE)</f>
        <v>"ဇေ" ကော်ဘူး (1 Liter)</v>
      </c>
      <c r="P673" s="44">
        <f>VLOOKUP(N673,Stock[#Data],3,FALSE)</f>
        <v>1</v>
      </c>
      <c r="Q673" s="3">
        <f>VLOOKUP(N673,Stock[#Data],4,FALSE)</f>
        <v>12</v>
      </c>
      <c r="R673" s="11"/>
      <c r="S673" s="45">
        <f>IFERROR(Table4[[#This Row],[Bottle]]/Table4[[#This Row],[ပါဝင်မှု]]+Table4[[#This Row],[SalesPK]],0)</f>
        <v>150</v>
      </c>
      <c r="T673" s="12">
        <v>150</v>
      </c>
      <c r="U673" s="10">
        <f>Table4[[#This Row],[ပါဝင်မှု]]*Table4[[#This Row],[SalesPK]]+Table4[[#This Row],[Bottle]]</f>
        <v>1800</v>
      </c>
      <c r="V673" s="10">
        <f>Table4[[#This Row],[SalesBot]]*Table4[[#This Row],[ML]]</f>
        <v>1800</v>
      </c>
      <c r="W673" s="1">
        <f>VLOOKUP(N673,Stock[#Data],6,FALSE)</f>
        <v>1675</v>
      </c>
      <c r="X673" s="8">
        <f>+Table4[[#This Row],[SalesBot]]*Table4[[#This Row],[နှုံး]]</f>
        <v>3015000</v>
      </c>
      <c r="Y673" s="12"/>
      <c r="Z673" s="12"/>
      <c r="AA673" s="12"/>
      <c r="AB673" s="9"/>
      <c r="AC673" s="12"/>
      <c r="AD673" s="9"/>
      <c r="AE673" s="12"/>
      <c r="AF67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3015000</v>
      </c>
      <c r="AG673" s="24"/>
      <c r="AH673" s="266">
        <f>Table4[[#This Row],[Date]]</f>
        <v>46065</v>
      </c>
      <c r="AI673" s="264" t="str">
        <f t="shared" si="120"/>
        <v>Feb</v>
      </c>
      <c r="AJ673" s="264" t="str">
        <f t="shared" si="121"/>
        <v>2026</v>
      </c>
      <c r="AK673" s="270" t="str">
        <f>Table4[[#This Row],[ကုန်သည်အမည်]]</f>
        <v>KP</v>
      </c>
      <c r="AL673" s="270" t="str">
        <f>Table4[[#This Row],[Township]]</f>
        <v>Maw La Myaing</v>
      </c>
      <c r="AM673" s="271" t="str">
        <f>Table4[[#This Row],[WholeSales]]</f>
        <v>SemiWholeSales</v>
      </c>
      <c r="AN673" s="272" t="str">
        <f>Table4[[#This Row],[Particular]]</f>
        <v>ကုန်ရောင်း(လက်ငင်း)</v>
      </c>
      <c r="AO673" s="273" t="str">
        <f>Table4[[#This Row],[StockName]]</f>
        <v>"ဇေ" ကော်ဘူး (1 Liter)</v>
      </c>
      <c r="AP673" s="268">
        <f>Table4[[#This Row],[Parking]]</f>
        <v>150</v>
      </c>
      <c r="AQ673" s="268">
        <f>Table4[[#This Row],[SalesBot]]</f>
        <v>1800</v>
      </c>
      <c r="AR673" s="268">
        <f>Table4[[#This Row],[Liter]]</f>
        <v>1800</v>
      </c>
    </row>
    <row r="674" spans="1:44" s="16" customFormat="1" hidden="1" x14ac:dyDescent="0.5">
      <c r="A674" s="3">
        <f t="shared" si="126"/>
        <v>2026</v>
      </c>
      <c r="B674" s="8">
        <f t="shared" si="127"/>
        <v>2</v>
      </c>
      <c r="C674" s="6">
        <v>46065</v>
      </c>
      <c r="D674" s="15">
        <f t="shared" ca="1" si="128"/>
        <v>46097</v>
      </c>
      <c r="E674" s="15" t="str">
        <f t="shared" ca="1" si="129"/>
        <v>1-Months</v>
      </c>
      <c r="F674" s="8" t="str">
        <f>VLOOKUP(N674,Stock[#Data],5,FALSE)</f>
        <v>BE</v>
      </c>
      <c r="G674" s="82" t="s">
        <v>1375</v>
      </c>
      <c r="H674" s="15"/>
      <c r="I674" s="7" t="s">
        <v>145</v>
      </c>
      <c r="J674" s="8" t="str">
        <f>VLOOKUP(I674,Customers[#Data],2,FALSE)</f>
        <v>ကိုအာနိုး</v>
      </c>
      <c r="K674" s="15" t="str">
        <f>VLOOKUP(I674,Customers[#Data],4,FALSE)</f>
        <v>yaY</v>
      </c>
      <c r="L674" s="15" t="str">
        <f>VLOOKUP(I674,Customers[#Data],5,FALSE)</f>
        <v>Van Sales</v>
      </c>
      <c r="M674" s="7" t="s">
        <v>6</v>
      </c>
      <c r="N674" s="7" t="s">
        <v>517</v>
      </c>
      <c r="O674" s="14" t="str">
        <f>VLOOKUP(N674,Stock[#Data],2,FALSE)</f>
        <v>ဇေယျဝတီ Red (1 Liter) 30%</v>
      </c>
      <c r="P674" s="44">
        <f>VLOOKUP(N674,Stock[#Data],3,FALSE)</f>
        <v>1</v>
      </c>
      <c r="Q674" s="3">
        <f>VLOOKUP(N674,Stock[#Data],4,FALSE)</f>
        <v>12</v>
      </c>
      <c r="R674" s="11"/>
      <c r="S674" s="45">
        <f>IFERROR(Table4[[#This Row],[Bottle]]/Table4[[#This Row],[ပါဝင်မှု]]+Table4[[#This Row],[SalesPK]],0)</f>
        <v>30</v>
      </c>
      <c r="T674" s="12">
        <v>30</v>
      </c>
      <c r="U674" s="10">
        <f>Table4[[#This Row],[ပါဝင်မှု]]*Table4[[#This Row],[SalesPK]]+Table4[[#This Row],[Bottle]]</f>
        <v>360</v>
      </c>
      <c r="V674" s="10">
        <f>Table4[[#This Row],[SalesBot]]*Table4[[#This Row],[ML]]</f>
        <v>360</v>
      </c>
      <c r="W674" s="1">
        <f>VLOOKUP(N674,Stock[#Data],6,FALSE)</f>
        <v>1710</v>
      </c>
      <c r="X674" s="8">
        <f>+Table4[[#This Row],[SalesBot]]*Table4[[#This Row],[နှုံး]]</f>
        <v>615600</v>
      </c>
      <c r="Y674" s="12"/>
      <c r="Z674" s="12"/>
      <c r="AA674" s="12"/>
      <c r="AB674" s="9"/>
      <c r="AC674" s="12"/>
      <c r="AD674" s="9"/>
      <c r="AE674" s="12"/>
      <c r="AF67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615600</v>
      </c>
      <c r="AG674" s="24"/>
      <c r="AH674" s="266">
        <f>Table4[[#This Row],[Date]]</f>
        <v>46065</v>
      </c>
      <c r="AI674" s="264" t="str">
        <f t="shared" si="120"/>
        <v>Feb</v>
      </c>
      <c r="AJ674" s="264" t="str">
        <f t="shared" si="121"/>
        <v>2026</v>
      </c>
      <c r="AK674" s="270" t="str">
        <f>Table4[[#This Row],[ကုန်သည်အမည်]]</f>
        <v>ကိုအာနိုး</v>
      </c>
      <c r="AL674" s="270" t="str">
        <f>Table4[[#This Row],[Township]]</f>
        <v>yaY</v>
      </c>
      <c r="AM674" s="271" t="str">
        <f>Table4[[#This Row],[WholeSales]]</f>
        <v>Van Sales</v>
      </c>
      <c r="AN674" s="272" t="str">
        <f>Table4[[#This Row],[Particular]]</f>
        <v>ကုန်ရောင်း(လက်ငင်း)</v>
      </c>
      <c r="AO674" s="273" t="str">
        <f>Table4[[#This Row],[StockName]]</f>
        <v>ဇေယျဝတီ Red (1 Liter) 30%</v>
      </c>
      <c r="AP674" s="268">
        <f>Table4[[#This Row],[Parking]]</f>
        <v>30</v>
      </c>
      <c r="AQ674" s="268">
        <f>Table4[[#This Row],[SalesBot]]</f>
        <v>360</v>
      </c>
      <c r="AR674" s="268">
        <f>Table4[[#This Row],[Liter]]</f>
        <v>360</v>
      </c>
    </row>
    <row r="675" spans="1:44" s="16" customFormat="1" hidden="1" x14ac:dyDescent="0.5">
      <c r="A675" s="3">
        <f t="shared" si="126"/>
        <v>2026</v>
      </c>
      <c r="B675" s="8">
        <f t="shared" si="127"/>
        <v>2</v>
      </c>
      <c r="C675" s="6">
        <v>46065</v>
      </c>
      <c r="D675" s="15">
        <f t="shared" ca="1" si="128"/>
        <v>46097</v>
      </c>
      <c r="E675" s="15" t="str">
        <f t="shared" ca="1" si="129"/>
        <v>1-Months</v>
      </c>
      <c r="F675" s="8" t="str">
        <f>VLOOKUP(N675,Stock[#Data],5,FALSE)</f>
        <v>BE</v>
      </c>
      <c r="G675" s="82" t="s">
        <v>1376</v>
      </c>
      <c r="H675" s="15" t="s">
        <v>439</v>
      </c>
      <c r="I675" s="7" t="s">
        <v>1377</v>
      </c>
      <c r="J675" s="8" t="str">
        <f>VLOOKUP(I675,Customers[#Data],2,FALSE)</f>
        <v>ရွှေနန်းထက်</v>
      </c>
      <c r="K675" s="15" t="str">
        <f>VLOOKUP(I675,Customers[#Data],4,FALSE)</f>
        <v>Maw La Myaing</v>
      </c>
      <c r="L675" s="15" t="str">
        <f>VLOOKUP(I675,Customers[#Data],5,FALSE)</f>
        <v>Van Sales</v>
      </c>
      <c r="M675" s="7" t="s">
        <v>6</v>
      </c>
      <c r="N675" s="7" t="s">
        <v>518</v>
      </c>
      <c r="O675" s="14" t="str">
        <f>VLOOKUP(N675,Stock[#Data],2,FALSE)</f>
        <v>"ဇေ" ကော်ဘူး (1 Liter)</v>
      </c>
      <c r="P675" s="44">
        <f>VLOOKUP(N675,Stock[#Data],3,FALSE)</f>
        <v>1</v>
      </c>
      <c r="Q675" s="3">
        <f>VLOOKUP(N675,Stock[#Data],4,FALSE)</f>
        <v>12</v>
      </c>
      <c r="R675" s="11"/>
      <c r="S675" s="45">
        <f>IFERROR(Table4[[#This Row],[Bottle]]/Table4[[#This Row],[ပါဝင်မှု]]+Table4[[#This Row],[SalesPK]],0)</f>
        <v>7</v>
      </c>
      <c r="T675" s="12">
        <v>7</v>
      </c>
      <c r="U675" s="10">
        <f>Table4[[#This Row],[ပါဝင်မှု]]*Table4[[#This Row],[SalesPK]]+Table4[[#This Row],[Bottle]]</f>
        <v>84</v>
      </c>
      <c r="V675" s="10">
        <f>Table4[[#This Row],[SalesBot]]*Table4[[#This Row],[ML]]</f>
        <v>84</v>
      </c>
      <c r="W675" s="1">
        <f>VLOOKUP(N675,Stock[#Data],6,FALSE)</f>
        <v>1675</v>
      </c>
      <c r="X675" s="8">
        <f>+Table4[[#This Row],[SalesBot]]*Table4[[#This Row],[နှုံး]]</f>
        <v>140700</v>
      </c>
      <c r="Y675" s="12"/>
      <c r="Z675" s="12"/>
      <c r="AA675" s="12"/>
      <c r="AB675" s="9"/>
      <c r="AC675" s="12"/>
      <c r="AD675" s="9"/>
      <c r="AE675" s="12"/>
      <c r="AF67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140700</v>
      </c>
      <c r="AG675" s="24"/>
      <c r="AH675" s="266">
        <f>Table4[[#This Row],[Date]]</f>
        <v>46065</v>
      </c>
      <c r="AI675" s="264" t="str">
        <f t="shared" si="120"/>
        <v>Feb</v>
      </c>
      <c r="AJ675" s="264" t="str">
        <f t="shared" si="121"/>
        <v>2026</v>
      </c>
      <c r="AK675" s="270" t="str">
        <f>Table4[[#This Row],[ကုန်သည်အမည်]]</f>
        <v>ရွှေနန်းထက်</v>
      </c>
      <c r="AL675" s="270" t="str">
        <f>Table4[[#This Row],[Township]]</f>
        <v>Maw La Myaing</v>
      </c>
      <c r="AM675" s="271" t="str">
        <f>Table4[[#This Row],[WholeSales]]</f>
        <v>Van Sales</v>
      </c>
      <c r="AN675" s="272" t="str">
        <f>Table4[[#This Row],[Particular]]</f>
        <v>ကုန်ရောင်း(လက်ငင်း)</v>
      </c>
      <c r="AO675" s="273" t="str">
        <f>Table4[[#This Row],[StockName]]</f>
        <v>"ဇေ" ကော်ဘူး (1 Liter)</v>
      </c>
      <c r="AP675" s="268">
        <f>Table4[[#This Row],[Parking]]</f>
        <v>7</v>
      </c>
      <c r="AQ675" s="268">
        <f>Table4[[#This Row],[SalesBot]]</f>
        <v>84</v>
      </c>
      <c r="AR675" s="268">
        <f>Table4[[#This Row],[Liter]]</f>
        <v>84</v>
      </c>
    </row>
    <row r="676" spans="1:44" s="16" customFormat="1" hidden="1" x14ac:dyDescent="0.5">
      <c r="A676" s="3">
        <f t="shared" si="126"/>
        <v>2026</v>
      </c>
      <c r="B676" s="8">
        <f t="shared" si="127"/>
        <v>2</v>
      </c>
      <c r="C676" s="6">
        <v>46065</v>
      </c>
      <c r="D676" s="15">
        <f t="shared" ca="1" si="128"/>
        <v>46097</v>
      </c>
      <c r="E676" s="15" t="str">
        <f t="shared" ca="1" si="129"/>
        <v>1-Months</v>
      </c>
      <c r="F676" s="8" t="str">
        <f>VLOOKUP(N676,Stock[#Data],5,FALSE)</f>
        <v>BE</v>
      </c>
      <c r="G676" s="82" t="s">
        <v>1380</v>
      </c>
      <c r="H676" s="15" t="s">
        <v>439</v>
      </c>
      <c r="I676" s="7" t="s">
        <v>1381</v>
      </c>
      <c r="J676" s="8" t="str">
        <f>VLOOKUP(I676,Customers[#Data],2,FALSE)</f>
        <v>ရွှေနဒီ</v>
      </c>
      <c r="K676" s="15" t="str">
        <f>VLOOKUP(I676,Customers[#Data],4,FALSE)</f>
        <v>Maw La Myaing</v>
      </c>
      <c r="L676" s="15" t="str">
        <f>VLOOKUP(I676,Customers[#Data],5,FALSE)</f>
        <v>Van Sales</v>
      </c>
      <c r="M676" s="7" t="s">
        <v>6</v>
      </c>
      <c r="N676" s="7" t="s">
        <v>518</v>
      </c>
      <c r="O676" s="14" t="str">
        <f>VLOOKUP(N676,Stock[#Data],2,FALSE)</f>
        <v>"ဇေ" ကော်ဘူး (1 Liter)</v>
      </c>
      <c r="P676" s="44">
        <f>VLOOKUP(N676,Stock[#Data],3,FALSE)</f>
        <v>1</v>
      </c>
      <c r="Q676" s="3">
        <f>VLOOKUP(N676,Stock[#Data],4,FALSE)</f>
        <v>12</v>
      </c>
      <c r="R676" s="11"/>
      <c r="S676" s="45">
        <f>IFERROR(Table4[[#This Row],[Bottle]]/Table4[[#This Row],[ပါဝင်မှု]]+Table4[[#This Row],[SalesPK]],0)</f>
        <v>8</v>
      </c>
      <c r="T676" s="12">
        <v>8</v>
      </c>
      <c r="U676" s="10">
        <f>Table4[[#This Row],[ပါဝင်မှု]]*Table4[[#This Row],[SalesPK]]+Table4[[#This Row],[Bottle]]</f>
        <v>96</v>
      </c>
      <c r="V676" s="10">
        <f>Table4[[#This Row],[SalesBot]]*Table4[[#This Row],[ML]]</f>
        <v>96</v>
      </c>
      <c r="W676" s="1">
        <f>VLOOKUP(N676,Stock[#Data],6,FALSE)</f>
        <v>1675</v>
      </c>
      <c r="X676" s="8">
        <f>+Table4[[#This Row],[SalesBot]]*Table4[[#This Row],[နှုံး]]</f>
        <v>160800</v>
      </c>
      <c r="Y676" s="12"/>
      <c r="Z676" s="12"/>
      <c r="AA676" s="12"/>
      <c r="AB676" s="9"/>
      <c r="AC676" s="12"/>
      <c r="AD676" s="9"/>
      <c r="AE676" s="12"/>
      <c r="AF67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160800</v>
      </c>
      <c r="AG676" s="24"/>
      <c r="AH676" s="266">
        <f>Table4[[#This Row],[Date]]</f>
        <v>46065</v>
      </c>
      <c r="AI676" s="264" t="str">
        <f t="shared" si="120"/>
        <v>Feb</v>
      </c>
      <c r="AJ676" s="264" t="str">
        <f t="shared" si="121"/>
        <v>2026</v>
      </c>
      <c r="AK676" s="270" t="str">
        <f>Table4[[#This Row],[ကုန်သည်အမည်]]</f>
        <v>ရွှေနဒီ</v>
      </c>
      <c r="AL676" s="270" t="str">
        <f>Table4[[#This Row],[Township]]</f>
        <v>Maw La Myaing</v>
      </c>
      <c r="AM676" s="271" t="str">
        <f>Table4[[#This Row],[WholeSales]]</f>
        <v>Van Sales</v>
      </c>
      <c r="AN676" s="272" t="str">
        <f>Table4[[#This Row],[Particular]]</f>
        <v>ကုန်ရောင်း(လက်ငင်း)</v>
      </c>
      <c r="AO676" s="273" t="str">
        <f>Table4[[#This Row],[StockName]]</f>
        <v>"ဇေ" ကော်ဘူး (1 Liter)</v>
      </c>
      <c r="AP676" s="268">
        <f>Table4[[#This Row],[Parking]]</f>
        <v>8</v>
      </c>
      <c r="AQ676" s="268">
        <f>Table4[[#This Row],[SalesBot]]</f>
        <v>96</v>
      </c>
      <c r="AR676" s="268">
        <f>Table4[[#This Row],[Liter]]</f>
        <v>96</v>
      </c>
    </row>
    <row r="677" spans="1:44" s="16" customFormat="1" hidden="1" x14ac:dyDescent="0.5">
      <c r="A677" s="3">
        <f t="shared" si="126"/>
        <v>2026</v>
      </c>
      <c r="B677" s="8">
        <f t="shared" si="127"/>
        <v>2</v>
      </c>
      <c r="C677" s="6">
        <v>46065</v>
      </c>
      <c r="D677" s="15">
        <f t="shared" ca="1" si="128"/>
        <v>46097</v>
      </c>
      <c r="E677" s="15" t="str">
        <f t="shared" ca="1" si="129"/>
        <v>1-Months</v>
      </c>
      <c r="F677" s="8" t="str">
        <f>VLOOKUP(N677,Stock[#Data],5,FALSE)</f>
        <v>BE</v>
      </c>
      <c r="G677" s="82" t="s">
        <v>1383</v>
      </c>
      <c r="H677" s="15" t="s">
        <v>439</v>
      </c>
      <c r="I677" s="7" t="s">
        <v>588</v>
      </c>
      <c r="J677" s="8" t="str">
        <f>VLOOKUP(I677,Customers[#Data],2,FALSE)</f>
        <v>ပြုံးပန်း‌ေ</v>
      </c>
      <c r="K677" s="15" t="str">
        <f>VLOOKUP(I677,Customers[#Data],4,FALSE)</f>
        <v>Maw La Myaing</v>
      </c>
      <c r="L677" s="15" t="str">
        <f>VLOOKUP(I677,Customers[#Data],5,FALSE)</f>
        <v>Van Sales</v>
      </c>
      <c r="M677" s="7" t="s">
        <v>6</v>
      </c>
      <c r="N677" s="7" t="s">
        <v>522</v>
      </c>
      <c r="O677" s="14" t="str">
        <f>VLOOKUP(N677,Stock[#Data],2,FALSE)</f>
        <v>ဒဂုံမန်ကျည်း ကော်ဘူး (1 Liter)</v>
      </c>
      <c r="P677" s="44">
        <f>VLOOKUP(N677,Stock[#Data],3,FALSE)</f>
        <v>1</v>
      </c>
      <c r="Q677" s="3">
        <f>VLOOKUP(N677,Stock[#Data],4,FALSE)</f>
        <v>12</v>
      </c>
      <c r="R677" s="11"/>
      <c r="S677" s="45">
        <f>IFERROR(Table4[[#This Row],[Bottle]]/Table4[[#This Row],[ပါဝင်မှု]]+Table4[[#This Row],[SalesPK]],0)</f>
        <v>3</v>
      </c>
      <c r="T677" s="12">
        <v>3</v>
      </c>
      <c r="U677" s="10">
        <f>Table4[[#This Row],[ပါဝင်မှု]]*Table4[[#This Row],[SalesPK]]+Table4[[#This Row],[Bottle]]</f>
        <v>36</v>
      </c>
      <c r="V677" s="10">
        <f>Table4[[#This Row],[SalesBot]]*Table4[[#This Row],[ML]]</f>
        <v>36</v>
      </c>
      <c r="W677" s="1">
        <f>VLOOKUP(N677,Stock[#Data],6,FALSE)</f>
        <v>1600</v>
      </c>
      <c r="X677" s="8">
        <f>+Table4[[#This Row],[SalesBot]]*Table4[[#This Row],[နှုံး]]</f>
        <v>57600</v>
      </c>
      <c r="Y677" s="12"/>
      <c r="Z677" s="12"/>
      <c r="AA677" s="12"/>
      <c r="AB677" s="9"/>
      <c r="AC677" s="12"/>
      <c r="AD677" s="9"/>
      <c r="AE677" s="12"/>
      <c r="AF67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57600</v>
      </c>
      <c r="AG677" s="24"/>
      <c r="AH677" s="266">
        <f>Table4[[#This Row],[Date]]</f>
        <v>46065</v>
      </c>
      <c r="AI677" s="264" t="str">
        <f t="shared" ref="AI677:AI740" si="130">TEXT(AH677,"mmm")</f>
        <v>Feb</v>
      </c>
      <c r="AJ677" s="264" t="str">
        <f t="shared" ref="AJ677:AJ740" si="131">TEXT(AH677,"yyyy")</f>
        <v>2026</v>
      </c>
      <c r="AK677" s="270" t="str">
        <f>Table4[[#This Row],[ကုန်သည်အမည်]]</f>
        <v>ပြုံးပန်း‌ေ</v>
      </c>
      <c r="AL677" s="270" t="str">
        <f>Table4[[#This Row],[Township]]</f>
        <v>Maw La Myaing</v>
      </c>
      <c r="AM677" s="271" t="str">
        <f>Table4[[#This Row],[WholeSales]]</f>
        <v>Van Sales</v>
      </c>
      <c r="AN677" s="272" t="str">
        <f>Table4[[#This Row],[Particular]]</f>
        <v>ကုန်ရောင်း(လက်ငင်း)</v>
      </c>
      <c r="AO677" s="273" t="str">
        <f>Table4[[#This Row],[StockName]]</f>
        <v>ဒဂုံမန်ကျည်း ကော်ဘူး (1 Liter)</v>
      </c>
      <c r="AP677" s="268">
        <f>Table4[[#This Row],[Parking]]</f>
        <v>3</v>
      </c>
      <c r="AQ677" s="268">
        <f>Table4[[#This Row],[SalesBot]]</f>
        <v>36</v>
      </c>
      <c r="AR677" s="268">
        <f>Table4[[#This Row],[Liter]]</f>
        <v>36</v>
      </c>
    </row>
    <row r="678" spans="1:44" s="16" customFormat="1" hidden="1" x14ac:dyDescent="0.5">
      <c r="A678" s="3">
        <f t="shared" si="126"/>
        <v>2026</v>
      </c>
      <c r="B678" s="8">
        <f t="shared" si="127"/>
        <v>2</v>
      </c>
      <c r="C678" s="6">
        <v>46065</v>
      </c>
      <c r="D678" s="15">
        <f t="shared" ca="1" si="128"/>
        <v>46097</v>
      </c>
      <c r="E678" s="15" t="str">
        <f t="shared" ca="1" si="129"/>
        <v>1-Months</v>
      </c>
      <c r="F678" s="8" t="str">
        <f>VLOOKUP(N678,Stock[#Data],5,FALSE)</f>
        <v>BE</v>
      </c>
      <c r="G678" s="82" t="s">
        <v>1387</v>
      </c>
      <c r="H678" s="15" t="s">
        <v>439</v>
      </c>
      <c r="I678" s="7" t="s">
        <v>1384</v>
      </c>
      <c r="J678" s="8" t="str">
        <f>VLOOKUP(I678,Customers[#Data],2,FALSE)</f>
        <v>မာလာမြို်င</v>
      </c>
      <c r="K678" s="15" t="str">
        <f>VLOOKUP(I678,Customers[#Data],4,FALSE)</f>
        <v>Maw La Myaing</v>
      </c>
      <c r="L678" s="15" t="str">
        <f>VLOOKUP(I678,Customers[#Data],5,FALSE)</f>
        <v>Van Sales</v>
      </c>
      <c r="M678" s="7" t="s">
        <v>6</v>
      </c>
      <c r="N678" s="7" t="s">
        <v>522</v>
      </c>
      <c r="O678" s="14" t="str">
        <f>VLOOKUP(N678,Stock[#Data],2,FALSE)</f>
        <v>ဒဂုံမန်ကျည်း ကော်ဘူး (1 Liter)</v>
      </c>
      <c r="P678" s="44">
        <f>VLOOKUP(N678,Stock[#Data],3,FALSE)</f>
        <v>1</v>
      </c>
      <c r="Q678" s="3">
        <f>VLOOKUP(N678,Stock[#Data],4,FALSE)</f>
        <v>12</v>
      </c>
      <c r="R678" s="11"/>
      <c r="S678" s="45">
        <f>IFERROR(Table4[[#This Row],[Bottle]]/Table4[[#This Row],[ပါဝင်မှု]]+Table4[[#This Row],[SalesPK]],0)</f>
        <v>1</v>
      </c>
      <c r="T678" s="12">
        <v>1</v>
      </c>
      <c r="U678" s="10">
        <f>Table4[[#This Row],[ပါဝင်မှု]]*Table4[[#This Row],[SalesPK]]+Table4[[#This Row],[Bottle]]</f>
        <v>12</v>
      </c>
      <c r="V678" s="10">
        <f>Table4[[#This Row],[SalesBot]]*Table4[[#This Row],[ML]]</f>
        <v>12</v>
      </c>
      <c r="W678" s="1">
        <f>VLOOKUP(N678,Stock[#Data],6,FALSE)</f>
        <v>1600</v>
      </c>
      <c r="X678" s="8">
        <f>+Table4[[#This Row],[SalesBot]]*Table4[[#This Row],[နှုံး]]</f>
        <v>19200</v>
      </c>
      <c r="Y678" s="12"/>
      <c r="Z678" s="12"/>
      <c r="AA678" s="12"/>
      <c r="AB678" s="9"/>
      <c r="AC678" s="12"/>
      <c r="AD678" s="9"/>
      <c r="AE678" s="12"/>
      <c r="AF67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678" s="24"/>
      <c r="AH678" s="266">
        <f>Table4[[#This Row],[Date]]</f>
        <v>46065</v>
      </c>
      <c r="AI678" s="264" t="str">
        <f t="shared" si="130"/>
        <v>Feb</v>
      </c>
      <c r="AJ678" s="264" t="str">
        <f t="shared" si="131"/>
        <v>2026</v>
      </c>
      <c r="AK678" s="270" t="str">
        <f>Table4[[#This Row],[ကုန်သည်အမည်]]</f>
        <v>မာလာမြို်င</v>
      </c>
      <c r="AL678" s="270" t="str">
        <f>Table4[[#This Row],[Township]]</f>
        <v>Maw La Myaing</v>
      </c>
      <c r="AM678" s="271" t="str">
        <f>Table4[[#This Row],[WholeSales]]</f>
        <v>Van Sales</v>
      </c>
      <c r="AN678" s="272" t="str">
        <f>Table4[[#This Row],[Particular]]</f>
        <v>ကုန်ရောင်း(လက်ငင်း)</v>
      </c>
      <c r="AO678" s="273" t="str">
        <f>Table4[[#This Row],[StockName]]</f>
        <v>ဒဂုံမန်ကျည်း ကော်ဘူး (1 Liter)</v>
      </c>
      <c r="AP678" s="268">
        <f>Table4[[#This Row],[Parking]]</f>
        <v>1</v>
      </c>
      <c r="AQ678" s="268">
        <f>Table4[[#This Row],[SalesBot]]</f>
        <v>12</v>
      </c>
      <c r="AR678" s="268">
        <f>Table4[[#This Row],[Liter]]</f>
        <v>12</v>
      </c>
    </row>
    <row r="679" spans="1:44" s="16" customFormat="1" hidden="1" x14ac:dyDescent="0.5">
      <c r="A679" s="3">
        <f t="shared" si="126"/>
        <v>2026</v>
      </c>
      <c r="B679" s="8">
        <f t="shared" si="127"/>
        <v>2</v>
      </c>
      <c r="C679" s="6">
        <v>46065</v>
      </c>
      <c r="D679" s="15">
        <f t="shared" ca="1" si="128"/>
        <v>46097</v>
      </c>
      <c r="E679" s="15" t="str">
        <f t="shared" ca="1" si="129"/>
        <v>1-Months</v>
      </c>
      <c r="F679" s="8" t="str">
        <f>VLOOKUP(N679,Stock[#Data],5,FALSE)</f>
        <v>BE</v>
      </c>
      <c r="G679" s="82" t="s">
        <v>1390</v>
      </c>
      <c r="H679" s="15" t="s">
        <v>439</v>
      </c>
      <c r="I679" s="7" t="s">
        <v>1388</v>
      </c>
      <c r="J679" s="8" t="str">
        <f>VLOOKUP(I679,Customers[#Data],2,FALSE)</f>
        <v>အောင်ကမ္ဘာ</v>
      </c>
      <c r="K679" s="15" t="str">
        <f>VLOOKUP(I679,Customers[#Data],4,FALSE)</f>
        <v>Maw La Myaing</v>
      </c>
      <c r="L679" s="15" t="str">
        <f>VLOOKUP(I679,Customers[#Data],5,FALSE)</f>
        <v>Van Sales</v>
      </c>
      <c r="M679" s="7" t="s">
        <v>6</v>
      </c>
      <c r="N679" s="7" t="s">
        <v>522</v>
      </c>
      <c r="O679" s="14" t="str">
        <f>VLOOKUP(N679,Stock[#Data],2,FALSE)</f>
        <v>ဒဂုံမန်ကျည်း ကော်ဘူး (1 Liter)</v>
      </c>
      <c r="P679" s="44">
        <f>VLOOKUP(N679,Stock[#Data],3,FALSE)</f>
        <v>1</v>
      </c>
      <c r="Q679" s="3">
        <f>VLOOKUP(N679,Stock[#Data],4,FALSE)</f>
        <v>12</v>
      </c>
      <c r="R679" s="11"/>
      <c r="S679" s="45">
        <f>IFERROR(Table4[[#This Row],[Bottle]]/Table4[[#This Row],[ပါဝင်မှု]]+Table4[[#This Row],[SalesPK]],0)</f>
        <v>2</v>
      </c>
      <c r="T679" s="12">
        <v>2</v>
      </c>
      <c r="U679" s="10">
        <f>Table4[[#This Row],[ပါဝင်မှု]]*Table4[[#This Row],[SalesPK]]+Table4[[#This Row],[Bottle]]</f>
        <v>24</v>
      </c>
      <c r="V679" s="10">
        <f>Table4[[#This Row],[SalesBot]]*Table4[[#This Row],[ML]]</f>
        <v>24</v>
      </c>
      <c r="W679" s="1">
        <f>VLOOKUP(N679,Stock[#Data],6,FALSE)</f>
        <v>1600</v>
      </c>
      <c r="X679" s="8">
        <f>+Table4[[#This Row],[SalesBot]]*Table4[[#This Row],[နှုံး]]</f>
        <v>38400</v>
      </c>
      <c r="Y679" s="12"/>
      <c r="Z679" s="12"/>
      <c r="AA679" s="12"/>
      <c r="AB679" s="9"/>
      <c r="AC679" s="12"/>
      <c r="AD679" s="9"/>
      <c r="AE679" s="12"/>
      <c r="AF67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38400</v>
      </c>
      <c r="AG679" s="24"/>
      <c r="AH679" s="266">
        <f>Table4[[#This Row],[Date]]</f>
        <v>46065</v>
      </c>
      <c r="AI679" s="264" t="str">
        <f t="shared" si="130"/>
        <v>Feb</v>
      </c>
      <c r="AJ679" s="264" t="str">
        <f t="shared" si="131"/>
        <v>2026</v>
      </c>
      <c r="AK679" s="270" t="str">
        <f>Table4[[#This Row],[ကုန်သည်အမည်]]</f>
        <v>အောင်ကမ္ဘာ</v>
      </c>
      <c r="AL679" s="270" t="str">
        <f>Table4[[#This Row],[Township]]</f>
        <v>Maw La Myaing</v>
      </c>
      <c r="AM679" s="271" t="str">
        <f>Table4[[#This Row],[WholeSales]]</f>
        <v>Van Sales</v>
      </c>
      <c r="AN679" s="272" t="str">
        <f>Table4[[#This Row],[Particular]]</f>
        <v>ကုန်ရောင်း(လက်ငင်း)</v>
      </c>
      <c r="AO679" s="273" t="str">
        <f>Table4[[#This Row],[StockName]]</f>
        <v>ဒဂုံမန်ကျည်း ကော်ဘူး (1 Liter)</v>
      </c>
      <c r="AP679" s="268">
        <f>Table4[[#This Row],[Parking]]</f>
        <v>2</v>
      </c>
      <c r="AQ679" s="268">
        <f>Table4[[#This Row],[SalesBot]]</f>
        <v>24</v>
      </c>
      <c r="AR679" s="268">
        <f>Table4[[#This Row],[Liter]]</f>
        <v>24</v>
      </c>
    </row>
    <row r="680" spans="1:44" s="16" customFormat="1" hidden="1" x14ac:dyDescent="0.5">
      <c r="A680" s="3">
        <f t="shared" si="126"/>
        <v>2026</v>
      </c>
      <c r="B680" s="8">
        <f t="shared" si="127"/>
        <v>2</v>
      </c>
      <c r="C680" s="6">
        <v>46065</v>
      </c>
      <c r="D680" s="15">
        <f t="shared" ca="1" si="128"/>
        <v>46097</v>
      </c>
      <c r="E680" s="15" t="str">
        <f t="shared" ca="1" si="129"/>
        <v>1-Months</v>
      </c>
      <c r="F680" s="8" t="str">
        <f>VLOOKUP(N680,Stock[#Data],5,FALSE)</f>
        <v>BE</v>
      </c>
      <c r="G680" s="82" t="s">
        <v>1391</v>
      </c>
      <c r="H680" s="15" t="s">
        <v>439</v>
      </c>
      <c r="I680" s="7" t="s">
        <v>575</v>
      </c>
      <c r="J680" s="8" t="str">
        <f>VLOOKUP(I680,Customers[#Data],2,FALSE)</f>
        <v>ဟေ၀န်နန်း</v>
      </c>
      <c r="K680" s="15" t="str">
        <f>VLOOKUP(I680,Customers[#Data],4,FALSE)</f>
        <v>Maw La Myaing</v>
      </c>
      <c r="L680" s="15" t="str">
        <f>VLOOKUP(I680,Customers[#Data],5,FALSE)</f>
        <v>Van Sales</v>
      </c>
      <c r="M680" s="7" t="s">
        <v>6</v>
      </c>
      <c r="N680" s="7" t="s">
        <v>425</v>
      </c>
      <c r="O680" s="14" t="str">
        <f>VLOOKUP(N680,Stock[#Data],2,FALSE)</f>
        <v>ကောင်းကြည်-1Li</v>
      </c>
      <c r="P680" s="44">
        <f>VLOOKUP(N680,Stock[#Data],3,FALSE)</f>
        <v>1</v>
      </c>
      <c r="Q680" s="3">
        <f>VLOOKUP(N680,Stock[#Data],4,FALSE)</f>
        <v>12</v>
      </c>
      <c r="R680" s="11"/>
      <c r="S680" s="45">
        <f>IFERROR(Table4[[#This Row],[Bottle]]/Table4[[#This Row],[ပါဝင်မှု]]+Table4[[#This Row],[SalesPK]],0)</f>
        <v>1</v>
      </c>
      <c r="T680" s="12">
        <v>1</v>
      </c>
      <c r="U680" s="10">
        <f>Table4[[#This Row],[ပါဝင်မှု]]*Table4[[#This Row],[SalesPK]]+Table4[[#This Row],[Bottle]]</f>
        <v>12</v>
      </c>
      <c r="V680" s="10">
        <f>Table4[[#This Row],[SalesBot]]*Table4[[#This Row],[ML]]</f>
        <v>12</v>
      </c>
      <c r="W680" s="1">
        <f>VLOOKUP(N680,Stock[#Data],6,FALSE)</f>
        <v>1500</v>
      </c>
      <c r="X680" s="8">
        <f>+Table4[[#This Row],[SalesBot]]*Table4[[#This Row],[နှုံး]]</f>
        <v>18000</v>
      </c>
      <c r="Y680" s="12"/>
      <c r="Z680" s="12"/>
      <c r="AA680" s="12"/>
      <c r="AB680" s="9"/>
      <c r="AC680" s="12"/>
      <c r="AD680" s="9"/>
      <c r="AE680" s="12"/>
      <c r="AF68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680" s="24"/>
      <c r="AH680" s="266">
        <f>Table4[[#This Row],[Date]]</f>
        <v>46065</v>
      </c>
      <c r="AI680" s="264" t="str">
        <f t="shared" si="130"/>
        <v>Feb</v>
      </c>
      <c r="AJ680" s="264" t="str">
        <f t="shared" si="131"/>
        <v>2026</v>
      </c>
      <c r="AK680" s="270" t="str">
        <f>Table4[[#This Row],[ကုန်သည်အမည်]]</f>
        <v>ဟေ၀န်နန်း</v>
      </c>
      <c r="AL680" s="270" t="str">
        <f>Table4[[#This Row],[Township]]</f>
        <v>Maw La Myaing</v>
      </c>
      <c r="AM680" s="271" t="str">
        <f>Table4[[#This Row],[WholeSales]]</f>
        <v>Van Sales</v>
      </c>
      <c r="AN680" s="272" t="str">
        <f>Table4[[#This Row],[Particular]]</f>
        <v>ကုန်ရောင်း(လက်ငင်း)</v>
      </c>
      <c r="AO680" s="273" t="str">
        <f>Table4[[#This Row],[StockName]]</f>
        <v>ကောင်းကြည်-1Li</v>
      </c>
      <c r="AP680" s="268">
        <f>Table4[[#This Row],[Parking]]</f>
        <v>1</v>
      </c>
      <c r="AQ680" s="268">
        <f>Table4[[#This Row],[SalesBot]]</f>
        <v>12</v>
      </c>
      <c r="AR680" s="268">
        <f>Table4[[#This Row],[Liter]]</f>
        <v>12</v>
      </c>
    </row>
    <row r="681" spans="1:44" s="16" customFormat="1" hidden="1" x14ac:dyDescent="0.5">
      <c r="A681" s="3">
        <f t="shared" si="116"/>
        <v>2026</v>
      </c>
      <c r="B681" s="8">
        <f t="shared" si="117"/>
        <v>2</v>
      </c>
      <c r="C681" s="6">
        <v>46065</v>
      </c>
      <c r="D681" s="15">
        <f t="shared" ca="1" si="118"/>
        <v>46097</v>
      </c>
      <c r="E681" s="15" t="str">
        <f t="shared" ca="1" si="119"/>
        <v>1-Months</v>
      </c>
      <c r="F681" s="8" t="str">
        <f>VLOOKUP(N681,Stock[#Data],5,FALSE)</f>
        <v>BE</v>
      </c>
      <c r="G681" s="82" t="s">
        <v>1391</v>
      </c>
      <c r="H681" s="15" t="s">
        <v>439</v>
      </c>
      <c r="I681" s="7" t="s">
        <v>575</v>
      </c>
      <c r="J681" s="8" t="str">
        <f>VLOOKUP(I681,Customers[#Data],2,FALSE)</f>
        <v>ဟေ၀န်နန်း</v>
      </c>
      <c r="K681" s="15" t="str">
        <f>VLOOKUP(I681,Customers[#Data],4,FALSE)</f>
        <v>Maw La Myaing</v>
      </c>
      <c r="L681" s="15" t="str">
        <f>VLOOKUP(I681,Customers[#Data],5,FALSE)</f>
        <v>Van Sales</v>
      </c>
      <c r="M681" s="7" t="s">
        <v>6</v>
      </c>
      <c r="N681" s="7" t="s">
        <v>508</v>
      </c>
      <c r="O681" s="14" t="str">
        <f>VLOOKUP(N681,Stock[#Data],2,FALSE)</f>
        <v>ကောင်းကြည်-1Li</v>
      </c>
      <c r="P681" s="44">
        <f>VLOOKUP(N681,Stock[#Data],3,FALSE)</f>
        <v>1</v>
      </c>
      <c r="Q681" s="3">
        <f>VLOOKUP(N681,Stock[#Data],4,FALSE)</f>
        <v>12</v>
      </c>
      <c r="R681" s="11"/>
      <c r="S681" s="45">
        <f>IFERROR(Table4[[#This Row],[Bottle]]/Table4[[#This Row],[ပါဝင်မှု]]+Table4[[#This Row],[SalesPK]],0)</f>
        <v>1</v>
      </c>
      <c r="T681" s="12">
        <v>1</v>
      </c>
      <c r="U681" s="10">
        <f>Table4[[#This Row],[ပါဝင်မှု]]*Table4[[#This Row],[SalesPK]]+Table4[[#This Row],[Bottle]]</f>
        <v>12</v>
      </c>
      <c r="V681" s="10">
        <f>Table4[[#This Row],[SalesBot]]*Table4[[#This Row],[ML]]</f>
        <v>12</v>
      </c>
      <c r="W681" s="1">
        <f>VLOOKUP(N681,Stock[#Data],6,FALSE)</f>
        <v>1850</v>
      </c>
      <c r="X681" s="8">
        <f>+Table4[[#This Row],[SalesBot]]*Table4[[#This Row],[နှုံး]]</f>
        <v>22200</v>
      </c>
      <c r="Y681" s="12"/>
      <c r="Z681" s="12"/>
      <c r="AA681" s="12"/>
      <c r="AB681" s="9"/>
      <c r="AC681" s="12"/>
      <c r="AD681" s="9"/>
      <c r="AE681" s="12"/>
      <c r="AF68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681" s="24"/>
      <c r="AH681" s="266">
        <f>Table4[[#This Row],[Date]]</f>
        <v>46065</v>
      </c>
      <c r="AI681" s="264" t="str">
        <f t="shared" si="130"/>
        <v>Feb</v>
      </c>
      <c r="AJ681" s="264" t="str">
        <f t="shared" si="131"/>
        <v>2026</v>
      </c>
      <c r="AK681" s="270" t="str">
        <f>Table4[[#This Row],[ကုန်သည်အမည်]]</f>
        <v>ဟေ၀န်နန်း</v>
      </c>
      <c r="AL681" s="270" t="str">
        <f>Table4[[#This Row],[Township]]</f>
        <v>Maw La Myaing</v>
      </c>
      <c r="AM681" s="271" t="str">
        <f>Table4[[#This Row],[WholeSales]]</f>
        <v>Van Sales</v>
      </c>
      <c r="AN681" s="272" t="str">
        <f>Table4[[#This Row],[Particular]]</f>
        <v>ကုန်ရောင်း(လက်ငင်း)</v>
      </c>
      <c r="AO681" s="273" t="str">
        <f>Table4[[#This Row],[StockName]]</f>
        <v>ကောင်းကြည်-1Li</v>
      </c>
      <c r="AP681" s="268">
        <f>Table4[[#This Row],[Parking]]</f>
        <v>1</v>
      </c>
      <c r="AQ681" s="268">
        <f>Table4[[#This Row],[SalesBot]]</f>
        <v>12</v>
      </c>
      <c r="AR681" s="268">
        <f>Table4[[#This Row],[Liter]]</f>
        <v>12</v>
      </c>
    </row>
    <row r="682" spans="1:44" s="16" customFormat="1" hidden="1" x14ac:dyDescent="0.5">
      <c r="A682" s="3">
        <f t="shared" si="116"/>
        <v>2026</v>
      </c>
      <c r="B682" s="8">
        <f t="shared" si="117"/>
        <v>2</v>
      </c>
      <c r="C682" s="6">
        <v>46065</v>
      </c>
      <c r="D682" s="15">
        <f t="shared" ca="1" si="118"/>
        <v>46097</v>
      </c>
      <c r="E682" s="15" t="str">
        <f t="shared" ca="1" si="119"/>
        <v>1-Months</v>
      </c>
      <c r="F682" s="8" t="str">
        <f>VLOOKUP(N682,Stock[#Data],5,FALSE)</f>
        <v>BE</v>
      </c>
      <c r="G682" s="82" t="s">
        <v>1394</v>
      </c>
      <c r="H682" s="15" t="s">
        <v>439</v>
      </c>
      <c r="I682" s="7" t="s">
        <v>1392</v>
      </c>
      <c r="J682" s="8" t="str">
        <f>VLOOKUP(I682,Customers[#Data],2,FALSE)</f>
        <v>ကိုချိုင်</v>
      </c>
      <c r="K682" s="15" t="str">
        <f>VLOOKUP(I682,Customers[#Data],4,FALSE)</f>
        <v>Maw La Myaing</v>
      </c>
      <c r="L682" s="15" t="str">
        <f>VLOOKUP(I682,Customers[#Data],5,FALSE)</f>
        <v>Van Sales</v>
      </c>
      <c r="M682" s="7" t="s">
        <v>6</v>
      </c>
      <c r="N682" s="7" t="s">
        <v>508</v>
      </c>
      <c r="O682" s="14" t="str">
        <f>VLOOKUP(N682,Stock[#Data],2,FALSE)</f>
        <v>ကောင်းကြည်-1Li</v>
      </c>
      <c r="P682" s="44">
        <f>VLOOKUP(N682,Stock[#Data],3,FALSE)</f>
        <v>1</v>
      </c>
      <c r="Q682" s="3">
        <f>VLOOKUP(N682,Stock[#Data],4,FALSE)</f>
        <v>12</v>
      </c>
      <c r="R682" s="11">
        <v>3</v>
      </c>
      <c r="S682" s="45">
        <f>IFERROR(Table4[[#This Row],[Bottle]]/Table4[[#This Row],[ပါဝင်မှု]]+Table4[[#This Row],[SalesPK]],0)</f>
        <v>0.25</v>
      </c>
      <c r="T682" s="12"/>
      <c r="U682" s="10">
        <f>Table4[[#This Row],[ပါဝင်မှု]]*Table4[[#This Row],[SalesPK]]+Table4[[#This Row],[Bottle]]</f>
        <v>3</v>
      </c>
      <c r="V682" s="10">
        <f>Table4[[#This Row],[SalesBot]]*Table4[[#This Row],[ML]]</f>
        <v>3</v>
      </c>
      <c r="W682" s="1">
        <f>VLOOKUP(N682,Stock[#Data],6,FALSE)</f>
        <v>1850</v>
      </c>
      <c r="X682" s="8">
        <f>+Table4[[#This Row],[SalesBot]]*Table4[[#This Row],[နှုံး]]</f>
        <v>5550</v>
      </c>
      <c r="Y682" s="12"/>
      <c r="Z682" s="12"/>
      <c r="AA682" s="12"/>
      <c r="AB682" s="9"/>
      <c r="AC682" s="12"/>
      <c r="AD682" s="9"/>
      <c r="AE682" s="12"/>
      <c r="AF68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5550</v>
      </c>
      <c r="AG682" s="24"/>
      <c r="AH682" s="266">
        <f>Table4[[#This Row],[Date]]</f>
        <v>46065</v>
      </c>
      <c r="AI682" s="264" t="str">
        <f t="shared" si="130"/>
        <v>Feb</v>
      </c>
      <c r="AJ682" s="264" t="str">
        <f t="shared" si="131"/>
        <v>2026</v>
      </c>
      <c r="AK682" s="270" t="str">
        <f>Table4[[#This Row],[ကုန်သည်အမည်]]</f>
        <v>ကိုချိုင်</v>
      </c>
      <c r="AL682" s="270" t="str">
        <f>Table4[[#This Row],[Township]]</f>
        <v>Maw La Myaing</v>
      </c>
      <c r="AM682" s="271" t="str">
        <f>Table4[[#This Row],[WholeSales]]</f>
        <v>Van Sales</v>
      </c>
      <c r="AN682" s="272" t="str">
        <f>Table4[[#This Row],[Particular]]</f>
        <v>ကုန်ရောင်း(လက်ငင်း)</v>
      </c>
      <c r="AO682" s="273" t="str">
        <f>Table4[[#This Row],[StockName]]</f>
        <v>ကောင်းကြည်-1Li</v>
      </c>
      <c r="AP682" s="268">
        <f>Table4[[#This Row],[Parking]]</f>
        <v>0.25</v>
      </c>
      <c r="AQ682" s="268">
        <f>Table4[[#This Row],[SalesBot]]</f>
        <v>3</v>
      </c>
      <c r="AR682" s="268">
        <f>Table4[[#This Row],[Liter]]</f>
        <v>3</v>
      </c>
    </row>
    <row r="683" spans="1:44" s="16" customFormat="1" hidden="1" x14ac:dyDescent="0.5">
      <c r="A683" s="3">
        <f t="shared" si="116"/>
        <v>2026</v>
      </c>
      <c r="B683" s="8">
        <f t="shared" si="117"/>
        <v>2</v>
      </c>
      <c r="C683" s="6">
        <v>46065</v>
      </c>
      <c r="D683" s="15">
        <f t="shared" ca="1" si="118"/>
        <v>46097</v>
      </c>
      <c r="E683" s="15" t="str">
        <f t="shared" ca="1" si="119"/>
        <v>1-Months</v>
      </c>
      <c r="F683" s="8" t="str">
        <f>VLOOKUP(N683,Stock[#Data],5,FALSE)</f>
        <v>BE</v>
      </c>
      <c r="G683" s="82" t="s">
        <v>1394</v>
      </c>
      <c r="H683" s="15" t="s">
        <v>439</v>
      </c>
      <c r="I683" s="7" t="s">
        <v>1392</v>
      </c>
      <c r="J683" s="8" t="str">
        <f>VLOOKUP(I683,Customers[#Data],2,FALSE)</f>
        <v>ကိုချိုင်</v>
      </c>
      <c r="K683" s="15" t="str">
        <f>VLOOKUP(I683,Customers[#Data],4,FALSE)</f>
        <v>Maw La Myaing</v>
      </c>
      <c r="L683" s="15" t="str">
        <f>VLOOKUP(I683,Customers[#Data],5,FALSE)</f>
        <v>Van Sales</v>
      </c>
      <c r="M683" s="7" t="s">
        <v>6</v>
      </c>
      <c r="N683" s="7" t="s">
        <v>425</v>
      </c>
      <c r="O683" s="14" t="str">
        <f>VLOOKUP(N683,Stock[#Data],2,FALSE)</f>
        <v>ကောင်းကြည်-1Li</v>
      </c>
      <c r="P683" s="44">
        <f>VLOOKUP(N683,Stock[#Data],3,FALSE)</f>
        <v>1</v>
      </c>
      <c r="Q683" s="3">
        <f>VLOOKUP(N683,Stock[#Data],4,FALSE)</f>
        <v>12</v>
      </c>
      <c r="R683" s="11">
        <v>2</v>
      </c>
      <c r="S683" s="45">
        <f>IFERROR(Table4[[#This Row],[Bottle]]/Table4[[#This Row],[ပါဝင်မှု]]+Table4[[#This Row],[SalesPK]],0)</f>
        <v>0.16666666666666666</v>
      </c>
      <c r="T683" s="12"/>
      <c r="U683" s="10">
        <f>Table4[[#This Row],[ပါဝင်မှု]]*Table4[[#This Row],[SalesPK]]+Table4[[#This Row],[Bottle]]</f>
        <v>2</v>
      </c>
      <c r="V683" s="10">
        <f>Table4[[#This Row],[SalesBot]]*Table4[[#This Row],[ML]]</f>
        <v>2</v>
      </c>
      <c r="W683" s="1">
        <f>VLOOKUP(N683,Stock[#Data],6,FALSE)</f>
        <v>1500</v>
      </c>
      <c r="X683" s="8">
        <f>+Table4[[#This Row],[SalesBot]]*Table4[[#This Row],[နှုံး]]</f>
        <v>3000</v>
      </c>
      <c r="Y683" s="12"/>
      <c r="Z683" s="12"/>
      <c r="AA683" s="12"/>
      <c r="AB683" s="9"/>
      <c r="AC683" s="12"/>
      <c r="AD683" s="9"/>
      <c r="AE683" s="12"/>
      <c r="AF68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3000</v>
      </c>
      <c r="AG683" s="24"/>
      <c r="AH683" s="266">
        <f>Table4[[#This Row],[Date]]</f>
        <v>46065</v>
      </c>
      <c r="AI683" s="264" t="str">
        <f t="shared" si="130"/>
        <v>Feb</v>
      </c>
      <c r="AJ683" s="264" t="str">
        <f t="shared" si="131"/>
        <v>2026</v>
      </c>
      <c r="AK683" s="270" t="str">
        <f>Table4[[#This Row],[ကုန်သည်အမည်]]</f>
        <v>ကိုချိုင်</v>
      </c>
      <c r="AL683" s="270" t="str">
        <f>Table4[[#This Row],[Township]]</f>
        <v>Maw La Myaing</v>
      </c>
      <c r="AM683" s="271" t="str">
        <f>Table4[[#This Row],[WholeSales]]</f>
        <v>Van Sales</v>
      </c>
      <c r="AN683" s="272" t="str">
        <f>Table4[[#This Row],[Particular]]</f>
        <v>ကုန်ရောင်း(လက်ငင်း)</v>
      </c>
      <c r="AO683" s="273" t="str">
        <f>Table4[[#This Row],[StockName]]</f>
        <v>ကောင်းကြည်-1Li</v>
      </c>
      <c r="AP683" s="268">
        <f>Table4[[#This Row],[Parking]]</f>
        <v>0.16666666666666666</v>
      </c>
      <c r="AQ683" s="268">
        <f>Table4[[#This Row],[SalesBot]]</f>
        <v>2</v>
      </c>
      <c r="AR683" s="268">
        <f>Table4[[#This Row],[Liter]]</f>
        <v>2</v>
      </c>
    </row>
    <row r="684" spans="1:44" s="16" customFormat="1" hidden="1" x14ac:dyDescent="0.5">
      <c r="A684" s="3">
        <f t="shared" ref="A684:A718" si="132">YEAR(C684)</f>
        <v>2026</v>
      </c>
      <c r="B684" s="8">
        <f t="shared" ref="B684:B718" si="133">MONTH(C684)</f>
        <v>2</v>
      </c>
      <c r="C684" s="6">
        <v>46066</v>
      </c>
      <c r="D684" s="15">
        <f t="shared" ref="D684:D718" ca="1" si="134">TODAY()</f>
        <v>46097</v>
      </c>
      <c r="E684" s="15" t="str">
        <f t="shared" ref="E684:E718" ca="1" si="135">DATEDIF(C684,D684,"M")&amp;"-Months"</f>
        <v>1-Months</v>
      </c>
      <c r="F684" s="8" t="str">
        <f>VLOOKUP(N684,Stock[#Data],5,FALSE)</f>
        <v>BE</v>
      </c>
      <c r="G684" s="82" t="s">
        <v>1395</v>
      </c>
      <c r="H684" s="15"/>
      <c r="I684" s="7" t="s">
        <v>571</v>
      </c>
      <c r="J684" s="8" t="str">
        <f>VLOOKUP(I684,Customers[#Data],2,FALSE)</f>
        <v>ဦးစိုး၀င်း</v>
      </c>
      <c r="K684" s="15" t="str">
        <f>VLOOKUP(I684,Customers[#Data],4,FALSE)</f>
        <v>Belin</v>
      </c>
      <c r="L684" s="15" t="str">
        <f>VLOOKUP(I684,Customers[#Data],5,FALSE)</f>
        <v>Van Sales</v>
      </c>
      <c r="M684" s="7" t="s">
        <v>7</v>
      </c>
      <c r="N684" s="7" t="s">
        <v>516</v>
      </c>
      <c r="O684" s="14" t="str">
        <f>VLOOKUP(N684,Stock[#Data],2,FALSE)</f>
        <v>ဇေ Vodka</v>
      </c>
      <c r="P684" s="44">
        <f>VLOOKUP(N684,Stock[#Data],3,FALSE)</f>
        <v>0.64</v>
      </c>
      <c r="Q684" s="3">
        <f>VLOOKUP(N684,Stock[#Data],4,FALSE)</f>
        <v>14</v>
      </c>
      <c r="R684" s="11"/>
      <c r="S684" s="45">
        <f>IFERROR(Table4[[#This Row],[Bottle]]/Table4[[#This Row],[ပါဝင်မှု]]+Table4[[#This Row],[SalesPK]],0)</f>
        <v>50</v>
      </c>
      <c r="T684" s="12">
        <v>50</v>
      </c>
      <c r="U684" s="10">
        <f>Table4[[#This Row],[ပါဝင်မှု]]*Table4[[#This Row],[SalesPK]]+Table4[[#This Row],[Bottle]]</f>
        <v>700</v>
      </c>
      <c r="V684" s="10">
        <f>Table4[[#This Row],[SalesBot]]*Table4[[#This Row],[ML]]</f>
        <v>448</v>
      </c>
      <c r="W684" s="1">
        <f>VLOOKUP(N684,Stock[#Data],6,FALSE)</f>
        <v>1400</v>
      </c>
      <c r="X684" s="8">
        <f>+Table4[[#This Row],[SalesBot]]*Table4[[#This Row],[နှုံး]]</f>
        <v>980000</v>
      </c>
      <c r="Y684" s="12"/>
      <c r="Z684" s="12"/>
      <c r="AA684" s="12"/>
      <c r="AB684" s="9"/>
      <c r="AC684" s="12"/>
      <c r="AD684" s="9"/>
      <c r="AE684" s="12"/>
      <c r="AF68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980000</v>
      </c>
      <c r="AG684" s="24"/>
      <c r="AH684" s="266">
        <f>Table4[[#This Row],[Date]]</f>
        <v>46066</v>
      </c>
      <c r="AI684" s="264" t="str">
        <f t="shared" si="130"/>
        <v>Feb</v>
      </c>
      <c r="AJ684" s="264" t="str">
        <f t="shared" si="131"/>
        <v>2026</v>
      </c>
      <c r="AK684" s="270" t="str">
        <f>Table4[[#This Row],[ကုန်သည်အမည်]]</f>
        <v>ဦးစိုး၀င်း</v>
      </c>
      <c r="AL684" s="270" t="str">
        <f>Table4[[#This Row],[Township]]</f>
        <v>Belin</v>
      </c>
      <c r="AM684" s="271" t="str">
        <f>Table4[[#This Row],[WholeSales]]</f>
        <v>Van Sales</v>
      </c>
      <c r="AN684" s="272" t="str">
        <f>Table4[[#This Row],[Particular]]</f>
        <v>ကုန်ရောင်း(အကြွေး)</v>
      </c>
      <c r="AO684" s="273" t="str">
        <f>Table4[[#This Row],[StockName]]</f>
        <v>ဇေ Vodka</v>
      </c>
      <c r="AP684" s="268">
        <f>Table4[[#This Row],[Parking]]</f>
        <v>50</v>
      </c>
      <c r="AQ684" s="268">
        <f>Table4[[#This Row],[SalesBot]]</f>
        <v>700</v>
      </c>
      <c r="AR684" s="268">
        <f>Table4[[#This Row],[Liter]]</f>
        <v>448</v>
      </c>
    </row>
    <row r="685" spans="1:44" s="16" customFormat="1" hidden="1" x14ac:dyDescent="0.5">
      <c r="A685" s="3">
        <f t="shared" si="132"/>
        <v>2026</v>
      </c>
      <c r="B685" s="8">
        <f t="shared" si="133"/>
        <v>2</v>
      </c>
      <c r="C685" s="6">
        <v>46066</v>
      </c>
      <c r="D685" s="15">
        <f t="shared" ca="1" si="134"/>
        <v>46097</v>
      </c>
      <c r="E685" s="15" t="str">
        <f t="shared" ca="1" si="135"/>
        <v>1-Months</v>
      </c>
      <c r="F685" s="8" t="str">
        <f>VLOOKUP(N685,Stock[#Data],5,FALSE)</f>
        <v>BE</v>
      </c>
      <c r="G685" s="82" t="s">
        <v>1396</v>
      </c>
      <c r="H685" s="15"/>
      <c r="I685" s="7" t="s">
        <v>117</v>
      </c>
      <c r="J685" s="8" t="str">
        <f>VLOOKUP(I685,Customers[#Data],2,FALSE)</f>
        <v>ဦးမြင့်ကြည်</v>
      </c>
      <c r="K685" s="15" t="str">
        <f>VLOOKUP(I685,Customers[#Data],4,FALSE)</f>
        <v>Belin</v>
      </c>
      <c r="L685" s="15" t="str">
        <f>VLOOKUP(I685,Customers[#Data],5,FALSE)</f>
        <v>SemiWholeSales</v>
      </c>
      <c r="M685" s="7" t="s">
        <v>6</v>
      </c>
      <c r="N685" s="7" t="s">
        <v>516</v>
      </c>
      <c r="O685" s="14" t="str">
        <f>VLOOKUP(N685,Stock[#Data],2,FALSE)</f>
        <v>ဇေ Vodka</v>
      </c>
      <c r="P685" s="44">
        <f>VLOOKUP(N685,Stock[#Data],3,FALSE)</f>
        <v>0.64</v>
      </c>
      <c r="Q685" s="3">
        <f>VLOOKUP(N685,Stock[#Data],4,FALSE)</f>
        <v>14</v>
      </c>
      <c r="R685" s="11"/>
      <c r="S685" s="45">
        <f>IFERROR(Table4[[#This Row],[Bottle]]/Table4[[#This Row],[ပါဝင်မှု]]+Table4[[#This Row],[SalesPK]],0)</f>
        <v>150</v>
      </c>
      <c r="T685" s="12">
        <v>150</v>
      </c>
      <c r="U685" s="10">
        <f>Table4[[#This Row],[ပါဝင်မှု]]*Table4[[#This Row],[SalesPK]]+Table4[[#This Row],[Bottle]]</f>
        <v>2100</v>
      </c>
      <c r="V685" s="10">
        <f>Table4[[#This Row],[SalesBot]]*Table4[[#This Row],[ML]]</f>
        <v>1344</v>
      </c>
      <c r="W685" s="1">
        <f>VLOOKUP(N685,Stock[#Data],6,FALSE)</f>
        <v>1400</v>
      </c>
      <c r="X685" s="8">
        <f>+Table4[[#This Row],[SalesBot]]*Table4[[#This Row],[နှုံး]]</f>
        <v>2940000</v>
      </c>
      <c r="Y685" s="12"/>
      <c r="Z685" s="12"/>
      <c r="AA685" s="12"/>
      <c r="AB685" s="9"/>
      <c r="AC685" s="12"/>
      <c r="AD685" s="9"/>
      <c r="AE685" s="12"/>
      <c r="AF68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2940000</v>
      </c>
      <c r="AG685" s="24"/>
      <c r="AH685" s="266">
        <f>Table4[[#This Row],[Date]]</f>
        <v>46066</v>
      </c>
      <c r="AI685" s="264" t="str">
        <f t="shared" si="130"/>
        <v>Feb</v>
      </c>
      <c r="AJ685" s="264" t="str">
        <f t="shared" si="131"/>
        <v>2026</v>
      </c>
      <c r="AK685" s="270" t="str">
        <f>Table4[[#This Row],[ကုန်သည်အမည်]]</f>
        <v>ဦးမြင့်ကြည်</v>
      </c>
      <c r="AL685" s="270" t="str">
        <f>Table4[[#This Row],[Township]]</f>
        <v>Belin</v>
      </c>
      <c r="AM685" s="271" t="str">
        <f>Table4[[#This Row],[WholeSales]]</f>
        <v>SemiWholeSales</v>
      </c>
      <c r="AN685" s="272" t="str">
        <f>Table4[[#This Row],[Particular]]</f>
        <v>ကုန်ရောင်း(လက်ငင်း)</v>
      </c>
      <c r="AO685" s="273" t="str">
        <f>Table4[[#This Row],[StockName]]</f>
        <v>ဇေ Vodka</v>
      </c>
      <c r="AP685" s="268">
        <f>Table4[[#This Row],[Parking]]</f>
        <v>150</v>
      </c>
      <c r="AQ685" s="268">
        <f>Table4[[#This Row],[SalesBot]]</f>
        <v>2100</v>
      </c>
      <c r="AR685" s="268">
        <f>Table4[[#This Row],[Liter]]</f>
        <v>1344</v>
      </c>
    </row>
    <row r="686" spans="1:44" s="16" customFormat="1" hidden="1" x14ac:dyDescent="0.5">
      <c r="A686" s="3">
        <f t="shared" si="132"/>
        <v>2026</v>
      </c>
      <c r="B686" s="8">
        <f t="shared" si="133"/>
        <v>2</v>
      </c>
      <c r="C686" s="6">
        <v>46066</v>
      </c>
      <c r="D686" s="15">
        <f t="shared" ca="1" si="134"/>
        <v>46097</v>
      </c>
      <c r="E686" s="15" t="str">
        <f t="shared" ca="1" si="135"/>
        <v>1-Months</v>
      </c>
      <c r="F686" s="8" t="str">
        <f>VLOOKUP(N686,Stock[#Data],5,FALSE)</f>
        <v>BE</v>
      </c>
      <c r="G686" s="82" t="s">
        <v>1397</v>
      </c>
      <c r="H686" s="15"/>
      <c r="I686" s="7" t="s">
        <v>73</v>
      </c>
      <c r="J686" s="8" t="str">
        <f>VLOOKUP(I686,Customers[#Data],2,FALSE)</f>
        <v>M-City</v>
      </c>
      <c r="K686" s="15" t="str">
        <f>VLOOKUP(I686,Customers[#Data],4,FALSE)</f>
        <v>Paung</v>
      </c>
      <c r="L686" s="15" t="str">
        <f>VLOOKUP(I686,Customers[#Data],5,FALSE)</f>
        <v>Van Sales</v>
      </c>
      <c r="M686" s="7" t="s">
        <v>6</v>
      </c>
      <c r="N686" s="7" t="s">
        <v>516</v>
      </c>
      <c r="O686" s="14" t="str">
        <f>VLOOKUP(N686,Stock[#Data],2,FALSE)</f>
        <v>ဇေ Vodka</v>
      </c>
      <c r="P686" s="44">
        <f>VLOOKUP(N686,Stock[#Data],3,FALSE)</f>
        <v>0.64</v>
      </c>
      <c r="Q686" s="3">
        <f>VLOOKUP(N686,Stock[#Data],4,FALSE)</f>
        <v>14</v>
      </c>
      <c r="R686" s="11"/>
      <c r="S686" s="45">
        <f>IFERROR(Table4[[#This Row],[Bottle]]/Table4[[#This Row],[ပါဝင်မှု]]+Table4[[#This Row],[SalesPK]],0)</f>
        <v>10</v>
      </c>
      <c r="T686" s="12">
        <v>10</v>
      </c>
      <c r="U686" s="10">
        <f>Table4[[#This Row],[ပါဝင်မှု]]*Table4[[#This Row],[SalesPK]]+Table4[[#This Row],[Bottle]]</f>
        <v>140</v>
      </c>
      <c r="V686" s="10">
        <f>Table4[[#This Row],[SalesBot]]*Table4[[#This Row],[ML]]</f>
        <v>89.600000000000009</v>
      </c>
      <c r="W686" s="1">
        <f>VLOOKUP(N686,Stock[#Data],6,FALSE)</f>
        <v>1400</v>
      </c>
      <c r="X686" s="8">
        <f>+Table4[[#This Row],[SalesBot]]*Table4[[#This Row],[နှုံး]]</f>
        <v>196000</v>
      </c>
      <c r="Y686" s="12"/>
      <c r="Z686" s="12"/>
      <c r="AA686" s="12"/>
      <c r="AB686" s="9"/>
      <c r="AC686" s="12"/>
      <c r="AD686" s="9"/>
      <c r="AE686" s="12"/>
      <c r="AF68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686" s="24"/>
      <c r="AH686" s="266">
        <f>Table4[[#This Row],[Date]]</f>
        <v>46066</v>
      </c>
      <c r="AI686" s="264" t="str">
        <f t="shared" si="130"/>
        <v>Feb</v>
      </c>
      <c r="AJ686" s="264" t="str">
        <f t="shared" si="131"/>
        <v>2026</v>
      </c>
      <c r="AK686" s="270" t="str">
        <f>Table4[[#This Row],[ကုန်သည်အမည်]]</f>
        <v>M-City</v>
      </c>
      <c r="AL686" s="270" t="str">
        <f>Table4[[#This Row],[Township]]</f>
        <v>Paung</v>
      </c>
      <c r="AM686" s="271" t="str">
        <f>Table4[[#This Row],[WholeSales]]</f>
        <v>Van Sales</v>
      </c>
      <c r="AN686" s="272" t="str">
        <f>Table4[[#This Row],[Particular]]</f>
        <v>ကုန်ရောင်း(လက်ငင်း)</v>
      </c>
      <c r="AO686" s="273" t="str">
        <f>Table4[[#This Row],[StockName]]</f>
        <v>ဇေ Vodka</v>
      </c>
      <c r="AP686" s="268">
        <f>Table4[[#This Row],[Parking]]</f>
        <v>10</v>
      </c>
      <c r="AQ686" s="268">
        <f>Table4[[#This Row],[SalesBot]]</f>
        <v>140</v>
      </c>
      <c r="AR686" s="268">
        <f>Table4[[#This Row],[Liter]]</f>
        <v>89.600000000000009</v>
      </c>
    </row>
    <row r="687" spans="1:44" s="16" customFormat="1" hidden="1" x14ac:dyDescent="0.5">
      <c r="A687" s="3">
        <f t="shared" si="132"/>
        <v>2026</v>
      </c>
      <c r="B687" s="8">
        <f t="shared" si="133"/>
        <v>2</v>
      </c>
      <c r="C687" s="6">
        <v>46066</v>
      </c>
      <c r="D687" s="15">
        <f t="shared" ca="1" si="134"/>
        <v>46097</v>
      </c>
      <c r="E687" s="15" t="str">
        <f t="shared" ca="1" si="135"/>
        <v>1-Months</v>
      </c>
      <c r="F687" s="8" t="str">
        <f>VLOOKUP(N687,Stock[#Data],5,FALSE)</f>
        <v>BE</v>
      </c>
      <c r="G687" s="82" t="s">
        <v>1398</v>
      </c>
      <c r="H687" s="15"/>
      <c r="I687" s="7" t="s">
        <v>106</v>
      </c>
      <c r="J687" s="8" t="str">
        <f>VLOOKUP(I687,Customers[#Data],2,FALSE)</f>
        <v>ကိုမျိုးအောင်</v>
      </c>
      <c r="K687" s="15" t="str">
        <f>VLOOKUP(I687,Customers[#Data],4,FALSE)</f>
        <v>Maw La Myaing</v>
      </c>
      <c r="L687" s="15" t="str">
        <f>VLOOKUP(I687,Customers[#Data],5,FALSE)</f>
        <v>WholeSales</v>
      </c>
      <c r="M687" s="7" t="s">
        <v>6</v>
      </c>
      <c r="N687" s="7" t="s">
        <v>516</v>
      </c>
      <c r="O687" s="14" t="str">
        <f>VLOOKUP(N687,Stock[#Data],2,FALSE)</f>
        <v>ဇေ Vodka</v>
      </c>
      <c r="P687" s="44">
        <f>VLOOKUP(N687,Stock[#Data],3,FALSE)</f>
        <v>0.64</v>
      </c>
      <c r="Q687" s="3">
        <f>VLOOKUP(N687,Stock[#Data],4,FALSE)</f>
        <v>14</v>
      </c>
      <c r="R687" s="11"/>
      <c r="S687" s="45">
        <f>IFERROR(Table4[[#This Row],[Bottle]]/Table4[[#This Row],[ပါဝင်မှု]]+Table4[[#This Row],[SalesPK]],0)</f>
        <v>30</v>
      </c>
      <c r="T687" s="12">
        <v>30</v>
      </c>
      <c r="U687" s="10">
        <f>Table4[[#This Row],[ပါဝင်မှု]]*Table4[[#This Row],[SalesPK]]+Table4[[#This Row],[Bottle]]</f>
        <v>420</v>
      </c>
      <c r="V687" s="10">
        <f>Table4[[#This Row],[SalesBot]]*Table4[[#This Row],[ML]]</f>
        <v>268.8</v>
      </c>
      <c r="W687" s="1">
        <f>VLOOKUP(N687,Stock[#Data],6,FALSE)</f>
        <v>1400</v>
      </c>
      <c r="X687" s="8">
        <f>+Table4[[#This Row],[SalesBot]]*Table4[[#This Row],[နှုံး]]</f>
        <v>588000</v>
      </c>
      <c r="Y687" s="12"/>
      <c r="Z687" s="12"/>
      <c r="AA687" s="12"/>
      <c r="AB687" s="9"/>
      <c r="AC687" s="12"/>
      <c r="AD687" s="9"/>
      <c r="AE687" s="12"/>
      <c r="AF68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588000</v>
      </c>
      <c r="AG687" s="24"/>
      <c r="AH687" s="266">
        <f>Table4[[#This Row],[Date]]</f>
        <v>46066</v>
      </c>
      <c r="AI687" s="264" t="str">
        <f t="shared" si="130"/>
        <v>Feb</v>
      </c>
      <c r="AJ687" s="264" t="str">
        <f t="shared" si="131"/>
        <v>2026</v>
      </c>
      <c r="AK687" s="270" t="str">
        <f>Table4[[#This Row],[ကုန်သည်အမည်]]</f>
        <v>ကိုမျိုးအောင်</v>
      </c>
      <c r="AL687" s="270" t="str">
        <f>Table4[[#This Row],[Township]]</f>
        <v>Maw La Myaing</v>
      </c>
      <c r="AM687" s="271" t="str">
        <f>Table4[[#This Row],[WholeSales]]</f>
        <v>WholeSales</v>
      </c>
      <c r="AN687" s="272" t="str">
        <f>Table4[[#This Row],[Particular]]</f>
        <v>ကုန်ရောင်း(လက်ငင်း)</v>
      </c>
      <c r="AO687" s="273" t="str">
        <f>Table4[[#This Row],[StockName]]</f>
        <v>ဇေ Vodka</v>
      </c>
      <c r="AP687" s="268">
        <f>Table4[[#This Row],[Parking]]</f>
        <v>30</v>
      </c>
      <c r="AQ687" s="268">
        <f>Table4[[#This Row],[SalesBot]]</f>
        <v>420</v>
      </c>
      <c r="AR687" s="268">
        <f>Table4[[#This Row],[Liter]]</f>
        <v>268.8</v>
      </c>
    </row>
    <row r="688" spans="1:44" s="16" customFormat="1" hidden="1" x14ac:dyDescent="0.5">
      <c r="A688" s="3">
        <f t="shared" si="132"/>
        <v>2026</v>
      </c>
      <c r="B688" s="8">
        <f t="shared" si="133"/>
        <v>2</v>
      </c>
      <c r="C688" s="6">
        <v>46066</v>
      </c>
      <c r="D688" s="15">
        <f t="shared" ca="1" si="134"/>
        <v>46097</v>
      </c>
      <c r="E688" s="15" t="str">
        <f t="shared" ca="1" si="135"/>
        <v>1-Months</v>
      </c>
      <c r="F688" s="8" t="str">
        <f>VLOOKUP(N688,Stock[#Data],5,FALSE)</f>
        <v>BE</v>
      </c>
      <c r="G688" s="82" t="s">
        <v>1398</v>
      </c>
      <c r="H688" s="15"/>
      <c r="I688" s="7" t="s">
        <v>106</v>
      </c>
      <c r="J688" s="8" t="str">
        <f>VLOOKUP(I688,Customers[#Data],2,FALSE)</f>
        <v>ကိုမျိုးအောင်</v>
      </c>
      <c r="K688" s="15" t="str">
        <f>VLOOKUP(I688,Customers[#Data],4,FALSE)</f>
        <v>Maw La Myaing</v>
      </c>
      <c r="L688" s="15" t="str">
        <f>VLOOKUP(I688,Customers[#Data],5,FALSE)</f>
        <v>WholeSales</v>
      </c>
      <c r="M688" s="7" t="s">
        <v>6</v>
      </c>
      <c r="N688" s="7" t="s">
        <v>517</v>
      </c>
      <c r="O688" s="14" t="str">
        <f>VLOOKUP(N688,Stock[#Data],2,FALSE)</f>
        <v>ဇေယျဝတီ Red (1 Liter) 30%</v>
      </c>
      <c r="P688" s="44">
        <f>VLOOKUP(N688,Stock[#Data],3,FALSE)</f>
        <v>1</v>
      </c>
      <c r="Q688" s="3">
        <f>VLOOKUP(N688,Stock[#Data],4,FALSE)</f>
        <v>12</v>
      </c>
      <c r="R688" s="11"/>
      <c r="S688" s="45">
        <f>IFERROR(Table4[[#This Row],[Bottle]]/Table4[[#This Row],[ပါဝင်မှု]]+Table4[[#This Row],[SalesPK]],0)</f>
        <v>30</v>
      </c>
      <c r="T688" s="12">
        <v>30</v>
      </c>
      <c r="U688" s="10">
        <f>Table4[[#This Row],[ပါဝင်မှု]]*Table4[[#This Row],[SalesPK]]+Table4[[#This Row],[Bottle]]</f>
        <v>360</v>
      </c>
      <c r="V688" s="10">
        <f>Table4[[#This Row],[SalesBot]]*Table4[[#This Row],[ML]]</f>
        <v>360</v>
      </c>
      <c r="W688" s="1">
        <f>VLOOKUP(N688,Stock[#Data],6,FALSE)</f>
        <v>1710</v>
      </c>
      <c r="X688" s="8">
        <f>+Table4[[#This Row],[SalesBot]]*Table4[[#This Row],[နှုံး]]</f>
        <v>615600</v>
      </c>
      <c r="Y688" s="12"/>
      <c r="Z688" s="12"/>
      <c r="AA688" s="12"/>
      <c r="AB688" s="9"/>
      <c r="AC688" s="12"/>
      <c r="AD688" s="9"/>
      <c r="AE688" s="12"/>
      <c r="AF68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615600</v>
      </c>
      <c r="AG688" s="24"/>
      <c r="AH688" s="266">
        <f>Table4[[#This Row],[Date]]</f>
        <v>46066</v>
      </c>
      <c r="AI688" s="264" t="str">
        <f t="shared" si="130"/>
        <v>Feb</v>
      </c>
      <c r="AJ688" s="264" t="str">
        <f t="shared" si="131"/>
        <v>2026</v>
      </c>
      <c r="AK688" s="270" t="str">
        <f>Table4[[#This Row],[ကုန်သည်အမည်]]</f>
        <v>ကိုမျိုးအောင်</v>
      </c>
      <c r="AL688" s="270" t="str">
        <f>Table4[[#This Row],[Township]]</f>
        <v>Maw La Myaing</v>
      </c>
      <c r="AM688" s="271" t="str">
        <f>Table4[[#This Row],[WholeSales]]</f>
        <v>WholeSales</v>
      </c>
      <c r="AN688" s="272" t="str">
        <f>Table4[[#This Row],[Particular]]</f>
        <v>ကုန်ရောင်း(လက်ငင်း)</v>
      </c>
      <c r="AO688" s="273" t="str">
        <f>Table4[[#This Row],[StockName]]</f>
        <v>ဇေယျဝတီ Red (1 Liter) 30%</v>
      </c>
      <c r="AP688" s="268">
        <f>Table4[[#This Row],[Parking]]</f>
        <v>30</v>
      </c>
      <c r="AQ688" s="268">
        <f>Table4[[#This Row],[SalesBot]]</f>
        <v>360</v>
      </c>
      <c r="AR688" s="268">
        <f>Table4[[#This Row],[Liter]]</f>
        <v>360</v>
      </c>
    </row>
    <row r="689" spans="1:44" s="16" customFormat="1" hidden="1" x14ac:dyDescent="0.5">
      <c r="A689" s="3">
        <f t="shared" si="132"/>
        <v>2026</v>
      </c>
      <c r="B689" s="8">
        <f t="shared" si="133"/>
        <v>2</v>
      </c>
      <c r="C689" s="6">
        <v>46066</v>
      </c>
      <c r="D689" s="15">
        <f t="shared" ca="1" si="134"/>
        <v>46097</v>
      </c>
      <c r="E689" s="15" t="str">
        <f t="shared" ca="1" si="135"/>
        <v>1-Months</v>
      </c>
      <c r="F689" s="8" t="str">
        <f>VLOOKUP(N689,Stock[#Data],5,FALSE)</f>
        <v>BE</v>
      </c>
      <c r="G689" s="82" t="s">
        <v>1399</v>
      </c>
      <c r="H689" s="15"/>
      <c r="I689" s="7" t="s">
        <v>547</v>
      </c>
      <c r="J689" s="8" t="str">
        <f>VLOOKUP(I689,Customers[#Data],2,FALSE)</f>
        <v>ကံ့ကော်စတိုး</v>
      </c>
      <c r="K689" s="15" t="str">
        <f>VLOOKUP(I689,Customers[#Data],4,FALSE)</f>
        <v>Yay</v>
      </c>
      <c r="L689" s="15" t="str">
        <f>VLOOKUP(I689,Customers[#Data],5,FALSE)</f>
        <v>Mini Whole Sales</v>
      </c>
      <c r="M689" s="7" t="s">
        <v>6</v>
      </c>
      <c r="N689" s="7" t="s">
        <v>514</v>
      </c>
      <c r="O689" s="14" t="str">
        <f>VLOOKUP(N689,Stock[#Data],2,FALSE)</f>
        <v>ဇေယျဝတီ Red</v>
      </c>
      <c r="P689" s="44">
        <f>VLOOKUP(N689,Stock[#Data],3,FALSE)</f>
        <v>0.64</v>
      </c>
      <c r="Q689" s="3">
        <f>VLOOKUP(N689,Stock[#Data],4,FALSE)</f>
        <v>14</v>
      </c>
      <c r="R689" s="11"/>
      <c r="S689" s="45">
        <f>IFERROR(Table4[[#This Row],[Bottle]]/Table4[[#This Row],[ပါဝင်မှု]]+Table4[[#This Row],[SalesPK]],0)</f>
        <v>150</v>
      </c>
      <c r="T689" s="12">
        <v>150</v>
      </c>
      <c r="U689" s="10">
        <f>Table4[[#This Row],[ပါဝင်မှု]]*Table4[[#This Row],[SalesPK]]+Table4[[#This Row],[Bottle]]</f>
        <v>2100</v>
      </c>
      <c r="V689" s="10">
        <f>Table4[[#This Row],[SalesBot]]*Table4[[#This Row],[ML]]</f>
        <v>1344</v>
      </c>
      <c r="W689" s="1">
        <f>VLOOKUP(N689,Stock[#Data],6,FALSE)</f>
        <v>1350</v>
      </c>
      <c r="X689" s="8">
        <f>+Table4[[#This Row],[SalesBot]]*Table4[[#This Row],[နှုံး]]</f>
        <v>2835000</v>
      </c>
      <c r="Y689" s="12"/>
      <c r="Z689" s="12"/>
      <c r="AA689" s="12"/>
      <c r="AB689" s="9"/>
      <c r="AC689" s="12"/>
      <c r="AD689" s="9"/>
      <c r="AE689" s="12"/>
      <c r="AF68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2835000</v>
      </c>
      <c r="AG689" s="24"/>
      <c r="AH689" s="266">
        <f>Table4[[#This Row],[Date]]</f>
        <v>46066</v>
      </c>
      <c r="AI689" s="264" t="str">
        <f t="shared" si="130"/>
        <v>Feb</v>
      </c>
      <c r="AJ689" s="264" t="str">
        <f t="shared" si="131"/>
        <v>2026</v>
      </c>
      <c r="AK689" s="270" t="str">
        <f>Table4[[#This Row],[ကုန်သည်အမည်]]</f>
        <v>ကံ့ကော်စတိုး</v>
      </c>
      <c r="AL689" s="270" t="str">
        <f>Table4[[#This Row],[Township]]</f>
        <v>Yay</v>
      </c>
      <c r="AM689" s="271" t="str">
        <f>Table4[[#This Row],[WholeSales]]</f>
        <v>Mini Whole Sales</v>
      </c>
      <c r="AN689" s="272" t="str">
        <f>Table4[[#This Row],[Particular]]</f>
        <v>ကုန်ရောင်း(လက်ငင်း)</v>
      </c>
      <c r="AO689" s="273" t="str">
        <f>Table4[[#This Row],[StockName]]</f>
        <v>ဇေယျဝတီ Red</v>
      </c>
      <c r="AP689" s="268">
        <f>Table4[[#This Row],[Parking]]</f>
        <v>150</v>
      </c>
      <c r="AQ689" s="268">
        <f>Table4[[#This Row],[SalesBot]]</f>
        <v>2100</v>
      </c>
      <c r="AR689" s="268">
        <f>Table4[[#This Row],[Liter]]</f>
        <v>1344</v>
      </c>
    </row>
    <row r="690" spans="1:44" s="16" customFormat="1" hidden="1" x14ac:dyDescent="0.5">
      <c r="A690" s="3">
        <f t="shared" si="132"/>
        <v>2026</v>
      </c>
      <c r="B690" s="8">
        <f t="shared" si="133"/>
        <v>2</v>
      </c>
      <c r="C690" s="6">
        <v>46066</v>
      </c>
      <c r="D690" s="15">
        <f t="shared" ca="1" si="134"/>
        <v>46097</v>
      </c>
      <c r="E690" s="15" t="str">
        <f t="shared" ca="1" si="135"/>
        <v>1-Months</v>
      </c>
      <c r="F690" s="8" t="str">
        <f>VLOOKUP(N690,Stock[#Data],5,FALSE)</f>
        <v>BE</v>
      </c>
      <c r="G690" s="82" t="s">
        <v>1399</v>
      </c>
      <c r="H690" s="15"/>
      <c r="I690" s="7" t="s">
        <v>547</v>
      </c>
      <c r="J690" s="8" t="str">
        <f>VLOOKUP(I690,Customers[#Data],2,FALSE)</f>
        <v>ကံ့ကော်စတိုး</v>
      </c>
      <c r="K690" s="15" t="str">
        <f>VLOOKUP(I690,Customers[#Data],4,FALSE)</f>
        <v>Yay</v>
      </c>
      <c r="L690" s="15" t="str">
        <f>VLOOKUP(I690,Customers[#Data],5,FALSE)</f>
        <v>Mini Whole Sales</v>
      </c>
      <c r="M690" s="7" t="s">
        <v>6</v>
      </c>
      <c r="N690" s="7" t="s">
        <v>517</v>
      </c>
      <c r="O690" s="14" t="str">
        <f>VLOOKUP(N690,Stock[#Data],2,FALSE)</f>
        <v>ဇေယျဝတီ Red (1 Liter) 30%</v>
      </c>
      <c r="P690" s="44">
        <f>VLOOKUP(N690,Stock[#Data],3,FALSE)</f>
        <v>1</v>
      </c>
      <c r="Q690" s="3">
        <f>VLOOKUP(N690,Stock[#Data],4,FALSE)</f>
        <v>12</v>
      </c>
      <c r="R690" s="11"/>
      <c r="S690" s="45">
        <f>IFERROR(Table4[[#This Row],[Bottle]]/Table4[[#This Row],[ပါဝင်မှု]]+Table4[[#This Row],[SalesPK]],0)</f>
        <v>50</v>
      </c>
      <c r="T690" s="12">
        <v>50</v>
      </c>
      <c r="U690" s="10">
        <f>Table4[[#This Row],[ပါဝင်မှု]]*Table4[[#This Row],[SalesPK]]+Table4[[#This Row],[Bottle]]</f>
        <v>600</v>
      </c>
      <c r="V690" s="10">
        <f>Table4[[#This Row],[SalesBot]]*Table4[[#This Row],[ML]]</f>
        <v>600</v>
      </c>
      <c r="W690" s="1">
        <f>VLOOKUP(N690,Stock[#Data],6,FALSE)</f>
        <v>1710</v>
      </c>
      <c r="X690" s="8">
        <f>+Table4[[#This Row],[SalesBot]]*Table4[[#This Row],[နှုံး]]</f>
        <v>1026000</v>
      </c>
      <c r="Y690" s="12"/>
      <c r="Z690" s="12"/>
      <c r="AA690" s="12"/>
      <c r="AB690" s="9"/>
      <c r="AC690" s="12"/>
      <c r="AD690" s="9"/>
      <c r="AE690" s="12"/>
      <c r="AF69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690" s="24"/>
      <c r="AH690" s="266">
        <f>Table4[[#This Row],[Date]]</f>
        <v>46066</v>
      </c>
      <c r="AI690" s="264" t="str">
        <f t="shared" si="130"/>
        <v>Feb</v>
      </c>
      <c r="AJ690" s="264" t="str">
        <f t="shared" si="131"/>
        <v>2026</v>
      </c>
      <c r="AK690" s="270" t="str">
        <f>Table4[[#This Row],[ကုန်သည်အမည်]]</f>
        <v>ကံ့ကော်စတိုး</v>
      </c>
      <c r="AL690" s="270" t="str">
        <f>Table4[[#This Row],[Township]]</f>
        <v>Yay</v>
      </c>
      <c r="AM690" s="271" t="str">
        <f>Table4[[#This Row],[WholeSales]]</f>
        <v>Mini Whole Sales</v>
      </c>
      <c r="AN690" s="272" t="str">
        <f>Table4[[#This Row],[Particular]]</f>
        <v>ကုန်ရောင်း(လက်ငင်း)</v>
      </c>
      <c r="AO690" s="273" t="str">
        <f>Table4[[#This Row],[StockName]]</f>
        <v>ဇေယျဝတီ Red (1 Liter) 30%</v>
      </c>
      <c r="AP690" s="268">
        <f>Table4[[#This Row],[Parking]]</f>
        <v>50</v>
      </c>
      <c r="AQ690" s="268">
        <f>Table4[[#This Row],[SalesBot]]</f>
        <v>600</v>
      </c>
      <c r="AR690" s="268">
        <f>Table4[[#This Row],[Liter]]</f>
        <v>600</v>
      </c>
    </row>
    <row r="691" spans="1:44" s="16" customFormat="1" hidden="1" x14ac:dyDescent="0.5">
      <c r="A691" s="3">
        <f t="shared" si="132"/>
        <v>2026</v>
      </c>
      <c r="B691" s="8">
        <f t="shared" si="133"/>
        <v>2</v>
      </c>
      <c r="C691" s="6">
        <v>46066</v>
      </c>
      <c r="D691" s="15">
        <f t="shared" ca="1" si="134"/>
        <v>46097</v>
      </c>
      <c r="E691" s="15" t="str">
        <f t="shared" ca="1" si="135"/>
        <v>1-Months</v>
      </c>
      <c r="F691" s="8" t="str">
        <f>VLOOKUP(N691,Stock[#Data],5,FALSE)</f>
        <v>BE</v>
      </c>
      <c r="G691" s="82" t="s">
        <v>1400</v>
      </c>
      <c r="H691" s="15"/>
      <c r="I691" s="7" t="s">
        <v>535</v>
      </c>
      <c r="J691" s="8" t="str">
        <f>VLOOKUP(I691,Customers[#Data],2,FALSE)</f>
        <v>ကိုရဲ</v>
      </c>
      <c r="K691" s="15" t="str">
        <f>VLOOKUP(I691,Customers[#Data],4,FALSE)</f>
        <v>Yay</v>
      </c>
      <c r="L691" s="15" t="str">
        <f>VLOOKUP(I691,Customers[#Data],5,FALSE)</f>
        <v>Van Sales</v>
      </c>
      <c r="M691" s="7" t="s">
        <v>6</v>
      </c>
      <c r="N691" s="7" t="s">
        <v>517</v>
      </c>
      <c r="O691" s="14" t="str">
        <f>VLOOKUP(N691,Stock[#Data],2,FALSE)</f>
        <v>ဇေယျဝတီ Red (1 Liter) 30%</v>
      </c>
      <c r="P691" s="44">
        <f>VLOOKUP(N691,Stock[#Data],3,FALSE)</f>
        <v>1</v>
      </c>
      <c r="Q691" s="3">
        <f>VLOOKUP(N691,Stock[#Data],4,FALSE)</f>
        <v>12</v>
      </c>
      <c r="R691" s="11"/>
      <c r="S691" s="45">
        <f>IFERROR(Table4[[#This Row],[Bottle]]/Table4[[#This Row],[ပါဝင်မှု]]+Table4[[#This Row],[SalesPK]],0)</f>
        <v>50</v>
      </c>
      <c r="T691" s="12">
        <v>50</v>
      </c>
      <c r="U691" s="10">
        <f>Table4[[#This Row],[ပါဝင်မှု]]*Table4[[#This Row],[SalesPK]]+Table4[[#This Row],[Bottle]]</f>
        <v>600</v>
      </c>
      <c r="V691" s="10">
        <f>Table4[[#This Row],[SalesBot]]*Table4[[#This Row],[ML]]</f>
        <v>600</v>
      </c>
      <c r="W691" s="1">
        <f>VLOOKUP(N691,Stock[#Data],6,FALSE)</f>
        <v>1710</v>
      </c>
      <c r="X691" s="8">
        <f>+Table4[[#This Row],[SalesBot]]*Table4[[#This Row],[နှုံး]]</f>
        <v>1026000</v>
      </c>
      <c r="Y691" s="12"/>
      <c r="Z691" s="12"/>
      <c r="AA691" s="12"/>
      <c r="AB691" s="9"/>
      <c r="AC691" s="12"/>
      <c r="AD691" s="9"/>
      <c r="AE691" s="12"/>
      <c r="AF69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691" s="24"/>
      <c r="AH691" s="266">
        <f>Table4[[#This Row],[Date]]</f>
        <v>46066</v>
      </c>
      <c r="AI691" s="264" t="str">
        <f t="shared" si="130"/>
        <v>Feb</v>
      </c>
      <c r="AJ691" s="264" t="str">
        <f t="shared" si="131"/>
        <v>2026</v>
      </c>
      <c r="AK691" s="270" t="str">
        <f>Table4[[#This Row],[ကုန်သည်အမည်]]</f>
        <v>ကိုရဲ</v>
      </c>
      <c r="AL691" s="270" t="str">
        <f>Table4[[#This Row],[Township]]</f>
        <v>Yay</v>
      </c>
      <c r="AM691" s="271" t="str">
        <f>Table4[[#This Row],[WholeSales]]</f>
        <v>Van Sales</v>
      </c>
      <c r="AN691" s="272" t="str">
        <f>Table4[[#This Row],[Particular]]</f>
        <v>ကုန်ရောင်း(လက်ငင်း)</v>
      </c>
      <c r="AO691" s="273" t="str">
        <f>Table4[[#This Row],[StockName]]</f>
        <v>ဇေယျဝတီ Red (1 Liter) 30%</v>
      </c>
      <c r="AP691" s="268">
        <f>Table4[[#This Row],[Parking]]</f>
        <v>50</v>
      </c>
      <c r="AQ691" s="268">
        <f>Table4[[#This Row],[SalesBot]]</f>
        <v>600</v>
      </c>
      <c r="AR691" s="268">
        <f>Table4[[#This Row],[Liter]]</f>
        <v>600</v>
      </c>
    </row>
    <row r="692" spans="1:44" s="16" customFormat="1" hidden="1" x14ac:dyDescent="0.5">
      <c r="A692" s="3">
        <f t="shared" si="132"/>
        <v>2026</v>
      </c>
      <c r="B692" s="8">
        <f t="shared" si="133"/>
        <v>2</v>
      </c>
      <c r="C692" s="6">
        <v>46066</v>
      </c>
      <c r="D692" s="15">
        <f t="shared" ca="1" si="134"/>
        <v>46097</v>
      </c>
      <c r="E692" s="15" t="str">
        <f t="shared" ca="1" si="135"/>
        <v>1-Months</v>
      </c>
      <c r="F692" s="8" t="str">
        <f>VLOOKUP(N692,Stock[#Data],5,FALSE)</f>
        <v>BE</v>
      </c>
      <c r="G692" s="82" t="s">
        <v>1401</v>
      </c>
      <c r="H692" s="15"/>
      <c r="I692" s="7" t="s">
        <v>101</v>
      </c>
      <c r="J692" s="8" t="str">
        <f>VLOOKUP(I692,Customers[#Data],2,FALSE)</f>
        <v>ကိုမောင်+မသူဇာ</v>
      </c>
      <c r="K692" s="15" t="str">
        <f>VLOOKUP(I692,Customers[#Data],4,FALSE)</f>
        <v>Yay</v>
      </c>
      <c r="L692" s="15" t="str">
        <f>VLOOKUP(I692,Customers[#Data],5,FALSE)</f>
        <v>WholeSales</v>
      </c>
      <c r="M692" s="7" t="s">
        <v>7</v>
      </c>
      <c r="N692" s="7" t="s">
        <v>517</v>
      </c>
      <c r="O692" s="14" t="str">
        <f>VLOOKUP(N692,Stock[#Data],2,FALSE)</f>
        <v>ဇေယျဝတီ Red (1 Liter) 30%</v>
      </c>
      <c r="P692" s="44">
        <f>VLOOKUP(N692,Stock[#Data],3,FALSE)</f>
        <v>1</v>
      </c>
      <c r="Q692" s="3">
        <f>VLOOKUP(N692,Stock[#Data],4,FALSE)</f>
        <v>12</v>
      </c>
      <c r="R692" s="11"/>
      <c r="S692" s="45">
        <f>IFERROR(Table4[[#This Row],[Bottle]]/Table4[[#This Row],[ပါဝင်မှု]]+Table4[[#This Row],[SalesPK]],0)</f>
        <v>30</v>
      </c>
      <c r="T692" s="12">
        <v>30</v>
      </c>
      <c r="U692" s="10">
        <f>Table4[[#This Row],[ပါဝင်မှု]]*Table4[[#This Row],[SalesPK]]+Table4[[#This Row],[Bottle]]</f>
        <v>360</v>
      </c>
      <c r="V692" s="10">
        <f>Table4[[#This Row],[SalesBot]]*Table4[[#This Row],[ML]]</f>
        <v>360</v>
      </c>
      <c r="W692" s="1">
        <f>VLOOKUP(N692,Stock[#Data],6,FALSE)</f>
        <v>1710</v>
      </c>
      <c r="X692" s="8">
        <f>+Table4[[#This Row],[SalesBot]]*Table4[[#This Row],[နှုံး]]</f>
        <v>615600</v>
      </c>
      <c r="Y692" s="12"/>
      <c r="Z692" s="12"/>
      <c r="AA692" s="12"/>
      <c r="AB692" s="9"/>
      <c r="AC692" s="12"/>
      <c r="AD692" s="9"/>
      <c r="AE692" s="12"/>
      <c r="AF69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615600</v>
      </c>
      <c r="AG692" s="24"/>
      <c r="AH692" s="266">
        <f>Table4[[#This Row],[Date]]</f>
        <v>46066</v>
      </c>
      <c r="AI692" s="264" t="str">
        <f t="shared" si="130"/>
        <v>Feb</v>
      </c>
      <c r="AJ692" s="264" t="str">
        <f t="shared" si="131"/>
        <v>2026</v>
      </c>
      <c r="AK692" s="270" t="str">
        <f>Table4[[#This Row],[ကုန်သည်အမည်]]</f>
        <v>ကိုမောင်+မသူဇာ</v>
      </c>
      <c r="AL692" s="270" t="str">
        <f>Table4[[#This Row],[Township]]</f>
        <v>Yay</v>
      </c>
      <c r="AM692" s="271" t="str">
        <f>Table4[[#This Row],[WholeSales]]</f>
        <v>WholeSales</v>
      </c>
      <c r="AN692" s="272" t="str">
        <f>Table4[[#This Row],[Particular]]</f>
        <v>ကုန်ရောင်း(အကြွေး)</v>
      </c>
      <c r="AO692" s="273" t="str">
        <f>Table4[[#This Row],[StockName]]</f>
        <v>ဇေယျဝတီ Red (1 Liter) 30%</v>
      </c>
      <c r="AP692" s="268">
        <f>Table4[[#This Row],[Parking]]</f>
        <v>30</v>
      </c>
      <c r="AQ692" s="268">
        <f>Table4[[#This Row],[SalesBot]]</f>
        <v>360</v>
      </c>
      <c r="AR692" s="268">
        <f>Table4[[#This Row],[Liter]]</f>
        <v>360</v>
      </c>
    </row>
    <row r="693" spans="1:44" s="16" customFormat="1" hidden="1" x14ac:dyDescent="0.5">
      <c r="A693" s="3">
        <f t="shared" si="132"/>
        <v>2026</v>
      </c>
      <c r="B693" s="8">
        <f t="shared" si="133"/>
        <v>2</v>
      </c>
      <c r="C693" s="6">
        <v>46066</v>
      </c>
      <c r="D693" s="15">
        <f t="shared" ca="1" si="134"/>
        <v>46097</v>
      </c>
      <c r="E693" s="15" t="str">
        <f t="shared" ca="1" si="135"/>
        <v>1-Months</v>
      </c>
      <c r="F693" s="8" t="str">
        <f>VLOOKUP(N693,Stock[#Data],5,FALSE)</f>
        <v>BE</v>
      </c>
      <c r="G693" s="82" t="s">
        <v>1402</v>
      </c>
      <c r="H693" s="15"/>
      <c r="I693" s="7" t="s">
        <v>95</v>
      </c>
      <c r="J693" s="8" t="str">
        <f>VLOOKUP(I693,Customers[#Data],2,FALSE)</f>
        <v>ကျော်စတား</v>
      </c>
      <c r="K693" s="15" t="str">
        <f>VLOOKUP(I693,Customers[#Data],4,FALSE)</f>
        <v>Yay</v>
      </c>
      <c r="L693" s="15" t="str">
        <f>VLOOKUP(I693,Customers[#Data],5,FALSE)</f>
        <v>WholeSales</v>
      </c>
      <c r="M693" s="7" t="s">
        <v>7</v>
      </c>
      <c r="N693" s="7" t="s">
        <v>514</v>
      </c>
      <c r="O693" s="14" t="str">
        <f>VLOOKUP(N693,Stock[#Data],2,FALSE)</f>
        <v>ဇေယျဝတီ Red</v>
      </c>
      <c r="P693" s="44">
        <f>VLOOKUP(N693,Stock[#Data],3,FALSE)</f>
        <v>0.64</v>
      </c>
      <c r="Q693" s="3">
        <f>VLOOKUP(N693,Stock[#Data],4,FALSE)</f>
        <v>14</v>
      </c>
      <c r="R693" s="11"/>
      <c r="S693" s="45">
        <f>IFERROR(Table4[[#This Row],[Bottle]]/Table4[[#This Row],[ပါဝင်မှု]]+Table4[[#This Row],[SalesPK]],0)</f>
        <v>50</v>
      </c>
      <c r="T693" s="12">
        <v>50</v>
      </c>
      <c r="U693" s="10">
        <f>Table4[[#This Row],[ပါဝင်မှု]]*Table4[[#This Row],[SalesPK]]+Table4[[#This Row],[Bottle]]</f>
        <v>700</v>
      </c>
      <c r="V693" s="10">
        <f>Table4[[#This Row],[SalesBot]]*Table4[[#This Row],[ML]]</f>
        <v>448</v>
      </c>
      <c r="W693" s="1">
        <f>VLOOKUP(N693,Stock[#Data],6,FALSE)</f>
        <v>1350</v>
      </c>
      <c r="X693" s="8">
        <f>+Table4[[#This Row],[SalesBot]]*Table4[[#This Row],[နှုံး]]</f>
        <v>945000</v>
      </c>
      <c r="Y693" s="12"/>
      <c r="Z693" s="12"/>
      <c r="AA693" s="12"/>
      <c r="AB693" s="9"/>
      <c r="AC693" s="12"/>
      <c r="AD693" s="9"/>
      <c r="AE693" s="12"/>
      <c r="AF69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693" s="24"/>
      <c r="AH693" s="266">
        <f>Table4[[#This Row],[Date]]</f>
        <v>46066</v>
      </c>
      <c r="AI693" s="264" t="str">
        <f t="shared" si="130"/>
        <v>Feb</v>
      </c>
      <c r="AJ693" s="264" t="str">
        <f t="shared" si="131"/>
        <v>2026</v>
      </c>
      <c r="AK693" s="270" t="str">
        <f>Table4[[#This Row],[ကုန်သည်အမည်]]</f>
        <v>ကျော်စတား</v>
      </c>
      <c r="AL693" s="270" t="str">
        <f>Table4[[#This Row],[Township]]</f>
        <v>Yay</v>
      </c>
      <c r="AM693" s="271" t="str">
        <f>Table4[[#This Row],[WholeSales]]</f>
        <v>WholeSales</v>
      </c>
      <c r="AN693" s="272" t="str">
        <f>Table4[[#This Row],[Particular]]</f>
        <v>ကုန်ရောင်း(အကြွေး)</v>
      </c>
      <c r="AO693" s="273" t="str">
        <f>Table4[[#This Row],[StockName]]</f>
        <v>ဇေယျဝတီ Red</v>
      </c>
      <c r="AP693" s="268">
        <f>Table4[[#This Row],[Parking]]</f>
        <v>50</v>
      </c>
      <c r="AQ693" s="268">
        <f>Table4[[#This Row],[SalesBot]]</f>
        <v>700</v>
      </c>
      <c r="AR693" s="268">
        <f>Table4[[#This Row],[Liter]]</f>
        <v>448</v>
      </c>
    </row>
    <row r="694" spans="1:44" s="16" customFormat="1" hidden="1" x14ac:dyDescent="0.5">
      <c r="A694" s="3">
        <f t="shared" si="132"/>
        <v>2026</v>
      </c>
      <c r="B694" s="8">
        <f t="shared" si="133"/>
        <v>2</v>
      </c>
      <c r="C694" s="6">
        <v>46066</v>
      </c>
      <c r="D694" s="15">
        <f t="shared" ca="1" si="134"/>
        <v>46097</v>
      </c>
      <c r="E694" s="15" t="str">
        <f t="shared" ca="1" si="135"/>
        <v>1-Months</v>
      </c>
      <c r="F694" s="8" t="str">
        <f>VLOOKUP(N694,Stock[#Data],5,FALSE)</f>
        <v>BE</v>
      </c>
      <c r="G694" s="82" t="s">
        <v>1402</v>
      </c>
      <c r="H694" s="15"/>
      <c r="I694" s="7" t="s">
        <v>95</v>
      </c>
      <c r="J694" s="8" t="str">
        <f>VLOOKUP(I694,Customers[#Data],2,FALSE)</f>
        <v>ကျော်စတား</v>
      </c>
      <c r="K694" s="15" t="str">
        <f>VLOOKUP(I694,Customers[#Data],4,FALSE)</f>
        <v>Yay</v>
      </c>
      <c r="L694" s="15" t="str">
        <f>VLOOKUP(I694,Customers[#Data],5,FALSE)</f>
        <v>WholeSales</v>
      </c>
      <c r="M694" s="7" t="s">
        <v>7</v>
      </c>
      <c r="N694" s="7" t="s">
        <v>517</v>
      </c>
      <c r="O694" s="14" t="str">
        <f>VLOOKUP(N694,Stock[#Data],2,FALSE)</f>
        <v>ဇေယျဝတီ Red (1 Liter) 30%</v>
      </c>
      <c r="P694" s="44">
        <f>VLOOKUP(N694,Stock[#Data],3,FALSE)</f>
        <v>1</v>
      </c>
      <c r="Q694" s="3">
        <f>VLOOKUP(N694,Stock[#Data],4,FALSE)</f>
        <v>12</v>
      </c>
      <c r="R694" s="11"/>
      <c r="S694" s="45">
        <f>IFERROR(Table4[[#This Row],[Bottle]]/Table4[[#This Row],[ပါဝင်မှု]]+Table4[[#This Row],[SalesPK]],0)</f>
        <v>150</v>
      </c>
      <c r="T694" s="12">
        <v>150</v>
      </c>
      <c r="U694" s="10">
        <f>Table4[[#This Row],[ပါဝင်မှု]]*Table4[[#This Row],[SalesPK]]+Table4[[#This Row],[Bottle]]</f>
        <v>1800</v>
      </c>
      <c r="V694" s="10">
        <f>Table4[[#This Row],[SalesBot]]*Table4[[#This Row],[ML]]</f>
        <v>1800</v>
      </c>
      <c r="W694" s="1">
        <f>VLOOKUP(N694,Stock[#Data],6,FALSE)</f>
        <v>1710</v>
      </c>
      <c r="X694" s="8">
        <f>+Table4[[#This Row],[SalesBot]]*Table4[[#This Row],[နှုံး]]</f>
        <v>3078000</v>
      </c>
      <c r="Y694" s="12"/>
      <c r="Z694" s="12"/>
      <c r="AA694" s="12"/>
      <c r="AB694" s="9"/>
      <c r="AC694" s="12"/>
      <c r="AD694" s="9"/>
      <c r="AE694" s="12"/>
      <c r="AF69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3078000</v>
      </c>
      <c r="AG694" s="24"/>
      <c r="AH694" s="266">
        <f>Table4[[#This Row],[Date]]</f>
        <v>46066</v>
      </c>
      <c r="AI694" s="264" t="str">
        <f t="shared" si="130"/>
        <v>Feb</v>
      </c>
      <c r="AJ694" s="264" t="str">
        <f t="shared" si="131"/>
        <v>2026</v>
      </c>
      <c r="AK694" s="270" t="str">
        <f>Table4[[#This Row],[ကုန်သည်အမည်]]</f>
        <v>ကျော်စတား</v>
      </c>
      <c r="AL694" s="270" t="str">
        <f>Table4[[#This Row],[Township]]</f>
        <v>Yay</v>
      </c>
      <c r="AM694" s="271" t="str">
        <f>Table4[[#This Row],[WholeSales]]</f>
        <v>WholeSales</v>
      </c>
      <c r="AN694" s="272" t="str">
        <f>Table4[[#This Row],[Particular]]</f>
        <v>ကုန်ရောင်း(အကြွေး)</v>
      </c>
      <c r="AO694" s="273" t="str">
        <f>Table4[[#This Row],[StockName]]</f>
        <v>ဇေယျဝတီ Red (1 Liter) 30%</v>
      </c>
      <c r="AP694" s="268">
        <f>Table4[[#This Row],[Parking]]</f>
        <v>150</v>
      </c>
      <c r="AQ694" s="268">
        <f>Table4[[#This Row],[SalesBot]]</f>
        <v>1800</v>
      </c>
      <c r="AR694" s="268">
        <f>Table4[[#This Row],[Liter]]</f>
        <v>1800</v>
      </c>
    </row>
    <row r="695" spans="1:44" s="16" customFormat="1" hidden="1" x14ac:dyDescent="0.5">
      <c r="A695" s="3">
        <f t="shared" si="132"/>
        <v>2026</v>
      </c>
      <c r="B695" s="8">
        <f t="shared" si="133"/>
        <v>2</v>
      </c>
      <c r="C695" s="6">
        <v>46066</v>
      </c>
      <c r="D695" s="15">
        <f t="shared" ca="1" si="134"/>
        <v>46097</v>
      </c>
      <c r="E695" s="15" t="str">
        <f t="shared" ca="1" si="135"/>
        <v>1-Months</v>
      </c>
      <c r="F695" s="8" t="str">
        <f>VLOOKUP(N695,Stock[#Data],5,FALSE)</f>
        <v>BE</v>
      </c>
      <c r="G695" s="82" t="s">
        <v>1402</v>
      </c>
      <c r="H695" s="15"/>
      <c r="I695" s="7" t="s">
        <v>95</v>
      </c>
      <c r="J695" s="8" t="str">
        <f>VLOOKUP(I695,Customers[#Data],2,FALSE)</f>
        <v>ကျော်စတား</v>
      </c>
      <c r="K695" s="15" t="str">
        <f>VLOOKUP(I695,Customers[#Data],4,FALSE)</f>
        <v>Yay</v>
      </c>
      <c r="L695" s="15" t="str">
        <f>VLOOKUP(I695,Customers[#Data],5,FALSE)</f>
        <v>WholeSales</v>
      </c>
      <c r="M695" s="7" t="s">
        <v>7</v>
      </c>
      <c r="N695" s="7" t="s">
        <v>514</v>
      </c>
      <c r="O695" s="14" t="str">
        <f>VLOOKUP(N695,Stock[#Data],2,FALSE)</f>
        <v>ဇေယျဝတီ Red</v>
      </c>
      <c r="P695" s="44">
        <f>VLOOKUP(N695,Stock[#Data],3,FALSE)</f>
        <v>0.64</v>
      </c>
      <c r="Q695" s="3">
        <f>VLOOKUP(N695,Stock[#Data],4,FALSE)</f>
        <v>14</v>
      </c>
      <c r="R695" s="11"/>
      <c r="S695" s="45">
        <f>IFERROR(Table4[[#This Row],[Bottle]]/Table4[[#This Row],[ပါဝင်မှု]]+Table4[[#This Row],[SalesPK]],0)</f>
        <v>150</v>
      </c>
      <c r="T695" s="12">
        <v>150</v>
      </c>
      <c r="U695" s="10">
        <f>Table4[[#This Row],[ပါဝင်မှု]]*Table4[[#This Row],[SalesPK]]+Table4[[#This Row],[Bottle]]</f>
        <v>2100</v>
      </c>
      <c r="V695" s="10">
        <f>Table4[[#This Row],[SalesBot]]*Table4[[#This Row],[ML]]</f>
        <v>1344</v>
      </c>
      <c r="W695" s="1">
        <f>VLOOKUP(N695,Stock[#Data],6,FALSE)</f>
        <v>1350</v>
      </c>
      <c r="X695" s="8">
        <f>+Table4[[#This Row],[SalesBot]]*Table4[[#This Row],[နှုံး]]</f>
        <v>2835000</v>
      </c>
      <c r="Y695" s="12"/>
      <c r="Z695" s="12"/>
      <c r="AA695" s="12"/>
      <c r="AB695" s="9"/>
      <c r="AC695" s="12"/>
      <c r="AD695" s="9"/>
      <c r="AE695" s="12"/>
      <c r="AF69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2835000</v>
      </c>
      <c r="AG695" s="24"/>
      <c r="AH695" s="266">
        <f>Table4[[#This Row],[Date]]</f>
        <v>46066</v>
      </c>
      <c r="AI695" s="264" t="str">
        <f t="shared" si="130"/>
        <v>Feb</v>
      </c>
      <c r="AJ695" s="264" t="str">
        <f t="shared" si="131"/>
        <v>2026</v>
      </c>
      <c r="AK695" s="270" t="str">
        <f>Table4[[#This Row],[ကုန်သည်အမည်]]</f>
        <v>ကျော်စတား</v>
      </c>
      <c r="AL695" s="270" t="str">
        <f>Table4[[#This Row],[Township]]</f>
        <v>Yay</v>
      </c>
      <c r="AM695" s="271" t="str">
        <f>Table4[[#This Row],[WholeSales]]</f>
        <v>WholeSales</v>
      </c>
      <c r="AN695" s="272" t="str">
        <f>Table4[[#This Row],[Particular]]</f>
        <v>ကုန်ရောင်း(အကြွေး)</v>
      </c>
      <c r="AO695" s="273" t="str">
        <f>Table4[[#This Row],[StockName]]</f>
        <v>ဇေယျဝတီ Red</v>
      </c>
      <c r="AP695" s="268">
        <f>Table4[[#This Row],[Parking]]</f>
        <v>150</v>
      </c>
      <c r="AQ695" s="268">
        <f>Table4[[#This Row],[SalesBot]]</f>
        <v>2100</v>
      </c>
      <c r="AR695" s="268">
        <f>Table4[[#This Row],[Liter]]</f>
        <v>1344</v>
      </c>
    </row>
    <row r="696" spans="1:44" s="16" customFormat="1" hidden="1" x14ac:dyDescent="0.5">
      <c r="A696" s="3">
        <f t="shared" si="132"/>
        <v>2026</v>
      </c>
      <c r="B696" s="8">
        <f t="shared" si="133"/>
        <v>2</v>
      </c>
      <c r="C696" s="6">
        <v>46066</v>
      </c>
      <c r="D696" s="15">
        <f t="shared" ca="1" si="134"/>
        <v>46097</v>
      </c>
      <c r="E696" s="15" t="str">
        <f t="shared" ca="1" si="135"/>
        <v>1-Months</v>
      </c>
      <c r="F696" s="8" t="str">
        <f>VLOOKUP(N696,Stock[#Data],5,FALSE)</f>
        <v>BE</v>
      </c>
      <c r="G696" s="82" t="s">
        <v>1402</v>
      </c>
      <c r="H696" s="15"/>
      <c r="I696" s="7" t="s">
        <v>95</v>
      </c>
      <c r="J696" s="8" t="str">
        <f>VLOOKUP(I696,Customers[#Data],2,FALSE)</f>
        <v>ကျော်စတား</v>
      </c>
      <c r="K696" s="15" t="str">
        <f>VLOOKUP(I696,Customers[#Data],4,FALSE)</f>
        <v>Yay</v>
      </c>
      <c r="L696" s="15" t="str">
        <f>VLOOKUP(I696,Customers[#Data],5,FALSE)</f>
        <v>WholeSales</v>
      </c>
      <c r="M696" s="7" t="s">
        <v>7</v>
      </c>
      <c r="N696" s="7" t="s">
        <v>517</v>
      </c>
      <c r="O696" s="14" t="str">
        <f>VLOOKUP(N696,Stock[#Data],2,FALSE)</f>
        <v>ဇေယျဝတီ Red (1 Liter) 30%</v>
      </c>
      <c r="P696" s="44">
        <f>VLOOKUP(N696,Stock[#Data],3,FALSE)</f>
        <v>1</v>
      </c>
      <c r="Q696" s="3">
        <f>VLOOKUP(N696,Stock[#Data],4,FALSE)</f>
        <v>12</v>
      </c>
      <c r="R696" s="11"/>
      <c r="S696" s="45">
        <f>IFERROR(Table4[[#This Row],[Bottle]]/Table4[[#This Row],[ပါဝင်မှု]]+Table4[[#This Row],[SalesPK]],0)</f>
        <v>50</v>
      </c>
      <c r="T696" s="12">
        <v>50</v>
      </c>
      <c r="U696" s="10">
        <f>Table4[[#This Row],[ပါဝင်မှု]]*Table4[[#This Row],[SalesPK]]+Table4[[#This Row],[Bottle]]</f>
        <v>600</v>
      </c>
      <c r="V696" s="10">
        <f>Table4[[#This Row],[SalesBot]]*Table4[[#This Row],[ML]]</f>
        <v>600</v>
      </c>
      <c r="W696" s="1">
        <f>VLOOKUP(N696,Stock[#Data],6,FALSE)</f>
        <v>1710</v>
      </c>
      <c r="X696" s="8">
        <f>+Table4[[#This Row],[SalesBot]]*Table4[[#This Row],[နှုံး]]</f>
        <v>1026000</v>
      </c>
      <c r="Y696" s="12"/>
      <c r="Z696" s="12"/>
      <c r="AA696" s="12"/>
      <c r="AB696" s="9"/>
      <c r="AC696" s="12"/>
      <c r="AD696" s="9"/>
      <c r="AE696" s="12"/>
      <c r="AF69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696" s="24"/>
      <c r="AH696" s="266">
        <f>Table4[[#This Row],[Date]]</f>
        <v>46066</v>
      </c>
      <c r="AI696" s="264" t="str">
        <f t="shared" si="130"/>
        <v>Feb</v>
      </c>
      <c r="AJ696" s="264" t="str">
        <f t="shared" si="131"/>
        <v>2026</v>
      </c>
      <c r="AK696" s="270" t="str">
        <f>Table4[[#This Row],[ကုန်သည်အမည်]]</f>
        <v>ကျော်စတား</v>
      </c>
      <c r="AL696" s="270" t="str">
        <f>Table4[[#This Row],[Township]]</f>
        <v>Yay</v>
      </c>
      <c r="AM696" s="271" t="str">
        <f>Table4[[#This Row],[WholeSales]]</f>
        <v>WholeSales</v>
      </c>
      <c r="AN696" s="272" t="str">
        <f>Table4[[#This Row],[Particular]]</f>
        <v>ကုန်ရောင်း(အကြွေး)</v>
      </c>
      <c r="AO696" s="273" t="str">
        <f>Table4[[#This Row],[StockName]]</f>
        <v>ဇေယျဝတီ Red (1 Liter) 30%</v>
      </c>
      <c r="AP696" s="268">
        <f>Table4[[#This Row],[Parking]]</f>
        <v>50</v>
      </c>
      <c r="AQ696" s="268">
        <f>Table4[[#This Row],[SalesBot]]</f>
        <v>600</v>
      </c>
      <c r="AR696" s="268">
        <f>Table4[[#This Row],[Liter]]</f>
        <v>600</v>
      </c>
    </row>
    <row r="697" spans="1:44" s="16" customFormat="1" hidden="1" x14ac:dyDescent="0.5">
      <c r="A697" s="3">
        <f t="shared" si="132"/>
        <v>2026</v>
      </c>
      <c r="B697" s="8">
        <f t="shared" si="133"/>
        <v>2</v>
      </c>
      <c r="C697" s="6">
        <v>46066</v>
      </c>
      <c r="D697" s="15">
        <f t="shared" ca="1" si="134"/>
        <v>46097</v>
      </c>
      <c r="E697" s="15" t="str">
        <f t="shared" ca="1" si="135"/>
        <v>1-Months</v>
      </c>
      <c r="F697" s="8" t="str">
        <f>VLOOKUP(N697,Stock[#Data],5,FALSE)</f>
        <v>BE</v>
      </c>
      <c r="G697" s="82" t="s">
        <v>1403</v>
      </c>
      <c r="H697" s="15"/>
      <c r="I697" s="7" t="s">
        <v>82</v>
      </c>
      <c r="J697" s="8" t="str">
        <f>VLOOKUP(I697,Customers[#Data],2,FALSE)</f>
        <v>ဒေါ်ထွန်းမေ</v>
      </c>
      <c r="K697" s="15" t="str">
        <f>VLOOKUP(I697,Customers[#Data],4,FALSE)</f>
        <v>Maw La Myaing</v>
      </c>
      <c r="L697" s="15" t="str">
        <f>VLOOKUP(I697,Customers[#Data],5,FALSE)</f>
        <v>WholeSales</v>
      </c>
      <c r="M697" s="7" t="s">
        <v>7</v>
      </c>
      <c r="N697" s="7" t="s">
        <v>521</v>
      </c>
      <c r="O697" s="14" t="str">
        <f>VLOOKUP(N697,Stock[#Data],2,FALSE)</f>
        <v>ဒဂုံအရက်သန့်</v>
      </c>
      <c r="P697" s="44">
        <f>VLOOKUP(N697,Stock[#Data],3,FALSE)</f>
        <v>0.64</v>
      </c>
      <c r="Q697" s="3">
        <f>VLOOKUP(N697,Stock[#Data],4,FALSE)</f>
        <v>24</v>
      </c>
      <c r="R697" s="11"/>
      <c r="S697" s="45">
        <f>IFERROR(Table4[[#This Row],[Bottle]]/Table4[[#This Row],[ပါဝင်မှု]]+Table4[[#This Row],[SalesPK]],0)</f>
        <v>60</v>
      </c>
      <c r="T697" s="12">
        <v>60</v>
      </c>
      <c r="U697" s="10">
        <f>Table4[[#This Row],[ပါဝင်မှု]]*Table4[[#This Row],[SalesPK]]+Table4[[#This Row],[Bottle]]</f>
        <v>1440</v>
      </c>
      <c r="V697" s="10">
        <f>Table4[[#This Row],[SalesBot]]*Table4[[#This Row],[ML]]</f>
        <v>921.6</v>
      </c>
      <c r="W697" s="1">
        <f>VLOOKUP(N697,Stock[#Data],6,FALSE)</f>
        <v>1350</v>
      </c>
      <c r="X697" s="8">
        <f>+Table4[[#This Row],[SalesBot]]*Table4[[#This Row],[နှုံး]]</f>
        <v>1944000</v>
      </c>
      <c r="Y697" s="12"/>
      <c r="Z697" s="12"/>
      <c r="AA697" s="12"/>
      <c r="AB697" s="9"/>
      <c r="AC697" s="12"/>
      <c r="AD697" s="9"/>
      <c r="AE697" s="12"/>
      <c r="AF69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1944000</v>
      </c>
      <c r="AG697" s="24"/>
      <c r="AH697" s="266">
        <f>Table4[[#This Row],[Date]]</f>
        <v>46066</v>
      </c>
      <c r="AI697" s="264" t="str">
        <f t="shared" si="130"/>
        <v>Feb</v>
      </c>
      <c r="AJ697" s="264" t="str">
        <f t="shared" si="131"/>
        <v>2026</v>
      </c>
      <c r="AK697" s="270" t="str">
        <f>Table4[[#This Row],[ကုန်သည်အမည်]]</f>
        <v>ဒေါ်ထွန်းမေ</v>
      </c>
      <c r="AL697" s="270" t="str">
        <f>Table4[[#This Row],[Township]]</f>
        <v>Maw La Myaing</v>
      </c>
      <c r="AM697" s="271" t="str">
        <f>Table4[[#This Row],[WholeSales]]</f>
        <v>WholeSales</v>
      </c>
      <c r="AN697" s="272" t="str">
        <f>Table4[[#This Row],[Particular]]</f>
        <v>ကုန်ရောင်း(အကြွေး)</v>
      </c>
      <c r="AO697" s="273" t="str">
        <f>Table4[[#This Row],[StockName]]</f>
        <v>ဒဂုံအရက်သန့်</v>
      </c>
      <c r="AP697" s="268">
        <f>Table4[[#This Row],[Parking]]</f>
        <v>60</v>
      </c>
      <c r="AQ697" s="268">
        <f>Table4[[#This Row],[SalesBot]]</f>
        <v>1440</v>
      </c>
      <c r="AR697" s="268">
        <f>Table4[[#This Row],[Liter]]</f>
        <v>921.6</v>
      </c>
    </row>
    <row r="698" spans="1:44" s="16" customFormat="1" hidden="1" x14ac:dyDescent="0.5">
      <c r="A698" s="3">
        <f t="shared" si="132"/>
        <v>2026</v>
      </c>
      <c r="B698" s="8">
        <f t="shared" si="133"/>
        <v>2</v>
      </c>
      <c r="C698" s="6">
        <v>46066</v>
      </c>
      <c r="D698" s="15">
        <f t="shared" ca="1" si="134"/>
        <v>46097</v>
      </c>
      <c r="E698" s="15" t="str">
        <f t="shared" ca="1" si="135"/>
        <v>1-Months</v>
      </c>
      <c r="F698" s="8" t="str">
        <f>VLOOKUP(N698,Stock[#Data],5,FALSE)</f>
        <v>BE</v>
      </c>
      <c r="G698" s="82" t="s">
        <v>1404</v>
      </c>
      <c r="H698" s="15"/>
      <c r="I698" s="7" t="s">
        <v>723</v>
      </c>
      <c r="J698" s="8" t="str">
        <f>VLOOKUP(I698,Customers[#Data],2,FALSE)</f>
        <v>ဆန်းသစ်ကမ္ဘာ</v>
      </c>
      <c r="K698" s="15" t="str">
        <f>VLOOKUP(I698,Customers[#Data],4,FALSE)</f>
        <v>Maw La Myaing</v>
      </c>
      <c r="L698" s="15" t="str">
        <f>VLOOKUP(I698,Customers[#Data],5,FALSE)</f>
        <v>Van Sales</v>
      </c>
      <c r="M698" s="7" t="s">
        <v>6</v>
      </c>
      <c r="N698" s="7" t="s">
        <v>516</v>
      </c>
      <c r="O698" s="14" t="str">
        <f>VLOOKUP(N698,Stock[#Data],2,FALSE)</f>
        <v>ဇေ Vodka</v>
      </c>
      <c r="P698" s="44">
        <f>VLOOKUP(N698,Stock[#Data],3,FALSE)</f>
        <v>0.64</v>
      </c>
      <c r="Q698" s="3">
        <f>VLOOKUP(N698,Stock[#Data],4,FALSE)</f>
        <v>14</v>
      </c>
      <c r="R698" s="11"/>
      <c r="S698" s="45">
        <f>IFERROR(Table4[[#This Row],[Bottle]]/Table4[[#This Row],[ပါဝင်မှု]]+Table4[[#This Row],[SalesPK]],0)</f>
        <v>1</v>
      </c>
      <c r="T698" s="12">
        <v>1</v>
      </c>
      <c r="U698" s="10">
        <f>Table4[[#This Row],[ပါဝင်မှု]]*Table4[[#This Row],[SalesPK]]+Table4[[#This Row],[Bottle]]</f>
        <v>14</v>
      </c>
      <c r="V698" s="10">
        <f>Table4[[#This Row],[SalesBot]]*Table4[[#This Row],[ML]]</f>
        <v>8.9600000000000009</v>
      </c>
      <c r="W698" s="1">
        <f>VLOOKUP(N698,Stock[#Data],6,FALSE)</f>
        <v>1400</v>
      </c>
      <c r="X698" s="8">
        <f>+Table4[[#This Row],[SalesBot]]*Table4[[#This Row],[နှုံး]]</f>
        <v>19600</v>
      </c>
      <c r="Y698" s="12"/>
      <c r="Z698" s="12"/>
      <c r="AA698" s="12"/>
      <c r="AB698" s="9"/>
      <c r="AC698" s="12"/>
      <c r="AD698" s="9"/>
      <c r="AE698" s="12"/>
      <c r="AF69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</v>
      </c>
      <c r="AG698" s="24"/>
      <c r="AH698" s="266">
        <f>Table4[[#This Row],[Date]]</f>
        <v>46066</v>
      </c>
      <c r="AI698" s="264" t="str">
        <f t="shared" si="130"/>
        <v>Feb</v>
      </c>
      <c r="AJ698" s="264" t="str">
        <f t="shared" si="131"/>
        <v>2026</v>
      </c>
      <c r="AK698" s="270" t="str">
        <f>Table4[[#This Row],[ကုန်သည်အမည်]]</f>
        <v>ဆန်းသစ်ကမ္ဘာ</v>
      </c>
      <c r="AL698" s="270" t="str">
        <f>Table4[[#This Row],[Township]]</f>
        <v>Maw La Myaing</v>
      </c>
      <c r="AM698" s="271" t="str">
        <f>Table4[[#This Row],[WholeSales]]</f>
        <v>Van Sales</v>
      </c>
      <c r="AN698" s="272" t="str">
        <f>Table4[[#This Row],[Particular]]</f>
        <v>ကုန်ရောင်း(လက်ငင်း)</v>
      </c>
      <c r="AO698" s="273" t="str">
        <f>Table4[[#This Row],[StockName]]</f>
        <v>ဇေ Vodka</v>
      </c>
      <c r="AP698" s="268">
        <f>Table4[[#This Row],[Parking]]</f>
        <v>1</v>
      </c>
      <c r="AQ698" s="268">
        <f>Table4[[#This Row],[SalesBot]]</f>
        <v>14</v>
      </c>
      <c r="AR698" s="268">
        <f>Table4[[#This Row],[Liter]]</f>
        <v>8.9600000000000009</v>
      </c>
    </row>
    <row r="699" spans="1:44" s="16" customFormat="1" hidden="1" x14ac:dyDescent="0.5">
      <c r="A699" s="3">
        <f t="shared" si="132"/>
        <v>2026</v>
      </c>
      <c r="B699" s="8">
        <f t="shared" si="133"/>
        <v>2</v>
      </c>
      <c r="C699" s="6">
        <v>46066</v>
      </c>
      <c r="D699" s="15">
        <f t="shared" ca="1" si="134"/>
        <v>46097</v>
      </c>
      <c r="E699" s="15" t="str">
        <f t="shared" ca="1" si="135"/>
        <v>1-Months</v>
      </c>
      <c r="F699" s="8" t="str">
        <f>VLOOKUP(N699,Stock[#Data],5,FALSE)</f>
        <v>BE</v>
      </c>
      <c r="G699" s="82" t="s">
        <v>1405</v>
      </c>
      <c r="H699" s="15"/>
      <c r="I699" s="7" t="s">
        <v>1155</v>
      </c>
      <c r="J699" s="8" t="str">
        <f>VLOOKUP(I699,Customers[#Data],2,FALSE)</f>
        <v>ကိုစံ</v>
      </c>
      <c r="K699" s="15" t="str">
        <f>VLOOKUP(I699,Customers[#Data],4,FALSE)</f>
        <v>Maw La Myaing</v>
      </c>
      <c r="L699" s="15" t="str">
        <f>VLOOKUP(I699,Customers[#Data],5,FALSE)</f>
        <v>Van Sales</v>
      </c>
      <c r="M699" s="7" t="s">
        <v>6</v>
      </c>
      <c r="N699" s="7" t="s">
        <v>518</v>
      </c>
      <c r="O699" s="14" t="str">
        <f>VLOOKUP(N699,Stock[#Data],2,FALSE)</f>
        <v>"ဇေ" ကော်ဘူး (1 Liter)</v>
      </c>
      <c r="P699" s="44">
        <f>VLOOKUP(N699,Stock[#Data],3,FALSE)</f>
        <v>1</v>
      </c>
      <c r="Q699" s="3">
        <f>VLOOKUP(N699,Stock[#Data],4,FALSE)</f>
        <v>12</v>
      </c>
      <c r="R699" s="11"/>
      <c r="S699" s="45">
        <f>IFERROR(Table4[[#This Row],[Bottle]]/Table4[[#This Row],[ပါဝင်မှု]]+Table4[[#This Row],[SalesPK]],0)</f>
        <v>1</v>
      </c>
      <c r="T699" s="12">
        <v>1</v>
      </c>
      <c r="U699" s="10">
        <f>Table4[[#This Row],[ပါဝင်မှု]]*Table4[[#This Row],[SalesPK]]+Table4[[#This Row],[Bottle]]</f>
        <v>12</v>
      </c>
      <c r="V699" s="10">
        <f>Table4[[#This Row],[SalesBot]]*Table4[[#This Row],[ML]]</f>
        <v>12</v>
      </c>
      <c r="W699" s="1">
        <f>VLOOKUP(N699,Stock[#Data],6,FALSE)</f>
        <v>1675</v>
      </c>
      <c r="X699" s="8">
        <f>+Table4[[#This Row],[SalesBot]]*Table4[[#This Row],[နှုံး]]</f>
        <v>20100</v>
      </c>
      <c r="Y699" s="12"/>
      <c r="Z699" s="12"/>
      <c r="AA699" s="12"/>
      <c r="AB699" s="9"/>
      <c r="AC699" s="12"/>
      <c r="AD699" s="9"/>
      <c r="AE699" s="12"/>
      <c r="AF69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</v>
      </c>
      <c r="AG699" s="24"/>
      <c r="AH699" s="266">
        <f>Table4[[#This Row],[Date]]</f>
        <v>46066</v>
      </c>
      <c r="AI699" s="264" t="str">
        <f t="shared" si="130"/>
        <v>Feb</v>
      </c>
      <c r="AJ699" s="264" t="str">
        <f t="shared" si="131"/>
        <v>2026</v>
      </c>
      <c r="AK699" s="270" t="str">
        <f>Table4[[#This Row],[ကုန်သည်အမည်]]</f>
        <v>ကိုစံ</v>
      </c>
      <c r="AL699" s="270" t="str">
        <f>Table4[[#This Row],[Township]]</f>
        <v>Maw La Myaing</v>
      </c>
      <c r="AM699" s="271" t="str">
        <f>Table4[[#This Row],[WholeSales]]</f>
        <v>Van Sales</v>
      </c>
      <c r="AN699" s="272" t="str">
        <f>Table4[[#This Row],[Particular]]</f>
        <v>ကုန်ရောင်း(လက်ငင်း)</v>
      </c>
      <c r="AO699" s="273" t="str">
        <f>Table4[[#This Row],[StockName]]</f>
        <v>"ဇေ" ကော်ဘူး (1 Liter)</v>
      </c>
      <c r="AP699" s="268">
        <f>Table4[[#This Row],[Parking]]</f>
        <v>1</v>
      </c>
      <c r="AQ699" s="268">
        <f>Table4[[#This Row],[SalesBot]]</f>
        <v>12</v>
      </c>
      <c r="AR699" s="268">
        <f>Table4[[#This Row],[Liter]]</f>
        <v>12</v>
      </c>
    </row>
    <row r="700" spans="1:44" s="16" customFormat="1" hidden="1" x14ac:dyDescent="0.5">
      <c r="A700" s="3">
        <f t="shared" si="132"/>
        <v>2026</v>
      </c>
      <c r="B700" s="8">
        <f t="shared" si="133"/>
        <v>2</v>
      </c>
      <c r="C700" s="6">
        <v>46066</v>
      </c>
      <c r="D700" s="15">
        <f t="shared" ca="1" si="134"/>
        <v>46097</v>
      </c>
      <c r="E700" s="15" t="str">
        <f t="shared" ca="1" si="135"/>
        <v>1-Months</v>
      </c>
      <c r="F700" s="8" t="str">
        <f>VLOOKUP(N700,Stock[#Data],5,FALSE)</f>
        <v>BE</v>
      </c>
      <c r="G700" s="82" t="s">
        <v>1406</v>
      </c>
      <c r="H700" s="15"/>
      <c r="I700" s="7" t="s">
        <v>376</v>
      </c>
      <c r="J700" s="8" t="str">
        <f>VLOOKUP(I700,Customers[#Data],2,FALSE)</f>
        <v>Feeling Store</v>
      </c>
      <c r="K700" s="15" t="str">
        <f>VLOOKUP(I700,Customers[#Data],4,FALSE)</f>
        <v>Maw La Myaing</v>
      </c>
      <c r="L700" s="15" t="str">
        <f>VLOOKUP(I700,Customers[#Data],5,FALSE)</f>
        <v>Van Sales</v>
      </c>
      <c r="M700" s="7" t="s">
        <v>6</v>
      </c>
      <c r="N700" s="7" t="s">
        <v>518</v>
      </c>
      <c r="O700" s="14" t="str">
        <f>VLOOKUP(N700,Stock[#Data],2,FALSE)</f>
        <v>"ဇေ" ကော်ဘူး (1 Liter)</v>
      </c>
      <c r="P700" s="44">
        <f>VLOOKUP(N700,Stock[#Data],3,FALSE)</f>
        <v>1</v>
      </c>
      <c r="Q700" s="3">
        <f>VLOOKUP(N700,Stock[#Data],4,FALSE)</f>
        <v>12</v>
      </c>
      <c r="R700" s="11"/>
      <c r="S700" s="45">
        <f>IFERROR(Table4[[#This Row],[Bottle]]/Table4[[#This Row],[ပါဝင်မှု]]+Table4[[#This Row],[SalesPK]],0)</f>
        <v>1</v>
      </c>
      <c r="T700" s="12">
        <v>1</v>
      </c>
      <c r="U700" s="10">
        <f>Table4[[#This Row],[ပါဝင်မှု]]*Table4[[#This Row],[SalesPK]]+Table4[[#This Row],[Bottle]]</f>
        <v>12</v>
      </c>
      <c r="V700" s="10">
        <f>Table4[[#This Row],[SalesBot]]*Table4[[#This Row],[ML]]</f>
        <v>12</v>
      </c>
      <c r="W700" s="1">
        <f>VLOOKUP(N700,Stock[#Data],6,FALSE)</f>
        <v>1675</v>
      </c>
      <c r="X700" s="8">
        <f>+Table4[[#This Row],[SalesBot]]*Table4[[#This Row],[နှုံး]]</f>
        <v>20100</v>
      </c>
      <c r="Y700" s="12"/>
      <c r="Z700" s="12"/>
      <c r="AA700" s="12"/>
      <c r="AB700" s="9"/>
      <c r="AC700" s="12"/>
      <c r="AD700" s="9"/>
      <c r="AE700" s="12"/>
      <c r="AF70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</v>
      </c>
      <c r="AG700" s="24"/>
      <c r="AH700" s="266">
        <f>Table4[[#This Row],[Date]]</f>
        <v>46066</v>
      </c>
      <c r="AI700" s="264" t="str">
        <f t="shared" si="130"/>
        <v>Feb</v>
      </c>
      <c r="AJ700" s="264" t="str">
        <f t="shared" si="131"/>
        <v>2026</v>
      </c>
      <c r="AK700" s="270" t="str">
        <f>Table4[[#This Row],[ကုန်သည်အမည်]]</f>
        <v>Feeling Store</v>
      </c>
      <c r="AL700" s="270" t="str">
        <f>Table4[[#This Row],[Township]]</f>
        <v>Maw La Myaing</v>
      </c>
      <c r="AM700" s="271" t="str">
        <f>Table4[[#This Row],[WholeSales]]</f>
        <v>Van Sales</v>
      </c>
      <c r="AN700" s="272" t="str">
        <f>Table4[[#This Row],[Particular]]</f>
        <v>ကုန်ရောင်း(လက်ငင်း)</v>
      </c>
      <c r="AO700" s="273" t="str">
        <f>Table4[[#This Row],[StockName]]</f>
        <v>"ဇေ" ကော်ဘူး (1 Liter)</v>
      </c>
      <c r="AP700" s="268">
        <f>Table4[[#This Row],[Parking]]</f>
        <v>1</v>
      </c>
      <c r="AQ700" s="268">
        <f>Table4[[#This Row],[SalesBot]]</f>
        <v>12</v>
      </c>
      <c r="AR700" s="268">
        <f>Table4[[#This Row],[Liter]]</f>
        <v>12</v>
      </c>
    </row>
    <row r="701" spans="1:44" s="16" customFormat="1" hidden="1" x14ac:dyDescent="0.5">
      <c r="A701" s="3">
        <f t="shared" si="132"/>
        <v>2026</v>
      </c>
      <c r="B701" s="8">
        <f t="shared" si="133"/>
        <v>2</v>
      </c>
      <c r="C701" s="6">
        <v>46066</v>
      </c>
      <c r="D701" s="15">
        <f t="shared" ca="1" si="134"/>
        <v>46097</v>
      </c>
      <c r="E701" s="15" t="str">
        <f t="shared" ca="1" si="135"/>
        <v>1-Months</v>
      </c>
      <c r="F701" s="8" t="str">
        <f>VLOOKUP(N701,Stock[#Data],5,FALSE)</f>
        <v>BE</v>
      </c>
      <c r="G701" s="82" t="s">
        <v>1407</v>
      </c>
      <c r="H701" s="15"/>
      <c r="I701" s="7" t="s">
        <v>725</v>
      </c>
      <c r="J701" s="8" t="str">
        <f>VLOOKUP(I701,Customers[#Data],2,FALSE)</f>
        <v>ရွှေနဂါး</v>
      </c>
      <c r="K701" s="15" t="str">
        <f>VLOOKUP(I701,Customers[#Data],4,FALSE)</f>
        <v>Maw La Myaing</v>
      </c>
      <c r="L701" s="15" t="str">
        <f>VLOOKUP(I701,Customers[#Data],5,FALSE)</f>
        <v>Van Sales</v>
      </c>
      <c r="M701" s="7" t="s">
        <v>6</v>
      </c>
      <c r="N701" s="7" t="s">
        <v>518</v>
      </c>
      <c r="O701" s="14" t="str">
        <f>VLOOKUP(N701,Stock[#Data],2,FALSE)</f>
        <v>"ဇေ" ကော်ဘူး (1 Liter)</v>
      </c>
      <c r="P701" s="44">
        <f>VLOOKUP(N701,Stock[#Data],3,FALSE)</f>
        <v>1</v>
      </c>
      <c r="Q701" s="3">
        <f>VLOOKUP(N701,Stock[#Data],4,FALSE)</f>
        <v>12</v>
      </c>
      <c r="R701" s="11"/>
      <c r="S701" s="45">
        <f>IFERROR(Table4[[#This Row],[Bottle]]/Table4[[#This Row],[ပါဝင်မှု]]+Table4[[#This Row],[SalesPK]],0)</f>
        <v>1</v>
      </c>
      <c r="T701" s="12">
        <v>1</v>
      </c>
      <c r="U701" s="10">
        <f>Table4[[#This Row],[ပါဝင်မှု]]*Table4[[#This Row],[SalesPK]]+Table4[[#This Row],[Bottle]]</f>
        <v>12</v>
      </c>
      <c r="V701" s="10">
        <f>Table4[[#This Row],[SalesBot]]*Table4[[#This Row],[ML]]</f>
        <v>12</v>
      </c>
      <c r="W701" s="1">
        <f>VLOOKUP(N701,Stock[#Data],6,FALSE)</f>
        <v>1675</v>
      </c>
      <c r="X701" s="8">
        <f>+Table4[[#This Row],[SalesBot]]*Table4[[#This Row],[နှုံး]]</f>
        <v>20100</v>
      </c>
      <c r="Y701" s="12"/>
      <c r="Z701" s="12"/>
      <c r="AA701" s="12"/>
      <c r="AB701" s="9"/>
      <c r="AC701" s="12"/>
      <c r="AD701" s="9"/>
      <c r="AE701" s="12"/>
      <c r="AF70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</v>
      </c>
      <c r="AG701" s="24"/>
      <c r="AH701" s="266">
        <f>Table4[[#This Row],[Date]]</f>
        <v>46066</v>
      </c>
      <c r="AI701" s="264" t="str">
        <f t="shared" si="130"/>
        <v>Feb</v>
      </c>
      <c r="AJ701" s="264" t="str">
        <f t="shared" si="131"/>
        <v>2026</v>
      </c>
      <c r="AK701" s="270" t="str">
        <f>Table4[[#This Row],[ကုန်သည်အမည်]]</f>
        <v>ရွှေနဂါး</v>
      </c>
      <c r="AL701" s="270" t="str">
        <f>Table4[[#This Row],[Township]]</f>
        <v>Maw La Myaing</v>
      </c>
      <c r="AM701" s="271" t="str">
        <f>Table4[[#This Row],[WholeSales]]</f>
        <v>Van Sales</v>
      </c>
      <c r="AN701" s="272" t="str">
        <f>Table4[[#This Row],[Particular]]</f>
        <v>ကုန်ရောင်း(လက်ငင်း)</v>
      </c>
      <c r="AO701" s="273" t="str">
        <f>Table4[[#This Row],[StockName]]</f>
        <v>"ဇေ" ကော်ဘူး (1 Liter)</v>
      </c>
      <c r="AP701" s="268">
        <f>Table4[[#This Row],[Parking]]</f>
        <v>1</v>
      </c>
      <c r="AQ701" s="268">
        <f>Table4[[#This Row],[SalesBot]]</f>
        <v>12</v>
      </c>
      <c r="AR701" s="268">
        <f>Table4[[#This Row],[Liter]]</f>
        <v>12</v>
      </c>
    </row>
    <row r="702" spans="1:44" s="16" customFormat="1" hidden="1" x14ac:dyDescent="0.5">
      <c r="A702" s="3">
        <f t="shared" si="132"/>
        <v>2026</v>
      </c>
      <c r="B702" s="8">
        <f t="shared" si="133"/>
        <v>2</v>
      </c>
      <c r="C702" s="6">
        <v>46066</v>
      </c>
      <c r="D702" s="15">
        <f t="shared" ca="1" si="134"/>
        <v>46097</v>
      </c>
      <c r="E702" s="15" t="str">
        <f t="shared" ca="1" si="135"/>
        <v>1-Months</v>
      </c>
      <c r="F702" s="8" t="str">
        <f>VLOOKUP(N702,Stock[#Data],5,FALSE)</f>
        <v>BE</v>
      </c>
      <c r="G702" s="82" t="s">
        <v>1407</v>
      </c>
      <c r="H702" s="15"/>
      <c r="I702" s="7" t="s">
        <v>725</v>
      </c>
      <c r="J702" s="8" t="str">
        <f>VLOOKUP(I702,Customers[#Data],2,FALSE)</f>
        <v>ရွှေနဂါး</v>
      </c>
      <c r="K702" s="15" t="str">
        <f>VLOOKUP(I702,Customers[#Data],4,FALSE)</f>
        <v>Maw La Myaing</v>
      </c>
      <c r="L702" s="15" t="str">
        <f>VLOOKUP(I702,Customers[#Data],5,FALSE)</f>
        <v>Van Sales</v>
      </c>
      <c r="M702" s="7" t="s">
        <v>6</v>
      </c>
      <c r="N702" s="7" t="s">
        <v>522</v>
      </c>
      <c r="O702" s="14" t="str">
        <f>VLOOKUP(N702,Stock[#Data],2,FALSE)</f>
        <v>ဒဂုံမန်ကျည်း ကော်ဘူး (1 Liter)</v>
      </c>
      <c r="P702" s="44">
        <f>VLOOKUP(N702,Stock[#Data],3,FALSE)</f>
        <v>1</v>
      </c>
      <c r="Q702" s="3">
        <f>VLOOKUP(N702,Stock[#Data],4,FALSE)</f>
        <v>12</v>
      </c>
      <c r="R702" s="11"/>
      <c r="S702" s="45">
        <f>IFERROR(Table4[[#This Row],[Bottle]]/Table4[[#This Row],[ပါဝင်မှု]]+Table4[[#This Row],[SalesPK]],0)</f>
        <v>1</v>
      </c>
      <c r="T702" s="12">
        <v>1</v>
      </c>
      <c r="U702" s="10">
        <f>Table4[[#This Row],[ပါဝင်မှု]]*Table4[[#This Row],[SalesPK]]+Table4[[#This Row],[Bottle]]</f>
        <v>12</v>
      </c>
      <c r="V702" s="10">
        <f>Table4[[#This Row],[SalesBot]]*Table4[[#This Row],[ML]]</f>
        <v>12</v>
      </c>
      <c r="W702" s="1">
        <f>VLOOKUP(N702,Stock[#Data],6,FALSE)</f>
        <v>1600</v>
      </c>
      <c r="X702" s="8">
        <f>+Table4[[#This Row],[SalesBot]]*Table4[[#This Row],[နှုံး]]</f>
        <v>19200</v>
      </c>
      <c r="Y702" s="12"/>
      <c r="Z702" s="12"/>
      <c r="AA702" s="12"/>
      <c r="AB702" s="9"/>
      <c r="AC702" s="12"/>
      <c r="AD702" s="9"/>
      <c r="AE702" s="12"/>
      <c r="AF70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702" s="24"/>
      <c r="AH702" s="266">
        <f>Table4[[#This Row],[Date]]</f>
        <v>46066</v>
      </c>
      <c r="AI702" s="264" t="str">
        <f t="shared" si="130"/>
        <v>Feb</v>
      </c>
      <c r="AJ702" s="264" t="str">
        <f t="shared" si="131"/>
        <v>2026</v>
      </c>
      <c r="AK702" s="270" t="str">
        <f>Table4[[#This Row],[ကုန်သည်အမည်]]</f>
        <v>ရွှေနဂါး</v>
      </c>
      <c r="AL702" s="270" t="str">
        <f>Table4[[#This Row],[Township]]</f>
        <v>Maw La Myaing</v>
      </c>
      <c r="AM702" s="271" t="str">
        <f>Table4[[#This Row],[WholeSales]]</f>
        <v>Van Sales</v>
      </c>
      <c r="AN702" s="272" t="str">
        <f>Table4[[#This Row],[Particular]]</f>
        <v>ကုန်ရောင်း(လက်ငင်း)</v>
      </c>
      <c r="AO702" s="273" t="str">
        <f>Table4[[#This Row],[StockName]]</f>
        <v>ဒဂုံမန်ကျည်း ကော်ဘူး (1 Liter)</v>
      </c>
      <c r="AP702" s="268">
        <f>Table4[[#This Row],[Parking]]</f>
        <v>1</v>
      </c>
      <c r="AQ702" s="268">
        <f>Table4[[#This Row],[SalesBot]]</f>
        <v>12</v>
      </c>
      <c r="AR702" s="268">
        <f>Table4[[#This Row],[Liter]]</f>
        <v>12</v>
      </c>
    </row>
    <row r="703" spans="1:44" s="16" customFormat="1" hidden="1" x14ac:dyDescent="0.5">
      <c r="A703" s="3">
        <f t="shared" si="132"/>
        <v>2026</v>
      </c>
      <c r="B703" s="8">
        <f t="shared" si="133"/>
        <v>2</v>
      </c>
      <c r="C703" s="6">
        <v>46066</v>
      </c>
      <c r="D703" s="15">
        <f t="shared" ca="1" si="134"/>
        <v>46097</v>
      </c>
      <c r="E703" s="15" t="str">
        <f t="shared" ca="1" si="135"/>
        <v>1-Months</v>
      </c>
      <c r="F703" s="8" t="str">
        <f>VLOOKUP(N703,Stock[#Data],5,FALSE)</f>
        <v>BE</v>
      </c>
      <c r="G703" s="82" t="s">
        <v>1408</v>
      </c>
      <c r="H703" s="15"/>
      <c r="I703" s="7" t="s">
        <v>376</v>
      </c>
      <c r="J703" s="8" t="str">
        <f>VLOOKUP(I703,Customers[#Data],2,FALSE)</f>
        <v>Feeling Store</v>
      </c>
      <c r="K703" s="15" t="str">
        <f>VLOOKUP(I703,Customers[#Data],4,FALSE)</f>
        <v>Maw La Myaing</v>
      </c>
      <c r="L703" s="15" t="str">
        <f>VLOOKUP(I703,Customers[#Data],5,FALSE)</f>
        <v>Van Sales</v>
      </c>
      <c r="M703" s="7" t="s">
        <v>6</v>
      </c>
      <c r="N703" s="7" t="s">
        <v>522</v>
      </c>
      <c r="O703" s="14" t="str">
        <f>VLOOKUP(N703,Stock[#Data],2,FALSE)</f>
        <v>ဒဂုံမန်ကျည်း ကော်ဘူး (1 Liter)</v>
      </c>
      <c r="P703" s="44">
        <f>VLOOKUP(N703,Stock[#Data],3,FALSE)</f>
        <v>1</v>
      </c>
      <c r="Q703" s="3">
        <f>VLOOKUP(N703,Stock[#Data],4,FALSE)</f>
        <v>12</v>
      </c>
      <c r="R703" s="11"/>
      <c r="S703" s="45">
        <f>IFERROR(Table4[[#This Row],[Bottle]]/Table4[[#This Row],[ပါဝင်မှု]]+Table4[[#This Row],[SalesPK]],0)</f>
        <v>1</v>
      </c>
      <c r="T703" s="12">
        <v>1</v>
      </c>
      <c r="U703" s="10">
        <f>Table4[[#This Row],[ပါဝင်မှု]]*Table4[[#This Row],[SalesPK]]+Table4[[#This Row],[Bottle]]</f>
        <v>12</v>
      </c>
      <c r="V703" s="10">
        <f>Table4[[#This Row],[SalesBot]]*Table4[[#This Row],[ML]]</f>
        <v>12</v>
      </c>
      <c r="W703" s="1">
        <f>VLOOKUP(N703,Stock[#Data],6,FALSE)</f>
        <v>1600</v>
      </c>
      <c r="X703" s="8">
        <f>+Table4[[#This Row],[SalesBot]]*Table4[[#This Row],[နှုံး]]</f>
        <v>19200</v>
      </c>
      <c r="Y703" s="12"/>
      <c r="Z703" s="12"/>
      <c r="AA703" s="12"/>
      <c r="AB703" s="9"/>
      <c r="AC703" s="12"/>
      <c r="AD703" s="9"/>
      <c r="AE703" s="12"/>
      <c r="AF70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703" s="24"/>
      <c r="AH703" s="266">
        <f>Table4[[#This Row],[Date]]</f>
        <v>46066</v>
      </c>
      <c r="AI703" s="264" t="str">
        <f t="shared" si="130"/>
        <v>Feb</v>
      </c>
      <c r="AJ703" s="264" t="str">
        <f t="shared" si="131"/>
        <v>2026</v>
      </c>
      <c r="AK703" s="270" t="str">
        <f>Table4[[#This Row],[ကုန်သည်အမည်]]</f>
        <v>Feeling Store</v>
      </c>
      <c r="AL703" s="270" t="str">
        <f>Table4[[#This Row],[Township]]</f>
        <v>Maw La Myaing</v>
      </c>
      <c r="AM703" s="271" t="str">
        <f>Table4[[#This Row],[WholeSales]]</f>
        <v>Van Sales</v>
      </c>
      <c r="AN703" s="272" t="str">
        <f>Table4[[#This Row],[Particular]]</f>
        <v>ကုန်ရောင်း(လက်ငင်း)</v>
      </c>
      <c r="AO703" s="273" t="str">
        <f>Table4[[#This Row],[StockName]]</f>
        <v>ဒဂုံမန်ကျည်း ကော်ဘူး (1 Liter)</v>
      </c>
      <c r="AP703" s="268">
        <f>Table4[[#This Row],[Parking]]</f>
        <v>1</v>
      </c>
      <c r="AQ703" s="268">
        <f>Table4[[#This Row],[SalesBot]]</f>
        <v>12</v>
      </c>
      <c r="AR703" s="268">
        <f>Table4[[#This Row],[Liter]]</f>
        <v>12</v>
      </c>
    </row>
    <row r="704" spans="1:44" s="16" customFormat="1" hidden="1" x14ac:dyDescent="0.5">
      <c r="A704" s="3">
        <f t="shared" si="132"/>
        <v>2026</v>
      </c>
      <c r="B704" s="8">
        <f t="shared" si="133"/>
        <v>2</v>
      </c>
      <c r="C704" s="6">
        <v>46066</v>
      </c>
      <c r="D704" s="15">
        <f t="shared" ca="1" si="134"/>
        <v>46097</v>
      </c>
      <c r="E704" s="15" t="str">
        <f t="shared" ca="1" si="135"/>
        <v>1-Months</v>
      </c>
      <c r="F704" s="8" t="str">
        <f>VLOOKUP(N704,Stock[#Data],5,FALSE)</f>
        <v>BE</v>
      </c>
      <c r="G704" s="82" t="s">
        <v>1409</v>
      </c>
      <c r="H704" s="15"/>
      <c r="I704" s="7">
        <v>155</v>
      </c>
      <c r="J704" s="8">
        <f>VLOOKUP(I704,Customers[#Data],2,FALSE)</f>
        <v>155</v>
      </c>
      <c r="K704" s="15" t="str">
        <f>VLOOKUP(I704,Customers[#Data],4,FALSE)</f>
        <v>Maw La Myaing</v>
      </c>
      <c r="L704" s="15" t="str">
        <f>VLOOKUP(I704,Customers[#Data],5,FALSE)</f>
        <v>Van Sales</v>
      </c>
      <c r="M704" s="7" t="s">
        <v>6</v>
      </c>
      <c r="N704" s="7" t="s">
        <v>522</v>
      </c>
      <c r="O704" s="14" t="str">
        <f>VLOOKUP(N704,Stock[#Data],2,FALSE)</f>
        <v>ဒဂုံမန်ကျည်း ကော်ဘူး (1 Liter)</v>
      </c>
      <c r="P704" s="44">
        <f>VLOOKUP(N704,Stock[#Data],3,FALSE)</f>
        <v>1</v>
      </c>
      <c r="Q704" s="3">
        <f>VLOOKUP(N704,Stock[#Data],4,FALSE)</f>
        <v>12</v>
      </c>
      <c r="R704" s="11"/>
      <c r="S704" s="45">
        <f>IFERROR(Table4[[#This Row],[Bottle]]/Table4[[#This Row],[ပါဝင်မှု]]+Table4[[#This Row],[SalesPK]],0)</f>
        <v>1</v>
      </c>
      <c r="T704" s="12">
        <v>1</v>
      </c>
      <c r="U704" s="10">
        <f>Table4[[#This Row],[ပါဝင်မှု]]*Table4[[#This Row],[SalesPK]]+Table4[[#This Row],[Bottle]]</f>
        <v>12</v>
      </c>
      <c r="V704" s="10">
        <f>Table4[[#This Row],[SalesBot]]*Table4[[#This Row],[ML]]</f>
        <v>12</v>
      </c>
      <c r="W704" s="1">
        <f>VLOOKUP(N704,Stock[#Data],6,FALSE)</f>
        <v>1600</v>
      </c>
      <c r="X704" s="8">
        <f>+Table4[[#This Row],[SalesBot]]*Table4[[#This Row],[နှုံး]]</f>
        <v>19200</v>
      </c>
      <c r="Y704" s="12"/>
      <c r="Z704" s="12"/>
      <c r="AA704" s="12"/>
      <c r="AB704" s="9"/>
      <c r="AC704" s="12"/>
      <c r="AD704" s="9"/>
      <c r="AE704" s="12"/>
      <c r="AF70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704" s="24"/>
      <c r="AH704" s="266">
        <f>Table4[[#This Row],[Date]]</f>
        <v>46066</v>
      </c>
      <c r="AI704" s="264" t="str">
        <f t="shared" si="130"/>
        <v>Feb</v>
      </c>
      <c r="AJ704" s="264" t="str">
        <f t="shared" si="131"/>
        <v>2026</v>
      </c>
      <c r="AK704" s="270">
        <f>Table4[[#This Row],[ကုန်သည်အမည်]]</f>
        <v>155</v>
      </c>
      <c r="AL704" s="270" t="str">
        <f>Table4[[#This Row],[Township]]</f>
        <v>Maw La Myaing</v>
      </c>
      <c r="AM704" s="271" t="str">
        <f>Table4[[#This Row],[WholeSales]]</f>
        <v>Van Sales</v>
      </c>
      <c r="AN704" s="272" t="str">
        <f>Table4[[#This Row],[Particular]]</f>
        <v>ကုန်ရောင်း(လက်ငင်း)</v>
      </c>
      <c r="AO704" s="273" t="str">
        <f>Table4[[#This Row],[StockName]]</f>
        <v>ဒဂုံမန်ကျည်း ကော်ဘူး (1 Liter)</v>
      </c>
      <c r="AP704" s="268">
        <f>Table4[[#This Row],[Parking]]</f>
        <v>1</v>
      </c>
      <c r="AQ704" s="268">
        <f>Table4[[#This Row],[SalesBot]]</f>
        <v>12</v>
      </c>
      <c r="AR704" s="268">
        <f>Table4[[#This Row],[Liter]]</f>
        <v>12</v>
      </c>
    </row>
    <row r="705" spans="1:44" s="16" customFormat="1" hidden="1" x14ac:dyDescent="0.5">
      <c r="A705" s="3">
        <f t="shared" si="132"/>
        <v>2026</v>
      </c>
      <c r="B705" s="8">
        <f t="shared" si="133"/>
        <v>2</v>
      </c>
      <c r="C705" s="6">
        <v>46066</v>
      </c>
      <c r="D705" s="15">
        <f t="shared" ca="1" si="134"/>
        <v>46097</v>
      </c>
      <c r="E705" s="15" t="str">
        <f t="shared" ca="1" si="135"/>
        <v>1-Months</v>
      </c>
      <c r="F705" s="8" t="str">
        <f>VLOOKUP(N705,Stock[#Data],5,FALSE)</f>
        <v>BE</v>
      </c>
      <c r="G705" s="82" t="s">
        <v>1410</v>
      </c>
      <c r="H705" s="15"/>
      <c r="I705" s="7" t="s">
        <v>1377</v>
      </c>
      <c r="J705" s="8" t="str">
        <f>VLOOKUP(I705,Customers[#Data],2,FALSE)</f>
        <v>ရွှေနန်းထက်</v>
      </c>
      <c r="K705" s="15" t="str">
        <f>VLOOKUP(I705,Customers[#Data],4,FALSE)</f>
        <v>Maw La Myaing</v>
      </c>
      <c r="L705" s="15" t="str">
        <f>VLOOKUP(I705,Customers[#Data],5,FALSE)</f>
        <v>Van Sales</v>
      </c>
      <c r="M705" s="7" t="s">
        <v>6</v>
      </c>
      <c r="N705" s="7" t="s">
        <v>518</v>
      </c>
      <c r="O705" s="14" t="str">
        <f>VLOOKUP(N705,Stock[#Data],2,FALSE)</f>
        <v>"ဇေ" ကော်ဘူး (1 Liter)</v>
      </c>
      <c r="P705" s="44">
        <f>VLOOKUP(N705,Stock[#Data],3,FALSE)</f>
        <v>1</v>
      </c>
      <c r="Q705" s="3">
        <f>VLOOKUP(N705,Stock[#Data],4,FALSE)</f>
        <v>12</v>
      </c>
      <c r="R705" s="11"/>
      <c r="S705" s="45">
        <f>IFERROR(Table4[[#This Row],[Bottle]]/Table4[[#This Row],[ပါဝင်မှု]]+Table4[[#This Row],[SalesPK]],0)</f>
        <v>4</v>
      </c>
      <c r="T705" s="12">
        <v>4</v>
      </c>
      <c r="U705" s="10">
        <f>Table4[[#This Row],[ပါဝင်မှု]]*Table4[[#This Row],[SalesPK]]+Table4[[#This Row],[Bottle]]</f>
        <v>48</v>
      </c>
      <c r="V705" s="10">
        <f>Table4[[#This Row],[SalesBot]]*Table4[[#This Row],[ML]]</f>
        <v>48</v>
      </c>
      <c r="W705" s="1">
        <f>VLOOKUP(N705,Stock[#Data],6,FALSE)</f>
        <v>1675</v>
      </c>
      <c r="X705" s="8">
        <f>+Table4[[#This Row],[SalesBot]]*Table4[[#This Row],[နှုံး]]</f>
        <v>80400</v>
      </c>
      <c r="Y705" s="12"/>
      <c r="Z705" s="12"/>
      <c r="AA705" s="12"/>
      <c r="AB705" s="9"/>
      <c r="AC705" s="12"/>
      <c r="AD705" s="9"/>
      <c r="AE705" s="12"/>
      <c r="AF70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80400</v>
      </c>
      <c r="AG705" s="24"/>
      <c r="AH705" s="266">
        <f>Table4[[#This Row],[Date]]</f>
        <v>46066</v>
      </c>
      <c r="AI705" s="264" t="str">
        <f t="shared" si="130"/>
        <v>Feb</v>
      </c>
      <c r="AJ705" s="264" t="str">
        <f t="shared" si="131"/>
        <v>2026</v>
      </c>
      <c r="AK705" s="270" t="str">
        <f>Table4[[#This Row],[ကုန်သည်အမည်]]</f>
        <v>ရွှေနန်းထက်</v>
      </c>
      <c r="AL705" s="270" t="str">
        <f>Table4[[#This Row],[Township]]</f>
        <v>Maw La Myaing</v>
      </c>
      <c r="AM705" s="271" t="str">
        <f>Table4[[#This Row],[WholeSales]]</f>
        <v>Van Sales</v>
      </c>
      <c r="AN705" s="272" t="str">
        <f>Table4[[#This Row],[Particular]]</f>
        <v>ကုန်ရောင်း(လက်ငင်း)</v>
      </c>
      <c r="AO705" s="273" t="str">
        <f>Table4[[#This Row],[StockName]]</f>
        <v>"ဇေ" ကော်ဘူး (1 Liter)</v>
      </c>
      <c r="AP705" s="268">
        <f>Table4[[#This Row],[Parking]]</f>
        <v>4</v>
      </c>
      <c r="AQ705" s="268">
        <f>Table4[[#This Row],[SalesBot]]</f>
        <v>48</v>
      </c>
      <c r="AR705" s="268">
        <f>Table4[[#This Row],[Liter]]</f>
        <v>48</v>
      </c>
    </row>
    <row r="706" spans="1:44" s="16" customFormat="1" hidden="1" x14ac:dyDescent="0.5">
      <c r="A706" s="3">
        <f t="shared" si="132"/>
        <v>2026</v>
      </c>
      <c r="B706" s="8">
        <f t="shared" si="133"/>
        <v>2</v>
      </c>
      <c r="C706" s="6">
        <v>46066</v>
      </c>
      <c r="D706" s="15">
        <f t="shared" ca="1" si="134"/>
        <v>46097</v>
      </c>
      <c r="E706" s="15" t="str">
        <f t="shared" ca="1" si="135"/>
        <v>1-Months</v>
      </c>
      <c r="F706" s="8" t="str">
        <f>VLOOKUP(N706,Stock[#Data],5,FALSE)</f>
        <v>BE</v>
      </c>
      <c r="G706" s="82" t="s">
        <v>1410</v>
      </c>
      <c r="H706" s="15"/>
      <c r="I706" s="7" t="s">
        <v>1377</v>
      </c>
      <c r="J706" s="8" t="str">
        <f>VLOOKUP(I706,Customers[#Data],2,FALSE)</f>
        <v>ရွှေနန်းထက်</v>
      </c>
      <c r="K706" s="15" t="str">
        <f>VLOOKUP(I706,Customers[#Data],4,FALSE)</f>
        <v>Maw La Myaing</v>
      </c>
      <c r="L706" s="15" t="str">
        <f>VLOOKUP(I706,Customers[#Data],5,FALSE)</f>
        <v>Van Sales</v>
      </c>
      <c r="M706" s="7" t="s">
        <v>6</v>
      </c>
      <c r="N706" s="7" t="s">
        <v>522</v>
      </c>
      <c r="O706" s="14" t="str">
        <f>VLOOKUP(N706,Stock[#Data],2,FALSE)</f>
        <v>ဒဂုံမန်ကျည်း ကော်ဘူး (1 Liter)</v>
      </c>
      <c r="P706" s="44">
        <f>VLOOKUP(N706,Stock[#Data],3,FALSE)</f>
        <v>1</v>
      </c>
      <c r="Q706" s="3">
        <f>VLOOKUP(N706,Stock[#Data],4,FALSE)</f>
        <v>12</v>
      </c>
      <c r="R706" s="11">
        <v>3</v>
      </c>
      <c r="S706" s="45">
        <f>IFERROR(Table4[[#This Row],[Bottle]]/Table4[[#This Row],[ပါဝင်မှု]]+Table4[[#This Row],[SalesPK]],0)</f>
        <v>0.25</v>
      </c>
      <c r="T706" s="12"/>
      <c r="U706" s="10">
        <f>Table4[[#This Row],[ပါဝင်မှု]]*Table4[[#This Row],[SalesPK]]+Table4[[#This Row],[Bottle]]</f>
        <v>3</v>
      </c>
      <c r="V706" s="10">
        <f>Table4[[#This Row],[SalesBot]]*Table4[[#This Row],[ML]]</f>
        <v>3</v>
      </c>
      <c r="W706" s="1">
        <f>VLOOKUP(N706,Stock[#Data],6,FALSE)</f>
        <v>1600</v>
      </c>
      <c r="X706" s="8">
        <f>+Table4[[#This Row],[SalesBot]]*Table4[[#This Row],[နှုံး]]</f>
        <v>4800</v>
      </c>
      <c r="Y706" s="12"/>
      <c r="Z706" s="12"/>
      <c r="AA706" s="12"/>
      <c r="AB706" s="9"/>
      <c r="AC706" s="12"/>
      <c r="AD706" s="9"/>
      <c r="AE706" s="12"/>
      <c r="AF70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4800</v>
      </c>
      <c r="AG706" s="24"/>
      <c r="AH706" s="266">
        <f>Table4[[#This Row],[Date]]</f>
        <v>46066</v>
      </c>
      <c r="AI706" s="264" t="str">
        <f t="shared" si="130"/>
        <v>Feb</v>
      </c>
      <c r="AJ706" s="264" t="str">
        <f t="shared" si="131"/>
        <v>2026</v>
      </c>
      <c r="AK706" s="270" t="str">
        <f>Table4[[#This Row],[ကုန်သည်အမည်]]</f>
        <v>ရွှေနန်းထက်</v>
      </c>
      <c r="AL706" s="270" t="str">
        <f>Table4[[#This Row],[Township]]</f>
        <v>Maw La Myaing</v>
      </c>
      <c r="AM706" s="271" t="str">
        <f>Table4[[#This Row],[WholeSales]]</f>
        <v>Van Sales</v>
      </c>
      <c r="AN706" s="272" t="str">
        <f>Table4[[#This Row],[Particular]]</f>
        <v>ကုန်ရောင်း(လက်ငင်း)</v>
      </c>
      <c r="AO706" s="273" t="str">
        <f>Table4[[#This Row],[StockName]]</f>
        <v>ဒဂုံမန်ကျည်း ကော်ဘူး (1 Liter)</v>
      </c>
      <c r="AP706" s="268">
        <f>Table4[[#This Row],[Parking]]</f>
        <v>0.25</v>
      </c>
      <c r="AQ706" s="268">
        <f>Table4[[#This Row],[SalesBot]]</f>
        <v>3</v>
      </c>
      <c r="AR706" s="268">
        <f>Table4[[#This Row],[Liter]]</f>
        <v>3</v>
      </c>
    </row>
    <row r="707" spans="1:44" s="16" customFormat="1" hidden="1" x14ac:dyDescent="0.5">
      <c r="A707" s="3">
        <f t="shared" si="132"/>
        <v>2026</v>
      </c>
      <c r="B707" s="8">
        <f t="shared" si="133"/>
        <v>2</v>
      </c>
      <c r="C707" s="6">
        <v>46066</v>
      </c>
      <c r="D707" s="15">
        <f t="shared" ca="1" si="134"/>
        <v>46097</v>
      </c>
      <c r="E707" s="15" t="str">
        <f t="shared" ca="1" si="135"/>
        <v>1-Months</v>
      </c>
      <c r="F707" s="8" t="str">
        <f>VLOOKUP(N707,Stock[#Data],5,FALSE)</f>
        <v>BE</v>
      </c>
      <c r="G707" s="82" t="s">
        <v>1410</v>
      </c>
      <c r="H707" s="15"/>
      <c r="I707" s="7" t="s">
        <v>1377</v>
      </c>
      <c r="J707" s="8" t="str">
        <f>VLOOKUP(I707,Customers[#Data],2,FALSE)</f>
        <v>ရွှေနန်းထက်</v>
      </c>
      <c r="K707" s="15" t="str">
        <f>VLOOKUP(I707,Customers[#Data],4,FALSE)</f>
        <v>Maw La Myaing</v>
      </c>
      <c r="L707" s="15" t="str">
        <f>VLOOKUP(I707,Customers[#Data],5,FALSE)</f>
        <v>Van Sales</v>
      </c>
      <c r="M707" s="7" t="s">
        <v>6</v>
      </c>
      <c r="N707" s="7" t="s">
        <v>508</v>
      </c>
      <c r="O707" s="14" t="str">
        <f>VLOOKUP(N707,Stock[#Data],2,FALSE)</f>
        <v>ကောင်းကြည်-1Li</v>
      </c>
      <c r="P707" s="44">
        <f>VLOOKUP(N707,Stock[#Data],3,FALSE)</f>
        <v>1</v>
      </c>
      <c r="Q707" s="3">
        <f>VLOOKUP(N707,Stock[#Data],4,FALSE)</f>
        <v>12</v>
      </c>
      <c r="R707" s="11">
        <v>3</v>
      </c>
      <c r="S707" s="45">
        <f>IFERROR(Table4[[#This Row],[Bottle]]/Table4[[#This Row],[ပါဝင်မှု]]+Table4[[#This Row],[SalesPK]],0)</f>
        <v>0.25</v>
      </c>
      <c r="T707" s="12"/>
      <c r="U707" s="10">
        <f>Table4[[#This Row],[ပါဝင်မှု]]*Table4[[#This Row],[SalesPK]]+Table4[[#This Row],[Bottle]]</f>
        <v>3</v>
      </c>
      <c r="V707" s="10">
        <f>Table4[[#This Row],[SalesBot]]*Table4[[#This Row],[ML]]</f>
        <v>3</v>
      </c>
      <c r="W707" s="1">
        <f>VLOOKUP(N707,Stock[#Data],6,FALSE)</f>
        <v>1850</v>
      </c>
      <c r="X707" s="8">
        <f>+Table4[[#This Row],[SalesBot]]*Table4[[#This Row],[နှုံး]]</f>
        <v>5550</v>
      </c>
      <c r="Y707" s="12"/>
      <c r="Z707" s="12"/>
      <c r="AA707" s="12"/>
      <c r="AB707" s="9"/>
      <c r="AC707" s="12"/>
      <c r="AD707" s="9"/>
      <c r="AE707" s="12"/>
      <c r="AF70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5550</v>
      </c>
      <c r="AG707" s="24"/>
      <c r="AH707" s="266">
        <f>Table4[[#This Row],[Date]]</f>
        <v>46066</v>
      </c>
      <c r="AI707" s="264" t="str">
        <f t="shared" si="130"/>
        <v>Feb</v>
      </c>
      <c r="AJ707" s="264" t="str">
        <f t="shared" si="131"/>
        <v>2026</v>
      </c>
      <c r="AK707" s="270" t="str">
        <f>Table4[[#This Row],[ကုန်သည်အမည်]]</f>
        <v>ရွှေနန်းထက်</v>
      </c>
      <c r="AL707" s="270" t="str">
        <f>Table4[[#This Row],[Township]]</f>
        <v>Maw La Myaing</v>
      </c>
      <c r="AM707" s="271" t="str">
        <f>Table4[[#This Row],[WholeSales]]</f>
        <v>Van Sales</v>
      </c>
      <c r="AN707" s="272" t="str">
        <f>Table4[[#This Row],[Particular]]</f>
        <v>ကုန်ရောင်း(လက်ငင်း)</v>
      </c>
      <c r="AO707" s="273" t="str">
        <f>Table4[[#This Row],[StockName]]</f>
        <v>ကောင်းကြည်-1Li</v>
      </c>
      <c r="AP707" s="268">
        <f>Table4[[#This Row],[Parking]]</f>
        <v>0.25</v>
      </c>
      <c r="AQ707" s="268">
        <f>Table4[[#This Row],[SalesBot]]</f>
        <v>3</v>
      </c>
      <c r="AR707" s="268">
        <f>Table4[[#This Row],[Liter]]</f>
        <v>3</v>
      </c>
    </row>
    <row r="708" spans="1:44" s="16" customFormat="1" hidden="1" x14ac:dyDescent="0.5">
      <c r="A708" s="3">
        <f t="shared" si="132"/>
        <v>2026</v>
      </c>
      <c r="B708" s="8">
        <f t="shared" si="133"/>
        <v>2</v>
      </c>
      <c r="C708" s="6">
        <v>46066</v>
      </c>
      <c r="D708" s="15">
        <f t="shared" ca="1" si="134"/>
        <v>46097</v>
      </c>
      <c r="E708" s="15" t="str">
        <f t="shared" ca="1" si="135"/>
        <v>1-Months</v>
      </c>
      <c r="F708" s="8" t="str">
        <f>VLOOKUP(N708,Stock[#Data],5,FALSE)</f>
        <v>BE</v>
      </c>
      <c r="G708" s="82" t="s">
        <v>1411</v>
      </c>
      <c r="H708" s="15"/>
      <c r="I708" s="7" t="s">
        <v>318</v>
      </c>
      <c r="J708" s="8" t="str">
        <f>VLOOKUP(I708,Customers[#Data],2,FALSE)</f>
        <v>တောင်ပေါ်တန်း</v>
      </c>
      <c r="K708" s="15" t="str">
        <f>VLOOKUP(I708,Customers[#Data],4,FALSE)</f>
        <v>Maw La Myaing</v>
      </c>
      <c r="L708" s="15" t="str">
        <f>VLOOKUP(I708,Customers[#Data],5,FALSE)</f>
        <v>Van Sales</v>
      </c>
      <c r="M708" s="7" t="s">
        <v>6</v>
      </c>
      <c r="N708" s="7" t="s">
        <v>522</v>
      </c>
      <c r="O708" s="14" t="str">
        <f>VLOOKUP(N708,Stock[#Data],2,FALSE)</f>
        <v>ဒဂုံမန်ကျည်း ကော်ဘူး (1 Liter)</v>
      </c>
      <c r="P708" s="44">
        <f>VLOOKUP(N708,Stock[#Data],3,FALSE)</f>
        <v>1</v>
      </c>
      <c r="Q708" s="3">
        <f>VLOOKUP(N708,Stock[#Data],4,FALSE)</f>
        <v>12</v>
      </c>
      <c r="R708" s="11">
        <v>2</v>
      </c>
      <c r="S708" s="45">
        <f>IFERROR(Table4[[#This Row],[Bottle]]/Table4[[#This Row],[ပါဝင်မှု]]+Table4[[#This Row],[SalesPK]],0)</f>
        <v>0.16666666666666666</v>
      </c>
      <c r="T708" s="12"/>
      <c r="U708" s="10">
        <f>Table4[[#This Row],[ပါဝင်မှု]]*Table4[[#This Row],[SalesPK]]+Table4[[#This Row],[Bottle]]</f>
        <v>2</v>
      </c>
      <c r="V708" s="10">
        <f>Table4[[#This Row],[SalesBot]]*Table4[[#This Row],[ML]]</f>
        <v>2</v>
      </c>
      <c r="W708" s="1">
        <f>VLOOKUP(N708,Stock[#Data],6,FALSE)</f>
        <v>1600</v>
      </c>
      <c r="X708" s="8">
        <f>+Table4[[#This Row],[SalesBot]]*Table4[[#This Row],[နှုံး]]</f>
        <v>3200</v>
      </c>
      <c r="Y708" s="12"/>
      <c r="Z708" s="12"/>
      <c r="AA708" s="12"/>
      <c r="AB708" s="9"/>
      <c r="AC708" s="12"/>
      <c r="AD708" s="9"/>
      <c r="AE708" s="12"/>
      <c r="AF70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3200</v>
      </c>
      <c r="AG708" s="24"/>
      <c r="AH708" s="266">
        <f>Table4[[#This Row],[Date]]</f>
        <v>46066</v>
      </c>
      <c r="AI708" s="264" t="str">
        <f t="shared" si="130"/>
        <v>Feb</v>
      </c>
      <c r="AJ708" s="264" t="str">
        <f t="shared" si="131"/>
        <v>2026</v>
      </c>
      <c r="AK708" s="270" t="str">
        <f>Table4[[#This Row],[ကုန်သည်အမည်]]</f>
        <v>တောင်ပေါ်တန်း</v>
      </c>
      <c r="AL708" s="270" t="str">
        <f>Table4[[#This Row],[Township]]</f>
        <v>Maw La Myaing</v>
      </c>
      <c r="AM708" s="271" t="str">
        <f>Table4[[#This Row],[WholeSales]]</f>
        <v>Van Sales</v>
      </c>
      <c r="AN708" s="272" t="str">
        <f>Table4[[#This Row],[Particular]]</f>
        <v>ကုန်ရောင်း(လက်ငင်း)</v>
      </c>
      <c r="AO708" s="273" t="str">
        <f>Table4[[#This Row],[StockName]]</f>
        <v>ဒဂုံမန်ကျည်း ကော်ဘူး (1 Liter)</v>
      </c>
      <c r="AP708" s="268">
        <f>Table4[[#This Row],[Parking]]</f>
        <v>0.16666666666666666</v>
      </c>
      <c r="AQ708" s="268">
        <f>Table4[[#This Row],[SalesBot]]</f>
        <v>2</v>
      </c>
      <c r="AR708" s="268">
        <f>Table4[[#This Row],[Liter]]</f>
        <v>2</v>
      </c>
    </row>
    <row r="709" spans="1:44" s="16" customFormat="1" hidden="1" x14ac:dyDescent="0.5">
      <c r="A709" s="3">
        <f t="shared" si="132"/>
        <v>2026</v>
      </c>
      <c r="B709" s="8">
        <f t="shared" si="133"/>
        <v>2</v>
      </c>
      <c r="C709" s="6">
        <v>46066</v>
      </c>
      <c r="D709" s="15">
        <f t="shared" ca="1" si="134"/>
        <v>46097</v>
      </c>
      <c r="E709" s="15" t="str">
        <f t="shared" ca="1" si="135"/>
        <v>1-Months</v>
      </c>
      <c r="F709" s="8" t="str">
        <f>VLOOKUP(N709,Stock[#Data],5,FALSE)</f>
        <v>BE</v>
      </c>
      <c r="G709" s="82" t="s">
        <v>1411</v>
      </c>
      <c r="H709" s="15"/>
      <c r="I709" s="7" t="s">
        <v>318</v>
      </c>
      <c r="J709" s="8" t="str">
        <f>VLOOKUP(I709,Customers[#Data],2,FALSE)</f>
        <v>တောင်ပေါ်တန်း</v>
      </c>
      <c r="K709" s="15" t="str">
        <f>VLOOKUP(I709,Customers[#Data],4,FALSE)</f>
        <v>Maw La Myaing</v>
      </c>
      <c r="L709" s="15" t="str">
        <f>VLOOKUP(I709,Customers[#Data],5,FALSE)</f>
        <v>Van Sales</v>
      </c>
      <c r="M709" s="7" t="s">
        <v>6</v>
      </c>
      <c r="N709" s="7" t="s">
        <v>425</v>
      </c>
      <c r="O709" s="14" t="str">
        <f>VLOOKUP(N709,Stock[#Data],2,FALSE)</f>
        <v>ကောင်းကြည်-1Li</v>
      </c>
      <c r="P709" s="44">
        <f>VLOOKUP(N709,Stock[#Data],3,FALSE)</f>
        <v>1</v>
      </c>
      <c r="Q709" s="3">
        <f>VLOOKUP(N709,Stock[#Data],4,FALSE)</f>
        <v>12</v>
      </c>
      <c r="R709" s="11">
        <v>2</v>
      </c>
      <c r="S709" s="45">
        <f>IFERROR(Table4[[#This Row],[Bottle]]/Table4[[#This Row],[ပါဝင်မှု]]+Table4[[#This Row],[SalesPK]],0)</f>
        <v>0.16666666666666666</v>
      </c>
      <c r="T709" s="12"/>
      <c r="U709" s="10">
        <f>Table4[[#This Row],[ပါဝင်မှု]]*Table4[[#This Row],[SalesPK]]+Table4[[#This Row],[Bottle]]</f>
        <v>2</v>
      </c>
      <c r="V709" s="10">
        <f>Table4[[#This Row],[SalesBot]]*Table4[[#This Row],[ML]]</f>
        <v>2</v>
      </c>
      <c r="W709" s="1">
        <f>VLOOKUP(N709,Stock[#Data],6,FALSE)</f>
        <v>1500</v>
      </c>
      <c r="X709" s="8">
        <f>+Table4[[#This Row],[SalesBot]]*Table4[[#This Row],[နှုံး]]</f>
        <v>3000</v>
      </c>
      <c r="Y709" s="12"/>
      <c r="Z709" s="12"/>
      <c r="AA709" s="12"/>
      <c r="AB709" s="9"/>
      <c r="AC709" s="12"/>
      <c r="AD709" s="9"/>
      <c r="AE709" s="12"/>
      <c r="AF70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3000</v>
      </c>
      <c r="AG709" s="24"/>
      <c r="AH709" s="266">
        <f>Table4[[#This Row],[Date]]</f>
        <v>46066</v>
      </c>
      <c r="AI709" s="264" t="str">
        <f t="shared" si="130"/>
        <v>Feb</v>
      </c>
      <c r="AJ709" s="264" t="str">
        <f t="shared" si="131"/>
        <v>2026</v>
      </c>
      <c r="AK709" s="270" t="str">
        <f>Table4[[#This Row],[ကုန်သည်အမည်]]</f>
        <v>တောင်ပေါ်တန်း</v>
      </c>
      <c r="AL709" s="270" t="str">
        <f>Table4[[#This Row],[Township]]</f>
        <v>Maw La Myaing</v>
      </c>
      <c r="AM709" s="271" t="str">
        <f>Table4[[#This Row],[WholeSales]]</f>
        <v>Van Sales</v>
      </c>
      <c r="AN709" s="272" t="str">
        <f>Table4[[#This Row],[Particular]]</f>
        <v>ကုန်ရောင်း(လက်ငင်း)</v>
      </c>
      <c r="AO709" s="273" t="str">
        <f>Table4[[#This Row],[StockName]]</f>
        <v>ကောင်းကြည်-1Li</v>
      </c>
      <c r="AP709" s="268">
        <f>Table4[[#This Row],[Parking]]</f>
        <v>0.16666666666666666</v>
      </c>
      <c r="AQ709" s="268">
        <f>Table4[[#This Row],[SalesBot]]</f>
        <v>2</v>
      </c>
      <c r="AR709" s="268">
        <f>Table4[[#This Row],[Liter]]</f>
        <v>2</v>
      </c>
    </row>
    <row r="710" spans="1:44" s="16" customFormat="1" hidden="1" x14ac:dyDescent="0.5">
      <c r="A710" s="3">
        <f t="shared" si="132"/>
        <v>2026</v>
      </c>
      <c r="B710" s="8">
        <f t="shared" si="133"/>
        <v>2</v>
      </c>
      <c r="C710" s="6">
        <v>46066</v>
      </c>
      <c r="D710" s="15">
        <f t="shared" ca="1" si="134"/>
        <v>46097</v>
      </c>
      <c r="E710" s="15" t="str">
        <f t="shared" ca="1" si="135"/>
        <v>1-Months</v>
      </c>
      <c r="F710" s="8" t="str">
        <f>VLOOKUP(N710,Stock[#Data],5,FALSE)</f>
        <v>BE</v>
      </c>
      <c r="G710" s="82" t="s">
        <v>1411</v>
      </c>
      <c r="H710" s="15"/>
      <c r="I710" s="7" t="s">
        <v>318</v>
      </c>
      <c r="J710" s="8" t="str">
        <f>VLOOKUP(I710,Customers[#Data],2,FALSE)</f>
        <v>တောင်ပေါ်တန်း</v>
      </c>
      <c r="K710" s="15" t="str">
        <f>VLOOKUP(I710,Customers[#Data],4,FALSE)</f>
        <v>Maw La Myaing</v>
      </c>
      <c r="L710" s="15" t="str">
        <f>VLOOKUP(I710,Customers[#Data],5,FALSE)</f>
        <v>Van Sales</v>
      </c>
      <c r="M710" s="7" t="s">
        <v>6</v>
      </c>
      <c r="N710" s="7" t="s">
        <v>508</v>
      </c>
      <c r="O710" s="14" t="str">
        <f>VLOOKUP(N710,Stock[#Data],2,FALSE)</f>
        <v>ကောင်းကြည်-1Li</v>
      </c>
      <c r="P710" s="44">
        <f>VLOOKUP(N710,Stock[#Data],3,FALSE)</f>
        <v>1</v>
      </c>
      <c r="Q710" s="3">
        <f>VLOOKUP(N710,Stock[#Data],4,FALSE)</f>
        <v>12</v>
      </c>
      <c r="R710" s="11">
        <v>2</v>
      </c>
      <c r="S710" s="45">
        <f>IFERROR(Table4[[#This Row],[Bottle]]/Table4[[#This Row],[ပါဝင်မှု]]+Table4[[#This Row],[SalesPK]],0)</f>
        <v>0.16666666666666666</v>
      </c>
      <c r="T710" s="12"/>
      <c r="U710" s="10">
        <f>Table4[[#This Row],[ပါဝင်မှု]]*Table4[[#This Row],[SalesPK]]+Table4[[#This Row],[Bottle]]</f>
        <v>2</v>
      </c>
      <c r="V710" s="10">
        <f>Table4[[#This Row],[SalesBot]]*Table4[[#This Row],[ML]]</f>
        <v>2</v>
      </c>
      <c r="W710" s="1">
        <f>VLOOKUP(N710,Stock[#Data],6,FALSE)</f>
        <v>1850</v>
      </c>
      <c r="X710" s="8">
        <f>+Table4[[#This Row],[SalesBot]]*Table4[[#This Row],[နှုံး]]</f>
        <v>3700</v>
      </c>
      <c r="Y710" s="12"/>
      <c r="Z710" s="12"/>
      <c r="AA710" s="12"/>
      <c r="AB710" s="9"/>
      <c r="AC710" s="12"/>
      <c r="AD710" s="9"/>
      <c r="AE710" s="12"/>
      <c r="AF71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3700</v>
      </c>
      <c r="AG710" s="24"/>
      <c r="AH710" s="266">
        <f>Table4[[#This Row],[Date]]</f>
        <v>46066</v>
      </c>
      <c r="AI710" s="264" t="str">
        <f t="shared" si="130"/>
        <v>Feb</v>
      </c>
      <c r="AJ710" s="264" t="str">
        <f t="shared" si="131"/>
        <v>2026</v>
      </c>
      <c r="AK710" s="270" t="str">
        <f>Table4[[#This Row],[ကုန်သည်အမည်]]</f>
        <v>တောင်ပေါ်တန်း</v>
      </c>
      <c r="AL710" s="270" t="str">
        <f>Table4[[#This Row],[Township]]</f>
        <v>Maw La Myaing</v>
      </c>
      <c r="AM710" s="271" t="str">
        <f>Table4[[#This Row],[WholeSales]]</f>
        <v>Van Sales</v>
      </c>
      <c r="AN710" s="272" t="str">
        <f>Table4[[#This Row],[Particular]]</f>
        <v>ကုန်ရောင်း(လက်ငင်း)</v>
      </c>
      <c r="AO710" s="273" t="str">
        <f>Table4[[#This Row],[StockName]]</f>
        <v>ကောင်းကြည်-1Li</v>
      </c>
      <c r="AP710" s="268">
        <f>Table4[[#This Row],[Parking]]</f>
        <v>0.16666666666666666</v>
      </c>
      <c r="AQ710" s="268">
        <f>Table4[[#This Row],[SalesBot]]</f>
        <v>2</v>
      </c>
      <c r="AR710" s="268">
        <f>Table4[[#This Row],[Liter]]</f>
        <v>2</v>
      </c>
    </row>
    <row r="711" spans="1:44" s="16" customFormat="1" hidden="1" x14ac:dyDescent="0.5">
      <c r="A711" s="3">
        <f t="shared" si="132"/>
        <v>2026</v>
      </c>
      <c r="B711" s="8">
        <f t="shared" si="133"/>
        <v>2</v>
      </c>
      <c r="C711" s="6">
        <v>46066</v>
      </c>
      <c r="D711" s="15">
        <f t="shared" ca="1" si="134"/>
        <v>46097</v>
      </c>
      <c r="E711" s="15" t="str">
        <f t="shared" ca="1" si="135"/>
        <v>1-Months</v>
      </c>
      <c r="F711" s="8" t="str">
        <f>VLOOKUP(N711,Stock[#Data],5,FALSE)</f>
        <v>BE</v>
      </c>
      <c r="G711" s="82" t="s">
        <v>1412</v>
      </c>
      <c r="H711" s="15"/>
      <c r="I711" s="7" t="s">
        <v>723</v>
      </c>
      <c r="J711" s="8" t="str">
        <f>VLOOKUP(I711,Customers[#Data],2,FALSE)</f>
        <v>ဆန်းသစ်ကမ္ဘာ</v>
      </c>
      <c r="K711" s="15" t="str">
        <f>VLOOKUP(I711,Customers[#Data],4,FALSE)</f>
        <v>Maw La Myaing</v>
      </c>
      <c r="L711" s="15" t="str">
        <f>VLOOKUP(I711,Customers[#Data],5,FALSE)</f>
        <v>Van Sales</v>
      </c>
      <c r="M711" s="7" t="s">
        <v>6</v>
      </c>
      <c r="N711" s="7" t="s">
        <v>522</v>
      </c>
      <c r="O711" s="14" t="str">
        <f>VLOOKUP(N711,Stock[#Data],2,FALSE)</f>
        <v>ဒဂုံမန်ကျည်း ကော်ဘူး (1 Liter)</v>
      </c>
      <c r="P711" s="44">
        <f>VLOOKUP(N711,Stock[#Data],3,FALSE)</f>
        <v>1</v>
      </c>
      <c r="Q711" s="3">
        <f>VLOOKUP(N711,Stock[#Data],4,FALSE)</f>
        <v>12</v>
      </c>
      <c r="R711" s="11">
        <v>1</v>
      </c>
      <c r="S711" s="45">
        <f>IFERROR(Table4[[#This Row],[Bottle]]/Table4[[#This Row],[ပါဝင်မှု]]+Table4[[#This Row],[SalesPK]],0)</f>
        <v>8.3333333333333329E-2</v>
      </c>
      <c r="T711" s="12"/>
      <c r="U711" s="10">
        <f>Table4[[#This Row],[ပါဝင်မှု]]*Table4[[#This Row],[SalesPK]]+Table4[[#This Row],[Bottle]]</f>
        <v>1</v>
      </c>
      <c r="V711" s="10">
        <f>Table4[[#This Row],[SalesBot]]*Table4[[#This Row],[ML]]</f>
        <v>1</v>
      </c>
      <c r="W711" s="1">
        <f>VLOOKUP(N711,Stock[#Data],6,FALSE)</f>
        <v>1600</v>
      </c>
      <c r="X711" s="8">
        <f>+Table4[[#This Row],[SalesBot]]*Table4[[#This Row],[နှုံး]]</f>
        <v>1600</v>
      </c>
      <c r="Y711" s="12"/>
      <c r="Z711" s="12"/>
      <c r="AA711" s="12"/>
      <c r="AB711" s="9"/>
      <c r="AC711" s="12"/>
      <c r="AD711" s="9"/>
      <c r="AE711" s="12"/>
      <c r="AF71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711" s="24"/>
      <c r="AH711" s="266">
        <f>Table4[[#This Row],[Date]]</f>
        <v>46066</v>
      </c>
      <c r="AI711" s="264" t="str">
        <f t="shared" si="130"/>
        <v>Feb</v>
      </c>
      <c r="AJ711" s="264" t="str">
        <f t="shared" si="131"/>
        <v>2026</v>
      </c>
      <c r="AK711" s="270" t="str">
        <f>Table4[[#This Row],[ကုန်သည်အမည်]]</f>
        <v>ဆန်းသစ်ကမ္ဘာ</v>
      </c>
      <c r="AL711" s="270" t="str">
        <f>Table4[[#This Row],[Township]]</f>
        <v>Maw La Myaing</v>
      </c>
      <c r="AM711" s="271" t="str">
        <f>Table4[[#This Row],[WholeSales]]</f>
        <v>Van Sales</v>
      </c>
      <c r="AN711" s="272" t="str">
        <f>Table4[[#This Row],[Particular]]</f>
        <v>ကုန်ရောင်း(လက်ငင်း)</v>
      </c>
      <c r="AO711" s="273" t="str">
        <f>Table4[[#This Row],[StockName]]</f>
        <v>ဒဂုံမန်ကျည်း ကော်ဘူး (1 Liter)</v>
      </c>
      <c r="AP711" s="268">
        <f>Table4[[#This Row],[Parking]]</f>
        <v>8.3333333333333329E-2</v>
      </c>
      <c r="AQ711" s="268">
        <f>Table4[[#This Row],[SalesBot]]</f>
        <v>1</v>
      </c>
      <c r="AR711" s="268">
        <f>Table4[[#This Row],[Liter]]</f>
        <v>1</v>
      </c>
    </row>
    <row r="712" spans="1:44" s="16" customFormat="1" hidden="1" x14ac:dyDescent="0.5">
      <c r="A712" s="3">
        <f t="shared" si="132"/>
        <v>2026</v>
      </c>
      <c r="B712" s="8">
        <f t="shared" si="133"/>
        <v>2</v>
      </c>
      <c r="C712" s="6">
        <v>46066</v>
      </c>
      <c r="D712" s="15">
        <f t="shared" ca="1" si="134"/>
        <v>46097</v>
      </c>
      <c r="E712" s="15" t="str">
        <f t="shared" ca="1" si="135"/>
        <v>1-Months</v>
      </c>
      <c r="F712" s="8" t="str">
        <f>VLOOKUP(N712,Stock[#Data],5,FALSE)</f>
        <v>BE</v>
      </c>
      <c r="G712" s="82" t="s">
        <v>1412</v>
      </c>
      <c r="H712" s="15"/>
      <c r="I712" s="7" t="s">
        <v>723</v>
      </c>
      <c r="J712" s="8" t="str">
        <f>VLOOKUP(I712,Customers[#Data],2,FALSE)</f>
        <v>ဆန်းသစ်ကမ္ဘာ</v>
      </c>
      <c r="K712" s="15" t="str">
        <f>VLOOKUP(I712,Customers[#Data],4,FALSE)</f>
        <v>Maw La Myaing</v>
      </c>
      <c r="L712" s="15" t="str">
        <f>VLOOKUP(I712,Customers[#Data],5,FALSE)</f>
        <v>Van Sales</v>
      </c>
      <c r="M712" s="7" t="s">
        <v>6</v>
      </c>
      <c r="N712" s="7" t="s">
        <v>425</v>
      </c>
      <c r="O712" s="14" t="str">
        <f>VLOOKUP(N712,Stock[#Data],2,FALSE)</f>
        <v>ကောင်းကြည်-1Li</v>
      </c>
      <c r="P712" s="44">
        <f>VLOOKUP(N712,Stock[#Data],3,FALSE)</f>
        <v>1</v>
      </c>
      <c r="Q712" s="3">
        <f>VLOOKUP(N712,Stock[#Data],4,FALSE)</f>
        <v>12</v>
      </c>
      <c r="R712" s="11">
        <v>1</v>
      </c>
      <c r="S712" s="45">
        <f>IFERROR(Table4[[#This Row],[Bottle]]/Table4[[#This Row],[ပါဝင်မှု]]+Table4[[#This Row],[SalesPK]],0)</f>
        <v>8.3333333333333329E-2</v>
      </c>
      <c r="T712" s="12"/>
      <c r="U712" s="10">
        <f>Table4[[#This Row],[ပါဝင်မှု]]*Table4[[#This Row],[SalesPK]]+Table4[[#This Row],[Bottle]]</f>
        <v>1</v>
      </c>
      <c r="V712" s="10">
        <f>Table4[[#This Row],[SalesBot]]*Table4[[#This Row],[ML]]</f>
        <v>1</v>
      </c>
      <c r="W712" s="1">
        <f>VLOOKUP(N712,Stock[#Data],6,FALSE)</f>
        <v>1500</v>
      </c>
      <c r="X712" s="8">
        <f>+Table4[[#This Row],[SalesBot]]*Table4[[#This Row],[နှုံး]]</f>
        <v>1500</v>
      </c>
      <c r="Y712" s="12"/>
      <c r="Z712" s="12"/>
      <c r="AA712" s="12"/>
      <c r="AB712" s="9"/>
      <c r="AC712" s="12"/>
      <c r="AD712" s="9"/>
      <c r="AE712" s="12"/>
      <c r="AF71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712" s="24"/>
      <c r="AH712" s="266">
        <f>Table4[[#This Row],[Date]]</f>
        <v>46066</v>
      </c>
      <c r="AI712" s="264" t="str">
        <f t="shared" si="130"/>
        <v>Feb</v>
      </c>
      <c r="AJ712" s="264" t="str">
        <f t="shared" si="131"/>
        <v>2026</v>
      </c>
      <c r="AK712" s="270" t="str">
        <f>Table4[[#This Row],[ကုန်သည်အမည်]]</f>
        <v>ဆန်းသစ်ကမ္ဘာ</v>
      </c>
      <c r="AL712" s="270" t="str">
        <f>Table4[[#This Row],[Township]]</f>
        <v>Maw La Myaing</v>
      </c>
      <c r="AM712" s="271" t="str">
        <f>Table4[[#This Row],[WholeSales]]</f>
        <v>Van Sales</v>
      </c>
      <c r="AN712" s="272" t="str">
        <f>Table4[[#This Row],[Particular]]</f>
        <v>ကုန်ရောင်း(လက်ငင်း)</v>
      </c>
      <c r="AO712" s="273" t="str">
        <f>Table4[[#This Row],[StockName]]</f>
        <v>ကောင်းကြည်-1Li</v>
      </c>
      <c r="AP712" s="268">
        <f>Table4[[#This Row],[Parking]]</f>
        <v>8.3333333333333329E-2</v>
      </c>
      <c r="AQ712" s="268">
        <f>Table4[[#This Row],[SalesBot]]</f>
        <v>1</v>
      </c>
      <c r="AR712" s="268">
        <f>Table4[[#This Row],[Liter]]</f>
        <v>1</v>
      </c>
    </row>
    <row r="713" spans="1:44" s="16" customFormat="1" hidden="1" x14ac:dyDescent="0.5">
      <c r="A713" s="3">
        <f t="shared" si="132"/>
        <v>2026</v>
      </c>
      <c r="B713" s="8">
        <f t="shared" si="133"/>
        <v>2</v>
      </c>
      <c r="C713" s="6">
        <v>46066</v>
      </c>
      <c r="D713" s="15">
        <f t="shared" ca="1" si="134"/>
        <v>46097</v>
      </c>
      <c r="E713" s="15" t="str">
        <f t="shared" ca="1" si="135"/>
        <v>1-Months</v>
      </c>
      <c r="F713" s="8" t="str">
        <f>VLOOKUP(N713,Stock[#Data],5,FALSE)</f>
        <v>BE</v>
      </c>
      <c r="G713" s="82" t="s">
        <v>1412</v>
      </c>
      <c r="H713" s="15"/>
      <c r="I713" s="7" t="s">
        <v>723</v>
      </c>
      <c r="J713" s="8" t="str">
        <f>VLOOKUP(I713,Customers[#Data],2,FALSE)</f>
        <v>ဆန်းသစ်ကမ္ဘာ</v>
      </c>
      <c r="K713" s="15" t="str">
        <f>VLOOKUP(I713,Customers[#Data],4,FALSE)</f>
        <v>Maw La Myaing</v>
      </c>
      <c r="L713" s="15" t="str">
        <f>VLOOKUP(I713,Customers[#Data],5,FALSE)</f>
        <v>Van Sales</v>
      </c>
      <c r="M713" s="7" t="s">
        <v>6</v>
      </c>
      <c r="N713" s="7" t="s">
        <v>508</v>
      </c>
      <c r="O713" s="14" t="str">
        <f>VLOOKUP(N713,Stock[#Data],2,FALSE)</f>
        <v>ကောင်းကြည်-1Li</v>
      </c>
      <c r="P713" s="44">
        <f>VLOOKUP(N713,Stock[#Data],3,FALSE)</f>
        <v>1</v>
      </c>
      <c r="Q713" s="3">
        <f>VLOOKUP(N713,Stock[#Data],4,FALSE)</f>
        <v>12</v>
      </c>
      <c r="R713" s="11">
        <v>1</v>
      </c>
      <c r="S713" s="45">
        <f>IFERROR(Table4[[#This Row],[Bottle]]/Table4[[#This Row],[ပါဝင်မှု]]+Table4[[#This Row],[SalesPK]],0)</f>
        <v>8.3333333333333329E-2</v>
      </c>
      <c r="T713" s="12"/>
      <c r="U713" s="10">
        <f>Table4[[#This Row],[ပါဝင်မှု]]*Table4[[#This Row],[SalesPK]]+Table4[[#This Row],[Bottle]]</f>
        <v>1</v>
      </c>
      <c r="V713" s="10">
        <f>Table4[[#This Row],[SalesBot]]*Table4[[#This Row],[ML]]</f>
        <v>1</v>
      </c>
      <c r="W713" s="1">
        <f>VLOOKUP(N713,Stock[#Data],6,FALSE)</f>
        <v>1850</v>
      </c>
      <c r="X713" s="8">
        <f>+Table4[[#This Row],[SalesBot]]*Table4[[#This Row],[နှုံး]]</f>
        <v>1850</v>
      </c>
      <c r="Y713" s="12"/>
      <c r="Z713" s="12"/>
      <c r="AA713" s="12"/>
      <c r="AB713" s="9"/>
      <c r="AC713" s="12"/>
      <c r="AD713" s="9"/>
      <c r="AE713" s="12"/>
      <c r="AF71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713" s="24"/>
      <c r="AH713" s="266">
        <f>Table4[[#This Row],[Date]]</f>
        <v>46066</v>
      </c>
      <c r="AI713" s="264" t="str">
        <f t="shared" si="130"/>
        <v>Feb</v>
      </c>
      <c r="AJ713" s="264" t="str">
        <f t="shared" si="131"/>
        <v>2026</v>
      </c>
      <c r="AK713" s="270" t="str">
        <f>Table4[[#This Row],[ကုန်သည်အမည်]]</f>
        <v>ဆန်းသစ်ကမ္ဘာ</v>
      </c>
      <c r="AL713" s="270" t="str">
        <f>Table4[[#This Row],[Township]]</f>
        <v>Maw La Myaing</v>
      </c>
      <c r="AM713" s="271" t="str">
        <f>Table4[[#This Row],[WholeSales]]</f>
        <v>Van Sales</v>
      </c>
      <c r="AN713" s="272" t="str">
        <f>Table4[[#This Row],[Particular]]</f>
        <v>ကုန်ရောင်း(လက်ငင်း)</v>
      </c>
      <c r="AO713" s="273" t="str">
        <f>Table4[[#This Row],[StockName]]</f>
        <v>ကောင်းကြည်-1Li</v>
      </c>
      <c r="AP713" s="268">
        <f>Table4[[#This Row],[Parking]]</f>
        <v>8.3333333333333329E-2</v>
      </c>
      <c r="AQ713" s="268">
        <f>Table4[[#This Row],[SalesBot]]</f>
        <v>1</v>
      </c>
      <c r="AR713" s="268">
        <f>Table4[[#This Row],[Liter]]</f>
        <v>1</v>
      </c>
    </row>
    <row r="714" spans="1:44" s="16" customFormat="1" hidden="1" x14ac:dyDescent="0.5">
      <c r="A714" s="3">
        <f>YEAR(C714)</f>
        <v>2026</v>
      </c>
      <c r="B714" s="8">
        <f>MONTH(C714)</f>
        <v>2</v>
      </c>
      <c r="C714" s="6">
        <v>46066</v>
      </c>
      <c r="D714" s="15">
        <f ca="1">TODAY()</f>
        <v>46097</v>
      </c>
      <c r="E714" s="15" t="str">
        <f ca="1">DATEDIF(C714,D714,"M")&amp;"-Months"</f>
        <v>1-Months</v>
      </c>
      <c r="F714" s="8" t="str">
        <f>VLOOKUP(N714,Stock[#Data],5,FALSE)</f>
        <v>BE</v>
      </c>
      <c r="G714" s="82" t="s">
        <v>1438</v>
      </c>
      <c r="H714" s="15"/>
      <c r="I714" s="7" t="s">
        <v>1435</v>
      </c>
      <c r="J714" s="8" t="str">
        <f>VLOOKUP(I714,Customers[#Data],2,FALSE)</f>
        <v>ဘုရင်မ</v>
      </c>
      <c r="K714" s="15" t="str">
        <f>VLOOKUP(I714,Customers[#Data],4,FALSE)</f>
        <v>Maw La Myaing</v>
      </c>
      <c r="L714" s="15" t="str">
        <f>VLOOKUP(I714,Customers[#Data],5,FALSE)</f>
        <v>Van Sales</v>
      </c>
      <c r="M714" s="7" t="s">
        <v>6</v>
      </c>
      <c r="N714" s="7" t="s">
        <v>518</v>
      </c>
      <c r="O714" s="14" t="str">
        <f>VLOOKUP(N714,Stock[#Data],2,FALSE)</f>
        <v>"ဇေ" ကော်ဘူး (1 Liter)</v>
      </c>
      <c r="P714" s="44">
        <f>VLOOKUP(N714,Stock[#Data],3,FALSE)</f>
        <v>1</v>
      </c>
      <c r="Q714" s="3">
        <f>VLOOKUP(N714,Stock[#Data],4,FALSE)</f>
        <v>12</v>
      </c>
      <c r="R714" s="11"/>
      <c r="S714" s="45">
        <f>IFERROR(Table4[[#This Row],[Bottle]]/Table4[[#This Row],[ပါဝင်မှု]]+Table4[[#This Row],[SalesPK]],0)</f>
        <v>1</v>
      </c>
      <c r="T714" s="12">
        <v>1</v>
      </c>
      <c r="U714" s="10">
        <f>Table4[[#This Row],[ပါဝင်မှု]]*Table4[[#This Row],[SalesPK]]+Table4[[#This Row],[Bottle]]</f>
        <v>12</v>
      </c>
      <c r="V714" s="10">
        <f>Table4[[#This Row],[SalesBot]]*Table4[[#This Row],[ML]]</f>
        <v>12</v>
      </c>
      <c r="W714" s="1">
        <f>VLOOKUP(N714,Stock[#Data],6,FALSE)</f>
        <v>1675</v>
      </c>
      <c r="X714" s="8">
        <f>+Table4[[#This Row],[SalesBot]]*Table4[[#This Row],[နှုံး]]</f>
        <v>20100</v>
      </c>
      <c r="Y714" s="12"/>
      <c r="Z714" s="12"/>
      <c r="AA714" s="12"/>
      <c r="AB714" s="9"/>
      <c r="AC714" s="12"/>
      <c r="AD714" s="9"/>
      <c r="AE714" s="12"/>
      <c r="AF71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</v>
      </c>
      <c r="AG714" s="24"/>
      <c r="AH714" s="266">
        <f>Table4[[#This Row],[Date]]</f>
        <v>46066</v>
      </c>
      <c r="AI714" s="264" t="str">
        <f t="shared" si="130"/>
        <v>Feb</v>
      </c>
      <c r="AJ714" s="264" t="str">
        <f t="shared" si="131"/>
        <v>2026</v>
      </c>
      <c r="AK714" s="270" t="str">
        <f>Table4[[#This Row],[ကုန်သည်အမည်]]</f>
        <v>ဘုရင်မ</v>
      </c>
      <c r="AL714" s="270" t="str">
        <f>Table4[[#This Row],[Township]]</f>
        <v>Maw La Myaing</v>
      </c>
      <c r="AM714" s="271" t="str">
        <f>Table4[[#This Row],[WholeSales]]</f>
        <v>Van Sales</v>
      </c>
      <c r="AN714" s="272" t="str">
        <f>Table4[[#This Row],[Particular]]</f>
        <v>ကုန်ရောင်း(လက်ငင်း)</v>
      </c>
      <c r="AO714" s="273" t="str">
        <f>Table4[[#This Row],[StockName]]</f>
        <v>"ဇေ" ကော်ဘူး (1 Liter)</v>
      </c>
      <c r="AP714" s="268">
        <f>Table4[[#This Row],[Parking]]</f>
        <v>1</v>
      </c>
      <c r="AQ714" s="268">
        <f>Table4[[#This Row],[SalesBot]]</f>
        <v>12</v>
      </c>
      <c r="AR714" s="268">
        <f>Table4[[#This Row],[Liter]]</f>
        <v>12</v>
      </c>
    </row>
    <row r="715" spans="1:44" s="16" customFormat="1" hidden="1" x14ac:dyDescent="0.5">
      <c r="A715" s="3">
        <f>YEAR(C715)</f>
        <v>2026</v>
      </c>
      <c r="B715" s="8">
        <f>MONTH(C715)</f>
        <v>2</v>
      </c>
      <c r="C715" s="6">
        <v>46066</v>
      </c>
      <c r="D715" s="15">
        <f ca="1">TODAY()</f>
        <v>46097</v>
      </c>
      <c r="E715" s="15" t="str">
        <f ca="1">DATEDIF(C715,D715,"M")&amp;"-Months"</f>
        <v>1-Months</v>
      </c>
      <c r="F715" s="8" t="str">
        <f>VLOOKUP(N715,Stock[#Data],5,FALSE)</f>
        <v>BE</v>
      </c>
      <c r="G715" s="82" t="s">
        <v>1438</v>
      </c>
      <c r="H715" s="15"/>
      <c r="I715" s="7" t="s">
        <v>1435</v>
      </c>
      <c r="J715" s="8" t="str">
        <f>VLOOKUP(I715,Customers[#Data],2,FALSE)</f>
        <v>ဘုရင်မ</v>
      </c>
      <c r="K715" s="15" t="str">
        <f>VLOOKUP(I715,Customers[#Data],4,FALSE)</f>
        <v>Maw La Myaing</v>
      </c>
      <c r="L715" s="15" t="str">
        <f>VLOOKUP(I715,Customers[#Data],5,FALSE)</f>
        <v>Van Sales</v>
      </c>
      <c r="M715" s="7" t="s">
        <v>6</v>
      </c>
      <c r="N715" s="7" t="s">
        <v>522</v>
      </c>
      <c r="O715" s="14" t="str">
        <f>VLOOKUP(N715,Stock[#Data],2,FALSE)</f>
        <v>ဒဂုံမန်ကျည်း ကော်ဘူး (1 Liter)</v>
      </c>
      <c r="P715" s="44">
        <f>VLOOKUP(N715,Stock[#Data],3,FALSE)</f>
        <v>1</v>
      </c>
      <c r="Q715" s="3">
        <f>VLOOKUP(N715,Stock[#Data],4,FALSE)</f>
        <v>12</v>
      </c>
      <c r="R715" s="11">
        <v>6</v>
      </c>
      <c r="S715" s="45">
        <f>IFERROR(Table4[[#This Row],[Bottle]]/Table4[[#This Row],[ပါဝင်မှု]]+Table4[[#This Row],[SalesPK]],0)</f>
        <v>0.5</v>
      </c>
      <c r="T715" s="12"/>
      <c r="U715" s="10">
        <f>Table4[[#This Row],[ပါဝင်မှု]]*Table4[[#This Row],[SalesPK]]+Table4[[#This Row],[Bottle]]</f>
        <v>6</v>
      </c>
      <c r="V715" s="10">
        <f>Table4[[#This Row],[SalesBot]]*Table4[[#This Row],[ML]]</f>
        <v>6</v>
      </c>
      <c r="W715" s="1">
        <f>VLOOKUP(N715,Stock[#Data],6,FALSE)</f>
        <v>1600</v>
      </c>
      <c r="X715" s="8">
        <f>+Table4[[#This Row],[SalesBot]]*Table4[[#This Row],[နှုံး]]</f>
        <v>9600</v>
      </c>
      <c r="Y715" s="12"/>
      <c r="Z715" s="12"/>
      <c r="AA715" s="12"/>
      <c r="AB715" s="9"/>
      <c r="AC715" s="12"/>
      <c r="AD715" s="9"/>
      <c r="AE715" s="12"/>
      <c r="AF71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9600</v>
      </c>
      <c r="AG715" s="24"/>
      <c r="AH715" s="266">
        <f>Table4[[#This Row],[Date]]</f>
        <v>46066</v>
      </c>
      <c r="AI715" s="264" t="str">
        <f t="shared" si="130"/>
        <v>Feb</v>
      </c>
      <c r="AJ715" s="264" t="str">
        <f t="shared" si="131"/>
        <v>2026</v>
      </c>
      <c r="AK715" s="270" t="str">
        <f>Table4[[#This Row],[ကုန်သည်အမည်]]</f>
        <v>ဘုရင်မ</v>
      </c>
      <c r="AL715" s="270" t="str">
        <f>Table4[[#This Row],[Township]]</f>
        <v>Maw La Myaing</v>
      </c>
      <c r="AM715" s="271" t="str">
        <f>Table4[[#This Row],[WholeSales]]</f>
        <v>Van Sales</v>
      </c>
      <c r="AN715" s="272" t="str">
        <f>Table4[[#This Row],[Particular]]</f>
        <v>ကုန်ရောင်း(လက်ငင်း)</v>
      </c>
      <c r="AO715" s="273" t="str">
        <f>Table4[[#This Row],[StockName]]</f>
        <v>ဒဂုံမန်ကျည်း ကော်ဘူး (1 Liter)</v>
      </c>
      <c r="AP715" s="268">
        <f>Table4[[#This Row],[Parking]]</f>
        <v>0.5</v>
      </c>
      <c r="AQ715" s="268">
        <f>Table4[[#This Row],[SalesBot]]</f>
        <v>6</v>
      </c>
      <c r="AR715" s="268">
        <f>Table4[[#This Row],[Liter]]</f>
        <v>6</v>
      </c>
    </row>
    <row r="716" spans="1:44" s="16" customFormat="1" hidden="1" x14ac:dyDescent="0.5">
      <c r="A716" s="3">
        <f>YEAR(C716)</f>
        <v>2026</v>
      </c>
      <c r="B716" s="8">
        <f>MONTH(C716)</f>
        <v>2</v>
      </c>
      <c r="C716" s="6">
        <v>46066</v>
      </c>
      <c r="D716" s="15">
        <f ca="1">TODAY()</f>
        <v>46097</v>
      </c>
      <c r="E716" s="15" t="str">
        <f ca="1">DATEDIF(C716,D716,"M")&amp;"-Months"</f>
        <v>1-Months</v>
      </c>
      <c r="F716" s="8" t="str">
        <f>VLOOKUP(N716,Stock[#Data],5,FALSE)</f>
        <v>BE</v>
      </c>
      <c r="G716" s="82" t="s">
        <v>1438</v>
      </c>
      <c r="H716" s="15"/>
      <c r="I716" s="7" t="s">
        <v>1435</v>
      </c>
      <c r="J716" s="8" t="str">
        <f>VLOOKUP(I716,Customers[#Data],2,FALSE)</f>
        <v>ဘုရင်မ</v>
      </c>
      <c r="K716" s="15" t="str">
        <f>VLOOKUP(I716,Customers[#Data],4,FALSE)</f>
        <v>Maw La Myaing</v>
      </c>
      <c r="L716" s="15" t="str">
        <f>VLOOKUP(I716,Customers[#Data],5,FALSE)</f>
        <v>Van Sales</v>
      </c>
      <c r="M716" s="7" t="s">
        <v>6</v>
      </c>
      <c r="N716" s="7" t="s">
        <v>508</v>
      </c>
      <c r="O716" s="14" t="str">
        <f>VLOOKUP(N716,Stock[#Data],2,FALSE)</f>
        <v>ကောင်းကြည်-1Li</v>
      </c>
      <c r="P716" s="44">
        <f>VLOOKUP(N716,Stock[#Data],3,FALSE)</f>
        <v>1</v>
      </c>
      <c r="Q716" s="3">
        <f>VLOOKUP(N716,Stock[#Data],4,FALSE)</f>
        <v>12</v>
      </c>
      <c r="R716" s="11">
        <v>6</v>
      </c>
      <c r="S716" s="45">
        <f>IFERROR(Table4[[#This Row],[Bottle]]/Table4[[#This Row],[ပါဝင်မှု]]+Table4[[#This Row],[SalesPK]],0)</f>
        <v>0.5</v>
      </c>
      <c r="T716" s="12"/>
      <c r="U716" s="10">
        <f>Table4[[#This Row],[ပါဝင်မှု]]*Table4[[#This Row],[SalesPK]]+Table4[[#This Row],[Bottle]]</f>
        <v>6</v>
      </c>
      <c r="V716" s="10">
        <f>Table4[[#This Row],[SalesBot]]*Table4[[#This Row],[ML]]</f>
        <v>6</v>
      </c>
      <c r="W716" s="1">
        <f>VLOOKUP(N716,Stock[#Data],6,FALSE)</f>
        <v>1850</v>
      </c>
      <c r="X716" s="8">
        <f>+Table4[[#This Row],[SalesBot]]*Table4[[#This Row],[နှုံး]]</f>
        <v>11100</v>
      </c>
      <c r="Y716" s="12"/>
      <c r="Z716" s="12"/>
      <c r="AA716" s="12"/>
      <c r="AB716" s="9"/>
      <c r="AC716" s="12"/>
      <c r="AD716" s="9"/>
      <c r="AE716" s="12"/>
      <c r="AF71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11100</v>
      </c>
      <c r="AG716" s="24"/>
      <c r="AH716" s="266">
        <f>Table4[[#This Row],[Date]]</f>
        <v>46066</v>
      </c>
      <c r="AI716" s="264" t="str">
        <f t="shared" si="130"/>
        <v>Feb</v>
      </c>
      <c r="AJ716" s="264" t="str">
        <f t="shared" si="131"/>
        <v>2026</v>
      </c>
      <c r="AK716" s="270" t="str">
        <f>Table4[[#This Row],[ကုန်သည်အမည်]]</f>
        <v>ဘုရင်မ</v>
      </c>
      <c r="AL716" s="270" t="str">
        <f>Table4[[#This Row],[Township]]</f>
        <v>Maw La Myaing</v>
      </c>
      <c r="AM716" s="271" t="str">
        <f>Table4[[#This Row],[WholeSales]]</f>
        <v>Van Sales</v>
      </c>
      <c r="AN716" s="272" t="str">
        <f>Table4[[#This Row],[Particular]]</f>
        <v>ကုန်ရောင်း(လက်ငင်း)</v>
      </c>
      <c r="AO716" s="273" t="str">
        <f>Table4[[#This Row],[StockName]]</f>
        <v>ကောင်းကြည်-1Li</v>
      </c>
      <c r="AP716" s="268">
        <f>Table4[[#This Row],[Parking]]</f>
        <v>0.5</v>
      </c>
      <c r="AQ716" s="268">
        <f>Table4[[#This Row],[SalesBot]]</f>
        <v>6</v>
      </c>
      <c r="AR716" s="268">
        <f>Table4[[#This Row],[Liter]]</f>
        <v>6</v>
      </c>
    </row>
    <row r="717" spans="1:44" s="16" customFormat="1" hidden="1" x14ac:dyDescent="0.5">
      <c r="A717" s="3">
        <f t="shared" si="132"/>
        <v>2026</v>
      </c>
      <c r="B717" s="8">
        <f t="shared" si="133"/>
        <v>2</v>
      </c>
      <c r="C717" s="6">
        <v>46066</v>
      </c>
      <c r="D717" s="15">
        <f t="shared" ca="1" si="134"/>
        <v>46097</v>
      </c>
      <c r="E717" s="15" t="str">
        <f t="shared" ca="1" si="135"/>
        <v>1-Months</v>
      </c>
      <c r="F717" s="8" t="str">
        <f>VLOOKUP(N717,Stock[#Data],5,FALSE)</f>
        <v>BE</v>
      </c>
      <c r="G717" s="82" t="s">
        <v>1413</v>
      </c>
      <c r="H717" s="15"/>
      <c r="I717" s="7" t="s">
        <v>78</v>
      </c>
      <c r="J717" s="8" t="str">
        <f>VLOOKUP(I717,Customers[#Data],2,FALSE)</f>
        <v>My-1</v>
      </c>
      <c r="K717" s="15" t="str">
        <f>VLOOKUP(I717,Customers[#Data],4,FALSE)</f>
        <v>Maw La Myaing</v>
      </c>
      <c r="L717" s="15" t="str">
        <f>VLOOKUP(I717,Customers[#Data],5,FALSE)</f>
        <v>Van Sales</v>
      </c>
      <c r="M717" s="7" t="s">
        <v>6</v>
      </c>
      <c r="N717" s="7" t="s">
        <v>508</v>
      </c>
      <c r="O717" s="14" t="str">
        <f>VLOOKUP(N717,Stock[#Data],2,FALSE)</f>
        <v>ကောင်းကြည်-1Li</v>
      </c>
      <c r="P717" s="44">
        <f>VLOOKUP(N717,Stock[#Data],3,FALSE)</f>
        <v>1</v>
      </c>
      <c r="Q717" s="3">
        <f>VLOOKUP(N717,Stock[#Data],4,FALSE)</f>
        <v>12</v>
      </c>
      <c r="R717" s="11"/>
      <c r="S717" s="45">
        <f>IFERROR(Table4[[#This Row],[Bottle]]/Table4[[#This Row],[ပါဝင်မှု]]+Table4[[#This Row],[SalesPK]],0)</f>
        <v>5</v>
      </c>
      <c r="T717" s="12">
        <v>5</v>
      </c>
      <c r="U717" s="10">
        <f>Table4[[#This Row],[ပါဝင်မှု]]*Table4[[#This Row],[SalesPK]]+Table4[[#This Row],[Bottle]]</f>
        <v>60</v>
      </c>
      <c r="V717" s="10">
        <f>Table4[[#This Row],[SalesBot]]*Table4[[#This Row],[ML]]</f>
        <v>60</v>
      </c>
      <c r="W717" s="1">
        <f>VLOOKUP(N717,Stock[#Data],6,FALSE)</f>
        <v>1850</v>
      </c>
      <c r="X717" s="8">
        <f>+Table4[[#This Row],[SalesBot]]*Table4[[#This Row],[နှုံး]]</f>
        <v>111000</v>
      </c>
      <c r="Y717" s="12"/>
      <c r="Z717" s="12"/>
      <c r="AA717" s="12"/>
      <c r="AB717" s="9"/>
      <c r="AC717" s="12"/>
      <c r="AD717" s="9"/>
      <c r="AE717" s="12"/>
      <c r="AF71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111000</v>
      </c>
      <c r="AG717" s="24"/>
      <c r="AH717" s="266">
        <f>Table4[[#This Row],[Date]]</f>
        <v>46066</v>
      </c>
      <c r="AI717" s="264" t="str">
        <f t="shared" si="130"/>
        <v>Feb</v>
      </c>
      <c r="AJ717" s="264" t="str">
        <f t="shared" si="131"/>
        <v>2026</v>
      </c>
      <c r="AK717" s="270" t="str">
        <f>Table4[[#This Row],[ကုန်သည်အမည်]]</f>
        <v>My-1</v>
      </c>
      <c r="AL717" s="270" t="str">
        <f>Table4[[#This Row],[Township]]</f>
        <v>Maw La Myaing</v>
      </c>
      <c r="AM717" s="271" t="str">
        <f>Table4[[#This Row],[WholeSales]]</f>
        <v>Van Sales</v>
      </c>
      <c r="AN717" s="272" t="str">
        <f>Table4[[#This Row],[Particular]]</f>
        <v>ကုန်ရောင်း(လက်ငင်း)</v>
      </c>
      <c r="AO717" s="273" t="str">
        <f>Table4[[#This Row],[StockName]]</f>
        <v>ကောင်းကြည်-1Li</v>
      </c>
      <c r="AP717" s="268">
        <f>Table4[[#This Row],[Parking]]</f>
        <v>5</v>
      </c>
      <c r="AQ717" s="268">
        <f>Table4[[#This Row],[SalesBot]]</f>
        <v>60</v>
      </c>
      <c r="AR717" s="268">
        <f>Table4[[#This Row],[Liter]]</f>
        <v>60</v>
      </c>
    </row>
    <row r="718" spans="1:44" s="16" customFormat="1" hidden="1" x14ac:dyDescent="0.5">
      <c r="A718" s="3">
        <f t="shared" si="132"/>
        <v>2026</v>
      </c>
      <c r="B718" s="8">
        <f t="shared" si="133"/>
        <v>2</v>
      </c>
      <c r="C718" s="6">
        <v>46066</v>
      </c>
      <c r="D718" s="15">
        <f t="shared" ca="1" si="134"/>
        <v>46097</v>
      </c>
      <c r="E718" s="15" t="str">
        <f t="shared" ca="1" si="135"/>
        <v>1-Months</v>
      </c>
      <c r="F718" s="8" t="str">
        <f>VLOOKUP(N718,Stock[#Data],5,FALSE)</f>
        <v>BE</v>
      </c>
      <c r="G718" s="82" t="s">
        <v>1414</v>
      </c>
      <c r="H718" s="15"/>
      <c r="I718" s="7" t="s">
        <v>1415</v>
      </c>
      <c r="J718" s="8" t="str">
        <f>VLOOKUP(I718,Customers[#Data],2,FALSE)</f>
        <v>ရွှေဗန်ဒါ</v>
      </c>
      <c r="K718" s="15" t="str">
        <f>VLOOKUP(I718,Customers[#Data],4,FALSE)</f>
        <v>Maw La Myaing</v>
      </c>
      <c r="L718" s="15" t="str">
        <f>VLOOKUP(I718,Customers[#Data],5,FALSE)</f>
        <v>Van Sales</v>
      </c>
      <c r="M718" s="7" t="s">
        <v>6</v>
      </c>
      <c r="N718" s="7" t="s">
        <v>508</v>
      </c>
      <c r="O718" s="14" t="str">
        <f>VLOOKUP(N718,Stock[#Data],2,FALSE)</f>
        <v>ကောင်းကြည်-1Li</v>
      </c>
      <c r="P718" s="44">
        <f>VLOOKUP(N718,Stock[#Data],3,FALSE)</f>
        <v>1</v>
      </c>
      <c r="Q718" s="3">
        <f>VLOOKUP(N718,Stock[#Data],4,FALSE)</f>
        <v>12</v>
      </c>
      <c r="R718" s="11"/>
      <c r="S718" s="45">
        <f>IFERROR(Table4[[#This Row],[Bottle]]/Table4[[#This Row],[ပါဝင်မှု]]+Table4[[#This Row],[SalesPK]],0)</f>
        <v>1</v>
      </c>
      <c r="T718" s="12">
        <v>1</v>
      </c>
      <c r="U718" s="10">
        <f>Table4[[#This Row],[ပါဝင်မှု]]*Table4[[#This Row],[SalesPK]]+Table4[[#This Row],[Bottle]]</f>
        <v>12</v>
      </c>
      <c r="V718" s="10">
        <f>Table4[[#This Row],[SalesBot]]*Table4[[#This Row],[ML]]</f>
        <v>12</v>
      </c>
      <c r="W718" s="1">
        <f>VLOOKUP(N718,Stock[#Data],6,FALSE)</f>
        <v>1850</v>
      </c>
      <c r="X718" s="8">
        <f>+Table4[[#This Row],[SalesBot]]*Table4[[#This Row],[နှုံး]]</f>
        <v>22200</v>
      </c>
      <c r="Y718" s="12"/>
      <c r="Z718" s="12"/>
      <c r="AA718" s="12"/>
      <c r="AB718" s="9"/>
      <c r="AC718" s="12"/>
      <c r="AD718" s="9"/>
      <c r="AE718" s="12"/>
      <c r="AF71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718" s="24"/>
      <c r="AH718" s="266">
        <f>Table4[[#This Row],[Date]]</f>
        <v>46066</v>
      </c>
      <c r="AI718" s="264" t="str">
        <f t="shared" si="130"/>
        <v>Feb</v>
      </c>
      <c r="AJ718" s="264" t="str">
        <f t="shared" si="131"/>
        <v>2026</v>
      </c>
      <c r="AK718" s="270" t="str">
        <f>Table4[[#This Row],[ကုန်သည်အမည်]]</f>
        <v>ရွှေဗန်ဒါ</v>
      </c>
      <c r="AL718" s="270" t="str">
        <f>Table4[[#This Row],[Township]]</f>
        <v>Maw La Myaing</v>
      </c>
      <c r="AM718" s="271" t="str">
        <f>Table4[[#This Row],[WholeSales]]</f>
        <v>Van Sales</v>
      </c>
      <c r="AN718" s="272" t="str">
        <f>Table4[[#This Row],[Particular]]</f>
        <v>ကုန်ရောင်း(လက်ငင်း)</v>
      </c>
      <c r="AO718" s="273" t="str">
        <f>Table4[[#This Row],[StockName]]</f>
        <v>ကောင်းကြည်-1Li</v>
      </c>
      <c r="AP718" s="268">
        <f>Table4[[#This Row],[Parking]]</f>
        <v>1</v>
      </c>
      <c r="AQ718" s="268">
        <f>Table4[[#This Row],[SalesBot]]</f>
        <v>12</v>
      </c>
      <c r="AR718" s="268">
        <f>Table4[[#This Row],[Liter]]</f>
        <v>12</v>
      </c>
    </row>
    <row r="719" spans="1:44" s="16" customFormat="1" hidden="1" x14ac:dyDescent="0.5">
      <c r="A719" s="3">
        <f t="shared" ref="A719:A903" si="136">YEAR(C719)</f>
        <v>2026</v>
      </c>
      <c r="B719" s="8">
        <f t="shared" ref="B719:B903" si="137">MONTH(C719)</f>
        <v>2</v>
      </c>
      <c r="C719" s="6">
        <v>46067</v>
      </c>
      <c r="D719" s="15">
        <f t="shared" ref="D719:D903" ca="1" si="138">TODAY()</f>
        <v>46097</v>
      </c>
      <c r="E719" s="15" t="str">
        <f t="shared" ref="E719:E903" ca="1" si="139">DATEDIF(C719,D719,"M")&amp;"-Months"</f>
        <v>1-Months</v>
      </c>
      <c r="F719" s="8" t="str">
        <f>VLOOKUP(N719,Stock[#Data],5,FALSE)</f>
        <v>BE</v>
      </c>
      <c r="G719" s="82" t="s">
        <v>1418</v>
      </c>
      <c r="H719" s="15"/>
      <c r="I719" s="7" t="s">
        <v>539</v>
      </c>
      <c r="J719" s="8" t="str">
        <f>VLOOKUP(I719,Customers[#Data],2,FALSE)</f>
        <v>၀င်းအောင်ရွှေ</v>
      </c>
      <c r="K719" s="15" t="str">
        <f>VLOOKUP(I719,Customers[#Data],4,FALSE)</f>
        <v>Hpa-an</v>
      </c>
      <c r="L719" s="15" t="str">
        <f>VLOOKUP(I719,Customers[#Data],5,FALSE)</f>
        <v>SemiWholeSales</v>
      </c>
      <c r="M719" s="7" t="s">
        <v>7</v>
      </c>
      <c r="N719" s="7" t="s">
        <v>514</v>
      </c>
      <c r="O719" s="14" t="str">
        <f>VLOOKUP(N719,Stock[#Data],2,FALSE)</f>
        <v>ဇေယျဝတီ Red</v>
      </c>
      <c r="P719" s="44">
        <f>VLOOKUP(N719,Stock[#Data],3,FALSE)</f>
        <v>0.64</v>
      </c>
      <c r="Q719" s="3">
        <f>VLOOKUP(N719,Stock[#Data],4,FALSE)</f>
        <v>14</v>
      </c>
      <c r="R719" s="11"/>
      <c r="S719" s="45">
        <f>IFERROR(Table4[[#This Row],[Bottle]]/Table4[[#This Row],[ပါဝင်မှု]]+Table4[[#This Row],[SalesPK]],0)</f>
        <v>150</v>
      </c>
      <c r="T719" s="12">
        <v>150</v>
      </c>
      <c r="U719" s="10">
        <f>Table4[[#This Row],[ပါဝင်မှု]]*Table4[[#This Row],[SalesPK]]+Table4[[#This Row],[Bottle]]</f>
        <v>2100</v>
      </c>
      <c r="V719" s="10">
        <f>Table4[[#This Row],[SalesBot]]*Table4[[#This Row],[ML]]</f>
        <v>1344</v>
      </c>
      <c r="W719" s="1">
        <f>VLOOKUP(N719,Stock[#Data],6,FALSE)</f>
        <v>1350</v>
      </c>
      <c r="X719" s="8">
        <f>+Table4[[#This Row],[SalesBot]]*Table4[[#This Row],[နှုံး]]</f>
        <v>2835000</v>
      </c>
      <c r="Y719" s="12"/>
      <c r="Z719" s="12"/>
      <c r="AA719" s="12"/>
      <c r="AB719" s="9"/>
      <c r="AC719" s="12"/>
      <c r="AD719" s="9"/>
      <c r="AE719" s="12"/>
      <c r="AF71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2835000</v>
      </c>
      <c r="AG719" s="24"/>
      <c r="AH719" s="266">
        <f>Table4[[#This Row],[Date]]</f>
        <v>46067</v>
      </c>
      <c r="AI719" s="264" t="str">
        <f t="shared" si="130"/>
        <v>Feb</v>
      </c>
      <c r="AJ719" s="264" t="str">
        <f t="shared" si="131"/>
        <v>2026</v>
      </c>
      <c r="AK719" s="270" t="str">
        <f>Table4[[#This Row],[ကုန်သည်အမည်]]</f>
        <v>၀င်းအောင်ရွှေ</v>
      </c>
      <c r="AL719" s="270" t="str">
        <f>Table4[[#This Row],[Township]]</f>
        <v>Hpa-an</v>
      </c>
      <c r="AM719" s="271" t="str">
        <f>Table4[[#This Row],[WholeSales]]</f>
        <v>SemiWholeSales</v>
      </c>
      <c r="AN719" s="272" t="str">
        <f>Table4[[#This Row],[Particular]]</f>
        <v>ကုန်ရောင်း(အကြွေး)</v>
      </c>
      <c r="AO719" s="273" t="str">
        <f>Table4[[#This Row],[StockName]]</f>
        <v>ဇေယျဝတီ Red</v>
      </c>
      <c r="AP719" s="268">
        <f>Table4[[#This Row],[Parking]]</f>
        <v>150</v>
      </c>
      <c r="AQ719" s="268">
        <f>Table4[[#This Row],[SalesBot]]</f>
        <v>2100</v>
      </c>
      <c r="AR719" s="268">
        <f>Table4[[#This Row],[Liter]]</f>
        <v>1344</v>
      </c>
    </row>
    <row r="720" spans="1:44" s="16" customFormat="1" hidden="1" x14ac:dyDescent="0.5">
      <c r="A720" s="3">
        <f t="shared" si="136"/>
        <v>2026</v>
      </c>
      <c r="B720" s="8">
        <f t="shared" si="137"/>
        <v>2</v>
      </c>
      <c r="C720" s="6">
        <v>46067</v>
      </c>
      <c r="D720" s="15">
        <f t="shared" ca="1" si="138"/>
        <v>46097</v>
      </c>
      <c r="E720" s="15" t="str">
        <f t="shared" ca="1" si="139"/>
        <v>1-Months</v>
      </c>
      <c r="F720" s="8" t="str">
        <f>VLOOKUP(N720,Stock[#Data],5,FALSE)</f>
        <v>BE</v>
      </c>
      <c r="G720" s="82" t="s">
        <v>1418</v>
      </c>
      <c r="H720" s="15"/>
      <c r="I720" s="7" t="s">
        <v>539</v>
      </c>
      <c r="J720" s="8" t="str">
        <f>VLOOKUP(I720,Customers[#Data],2,FALSE)</f>
        <v>၀င်းအောင်ရွှေ</v>
      </c>
      <c r="K720" s="15" t="str">
        <f>VLOOKUP(I720,Customers[#Data],4,FALSE)</f>
        <v>Hpa-an</v>
      </c>
      <c r="L720" s="15" t="str">
        <f>VLOOKUP(I720,Customers[#Data],5,FALSE)</f>
        <v>SemiWholeSales</v>
      </c>
      <c r="M720" s="7" t="s">
        <v>7</v>
      </c>
      <c r="N720" s="7" t="s">
        <v>517</v>
      </c>
      <c r="O720" s="14" t="str">
        <f>VLOOKUP(N720,Stock[#Data],2,FALSE)</f>
        <v>ဇေယျဝတီ Red (1 Liter) 30%</v>
      </c>
      <c r="P720" s="44">
        <f>VLOOKUP(N720,Stock[#Data],3,FALSE)</f>
        <v>1</v>
      </c>
      <c r="Q720" s="3">
        <f>VLOOKUP(N720,Stock[#Data],4,FALSE)</f>
        <v>12</v>
      </c>
      <c r="R720" s="11"/>
      <c r="S720" s="45">
        <f>IFERROR(Table4[[#This Row],[Bottle]]/Table4[[#This Row],[ပါဝင်မှု]]+Table4[[#This Row],[SalesPK]],0)</f>
        <v>50</v>
      </c>
      <c r="T720" s="12">
        <v>50</v>
      </c>
      <c r="U720" s="10">
        <f>Table4[[#This Row],[ပါဝင်မှု]]*Table4[[#This Row],[SalesPK]]+Table4[[#This Row],[Bottle]]</f>
        <v>600</v>
      </c>
      <c r="V720" s="10">
        <f>Table4[[#This Row],[SalesBot]]*Table4[[#This Row],[ML]]</f>
        <v>600</v>
      </c>
      <c r="W720" s="1">
        <f>VLOOKUP(N720,Stock[#Data],6,FALSE)</f>
        <v>1710</v>
      </c>
      <c r="X720" s="8">
        <f>+Table4[[#This Row],[SalesBot]]*Table4[[#This Row],[နှုံး]]</f>
        <v>1026000</v>
      </c>
      <c r="Y720" s="12"/>
      <c r="Z720" s="12"/>
      <c r="AA720" s="12"/>
      <c r="AB720" s="9"/>
      <c r="AC720" s="12"/>
      <c r="AD720" s="9"/>
      <c r="AE720" s="12"/>
      <c r="AF72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720" s="24"/>
      <c r="AH720" s="266">
        <f>Table4[[#This Row],[Date]]</f>
        <v>46067</v>
      </c>
      <c r="AI720" s="264" t="str">
        <f t="shared" si="130"/>
        <v>Feb</v>
      </c>
      <c r="AJ720" s="264" t="str">
        <f t="shared" si="131"/>
        <v>2026</v>
      </c>
      <c r="AK720" s="270" t="str">
        <f>Table4[[#This Row],[ကုန်သည်အမည်]]</f>
        <v>၀င်းအောင်ရွှေ</v>
      </c>
      <c r="AL720" s="270" t="str">
        <f>Table4[[#This Row],[Township]]</f>
        <v>Hpa-an</v>
      </c>
      <c r="AM720" s="271" t="str">
        <f>Table4[[#This Row],[WholeSales]]</f>
        <v>SemiWholeSales</v>
      </c>
      <c r="AN720" s="272" t="str">
        <f>Table4[[#This Row],[Particular]]</f>
        <v>ကုန်ရောင်း(အကြွေး)</v>
      </c>
      <c r="AO720" s="273" t="str">
        <f>Table4[[#This Row],[StockName]]</f>
        <v>ဇေယျဝတီ Red (1 Liter) 30%</v>
      </c>
      <c r="AP720" s="268">
        <f>Table4[[#This Row],[Parking]]</f>
        <v>50</v>
      </c>
      <c r="AQ720" s="268">
        <f>Table4[[#This Row],[SalesBot]]</f>
        <v>600</v>
      </c>
      <c r="AR720" s="268">
        <f>Table4[[#This Row],[Liter]]</f>
        <v>600</v>
      </c>
    </row>
    <row r="721" spans="1:44" s="16" customFormat="1" hidden="1" x14ac:dyDescent="0.5">
      <c r="A721" s="3">
        <f t="shared" si="136"/>
        <v>2026</v>
      </c>
      <c r="B721" s="8">
        <f t="shared" si="137"/>
        <v>2</v>
      </c>
      <c r="C721" s="6">
        <v>46067</v>
      </c>
      <c r="D721" s="15">
        <f t="shared" ca="1" si="138"/>
        <v>46097</v>
      </c>
      <c r="E721" s="15" t="str">
        <f t="shared" ca="1" si="139"/>
        <v>1-Months</v>
      </c>
      <c r="F721" s="8" t="str">
        <f>VLOOKUP(N721,Stock[#Data],5,FALSE)</f>
        <v>BE</v>
      </c>
      <c r="G721" s="82" t="s">
        <v>1419</v>
      </c>
      <c r="H721" s="15"/>
      <c r="I721" s="7" t="s">
        <v>110</v>
      </c>
      <c r="J721" s="8" t="str">
        <f>VLOOKUP(I721,Customers[#Data],2,FALSE)</f>
        <v>ပြည့်လျှံ</v>
      </c>
      <c r="K721" s="15" t="str">
        <f>VLOOKUP(I721,Customers[#Data],4,FALSE)</f>
        <v>Maw La Myaing</v>
      </c>
      <c r="L721" s="15" t="str">
        <f>VLOOKUP(I721,Customers[#Data],5,FALSE)</f>
        <v>WholeSales</v>
      </c>
      <c r="M721" s="7" t="s">
        <v>7</v>
      </c>
      <c r="N721" s="7" t="s">
        <v>516</v>
      </c>
      <c r="O721" s="14" t="str">
        <f>VLOOKUP(N721,Stock[#Data],2,FALSE)</f>
        <v>ဇေ Vodka</v>
      </c>
      <c r="P721" s="44">
        <f>VLOOKUP(N721,Stock[#Data],3,FALSE)</f>
        <v>0.64</v>
      </c>
      <c r="Q721" s="3">
        <f>VLOOKUP(N721,Stock[#Data],4,FALSE)</f>
        <v>14</v>
      </c>
      <c r="R721" s="11"/>
      <c r="S721" s="45">
        <f>IFERROR(Table4[[#This Row],[Bottle]]/Table4[[#This Row],[ပါဝင်မှု]]+Table4[[#This Row],[SalesPK]],0)</f>
        <v>100</v>
      </c>
      <c r="T721" s="12">
        <v>100</v>
      </c>
      <c r="U721" s="10">
        <f>Table4[[#This Row],[ပါဝင်မှု]]*Table4[[#This Row],[SalesPK]]+Table4[[#This Row],[Bottle]]</f>
        <v>1400</v>
      </c>
      <c r="V721" s="10">
        <f>Table4[[#This Row],[SalesBot]]*Table4[[#This Row],[ML]]</f>
        <v>896</v>
      </c>
      <c r="W721" s="1">
        <f>VLOOKUP(N721,Stock[#Data],6,FALSE)</f>
        <v>1400</v>
      </c>
      <c r="X721" s="8">
        <f>+Table4[[#This Row],[SalesBot]]*Table4[[#This Row],[နှုံး]]</f>
        <v>1960000</v>
      </c>
      <c r="Y721" s="12"/>
      <c r="Z721" s="12"/>
      <c r="AA721" s="12"/>
      <c r="AB721" s="9"/>
      <c r="AC721" s="12"/>
      <c r="AD721" s="9"/>
      <c r="AE721" s="12"/>
      <c r="AF72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1960000</v>
      </c>
      <c r="AG721" s="24"/>
      <c r="AH721" s="266">
        <f>Table4[[#This Row],[Date]]</f>
        <v>46067</v>
      </c>
      <c r="AI721" s="264" t="str">
        <f t="shared" si="130"/>
        <v>Feb</v>
      </c>
      <c r="AJ721" s="264" t="str">
        <f t="shared" si="131"/>
        <v>2026</v>
      </c>
      <c r="AK721" s="270" t="str">
        <f>Table4[[#This Row],[ကုန်သည်အမည်]]</f>
        <v>ပြည့်လျှံ</v>
      </c>
      <c r="AL721" s="270" t="str">
        <f>Table4[[#This Row],[Township]]</f>
        <v>Maw La Myaing</v>
      </c>
      <c r="AM721" s="271" t="str">
        <f>Table4[[#This Row],[WholeSales]]</f>
        <v>WholeSales</v>
      </c>
      <c r="AN721" s="272" t="str">
        <f>Table4[[#This Row],[Particular]]</f>
        <v>ကုန်ရောင်း(အကြွေး)</v>
      </c>
      <c r="AO721" s="273" t="str">
        <f>Table4[[#This Row],[StockName]]</f>
        <v>ဇေ Vodka</v>
      </c>
      <c r="AP721" s="268">
        <f>Table4[[#This Row],[Parking]]</f>
        <v>100</v>
      </c>
      <c r="AQ721" s="268">
        <f>Table4[[#This Row],[SalesBot]]</f>
        <v>1400</v>
      </c>
      <c r="AR721" s="268">
        <f>Table4[[#This Row],[Liter]]</f>
        <v>896</v>
      </c>
    </row>
    <row r="722" spans="1:44" s="16" customFormat="1" hidden="1" x14ac:dyDescent="0.5">
      <c r="A722" s="3">
        <f t="shared" si="136"/>
        <v>2026</v>
      </c>
      <c r="B722" s="8">
        <f t="shared" si="137"/>
        <v>2</v>
      </c>
      <c r="C722" s="6">
        <v>46067</v>
      </c>
      <c r="D722" s="15">
        <f t="shared" ca="1" si="138"/>
        <v>46097</v>
      </c>
      <c r="E722" s="15" t="str">
        <f t="shared" ca="1" si="139"/>
        <v>1-Months</v>
      </c>
      <c r="F722" s="8" t="str">
        <f>VLOOKUP(N722,Stock[#Data],5,FALSE)</f>
        <v>BE</v>
      </c>
      <c r="G722" s="82" t="s">
        <v>1419</v>
      </c>
      <c r="H722" s="15"/>
      <c r="I722" s="7" t="s">
        <v>110</v>
      </c>
      <c r="J722" s="8" t="str">
        <f>VLOOKUP(I722,Customers[#Data],2,FALSE)</f>
        <v>ပြည့်လျှံ</v>
      </c>
      <c r="K722" s="15" t="str">
        <f>VLOOKUP(I722,Customers[#Data],4,FALSE)</f>
        <v>Maw La Myaing</v>
      </c>
      <c r="L722" s="15" t="str">
        <f>VLOOKUP(I722,Customers[#Data],5,FALSE)</f>
        <v>WholeSales</v>
      </c>
      <c r="M722" s="7" t="s">
        <v>7</v>
      </c>
      <c r="N722" s="7" t="s">
        <v>517</v>
      </c>
      <c r="O722" s="14" t="str">
        <f>VLOOKUP(N722,Stock[#Data],2,FALSE)</f>
        <v>ဇေယျဝတီ Red (1 Liter) 30%</v>
      </c>
      <c r="P722" s="44">
        <f>VLOOKUP(N722,Stock[#Data],3,FALSE)</f>
        <v>1</v>
      </c>
      <c r="Q722" s="3">
        <f>VLOOKUP(N722,Stock[#Data],4,FALSE)</f>
        <v>12</v>
      </c>
      <c r="R722" s="11"/>
      <c r="S722" s="45">
        <f>IFERROR(Table4[[#This Row],[Bottle]]/Table4[[#This Row],[ပါဝင်မှု]]+Table4[[#This Row],[SalesPK]],0)</f>
        <v>100</v>
      </c>
      <c r="T722" s="12">
        <v>100</v>
      </c>
      <c r="U722" s="10">
        <f>Table4[[#This Row],[ပါဝင်မှု]]*Table4[[#This Row],[SalesPK]]+Table4[[#This Row],[Bottle]]</f>
        <v>1200</v>
      </c>
      <c r="V722" s="10">
        <f>Table4[[#This Row],[SalesBot]]*Table4[[#This Row],[ML]]</f>
        <v>1200</v>
      </c>
      <c r="W722" s="1">
        <f>VLOOKUP(N722,Stock[#Data],6,FALSE)</f>
        <v>1710</v>
      </c>
      <c r="X722" s="8">
        <f>+Table4[[#This Row],[SalesBot]]*Table4[[#This Row],[နှုံး]]</f>
        <v>2052000</v>
      </c>
      <c r="Y722" s="12"/>
      <c r="Z722" s="12"/>
      <c r="AA722" s="12"/>
      <c r="AB722" s="9"/>
      <c r="AC722" s="12"/>
      <c r="AD722" s="9"/>
      <c r="AE722" s="12"/>
      <c r="AF72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722" s="24"/>
      <c r="AH722" s="266">
        <f>Table4[[#This Row],[Date]]</f>
        <v>46067</v>
      </c>
      <c r="AI722" s="264" t="str">
        <f t="shared" si="130"/>
        <v>Feb</v>
      </c>
      <c r="AJ722" s="264" t="str">
        <f t="shared" si="131"/>
        <v>2026</v>
      </c>
      <c r="AK722" s="270" t="str">
        <f>Table4[[#This Row],[ကုန်သည်အမည်]]</f>
        <v>ပြည့်လျှံ</v>
      </c>
      <c r="AL722" s="270" t="str">
        <f>Table4[[#This Row],[Township]]</f>
        <v>Maw La Myaing</v>
      </c>
      <c r="AM722" s="271" t="str">
        <f>Table4[[#This Row],[WholeSales]]</f>
        <v>WholeSales</v>
      </c>
      <c r="AN722" s="272" t="str">
        <f>Table4[[#This Row],[Particular]]</f>
        <v>ကုန်ရောင်း(အကြွေး)</v>
      </c>
      <c r="AO722" s="273" t="str">
        <f>Table4[[#This Row],[StockName]]</f>
        <v>ဇေယျဝတီ Red (1 Liter) 30%</v>
      </c>
      <c r="AP722" s="268">
        <f>Table4[[#This Row],[Parking]]</f>
        <v>100</v>
      </c>
      <c r="AQ722" s="268">
        <f>Table4[[#This Row],[SalesBot]]</f>
        <v>1200</v>
      </c>
      <c r="AR722" s="268">
        <f>Table4[[#This Row],[Liter]]</f>
        <v>1200</v>
      </c>
    </row>
    <row r="723" spans="1:44" s="16" customFormat="1" hidden="1" x14ac:dyDescent="0.5">
      <c r="A723" s="3">
        <f t="shared" si="136"/>
        <v>2026</v>
      </c>
      <c r="B723" s="8">
        <f t="shared" si="137"/>
        <v>2</v>
      </c>
      <c r="C723" s="6">
        <v>46067</v>
      </c>
      <c r="D723" s="15">
        <f t="shared" ca="1" si="138"/>
        <v>46097</v>
      </c>
      <c r="E723" s="15" t="str">
        <f t="shared" ca="1" si="139"/>
        <v>1-Months</v>
      </c>
      <c r="F723" s="8" t="str">
        <f>VLOOKUP(N723,Stock[#Data],5,FALSE)</f>
        <v>BE</v>
      </c>
      <c r="G723" s="82" t="s">
        <v>1419</v>
      </c>
      <c r="H723" s="15"/>
      <c r="I723" s="7" t="s">
        <v>110</v>
      </c>
      <c r="J723" s="8" t="str">
        <f>VLOOKUP(I723,Customers[#Data],2,FALSE)</f>
        <v>ပြည့်လျှံ</v>
      </c>
      <c r="K723" s="15" t="str">
        <f>VLOOKUP(I723,Customers[#Data],4,FALSE)</f>
        <v>Maw La Myaing</v>
      </c>
      <c r="L723" s="15" t="str">
        <f>VLOOKUP(I723,Customers[#Data],5,FALSE)</f>
        <v>WholeSales</v>
      </c>
      <c r="M723" s="7" t="s">
        <v>7</v>
      </c>
      <c r="N723" s="7" t="s">
        <v>518</v>
      </c>
      <c r="O723" s="14" t="str">
        <f>VLOOKUP(N723,Stock[#Data],2,FALSE)</f>
        <v>"ဇေ" ကော်ဘူး (1 Liter)</v>
      </c>
      <c r="P723" s="44">
        <f>VLOOKUP(N723,Stock[#Data],3,FALSE)</f>
        <v>1</v>
      </c>
      <c r="Q723" s="3">
        <f>VLOOKUP(N723,Stock[#Data],4,FALSE)</f>
        <v>12</v>
      </c>
      <c r="R723" s="11"/>
      <c r="S723" s="45">
        <f>IFERROR(Table4[[#This Row],[Bottle]]/Table4[[#This Row],[ပါဝင်မှု]]+Table4[[#This Row],[SalesPK]],0)</f>
        <v>50</v>
      </c>
      <c r="T723" s="12">
        <v>50</v>
      </c>
      <c r="U723" s="10">
        <f>Table4[[#This Row],[ပါဝင်မှု]]*Table4[[#This Row],[SalesPK]]+Table4[[#This Row],[Bottle]]</f>
        <v>600</v>
      </c>
      <c r="V723" s="10">
        <f>Table4[[#This Row],[SalesBot]]*Table4[[#This Row],[ML]]</f>
        <v>600</v>
      </c>
      <c r="W723" s="1">
        <f>VLOOKUP(N723,Stock[#Data],6,FALSE)</f>
        <v>1675</v>
      </c>
      <c r="X723" s="8">
        <f>+Table4[[#This Row],[SalesBot]]*Table4[[#This Row],[နှုံး]]</f>
        <v>1005000</v>
      </c>
      <c r="Y723" s="12"/>
      <c r="Z723" s="12"/>
      <c r="AA723" s="12"/>
      <c r="AB723" s="9"/>
      <c r="AC723" s="12"/>
      <c r="AD723" s="9"/>
      <c r="AE723" s="12"/>
      <c r="AF72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1005000</v>
      </c>
      <c r="AG723" s="24"/>
      <c r="AH723" s="266">
        <f>Table4[[#This Row],[Date]]</f>
        <v>46067</v>
      </c>
      <c r="AI723" s="264" t="str">
        <f t="shared" si="130"/>
        <v>Feb</v>
      </c>
      <c r="AJ723" s="264" t="str">
        <f t="shared" si="131"/>
        <v>2026</v>
      </c>
      <c r="AK723" s="270" t="str">
        <f>Table4[[#This Row],[ကုန်သည်အမည်]]</f>
        <v>ပြည့်လျှံ</v>
      </c>
      <c r="AL723" s="270" t="str">
        <f>Table4[[#This Row],[Township]]</f>
        <v>Maw La Myaing</v>
      </c>
      <c r="AM723" s="271" t="str">
        <f>Table4[[#This Row],[WholeSales]]</f>
        <v>WholeSales</v>
      </c>
      <c r="AN723" s="272" t="str">
        <f>Table4[[#This Row],[Particular]]</f>
        <v>ကုန်ရောင်း(အကြွေး)</v>
      </c>
      <c r="AO723" s="273" t="str">
        <f>Table4[[#This Row],[StockName]]</f>
        <v>"ဇေ" ကော်ဘူး (1 Liter)</v>
      </c>
      <c r="AP723" s="268">
        <f>Table4[[#This Row],[Parking]]</f>
        <v>50</v>
      </c>
      <c r="AQ723" s="268">
        <f>Table4[[#This Row],[SalesBot]]</f>
        <v>600</v>
      </c>
      <c r="AR723" s="268">
        <f>Table4[[#This Row],[Liter]]</f>
        <v>600</v>
      </c>
    </row>
    <row r="724" spans="1:44" s="16" customFormat="1" hidden="1" x14ac:dyDescent="0.5">
      <c r="A724" s="3">
        <f t="shared" si="136"/>
        <v>2026</v>
      </c>
      <c r="B724" s="8">
        <f t="shared" si="137"/>
        <v>2</v>
      </c>
      <c r="C724" s="6">
        <v>46067</v>
      </c>
      <c r="D724" s="15">
        <f t="shared" ca="1" si="138"/>
        <v>46097</v>
      </c>
      <c r="E724" s="15" t="str">
        <f t="shared" ca="1" si="139"/>
        <v>1-Months</v>
      </c>
      <c r="F724" s="8" t="str">
        <f>VLOOKUP(N724,Stock[#Data],5,FALSE)</f>
        <v>BE</v>
      </c>
      <c r="G724" s="82" t="s">
        <v>1420</v>
      </c>
      <c r="H724" s="15"/>
      <c r="I724" s="7" t="s">
        <v>106</v>
      </c>
      <c r="J724" s="8" t="str">
        <f>VLOOKUP(I724,Customers[#Data],2,FALSE)</f>
        <v>ကိုမျိုးအောင်</v>
      </c>
      <c r="K724" s="15" t="str">
        <f>VLOOKUP(I724,Customers[#Data],4,FALSE)</f>
        <v>Maw La Myaing</v>
      </c>
      <c r="L724" s="15" t="str">
        <f>VLOOKUP(I724,Customers[#Data],5,FALSE)</f>
        <v>WholeSales</v>
      </c>
      <c r="M724" s="7" t="s">
        <v>7</v>
      </c>
      <c r="N724" s="7" t="s">
        <v>516</v>
      </c>
      <c r="O724" s="14" t="str">
        <f>VLOOKUP(N724,Stock[#Data],2,FALSE)</f>
        <v>ဇေ Vodka</v>
      </c>
      <c r="P724" s="44">
        <f>VLOOKUP(N724,Stock[#Data],3,FALSE)</f>
        <v>0.64</v>
      </c>
      <c r="Q724" s="3">
        <f>VLOOKUP(N724,Stock[#Data],4,FALSE)</f>
        <v>14</v>
      </c>
      <c r="R724" s="11"/>
      <c r="S724" s="45">
        <f>IFERROR(Table4[[#This Row],[Bottle]]/Table4[[#This Row],[ပါဝင်မှု]]+Table4[[#This Row],[SalesPK]],0)</f>
        <v>15</v>
      </c>
      <c r="T724" s="12">
        <v>15</v>
      </c>
      <c r="U724" s="10">
        <f>Table4[[#This Row],[ပါဝင်မှု]]*Table4[[#This Row],[SalesPK]]+Table4[[#This Row],[Bottle]]</f>
        <v>210</v>
      </c>
      <c r="V724" s="10">
        <f>Table4[[#This Row],[SalesBot]]*Table4[[#This Row],[ML]]</f>
        <v>134.4</v>
      </c>
      <c r="W724" s="1">
        <f>VLOOKUP(N724,Stock[#Data],6,FALSE)</f>
        <v>1400</v>
      </c>
      <c r="X724" s="8">
        <f>+Table4[[#This Row],[SalesBot]]*Table4[[#This Row],[နှုံး]]</f>
        <v>294000</v>
      </c>
      <c r="Y724" s="12"/>
      <c r="Z724" s="12"/>
      <c r="AA724" s="12"/>
      <c r="AB724" s="9"/>
      <c r="AC724" s="12"/>
      <c r="AD724" s="9"/>
      <c r="AE724" s="12"/>
      <c r="AF72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294000</v>
      </c>
      <c r="AG724" s="24"/>
      <c r="AH724" s="266">
        <f>Table4[[#This Row],[Date]]</f>
        <v>46067</v>
      </c>
      <c r="AI724" s="264" t="str">
        <f t="shared" si="130"/>
        <v>Feb</v>
      </c>
      <c r="AJ724" s="264" t="str">
        <f t="shared" si="131"/>
        <v>2026</v>
      </c>
      <c r="AK724" s="270" t="str">
        <f>Table4[[#This Row],[ကုန်သည်အမည်]]</f>
        <v>ကိုမျိုးအောင်</v>
      </c>
      <c r="AL724" s="270" t="str">
        <f>Table4[[#This Row],[Township]]</f>
        <v>Maw La Myaing</v>
      </c>
      <c r="AM724" s="271" t="str">
        <f>Table4[[#This Row],[WholeSales]]</f>
        <v>WholeSales</v>
      </c>
      <c r="AN724" s="272" t="str">
        <f>Table4[[#This Row],[Particular]]</f>
        <v>ကုန်ရောင်း(အကြွေး)</v>
      </c>
      <c r="AO724" s="273" t="str">
        <f>Table4[[#This Row],[StockName]]</f>
        <v>ဇေ Vodka</v>
      </c>
      <c r="AP724" s="268">
        <f>Table4[[#This Row],[Parking]]</f>
        <v>15</v>
      </c>
      <c r="AQ724" s="268">
        <f>Table4[[#This Row],[SalesBot]]</f>
        <v>210</v>
      </c>
      <c r="AR724" s="268">
        <f>Table4[[#This Row],[Liter]]</f>
        <v>134.4</v>
      </c>
    </row>
    <row r="725" spans="1:44" s="16" customFormat="1" hidden="1" x14ac:dyDescent="0.5">
      <c r="A725" s="3">
        <f t="shared" si="136"/>
        <v>2026</v>
      </c>
      <c r="B725" s="8">
        <f t="shared" si="137"/>
        <v>2</v>
      </c>
      <c r="C725" s="6">
        <v>46067</v>
      </c>
      <c r="D725" s="15">
        <f t="shared" ca="1" si="138"/>
        <v>46097</v>
      </c>
      <c r="E725" s="15" t="str">
        <f t="shared" ca="1" si="139"/>
        <v>1-Months</v>
      </c>
      <c r="F725" s="8" t="str">
        <f>VLOOKUP(N725,Stock[#Data],5,FALSE)</f>
        <v>BE</v>
      </c>
      <c r="G725" s="82" t="s">
        <v>1420</v>
      </c>
      <c r="H725" s="15"/>
      <c r="I725" s="7" t="s">
        <v>106</v>
      </c>
      <c r="J725" s="8" t="str">
        <f>VLOOKUP(I725,Customers[#Data],2,FALSE)</f>
        <v>ကိုမျိုးအောင်</v>
      </c>
      <c r="K725" s="15" t="str">
        <f>VLOOKUP(I725,Customers[#Data],4,FALSE)</f>
        <v>Maw La Myaing</v>
      </c>
      <c r="L725" s="15" t="str">
        <f>VLOOKUP(I725,Customers[#Data],5,FALSE)</f>
        <v>WholeSales</v>
      </c>
      <c r="M725" s="7" t="s">
        <v>7</v>
      </c>
      <c r="N725" s="7" t="s">
        <v>519</v>
      </c>
      <c r="O725" s="14" t="str">
        <f>VLOOKUP(N725,Stock[#Data],2,FALSE)</f>
        <v>ဇေယျဝတီ High 43%</v>
      </c>
      <c r="P725" s="44">
        <f>VLOOKUP(N725,Stock[#Data],3,FALSE)</f>
        <v>0.64</v>
      </c>
      <c r="Q725" s="3">
        <f>VLOOKUP(N725,Stock[#Data],4,FALSE)</f>
        <v>14</v>
      </c>
      <c r="R725" s="11"/>
      <c r="S725" s="45">
        <f>IFERROR(Table4[[#This Row],[Bottle]]/Table4[[#This Row],[ပါဝင်မှု]]+Table4[[#This Row],[SalesPK]],0)</f>
        <v>30</v>
      </c>
      <c r="T725" s="12">
        <v>30</v>
      </c>
      <c r="U725" s="10">
        <f>Table4[[#This Row],[ပါဝင်မှု]]*Table4[[#This Row],[SalesPK]]+Table4[[#This Row],[Bottle]]</f>
        <v>420</v>
      </c>
      <c r="V725" s="10">
        <f>Table4[[#This Row],[SalesBot]]*Table4[[#This Row],[ML]]</f>
        <v>268.8</v>
      </c>
      <c r="W725" s="1">
        <f>VLOOKUP(N725,Stock[#Data],6,FALSE)</f>
        <v>1500</v>
      </c>
      <c r="X725" s="8">
        <f>+Table4[[#This Row],[SalesBot]]*Table4[[#This Row],[နှုံး]]</f>
        <v>630000</v>
      </c>
      <c r="Y725" s="12"/>
      <c r="Z725" s="12"/>
      <c r="AA725" s="12"/>
      <c r="AB725" s="9"/>
      <c r="AC725" s="12"/>
      <c r="AD725" s="9"/>
      <c r="AE725" s="12"/>
      <c r="AF72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630000</v>
      </c>
      <c r="AG725" s="24"/>
      <c r="AH725" s="266">
        <f>Table4[[#This Row],[Date]]</f>
        <v>46067</v>
      </c>
      <c r="AI725" s="264" t="str">
        <f t="shared" si="130"/>
        <v>Feb</v>
      </c>
      <c r="AJ725" s="264" t="str">
        <f t="shared" si="131"/>
        <v>2026</v>
      </c>
      <c r="AK725" s="270" t="str">
        <f>Table4[[#This Row],[ကုန်သည်အမည်]]</f>
        <v>ကိုမျိုးအောင်</v>
      </c>
      <c r="AL725" s="270" t="str">
        <f>Table4[[#This Row],[Township]]</f>
        <v>Maw La Myaing</v>
      </c>
      <c r="AM725" s="271" t="str">
        <f>Table4[[#This Row],[WholeSales]]</f>
        <v>WholeSales</v>
      </c>
      <c r="AN725" s="272" t="str">
        <f>Table4[[#This Row],[Particular]]</f>
        <v>ကုန်ရောင်း(အကြွေး)</v>
      </c>
      <c r="AO725" s="273" t="str">
        <f>Table4[[#This Row],[StockName]]</f>
        <v>ဇေယျဝတီ High 43%</v>
      </c>
      <c r="AP725" s="268">
        <f>Table4[[#This Row],[Parking]]</f>
        <v>30</v>
      </c>
      <c r="AQ725" s="268">
        <f>Table4[[#This Row],[SalesBot]]</f>
        <v>420</v>
      </c>
      <c r="AR725" s="268">
        <f>Table4[[#This Row],[Liter]]</f>
        <v>268.8</v>
      </c>
    </row>
    <row r="726" spans="1:44" s="16" customFormat="1" hidden="1" x14ac:dyDescent="0.5">
      <c r="A726" s="3">
        <f t="shared" si="136"/>
        <v>2026</v>
      </c>
      <c r="B726" s="8">
        <f t="shared" si="137"/>
        <v>2</v>
      </c>
      <c r="C726" s="6">
        <v>46067</v>
      </c>
      <c r="D726" s="15">
        <f t="shared" ca="1" si="138"/>
        <v>46097</v>
      </c>
      <c r="E726" s="15" t="str">
        <f t="shared" ca="1" si="139"/>
        <v>1-Months</v>
      </c>
      <c r="F726" s="8" t="str">
        <f>VLOOKUP(N726,Stock[#Data],5,FALSE)</f>
        <v>BE</v>
      </c>
      <c r="G726" s="82" t="s">
        <v>1421</v>
      </c>
      <c r="H726" s="15"/>
      <c r="I726" s="7" t="s">
        <v>540</v>
      </c>
      <c r="J726" s="8" t="str">
        <f>VLOOKUP(I726,Customers[#Data],2,FALSE)</f>
        <v>ကိုမွန်လေး</v>
      </c>
      <c r="K726" s="15" t="str">
        <f>VLOOKUP(I726,Customers[#Data],4,FALSE)</f>
        <v>Yay</v>
      </c>
      <c r="L726" s="15" t="str">
        <f>VLOOKUP(I726,Customers[#Data],5,FALSE)</f>
        <v>SemiWholeSales</v>
      </c>
      <c r="M726" s="7" t="s">
        <v>7</v>
      </c>
      <c r="N726" s="7" t="s">
        <v>514</v>
      </c>
      <c r="O726" s="14" t="str">
        <f>VLOOKUP(N726,Stock[#Data],2,FALSE)</f>
        <v>ဇေယျဝတီ Red</v>
      </c>
      <c r="P726" s="44">
        <f>VLOOKUP(N726,Stock[#Data],3,FALSE)</f>
        <v>0.64</v>
      </c>
      <c r="Q726" s="3">
        <f>VLOOKUP(N726,Stock[#Data],4,FALSE)</f>
        <v>14</v>
      </c>
      <c r="R726" s="11"/>
      <c r="S726" s="45">
        <f>IFERROR(Table4[[#This Row],[Bottle]]/Table4[[#This Row],[ပါဝင်မှု]]+Table4[[#This Row],[SalesPK]],0)</f>
        <v>50</v>
      </c>
      <c r="T726" s="12">
        <v>50</v>
      </c>
      <c r="U726" s="10">
        <f>Table4[[#This Row],[ပါဝင်မှု]]*Table4[[#This Row],[SalesPK]]+Table4[[#This Row],[Bottle]]</f>
        <v>700</v>
      </c>
      <c r="V726" s="10">
        <f>Table4[[#This Row],[SalesBot]]*Table4[[#This Row],[ML]]</f>
        <v>448</v>
      </c>
      <c r="W726" s="1">
        <f>VLOOKUP(N726,Stock[#Data],6,FALSE)</f>
        <v>1350</v>
      </c>
      <c r="X726" s="8">
        <f>+Table4[[#This Row],[SalesBot]]*Table4[[#This Row],[နှုံး]]</f>
        <v>945000</v>
      </c>
      <c r="Y726" s="12"/>
      <c r="Z726" s="12"/>
      <c r="AA726" s="12"/>
      <c r="AB726" s="9"/>
      <c r="AC726" s="12"/>
      <c r="AD726" s="9"/>
      <c r="AE726" s="12"/>
      <c r="AF72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726" s="24"/>
      <c r="AH726" s="266">
        <f>Table4[[#This Row],[Date]]</f>
        <v>46067</v>
      </c>
      <c r="AI726" s="264" t="str">
        <f t="shared" si="130"/>
        <v>Feb</v>
      </c>
      <c r="AJ726" s="264" t="str">
        <f t="shared" si="131"/>
        <v>2026</v>
      </c>
      <c r="AK726" s="270" t="str">
        <f>Table4[[#This Row],[ကုန်သည်အမည်]]</f>
        <v>ကိုမွန်လေး</v>
      </c>
      <c r="AL726" s="270" t="str">
        <f>Table4[[#This Row],[Township]]</f>
        <v>Yay</v>
      </c>
      <c r="AM726" s="271" t="str">
        <f>Table4[[#This Row],[WholeSales]]</f>
        <v>SemiWholeSales</v>
      </c>
      <c r="AN726" s="272" t="str">
        <f>Table4[[#This Row],[Particular]]</f>
        <v>ကုန်ရောင်း(အကြွေး)</v>
      </c>
      <c r="AO726" s="273" t="str">
        <f>Table4[[#This Row],[StockName]]</f>
        <v>ဇေယျဝတီ Red</v>
      </c>
      <c r="AP726" s="268">
        <f>Table4[[#This Row],[Parking]]</f>
        <v>50</v>
      </c>
      <c r="AQ726" s="268">
        <f>Table4[[#This Row],[SalesBot]]</f>
        <v>700</v>
      </c>
      <c r="AR726" s="268">
        <f>Table4[[#This Row],[Liter]]</f>
        <v>448</v>
      </c>
    </row>
    <row r="727" spans="1:44" s="16" customFormat="1" hidden="1" x14ac:dyDescent="0.5">
      <c r="A727" s="3">
        <f t="shared" si="136"/>
        <v>2026</v>
      </c>
      <c r="B727" s="8">
        <f t="shared" si="137"/>
        <v>2</v>
      </c>
      <c r="C727" s="6">
        <v>46067</v>
      </c>
      <c r="D727" s="15">
        <f t="shared" ca="1" si="138"/>
        <v>46097</v>
      </c>
      <c r="E727" s="15" t="str">
        <f t="shared" ca="1" si="139"/>
        <v>1-Months</v>
      </c>
      <c r="F727" s="8" t="str">
        <f>VLOOKUP(N727,Stock[#Data],5,FALSE)</f>
        <v>BE</v>
      </c>
      <c r="G727" s="82" t="s">
        <v>1421</v>
      </c>
      <c r="H727" s="15"/>
      <c r="I727" s="7" t="s">
        <v>540</v>
      </c>
      <c r="J727" s="8" t="str">
        <f>VLOOKUP(I727,Customers[#Data],2,FALSE)</f>
        <v>ကိုမွန်လေး</v>
      </c>
      <c r="K727" s="15" t="str">
        <f>VLOOKUP(I727,Customers[#Data],4,FALSE)</f>
        <v>Yay</v>
      </c>
      <c r="L727" s="15" t="str">
        <f>VLOOKUP(I727,Customers[#Data],5,FALSE)</f>
        <v>SemiWholeSales</v>
      </c>
      <c r="M727" s="7" t="s">
        <v>7</v>
      </c>
      <c r="N727" s="7" t="s">
        <v>517</v>
      </c>
      <c r="O727" s="14" t="str">
        <f>VLOOKUP(N727,Stock[#Data],2,FALSE)</f>
        <v>ဇေယျဝတီ Red (1 Liter) 30%</v>
      </c>
      <c r="P727" s="44">
        <f>VLOOKUP(N727,Stock[#Data],3,FALSE)</f>
        <v>1</v>
      </c>
      <c r="Q727" s="3">
        <f>VLOOKUP(N727,Stock[#Data],4,FALSE)</f>
        <v>12</v>
      </c>
      <c r="R727" s="11"/>
      <c r="S727" s="45">
        <f>IFERROR(Table4[[#This Row],[Bottle]]/Table4[[#This Row],[ပါဝင်မှု]]+Table4[[#This Row],[SalesPK]],0)</f>
        <v>50</v>
      </c>
      <c r="T727" s="12">
        <v>50</v>
      </c>
      <c r="U727" s="10">
        <f>Table4[[#This Row],[ပါဝင်မှု]]*Table4[[#This Row],[SalesPK]]+Table4[[#This Row],[Bottle]]</f>
        <v>600</v>
      </c>
      <c r="V727" s="10">
        <f>Table4[[#This Row],[SalesBot]]*Table4[[#This Row],[ML]]</f>
        <v>600</v>
      </c>
      <c r="W727" s="1">
        <f>VLOOKUP(N727,Stock[#Data],6,FALSE)</f>
        <v>1710</v>
      </c>
      <c r="X727" s="8">
        <f>+Table4[[#This Row],[SalesBot]]*Table4[[#This Row],[နှုံး]]</f>
        <v>1026000</v>
      </c>
      <c r="Y727" s="12"/>
      <c r="Z727" s="12"/>
      <c r="AA727" s="12"/>
      <c r="AB727" s="9"/>
      <c r="AC727" s="12"/>
      <c r="AD727" s="9"/>
      <c r="AE727" s="12"/>
      <c r="AF72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727" s="24"/>
      <c r="AH727" s="266">
        <f>Table4[[#This Row],[Date]]</f>
        <v>46067</v>
      </c>
      <c r="AI727" s="264" t="str">
        <f t="shared" si="130"/>
        <v>Feb</v>
      </c>
      <c r="AJ727" s="264" t="str">
        <f t="shared" si="131"/>
        <v>2026</v>
      </c>
      <c r="AK727" s="270" t="str">
        <f>Table4[[#This Row],[ကုန်သည်အမည်]]</f>
        <v>ကိုမွန်လေး</v>
      </c>
      <c r="AL727" s="270" t="str">
        <f>Table4[[#This Row],[Township]]</f>
        <v>Yay</v>
      </c>
      <c r="AM727" s="271" t="str">
        <f>Table4[[#This Row],[WholeSales]]</f>
        <v>SemiWholeSales</v>
      </c>
      <c r="AN727" s="272" t="str">
        <f>Table4[[#This Row],[Particular]]</f>
        <v>ကုန်ရောင်း(အကြွေး)</v>
      </c>
      <c r="AO727" s="273" t="str">
        <f>Table4[[#This Row],[StockName]]</f>
        <v>ဇေယျဝတီ Red (1 Liter) 30%</v>
      </c>
      <c r="AP727" s="268">
        <f>Table4[[#This Row],[Parking]]</f>
        <v>50</v>
      </c>
      <c r="AQ727" s="268">
        <f>Table4[[#This Row],[SalesBot]]</f>
        <v>600</v>
      </c>
      <c r="AR727" s="268">
        <f>Table4[[#This Row],[Liter]]</f>
        <v>600</v>
      </c>
    </row>
    <row r="728" spans="1:44" s="16" customFormat="1" hidden="1" x14ac:dyDescent="0.5">
      <c r="A728" s="3">
        <f t="shared" si="136"/>
        <v>2026</v>
      </c>
      <c r="B728" s="8">
        <f t="shared" si="137"/>
        <v>2</v>
      </c>
      <c r="C728" s="6">
        <v>46067</v>
      </c>
      <c r="D728" s="15">
        <f t="shared" ca="1" si="138"/>
        <v>46097</v>
      </c>
      <c r="E728" s="15" t="str">
        <f t="shared" ca="1" si="139"/>
        <v>1-Months</v>
      </c>
      <c r="F728" s="8" t="str">
        <f>VLOOKUP(N728,Stock[#Data],5,FALSE)</f>
        <v>BE</v>
      </c>
      <c r="G728" s="82" t="s">
        <v>1422</v>
      </c>
      <c r="H728" s="15"/>
      <c r="I728" s="7" t="s">
        <v>566</v>
      </c>
      <c r="J728" s="8" t="str">
        <f>VLOOKUP(I728,Customers[#Data],2,FALSE)</f>
        <v>ဖြိုး‌‌ေစံ</v>
      </c>
      <c r="K728" s="15" t="str">
        <f>VLOOKUP(I728,Customers[#Data],4,FALSE)</f>
        <v>Maw La Myaing</v>
      </c>
      <c r="L728" s="15" t="str">
        <f>VLOOKUP(I728,Customers[#Data],5,FALSE)</f>
        <v>Van Sales</v>
      </c>
      <c r="M728" s="7" t="s">
        <v>7</v>
      </c>
      <c r="N728" s="7" t="s">
        <v>518</v>
      </c>
      <c r="O728" s="14" t="str">
        <f>VLOOKUP(N728,Stock[#Data],2,FALSE)</f>
        <v>"ဇေ" ကော်ဘူး (1 Liter)</v>
      </c>
      <c r="P728" s="44">
        <f>VLOOKUP(N728,Stock[#Data],3,FALSE)</f>
        <v>1</v>
      </c>
      <c r="Q728" s="3">
        <f>VLOOKUP(N728,Stock[#Data],4,FALSE)</f>
        <v>12</v>
      </c>
      <c r="R728" s="11"/>
      <c r="S728" s="45">
        <f>IFERROR(Table4[[#This Row],[Bottle]]/Table4[[#This Row],[ပါဝင်မှု]]+Table4[[#This Row],[SalesPK]],0)</f>
        <v>25</v>
      </c>
      <c r="T728" s="12">
        <v>25</v>
      </c>
      <c r="U728" s="10">
        <f>Table4[[#This Row],[ပါဝင်မှု]]*Table4[[#This Row],[SalesPK]]+Table4[[#This Row],[Bottle]]</f>
        <v>300</v>
      </c>
      <c r="V728" s="10">
        <f>Table4[[#This Row],[SalesBot]]*Table4[[#This Row],[ML]]</f>
        <v>300</v>
      </c>
      <c r="W728" s="1">
        <f>VLOOKUP(N728,Stock[#Data],6,FALSE)</f>
        <v>1675</v>
      </c>
      <c r="X728" s="8">
        <f>+Table4[[#This Row],[SalesBot]]*Table4[[#This Row],[နှုံး]]</f>
        <v>502500</v>
      </c>
      <c r="Y728" s="12"/>
      <c r="Z728" s="12"/>
      <c r="AA728" s="12"/>
      <c r="AB728" s="9"/>
      <c r="AC728" s="12"/>
      <c r="AD728" s="9"/>
      <c r="AE728" s="12"/>
      <c r="AF72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502500</v>
      </c>
      <c r="AG728" s="24"/>
      <c r="AH728" s="266">
        <f>Table4[[#This Row],[Date]]</f>
        <v>46067</v>
      </c>
      <c r="AI728" s="264" t="str">
        <f t="shared" si="130"/>
        <v>Feb</v>
      </c>
      <c r="AJ728" s="264" t="str">
        <f t="shared" si="131"/>
        <v>2026</v>
      </c>
      <c r="AK728" s="270" t="str">
        <f>Table4[[#This Row],[ကုန်သည်အမည်]]</f>
        <v>ဖြိုး‌‌ေစံ</v>
      </c>
      <c r="AL728" s="270" t="str">
        <f>Table4[[#This Row],[Township]]</f>
        <v>Maw La Myaing</v>
      </c>
      <c r="AM728" s="271" t="str">
        <f>Table4[[#This Row],[WholeSales]]</f>
        <v>Van Sales</v>
      </c>
      <c r="AN728" s="272" t="str">
        <f>Table4[[#This Row],[Particular]]</f>
        <v>ကုန်ရောင်း(အကြွေး)</v>
      </c>
      <c r="AO728" s="273" t="str">
        <f>Table4[[#This Row],[StockName]]</f>
        <v>"ဇေ" ကော်ဘူး (1 Liter)</v>
      </c>
      <c r="AP728" s="268">
        <f>Table4[[#This Row],[Parking]]</f>
        <v>25</v>
      </c>
      <c r="AQ728" s="268">
        <f>Table4[[#This Row],[SalesBot]]</f>
        <v>300</v>
      </c>
      <c r="AR728" s="268">
        <f>Table4[[#This Row],[Liter]]</f>
        <v>300</v>
      </c>
    </row>
    <row r="729" spans="1:44" s="16" customFormat="1" hidden="1" x14ac:dyDescent="0.5">
      <c r="A729" s="3">
        <f t="shared" si="136"/>
        <v>2026</v>
      </c>
      <c r="B729" s="8">
        <f t="shared" si="137"/>
        <v>2</v>
      </c>
      <c r="C729" s="6">
        <v>46067</v>
      </c>
      <c r="D729" s="15">
        <f t="shared" ca="1" si="138"/>
        <v>46097</v>
      </c>
      <c r="E729" s="15" t="str">
        <f t="shared" ca="1" si="139"/>
        <v>1-Months</v>
      </c>
      <c r="F729" s="8" t="str">
        <f>VLOOKUP(N729,Stock[#Data],5,FALSE)</f>
        <v>BE</v>
      </c>
      <c r="G729" s="82" t="s">
        <v>1423</v>
      </c>
      <c r="H729" s="15"/>
      <c r="I729" s="7" t="s">
        <v>567</v>
      </c>
      <c r="J729" s="8" t="str">
        <f>VLOOKUP(I729,Customers[#Data],2,FALSE)</f>
        <v>အမိရင်ခွင်</v>
      </c>
      <c r="K729" s="15" t="str">
        <f>VLOOKUP(I729,Customers[#Data],4,FALSE)</f>
        <v>Chang Sone</v>
      </c>
      <c r="L729" s="15" t="str">
        <f>VLOOKUP(I729,Customers[#Data],5,FALSE)</f>
        <v>Van Sales</v>
      </c>
      <c r="M729" s="7" t="s">
        <v>7</v>
      </c>
      <c r="N729" s="7" t="s">
        <v>519</v>
      </c>
      <c r="O729" s="14" t="str">
        <f>VLOOKUP(N729,Stock[#Data],2,FALSE)</f>
        <v>ဇေယျဝတီ High 43%</v>
      </c>
      <c r="P729" s="44">
        <f>VLOOKUP(N729,Stock[#Data],3,FALSE)</f>
        <v>0.64</v>
      </c>
      <c r="Q729" s="3">
        <f>VLOOKUP(N729,Stock[#Data],4,FALSE)</f>
        <v>14</v>
      </c>
      <c r="R729" s="11"/>
      <c r="S729" s="45">
        <f>IFERROR(Table4[[#This Row],[Bottle]]/Table4[[#This Row],[ပါဝင်မှု]]+Table4[[#This Row],[SalesPK]],0)</f>
        <v>15</v>
      </c>
      <c r="T729" s="12">
        <v>15</v>
      </c>
      <c r="U729" s="10">
        <f>Table4[[#This Row],[ပါဝင်မှု]]*Table4[[#This Row],[SalesPK]]+Table4[[#This Row],[Bottle]]</f>
        <v>210</v>
      </c>
      <c r="V729" s="10">
        <f>Table4[[#This Row],[SalesBot]]*Table4[[#This Row],[ML]]</f>
        <v>134.4</v>
      </c>
      <c r="W729" s="1">
        <f>VLOOKUP(N729,Stock[#Data],6,FALSE)</f>
        <v>1500</v>
      </c>
      <c r="X729" s="8">
        <f>+Table4[[#This Row],[SalesBot]]*Table4[[#This Row],[နှုံး]]</f>
        <v>315000</v>
      </c>
      <c r="Y729" s="12"/>
      <c r="Z729" s="12"/>
      <c r="AA729" s="12"/>
      <c r="AB729" s="9"/>
      <c r="AC729" s="12"/>
      <c r="AD729" s="9"/>
      <c r="AE729" s="12"/>
      <c r="AF72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315000</v>
      </c>
      <c r="AG729" s="24"/>
      <c r="AH729" s="266">
        <f>Table4[[#This Row],[Date]]</f>
        <v>46067</v>
      </c>
      <c r="AI729" s="264" t="str">
        <f t="shared" si="130"/>
        <v>Feb</v>
      </c>
      <c r="AJ729" s="264" t="str">
        <f t="shared" si="131"/>
        <v>2026</v>
      </c>
      <c r="AK729" s="270" t="str">
        <f>Table4[[#This Row],[ကုန်သည်အမည်]]</f>
        <v>အမိရင်ခွင်</v>
      </c>
      <c r="AL729" s="270" t="str">
        <f>Table4[[#This Row],[Township]]</f>
        <v>Chang Sone</v>
      </c>
      <c r="AM729" s="271" t="str">
        <f>Table4[[#This Row],[WholeSales]]</f>
        <v>Van Sales</v>
      </c>
      <c r="AN729" s="272" t="str">
        <f>Table4[[#This Row],[Particular]]</f>
        <v>ကုန်ရောင်း(အကြွေး)</v>
      </c>
      <c r="AO729" s="273" t="str">
        <f>Table4[[#This Row],[StockName]]</f>
        <v>ဇေယျဝတီ High 43%</v>
      </c>
      <c r="AP729" s="268">
        <f>Table4[[#This Row],[Parking]]</f>
        <v>15</v>
      </c>
      <c r="AQ729" s="268">
        <f>Table4[[#This Row],[SalesBot]]</f>
        <v>210</v>
      </c>
      <c r="AR729" s="268">
        <f>Table4[[#This Row],[Liter]]</f>
        <v>134.4</v>
      </c>
    </row>
    <row r="730" spans="1:44" s="16" customFormat="1" hidden="1" x14ac:dyDescent="0.5">
      <c r="A730" s="3">
        <f t="shared" si="136"/>
        <v>2026</v>
      </c>
      <c r="B730" s="8">
        <f t="shared" si="137"/>
        <v>2</v>
      </c>
      <c r="C730" s="6">
        <v>46067</v>
      </c>
      <c r="D730" s="15">
        <f t="shared" ca="1" si="138"/>
        <v>46097</v>
      </c>
      <c r="E730" s="15" t="str">
        <f t="shared" ca="1" si="139"/>
        <v>1-Months</v>
      </c>
      <c r="F730" s="8" t="str">
        <f>VLOOKUP(N730,Stock[#Data],5,FALSE)</f>
        <v>BE</v>
      </c>
      <c r="G730" s="82" t="s">
        <v>1424</v>
      </c>
      <c r="H730" s="15"/>
      <c r="I730" s="7" t="s">
        <v>215</v>
      </c>
      <c r="J730" s="8" t="str">
        <f>VLOOKUP(I730,Customers[#Data],2,FALSE)</f>
        <v>ကိုထိုက်</v>
      </c>
      <c r="K730" s="15" t="str">
        <f>VLOOKUP(I730,Customers[#Data],4,FALSE)</f>
        <v>Chang Sone</v>
      </c>
      <c r="L730" s="15" t="str">
        <f>VLOOKUP(I730,Customers[#Data],5,FALSE)</f>
        <v>Van Sales</v>
      </c>
      <c r="M730" s="7" t="s">
        <v>7</v>
      </c>
      <c r="N730" s="7" t="s">
        <v>519</v>
      </c>
      <c r="O730" s="14" t="str">
        <f>VLOOKUP(N730,Stock[#Data],2,FALSE)</f>
        <v>ဇေယျဝတီ High 43%</v>
      </c>
      <c r="P730" s="44">
        <f>VLOOKUP(N730,Stock[#Data],3,FALSE)</f>
        <v>0.64</v>
      </c>
      <c r="Q730" s="3">
        <f>VLOOKUP(N730,Stock[#Data],4,FALSE)</f>
        <v>14</v>
      </c>
      <c r="R730" s="11"/>
      <c r="S730" s="45">
        <f>IFERROR(Table4[[#This Row],[Bottle]]/Table4[[#This Row],[ပါဝင်မှု]]+Table4[[#This Row],[SalesPK]],0)</f>
        <v>5</v>
      </c>
      <c r="T730" s="12">
        <v>5</v>
      </c>
      <c r="U730" s="10">
        <f>Table4[[#This Row],[ပါဝင်မှု]]*Table4[[#This Row],[SalesPK]]+Table4[[#This Row],[Bottle]]</f>
        <v>70</v>
      </c>
      <c r="V730" s="10">
        <f>Table4[[#This Row],[SalesBot]]*Table4[[#This Row],[ML]]</f>
        <v>44.800000000000004</v>
      </c>
      <c r="W730" s="1">
        <f>VLOOKUP(N730,Stock[#Data],6,FALSE)</f>
        <v>1500</v>
      </c>
      <c r="X730" s="8">
        <f>+Table4[[#This Row],[SalesBot]]*Table4[[#This Row],[နှုံး]]</f>
        <v>105000</v>
      </c>
      <c r="Y730" s="12"/>
      <c r="Z730" s="12"/>
      <c r="AA730" s="12"/>
      <c r="AB730" s="9"/>
      <c r="AC730" s="12"/>
      <c r="AD730" s="9"/>
      <c r="AE730" s="12"/>
      <c r="AF73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105000</v>
      </c>
      <c r="AG730" s="24"/>
      <c r="AH730" s="266">
        <f>Table4[[#This Row],[Date]]</f>
        <v>46067</v>
      </c>
      <c r="AI730" s="264" t="str">
        <f t="shared" si="130"/>
        <v>Feb</v>
      </c>
      <c r="AJ730" s="264" t="str">
        <f t="shared" si="131"/>
        <v>2026</v>
      </c>
      <c r="AK730" s="270" t="str">
        <f>Table4[[#This Row],[ကုန်သည်အမည်]]</f>
        <v>ကိုထိုက်</v>
      </c>
      <c r="AL730" s="270" t="str">
        <f>Table4[[#This Row],[Township]]</f>
        <v>Chang Sone</v>
      </c>
      <c r="AM730" s="271" t="str">
        <f>Table4[[#This Row],[WholeSales]]</f>
        <v>Van Sales</v>
      </c>
      <c r="AN730" s="272" t="str">
        <f>Table4[[#This Row],[Particular]]</f>
        <v>ကုန်ရောင်း(အကြွေး)</v>
      </c>
      <c r="AO730" s="273" t="str">
        <f>Table4[[#This Row],[StockName]]</f>
        <v>ဇေယျဝတီ High 43%</v>
      </c>
      <c r="AP730" s="268">
        <f>Table4[[#This Row],[Parking]]</f>
        <v>5</v>
      </c>
      <c r="AQ730" s="268">
        <f>Table4[[#This Row],[SalesBot]]</f>
        <v>70</v>
      </c>
      <c r="AR730" s="268">
        <f>Table4[[#This Row],[Liter]]</f>
        <v>44.800000000000004</v>
      </c>
    </row>
    <row r="731" spans="1:44" s="16" customFormat="1" hidden="1" x14ac:dyDescent="0.5">
      <c r="A731" s="3">
        <f t="shared" si="136"/>
        <v>2026</v>
      </c>
      <c r="B731" s="8">
        <f t="shared" si="137"/>
        <v>2</v>
      </c>
      <c r="C731" s="6">
        <v>46067</v>
      </c>
      <c r="D731" s="15">
        <f t="shared" ca="1" si="138"/>
        <v>46097</v>
      </c>
      <c r="E731" s="15" t="str">
        <f t="shared" ca="1" si="139"/>
        <v>1-Months</v>
      </c>
      <c r="F731" s="8" t="str">
        <f>VLOOKUP(N731,Stock[#Data],5,FALSE)</f>
        <v>BE</v>
      </c>
      <c r="G731" s="82" t="s">
        <v>1425</v>
      </c>
      <c r="H731" s="15"/>
      <c r="I731" s="7" t="s">
        <v>592</v>
      </c>
      <c r="J731" s="8" t="str">
        <f>VLOOKUP(I731,Customers[#Data],2,FALSE)</f>
        <v>မင်းထွန်းသိန်း</v>
      </c>
      <c r="K731" s="15" t="str">
        <f>VLOOKUP(I731,Customers[#Data],4,FALSE)</f>
        <v>Chang Sone</v>
      </c>
      <c r="L731" s="15" t="str">
        <f>VLOOKUP(I731,Customers[#Data],5,FALSE)</f>
        <v>Van Sales</v>
      </c>
      <c r="M731" s="7" t="s">
        <v>7</v>
      </c>
      <c r="N731" s="7" t="s">
        <v>519</v>
      </c>
      <c r="O731" s="14" t="str">
        <f>VLOOKUP(N731,Stock[#Data],2,FALSE)</f>
        <v>ဇေယျဝတီ High 43%</v>
      </c>
      <c r="P731" s="44">
        <f>VLOOKUP(N731,Stock[#Data],3,FALSE)</f>
        <v>0.64</v>
      </c>
      <c r="Q731" s="3">
        <f>VLOOKUP(N731,Stock[#Data],4,FALSE)</f>
        <v>14</v>
      </c>
      <c r="R731" s="11"/>
      <c r="S731" s="45">
        <f>IFERROR(Table4[[#This Row],[Bottle]]/Table4[[#This Row],[ပါဝင်မှု]]+Table4[[#This Row],[SalesPK]],0)</f>
        <v>15</v>
      </c>
      <c r="T731" s="12">
        <v>15</v>
      </c>
      <c r="U731" s="10">
        <f>Table4[[#This Row],[ပါဝင်မှု]]*Table4[[#This Row],[SalesPK]]+Table4[[#This Row],[Bottle]]</f>
        <v>210</v>
      </c>
      <c r="V731" s="10">
        <f>Table4[[#This Row],[SalesBot]]*Table4[[#This Row],[ML]]</f>
        <v>134.4</v>
      </c>
      <c r="W731" s="1">
        <f>VLOOKUP(N731,Stock[#Data],6,FALSE)</f>
        <v>1500</v>
      </c>
      <c r="X731" s="8">
        <f>+Table4[[#This Row],[SalesBot]]*Table4[[#This Row],[နှုံး]]</f>
        <v>315000</v>
      </c>
      <c r="Y731" s="12"/>
      <c r="Z731" s="12"/>
      <c r="AA731" s="12"/>
      <c r="AB731" s="9"/>
      <c r="AC731" s="12"/>
      <c r="AD731" s="9"/>
      <c r="AE731" s="12"/>
      <c r="AF73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315000</v>
      </c>
      <c r="AG731" s="24"/>
      <c r="AH731" s="266">
        <f>Table4[[#This Row],[Date]]</f>
        <v>46067</v>
      </c>
      <c r="AI731" s="264" t="str">
        <f t="shared" si="130"/>
        <v>Feb</v>
      </c>
      <c r="AJ731" s="264" t="str">
        <f t="shared" si="131"/>
        <v>2026</v>
      </c>
      <c r="AK731" s="270" t="str">
        <f>Table4[[#This Row],[ကုန်သည်အမည်]]</f>
        <v>မင်းထွန်းသိန်း</v>
      </c>
      <c r="AL731" s="270" t="str">
        <f>Table4[[#This Row],[Township]]</f>
        <v>Chang Sone</v>
      </c>
      <c r="AM731" s="271" t="str">
        <f>Table4[[#This Row],[WholeSales]]</f>
        <v>Van Sales</v>
      </c>
      <c r="AN731" s="272" t="str">
        <f>Table4[[#This Row],[Particular]]</f>
        <v>ကုန်ရောင်း(အကြွေး)</v>
      </c>
      <c r="AO731" s="273" t="str">
        <f>Table4[[#This Row],[StockName]]</f>
        <v>ဇေယျဝတီ High 43%</v>
      </c>
      <c r="AP731" s="268">
        <f>Table4[[#This Row],[Parking]]</f>
        <v>15</v>
      </c>
      <c r="AQ731" s="268">
        <f>Table4[[#This Row],[SalesBot]]</f>
        <v>210</v>
      </c>
      <c r="AR731" s="268">
        <f>Table4[[#This Row],[Liter]]</f>
        <v>134.4</v>
      </c>
    </row>
    <row r="732" spans="1:44" s="16" customFormat="1" hidden="1" x14ac:dyDescent="0.5">
      <c r="A732" s="3">
        <f t="shared" si="136"/>
        <v>2026</v>
      </c>
      <c r="B732" s="8">
        <f t="shared" si="137"/>
        <v>2</v>
      </c>
      <c r="C732" s="6">
        <v>46067</v>
      </c>
      <c r="D732" s="15">
        <f t="shared" ca="1" si="138"/>
        <v>46097</v>
      </c>
      <c r="E732" s="15" t="str">
        <f t="shared" ca="1" si="139"/>
        <v>1-Months</v>
      </c>
      <c r="F732" s="8" t="str">
        <f>VLOOKUP(N732,Stock[#Data],5,FALSE)</f>
        <v>BE</v>
      </c>
      <c r="G732" s="82" t="s">
        <v>1426</v>
      </c>
      <c r="H732" s="15"/>
      <c r="I732" s="7" t="s">
        <v>559</v>
      </c>
      <c r="J732" s="8" t="str">
        <f>VLOOKUP(I732,Customers[#Data],2,FALSE)</f>
        <v>ငွေလှိုင်းသံ</v>
      </c>
      <c r="K732" s="15" t="str">
        <f>VLOOKUP(I732,Customers[#Data],4,FALSE)</f>
        <v>Chang Sone</v>
      </c>
      <c r="L732" s="15" t="str">
        <f>VLOOKUP(I732,Customers[#Data],5,FALSE)</f>
        <v>Van Sales</v>
      </c>
      <c r="M732" s="7" t="s">
        <v>7</v>
      </c>
      <c r="N732" s="7" t="s">
        <v>519</v>
      </c>
      <c r="O732" s="14" t="str">
        <f>VLOOKUP(N732,Stock[#Data],2,FALSE)</f>
        <v>ဇေယျဝတီ High 43%</v>
      </c>
      <c r="P732" s="44">
        <f>VLOOKUP(N732,Stock[#Data],3,FALSE)</f>
        <v>0.64</v>
      </c>
      <c r="Q732" s="3">
        <f>VLOOKUP(N732,Stock[#Data],4,FALSE)</f>
        <v>14</v>
      </c>
      <c r="R732" s="11"/>
      <c r="S732" s="45">
        <f>IFERROR(Table4[[#This Row],[Bottle]]/Table4[[#This Row],[ပါဝင်မှု]]+Table4[[#This Row],[SalesPK]],0)</f>
        <v>25</v>
      </c>
      <c r="T732" s="12">
        <v>25</v>
      </c>
      <c r="U732" s="10">
        <f>Table4[[#This Row],[ပါဝင်မှု]]*Table4[[#This Row],[SalesPK]]+Table4[[#This Row],[Bottle]]</f>
        <v>350</v>
      </c>
      <c r="V732" s="10">
        <f>Table4[[#This Row],[SalesBot]]*Table4[[#This Row],[ML]]</f>
        <v>224</v>
      </c>
      <c r="W732" s="1">
        <f>VLOOKUP(N732,Stock[#Data],6,FALSE)</f>
        <v>1500</v>
      </c>
      <c r="X732" s="8">
        <f>+Table4[[#This Row],[SalesBot]]*Table4[[#This Row],[နှုံး]]</f>
        <v>525000</v>
      </c>
      <c r="Y732" s="12"/>
      <c r="Z732" s="12"/>
      <c r="AA732" s="12"/>
      <c r="AB732" s="9"/>
      <c r="AC732" s="12"/>
      <c r="AD732" s="9"/>
      <c r="AE732" s="12"/>
      <c r="AF73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525000</v>
      </c>
      <c r="AG732" s="24"/>
      <c r="AH732" s="266">
        <f>Table4[[#This Row],[Date]]</f>
        <v>46067</v>
      </c>
      <c r="AI732" s="264" t="str">
        <f t="shared" si="130"/>
        <v>Feb</v>
      </c>
      <c r="AJ732" s="264" t="str">
        <f t="shared" si="131"/>
        <v>2026</v>
      </c>
      <c r="AK732" s="270" t="str">
        <f>Table4[[#This Row],[ကုန်သည်အမည်]]</f>
        <v>ငွေလှိုင်းသံ</v>
      </c>
      <c r="AL732" s="270" t="str">
        <f>Table4[[#This Row],[Township]]</f>
        <v>Chang Sone</v>
      </c>
      <c r="AM732" s="271" t="str">
        <f>Table4[[#This Row],[WholeSales]]</f>
        <v>Van Sales</v>
      </c>
      <c r="AN732" s="272" t="str">
        <f>Table4[[#This Row],[Particular]]</f>
        <v>ကုန်ရောင်း(အကြွေး)</v>
      </c>
      <c r="AO732" s="273" t="str">
        <f>Table4[[#This Row],[StockName]]</f>
        <v>ဇေယျဝတီ High 43%</v>
      </c>
      <c r="AP732" s="268">
        <f>Table4[[#This Row],[Parking]]</f>
        <v>25</v>
      </c>
      <c r="AQ732" s="268">
        <f>Table4[[#This Row],[SalesBot]]</f>
        <v>350</v>
      </c>
      <c r="AR732" s="268">
        <f>Table4[[#This Row],[Liter]]</f>
        <v>224</v>
      </c>
    </row>
    <row r="733" spans="1:44" s="16" customFormat="1" hidden="1" x14ac:dyDescent="0.5">
      <c r="A733" s="3">
        <f t="shared" si="136"/>
        <v>2026</v>
      </c>
      <c r="B733" s="8">
        <f t="shared" si="137"/>
        <v>2</v>
      </c>
      <c r="C733" s="6">
        <v>46067</v>
      </c>
      <c r="D733" s="15">
        <f t="shared" ca="1" si="138"/>
        <v>46097</v>
      </c>
      <c r="E733" s="15" t="str">
        <f t="shared" ca="1" si="139"/>
        <v>1-Months</v>
      </c>
      <c r="F733" s="8" t="str">
        <f>VLOOKUP(N733,Stock[#Data],5,FALSE)</f>
        <v>BE</v>
      </c>
      <c r="G733" s="82" t="s">
        <v>1427</v>
      </c>
      <c r="H733" s="15"/>
      <c r="I733" s="7" t="s">
        <v>599</v>
      </c>
      <c r="J733" s="8" t="str">
        <f>VLOOKUP(I733,Customers[#Data],2,FALSE)</f>
        <v>ကိုသားငယ်</v>
      </c>
      <c r="K733" s="15" t="str">
        <f>VLOOKUP(I733,Customers[#Data],4,FALSE)</f>
        <v>Chang Sone</v>
      </c>
      <c r="L733" s="15" t="str">
        <f>VLOOKUP(I733,Customers[#Data],5,FALSE)</f>
        <v>Van Sales</v>
      </c>
      <c r="M733" s="7" t="s">
        <v>7</v>
      </c>
      <c r="N733" s="7" t="s">
        <v>519</v>
      </c>
      <c r="O733" s="14" t="str">
        <f>VLOOKUP(N733,Stock[#Data],2,FALSE)</f>
        <v>ဇေယျဝတီ High 43%</v>
      </c>
      <c r="P733" s="44">
        <f>VLOOKUP(N733,Stock[#Data],3,FALSE)</f>
        <v>0.64</v>
      </c>
      <c r="Q733" s="3">
        <f>VLOOKUP(N733,Stock[#Data],4,FALSE)</f>
        <v>14</v>
      </c>
      <c r="R733" s="11"/>
      <c r="S733" s="45">
        <f>IFERROR(Table4[[#This Row],[Bottle]]/Table4[[#This Row],[ပါဝင်မှု]]+Table4[[#This Row],[SalesPK]],0)</f>
        <v>10</v>
      </c>
      <c r="T733" s="12">
        <v>10</v>
      </c>
      <c r="U733" s="10">
        <f>Table4[[#This Row],[ပါဝင်မှု]]*Table4[[#This Row],[SalesPK]]+Table4[[#This Row],[Bottle]]</f>
        <v>140</v>
      </c>
      <c r="V733" s="10">
        <f>Table4[[#This Row],[SalesBot]]*Table4[[#This Row],[ML]]</f>
        <v>89.600000000000009</v>
      </c>
      <c r="W733" s="1">
        <f>VLOOKUP(N733,Stock[#Data],6,FALSE)</f>
        <v>1500</v>
      </c>
      <c r="X733" s="8">
        <f>+Table4[[#This Row],[SalesBot]]*Table4[[#This Row],[နှုံး]]</f>
        <v>210000</v>
      </c>
      <c r="Y733" s="12"/>
      <c r="Z733" s="12"/>
      <c r="AA733" s="12"/>
      <c r="AB733" s="9"/>
      <c r="AC733" s="12"/>
      <c r="AD733" s="9"/>
      <c r="AE733" s="12"/>
      <c r="AF73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210000</v>
      </c>
      <c r="AG733" s="24"/>
      <c r="AH733" s="266">
        <f>Table4[[#This Row],[Date]]</f>
        <v>46067</v>
      </c>
      <c r="AI733" s="264" t="str">
        <f t="shared" si="130"/>
        <v>Feb</v>
      </c>
      <c r="AJ733" s="264" t="str">
        <f t="shared" si="131"/>
        <v>2026</v>
      </c>
      <c r="AK733" s="270" t="str">
        <f>Table4[[#This Row],[ကုန်သည်အမည်]]</f>
        <v>ကိုသားငယ်</v>
      </c>
      <c r="AL733" s="270" t="str">
        <f>Table4[[#This Row],[Township]]</f>
        <v>Chang Sone</v>
      </c>
      <c r="AM733" s="271" t="str">
        <f>Table4[[#This Row],[WholeSales]]</f>
        <v>Van Sales</v>
      </c>
      <c r="AN733" s="272" t="str">
        <f>Table4[[#This Row],[Particular]]</f>
        <v>ကုန်ရောင်း(အကြွေး)</v>
      </c>
      <c r="AO733" s="273" t="str">
        <f>Table4[[#This Row],[StockName]]</f>
        <v>ဇေယျဝတီ High 43%</v>
      </c>
      <c r="AP733" s="268">
        <f>Table4[[#This Row],[Parking]]</f>
        <v>10</v>
      </c>
      <c r="AQ733" s="268">
        <f>Table4[[#This Row],[SalesBot]]</f>
        <v>140</v>
      </c>
      <c r="AR733" s="268">
        <f>Table4[[#This Row],[Liter]]</f>
        <v>89.600000000000009</v>
      </c>
    </row>
    <row r="734" spans="1:44" s="16" customFormat="1" hidden="1" x14ac:dyDescent="0.5">
      <c r="A734" s="3">
        <f t="shared" si="136"/>
        <v>2026</v>
      </c>
      <c r="B734" s="8">
        <f t="shared" si="137"/>
        <v>2</v>
      </c>
      <c r="C734" s="6">
        <v>46067</v>
      </c>
      <c r="D734" s="15">
        <f t="shared" ca="1" si="138"/>
        <v>46097</v>
      </c>
      <c r="E734" s="15" t="str">
        <f t="shared" ca="1" si="139"/>
        <v>1-Months</v>
      </c>
      <c r="F734" s="8" t="str">
        <f>VLOOKUP(N734,Stock[#Data],5,FALSE)</f>
        <v>BE</v>
      </c>
      <c r="G734" s="82" t="s">
        <v>1428</v>
      </c>
      <c r="H734" s="15"/>
      <c r="I734" s="7" t="s">
        <v>101</v>
      </c>
      <c r="J734" s="8" t="str">
        <f>VLOOKUP(I734,Customers[#Data],2,FALSE)</f>
        <v>ကိုမောင်+မသူဇာ</v>
      </c>
      <c r="K734" s="15" t="str">
        <f>VLOOKUP(I734,Customers[#Data],4,FALSE)</f>
        <v>Yay</v>
      </c>
      <c r="L734" s="15" t="str">
        <f>VLOOKUP(I734,Customers[#Data],5,FALSE)</f>
        <v>WholeSales</v>
      </c>
      <c r="M734" s="7" t="s">
        <v>7</v>
      </c>
      <c r="N734" s="7" t="s">
        <v>517</v>
      </c>
      <c r="O734" s="14" t="str">
        <f>VLOOKUP(N734,Stock[#Data],2,FALSE)</f>
        <v>ဇေယျဝတီ Red (1 Liter) 30%</v>
      </c>
      <c r="P734" s="44">
        <f>VLOOKUP(N734,Stock[#Data],3,FALSE)</f>
        <v>1</v>
      </c>
      <c r="Q734" s="3">
        <f>VLOOKUP(N734,Stock[#Data],4,FALSE)</f>
        <v>12</v>
      </c>
      <c r="R734" s="11"/>
      <c r="S734" s="45">
        <f>IFERROR(Table4[[#This Row],[Bottle]]/Table4[[#This Row],[ပါဝင်မှု]]+Table4[[#This Row],[SalesPK]],0)</f>
        <v>50</v>
      </c>
      <c r="T734" s="12">
        <v>50</v>
      </c>
      <c r="U734" s="10">
        <f>Table4[[#This Row],[ပါဝင်မှု]]*Table4[[#This Row],[SalesPK]]+Table4[[#This Row],[Bottle]]</f>
        <v>600</v>
      </c>
      <c r="V734" s="10">
        <f>Table4[[#This Row],[SalesBot]]*Table4[[#This Row],[ML]]</f>
        <v>600</v>
      </c>
      <c r="W734" s="1">
        <f>VLOOKUP(N734,Stock[#Data],6,FALSE)</f>
        <v>1710</v>
      </c>
      <c r="X734" s="8">
        <f>+Table4[[#This Row],[SalesBot]]*Table4[[#This Row],[နှုံး]]</f>
        <v>1026000</v>
      </c>
      <c r="Y734" s="12"/>
      <c r="Z734" s="12"/>
      <c r="AA734" s="12"/>
      <c r="AB734" s="9"/>
      <c r="AC734" s="12"/>
      <c r="AD734" s="9"/>
      <c r="AE734" s="12"/>
      <c r="AF73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734" s="24"/>
      <c r="AH734" s="266">
        <f>Table4[[#This Row],[Date]]</f>
        <v>46067</v>
      </c>
      <c r="AI734" s="264" t="str">
        <f t="shared" si="130"/>
        <v>Feb</v>
      </c>
      <c r="AJ734" s="264" t="str">
        <f t="shared" si="131"/>
        <v>2026</v>
      </c>
      <c r="AK734" s="270" t="str">
        <f>Table4[[#This Row],[ကုန်သည်အမည်]]</f>
        <v>ကိုမောင်+မသူဇာ</v>
      </c>
      <c r="AL734" s="270" t="str">
        <f>Table4[[#This Row],[Township]]</f>
        <v>Yay</v>
      </c>
      <c r="AM734" s="271" t="str">
        <f>Table4[[#This Row],[WholeSales]]</f>
        <v>WholeSales</v>
      </c>
      <c r="AN734" s="272" t="str">
        <f>Table4[[#This Row],[Particular]]</f>
        <v>ကုန်ရောင်း(အကြွေး)</v>
      </c>
      <c r="AO734" s="273" t="str">
        <f>Table4[[#This Row],[StockName]]</f>
        <v>ဇေယျဝတီ Red (1 Liter) 30%</v>
      </c>
      <c r="AP734" s="268">
        <f>Table4[[#This Row],[Parking]]</f>
        <v>50</v>
      </c>
      <c r="AQ734" s="268">
        <f>Table4[[#This Row],[SalesBot]]</f>
        <v>600</v>
      </c>
      <c r="AR734" s="268">
        <f>Table4[[#This Row],[Liter]]</f>
        <v>600</v>
      </c>
    </row>
    <row r="735" spans="1:44" s="16" customFormat="1" hidden="1" x14ac:dyDescent="0.5">
      <c r="A735" s="3">
        <f t="shared" si="136"/>
        <v>2026</v>
      </c>
      <c r="B735" s="8">
        <f t="shared" si="137"/>
        <v>2</v>
      </c>
      <c r="C735" s="6">
        <v>46067</v>
      </c>
      <c r="D735" s="15">
        <f t="shared" ca="1" si="138"/>
        <v>46097</v>
      </c>
      <c r="E735" s="15" t="str">
        <f t="shared" ca="1" si="139"/>
        <v>1-Months</v>
      </c>
      <c r="F735" s="8" t="str">
        <f>VLOOKUP(N735,Stock[#Data],5,FALSE)</f>
        <v>BE</v>
      </c>
      <c r="G735" s="82" t="s">
        <v>1429</v>
      </c>
      <c r="H735" s="15" t="s">
        <v>439</v>
      </c>
      <c r="I735" s="7" t="s">
        <v>560</v>
      </c>
      <c r="J735" s="8" t="str">
        <f>VLOOKUP(I735,Customers[#Data],2,FALSE)</f>
        <v>မသန္တာ</v>
      </c>
      <c r="K735" s="15" t="str">
        <f>VLOOKUP(I735,Customers[#Data],4,FALSE)</f>
        <v>Maw La Myaing</v>
      </c>
      <c r="L735" s="15" t="str">
        <f>VLOOKUP(I735,Customers[#Data],5,FALSE)</f>
        <v>Van Sales</v>
      </c>
      <c r="M735" s="7" t="s">
        <v>6</v>
      </c>
      <c r="N735" s="7" t="s">
        <v>518</v>
      </c>
      <c r="O735" s="14" t="str">
        <f>VLOOKUP(N735,Stock[#Data],2,FALSE)</f>
        <v>"ဇေ" ကော်ဘူး (1 Liter)</v>
      </c>
      <c r="P735" s="44">
        <f>VLOOKUP(N735,Stock[#Data],3,FALSE)</f>
        <v>1</v>
      </c>
      <c r="Q735" s="3">
        <f>VLOOKUP(N735,Stock[#Data],4,FALSE)</f>
        <v>12</v>
      </c>
      <c r="R735" s="11"/>
      <c r="S735" s="45">
        <f>IFERROR(Table4[[#This Row],[Bottle]]/Table4[[#This Row],[ပါဝင်မှု]]+Table4[[#This Row],[SalesPK]],0)</f>
        <v>5</v>
      </c>
      <c r="T735" s="12">
        <v>5</v>
      </c>
      <c r="U735" s="10">
        <f>Table4[[#This Row],[ပါဝင်မှု]]*Table4[[#This Row],[SalesPK]]+Table4[[#This Row],[Bottle]]</f>
        <v>60</v>
      </c>
      <c r="V735" s="10">
        <f>Table4[[#This Row],[SalesBot]]*Table4[[#This Row],[ML]]</f>
        <v>60</v>
      </c>
      <c r="W735" s="1">
        <f>VLOOKUP(N735,Stock[#Data],6,FALSE)</f>
        <v>1675</v>
      </c>
      <c r="X735" s="8">
        <f>+Table4[[#This Row],[SalesBot]]*Table4[[#This Row],[နှုံး]]</f>
        <v>100500</v>
      </c>
      <c r="Y735" s="12"/>
      <c r="Z735" s="12"/>
      <c r="AA735" s="12"/>
      <c r="AB735" s="9"/>
      <c r="AC735" s="12"/>
      <c r="AD735" s="9"/>
      <c r="AE735" s="12"/>
      <c r="AF73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735" s="24"/>
      <c r="AH735" s="266">
        <f>Table4[[#This Row],[Date]]</f>
        <v>46067</v>
      </c>
      <c r="AI735" s="264" t="str">
        <f t="shared" si="130"/>
        <v>Feb</v>
      </c>
      <c r="AJ735" s="264" t="str">
        <f t="shared" si="131"/>
        <v>2026</v>
      </c>
      <c r="AK735" s="270" t="str">
        <f>Table4[[#This Row],[ကုန်သည်အမည်]]</f>
        <v>မသန္တာ</v>
      </c>
      <c r="AL735" s="270" t="str">
        <f>Table4[[#This Row],[Township]]</f>
        <v>Maw La Myaing</v>
      </c>
      <c r="AM735" s="271" t="str">
        <f>Table4[[#This Row],[WholeSales]]</f>
        <v>Van Sales</v>
      </c>
      <c r="AN735" s="272" t="str">
        <f>Table4[[#This Row],[Particular]]</f>
        <v>ကုန်ရောင်း(လက်ငင်း)</v>
      </c>
      <c r="AO735" s="273" t="str">
        <f>Table4[[#This Row],[StockName]]</f>
        <v>"ဇေ" ကော်ဘူး (1 Liter)</v>
      </c>
      <c r="AP735" s="268">
        <f>Table4[[#This Row],[Parking]]</f>
        <v>5</v>
      </c>
      <c r="AQ735" s="268">
        <f>Table4[[#This Row],[SalesBot]]</f>
        <v>60</v>
      </c>
      <c r="AR735" s="268">
        <f>Table4[[#This Row],[Liter]]</f>
        <v>60</v>
      </c>
    </row>
    <row r="736" spans="1:44" s="16" customFormat="1" hidden="1" x14ac:dyDescent="0.5">
      <c r="A736" s="3">
        <f t="shared" si="136"/>
        <v>2026</v>
      </c>
      <c r="B736" s="8">
        <f t="shared" si="137"/>
        <v>2</v>
      </c>
      <c r="C736" s="6">
        <v>46067</v>
      </c>
      <c r="D736" s="15">
        <f t="shared" ca="1" si="138"/>
        <v>46097</v>
      </c>
      <c r="E736" s="15" t="str">
        <f t="shared" ca="1" si="139"/>
        <v>1-Months</v>
      </c>
      <c r="F736" s="8" t="str">
        <f>VLOOKUP(N736,Stock[#Data],5,FALSE)</f>
        <v>BE</v>
      </c>
      <c r="G736" s="82" t="s">
        <v>1430</v>
      </c>
      <c r="H736" s="15" t="s">
        <v>439</v>
      </c>
      <c r="I736" s="7" t="s">
        <v>1431</v>
      </c>
      <c r="J736" s="8" t="str">
        <f>VLOOKUP(I736,Customers[#Data],2,FALSE)</f>
        <v>ပန်းအိဖြူ</v>
      </c>
      <c r="K736" s="15" t="str">
        <f>VLOOKUP(I736,Customers[#Data],4,FALSE)</f>
        <v>Maw La Myaing</v>
      </c>
      <c r="L736" s="15" t="str">
        <f>VLOOKUP(I736,Customers[#Data],5,FALSE)</f>
        <v>Van Sales</v>
      </c>
      <c r="M736" s="7" t="s">
        <v>6</v>
      </c>
      <c r="N736" s="7" t="s">
        <v>522</v>
      </c>
      <c r="O736" s="14" t="str">
        <f>VLOOKUP(N736,Stock[#Data],2,FALSE)</f>
        <v>ဒဂုံမန်ကျည်း ကော်ဘူး (1 Liter)</v>
      </c>
      <c r="P736" s="44">
        <f>VLOOKUP(N736,Stock[#Data],3,FALSE)</f>
        <v>1</v>
      </c>
      <c r="Q736" s="3">
        <f>VLOOKUP(N736,Stock[#Data],4,FALSE)</f>
        <v>12</v>
      </c>
      <c r="R736" s="11"/>
      <c r="S736" s="45">
        <f>IFERROR(Table4[[#This Row],[Bottle]]/Table4[[#This Row],[ပါဝင်မှု]]+Table4[[#This Row],[SalesPK]],0)</f>
        <v>1</v>
      </c>
      <c r="T736" s="12">
        <v>1</v>
      </c>
      <c r="U736" s="10">
        <f>Table4[[#This Row],[ပါဝင်မှု]]*Table4[[#This Row],[SalesPK]]+Table4[[#This Row],[Bottle]]</f>
        <v>12</v>
      </c>
      <c r="V736" s="10">
        <f>Table4[[#This Row],[SalesBot]]*Table4[[#This Row],[ML]]</f>
        <v>12</v>
      </c>
      <c r="W736" s="1">
        <f>VLOOKUP(N736,Stock[#Data],6,FALSE)</f>
        <v>1600</v>
      </c>
      <c r="X736" s="8">
        <f>+Table4[[#This Row],[SalesBot]]*Table4[[#This Row],[နှုံး]]</f>
        <v>19200</v>
      </c>
      <c r="Y736" s="12"/>
      <c r="Z736" s="12"/>
      <c r="AA736" s="12"/>
      <c r="AB736" s="9"/>
      <c r="AC736" s="12"/>
      <c r="AD736" s="9"/>
      <c r="AE736" s="12"/>
      <c r="AF73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736" s="24"/>
      <c r="AH736" s="266">
        <f>Table4[[#This Row],[Date]]</f>
        <v>46067</v>
      </c>
      <c r="AI736" s="264" t="str">
        <f t="shared" si="130"/>
        <v>Feb</v>
      </c>
      <c r="AJ736" s="264" t="str">
        <f t="shared" si="131"/>
        <v>2026</v>
      </c>
      <c r="AK736" s="270" t="str">
        <f>Table4[[#This Row],[ကုန်သည်အမည်]]</f>
        <v>ပန်းအိဖြူ</v>
      </c>
      <c r="AL736" s="270" t="str">
        <f>Table4[[#This Row],[Township]]</f>
        <v>Maw La Myaing</v>
      </c>
      <c r="AM736" s="271" t="str">
        <f>Table4[[#This Row],[WholeSales]]</f>
        <v>Van Sales</v>
      </c>
      <c r="AN736" s="272" t="str">
        <f>Table4[[#This Row],[Particular]]</f>
        <v>ကုန်ရောင်း(လက်ငင်း)</v>
      </c>
      <c r="AO736" s="273" t="str">
        <f>Table4[[#This Row],[StockName]]</f>
        <v>ဒဂုံမန်ကျည်း ကော်ဘူး (1 Liter)</v>
      </c>
      <c r="AP736" s="268">
        <f>Table4[[#This Row],[Parking]]</f>
        <v>1</v>
      </c>
      <c r="AQ736" s="268">
        <f>Table4[[#This Row],[SalesBot]]</f>
        <v>12</v>
      </c>
      <c r="AR736" s="268">
        <f>Table4[[#This Row],[Liter]]</f>
        <v>12</v>
      </c>
    </row>
    <row r="737" spans="1:44" s="16" customFormat="1" hidden="1" x14ac:dyDescent="0.5">
      <c r="A737" s="3">
        <f t="shared" si="136"/>
        <v>2026</v>
      </c>
      <c r="B737" s="8">
        <f t="shared" si="137"/>
        <v>2</v>
      </c>
      <c r="C737" s="6">
        <v>46067</v>
      </c>
      <c r="D737" s="15">
        <f t="shared" ca="1" si="138"/>
        <v>46097</v>
      </c>
      <c r="E737" s="15" t="str">
        <f t="shared" ca="1" si="139"/>
        <v>1-Months</v>
      </c>
      <c r="F737" s="8" t="str">
        <f>VLOOKUP(N737,Stock[#Data],5,FALSE)</f>
        <v>BE</v>
      </c>
      <c r="G737" s="82" t="s">
        <v>1434</v>
      </c>
      <c r="H737" s="15" t="s">
        <v>439</v>
      </c>
      <c r="I737" s="7" t="s">
        <v>1432</v>
      </c>
      <c r="J737" s="8" t="str">
        <f>VLOOKUP(I737,Customers[#Data],2,FALSE)</f>
        <v>Sk</v>
      </c>
      <c r="K737" s="15" t="str">
        <f>VLOOKUP(I737,Customers[#Data],4,FALSE)</f>
        <v>Maw La Myaing</v>
      </c>
      <c r="L737" s="15" t="str">
        <f>VLOOKUP(I737,Customers[#Data],5,FALSE)</f>
        <v>Van Sales</v>
      </c>
      <c r="M737" s="7" t="s">
        <v>6</v>
      </c>
      <c r="N737" s="7" t="s">
        <v>522</v>
      </c>
      <c r="O737" s="14" t="str">
        <f>VLOOKUP(N737,Stock[#Data],2,FALSE)</f>
        <v>ဒဂုံမန်ကျည်း ကော်ဘူး (1 Liter)</v>
      </c>
      <c r="P737" s="44">
        <f>VLOOKUP(N737,Stock[#Data],3,FALSE)</f>
        <v>1</v>
      </c>
      <c r="Q737" s="3">
        <f>VLOOKUP(N737,Stock[#Data],4,FALSE)</f>
        <v>12</v>
      </c>
      <c r="R737" s="11">
        <v>3</v>
      </c>
      <c r="S737" s="45">
        <f>IFERROR(Table4[[#This Row],[Bottle]]/Table4[[#This Row],[ပါဝင်မှု]]+Table4[[#This Row],[SalesPK]],0)</f>
        <v>0.25</v>
      </c>
      <c r="T737" s="12"/>
      <c r="U737" s="10">
        <f>Table4[[#This Row],[ပါဝင်မှု]]*Table4[[#This Row],[SalesPK]]+Table4[[#This Row],[Bottle]]</f>
        <v>3</v>
      </c>
      <c r="V737" s="10">
        <f>Table4[[#This Row],[SalesBot]]*Table4[[#This Row],[ML]]</f>
        <v>3</v>
      </c>
      <c r="W737" s="1">
        <f>VLOOKUP(N737,Stock[#Data],6,FALSE)</f>
        <v>1600</v>
      </c>
      <c r="X737" s="8">
        <f>+Table4[[#This Row],[SalesBot]]*Table4[[#This Row],[နှုံး]]</f>
        <v>4800</v>
      </c>
      <c r="Y737" s="12"/>
      <c r="Z737" s="12"/>
      <c r="AA737" s="12"/>
      <c r="AB737" s="9"/>
      <c r="AC737" s="12"/>
      <c r="AD737" s="9"/>
      <c r="AE737" s="12"/>
      <c r="AF73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4800</v>
      </c>
      <c r="AG737" s="24"/>
      <c r="AH737" s="266">
        <f>Table4[[#This Row],[Date]]</f>
        <v>46067</v>
      </c>
      <c r="AI737" s="264" t="str">
        <f t="shared" si="130"/>
        <v>Feb</v>
      </c>
      <c r="AJ737" s="264" t="str">
        <f t="shared" si="131"/>
        <v>2026</v>
      </c>
      <c r="AK737" s="270" t="str">
        <f>Table4[[#This Row],[ကုန်သည်အမည်]]</f>
        <v>Sk</v>
      </c>
      <c r="AL737" s="270" t="str">
        <f>Table4[[#This Row],[Township]]</f>
        <v>Maw La Myaing</v>
      </c>
      <c r="AM737" s="271" t="str">
        <f>Table4[[#This Row],[WholeSales]]</f>
        <v>Van Sales</v>
      </c>
      <c r="AN737" s="272" t="str">
        <f>Table4[[#This Row],[Particular]]</f>
        <v>ကုန်ရောင်း(လက်ငင်း)</v>
      </c>
      <c r="AO737" s="273" t="str">
        <f>Table4[[#This Row],[StockName]]</f>
        <v>ဒဂုံမန်ကျည်း ကော်ဘူး (1 Liter)</v>
      </c>
      <c r="AP737" s="268">
        <f>Table4[[#This Row],[Parking]]</f>
        <v>0.25</v>
      </c>
      <c r="AQ737" s="268">
        <f>Table4[[#This Row],[SalesBot]]</f>
        <v>3</v>
      </c>
      <c r="AR737" s="268">
        <f>Table4[[#This Row],[Liter]]</f>
        <v>3</v>
      </c>
    </row>
    <row r="738" spans="1:44" s="16" customFormat="1" hidden="1" x14ac:dyDescent="0.5">
      <c r="A738" s="3">
        <f t="shared" si="136"/>
        <v>2026</v>
      </c>
      <c r="B738" s="8">
        <f t="shared" si="137"/>
        <v>2</v>
      </c>
      <c r="C738" s="6">
        <v>46067</v>
      </c>
      <c r="D738" s="15">
        <f t="shared" ca="1" si="138"/>
        <v>46097</v>
      </c>
      <c r="E738" s="15" t="str">
        <f t="shared" ca="1" si="139"/>
        <v>1-Months</v>
      </c>
      <c r="F738" s="8" t="str">
        <f>VLOOKUP(N738,Stock[#Data],5,FALSE)</f>
        <v>BE</v>
      </c>
      <c r="G738" s="82" t="s">
        <v>1434</v>
      </c>
      <c r="H738" s="15" t="s">
        <v>439</v>
      </c>
      <c r="I738" s="7" t="s">
        <v>1432</v>
      </c>
      <c r="J738" s="8" t="str">
        <f>VLOOKUP(I738,Customers[#Data],2,FALSE)</f>
        <v>Sk</v>
      </c>
      <c r="K738" s="15" t="str">
        <f>VLOOKUP(I738,Customers[#Data],4,FALSE)</f>
        <v>Maw La Myaing</v>
      </c>
      <c r="L738" s="15" t="str">
        <f>VLOOKUP(I738,Customers[#Data],5,FALSE)</f>
        <v>Van Sales</v>
      </c>
      <c r="M738" s="7" t="s">
        <v>6</v>
      </c>
      <c r="N738" s="7" t="s">
        <v>425</v>
      </c>
      <c r="O738" s="14" t="str">
        <f>VLOOKUP(N738,Stock[#Data],2,FALSE)</f>
        <v>ကောင်းကြည်-1Li</v>
      </c>
      <c r="P738" s="44">
        <f>VLOOKUP(N738,Stock[#Data],3,FALSE)</f>
        <v>1</v>
      </c>
      <c r="Q738" s="3">
        <f>VLOOKUP(N738,Stock[#Data],4,FALSE)</f>
        <v>12</v>
      </c>
      <c r="R738" s="11">
        <v>3</v>
      </c>
      <c r="S738" s="45">
        <f>IFERROR(Table4[[#This Row],[Bottle]]/Table4[[#This Row],[ပါဝင်မှု]]+Table4[[#This Row],[SalesPK]],0)</f>
        <v>0.25</v>
      </c>
      <c r="T738" s="12"/>
      <c r="U738" s="10">
        <f>Table4[[#This Row],[ပါဝင်မှု]]*Table4[[#This Row],[SalesPK]]+Table4[[#This Row],[Bottle]]</f>
        <v>3</v>
      </c>
      <c r="V738" s="10">
        <f>Table4[[#This Row],[SalesBot]]*Table4[[#This Row],[ML]]</f>
        <v>3</v>
      </c>
      <c r="W738" s="1">
        <f>VLOOKUP(N738,Stock[#Data],6,FALSE)</f>
        <v>1500</v>
      </c>
      <c r="X738" s="8">
        <f>+Table4[[#This Row],[SalesBot]]*Table4[[#This Row],[နှုံး]]</f>
        <v>4500</v>
      </c>
      <c r="Y738" s="12"/>
      <c r="Z738" s="12"/>
      <c r="AA738" s="12"/>
      <c r="AB738" s="9"/>
      <c r="AC738" s="12"/>
      <c r="AD738" s="9"/>
      <c r="AE738" s="12"/>
      <c r="AF73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4500</v>
      </c>
      <c r="AG738" s="24"/>
      <c r="AH738" s="266">
        <f>Table4[[#This Row],[Date]]</f>
        <v>46067</v>
      </c>
      <c r="AI738" s="264" t="str">
        <f t="shared" si="130"/>
        <v>Feb</v>
      </c>
      <c r="AJ738" s="264" t="str">
        <f t="shared" si="131"/>
        <v>2026</v>
      </c>
      <c r="AK738" s="270" t="str">
        <f>Table4[[#This Row],[ကုန်သည်အမည်]]</f>
        <v>Sk</v>
      </c>
      <c r="AL738" s="270" t="str">
        <f>Table4[[#This Row],[Township]]</f>
        <v>Maw La Myaing</v>
      </c>
      <c r="AM738" s="271" t="str">
        <f>Table4[[#This Row],[WholeSales]]</f>
        <v>Van Sales</v>
      </c>
      <c r="AN738" s="272" t="str">
        <f>Table4[[#This Row],[Particular]]</f>
        <v>ကုန်ရောင်း(လက်ငင်း)</v>
      </c>
      <c r="AO738" s="273" t="str">
        <f>Table4[[#This Row],[StockName]]</f>
        <v>ကောင်းကြည်-1Li</v>
      </c>
      <c r="AP738" s="268">
        <f>Table4[[#This Row],[Parking]]</f>
        <v>0.25</v>
      </c>
      <c r="AQ738" s="268">
        <f>Table4[[#This Row],[SalesBot]]</f>
        <v>3</v>
      </c>
      <c r="AR738" s="268">
        <f>Table4[[#This Row],[Liter]]</f>
        <v>3</v>
      </c>
    </row>
    <row r="739" spans="1:44" s="16" customFormat="1" hidden="1" x14ac:dyDescent="0.5">
      <c r="A739" s="3">
        <f t="shared" si="136"/>
        <v>2026</v>
      </c>
      <c r="B739" s="8">
        <f t="shared" si="137"/>
        <v>2</v>
      </c>
      <c r="C739" s="6">
        <v>46067</v>
      </c>
      <c r="D739" s="15">
        <f t="shared" ca="1" si="138"/>
        <v>46097</v>
      </c>
      <c r="E739" s="15" t="str">
        <f t="shared" ca="1" si="139"/>
        <v>1-Months</v>
      </c>
      <c r="F739" s="8" t="str">
        <f>VLOOKUP(N739,Stock[#Data],5,FALSE)</f>
        <v>BE</v>
      </c>
      <c r="G739" s="82" t="s">
        <v>1434</v>
      </c>
      <c r="H739" s="15" t="s">
        <v>439</v>
      </c>
      <c r="I739" s="7" t="s">
        <v>1432</v>
      </c>
      <c r="J739" s="8" t="str">
        <f>VLOOKUP(I739,Customers[#Data],2,FALSE)</f>
        <v>Sk</v>
      </c>
      <c r="K739" s="15" t="str">
        <f>VLOOKUP(I739,Customers[#Data],4,FALSE)</f>
        <v>Maw La Myaing</v>
      </c>
      <c r="L739" s="15" t="str">
        <f>VLOOKUP(I739,Customers[#Data],5,FALSE)</f>
        <v>Van Sales</v>
      </c>
      <c r="M739" s="7" t="s">
        <v>6</v>
      </c>
      <c r="N739" s="7" t="s">
        <v>508</v>
      </c>
      <c r="O739" s="14" t="str">
        <f>VLOOKUP(N739,Stock[#Data],2,FALSE)</f>
        <v>ကောင်းကြည်-1Li</v>
      </c>
      <c r="P739" s="44">
        <f>VLOOKUP(N739,Stock[#Data],3,FALSE)</f>
        <v>1</v>
      </c>
      <c r="Q739" s="3">
        <f>VLOOKUP(N739,Stock[#Data],4,FALSE)</f>
        <v>12</v>
      </c>
      <c r="R739" s="11">
        <v>3</v>
      </c>
      <c r="S739" s="45">
        <f>IFERROR(Table4[[#This Row],[Bottle]]/Table4[[#This Row],[ပါဝင်မှု]]+Table4[[#This Row],[SalesPK]],0)</f>
        <v>0.25</v>
      </c>
      <c r="T739" s="12"/>
      <c r="U739" s="10">
        <f>Table4[[#This Row],[ပါဝင်မှု]]*Table4[[#This Row],[SalesPK]]+Table4[[#This Row],[Bottle]]</f>
        <v>3</v>
      </c>
      <c r="V739" s="10">
        <f>Table4[[#This Row],[SalesBot]]*Table4[[#This Row],[ML]]</f>
        <v>3</v>
      </c>
      <c r="W739" s="1">
        <f>VLOOKUP(N739,Stock[#Data],6,FALSE)</f>
        <v>1850</v>
      </c>
      <c r="X739" s="8">
        <f>+Table4[[#This Row],[SalesBot]]*Table4[[#This Row],[နှုံး]]</f>
        <v>5550</v>
      </c>
      <c r="Y739" s="12"/>
      <c r="Z739" s="12"/>
      <c r="AA739" s="12"/>
      <c r="AB739" s="9"/>
      <c r="AC739" s="12"/>
      <c r="AD739" s="9"/>
      <c r="AE739" s="12"/>
      <c r="AF73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5550</v>
      </c>
      <c r="AG739" s="24"/>
      <c r="AH739" s="266">
        <f>Table4[[#This Row],[Date]]</f>
        <v>46067</v>
      </c>
      <c r="AI739" s="264" t="str">
        <f t="shared" si="130"/>
        <v>Feb</v>
      </c>
      <c r="AJ739" s="264" t="str">
        <f t="shared" si="131"/>
        <v>2026</v>
      </c>
      <c r="AK739" s="270" t="str">
        <f>Table4[[#This Row],[ကုန်သည်အမည်]]</f>
        <v>Sk</v>
      </c>
      <c r="AL739" s="270" t="str">
        <f>Table4[[#This Row],[Township]]</f>
        <v>Maw La Myaing</v>
      </c>
      <c r="AM739" s="271" t="str">
        <f>Table4[[#This Row],[WholeSales]]</f>
        <v>Van Sales</v>
      </c>
      <c r="AN739" s="272" t="str">
        <f>Table4[[#This Row],[Particular]]</f>
        <v>ကုန်ရောင်း(လက်ငင်း)</v>
      </c>
      <c r="AO739" s="273" t="str">
        <f>Table4[[#This Row],[StockName]]</f>
        <v>ကောင်းကြည်-1Li</v>
      </c>
      <c r="AP739" s="268">
        <f>Table4[[#This Row],[Parking]]</f>
        <v>0.25</v>
      </c>
      <c r="AQ739" s="268">
        <f>Table4[[#This Row],[SalesBot]]</f>
        <v>3</v>
      </c>
      <c r="AR739" s="268">
        <f>Table4[[#This Row],[Liter]]</f>
        <v>3</v>
      </c>
    </row>
    <row r="740" spans="1:44" s="16" customFormat="1" hidden="1" x14ac:dyDescent="0.5">
      <c r="A740" s="3">
        <f t="shared" ref="A740:A754" si="140">YEAR(C740)</f>
        <v>2026</v>
      </c>
      <c r="B740" s="8">
        <f t="shared" ref="B740:B754" si="141">MONTH(C740)</f>
        <v>2</v>
      </c>
      <c r="C740" s="6">
        <v>46069</v>
      </c>
      <c r="D740" s="15">
        <f t="shared" ref="D740:D754" ca="1" si="142">TODAY()</f>
        <v>46097</v>
      </c>
      <c r="E740" s="15" t="str">
        <f t="shared" ref="E740:E754" ca="1" si="143">DATEDIF(C740,D740,"M")&amp;"-Months"</f>
        <v>1-Months</v>
      </c>
      <c r="F740" s="8" t="str">
        <f>VLOOKUP(N740,Stock[#Data],5,FALSE)</f>
        <v>BE</v>
      </c>
      <c r="G740" s="82" t="s">
        <v>1439</v>
      </c>
      <c r="H740" s="15"/>
      <c r="I740" s="7" t="s">
        <v>104</v>
      </c>
      <c r="J740" s="8" t="str">
        <f>VLOOKUP(I740,Customers[#Data],2,FALSE)</f>
        <v>မမော်</v>
      </c>
      <c r="K740" s="15" t="str">
        <f>VLOOKUP(I740,Customers[#Data],4,FALSE)</f>
        <v>Hpa-an</v>
      </c>
      <c r="L740" s="15" t="str">
        <f>VLOOKUP(I740,Customers[#Data],5,FALSE)</f>
        <v>SemiWholeSales</v>
      </c>
      <c r="M740" s="7" t="s">
        <v>6</v>
      </c>
      <c r="N740" s="7" t="s">
        <v>516</v>
      </c>
      <c r="O740" s="14" t="str">
        <f>VLOOKUP(N740,Stock[#Data],2,FALSE)</f>
        <v>ဇေ Vodka</v>
      </c>
      <c r="P740" s="44">
        <f>VLOOKUP(N740,Stock[#Data],3,FALSE)</f>
        <v>0.64</v>
      </c>
      <c r="Q740" s="3">
        <f>VLOOKUP(N740,Stock[#Data],4,FALSE)</f>
        <v>14</v>
      </c>
      <c r="R740" s="11"/>
      <c r="S740" s="45">
        <f>IFERROR(Table4[[#This Row],[Bottle]]/Table4[[#This Row],[ပါဝင်မှု]]+Table4[[#This Row],[SalesPK]],0)</f>
        <v>20</v>
      </c>
      <c r="T740" s="12">
        <v>20</v>
      </c>
      <c r="U740" s="10">
        <f>Table4[[#This Row],[ပါဝင်မှု]]*Table4[[#This Row],[SalesPK]]+Table4[[#This Row],[Bottle]]</f>
        <v>280</v>
      </c>
      <c r="V740" s="10">
        <f>Table4[[#This Row],[SalesBot]]*Table4[[#This Row],[ML]]</f>
        <v>179.20000000000002</v>
      </c>
      <c r="W740" s="1">
        <f>VLOOKUP(N740,Stock[#Data],6,FALSE)</f>
        <v>1400</v>
      </c>
      <c r="X740" s="8">
        <f>+Table4[[#This Row],[SalesBot]]*Table4[[#This Row],[နှုံး]]</f>
        <v>392000</v>
      </c>
      <c r="Y740" s="12"/>
      <c r="Z740" s="12"/>
      <c r="AA740" s="12"/>
      <c r="AB740" s="9"/>
      <c r="AC740" s="12"/>
      <c r="AD740" s="9"/>
      <c r="AE740" s="12"/>
      <c r="AF74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392000</v>
      </c>
      <c r="AG740" s="24"/>
      <c r="AH740" s="266">
        <f>Table4[[#This Row],[Date]]</f>
        <v>46069</v>
      </c>
      <c r="AI740" s="264" t="str">
        <f t="shared" si="130"/>
        <v>Feb</v>
      </c>
      <c r="AJ740" s="264" t="str">
        <f t="shared" si="131"/>
        <v>2026</v>
      </c>
      <c r="AK740" s="270" t="str">
        <f>Table4[[#This Row],[ကုန်သည်အမည်]]</f>
        <v>မမော်</v>
      </c>
      <c r="AL740" s="270" t="str">
        <f>Table4[[#This Row],[Township]]</f>
        <v>Hpa-an</v>
      </c>
      <c r="AM740" s="271" t="str">
        <f>Table4[[#This Row],[WholeSales]]</f>
        <v>SemiWholeSales</v>
      </c>
      <c r="AN740" s="272" t="str">
        <f>Table4[[#This Row],[Particular]]</f>
        <v>ကုန်ရောင်း(လက်ငင်း)</v>
      </c>
      <c r="AO740" s="273" t="str">
        <f>Table4[[#This Row],[StockName]]</f>
        <v>ဇေ Vodka</v>
      </c>
      <c r="AP740" s="268">
        <f>Table4[[#This Row],[Parking]]</f>
        <v>20</v>
      </c>
      <c r="AQ740" s="268">
        <f>Table4[[#This Row],[SalesBot]]</f>
        <v>280</v>
      </c>
      <c r="AR740" s="268">
        <f>Table4[[#This Row],[Liter]]</f>
        <v>179.20000000000002</v>
      </c>
    </row>
    <row r="741" spans="1:44" s="16" customFormat="1" hidden="1" x14ac:dyDescent="0.5">
      <c r="A741" s="3">
        <f t="shared" si="140"/>
        <v>2026</v>
      </c>
      <c r="B741" s="8">
        <f t="shared" si="141"/>
        <v>2</v>
      </c>
      <c r="C741" s="6">
        <v>46069</v>
      </c>
      <c r="D741" s="15">
        <f t="shared" ca="1" si="142"/>
        <v>46097</v>
      </c>
      <c r="E741" s="15" t="str">
        <f t="shared" ca="1" si="143"/>
        <v>1-Months</v>
      </c>
      <c r="F741" s="8" t="str">
        <f>VLOOKUP(N741,Stock[#Data],5,FALSE)</f>
        <v>BE</v>
      </c>
      <c r="G741" s="82" t="s">
        <v>1439</v>
      </c>
      <c r="H741" s="15"/>
      <c r="I741" s="7" t="s">
        <v>104</v>
      </c>
      <c r="J741" s="8" t="str">
        <f>VLOOKUP(I741,Customers[#Data],2,FALSE)</f>
        <v>မမော်</v>
      </c>
      <c r="K741" s="15" t="str">
        <f>VLOOKUP(I741,Customers[#Data],4,FALSE)</f>
        <v>Hpa-an</v>
      </c>
      <c r="L741" s="15" t="str">
        <f>VLOOKUP(I741,Customers[#Data],5,FALSE)</f>
        <v>SemiWholeSales</v>
      </c>
      <c r="M741" s="7" t="s">
        <v>6</v>
      </c>
      <c r="N741" s="7" t="s">
        <v>518</v>
      </c>
      <c r="O741" s="14" t="str">
        <f>VLOOKUP(N741,Stock[#Data],2,FALSE)</f>
        <v>"ဇေ" ကော်ဘူး (1 Liter)</v>
      </c>
      <c r="P741" s="44">
        <f>VLOOKUP(N741,Stock[#Data],3,FALSE)</f>
        <v>1</v>
      </c>
      <c r="Q741" s="3">
        <f>VLOOKUP(N741,Stock[#Data],4,FALSE)</f>
        <v>12</v>
      </c>
      <c r="R741" s="11"/>
      <c r="S741" s="45">
        <f>IFERROR(Table4[[#This Row],[Bottle]]/Table4[[#This Row],[ပါဝင်မှု]]+Table4[[#This Row],[SalesPK]],0)</f>
        <v>100</v>
      </c>
      <c r="T741" s="12">
        <v>100</v>
      </c>
      <c r="U741" s="10">
        <f>Table4[[#This Row],[ပါဝင်မှု]]*Table4[[#This Row],[SalesPK]]+Table4[[#This Row],[Bottle]]</f>
        <v>1200</v>
      </c>
      <c r="V741" s="10">
        <f>Table4[[#This Row],[SalesBot]]*Table4[[#This Row],[ML]]</f>
        <v>1200</v>
      </c>
      <c r="W741" s="1">
        <f>VLOOKUP(N741,Stock[#Data],6,FALSE)</f>
        <v>1675</v>
      </c>
      <c r="X741" s="8">
        <f>+Table4[[#This Row],[SalesBot]]*Table4[[#This Row],[နှုံး]]</f>
        <v>2010000</v>
      </c>
      <c r="Y741" s="12"/>
      <c r="Z741" s="12"/>
      <c r="AA741" s="12"/>
      <c r="AB741" s="9"/>
      <c r="AC741" s="12"/>
      <c r="AD741" s="9"/>
      <c r="AE741" s="12"/>
      <c r="AF74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2010000</v>
      </c>
      <c r="AG741" s="24"/>
      <c r="AH741" s="266">
        <f>Table4[[#This Row],[Date]]</f>
        <v>46069</v>
      </c>
      <c r="AI741" s="264" t="str">
        <f t="shared" ref="AI741:AI804" si="144">TEXT(AH741,"mmm")</f>
        <v>Feb</v>
      </c>
      <c r="AJ741" s="264" t="str">
        <f t="shared" ref="AJ741:AJ804" si="145">TEXT(AH741,"yyyy")</f>
        <v>2026</v>
      </c>
      <c r="AK741" s="270" t="str">
        <f>Table4[[#This Row],[ကုန်သည်အမည်]]</f>
        <v>မမော်</v>
      </c>
      <c r="AL741" s="270" t="str">
        <f>Table4[[#This Row],[Township]]</f>
        <v>Hpa-an</v>
      </c>
      <c r="AM741" s="271" t="str">
        <f>Table4[[#This Row],[WholeSales]]</f>
        <v>SemiWholeSales</v>
      </c>
      <c r="AN741" s="272" t="str">
        <f>Table4[[#This Row],[Particular]]</f>
        <v>ကုန်ရောင်း(လက်ငင်း)</v>
      </c>
      <c r="AO741" s="273" t="str">
        <f>Table4[[#This Row],[StockName]]</f>
        <v>"ဇေ" ကော်ဘူး (1 Liter)</v>
      </c>
      <c r="AP741" s="268">
        <f>Table4[[#This Row],[Parking]]</f>
        <v>100</v>
      </c>
      <c r="AQ741" s="268">
        <f>Table4[[#This Row],[SalesBot]]</f>
        <v>1200</v>
      </c>
      <c r="AR741" s="268">
        <f>Table4[[#This Row],[Liter]]</f>
        <v>1200</v>
      </c>
    </row>
    <row r="742" spans="1:44" s="16" customFormat="1" hidden="1" x14ac:dyDescent="0.5">
      <c r="A742" s="3">
        <f t="shared" si="140"/>
        <v>2026</v>
      </c>
      <c r="B742" s="8">
        <f t="shared" si="141"/>
        <v>2</v>
      </c>
      <c r="C742" s="6">
        <v>46069</v>
      </c>
      <c r="D742" s="15">
        <f t="shared" ca="1" si="142"/>
        <v>46097</v>
      </c>
      <c r="E742" s="15" t="str">
        <f t="shared" ca="1" si="143"/>
        <v>1-Months</v>
      </c>
      <c r="F742" s="8" t="str">
        <f>VLOOKUP(N742,Stock[#Data],5,FALSE)</f>
        <v>BE</v>
      </c>
      <c r="G742" s="82" t="s">
        <v>1439</v>
      </c>
      <c r="H742" s="15"/>
      <c r="I742" s="7" t="s">
        <v>104</v>
      </c>
      <c r="J742" s="8" t="str">
        <f>VLOOKUP(I742,Customers[#Data],2,FALSE)</f>
        <v>မမော်</v>
      </c>
      <c r="K742" s="15" t="str">
        <f>VLOOKUP(I742,Customers[#Data],4,FALSE)</f>
        <v>Hpa-an</v>
      </c>
      <c r="L742" s="15" t="str">
        <f>VLOOKUP(I742,Customers[#Data],5,FALSE)</f>
        <v>SemiWholeSales</v>
      </c>
      <c r="M742" s="7" t="s">
        <v>6</v>
      </c>
      <c r="N742" s="7" t="s">
        <v>527</v>
      </c>
      <c r="O742" s="14" t="str">
        <f>VLOOKUP(N742,Stock[#Data],2,FALSE)</f>
        <v>"ဇေ" ကော်ဘူး (0.35Liter)</v>
      </c>
      <c r="P742" s="44">
        <f>VLOOKUP(N742,Stock[#Data],3,FALSE)</f>
        <v>0.35</v>
      </c>
      <c r="Q742" s="3">
        <f>VLOOKUP(N742,Stock[#Data],4,FALSE)</f>
        <v>40</v>
      </c>
      <c r="R742" s="11"/>
      <c r="S742" s="45">
        <f>IFERROR(Table4[[#This Row],[Bottle]]/Table4[[#This Row],[ပါဝင်မှု]]+Table4[[#This Row],[SalesPK]],0)</f>
        <v>5</v>
      </c>
      <c r="T742" s="12">
        <v>5</v>
      </c>
      <c r="U742" s="10">
        <f>Table4[[#This Row],[ပါဝင်မှု]]*Table4[[#This Row],[SalesPK]]+Table4[[#This Row],[Bottle]]</f>
        <v>200</v>
      </c>
      <c r="V742" s="10">
        <f>Table4[[#This Row],[SalesBot]]*Table4[[#This Row],[ML]]</f>
        <v>70</v>
      </c>
      <c r="W742" s="1">
        <f>VLOOKUP(N742,Stock[#Data],6,FALSE)</f>
        <v>780</v>
      </c>
      <c r="X742" s="8">
        <f>+Table4[[#This Row],[SalesBot]]*Table4[[#This Row],[နှုံး]]</f>
        <v>156000</v>
      </c>
      <c r="Y742" s="12"/>
      <c r="Z742" s="12"/>
      <c r="AA742" s="12"/>
      <c r="AB742" s="9"/>
      <c r="AC742" s="12"/>
      <c r="AD742" s="9"/>
      <c r="AE742" s="12"/>
      <c r="AF74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156000</v>
      </c>
      <c r="AG742" s="24"/>
      <c r="AH742" s="266">
        <f>Table4[[#This Row],[Date]]</f>
        <v>46069</v>
      </c>
      <c r="AI742" s="264" t="str">
        <f t="shared" si="144"/>
        <v>Feb</v>
      </c>
      <c r="AJ742" s="264" t="str">
        <f t="shared" si="145"/>
        <v>2026</v>
      </c>
      <c r="AK742" s="270" t="str">
        <f>Table4[[#This Row],[ကုန်သည်အမည်]]</f>
        <v>မမော်</v>
      </c>
      <c r="AL742" s="270" t="str">
        <f>Table4[[#This Row],[Township]]</f>
        <v>Hpa-an</v>
      </c>
      <c r="AM742" s="271" t="str">
        <f>Table4[[#This Row],[WholeSales]]</f>
        <v>SemiWholeSales</v>
      </c>
      <c r="AN742" s="272" t="str">
        <f>Table4[[#This Row],[Particular]]</f>
        <v>ကုန်ရောင်း(လက်ငင်း)</v>
      </c>
      <c r="AO742" s="273" t="str">
        <f>Table4[[#This Row],[StockName]]</f>
        <v>"ဇေ" ကော်ဘူး (0.35Liter)</v>
      </c>
      <c r="AP742" s="268">
        <f>Table4[[#This Row],[Parking]]</f>
        <v>5</v>
      </c>
      <c r="AQ742" s="268">
        <f>Table4[[#This Row],[SalesBot]]</f>
        <v>200</v>
      </c>
      <c r="AR742" s="268">
        <f>Table4[[#This Row],[Liter]]</f>
        <v>70</v>
      </c>
    </row>
    <row r="743" spans="1:44" s="16" customFormat="1" hidden="1" x14ac:dyDescent="0.5">
      <c r="A743" s="3">
        <f>YEAR(C743)</f>
        <v>2026</v>
      </c>
      <c r="B743" s="8">
        <f>MONTH(C743)</f>
        <v>2</v>
      </c>
      <c r="C743" s="6">
        <v>46069</v>
      </c>
      <c r="D743" s="15">
        <f ca="1">TODAY()</f>
        <v>46097</v>
      </c>
      <c r="E743" s="15" t="str">
        <f ca="1">DATEDIF(C743,D743,"M")&amp;"-Months"</f>
        <v>1-Months</v>
      </c>
      <c r="F743" s="8" t="str">
        <f>VLOOKUP(N743,Stock[#Data],5,FALSE)</f>
        <v>BE</v>
      </c>
      <c r="G743" s="82" t="s">
        <v>1439</v>
      </c>
      <c r="H743" s="15"/>
      <c r="I743" s="7" t="s">
        <v>104</v>
      </c>
      <c r="J743" s="8" t="str">
        <f>VLOOKUP(I743,Customers[#Data],2,FALSE)</f>
        <v>မမော်</v>
      </c>
      <c r="K743" s="15" t="str">
        <f>VLOOKUP(I743,Customers[#Data],4,FALSE)</f>
        <v>Hpa-an</v>
      </c>
      <c r="L743" s="15" t="str">
        <f>VLOOKUP(I743,Customers[#Data],5,FALSE)</f>
        <v>SemiWholeSales</v>
      </c>
      <c r="M743" s="7" t="s">
        <v>9</v>
      </c>
      <c r="N743" s="7" t="s">
        <v>516</v>
      </c>
      <c r="O743" s="14" t="str">
        <f>VLOOKUP(N743,Stock[#Data],2,FALSE)</f>
        <v>ဇေ Vodka</v>
      </c>
      <c r="P743" s="44">
        <f>VLOOKUP(N743,Stock[#Data],3,FALSE)</f>
        <v>0.64</v>
      </c>
      <c r="Q743" s="3">
        <f>VLOOKUP(N743,Stock[#Data],4,FALSE)</f>
        <v>14</v>
      </c>
      <c r="R743" s="11">
        <v>1</v>
      </c>
      <c r="S743" s="45">
        <f>IFERROR(Table4[[#This Row],[Bottle]]/Table4[[#This Row],[ပါဝင်မှု]]+Table4[[#This Row],[SalesPK]],0)</f>
        <v>7.1428571428571425E-2</v>
      </c>
      <c r="T743" s="12"/>
      <c r="U743" s="10">
        <f>Table4[[#This Row],[ပါဝင်မှု]]*Table4[[#This Row],[SalesPK]]+Table4[[#This Row],[Bottle]]</f>
        <v>1</v>
      </c>
      <c r="V743" s="10">
        <f>Table4[[#This Row],[SalesBot]]*Table4[[#This Row],[ML]]</f>
        <v>0.64</v>
      </c>
      <c r="W743" s="1">
        <f>VLOOKUP(N743,Stock[#Data],6,FALSE)</f>
        <v>1400</v>
      </c>
      <c r="X743" s="8">
        <f>+Table4[[#This Row],[SalesBot]]*Table4[[#This Row],[နှုံး]]</f>
        <v>1400</v>
      </c>
      <c r="Y743" s="12"/>
      <c r="Z743" s="12"/>
      <c r="AA743" s="12"/>
      <c r="AB743" s="9"/>
      <c r="AC743" s="12"/>
      <c r="AD743" s="9"/>
      <c r="AE743" s="12"/>
      <c r="AF74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1400</v>
      </c>
      <c r="AG743" s="24"/>
      <c r="AH743" s="266">
        <f>Table4[[#This Row],[Date]]</f>
        <v>46069</v>
      </c>
      <c r="AI743" s="264" t="str">
        <f t="shared" si="144"/>
        <v>Feb</v>
      </c>
      <c r="AJ743" s="264" t="str">
        <f t="shared" si="145"/>
        <v>2026</v>
      </c>
      <c r="AK743" s="270" t="str">
        <f>Table4[[#This Row],[ကုန်သည်အမည်]]</f>
        <v>မမော်</v>
      </c>
      <c r="AL743" s="270" t="str">
        <f>Table4[[#This Row],[Township]]</f>
        <v>Hpa-an</v>
      </c>
      <c r="AM743" s="271" t="str">
        <f>Table4[[#This Row],[WholeSales]]</f>
        <v>SemiWholeSales</v>
      </c>
      <c r="AN743" s="272" t="str">
        <f>Table4[[#This Row],[Particular]]</f>
        <v>လက်ဆောင်</v>
      </c>
      <c r="AO743" s="273" t="str">
        <f>Table4[[#This Row],[StockName]]</f>
        <v>ဇေ Vodka</v>
      </c>
      <c r="AP743" s="268">
        <f>Table4[[#This Row],[Parking]]</f>
        <v>7.1428571428571425E-2</v>
      </c>
      <c r="AQ743" s="268">
        <f>Table4[[#This Row],[SalesBot]]</f>
        <v>1</v>
      </c>
      <c r="AR743" s="268">
        <f>Table4[[#This Row],[Liter]]</f>
        <v>0.64</v>
      </c>
    </row>
    <row r="744" spans="1:44" s="16" customFormat="1" hidden="1" x14ac:dyDescent="0.5">
      <c r="A744" s="3">
        <f t="shared" si="140"/>
        <v>2026</v>
      </c>
      <c r="B744" s="8">
        <f t="shared" si="141"/>
        <v>2</v>
      </c>
      <c r="C744" s="6">
        <v>46069</v>
      </c>
      <c r="D744" s="15">
        <f t="shared" ca="1" si="142"/>
        <v>46097</v>
      </c>
      <c r="E744" s="15" t="str">
        <f t="shared" ca="1" si="143"/>
        <v>1-Months</v>
      </c>
      <c r="F744" s="8" t="str">
        <f>VLOOKUP(N744,Stock[#Data],5,FALSE)</f>
        <v>BE</v>
      </c>
      <c r="G744" s="82" t="s">
        <v>1440</v>
      </c>
      <c r="H744" s="15"/>
      <c r="I744" s="7" t="s">
        <v>838</v>
      </c>
      <c r="J744" s="8" t="str">
        <f>VLOOKUP(I744,Customers[#Data],2,FALSE)</f>
        <v>လင်းလင်း</v>
      </c>
      <c r="K744" s="15" t="str">
        <f>VLOOKUP(I744,Customers[#Data],4,FALSE)</f>
        <v>Hpa-an</v>
      </c>
      <c r="L744" s="15" t="str">
        <f>VLOOKUP(I744,Customers[#Data],5,FALSE)</f>
        <v>Van Sales</v>
      </c>
      <c r="M744" s="7" t="s">
        <v>6</v>
      </c>
      <c r="N744" s="7" t="s">
        <v>518</v>
      </c>
      <c r="O744" s="14" t="str">
        <f>VLOOKUP(N744,Stock[#Data],2,FALSE)</f>
        <v>"ဇေ" ကော်ဘူး (1 Liter)</v>
      </c>
      <c r="P744" s="44">
        <f>VLOOKUP(N744,Stock[#Data],3,FALSE)</f>
        <v>1</v>
      </c>
      <c r="Q744" s="3">
        <f>VLOOKUP(N744,Stock[#Data],4,FALSE)</f>
        <v>12</v>
      </c>
      <c r="R744" s="11"/>
      <c r="S744" s="45">
        <f>IFERROR(Table4[[#This Row],[Bottle]]/Table4[[#This Row],[ပါဝင်မှု]]+Table4[[#This Row],[SalesPK]],0)</f>
        <v>50</v>
      </c>
      <c r="T744" s="12">
        <v>50</v>
      </c>
      <c r="U744" s="10">
        <f>Table4[[#This Row],[ပါဝင်မှု]]*Table4[[#This Row],[SalesPK]]+Table4[[#This Row],[Bottle]]</f>
        <v>600</v>
      </c>
      <c r="V744" s="10">
        <f>Table4[[#This Row],[SalesBot]]*Table4[[#This Row],[ML]]</f>
        <v>600</v>
      </c>
      <c r="W744" s="1">
        <f>VLOOKUP(N744,Stock[#Data],6,FALSE)</f>
        <v>1675</v>
      </c>
      <c r="X744" s="8">
        <f>+Table4[[#This Row],[SalesBot]]*Table4[[#This Row],[နှုံး]]</f>
        <v>1005000</v>
      </c>
      <c r="Y744" s="12"/>
      <c r="Z744" s="12"/>
      <c r="AA744" s="12"/>
      <c r="AB744" s="9"/>
      <c r="AC744" s="12"/>
      <c r="AD744" s="9"/>
      <c r="AE744" s="12"/>
      <c r="AF74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1005000</v>
      </c>
      <c r="AG744" s="24"/>
      <c r="AH744" s="266">
        <f>Table4[[#This Row],[Date]]</f>
        <v>46069</v>
      </c>
      <c r="AI744" s="264" t="str">
        <f t="shared" si="144"/>
        <v>Feb</v>
      </c>
      <c r="AJ744" s="264" t="str">
        <f t="shared" si="145"/>
        <v>2026</v>
      </c>
      <c r="AK744" s="270" t="str">
        <f>Table4[[#This Row],[ကုန်သည်အမည်]]</f>
        <v>လင်းလင်း</v>
      </c>
      <c r="AL744" s="270" t="str">
        <f>Table4[[#This Row],[Township]]</f>
        <v>Hpa-an</v>
      </c>
      <c r="AM744" s="271" t="str">
        <f>Table4[[#This Row],[WholeSales]]</f>
        <v>Van Sales</v>
      </c>
      <c r="AN744" s="272" t="str">
        <f>Table4[[#This Row],[Particular]]</f>
        <v>ကုန်ရောင်း(လက်ငင်း)</v>
      </c>
      <c r="AO744" s="273" t="str">
        <f>Table4[[#This Row],[StockName]]</f>
        <v>"ဇေ" ကော်ဘူး (1 Liter)</v>
      </c>
      <c r="AP744" s="268">
        <f>Table4[[#This Row],[Parking]]</f>
        <v>50</v>
      </c>
      <c r="AQ744" s="268">
        <f>Table4[[#This Row],[SalesBot]]</f>
        <v>600</v>
      </c>
      <c r="AR744" s="268">
        <f>Table4[[#This Row],[Liter]]</f>
        <v>600</v>
      </c>
    </row>
    <row r="745" spans="1:44" s="16" customFormat="1" hidden="1" x14ac:dyDescent="0.5">
      <c r="A745" s="3">
        <f t="shared" si="140"/>
        <v>2026</v>
      </c>
      <c r="B745" s="8">
        <f t="shared" si="141"/>
        <v>2</v>
      </c>
      <c r="C745" s="6">
        <v>46069</v>
      </c>
      <c r="D745" s="15">
        <f t="shared" ca="1" si="142"/>
        <v>46097</v>
      </c>
      <c r="E745" s="15" t="str">
        <f t="shared" ca="1" si="143"/>
        <v>1-Months</v>
      </c>
      <c r="F745" s="8" t="str">
        <f>VLOOKUP(N745,Stock[#Data],5,FALSE)</f>
        <v>BE</v>
      </c>
      <c r="G745" s="82" t="s">
        <v>1440</v>
      </c>
      <c r="H745" s="15"/>
      <c r="I745" s="7" t="s">
        <v>838</v>
      </c>
      <c r="J745" s="8" t="str">
        <f>VLOOKUP(I745,Customers[#Data],2,FALSE)</f>
        <v>လင်းလင်း</v>
      </c>
      <c r="K745" s="15" t="str">
        <f>VLOOKUP(I745,Customers[#Data],4,FALSE)</f>
        <v>Hpa-an</v>
      </c>
      <c r="L745" s="15" t="str">
        <f>VLOOKUP(I745,Customers[#Data],5,FALSE)</f>
        <v>Van Sales</v>
      </c>
      <c r="M745" s="7" t="s">
        <v>6</v>
      </c>
      <c r="N745" s="7" t="s">
        <v>527</v>
      </c>
      <c r="O745" s="14" t="str">
        <f>VLOOKUP(N745,Stock[#Data],2,FALSE)</f>
        <v>"ဇေ" ကော်ဘူး (0.35Liter)</v>
      </c>
      <c r="P745" s="44">
        <f>VLOOKUP(N745,Stock[#Data],3,FALSE)</f>
        <v>0.35</v>
      </c>
      <c r="Q745" s="3">
        <f>VLOOKUP(N745,Stock[#Data],4,FALSE)</f>
        <v>40</v>
      </c>
      <c r="R745" s="11"/>
      <c r="S745" s="45">
        <f>IFERROR(Table4[[#This Row],[Bottle]]/Table4[[#This Row],[ပါဝင်မှု]]+Table4[[#This Row],[SalesPK]],0)</f>
        <v>5</v>
      </c>
      <c r="T745" s="12">
        <v>5</v>
      </c>
      <c r="U745" s="10">
        <f>Table4[[#This Row],[ပါဝင်မှု]]*Table4[[#This Row],[SalesPK]]+Table4[[#This Row],[Bottle]]</f>
        <v>200</v>
      </c>
      <c r="V745" s="10">
        <f>Table4[[#This Row],[SalesBot]]*Table4[[#This Row],[ML]]</f>
        <v>70</v>
      </c>
      <c r="W745" s="1">
        <f>VLOOKUP(N745,Stock[#Data],6,FALSE)</f>
        <v>780</v>
      </c>
      <c r="X745" s="8">
        <f>+Table4[[#This Row],[SalesBot]]*Table4[[#This Row],[နှုံး]]</f>
        <v>156000</v>
      </c>
      <c r="Y745" s="12"/>
      <c r="Z745" s="12"/>
      <c r="AA745" s="12"/>
      <c r="AB745" s="9"/>
      <c r="AC745" s="12"/>
      <c r="AD745" s="9"/>
      <c r="AE745" s="12"/>
      <c r="AF74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156000</v>
      </c>
      <c r="AG745" s="24"/>
      <c r="AH745" s="266">
        <f>Table4[[#This Row],[Date]]</f>
        <v>46069</v>
      </c>
      <c r="AI745" s="264" t="str">
        <f t="shared" si="144"/>
        <v>Feb</v>
      </c>
      <c r="AJ745" s="264" t="str">
        <f t="shared" si="145"/>
        <v>2026</v>
      </c>
      <c r="AK745" s="270" t="str">
        <f>Table4[[#This Row],[ကုန်သည်အမည်]]</f>
        <v>လင်းလင်း</v>
      </c>
      <c r="AL745" s="270" t="str">
        <f>Table4[[#This Row],[Township]]</f>
        <v>Hpa-an</v>
      </c>
      <c r="AM745" s="271" t="str">
        <f>Table4[[#This Row],[WholeSales]]</f>
        <v>Van Sales</v>
      </c>
      <c r="AN745" s="272" t="str">
        <f>Table4[[#This Row],[Particular]]</f>
        <v>ကုန်ရောင်း(လက်ငင်း)</v>
      </c>
      <c r="AO745" s="273" t="str">
        <f>Table4[[#This Row],[StockName]]</f>
        <v>"ဇေ" ကော်ဘူး (0.35Liter)</v>
      </c>
      <c r="AP745" s="268">
        <f>Table4[[#This Row],[Parking]]</f>
        <v>5</v>
      </c>
      <c r="AQ745" s="268">
        <f>Table4[[#This Row],[SalesBot]]</f>
        <v>200</v>
      </c>
      <c r="AR745" s="268">
        <f>Table4[[#This Row],[Liter]]</f>
        <v>70</v>
      </c>
    </row>
    <row r="746" spans="1:44" s="16" customFormat="1" hidden="1" x14ac:dyDescent="0.5">
      <c r="A746" s="3">
        <f t="shared" si="140"/>
        <v>2026</v>
      </c>
      <c r="B746" s="8">
        <f t="shared" si="141"/>
        <v>2</v>
      </c>
      <c r="C746" s="6">
        <v>46069</v>
      </c>
      <c r="D746" s="15">
        <f t="shared" ca="1" si="142"/>
        <v>46097</v>
      </c>
      <c r="E746" s="15" t="str">
        <f t="shared" ca="1" si="143"/>
        <v>1-Months</v>
      </c>
      <c r="F746" s="8" t="str">
        <f>VLOOKUP(N746,Stock[#Data],5,FALSE)</f>
        <v>BE</v>
      </c>
      <c r="G746" s="82" t="s">
        <v>1441</v>
      </c>
      <c r="H746" s="15"/>
      <c r="I746" s="7" t="s">
        <v>623</v>
      </c>
      <c r="J746" s="8" t="str">
        <f>VLOOKUP(I746,Customers[#Data],2,FALSE)</f>
        <v>တီနားလေး</v>
      </c>
      <c r="K746" s="15" t="str">
        <f>VLOOKUP(I746,Customers[#Data],4,FALSE)</f>
        <v>Hpa-an</v>
      </c>
      <c r="L746" s="15" t="str">
        <f>VLOOKUP(I746,Customers[#Data],5,FALSE)</f>
        <v>Van Sales</v>
      </c>
      <c r="M746" s="7" t="s">
        <v>6</v>
      </c>
      <c r="N746" s="7" t="s">
        <v>518</v>
      </c>
      <c r="O746" s="14" t="str">
        <f>VLOOKUP(N746,Stock[#Data],2,FALSE)</f>
        <v>"ဇေ" ကော်ဘူး (1 Liter)</v>
      </c>
      <c r="P746" s="44">
        <f>VLOOKUP(N746,Stock[#Data],3,FALSE)</f>
        <v>1</v>
      </c>
      <c r="Q746" s="3">
        <f>VLOOKUP(N746,Stock[#Data],4,FALSE)</f>
        <v>12</v>
      </c>
      <c r="R746" s="11"/>
      <c r="S746" s="45">
        <f>IFERROR(Table4[[#This Row],[Bottle]]/Table4[[#This Row],[ပါဝင်မှု]]+Table4[[#This Row],[SalesPK]],0)</f>
        <v>20</v>
      </c>
      <c r="T746" s="12">
        <v>20</v>
      </c>
      <c r="U746" s="10">
        <f>Table4[[#This Row],[ပါဝင်မှု]]*Table4[[#This Row],[SalesPK]]+Table4[[#This Row],[Bottle]]</f>
        <v>240</v>
      </c>
      <c r="V746" s="10">
        <f>Table4[[#This Row],[SalesBot]]*Table4[[#This Row],[ML]]</f>
        <v>240</v>
      </c>
      <c r="W746" s="1">
        <f>VLOOKUP(N746,Stock[#Data],6,FALSE)</f>
        <v>1675</v>
      </c>
      <c r="X746" s="8">
        <f>+Table4[[#This Row],[SalesBot]]*Table4[[#This Row],[နှုံး]]</f>
        <v>402000</v>
      </c>
      <c r="Y746" s="12"/>
      <c r="Z746" s="12"/>
      <c r="AA746" s="12"/>
      <c r="AB746" s="9"/>
      <c r="AC746" s="12"/>
      <c r="AD746" s="9"/>
      <c r="AE746" s="12"/>
      <c r="AF74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402000</v>
      </c>
      <c r="AG746" s="24"/>
      <c r="AH746" s="266">
        <f>Table4[[#This Row],[Date]]</f>
        <v>46069</v>
      </c>
      <c r="AI746" s="264" t="str">
        <f t="shared" si="144"/>
        <v>Feb</v>
      </c>
      <c r="AJ746" s="264" t="str">
        <f t="shared" si="145"/>
        <v>2026</v>
      </c>
      <c r="AK746" s="270" t="str">
        <f>Table4[[#This Row],[ကုန်သည်အမည်]]</f>
        <v>တီနားလေး</v>
      </c>
      <c r="AL746" s="270" t="str">
        <f>Table4[[#This Row],[Township]]</f>
        <v>Hpa-an</v>
      </c>
      <c r="AM746" s="271" t="str">
        <f>Table4[[#This Row],[WholeSales]]</f>
        <v>Van Sales</v>
      </c>
      <c r="AN746" s="272" t="str">
        <f>Table4[[#This Row],[Particular]]</f>
        <v>ကုန်ရောင်း(လက်ငင်း)</v>
      </c>
      <c r="AO746" s="273" t="str">
        <f>Table4[[#This Row],[StockName]]</f>
        <v>"ဇေ" ကော်ဘူး (1 Liter)</v>
      </c>
      <c r="AP746" s="268">
        <f>Table4[[#This Row],[Parking]]</f>
        <v>20</v>
      </c>
      <c r="AQ746" s="268">
        <f>Table4[[#This Row],[SalesBot]]</f>
        <v>240</v>
      </c>
      <c r="AR746" s="268">
        <f>Table4[[#This Row],[Liter]]</f>
        <v>240</v>
      </c>
    </row>
    <row r="747" spans="1:44" s="16" customFormat="1" hidden="1" x14ac:dyDescent="0.5">
      <c r="A747" s="3">
        <f t="shared" si="140"/>
        <v>2026</v>
      </c>
      <c r="B747" s="8">
        <f t="shared" si="141"/>
        <v>2</v>
      </c>
      <c r="C747" s="6">
        <v>46069</v>
      </c>
      <c r="D747" s="15">
        <f t="shared" ca="1" si="142"/>
        <v>46097</v>
      </c>
      <c r="E747" s="15" t="str">
        <f t="shared" ca="1" si="143"/>
        <v>1-Months</v>
      </c>
      <c r="F747" s="8" t="str">
        <f>VLOOKUP(N747,Stock[#Data],5,FALSE)</f>
        <v>BE</v>
      </c>
      <c r="G747" s="82" t="s">
        <v>1442</v>
      </c>
      <c r="H747" s="15"/>
      <c r="I747" s="7" t="s">
        <v>548</v>
      </c>
      <c r="J747" s="8" t="str">
        <f>VLOOKUP(I747,Customers[#Data],2,FALSE)</f>
        <v>ဦးလှ၀င်း</v>
      </c>
      <c r="K747" s="15" t="str">
        <f>VLOOKUP(I747,Customers[#Data],4,FALSE)</f>
        <v>Hpa-an</v>
      </c>
      <c r="L747" s="15" t="str">
        <f>VLOOKUP(I747,Customers[#Data],5,FALSE)</f>
        <v>Mini Whole Sales</v>
      </c>
      <c r="M747" s="7" t="s">
        <v>6</v>
      </c>
      <c r="N747" s="7" t="s">
        <v>518</v>
      </c>
      <c r="O747" s="14" t="str">
        <f>VLOOKUP(N747,Stock[#Data],2,FALSE)</f>
        <v>"ဇေ" ကော်ဘူး (1 Liter)</v>
      </c>
      <c r="P747" s="44">
        <f>VLOOKUP(N747,Stock[#Data],3,FALSE)</f>
        <v>1</v>
      </c>
      <c r="Q747" s="3">
        <f>VLOOKUP(N747,Stock[#Data],4,FALSE)</f>
        <v>12</v>
      </c>
      <c r="R747" s="11"/>
      <c r="S747" s="45">
        <f>IFERROR(Table4[[#This Row],[Bottle]]/Table4[[#This Row],[ပါဝင်မှု]]+Table4[[#This Row],[SalesPK]],0)</f>
        <v>50</v>
      </c>
      <c r="T747" s="12">
        <v>50</v>
      </c>
      <c r="U747" s="10">
        <f>Table4[[#This Row],[ပါဝင်မှု]]*Table4[[#This Row],[SalesPK]]+Table4[[#This Row],[Bottle]]</f>
        <v>600</v>
      </c>
      <c r="V747" s="10">
        <f>Table4[[#This Row],[SalesBot]]*Table4[[#This Row],[ML]]</f>
        <v>600</v>
      </c>
      <c r="W747" s="1">
        <f>VLOOKUP(N747,Stock[#Data],6,FALSE)</f>
        <v>1675</v>
      </c>
      <c r="X747" s="8">
        <f>+Table4[[#This Row],[SalesBot]]*Table4[[#This Row],[နှုံး]]</f>
        <v>1005000</v>
      </c>
      <c r="Y747" s="12"/>
      <c r="Z747" s="12"/>
      <c r="AA747" s="12"/>
      <c r="AB747" s="9"/>
      <c r="AC747" s="12"/>
      <c r="AD747" s="9"/>
      <c r="AE747" s="12"/>
      <c r="AF74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1005000</v>
      </c>
      <c r="AG747" s="24"/>
      <c r="AH747" s="266">
        <f>Table4[[#This Row],[Date]]</f>
        <v>46069</v>
      </c>
      <c r="AI747" s="264" t="str">
        <f t="shared" si="144"/>
        <v>Feb</v>
      </c>
      <c r="AJ747" s="264" t="str">
        <f t="shared" si="145"/>
        <v>2026</v>
      </c>
      <c r="AK747" s="270" t="str">
        <f>Table4[[#This Row],[ကုန်သည်အမည်]]</f>
        <v>ဦးလှ၀င်း</v>
      </c>
      <c r="AL747" s="270" t="str">
        <f>Table4[[#This Row],[Township]]</f>
        <v>Hpa-an</v>
      </c>
      <c r="AM747" s="271" t="str">
        <f>Table4[[#This Row],[WholeSales]]</f>
        <v>Mini Whole Sales</v>
      </c>
      <c r="AN747" s="272" t="str">
        <f>Table4[[#This Row],[Particular]]</f>
        <v>ကုန်ရောင်း(လက်ငင်း)</v>
      </c>
      <c r="AO747" s="273" t="str">
        <f>Table4[[#This Row],[StockName]]</f>
        <v>"ဇေ" ကော်ဘူး (1 Liter)</v>
      </c>
      <c r="AP747" s="268">
        <f>Table4[[#This Row],[Parking]]</f>
        <v>50</v>
      </c>
      <c r="AQ747" s="268">
        <f>Table4[[#This Row],[SalesBot]]</f>
        <v>600</v>
      </c>
      <c r="AR747" s="268">
        <f>Table4[[#This Row],[Liter]]</f>
        <v>600</v>
      </c>
    </row>
    <row r="748" spans="1:44" s="16" customFormat="1" hidden="1" x14ac:dyDescent="0.5">
      <c r="A748" s="3">
        <f t="shared" si="140"/>
        <v>2026</v>
      </c>
      <c r="B748" s="8">
        <f t="shared" si="141"/>
        <v>2</v>
      </c>
      <c r="C748" s="6">
        <v>46069</v>
      </c>
      <c r="D748" s="15">
        <f t="shared" ca="1" si="142"/>
        <v>46097</v>
      </c>
      <c r="E748" s="15" t="str">
        <f t="shared" ca="1" si="143"/>
        <v>1-Months</v>
      </c>
      <c r="F748" s="8" t="str">
        <f>VLOOKUP(N748,Stock[#Data],5,FALSE)</f>
        <v>BE</v>
      </c>
      <c r="G748" s="82" t="s">
        <v>1443</v>
      </c>
      <c r="H748" s="15"/>
      <c r="I748" s="7" t="s">
        <v>110</v>
      </c>
      <c r="J748" s="8" t="str">
        <f>VLOOKUP(I748,Customers[#Data],2,FALSE)</f>
        <v>ပြည့်လျှံ</v>
      </c>
      <c r="K748" s="15" t="str">
        <f>VLOOKUP(I748,Customers[#Data],4,FALSE)</f>
        <v>Maw La Myaing</v>
      </c>
      <c r="L748" s="15" t="str">
        <f>VLOOKUP(I748,Customers[#Data],5,FALSE)</f>
        <v>WholeSales</v>
      </c>
      <c r="M748" s="7" t="s">
        <v>6</v>
      </c>
      <c r="N748" s="7" t="s">
        <v>516</v>
      </c>
      <c r="O748" s="14" t="str">
        <f>VLOOKUP(N748,Stock[#Data],2,FALSE)</f>
        <v>ဇေ Vodka</v>
      </c>
      <c r="P748" s="44">
        <f>VLOOKUP(N748,Stock[#Data],3,FALSE)</f>
        <v>0.64</v>
      </c>
      <c r="Q748" s="3">
        <f>VLOOKUP(N748,Stock[#Data],4,FALSE)</f>
        <v>14</v>
      </c>
      <c r="R748" s="11"/>
      <c r="S748" s="45">
        <f>IFERROR(Table4[[#This Row],[Bottle]]/Table4[[#This Row],[ပါဝင်မှု]]+Table4[[#This Row],[SalesPK]],0)</f>
        <v>100</v>
      </c>
      <c r="T748" s="12">
        <v>100</v>
      </c>
      <c r="U748" s="10">
        <f>Table4[[#This Row],[ပါဝင်မှု]]*Table4[[#This Row],[SalesPK]]+Table4[[#This Row],[Bottle]]</f>
        <v>1400</v>
      </c>
      <c r="V748" s="10">
        <f>Table4[[#This Row],[SalesBot]]*Table4[[#This Row],[ML]]</f>
        <v>896</v>
      </c>
      <c r="W748" s="1">
        <f>VLOOKUP(N748,Stock[#Data],6,FALSE)</f>
        <v>1400</v>
      </c>
      <c r="X748" s="8">
        <f>+Table4[[#This Row],[SalesBot]]*Table4[[#This Row],[နှုံး]]</f>
        <v>1960000</v>
      </c>
      <c r="Y748" s="12"/>
      <c r="Z748" s="12"/>
      <c r="AA748" s="12"/>
      <c r="AB748" s="9"/>
      <c r="AC748" s="12"/>
      <c r="AD748" s="9"/>
      <c r="AE748" s="12"/>
      <c r="AF74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1960000</v>
      </c>
      <c r="AG748" s="24"/>
      <c r="AH748" s="266">
        <f>Table4[[#This Row],[Date]]</f>
        <v>46069</v>
      </c>
      <c r="AI748" s="264" t="str">
        <f t="shared" si="144"/>
        <v>Feb</v>
      </c>
      <c r="AJ748" s="264" t="str">
        <f t="shared" si="145"/>
        <v>2026</v>
      </c>
      <c r="AK748" s="270" t="str">
        <f>Table4[[#This Row],[ကုန်သည်အမည်]]</f>
        <v>ပြည့်လျှံ</v>
      </c>
      <c r="AL748" s="270" t="str">
        <f>Table4[[#This Row],[Township]]</f>
        <v>Maw La Myaing</v>
      </c>
      <c r="AM748" s="271" t="str">
        <f>Table4[[#This Row],[WholeSales]]</f>
        <v>WholeSales</v>
      </c>
      <c r="AN748" s="272" t="str">
        <f>Table4[[#This Row],[Particular]]</f>
        <v>ကုန်ရောင်း(လက်ငင်း)</v>
      </c>
      <c r="AO748" s="273" t="str">
        <f>Table4[[#This Row],[StockName]]</f>
        <v>ဇေ Vodka</v>
      </c>
      <c r="AP748" s="268">
        <f>Table4[[#This Row],[Parking]]</f>
        <v>100</v>
      </c>
      <c r="AQ748" s="268">
        <f>Table4[[#This Row],[SalesBot]]</f>
        <v>1400</v>
      </c>
      <c r="AR748" s="268">
        <f>Table4[[#This Row],[Liter]]</f>
        <v>896</v>
      </c>
    </row>
    <row r="749" spans="1:44" s="16" customFormat="1" hidden="1" x14ac:dyDescent="0.5">
      <c r="A749" s="3">
        <f t="shared" si="140"/>
        <v>2026</v>
      </c>
      <c r="B749" s="8">
        <f t="shared" si="141"/>
        <v>2</v>
      </c>
      <c r="C749" s="6">
        <v>46069</v>
      </c>
      <c r="D749" s="15">
        <f t="shared" ca="1" si="142"/>
        <v>46097</v>
      </c>
      <c r="E749" s="15" t="str">
        <f t="shared" ca="1" si="143"/>
        <v>1-Months</v>
      </c>
      <c r="F749" s="8" t="str">
        <f>VLOOKUP(N749,Stock[#Data],5,FALSE)</f>
        <v>BE</v>
      </c>
      <c r="G749" s="82" t="s">
        <v>1443</v>
      </c>
      <c r="H749" s="15"/>
      <c r="I749" s="7" t="s">
        <v>110</v>
      </c>
      <c r="J749" s="8" t="str">
        <f>VLOOKUP(I749,Customers[#Data],2,FALSE)</f>
        <v>ပြည့်လျှံ</v>
      </c>
      <c r="K749" s="15" t="str">
        <f>VLOOKUP(I749,Customers[#Data],4,FALSE)</f>
        <v>Maw La Myaing</v>
      </c>
      <c r="L749" s="15" t="str">
        <f>VLOOKUP(I749,Customers[#Data],5,FALSE)</f>
        <v>WholeSales</v>
      </c>
      <c r="M749" s="7" t="s">
        <v>6</v>
      </c>
      <c r="N749" s="7" t="s">
        <v>517</v>
      </c>
      <c r="O749" s="14" t="str">
        <f>VLOOKUP(N749,Stock[#Data],2,FALSE)</f>
        <v>ဇေယျဝတီ Red (1 Liter) 30%</v>
      </c>
      <c r="P749" s="44">
        <f>VLOOKUP(N749,Stock[#Data],3,FALSE)</f>
        <v>1</v>
      </c>
      <c r="Q749" s="3">
        <f>VLOOKUP(N749,Stock[#Data],4,FALSE)</f>
        <v>12</v>
      </c>
      <c r="R749" s="11"/>
      <c r="S749" s="45">
        <f>IFERROR(Table4[[#This Row],[Bottle]]/Table4[[#This Row],[ပါဝင်မှု]]+Table4[[#This Row],[SalesPK]],0)</f>
        <v>200</v>
      </c>
      <c r="T749" s="12">
        <v>200</v>
      </c>
      <c r="U749" s="10">
        <f>Table4[[#This Row],[ပါဝင်မှု]]*Table4[[#This Row],[SalesPK]]+Table4[[#This Row],[Bottle]]</f>
        <v>2400</v>
      </c>
      <c r="V749" s="10">
        <f>Table4[[#This Row],[SalesBot]]*Table4[[#This Row],[ML]]</f>
        <v>2400</v>
      </c>
      <c r="W749" s="1">
        <f>VLOOKUP(N749,Stock[#Data],6,FALSE)</f>
        <v>1710</v>
      </c>
      <c r="X749" s="8">
        <f>+Table4[[#This Row],[SalesBot]]*Table4[[#This Row],[နှုံး]]</f>
        <v>4104000</v>
      </c>
      <c r="Y749" s="12"/>
      <c r="Z749" s="12"/>
      <c r="AA749" s="12"/>
      <c r="AB749" s="9"/>
      <c r="AC749" s="12"/>
      <c r="AD749" s="9"/>
      <c r="AE749" s="12"/>
      <c r="AF74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4104000</v>
      </c>
      <c r="AG749" s="24"/>
      <c r="AH749" s="266">
        <f>Table4[[#This Row],[Date]]</f>
        <v>46069</v>
      </c>
      <c r="AI749" s="264" t="str">
        <f t="shared" si="144"/>
        <v>Feb</v>
      </c>
      <c r="AJ749" s="264" t="str">
        <f t="shared" si="145"/>
        <v>2026</v>
      </c>
      <c r="AK749" s="270" t="str">
        <f>Table4[[#This Row],[ကုန်သည်အမည်]]</f>
        <v>ပြည့်လျှံ</v>
      </c>
      <c r="AL749" s="270" t="str">
        <f>Table4[[#This Row],[Township]]</f>
        <v>Maw La Myaing</v>
      </c>
      <c r="AM749" s="271" t="str">
        <f>Table4[[#This Row],[WholeSales]]</f>
        <v>WholeSales</v>
      </c>
      <c r="AN749" s="272" t="str">
        <f>Table4[[#This Row],[Particular]]</f>
        <v>ကုန်ရောင်း(လက်ငင်း)</v>
      </c>
      <c r="AO749" s="273" t="str">
        <f>Table4[[#This Row],[StockName]]</f>
        <v>ဇေယျဝတီ Red (1 Liter) 30%</v>
      </c>
      <c r="AP749" s="268">
        <f>Table4[[#This Row],[Parking]]</f>
        <v>200</v>
      </c>
      <c r="AQ749" s="268">
        <f>Table4[[#This Row],[SalesBot]]</f>
        <v>2400</v>
      </c>
      <c r="AR749" s="268">
        <f>Table4[[#This Row],[Liter]]</f>
        <v>2400</v>
      </c>
    </row>
    <row r="750" spans="1:44" s="16" customFormat="1" hidden="1" x14ac:dyDescent="0.5">
      <c r="A750" s="3">
        <f t="shared" si="140"/>
        <v>2026</v>
      </c>
      <c r="B750" s="8">
        <f t="shared" si="141"/>
        <v>2</v>
      </c>
      <c r="C750" s="6">
        <v>46069</v>
      </c>
      <c r="D750" s="15">
        <f t="shared" ca="1" si="142"/>
        <v>46097</v>
      </c>
      <c r="E750" s="15" t="str">
        <f t="shared" ca="1" si="143"/>
        <v>1-Months</v>
      </c>
      <c r="F750" s="8" t="str">
        <f>VLOOKUP(N750,Stock[#Data],5,FALSE)</f>
        <v>BE</v>
      </c>
      <c r="G750" s="82" t="s">
        <v>1444</v>
      </c>
      <c r="H750" s="15"/>
      <c r="I750" s="7" t="s">
        <v>106</v>
      </c>
      <c r="J750" s="8" t="str">
        <f>VLOOKUP(I750,Customers[#Data],2,FALSE)</f>
        <v>ကိုမျိုးအောင်</v>
      </c>
      <c r="K750" s="15" t="str">
        <f>VLOOKUP(I750,Customers[#Data],4,FALSE)</f>
        <v>Maw La Myaing</v>
      </c>
      <c r="L750" s="15" t="str">
        <f>VLOOKUP(I750,Customers[#Data],5,FALSE)</f>
        <v>WholeSales</v>
      </c>
      <c r="M750" s="7" t="s">
        <v>6</v>
      </c>
      <c r="N750" s="7" t="s">
        <v>517</v>
      </c>
      <c r="O750" s="14" t="str">
        <f>VLOOKUP(N750,Stock[#Data],2,FALSE)</f>
        <v>ဇေယျဝတီ Red (1 Liter) 30%</v>
      </c>
      <c r="P750" s="44">
        <f>VLOOKUP(N750,Stock[#Data],3,FALSE)</f>
        <v>1</v>
      </c>
      <c r="Q750" s="3">
        <f>VLOOKUP(N750,Stock[#Data],4,FALSE)</f>
        <v>12</v>
      </c>
      <c r="R750" s="11"/>
      <c r="S750" s="45">
        <f>IFERROR(Table4[[#This Row],[Bottle]]/Table4[[#This Row],[ပါဝင်မှု]]+Table4[[#This Row],[SalesPK]],0)</f>
        <v>20</v>
      </c>
      <c r="T750" s="12">
        <v>20</v>
      </c>
      <c r="U750" s="10">
        <f>Table4[[#This Row],[ပါဝင်မှု]]*Table4[[#This Row],[SalesPK]]+Table4[[#This Row],[Bottle]]</f>
        <v>240</v>
      </c>
      <c r="V750" s="10">
        <f>Table4[[#This Row],[SalesBot]]*Table4[[#This Row],[ML]]</f>
        <v>240</v>
      </c>
      <c r="W750" s="1">
        <f>VLOOKUP(N750,Stock[#Data],6,FALSE)</f>
        <v>1710</v>
      </c>
      <c r="X750" s="8">
        <f>+Table4[[#This Row],[SalesBot]]*Table4[[#This Row],[နှုံး]]</f>
        <v>410400</v>
      </c>
      <c r="Y750" s="12"/>
      <c r="Z750" s="12"/>
      <c r="AA750" s="12"/>
      <c r="AB750" s="9"/>
      <c r="AC750" s="12"/>
      <c r="AD750" s="9"/>
      <c r="AE750" s="12"/>
      <c r="AF75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410400</v>
      </c>
      <c r="AG750" s="24"/>
      <c r="AH750" s="266">
        <f>Table4[[#This Row],[Date]]</f>
        <v>46069</v>
      </c>
      <c r="AI750" s="264" t="str">
        <f t="shared" si="144"/>
        <v>Feb</v>
      </c>
      <c r="AJ750" s="264" t="str">
        <f t="shared" si="145"/>
        <v>2026</v>
      </c>
      <c r="AK750" s="270" t="str">
        <f>Table4[[#This Row],[ကုန်သည်အမည်]]</f>
        <v>ကိုမျိုးအောင်</v>
      </c>
      <c r="AL750" s="270" t="str">
        <f>Table4[[#This Row],[Township]]</f>
        <v>Maw La Myaing</v>
      </c>
      <c r="AM750" s="271" t="str">
        <f>Table4[[#This Row],[WholeSales]]</f>
        <v>WholeSales</v>
      </c>
      <c r="AN750" s="272" t="str">
        <f>Table4[[#This Row],[Particular]]</f>
        <v>ကုန်ရောင်း(လက်ငင်း)</v>
      </c>
      <c r="AO750" s="273" t="str">
        <f>Table4[[#This Row],[StockName]]</f>
        <v>ဇေယျဝတီ Red (1 Liter) 30%</v>
      </c>
      <c r="AP750" s="268">
        <f>Table4[[#This Row],[Parking]]</f>
        <v>20</v>
      </c>
      <c r="AQ750" s="268">
        <f>Table4[[#This Row],[SalesBot]]</f>
        <v>240</v>
      </c>
      <c r="AR750" s="268">
        <f>Table4[[#This Row],[Liter]]</f>
        <v>240</v>
      </c>
    </row>
    <row r="751" spans="1:44" s="16" customFormat="1" hidden="1" x14ac:dyDescent="0.5">
      <c r="A751" s="3">
        <f t="shared" si="140"/>
        <v>2026</v>
      </c>
      <c r="B751" s="8">
        <f t="shared" si="141"/>
        <v>2</v>
      </c>
      <c r="C751" s="6">
        <v>46069</v>
      </c>
      <c r="D751" s="15">
        <f t="shared" ca="1" si="142"/>
        <v>46097</v>
      </c>
      <c r="E751" s="15" t="str">
        <f t="shared" ca="1" si="143"/>
        <v>1-Months</v>
      </c>
      <c r="F751" s="8" t="str">
        <f>VLOOKUP(N751,Stock[#Data],5,FALSE)</f>
        <v>BE</v>
      </c>
      <c r="G751" s="82" t="s">
        <v>1445</v>
      </c>
      <c r="H751" s="15"/>
      <c r="I751" s="7" t="s">
        <v>848</v>
      </c>
      <c r="J751" s="8" t="str">
        <f>VLOOKUP(I751,Customers[#Data],2,FALSE)</f>
        <v>အုပ်ကြီး</v>
      </c>
      <c r="K751" s="15" t="str">
        <f>VLOOKUP(I751,Customers[#Data],4,FALSE)</f>
        <v>Maw La Myaing</v>
      </c>
      <c r="L751" s="15" t="str">
        <f>VLOOKUP(I751,Customers[#Data],5,FALSE)</f>
        <v>Van Sales</v>
      </c>
      <c r="M751" s="7" t="s">
        <v>6</v>
      </c>
      <c r="N751" s="7" t="s">
        <v>515</v>
      </c>
      <c r="O751" s="14" t="str">
        <f>VLOOKUP(N751,Stock[#Data],2,FALSE)</f>
        <v>ဇေ Vodka</v>
      </c>
      <c r="P751" s="44">
        <f>VLOOKUP(N751,Stock[#Data],3,FALSE)</f>
        <v>0.7</v>
      </c>
      <c r="Q751" s="3">
        <f>VLOOKUP(N751,Stock[#Data],4,FALSE)</f>
        <v>12</v>
      </c>
      <c r="R751" s="11"/>
      <c r="S751" s="45">
        <f>IFERROR(Table4[[#This Row],[Bottle]]/Table4[[#This Row],[ပါဝင်မှု]]+Table4[[#This Row],[SalesPK]],0)</f>
        <v>2</v>
      </c>
      <c r="T751" s="12">
        <v>2</v>
      </c>
      <c r="U751" s="10">
        <f>Table4[[#This Row],[ပါဝင်မှု]]*Table4[[#This Row],[SalesPK]]+Table4[[#This Row],[Bottle]]</f>
        <v>24</v>
      </c>
      <c r="V751" s="10">
        <f>Table4[[#This Row],[SalesBot]]*Table4[[#This Row],[ML]]</f>
        <v>16.799999999999997</v>
      </c>
      <c r="W751" s="1">
        <f>VLOOKUP(N751,Stock[#Data],6,FALSE)</f>
        <v>2020</v>
      </c>
      <c r="X751" s="8">
        <f>+Table4[[#This Row],[SalesBot]]*Table4[[#This Row],[နှုံး]]</f>
        <v>48480</v>
      </c>
      <c r="Y751" s="12"/>
      <c r="Z751" s="12"/>
      <c r="AA751" s="12"/>
      <c r="AB751" s="9"/>
      <c r="AC751" s="12"/>
      <c r="AD751" s="9"/>
      <c r="AE751" s="12"/>
      <c r="AF75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48480</v>
      </c>
      <c r="AG751" s="24"/>
      <c r="AH751" s="266">
        <f>Table4[[#This Row],[Date]]</f>
        <v>46069</v>
      </c>
      <c r="AI751" s="264" t="str">
        <f t="shared" si="144"/>
        <v>Feb</v>
      </c>
      <c r="AJ751" s="264" t="str">
        <f t="shared" si="145"/>
        <v>2026</v>
      </c>
      <c r="AK751" s="270" t="str">
        <f>Table4[[#This Row],[ကုန်သည်အမည်]]</f>
        <v>အုပ်ကြီး</v>
      </c>
      <c r="AL751" s="270" t="str">
        <f>Table4[[#This Row],[Township]]</f>
        <v>Maw La Myaing</v>
      </c>
      <c r="AM751" s="271" t="str">
        <f>Table4[[#This Row],[WholeSales]]</f>
        <v>Van Sales</v>
      </c>
      <c r="AN751" s="272" t="str">
        <f>Table4[[#This Row],[Particular]]</f>
        <v>ကုန်ရောင်း(လက်ငင်း)</v>
      </c>
      <c r="AO751" s="273" t="str">
        <f>Table4[[#This Row],[StockName]]</f>
        <v>ဇေ Vodka</v>
      </c>
      <c r="AP751" s="268">
        <f>Table4[[#This Row],[Parking]]</f>
        <v>2</v>
      </c>
      <c r="AQ751" s="268">
        <f>Table4[[#This Row],[SalesBot]]</f>
        <v>24</v>
      </c>
      <c r="AR751" s="268">
        <f>Table4[[#This Row],[Liter]]</f>
        <v>16.799999999999997</v>
      </c>
    </row>
    <row r="752" spans="1:44" s="16" customFormat="1" hidden="1" x14ac:dyDescent="0.5">
      <c r="A752" s="3">
        <f t="shared" si="140"/>
        <v>2026</v>
      </c>
      <c r="B752" s="8">
        <f t="shared" si="141"/>
        <v>2</v>
      </c>
      <c r="C752" s="6">
        <v>46069</v>
      </c>
      <c r="D752" s="15">
        <f t="shared" ca="1" si="142"/>
        <v>46097</v>
      </c>
      <c r="E752" s="15" t="str">
        <f t="shared" ca="1" si="143"/>
        <v>1-Months</v>
      </c>
      <c r="F752" s="8" t="str">
        <f>VLOOKUP(N752,Stock[#Data],5,FALSE)</f>
        <v>BE</v>
      </c>
      <c r="G752" s="82" t="s">
        <v>1446</v>
      </c>
      <c r="H752" s="15"/>
      <c r="I752" s="7" t="s">
        <v>95</v>
      </c>
      <c r="J752" s="8" t="str">
        <f>VLOOKUP(I752,Customers[#Data],2,FALSE)</f>
        <v>ကျော်စတား</v>
      </c>
      <c r="K752" s="15" t="str">
        <f>VLOOKUP(I752,Customers[#Data],4,FALSE)</f>
        <v>Yay</v>
      </c>
      <c r="L752" s="15" t="str">
        <f>VLOOKUP(I752,Customers[#Data],5,FALSE)</f>
        <v>WholeSales</v>
      </c>
      <c r="M752" s="7" t="s">
        <v>7</v>
      </c>
      <c r="N752" s="7" t="s">
        <v>514</v>
      </c>
      <c r="O752" s="14" t="str">
        <f>VLOOKUP(N752,Stock[#Data],2,FALSE)</f>
        <v>ဇေယျဝတီ Red</v>
      </c>
      <c r="P752" s="44">
        <f>VLOOKUP(N752,Stock[#Data],3,FALSE)</f>
        <v>0.64</v>
      </c>
      <c r="Q752" s="3">
        <f>VLOOKUP(N752,Stock[#Data],4,FALSE)</f>
        <v>14</v>
      </c>
      <c r="R752" s="11"/>
      <c r="S752" s="45">
        <f>IFERROR(Table4[[#This Row],[Bottle]]/Table4[[#This Row],[ပါဝင်မှု]]+Table4[[#This Row],[SalesPK]],0)</f>
        <v>160</v>
      </c>
      <c r="T752" s="12">
        <v>160</v>
      </c>
      <c r="U752" s="10">
        <f>Table4[[#This Row],[ပါဝင်မှု]]*Table4[[#This Row],[SalesPK]]+Table4[[#This Row],[Bottle]]</f>
        <v>2240</v>
      </c>
      <c r="V752" s="10">
        <f>Table4[[#This Row],[SalesBot]]*Table4[[#This Row],[ML]]</f>
        <v>1433.6000000000001</v>
      </c>
      <c r="W752" s="1">
        <f>VLOOKUP(N752,Stock[#Data],6,FALSE)</f>
        <v>1350</v>
      </c>
      <c r="X752" s="8">
        <f>+Table4[[#This Row],[SalesBot]]*Table4[[#This Row],[နှုံး]]</f>
        <v>3024000</v>
      </c>
      <c r="Y752" s="12"/>
      <c r="Z752" s="12"/>
      <c r="AA752" s="12"/>
      <c r="AB752" s="9"/>
      <c r="AC752" s="12"/>
      <c r="AD752" s="9"/>
      <c r="AE752" s="12"/>
      <c r="AF75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3024000</v>
      </c>
      <c r="AG752" s="24"/>
      <c r="AH752" s="266">
        <f>Table4[[#This Row],[Date]]</f>
        <v>46069</v>
      </c>
      <c r="AI752" s="264" t="str">
        <f t="shared" si="144"/>
        <v>Feb</v>
      </c>
      <c r="AJ752" s="264" t="str">
        <f t="shared" si="145"/>
        <v>2026</v>
      </c>
      <c r="AK752" s="270" t="str">
        <f>Table4[[#This Row],[ကုန်သည်အမည်]]</f>
        <v>ကျော်စတား</v>
      </c>
      <c r="AL752" s="270" t="str">
        <f>Table4[[#This Row],[Township]]</f>
        <v>Yay</v>
      </c>
      <c r="AM752" s="271" t="str">
        <f>Table4[[#This Row],[WholeSales]]</f>
        <v>WholeSales</v>
      </c>
      <c r="AN752" s="272" t="str">
        <f>Table4[[#This Row],[Particular]]</f>
        <v>ကုန်ရောင်း(အကြွေး)</v>
      </c>
      <c r="AO752" s="273" t="str">
        <f>Table4[[#This Row],[StockName]]</f>
        <v>ဇေယျဝတီ Red</v>
      </c>
      <c r="AP752" s="268">
        <f>Table4[[#This Row],[Parking]]</f>
        <v>160</v>
      </c>
      <c r="AQ752" s="268">
        <f>Table4[[#This Row],[SalesBot]]</f>
        <v>2240</v>
      </c>
      <c r="AR752" s="268">
        <f>Table4[[#This Row],[Liter]]</f>
        <v>1433.6000000000001</v>
      </c>
    </row>
    <row r="753" spans="1:44" s="16" customFormat="1" hidden="1" x14ac:dyDescent="0.5">
      <c r="A753" s="3">
        <f t="shared" si="140"/>
        <v>2026</v>
      </c>
      <c r="B753" s="8">
        <f t="shared" si="141"/>
        <v>2</v>
      </c>
      <c r="C753" s="6">
        <v>46069</v>
      </c>
      <c r="D753" s="15">
        <f t="shared" ca="1" si="142"/>
        <v>46097</v>
      </c>
      <c r="E753" s="15" t="str">
        <f t="shared" ca="1" si="143"/>
        <v>1-Months</v>
      </c>
      <c r="F753" s="8" t="str">
        <f>VLOOKUP(N753,Stock[#Data],5,FALSE)</f>
        <v>BE</v>
      </c>
      <c r="G753" s="82" t="s">
        <v>1446</v>
      </c>
      <c r="H753" s="15"/>
      <c r="I753" s="7" t="s">
        <v>95</v>
      </c>
      <c r="J753" s="8" t="str">
        <f>VLOOKUP(I753,Customers[#Data],2,FALSE)</f>
        <v>ကျော်စတား</v>
      </c>
      <c r="K753" s="15" t="str">
        <f>VLOOKUP(I753,Customers[#Data],4,FALSE)</f>
        <v>Yay</v>
      </c>
      <c r="L753" s="15" t="str">
        <f>VLOOKUP(I753,Customers[#Data],5,FALSE)</f>
        <v>WholeSales</v>
      </c>
      <c r="M753" s="7" t="s">
        <v>7</v>
      </c>
      <c r="N753" s="7" t="s">
        <v>517</v>
      </c>
      <c r="O753" s="14" t="str">
        <f>VLOOKUP(N753,Stock[#Data],2,FALSE)</f>
        <v>ဇေယျဝတီ Red (1 Liter) 30%</v>
      </c>
      <c r="P753" s="44">
        <f>VLOOKUP(N753,Stock[#Data],3,FALSE)</f>
        <v>1</v>
      </c>
      <c r="Q753" s="3">
        <f>VLOOKUP(N753,Stock[#Data],4,FALSE)</f>
        <v>12</v>
      </c>
      <c r="R753" s="11"/>
      <c r="S753" s="45">
        <f>IFERROR(Table4[[#This Row],[Bottle]]/Table4[[#This Row],[ပါဝင်မှု]]+Table4[[#This Row],[SalesPK]],0)</f>
        <v>160</v>
      </c>
      <c r="T753" s="12">
        <v>160</v>
      </c>
      <c r="U753" s="10">
        <f>Table4[[#This Row],[ပါဝင်မှု]]*Table4[[#This Row],[SalesPK]]+Table4[[#This Row],[Bottle]]</f>
        <v>1920</v>
      </c>
      <c r="V753" s="10">
        <f>Table4[[#This Row],[SalesBot]]*Table4[[#This Row],[ML]]</f>
        <v>1920</v>
      </c>
      <c r="W753" s="1">
        <f>VLOOKUP(N753,Stock[#Data],6,FALSE)</f>
        <v>1710</v>
      </c>
      <c r="X753" s="8">
        <f>+Table4[[#This Row],[SalesBot]]*Table4[[#This Row],[နှုံး]]</f>
        <v>3283200</v>
      </c>
      <c r="Y753" s="12"/>
      <c r="Z753" s="12"/>
      <c r="AA753" s="12"/>
      <c r="AB753" s="9"/>
      <c r="AC753" s="12"/>
      <c r="AD753" s="9"/>
      <c r="AE753" s="12"/>
      <c r="AF75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3283200</v>
      </c>
      <c r="AG753" s="24"/>
      <c r="AH753" s="266">
        <f>Table4[[#This Row],[Date]]</f>
        <v>46069</v>
      </c>
      <c r="AI753" s="264" t="str">
        <f t="shared" si="144"/>
        <v>Feb</v>
      </c>
      <c r="AJ753" s="264" t="str">
        <f t="shared" si="145"/>
        <v>2026</v>
      </c>
      <c r="AK753" s="270" t="str">
        <f>Table4[[#This Row],[ကုန်သည်အမည်]]</f>
        <v>ကျော်စတား</v>
      </c>
      <c r="AL753" s="270" t="str">
        <f>Table4[[#This Row],[Township]]</f>
        <v>Yay</v>
      </c>
      <c r="AM753" s="271" t="str">
        <f>Table4[[#This Row],[WholeSales]]</f>
        <v>WholeSales</v>
      </c>
      <c r="AN753" s="272" t="str">
        <f>Table4[[#This Row],[Particular]]</f>
        <v>ကုန်ရောင်း(အကြွေး)</v>
      </c>
      <c r="AO753" s="273" t="str">
        <f>Table4[[#This Row],[StockName]]</f>
        <v>ဇေယျဝတီ Red (1 Liter) 30%</v>
      </c>
      <c r="AP753" s="268">
        <f>Table4[[#This Row],[Parking]]</f>
        <v>160</v>
      </c>
      <c r="AQ753" s="268">
        <f>Table4[[#This Row],[SalesBot]]</f>
        <v>1920</v>
      </c>
      <c r="AR753" s="268">
        <f>Table4[[#This Row],[Liter]]</f>
        <v>1920</v>
      </c>
    </row>
    <row r="754" spans="1:44" s="16" customFormat="1" hidden="1" x14ac:dyDescent="0.5">
      <c r="A754" s="3">
        <f t="shared" si="140"/>
        <v>2026</v>
      </c>
      <c r="B754" s="8">
        <f t="shared" si="141"/>
        <v>2</v>
      </c>
      <c r="C754" s="6">
        <v>46070</v>
      </c>
      <c r="D754" s="15">
        <f t="shared" ca="1" si="142"/>
        <v>46097</v>
      </c>
      <c r="E754" s="15" t="str">
        <f t="shared" ca="1" si="143"/>
        <v>0-Months</v>
      </c>
      <c r="F754" s="8" t="str">
        <f>VLOOKUP(N754,Stock[#Data],5,FALSE)</f>
        <v>BE</v>
      </c>
      <c r="G754" s="82" t="s">
        <v>1447</v>
      </c>
      <c r="H754" s="15"/>
      <c r="I754" s="7" t="s">
        <v>101</v>
      </c>
      <c r="J754" s="8" t="str">
        <f>VLOOKUP(I754,Customers[#Data],2,FALSE)</f>
        <v>ကိုမောင်+မသူဇာ</v>
      </c>
      <c r="K754" s="15" t="str">
        <f>VLOOKUP(I754,Customers[#Data],4,FALSE)</f>
        <v>Yay</v>
      </c>
      <c r="L754" s="15" t="str">
        <f>VLOOKUP(I754,Customers[#Data],5,FALSE)</f>
        <v>WholeSales</v>
      </c>
      <c r="M754" s="7" t="s">
        <v>7</v>
      </c>
      <c r="N754" s="7" t="s">
        <v>517</v>
      </c>
      <c r="O754" s="14" t="str">
        <f>VLOOKUP(N754,Stock[#Data],2,FALSE)</f>
        <v>ဇေယျဝတီ Red (1 Liter) 30%</v>
      </c>
      <c r="P754" s="44">
        <f>VLOOKUP(N754,Stock[#Data],3,FALSE)</f>
        <v>1</v>
      </c>
      <c r="Q754" s="3">
        <f>VLOOKUP(N754,Stock[#Data],4,FALSE)</f>
        <v>12</v>
      </c>
      <c r="R754" s="11"/>
      <c r="S754" s="45">
        <f>IFERROR(Table4[[#This Row],[Bottle]]/Table4[[#This Row],[ပါဝင်မှု]]+Table4[[#This Row],[SalesPK]],0)</f>
        <v>70</v>
      </c>
      <c r="T754" s="12">
        <v>70</v>
      </c>
      <c r="U754" s="10">
        <f>Table4[[#This Row],[ပါဝင်မှု]]*Table4[[#This Row],[SalesPK]]+Table4[[#This Row],[Bottle]]</f>
        <v>840</v>
      </c>
      <c r="V754" s="10">
        <f>Table4[[#This Row],[SalesBot]]*Table4[[#This Row],[ML]]</f>
        <v>840</v>
      </c>
      <c r="W754" s="1">
        <f>VLOOKUP(N754,Stock[#Data],6,FALSE)</f>
        <v>1710</v>
      </c>
      <c r="X754" s="8">
        <f>+Table4[[#This Row],[SalesBot]]*Table4[[#This Row],[နှုံး]]</f>
        <v>1436400</v>
      </c>
      <c r="Y754" s="12"/>
      <c r="Z754" s="12"/>
      <c r="AA754" s="12"/>
      <c r="AB754" s="9"/>
      <c r="AC754" s="12"/>
      <c r="AD754" s="9"/>
      <c r="AE754" s="12"/>
      <c r="AF75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1436400</v>
      </c>
      <c r="AG754" s="24"/>
      <c r="AH754" s="266">
        <f>Table4[[#This Row],[Date]]</f>
        <v>46070</v>
      </c>
      <c r="AI754" s="264" t="str">
        <f t="shared" si="144"/>
        <v>Feb</v>
      </c>
      <c r="AJ754" s="264" t="str">
        <f t="shared" si="145"/>
        <v>2026</v>
      </c>
      <c r="AK754" s="270" t="str">
        <f>Table4[[#This Row],[ကုန်သည်အမည်]]</f>
        <v>ကိုမောင်+မသူဇာ</v>
      </c>
      <c r="AL754" s="270" t="str">
        <f>Table4[[#This Row],[Township]]</f>
        <v>Yay</v>
      </c>
      <c r="AM754" s="271" t="str">
        <f>Table4[[#This Row],[WholeSales]]</f>
        <v>WholeSales</v>
      </c>
      <c r="AN754" s="272" t="str">
        <f>Table4[[#This Row],[Particular]]</f>
        <v>ကုန်ရောင်း(အကြွေး)</v>
      </c>
      <c r="AO754" s="273" t="str">
        <f>Table4[[#This Row],[StockName]]</f>
        <v>ဇေယျဝတီ Red (1 Liter) 30%</v>
      </c>
      <c r="AP754" s="268">
        <f>Table4[[#This Row],[Parking]]</f>
        <v>70</v>
      </c>
      <c r="AQ754" s="268">
        <f>Table4[[#This Row],[SalesBot]]</f>
        <v>840</v>
      </c>
      <c r="AR754" s="268">
        <f>Table4[[#This Row],[Liter]]</f>
        <v>840</v>
      </c>
    </row>
    <row r="755" spans="1:44" s="16" customFormat="1" hidden="1" x14ac:dyDescent="0.5">
      <c r="A755" s="3">
        <f t="shared" ref="A755:A786" si="146">YEAR(C755)</f>
        <v>2026</v>
      </c>
      <c r="B755" s="8">
        <f t="shared" ref="B755:B786" si="147">MONTH(C755)</f>
        <v>2</v>
      </c>
      <c r="C755" s="6">
        <v>46070</v>
      </c>
      <c r="D755" s="15">
        <f t="shared" ref="D755:D786" ca="1" si="148">TODAY()</f>
        <v>46097</v>
      </c>
      <c r="E755" s="15" t="str">
        <f t="shared" ref="E755:E786" ca="1" si="149">DATEDIF(C755,D755,"M")&amp;"-Months"</f>
        <v>0-Months</v>
      </c>
      <c r="F755" s="8" t="str">
        <f>VLOOKUP(N755,Stock[#Data],5,FALSE)</f>
        <v>BE</v>
      </c>
      <c r="G755" s="82" t="s">
        <v>1448</v>
      </c>
      <c r="H755" s="15"/>
      <c r="I755" s="7" t="s">
        <v>95</v>
      </c>
      <c r="J755" s="8" t="str">
        <f>VLOOKUP(I755,Customers[#Data],2,FALSE)</f>
        <v>ကျော်စတား</v>
      </c>
      <c r="K755" s="15" t="str">
        <f>VLOOKUP(I755,Customers[#Data],4,FALSE)</f>
        <v>Yay</v>
      </c>
      <c r="L755" s="15" t="str">
        <f>VLOOKUP(I755,Customers[#Data],5,FALSE)</f>
        <v>WholeSales</v>
      </c>
      <c r="M755" s="7" t="s">
        <v>7</v>
      </c>
      <c r="N755" s="7" t="s">
        <v>514</v>
      </c>
      <c r="O755" s="14" t="str">
        <f>VLOOKUP(N755,Stock[#Data],2,FALSE)</f>
        <v>ဇေယျဝတီ Red</v>
      </c>
      <c r="P755" s="44">
        <f>VLOOKUP(N755,Stock[#Data],3,FALSE)</f>
        <v>0.64</v>
      </c>
      <c r="Q755" s="3">
        <f>VLOOKUP(N755,Stock[#Data],4,FALSE)</f>
        <v>14</v>
      </c>
      <c r="R755" s="11"/>
      <c r="S755" s="45">
        <f>IFERROR(Table4[[#This Row],[Bottle]]/Table4[[#This Row],[ပါဝင်မှု]]+Table4[[#This Row],[SalesPK]],0)</f>
        <v>225</v>
      </c>
      <c r="T755" s="12">
        <v>225</v>
      </c>
      <c r="U755" s="10">
        <f>Table4[[#This Row],[ပါဝင်မှု]]*Table4[[#This Row],[SalesPK]]+Table4[[#This Row],[Bottle]]</f>
        <v>3150</v>
      </c>
      <c r="V755" s="10">
        <f>Table4[[#This Row],[SalesBot]]*Table4[[#This Row],[ML]]</f>
        <v>2016</v>
      </c>
      <c r="W755" s="1">
        <f>VLOOKUP(N755,Stock[#Data],6,FALSE)</f>
        <v>1350</v>
      </c>
      <c r="X755" s="8">
        <f>+Table4[[#This Row],[SalesBot]]*Table4[[#This Row],[နှုံး]]</f>
        <v>4252500</v>
      </c>
      <c r="Y755" s="12"/>
      <c r="Z755" s="12"/>
      <c r="AA755" s="12"/>
      <c r="AB755" s="9"/>
      <c r="AC755" s="12"/>
      <c r="AD755" s="9"/>
      <c r="AE755" s="12"/>
      <c r="AF75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4252500</v>
      </c>
      <c r="AG755" s="24"/>
      <c r="AH755" s="266">
        <f>Table4[[#This Row],[Date]]</f>
        <v>46070</v>
      </c>
      <c r="AI755" s="264" t="str">
        <f t="shared" si="144"/>
        <v>Feb</v>
      </c>
      <c r="AJ755" s="264" t="str">
        <f t="shared" si="145"/>
        <v>2026</v>
      </c>
      <c r="AK755" s="270" t="str">
        <f>Table4[[#This Row],[ကုန်သည်အမည်]]</f>
        <v>ကျော်စတား</v>
      </c>
      <c r="AL755" s="270" t="str">
        <f>Table4[[#This Row],[Township]]</f>
        <v>Yay</v>
      </c>
      <c r="AM755" s="271" t="str">
        <f>Table4[[#This Row],[WholeSales]]</f>
        <v>WholeSales</v>
      </c>
      <c r="AN755" s="272" t="str">
        <f>Table4[[#This Row],[Particular]]</f>
        <v>ကုန်ရောင်း(အကြွေး)</v>
      </c>
      <c r="AO755" s="273" t="str">
        <f>Table4[[#This Row],[StockName]]</f>
        <v>ဇေယျဝတီ Red</v>
      </c>
      <c r="AP755" s="268">
        <f>Table4[[#This Row],[Parking]]</f>
        <v>225</v>
      </c>
      <c r="AQ755" s="268">
        <f>Table4[[#This Row],[SalesBot]]</f>
        <v>3150</v>
      </c>
      <c r="AR755" s="268">
        <f>Table4[[#This Row],[Liter]]</f>
        <v>2016</v>
      </c>
    </row>
    <row r="756" spans="1:44" s="16" customFormat="1" hidden="1" x14ac:dyDescent="0.5">
      <c r="A756" s="3">
        <f t="shared" si="146"/>
        <v>2026</v>
      </c>
      <c r="B756" s="8">
        <f t="shared" si="147"/>
        <v>2</v>
      </c>
      <c r="C756" s="6">
        <v>46070</v>
      </c>
      <c r="D756" s="15">
        <f t="shared" ca="1" si="148"/>
        <v>46097</v>
      </c>
      <c r="E756" s="15" t="str">
        <f t="shared" ca="1" si="149"/>
        <v>0-Months</v>
      </c>
      <c r="F756" s="8" t="str">
        <f>VLOOKUP(N756,Stock[#Data],5,FALSE)</f>
        <v>BE</v>
      </c>
      <c r="G756" s="82" t="s">
        <v>1449</v>
      </c>
      <c r="H756" s="15"/>
      <c r="I756" s="7" t="s">
        <v>95</v>
      </c>
      <c r="J756" s="8" t="str">
        <f>VLOOKUP(I756,Customers[#Data],2,FALSE)</f>
        <v>ကျော်စတား</v>
      </c>
      <c r="K756" s="15" t="str">
        <f>VLOOKUP(I756,Customers[#Data],4,FALSE)</f>
        <v>Yay</v>
      </c>
      <c r="L756" s="15" t="str">
        <f>VLOOKUP(I756,Customers[#Data],5,FALSE)</f>
        <v>WholeSales</v>
      </c>
      <c r="M756" s="7" t="s">
        <v>7</v>
      </c>
      <c r="N756" s="7" t="s">
        <v>514</v>
      </c>
      <c r="O756" s="14" t="str">
        <f>VLOOKUP(N756,Stock[#Data],2,FALSE)</f>
        <v>ဇေယျဝတီ Red</v>
      </c>
      <c r="P756" s="44">
        <f>VLOOKUP(N756,Stock[#Data],3,FALSE)</f>
        <v>0.64</v>
      </c>
      <c r="Q756" s="3">
        <f>VLOOKUP(N756,Stock[#Data],4,FALSE)</f>
        <v>14</v>
      </c>
      <c r="R756" s="11"/>
      <c r="S756" s="45">
        <f>IFERROR(Table4[[#This Row],[Bottle]]/Table4[[#This Row],[ပါဝင်မှု]]+Table4[[#This Row],[SalesPK]],0)</f>
        <v>50</v>
      </c>
      <c r="T756" s="12">
        <v>50</v>
      </c>
      <c r="U756" s="10">
        <f>Table4[[#This Row],[ပါဝင်မှု]]*Table4[[#This Row],[SalesPK]]+Table4[[#This Row],[Bottle]]</f>
        <v>700</v>
      </c>
      <c r="V756" s="10">
        <f>Table4[[#This Row],[SalesBot]]*Table4[[#This Row],[ML]]</f>
        <v>448</v>
      </c>
      <c r="W756" s="1">
        <f>VLOOKUP(N756,Stock[#Data],6,FALSE)</f>
        <v>1350</v>
      </c>
      <c r="X756" s="8">
        <f>+Table4[[#This Row],[SalesBot]]*Table4[[#This Row],[နှုံး]]</f>
        <v>945000</v>
      </c>
      <c r="Y756" s="12"/>
      <c r="Z756" s="12"/>
      <c r="AA756" s="12"/>
      <c r="AB756" s="9"/>
      <c r="AC756" s="12"/>
      <c r="AD756" s="9"/>
      <c r="AE756" s="12"/>
      <c r="AF75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756" s="24"/>
      <c r="AH756" s="266">
        <f>Table4[[#This Row],[Date]]</f>
        <v>46070</v>
      </c>
      <c r="AI756" s="264" t="str">
        <f t="shared" si="144"/>
        <v>Feb</v>
      </c>
      <c r="AJ756" s="264" t="str">
        <f t="shared" si="145"/>
        <v>2026</v>
      </c>
      <c r="AK756" s="270" t="str">
        <f>Table4[[#This Row],[ကုန်သည်အမည်]]</f>
        <v>ကျော်စတား</v>
      </c>
      <c r="AL756" s="270" t="str">
        <f>Table4[[#This Row],[Township]]</f>
        <v>Yay</v>
      </c>
      <c r="AM756" s="271" t="str">
        <f>Table4[[#This Row],[WholeSales]]</f>
        <v>WholeSales</v>
      </c>
      <c r="AN756" s="272" t="str">
        <f>Table4[[#This Row],[Particular]]</f>
        <v>ကုန်ရောင်း(အကြွေး)</v>
      </c>
      <c r="AO756" s="273" t="str">
        <f>Table4[[#This Row],[StockName]]</f>
        <v>ဇေယျဝတီ Red</v>
      </c>
      <c r="AP756" s="268">
        <f>Table4[[#This Row],[Parking]]</f>
        <v>50</v>
      </c>
      <c r="AQ756" s="268">
        <f>Table4[[#This Row],[SalesBot]]</f>
        <v>700</v>
      </c>
      <c r="AR756" s="268">
        <f>Table4[[#This Row],[Liter]]</f>
        <v>448</v>
      </c>
    </row>
    <row r="757" spans="1:44" s="16" customFormat="1" hidden="1" x14ac:dyDescent="0.5">
      <c r="A757" s="3">
        <f t="shared" si="146"/>
        <v>2026</v>
      </c>
      <c r="B757" s="8">
        <f t="shared" si="147"/>
        <v>2</v>
      </c>
      <c r="C757" s="6">
        <v>46070</v>
      </c>
      <c r="D757" s="15">
        <f t="shared" ca="1" si="148"/>
        <v>46097</v>
      </c>
      <c r="E757" s="15" t="str">
        <f t="shared" ca="1" si="149"/>
        <v>0-Months</v>
      </c>
      <c r="F757" s="8" t="str">
        <f>VLOOKUP(N757,Stock[#Data],5,FALSE)</f>
        <v>BE</v>
      </c>
      <c r="G757" s="82" t="s">
        <v>1449</v>
      </c>
      <c r="H757" s="15"/>
      <c r="I757" s="7" t="s">
        <v>95</v>
      </c>
      <c r="J757" s="8" t="str">
        <f>VLOOKUP(I757,Customers[#Data],2,FALSE)</f>
        <v>ကျော်စတား</v>
      </c>
      <c r="K757" s="15" t="str">
        <f>VLOOKUP(I757,Customers[#Data],4,FALSE)</f>
        <v>Yay</v>
      </c>
      <c r="L757" s="15" t="str">
        <f>VLOOKUP(I757,Customers[#Data],5,FALSE)</f>
        <v>WholeSales</v>
      </c>
      <c r="M757" s="7" t="s">
        <v>7</v>
      </c>
      <c r="N757" s="7" t="s">
        <v>517</v>
      </c>
      <c r="O757" s="14" t="str">
        <f>VLOOKUP(N757,Stock[#Data],2,FALSE)</f>
        <v>ဇေယျဝတီ Red (1 Liter) 30%</v>
      </c>
      <c r="P757" s="44">
        <f>VLOOKUP(N757,Stock[#Data],3,FALSE)</f>
        <v>1</v>
      </c>
      <c r="Q757" s="3">
        <f>VLOOKUP(N757,Stock[#Data],4,FALSE)</f>
        <v>12</v>
      </c>
      <c r="R757" s="11"/>
      <c r="S757" s="45">
        <f>IFERROR(Table4[[#This Row],[Bottle]]/Table4[[#This Row],[ပါဝင်မှု]]+Table4[[#This Row],[SalesPK]],0)</f>
        <v>150</v>
      </c>
      <c r="T757" s="12">
        <v>150</v>
      </c>
      <c r="U757" s="10">
        <f>Table4[[#This Row],[ပါဝင်မှု]]*Table4[[#This Row],[SalesPK]]+Table4[[#This Row],[Bottle]]</f>
        <v>1800</v>
      </c>
      <c r="V757" s="10">
        <f>Table4[[#This Row],[SalesBot]]*Table4[[#This Row],[ML]]</f>
        <v>1800</v>
      </c>
      <c r="W757" s="1">
        <f>VLOOKUP(N757,Stock[#Data],6,FALSE)</f>
        <v>1710</v>
      </c>
      <c r="X757" s="8">
        <f>+Table4[[#This Row],[SalesBot]]*Table4[[#This Row],[နှုံး]]</f>
        <v>3078000</v>
      </c>
      <c r="Y757" s="12"/>
      <c r="Z757" s="12"/>
      <c r="AA757" s="12"/>
      <c r="AB757" s="9"/>
      <c r="AC757" s="12"/>
      <c r="AD757" s="9"/>
      <c r="AE757" s="12"/>
      <c r="AF75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3078000</v>
      </c>
      <c r="AG757" s="24"/>
      <c r="AH757" s="266">
        <f>Table4[[#This Row],[Date]]</f>
        <v>46070</v>
      </c>
      <c r="AI757" s="264" t="str">
        <f t="shared" si="144"/>
        <v>Feb</v>
      </c>
      <c r="AJ757" s="264" t="str">
        <f t="shared" si="145"/>
        <v>2026</v>
      </c>
      <c r="AK757" s="270" t="str">
        <f>Table4[[#This Row],[ကုန်သည်အမည်]]</f>
        <v>ကျော်စတား</v>
      </c>
      <c r="AL757" s="270" t="str">
        <f>Table4[[#This Row],[Township]]</f>
        <v>Yay</v>
      </c>
      <c r="AM757" s="271" t="str">
        <f>Table4[[#This Row],[WholeSales]]</f>
        <v>WholeSales</v>
      </c>
      <c r="AN757" s="272" t="str">
        <f>Table4[[#This Row],[Particular]]</f>
        <v>ကုန်ရောင်း(အကြွေး)</v>
      </c>
      <c r="AO757" s="273" t="str">
        <f>Table4[[#This Row],[StockName]]</f>
        <v>ဇေယျဝတီ Red (1 Liter) 30%</v>
      </c>
      <c r="AP757" s="268">
        <f>Table4[[#This Row],[Parking]]</f>
        <v>150</v>
      </c>
      <c r="AQ757" s="268">
        <f>Table4[[#This Row],[SalesBot]]</f>
        <v>1800</v>
      </c>
      <c r="AR757" s="268">
        <f>Table4[[#This Row],[Liter]]</f>
        <v>1800</v>
      </c>
    </row>
    <row r="758" spans="1:44" s="16" customFormat="1" hidden="1" x14ac:dyDescent="0.5">
      <c r="A758" s="3">
        <f t="shared" si="146"/>
        <v>2026</v>
      </c>
      <c r="B758" s="8">
        <f t="shared" si="147"/>
        <v>2</v>
      </c>
      <c r="C758" s="6">
        <v>46070</v>
      </c>
      <c r="D758" s="15">
        <f t="shared" ca="1" si="148"/>
        <v>46097</v>
      </c>
      <c r="E758" s="15" t="str">
        <f t="shared" ca="1" si="149"/>
        <v>0-Months</v>
      </c>
      <c r="F758" s="8" t="str">
        <f>VLOOKUP(N758,Stock[#Data],5,FALSE)</f>
        <v>BE</v>
      </c>
      <c r="G758" s="82" t="s">
        <v>1450</v>
      </c>
      <c r="H758" s="15"/>
      <c r="I758" s="7" t="s">
        <v>569</v>
      </c>
      <c r="J758" s="8" t="str">
        <f>VLOOKUP(I758,Customers[#Data],2,FALSE)</f>
        <v>ကိုပိန်</v>
      </c>
      <c r="K758" s="15" t="str">
        <f>VLOOKUP(I758,Customers[#Data],4,FALSE)</f>
        <v>Maw La Myaing</v>
      </c>
      <c r="L758" s="15" t="str">
        <f>VLOOKUP(I758,Customers[#Data],5,FALSE)</f>
        <v>Van Sales</v>
      </c>
      <c r="M758" s="7" t="s">
        <v>6</v>
      </c>
      <c r="N758" s="7" t="s">
        <v>516</v>
      </c>
      <c r="O758" s="14" t="str">
        <f>VLOOKUP(N758,Stock[#Data],2,FALSE)</f>
        <v>ဇေ Vodka</v>
      </c>
      <c r="P758" s="44">
        <f>VLOOKUP(N758,Stock[#Data],3,FALSE)</f>
        <v>0.64</v>
      </c>
      <c r="Q758" s="3">
        <f>VLOOKUP(N758,Stock[#Data],4,FALSE)</f>
        <v>14</v>
      </c>
      <c r="R758" s="11"/>
      <c r="S758" s="45">
        <f>IFERROR(Table4[[#This Row],[Bottle]]/Table4[[#This Row],[ပါဝင်မှု]]+Table4[[#This Row],[SalesPK]],0)</f>
        <v>5</v>
      </c>
      <c r="T758" s="12">
        <v>5</v>
      </c>
      <c r="U758" s="10">
        <f>Table4[[#This Row],[ပါဝင်မှု]]*Table4[[#This Row],[SalesPK]]+Table4[[#This Row],[Bottle]]</f>
        <v>70</v>
      </c>
      <c r="V758" s="10">
        <f>Table4[[#This Row],[SalesBot]]*Table4[[#This Row],[ML]]</f>
        <v>44.800000000000004</v>
      </c>
      <c r="W758" s="1">
        <f>VLOOKUP(N758,Stock[#Data],6,FALSE)</f>
        <v>1400</v>
      </c>
      <c r="X758" s="8">
        <f>+Table4[[#This Row],[SalesBot]]*Table4[[#This Row],[နှုံး]]</f>
        <v>98000</v>
      </c>
      <c r="Y758" s="12"/>
      <c r="Z758" s="12"/>
      <c r="AA758" s="12"/>
      <c r="AB758" s="9"/>
      <c r="AC758" s="12"/>
      <c r="AD758" s="9"/>
      <c r="AE758" s="12"/>
      <c r="AF75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</v>
      </c>
      <c r="AG758" s="24"/>
      <c r="AH758" s="266">
        <f>Table4[[#This Row],[Date]]</f>
        <v>46070</v>
      </c>
      <c r="AI758" s="264" t="str">
        <f t="shared" si="144"/>
        <v>Feb</v>
      </c>
      <c r="AJ758" s="264" t="str">
        <f t="shared" si="145"/>
        <v>2026</v>
      </c>
      <c r="AK758" s="270" t="str">
        <f>Table4[[#This Row],[ကုန်သည်အမည်]]</f>
        <v>ကိုပိန်</v>
      </c>
      <c r="AL758" s="270" t="str">
        <f>Table4[[#This Row],[Township]]</f>
        <v>Maw La Myaing</v>
      </c>
      <c r="AM758" s="271" t="str">
        <f>Table4[[#This Row],[WholeSales]]</f>
        <v>Van Sales</v>
      </c>
      <c r="AN758" s="272" t="str">
        <f>Table4[[#This Row],[Particular]]</f>
        <v>ကုန်ရောင်း(လက်ငင်း)</v>
      </c>
      <c r="AO758" s="273" t="str">
        <f>Table4[[#This Row],[StockName]]</f>
        <v>ဇေ Vodka</v>
      </c>
      <c r="AP758" s="268">
        <f>Table4[[#This Row],[Parking]]</f>
        <v>5</v>
      </c>
      <c r="AQ758" s="268">
        <f>Table4[[#This Row],[SalesBot]]</f>
        <v>70</v>
      </c>
      <c r="AR758" s="268">
        <f>Table4[[#This Row],[Liter]]</f>
        <v>44.800000000000004</v>
      </c>
    </row>
    <row r="759" spans="1:44" s="16" customFormat="1" hidden="1" x14ac:dyDescent="0.5">
      <c r="A759" s="3">
        <f t="shared" si="146"/>
        <v>2026</v>
      </c>
      <c r="B759" s="8">
        <f t="shared" si="147"/>
        <v>2</v>
      </c>
      <c r="C759" s="6">
        <v>46070</v>
      </c>
      <c r="D759" s="15">
        <f t="shared" ca="1" si="148"/>
        <v>46097</v>
      </c>
      <c r="E759" s="15" t="str">
        <f t="shared" ca="1" si="149"/>
        <v>0-Months</v>
      </c>
      <c r="F759" s="8" t="str">
        <f>VLOOKUP(N759,Stock[#Data],5,FALSE)</f>
        <v>BE</v>
      </c>
      <c r="G759" s="82" t="s">
        <v>1451</v>
      </c>
      <c r="H759" s="15"/>
      <c r="I759" s="7" t="s">
        <v>296</v>
      </c>
      <c r="J759" s="8" t="str">
        <f>VLOOKUP(I759,Customers[#Data],2,FALSE)</f>
        <v>A1</v>
      </c>
      <c r="K759" s="15" t="str">
        <f>VLOOKUP(I759,Customers[#Data],4,FALSE)</f>
        <v>Maw La Myaing</v>
      </c>
      <c r="L759" s="15" t="str">
        <f>VLOOKUP(I759,Customers[#Data],5,FALSE)</f>
        <v>SemiWholeSales</v>
      </c>
      <c r="M759" s="7" t="s">
        <v>6</v>
      </c>
      <c r="N759" s="7" t="s">
        <v>516</v>
      </c>
      <c r="O759" s="14" t="str">
        <f>VLOOKUP(N759,Stock[#Data],2,FALSE)</f>
        <v>ဇေ Vodka</v>
      </c>
      <c r="P759" s="44">
        <f>VLOOKUP(N759,Stock[#Data],3,FALSE)</f>
        <v>0.64</v>
      </c>
      <c r="Q759" s="3">
        <f>VLOOKUP(N759,Stock[#Data],4,FALSE)</f>
        <v>14</v>
      </c>
      <c r="R759" s="11"/>
      <c r="S759" s="45">
        <f>IFERROR(Table4[[#This Row],[Bottle]]/Table4[[#This Row],[ပါဝင်မှု]]+Table4[[#This Row],[SalesPK]],0)</f>
        <v>25</v>
      </c>
      <c r="T759" s="12">
        <v>25</v>
      </c>
      <c r="U759" s="10">
        <f>Table4[[#This Row],[ပါဝင်မှု]]*Table4[[#This Row],[SalesPK]]+Table4[[#This Row],[Bottle]]</f>
        <v>350</v>
      </c>
      <c r="V759" s="10">
        <f>Table4[[#This Row],[SalesBot]]*Table4[[#This Row],[ML]]</f>
        <v>224</v>
      </c>
      <c r="W759" s="1">
        <f>VLOOKUP(N759,Stock[#Data],6,FALSE)</f>
        <v>1400</v>
      </c>
      <c r="X759" s="8">
        <f>+Table4[[#This Row],[SalesBot]]*Table4[[#This Row],[နှုံး]]</f>
        <v>490000</v>
      </c>
      <c r="Y759" s="12"/>
      <c r="Z759" s="12"/>
      <c r="AA759" s="12"/>
      <c r="AB759" s="9"/>
      <c r="AC759" s="12"/>
      <c r="AD759" s="9"/>
      <c r="AE759" s="12"/>
      <c r="AF75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490000</v>
      </c>
      <c r="AG759" s="24"/>
      <c r="AH759" s="266">
        <f>Table4[[#This Row],[Date]]</f>
        <v>46070</v>
      </c>
      <c r="AI759" s="264" t="str">
        <f t="shared" si="144"/>
        <v>Feb</v>
      </c>
      <c r="AJ759" s="264" t="str">
        <f t="shared" si="145"/>
        <v>2026</v>
      </c>
      <c r="AK759" s="270" t="str">
        <f>Table4[[#This Row],[ကုန်သည်အမည်]]</f>
        <v>A1</v>
      </c>
      <c r="AL759" s="270" t="str">
        <f>Table4[[#This Row],[Township]]</f>
        <v>Maw La Myaing</v>
      </c>
      <c r="AM759" s="271" t="str">
        <f>Table4[[#This Row],[WholeSales]]</f>
        <v>SemiWholeSales</v>
      </c>
      <c r="AN759" s="272" t="str">
        <f>Table4[[#This Row],[Particular]]</f>
        <v>ကုန်ရောင်း(လက်ငင်း)</v>
      </c>
      <c r="AO759" s="273" t="str">
        <f>Table4[[#This Row],[StockName]]</f>
        <v>ဇေ Vodka</v>
      </c>
      <c r="AP759" s="268">
        <f>Table4[[#This Row],[Parking]]</f>
        <v>25</v>
      </c>
      <c r="AQ759" s="268">
        <f>Table4[[#This Row],[SalesBot]]</f>
        <v>350</v>
      </c>
      <c r="AR759" s="268">
        <f>Table4[[#This Row],[Liter]]</f>
        <v>224</v>
      </c>
    </row>
    <row r="760" spans="1:44" s="16" customFormat="1" hidden="1" x14ac:dyDescent="0.5">
      <c r="A760" s="3">
        <f t="shared" si="146"/>
        <v>2026</v>
      </c>
      <c r="B760" s="8">
        <f t="shared" si="147"/>
        <v>2</v>
      </c>
      <c r="C760" s="6">
        <v>46070</v>
      </c>
      <c r="D760" s="15">
        <f t="shared" ca="1" si="148"/>
        <v>46097</v>
      </c>
      <c r="E760" s="15" t="str">
        <f t="shared" ca="1" si="149"/>
        <v>0-Months</v>
      </c>
      <c r="F760" s="8" t="str">
        <f>VLOOKUP(N760,Stock[#Data],5,FALSE)</f>
        <v>BE</v>
      </c>
      <c r="G760" s="82" t="s">
        <v>1451</v>
      </c>
      <c r="H760" s="15"/>
      <c r="I760" s="7" t="s">
        <v>296</v>
      </c>
      <c r="J760" s="8" t="str">
        <f>VLOOKUP(I760,Customers[#Data],2,FALSE)</f>
        <v>A1</v>
      </c>
      <c r="K760" s="15" t="str">
        <f>VLOOKUP(I760,Customers[#Data],4,FALSE)</f>
        <v>Maw La Myaing</v>
      </c>
      <c r="L760" s="15" t="str">
        <f>VLOOKUP(I760,Customers[#Data],5,FALSE)</f>
        <v>SemiWholeSales</v>
      </c>
      <c r="M760" s="7" t="s">
        <v>6</v>
      </c>
      <c r="N760" s="7" t="s">
        <v>518</v>
      </c>
      <c r="O760" s="14" t="str">
        <f>VLOOKUP(N760,Stock[#Data],2,FALSE)</f>
        <v>"ဇေ" ကော်ဘူး (1 Liter)</v>
      </c>
      <c r="P760" s="44">
        <f>VLOOKUP(N760,Stock[#Data],3,FALSE)</f>
        <v>1</v>
      </c>
      <c r="Q760" s="3">
        <f>VLOOKUP(N760,Stock[#Data],4,FALSE)</f>
        <v>12</v>
      </c>
      <c r="R760" s="11"/>
      <c r="S760" s="45">
        <f>IFERROR(Table4[[#This Row],[Bottle]]/Table4[[#This Row],[ပါဝင်မှု]]+Table4[[#This Row],[SalesPK]],0)</f>
        <v>5</v>
      </c>
      <c r="T760" s="12">
        <v>5</v>
      </c>
      <c r="U760" s="10">
        <f>Table4[[#This Row],[ပါဝင်မှု]]*Table4[[#This Row],[SalesPK]]+Table4[[#This Row],[Bottle]]</f>
        <v>60</v>
      </c>
      <c r="V760" s="10">
        <f>Table4[[#This Row],[SalesBot]]*Table4[[#This Row],[ML]]</f>
        <v>60</v>
      </c>
      <c r="W760" s="1">
        <f>VLOOKUP(N760,Stock[#Data],6,FALSE)</f>
        <v>1675</v>
      </c>
      <c r="X760" s="8">
        <f>+Table4[[#This Row],[SalesBot]]*Table4[[#This Row],[နှုံး]]</f>
        <v>100500</v>
      </c>
      <c r="Y760" s="12"/>
      <c r="Z760" s="12"/>
      <c r="AA760" s="12"/>
      <c r="AB760" s="9"/>
      <c r="AC760" s="12"/>
      <c r="AD760" s="9"/>
      <c r="AE760" s="12"/>
      <c r="AF76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760" s="24"/>
      <c r="AH760" s="266">
        <f>Table4[[#This Row],[Date]]</f>
        <v>46070</v>
      </c>
      <c r="AI760" s="264" t="str">
        <f t="shared" si="144"/>
        <v>Feb</v>
      </c>
      <c r="AJ760" s="264" t="str">
        <f t="shared" si="145"/>
        <v>2026</v>
      </c>
      <c r="AK760" s="270" t="str">
        <f>Table4[[#This Row],[ကုန်သည်အမည်]]</f>
        <v>A1</v>
      </c>
      <c r="AL760" s="270" t="str">
        <f>Table4[[#This Row],[Township]]</f>
        <v>Maw La Myaing</v>
      </c>
      <c r="AM760" s="271" t="str">
        <f>Table4[[#This Row],[WholeSales]]</f>
        <v>SemiWholeSales</v>
      </c>
      <c r="AN760" s="272" t="str">
        <f>Table4[[#This Row],[Particular]]</f>
        <v>ကုန်ရောင်း(လက်ငင်း)</v>
      </c>
      <c r="AO760" s="273" t="str">
        <f>Table4[[#This Row],[StockName]]</f>
        <v>"ဇေ" ကော်ဘူး (1 Liter)</v>
      </c>
      <c r="AP760" s="268">
        <f>Table4[[#This Row],[Parking]]</f>
        <v>5</v>
      </c>
      <c r="AQ760" s="268">
        <f>Table4[[#This Row],[SalesBot]]</f>
        <v>60</v>
      </c>
      <c r="AR760" s="268">
        <f>Table4[[#This Row],[Liter]]</f>
        <v>60</v>
      </c>
    </row>
    <row r="761" spans="1:44" s="16" customFormat="1" hidden="1" x14ac:dyDescent="0.5">
      <c r="A761" s="3">
        <f t="shared" si="146"/>
        <v>2026</v>
      </c>
      <c r="B761" s="8">
        <f t="shared" si="147"/>
        <v>2</v>
      </c>
      <c r="C761" s="6">
        <v>46070</v>
      </c>
      <c r="D761" s="15">
        <f t="shared" ca="1" si="148"/>
        <v>46097</v>
      </c>
      <c r="E761" s="15" t="str">
        <f t="shared" ca="1" si="149"/>
        <v>0-Months</v>
      </c>
      <c r="F761" s="8" t="str">
        <f>VLOOKUP(N761,Stock[#Data],5,FALSE)</f>
        <v>BE</v>
      </c>
      <c r="G761" s="82" t="s">
        <v>1452</v>
      </c>
      <c r="H761" s="15"/>
      <c r="I761" s="7" t="s">
        <v>111</v>
      </c>
      <c r="J761" s="8" t="str">
        <f>VLOOKUP(I761,Customers[#Data],2,FALSE)</f>
        <v>လင်းသစ်</v>
      </c>
      <c r="K761" s="15" t="str">
        <f>VLOOKUP(I761,Customers[#Data],4,FALSE)</f>
        <v>Yay</v>
      </c>
      <c r="L761" s="15" t="str">
        <f>VLOOKUP(I761,Customers[#Data],5,FALSE)</f>
        <v>WholeSales</v>
      </c>
      <c r="M761" s="7" t="s">
        <v>6</v>
      </c>
      <c r="N761" s="7" t="s">
        <v>514</v>
      </c>
      <c r="O761" s="14" t="str">
        <f>VLOOKUP(N761,Stock[#Data],2,FALSE)</f>
        <v>ဇေယျဝတီ Red</v>
      </c>
      <c r="P761" s="44">
        <f>VLOOKUP(N761,Stock[#Data],3,FALSE)</f>
        <v>0.64</v>
      </c>
      <c r="Q761" s="3">
        <f>VLOOKUP(N761,Stock[#Data],4,FALSE)</f>
        <v>14</v>
      </c>
      <c r="R761" s="11"/>
      <c r="S761" s="45">
        <f>IFERROR(Table4[[#This Row],[Bottle]]/Table4[[#This Row],[ပါဝင်မှု]]+Table4[[#This Row],[SalesPK]],0)</f>
        <v>50</v>
      </c>
      <c r="T761" s="12">
        <v>50</v>
      </c>
      <c r="U761" s="10">
        <f>Table4[[#This Row],[ပါဝင်မှု]]*Table4[[#This Row],[SalesPK]]+Table4[[#This Row],[Bottle]]</f>
        <v>700</v>
      </c>
      <c r="V761" s="10">
        <f>Table4[[#This Row],[SalesBot]]*Table4[[#This Row],[ML]]</f>
        <v>448</v>
      </c>
      <c r="W761" s="1">
        <f>VLOOKUP(N761,Stock[#Data],6,FALSE)</f>
        <v>1350</v>
      </c>
      <c r="X761" s="8">
        <f>+Table4[[#This Row],[SalesBot]]*Table4[[#This Row],[နှုံး]]</f>
        <v>945000</v>
      </c>
      <c r="Y761" s="12"/>
      <c r="Z761" s="12"/>
      <c r="AA761" s="12"/>
      <c r="AB761" s="9"/>
      <c r="AC761" s="12"/>
      <c r="AD761" s="9"/>
      <c r="AE761" s="12"/>
      <c r="AF76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761" s="24"/>
      <c r="AH761" s="266">
        <f>Table4[[#This Row],[Date]]</f>
        <v>46070</v>
      </c>
      <c r="AI761" s="264" t="str">
        <f t="shared" si="144"/>
        <v>Feb</v>
      </c>
      <c r="AJ761" s="264" t="str">
        <f t="shared" si="145"/>
        <v>2026</v>
      </c>
      <c r="AK761" s="270" t="str">
        <f>Table4[[#This Row],[ကုန်သည်အမည်]]</f>
        <v>လင်းသစ်</v>
      </c>
      <c r="AL761" s="270" t="str">
        <f>Table4[[#This Row],[Township]]</f>
        <v>Yay</v>
      </c>
      <c r="AM761" s="271" t="str">
        <f>Table4[[#This Row],[WholeSales]]</f>
        <v>WholeSales</v>
      </c>
      <c r="AN761" s="272" t="str">
        <f>Table4[[#This Row],[Particular]]</f>
        <v>ကုန်ရောင်း(လက်ငင်း)</v>
      </c>
      <c r="AO761" s="273" t="str">
        <f>Table4[[#This Row],[StockName]]</f>
        <v>ဇေယျဝတီ Red</v>
      </c>
      <c r="AP761" s="268">
        <f>Table4[[#This Row],[Parking]]</f>
        <v>50</v>
      </c>
      <c r="AQ761" s="268">
        <f>Table4[[#This Row],[SalesBot]]</f>
        <v>700</v>
      </c>
      <c r="AR761" s="268">
        <f>Table4[[#This Row],[Liter]]</f>
        <v>448</v>
      </c>
    </row>
    <row r="762" spans="1:44" s="16" customFormat="1" hidden="1" x14ac:dyDescent="0.5">
      <c r="A762" s="3">
        <f t="shared" si="146"/>
        <v>2026</v>
      </c>
      <c r="B762" s="8">
        <f t="shared" si="147"/>
        <v>2</v>
      </c>
      <c r="C762" s="6">
        <v>46070</v>
      </c>
      <c r="D762" s="15">
        <f t="shared" ca="1" si="148"/>
        <v>46097</v>
      </c>
      <c r="E762" s="15" t="str">
        <f t="shared" ca="1" si="149"/>
        <v>0-Months</v>
      </c>
      <c r="F762" s="8" t="str">
        <f>VLOOKUP(N762,Stock[#Data],5,FALSE)</f>
        <v>BE</v>
      </c>
      <c r="G762" s="82" t="s">
        <v>1452</v>
      </c>
      <c r="H762" s="15"/>
      <c r="I762" s="7" t="s">
        <v>111</v>
      </c>
      <c r="J762" s="8" t="str">
        <f>VLOOKUP(I762,Customers[#Data],2,FALSE)</f>
        <v>လင်းသစ်</v>
      </c>
      <c r="K762" s="15" t="str">
        <f>VLOOKUP(I762,Customers[#Data],4,FALSE)</f>
        <v>Yay</v>
      </c>
      <c r="L762" s="15" t="str">
        <f>VLOOKUP(I762,Customers[#Data],5,FALSE)</f>
        <v>WholeSales</v>
      </c>
      <c r="M762" s="7" t="s">
        <v>6</v>
      </c>
      <c r="N762" s="7" t="s">
        <v>517</v>
      </c>
      <c r="O762" s="14" t="str">
        <f>VLOOKUP(N762,Stock[#Data],2,FALSE)</f>
        <v>ဇေယျဝတီ Red (1 Liter) 30%</v>
      </c>
      <c r="P762" s="44">
        <f>VLOOKUP(N762,Stock[#Data],3,FALSE)</f>
        <v>1</v>
      </c>
      <c r="Q762" s="3">
        <f>VLOOKUP(N762,Stock[#Data],4,FALSE)</f>
        <v>12</v>
      </c>
      <c r="R762" s="11"/>
      <c r="S762" s="45">
        <f>IFERROR(Table4[[#This Row],[Bottle]]/Table4[[#This Row],[ပါဝင်မှု]]+Table4[[#This Row],[SalesPK]],0)</f>
        <v>50</v>
      </c>
      <c r="T762" s="12">
        <v>50</v>
      </c>
      <c r="U762" s="10">
        <f>Table4[[#This Row],[ပါဝင်မှု]]*Table4[[#This Row],[SalesPK]]+Table4[[#This Row],[Bottle]]</f>
        <v>600</v>
      </c>
      <c r="V762" s="10">
        <f>Table4[[#This Row],[SalesBot]]*Table4[[#This Row],[ML]]</f>
        <v>600</v>
      </c>
      <c r="W762" s="1">
        <f>VLOOKUP(N762,Stock[#Data],6,FALSE)</f>
        <v>1710</v>
      </c>
      <c r="X762" s="8">
        <f>+Table4[[#This Row],[SalesBot]]*Table4[[#This Row],[နှုံး]]</f>
        <v>1026000</v>
      </c>
      <c r="Y762" s="12"/>
      <c r="Z762" s="12"/>
      <c r="AA762" s="12"/>
      <c r="AB762" s="9"/>
      <c r="AC762" s="12"/>
      <c r="AD762" s="9"/>
      <c r="AE762" s="12"/>
      <c r="AF76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762" s="24"/>
      <c r="AH762" s="266">
        <f>Table4[[#This Row],[Date]]</f>
        <v>46070</v>
      </c>
      <c r="AI762" s="264" t="str">
        <f t="shared" si="144"/>
        <v>Feb</v>
      </c>
      <c r="AJ762" s="264" t="str">
        <f t="shared" si="145"/>
        <v>2026</v>
      </c>
      <c r="AK762" s="270" t="str">
        <f>Table4[[#This Row],[ကုန်သည်အမည်]]</f>
        <v>လင်းသစ်</v>
      </c>
      <c r="AL762" s="270" t="str">
        <f>Table4[[#This Row],[Township]]</f>
        <v>Yay</v>
      </c>
      <c r="AM762" s="271" t="str">
        <f>Table4[[#This Row],[WholeSales]]</f>
        <v>WholeSales</v>
      </c>
      <c r="AN762" s="272" t="str">
        <f>Table4[[#This Row],[Particular]]</f>
        <v>ကုန်ရောင်း(လက်ငင်း)</v>
      </c>
      <c r="AO762" s="273" t="str">
        <f>Table4[[#This Row],[StockName]]</f>
        <v>ဇေယျဝတီ Red (1 Liter) 30%</v>
      </c>
      <c r="AP762" s="268">
        <f>Table4[[#This Row],[Parking]]</f>
        <v>50</v>
      </c>
      <c r="AQ762" s="268">
        <f>Table4[[#This Row],[SalesBot]]</f>
        <v>600</v>
      </c>
      <c r="AR762" s="268">
        <f>Table4[[#This Row],[Liter]]</f>
        <v>600</v>
      </c>
    </row>
    <row r="763" spans="1:44" s="16" customFormat="1" hidden="1" x14ac:dyDescent="0.5">
      <c r="A763" s="3">
        <f t="shared" si="146"/>
        <v>2026</v>
      </c>
      <c r="B763" s="8">
        <f t="shared" si="147"/>
        <v>2</v>
      </c>
      <c r="C763" s="6">
        <v>46070</v>
      </c>
      <c r="D763" s="15">
        <f t="shared" ca="1" si="148"/>
        <v>46097</v>
      </c>
      <c r="E763" s="15" t="str">
        <f t="shared" ca="1" si="149"/>
        <v>0-Months</v>
      </c>
      <c r="F763" s="8" t="str">
        <f>VLOOKUP(N763,Stock[#Data],5,FALSE)</f>
        <v>BE</v>
      </c>
      <c r="G763" s="82" t="s">
        <v>1453</v>
      </c>
      <c r="H763" s="15"/>
      <c r="I763" s="7" t="s">
        <v>552</v>
      </c>
      <c r="J763" s="8" t="str">
        <f>VLOOKUP(I763,Customers[#Data],2,FALSE)</f>
        <v>၀မ်းဒေါ်လာ</v>
      </c>
      <c r="K763" s="15" t="str">
        <f>VLOOKUP(I763,Customers[#Data],4,FALSE)</f>
        <v>Mudon</v>
      </c>
      <c r="L763" s="15" t="str">
        <f>VLOOKUP(I763,Customers[#Data],5,FALSE)</f>
        <v>Mini Whole Sales</v>
      </c>
      <c r="M763" s="7" t="s">
        <v>6</v>
      </c>
      <c r="N763" s="7" t="s">
        <v>520</v>
      </c>
      <c r="O763" s="14" t="str">
        <f>VLOOKUP(N763,Stock[#Data],2,FALSE)</f>
        <v>ဇေယျဝတီ  Red(ပု)</v>
      </c>
      <c r="P763" s="44">
        <f>VLOOKUP(N763,Stock[#Data],3,FALSE)</f>
        <v>0.64</v>
      </c>
      <c r="Q763" s="3">
        <f>VLOOKUP(N763,Stock[#Data],4,FALSE)</f>
        <v>14</v>
      </c>
      <c r="R763" s="11"/>
      <c r="S763" s="45">
        <f>IFERROR(Table4[[#This Row],[Bottle]]/Table4[[#This Row],[ပါဝင်မှု]]+Table4[[#This Row],[SalesPK]],0)</f>
        <v>25</v>
      </c>
      <c r="T763" s="12">
        <v>25</v>
      </c>
      <c r="U763" s="10">
        <f>Table4[[#This Row],[ပါဝင်မှု]]*Table4[[#This Row],[SalesPK]]+Table4[[#This Row],[Bottle]]</f>
        <v>350</v>
      </c>
      <c r="V763" s="10">
        <f>Table4[[#This Row],[SalesBot]]*Table4[[#This Row],[ML]]</f>
        <v>224</v>
      </c>
      <c r="W763" s="1">
        <f>VLOOKUP(N763,Stock[#Data],6,FALSE)</f>
        <v>1800</v>
      </c>
      <c r="X763" s="8">
        <f>+Table4[[#This Row],[SalesBot]]*Table4[[#This Row],[နှုံး]]</f>
        <v>630000</v>
      </c>
      <c r="Y763" s="12"/>
      <c r="Z763" s="12"/>
      <c r="AA763" s="12"/>
      <c r="AB763" s="9"/>
      <c r="AC763" s="12"/>
      <c r="AD763" s="9"/>
      <c r="AE763" s="12"/>
      <c r="AF76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630000</v>
      </c>
      <c r="AG763" s="24"/>
      <c r="AH763" s="266">
        <f>Table4[[#This Row],[Date]]</f>
        <v>46070</v>
      </c>
      <c r="AI763" s="264" t="str">
        <f t="shared" si="144"/>
        <v>Feb</v>
      </c>
      <c r="AJ763" s="264" t="str">
        <f t="shared" si="145"/>
        <v>2026</v>
      </c>
      <c r="AK763" s="270" t="str">
        <f>Table4[[#This Row],[ကုန်သည်အမည်]]</f>
        <v>၀မ်းဒေါ်လာ</v>
      </c>
      <c r="AL763" s="270" t="str">
        <f>Table4[[#This Row],[Township]]</f>
        <v>Mudon</v>
      </c>
      <c r="AM763" s="271" t="str">
        <f>Table4[[#This Row],[WholeSales]]</f>
        <v>Mini Whole Sales</v>
      </c>
      <c r="AN763" s="272" t="str">
        <f>Table4[[#This Row],[Particular]]</f>
        <v>ကုန်ရောင်း(လက်ငင်း)</v>
      </c>
      <c r="AO763" s="273" t="str">
        <f>Table4[[#This Row],[StockName]]</f>
        <v>ဇေယျဝတီ  Red(ပု)</v>
      </c>
      <c r="AP763" s="268">
        <f>Table4[[#This Row],[Parking]]</f>
        <v>25</v>
      </c>
      <c r="AQ763" s="268">
        <f>Table4[[#This Row],[SalesBot]]</f>
        <v>350</v>
      </c>
      <c r="AR763" s="268">
        <f>Table4[[#This Row],[Liter]]</f>
        <v>224</v>
      </c>
    </row>
    <row r="764" spans="1:44" s="16" customFormat="1" hidden="1" x14ac:dyDescent="0.5">
      <c r="A764" s="3">
        <f t="shared" si="146"/>
        <v>2026</v>
      </c>
      <c r="B764" s="8">
        <f t="shared" si="147"/>
        <v>2</v>
      </c>
      <c r="C764" s="6">
        <v>46070</v>
      </c>
      <c r="D764" s="15">
        <f t="shared" ca="1" si="148"/>
        <v>46097</v>
      </c>
      <c r="E764" s="15" t="str">
        <f t="shared" ca="1" si="149"/>
        <v>0-Months</v>
      </c>
      <c r="F764" s="8" t="str">
        <f>VLOOKUP(N764,Stock[#Data],5,FALSE)</f>
        <v>BE</v>
      </c>
      <c r="G764" s="82" t="s">
        <v>1454</v>
      </c>
      <c r="H764" s="15"/>
      <c r="I764" s="7" t="s">
        <v>491</v>
      </c>
      <c r="J764" s="8" t="str">
        <f>VLOOKUP(I764,Customers[#Data],2,FALSE)</f>
        <v>ကိုဇော်လေး</v>
      </c>
      <c r="K764" s="15" t="str">
        <f>VLOOKUP(I764,Customers[#Data],4,FALSE)</f>
        <v>Mudon</v>
      </c>
      <c r="L764" s="15" t="str">
        <f>VLOOKUP(I764,Customers[#Data],5,FALSE)</f>
        <v>Van Sales</v>
      </c>
      <c r="M764" s="7" t="s">
        <v>6</v>
      </c>
      <c r="N764" s="7" t="s">
        <v>520</v>
      </c>
      <c r="O764" s="14" t="str">
        <f>VLOOKUP(N764,Stock[#Data],2,FALSE)</f>
        <v>ဇေယျဝတီ  Red(ပု)</v>
      </c>
      <c r="P764" s="44">
        <f>VLOOKUP(N764,Stock[#Data],3,FALSE)</f>
        <v>0.64</v>
      </c>
      <c r="Q764" s="3">
        <f>VLOOKUP(N764,Stock[#Data],4,FALSE)</f>
        <v>14</v>
      </c>
      <c r="R764" s="11"/>
      <c r="S764" s="45">
        <f>IFERROR(Table4[[#This Row],[Bottle]]/Table4[[#This Row],[ပါဝင်မှု]]+Table4[[#This Row],[SalesPK]],0)</f>
        <v>30</v>
      </c>
      <c r="T764" s="12">
        <v>30</v>
      </c>
      <c r="U764" s="10">
        <f>Table4[[#This Row],[ပါဝင်မှု]]*Table4[[#This Row],[SalesPK]]+Table4[[#This Row],[Bottle]]</f>
        <v>420</v>
      </c>
      <c r="V764" s="10">
        <f>Table4[[#This Row],[SalesBot]]*Table4[[#This Row],[ML]]</f>
        <v>268.8</v>
      </c>
      <c r="W764" s="1">
        <f>VLOOKUP(N764,Stock[#Data],6,FALSE)</f>
        <v>1800</v>
      </c>
      <c r="X764" s="8">
        <f>+Table4[[#This Row],[SalesBot]]*Table4[[#This Row],[နှုံး]]</f>
        <v>756000</v>
      </c>
      <c r="Y764" s="12"/>
      <c r="Z764" s="12"/>
      <c r="AA764" s="12"/>
      <c r="AB764" s="9"/>
      <c r="AC764" s="12"/>
      <c r="AD764" s="9"/>
      <c r="AE764" s="12"/>
      <c r="AF76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756000</v>
      </c>
      <c r="AG764" s="24"/>
      <c r="AH764" s="266">
        <f>Table4[[#This Row],[Date]]</f>
        <v>46070</v>
      </c>
      <c r="AI764" s="264" t="str">
        <f t="shared" si="144"/>
        <v>Feb</v>
      </c>
      <c r="AJ764" s="264" t="str">
        <f t="shared" si="145"/>
        <v>2026</v>
      </c>
      <c r="AK764" s="270" t="str">
        <f>Table4[[#This Row],[ကုန်သည်အမည်]]</f>
        <v>ကိုဇော်လေး</v>
      </c>
      <c r="AL764" s="270" t="str">
        <f>Table4[[#This Row],[Township]]</f>
        <v>Mudon</v>
      </c>
      <c r="AM764" s="271" t="str">
        <f>Table4[[#This Row],[WholeSales]]</f>
        <v>Van Sales</v>
      </c>
      <c r="AN764" s="272" t="str">
        <f>Table4[[#This Row],[Particular]]</f>
        <v>ကုန်ရောင်း(လက်ငင်း)</v>
      </c>
      <c r="AO764" s="273" t="str">
        <f>Table4[[#This Row],[StockName]]</f>
        <v>ဇေယျဝတီ  Red(ပု)</v>
      </c>
      <c r="AP764" s="268">
        <f>Table4[[#This Row],[Parking]]</f>
        <v>30</v>
      </c>
      <c r="AQ764" s="268">
        <f>Table4[[#This Row],[SalesBot]]</f>
        <v>420</v>
      </c>
      <c r="AR764" s="268">
        <f>Table4[[#This Row],[Liter]]</f>
        <v>268.8</v>
      </c>
    </row>
    <row r="765" spans="1:44" s="16" customFormat="1" hidden="1" x14ac:dyDescent="0.5">
      <c r="A765" s="3">
        <f t="shared" si="146"/>
        <v>2026</v>
      </c>
      <c r="B765" s="8">
        <f t="shared" si="147"/>
        <v>2</v>
      </c>
      <c r="C765" s="6">
        <v>46070</v>
      </c>
      <c r="D765" s="15">
        <f t="shared" ca="1" si="148"/>
        <v>46097</v>
      </c>
      <c r="E765" s="15" t="str">
        <f t="shared" ca="1" si="149"/>
        <v>0-Months</v>
      </c>
      <c r="F765" s="8" t="str">
        <f>VLOOKUP(N765,Stock[#Data],5,FALSE)</f>
        <v>BE</v>
      </c>
      <c r="G765" s="82" t="s">
        <v>1455</v>
      </c>
      <c r="H765" s="15"/>
      <c r="I765" s="7" t="s">
        <v>647</v>
      </c>
      <c r="J765" s="8" t="str">
        <f>VLOOKUP(I765,Customers[#Data],2,FALSE)</f>
        <v>အလင်းသစ်</v>
      </c>
      <c r="K765" s="15" t="str">
        <f>VLOOKUP(I765,Customers[#Data],4,FALSE)</f>
        <v>Mudon</v>
      </c>
      <c r="L765" s="15" t="str">
        <f>VLOOKUP(I765,Customers[#Data],5,FALSE)</f>
        <v>Van Sales</v>
      </c>
      <c r="M765" s="7" t="s">
        <v>6</v>
      </c>
      <c r="N765" s="7" t="s">
        <v>520</v>
      </c>
      <c r="O765" s="14" t="str">
        <f>VLOOKUP(N765,Stock[#Data],2,FALSE)</f>
        <v>ဇေယျဝတီ  Red(ပု)</v>
      </c>
      <c r="P765" s="44">
        <f>VLOOKUP(N765,Stock[#Data],3,FALSE)</f>
        <v>0.64</v>
      </c>
      <c r="Q765" s="3">
        <f>VLOOKUP(N765,Stock[#Data],4,FALSE)</f>
        <v>14</v>
      </c>
      <c r="R765" s="11"/>
      <c r="S765" s="45">
        <f>IFERROR(Table4[[#This Row],[Bottle]]/Table4[[#This Row],[ပါဝင်မှု]]+Table4[[#This Row],[SalesPK]],0)</f>
        <v>30</v>
      </c>
      <c r="T765" s="12">
        <v>30</v>
      </c>
      <c r="U765" s="10">
        <f>Table4[[#This Row],[ပါဝင်မှု]]*Table4[[#This Row],[SalesPK]]+Table4[[#This Row],[Bottle]]</f>
        <v>420</v>
      </c>
      <c r="V765" s="10">
        <f>Table4[[#This Row],[SalesBot]]*Table4[[#This Row],[ML]]</f>
        <v>268.8</v>
      </c>
      <c r="W765" s="1">
        <f>VLOOKUP(N765,Stock[#Data],6,FALSE)</f>
        <v>1800</v>
      </c>
      <c r="X765" s="8">
        <f>+Table4[[#This Row],[SalesBot]]*Table4[[#This Row],[နှုံး]]</f>
        <v>756000</v>
      </c>
      <c r="Y765" s="12"/>
      <c r="Z765" s="12"/>
      <c r="AA765" s="12"/>
      <c r="AB765" s="9"/>
      <c r="AC765" s="12"/>
      <c r="AD765" s="9"/>
      <c r="AE765" s="12"/>
      <c r="AF76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756000</v>
      </c>
      <c r="AG765" s="24"/>
      <c r="AH765" s="266">
        <f>Table4[[#This Row],[Date]]</f>
        <v>46070</v>
      </c>
      <c r="AI765" s="264" t="str">
        <f t="shared" si="144"/>
        <v>Feb</v>
      </c>
      <c r="AJ765" s="264" t="str">
        <f t="shared" si="145"/>
        <v>2026</v>
      </c>
      <c r="AK765" s="270" t="str">
        <f>Table4[[#This Row],[ကုန်သည်အမည်]]</f>
        <v>အလင်းသစ်</v>
      </c>
      <c r="AL765" s="270" t="str">
        <f>Table4[[#This Row],[Township]]</f>
        <v>Mudon</v>
      </c>
      <c r="AM765" s="271" t="str">
        <f>Table4[[#This Row],[WholeSales]]</f>
        <v>Van Sales</v>
      </c>
      <c r="AN765" s="272" t="str">
        <f>Table4[[#This Row],[Particular]]</f>
        <v>ကုန်ရောင်း(လက်ငင်း)</v>
      </c>
      <c r="AO765" s="273" t="str">
        <f>Table4[[#This Row],[StockName]]</f>
        <v>ဇေယျဝတီ  Red(ပု)</v>
      </c>
      <c r="AP765" s="268">
        <f>Table4[[#This Row],[Parking]]</f>
        <v>30</v>
      </c>
      <c r="AQ765" s="268">
        <f>Table4[[#This Row],[SalesBot]]</f>
        <v>420</v>
      </c>
      <c r="AR765" s="268">
        <f>Table4[[#This Row],[Liter]]</f>
        <v>268.8</v>
      </c>
    </row>
    <row r="766" spans="1:44" s="16" customFormat="1" hidden="1" x14ac:dyDescent="0.5">
      <c r="A766" s="3">
        <f t="shared" si="146"/>
        <v>2026</v>
      </c>
      <c r="B766" s="8">
        <f t="shared" si="147"/>
        <v>2</v>
      </c>
      <c r="C766" s="6">
        <v>46070</v>
      </c>
      <c r="D766" s="15">
        <f t="shared" ca="1" si="148"/>
        <v>46097</v>
      </c>
      <c r="E766" s="15" t="str">
        <f t="shared" ca="1" si="149"/>
        <v>0-Months</v>
      </c>
      <c r="F766" s="8" t="str">
        <f>VLOOKUP(N766,Stock[#Data],5,FALSE)</f>
        <v>BE</v>
      </c>
      <c r="G766" s="82" t="s">
        <v>1456</v>
      </c>
      <c r="H766" s="15"/>
      <c r="I766" s="7" t="s">
        <v>731</v>
      </c>
      <c r="J766" s="8" t="str">
        <f>VLOOKUP(I766,Customers[#Data],2,FALSE)</f>
        <v>ဘီလျှံနာ</v>
      </c>
      <c r="K766" s="15" t="str">
        <f>VLOOKUP(I766,Customers[#Data],4,FALSE)</f>
        <v>Maw La Myaing</v>
      </c>
      <c r="L766" s="15" t="str">
        <f>VLOOKUP(I766,Customers[#Data],5,FALSE)</f>
        <v>Van Sales</v>
      </c>
      <c r="M766" s="7" t="s">
        <v>6</v>
      </c>
      <c r="N766" s="7" t="s">
        <v>522</v>
      </c>
      <c r="O766" s="14" t="str">
        <f>VLOOKUP(N766,Stock[#Data],2,FALSE)</f>
        <v>ဒဂုံမန်ကျည်း ကော်ဘူး (1 Liter)</v>
      </c>
      <c r="P766" s="44">
        <f>VLOOKUP(N766,Stock[#Data],3,FALSE)</f>
        <v>1</v>
      </c>
      <c r="Q766" s="3">
        <f>VLOOKUP(N766,Stock[#Data],4,FALSE)</f>
        <v>12</v>
      </c>
      <c r="R766" s="11"/>
      <c r="S766" s="45">
        <f>IFERROR(Table4[[#This Row],[Bottle]]/Table4[[#This Row],[ပါဝင်မှု]]+Table4[[#This Row],[SalesPK]],0)</f>
        <v>1</v>
      </c>
      <c r="T766" s="12">
        <v>1</v>
      </c>
      <c r="U766" s="10">
        <f>Table4[[#This Row],[ပါဝင်မှု]]*Table4[[#This Row],[SalesPK]]+Table4[[#This Row],[Bottle]]</f>
        <v>12</v>
      </c>
      <c r="V766" s="10">
        <f>Table4[[#This Row],[SalesBot]]*Table4[[#This Row],[ML]]</f>
        <v>12</v>
      </c>
      <c r="W766" s="1">
        <f>VLOOKUP(N766,Stock[#Data],6,FALSE)</f>
        <v>1600</v>
      </c>
      <c r="X766" s="8">
        <f>+Table4[[#This Row],[SalesBot]]*Table4[[#This Row],[နှုံး]]</f>
        <v>19200</v>
      </c>
      <c r="Y766" s="12"/>
      <c r="Z766" s="12"/>
      <c r="AA766" s="12"/>
      <c r="AB766" s="9"/>
      <c r="AC766" s="12"/>
      <c r="AD766" s="9"/>
      <c r="AE766" s="12"/>
      <c r="AF76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766" s="24"/>
      <c r="AH766" s="266">
        <f>Table4[[#This Row],[Date]]</f>
        <v>46070</v>
      </c>
      <c r="AI766" s="264" t="str">
        <f t="shared" si="144"/>
        <v>Feb</v>
      </c>
      <c r="AJ766" s="264" t="str">
        <f t="shared" si="145"/>
        <v>2026</v>
      </c>
      <c r="AK766" s="270" t="str">
        <f>Table4[[#This Row],[ကုန်သည်အမည်]]</f>
        <v>ဘီလျှံနာ</v>
      </c>
      <c r="AL766" s="270" t="str">
        <f>Table4[[#This Row],[Township]]</f>
        <v>Maw La Myaing</v>
      </c>
      <c r="AM766" s="271" t="str">
        <f>Table4[[#This Row],[WholeSales]]</f>
        <v>Van Sales</v>
      </c>
      <c r="AN766" s="272" t="str">
        <f>Table4[[#This Row],[Particular]]</f>
        <v>ကုန်ရောင်း(လက်ငင်း)</v>
      </c>
      <c r="AO766" s="273" t="str">
        <f>Table4[[#This Row],[StockName]]</f>
        <v>ဒဂုံမန်ကျည်း ကော်ဘူး (1 Liter)</v>
      </c>
      <c r="AP766" s="268">
        <f>Table4[[#This Row],[Parking]]</f>
        <v>1</v>
      </c>
      <c r="AQ766" s="268">
        <f>Table4[[#This Row],[SalesBot]]</f>
        <v>12</v>
      </c>
      <c r="AR766" s="268">
        <f>Table4[[#This Row],[Liter]]</f>
        <v>12</v>
      </c>
    </row>
    <row r="767" spans="1:44" s="16" customFormat="1" hidden="1" x14ac:dyDescent="0.5">
      <c r="A767" s="3">
        <f t="shared" si="146"/>
        <v>2026</v>
      </c>
      <c r="B767" s="8">
        <f t="shared" si="147"/>
        <v>2</v>
      </c>
      <c r="C767" s="6">
        <v>46070</v>
      </c>
      <c r="D767" s="15">
        <f t="shared" ca="1" si="148"/>
        <v>46097</v>
      </c>
      <c r="E767" s="15" t="str">
        <f t="shared" ca="1" si="149"/>
        <v>0-Months</v>
      </c>
      <c r="F767" s="8" t="str">
        <f>VLOOKUP(N767,Stock[#Data],5,FALSE)</f>
        <v>BE</v>
      </c>
      <c r="G767" s="82" t="s">
        <v>1456</v>
      </c>
      <c r="H767" s="15"/>
      <c r="I767" s="7" t="s">
        <v>731</v>
      </c>
      <c r="J767" s="8" t="str">
        <f>VLOOKUP(I767,Customers[#Data],2,FALSE)</f>
        <v>ဘီလျှံနာ</v>
      </c>
      <c r="K767" s="15" t="str">
        <f>VLOOKUP(I767,Customers[#Data],4,FALSE)</f>
        <v>Maw La Myaing</v>
      </c>
      <c r="L767" s="15" t="str">
        <f>VLOOKUP(I767,Customers[#Data],5,FALSE)</f>
        <v>Van Sales</v>
      </c>
      <c r="M767" s="7" t="s">
        <v>6</v>
      </c>
      <c r="N767" s="7" t="s">
        <v>508</v>
      </c>
      <c r="O767" s="14" t="str">
        <f>VLOOKUP(N767,Stock[#Data],2,FALSE)</f>
        <v>ကောင်းကြည်-1Li</v>
      </c>
      <c r="P767" s="44">
        <f>VLOOKUP(N767,Stock[#Data],3,FALSE)</f>
        <v>1</v>
      </c>
      <c r="Q767" s="3">
        <f>VLOOKUP(N767,Stock[#Data],4,FALSE)</f>
        <v>12</v>
      </c>
      <c r="R767" s="11"/>
      <c r="S767" s="45">
        <f>IFERROR(Table4[[#This Row],[Bottle]]/Table4[[#This Row],[ပါဝင်မှု]]+Table4[[#This Row],[SalesPK]],0)</f>
        <v>1</v>
      </c>
      <c r="T767" s="12">
        <v>1</v>
      </c>
      <c r="U767" s="10">
        <f>Table4[[#This Row],[ပါဝင်မှု]]*Table4[[#This Row],[SalesPK]]+Table4[[#This Row],[Bottle]]</f>
        <v>12</v>
      </c>
      <c r="V767" s="10">
        <f>Table4[[#This Row],[SalesBot]]*Table4[[#This Row],[ML]]</f>
        <v>12</v>
      </c>
      <c r="W767" s="1">
        <f>VLOOKUP(N767,Stock[#Data],6,FALSE)</f>
        <v>1850</v>
      </c>
      <c r="X767" s="8">
        <f>+Table4[[#This Row],[SalesBot]]*Table4[[#This Row],[နှုံး]]</f>
        <v>22200</v>
      </c>
      <c r="Y767" s="12"/>
      <c r="Z767" s="12"/>
      <c r="AA767" s="12"/>
      <c r="AB767" s="9"/>
      <c r="AC767" s="12"/>
      <c r="AD767" s="9"/>
      <c r="AE767" s="12"/>
      <c r="AF76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767" s="24"/>
      <c r="AH767" s="266">
        <f>Table4[[#This Row],[Date]]</f>
        <v>46070</v>
      </c>
      <c r="AI767" s="264" t="str">
        <f t="shared" si="144"/>
        <v>Feb</v>
      </c>
      <c r="AJ767" s="264" t="str">
        <f t="shared" si="145"/>
        <v>2026</v>
      </c>
      <c r="AK767" s="270" t="str">
        <f>Table4[[#This Row],[ကုန်သည်အမည်]]</f>
        <v>ဘီလျှံနာ</v>
      </c>
      <c r="AL767" s="270" t="str">
        <f>Table4[[#This Row],[Township]]</f>
        <v>Maw La Myaing</v>
      </c>
      <c r="AM767" s="271" t="str">
        <f>Table4[[#This Row],[WholeSales]]</f>
        <v>Van Sales</v>
      </c>
      <c r="AN767" s="272" t="str">
        <f>Table4[[#This Row],[Particular]]</f>
        <v>ကုန်ရောင်း(လက်ငင်း)</v>
      </c>
      <c r="AO767" s="273" t="str">
        <f>Table4[[#This Row],[StockName]]</f>
        <v>ကောင်းကြည်-1Li</v>
      </c>
      <c r="AP767" s="268">
        <f>Table4[[#This Row],[Parking]]</f>
        <v>1</v>
      </c>
      <c r="AQ767" s="268">
        <f>Table4[[#This Row],[SalesBot]]</f>
        <v>12</v>
      </c>
      <c r="AR767" s="268">
        <f>Table4[[#This Row],[Liter]]</f>
        <v>12</v>
      </c>
    </row>
    <row r="768" spans="1:44" s="16" customFormat="1" hidden="1" x14ac:dyDescent="0.5">
      <c r="A768" s="3">
        <f t="shared" si="146"/>
        <v>2026</v>
      </c>
      <c r="B768" s="8">
        <f t="shared" si="147"/>
        <v>2</v>
      </c>
      <c r="C768" s="6">
        <v>46070</v>
      </c>
      <c r="D768" s="15">
        <f t="shared" ca="1" si="148"/>
        <v>46097</v>
      </c>
      <c r="E768" s="15" t="str">
        <f t="shared" ca="1" si="149"/>
        <v>0-Months</v>
      </c>
      <c r="F768" s="8" t="str">
        <f>VLOOKUP(N768,Stock[#Data],5,FALSE)</f>
        <v>BE</v>
      </c>
      <c r="G768" s="82" t="s">
        <v>1456</v>
      </c>
      <c r="H768" s="15"/>
      <c r="I768" s="7" t="s">
        <v>731</v>
      </c>
      <c r="J768" s="8" t="str">
        <f>VLOOKUP(I768,Customers[#Data],2,FALSE)</f>
        <v>ဘီလျှံနာ</v>
      </c>
      <c r="K768" s="15" t="str">
        <f>VLOOKUP(I768,Customers[#Data],4,FALSE)</f>
        <v>Maw La Myaing</v>
      </c>
      <c r="L768" s="15" t="str">
        <f>VLOOKUP(I768,Customers[#Data],5,FALSE)</f>
        <v>Van Sales</v>
      </c>
      <c r="M768" s="7" t="s">
        <v>9</v>
      </c>
      <c r="N768" s="7" t="s">
        <v>522</v>
      </c>
      <c r="O768" s="14" t="str">
        <f>VLOOKUP(N768,Stock[#Data],2,FALSE)</f>
        <v>ဒဂုံမန်ကျည်း ကော်ဘူး (1 Liter)</v>
      </c>
      <c r="P768" s="44">
        <f>VLOOKUP(N768,Stock[#Data],3,FALSE)</f>
        <v>1</v>
      </c>
      <c r="Q768" s="3">
        <f>VLOOKUP(N768,Stock[#Data],4,FALSE)</f>
        <v>12</v>
      </c>
      <c r="R768" s="11">
        <v>1</v>
      </c>
      <c r="S768" s="45">
        <f>IFERROR(Table4[[#This Row],[Bottle]]/Table4[[#This Row],[ပါဝင်မှု]]+Table4[[#This Row],[SalesPK]],0)</f>
        <v>8.3333333333333329E-2</v>
      </c>
      <c r="T768" s="12"/>
      <c r="U768" s="10">
        <f>Table4[[#This Row],[ပါဝင်မှု]]*Table4[[#This Row],[SalesPK]]+Table4[[#This Row],[Bottle]]</f>
        <v>1</v>
      </c>
      <c r="V768" s="10">
        <f>Table4[[#This Row],[SalesBot]]*Table4[[#This Row],[ML]]</f>
        <v>1</v>
      </c>
      <c r="W768" s="1">
        <f>VLOOKUP(N768,Stock[#Data],6,FALSE)</f>
        <v>1600</v>
      </c>
      <c r="X768" s="8">
        <f>+Table4[[#This Row],[SalesBot]]*Table4[[#This Row],[နှုံး]]</f>
        <v>1600</v>
      </c>
      <c r="Y768" s="12"/>
      <c r="Z768" s="12"/>
      <c r="AA768" s="12"/>
      <c r="AB768" s="9"/>
      <c r="AC768" s="12"/>
      <c r="AD768" s="9"/>
      <c r="AE768" s="12"/>
      <c r="AF76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768" s="24"/>
      <c r="AH768" s="266">
        <f>Table4[[#This Row],[Date]]</f>
        <v>46070</v>
      </c>
      <c r="AI768" s="264" t="str">
        <f t="shared" si="144"/>
        <v>Feb</v>
      </c>
      <c r="AJ768" s="264" t="str">
        <f t="shared" si="145"/>
        <v>2026</v>
      </c>
      <c r="AK768" s="270" t="str">
        <f>Table4[[#This Row],[ကုန်သည်အမည်]]</f>
        <v>ဘီလျှံနာ</v>
      </c>
      <c r="AL768" s="270" t="str">
        <f>Table4[[#This Row],[Township]]</f>
        <v>Maw La Myaing</v>
      </c>
      <c r="AM768" s="271" t="str">
        <f>Table4[[#This Row],[WholeSales]]</f>
        <v>Van Sales</v>
      </c>
      <c r="AN768" s="272" t="str">
        <f>Table4[[#This Row],[Particular]]</f>
        <v>လက်ဆောင်</v>
      </c>
      <c r="AO768" s="273" t="str">
        <f>Table4[[#This Row],[StockName]]</f>
        <v>ဒဂုံမန်ကျည်း ကော်ဘူး (1 Liter)</v>
      </c>
      <c r="AP768" s="268">
        <f>Table4[[#This Row],[Parking]]</f>
        <v>8.3333333333333329E-2</v>
      </c>
      <c r="AQ768" s="268">
        <f>Table4[[#This Row],[SalesBot]]</f>
        <v>1</v>
      </c>
      <c r="AR768" s="268">
        <f>Table4[[#This Row],[Liter]]</f>
        <v>1</v>
      </c>
    </row>
    <row r="769" spans="1:44" s="16" customFormat="1" hidden="1" x14ac:dyDescent="0.5">
      <c r="A769" s="3">
        <f t="shared" si="146"/>
        <v>2026</v>
      </c>
      <c r="B769" s="8">
        <f t="shared" si="147"/>
        <v>2</v>
      </c>
      <c r="C769" s="6">
        <v>46070</v>
      </c>
      <c r="D769" s="15">
        <f t="shared" ca="1" si="148"/>
        <v>46097</v>
      </c>
      <c r="E769" s="15" t="str">
        <f t="shared" ca="1" si="149"/>
        <v>0-Months</v>
      </c>
      <c r="F769" s="8" t="str">
        <f>VLOOKUP(N769,Stock[#Data],5,FALSE)</f>
        <v>BE</v>
      </c>
      <c r="G769" s="82" t="s">
        <v>1456</v>
      </c>
      <c r="H769" s="15"/>
      <c r="I769" s="7" t="s">
        <v>731</v>
      </c>
      <c r="J769" s="8" t="str">
        <f>VLOOKUP(I769,Customers[#Data],2,FALSE)</f>
        <v>ဘီလျှံနာ</v>
      </c>
      <c r="K769" s="15" t="str">
        <f>VLOOKUP(I769,Customers[#Data],4,FALSE)</f>
        <v>Maw La Myaing</v>
      </c>
      <c r="L769" s="15" t="str">
        <f>VLOOKUP(I769,Customers[#Data],5,FALSE)</f>
        <v>Van Sales</v>
      </c>
      <c r="M769" s="7" t="s">
        <v>9</v>
      </c>
      <c r="N769" s="7" t="s">
        <v>508</v>
      </c>
      <c r="O769" s="14" t="str">
        <f>VLOOKUP(N769,Stock[#Data],2,FALSE)</f>
        <v>ကောင်းကြည်-1Li</v>
      </c>
      <c r="P769" s="44">
        <f>VLOOKUP(N769,Stock[#Data],3,FALSE)</f>
        <v>1</v>
      </c>
      <c r="Q769" s="3">
        <f>VLOOKUP(N769,Stock[#Data],4,FALSE)</f>
        <v>12</v>
      </c>
      <c r="R769" s="11">
        <v>1</v>
      </c>
      <c r="S769" s="45">
        <f>IFERROR(Table4[[#This Row],[Bottle]]/Table4[[#This Row],[ပါဝင်မှု]]+Table4[[#This Row],[SalesPK]],0)</f>
        <v>8.3333333333333329E-2</v>
      </c>
      <c r="T769" s="12"/>
      <c r="U769" s="10">
        <f>Table4[[#This Row],[ပါဝင်မှု]]*Table4[[#This Row],[SalesPK]]+Table4[[#This Row],[Bottle]]</f>
        <v>1</v>
      </c>
      <c r="V769" s="10">
        <f>Table4[[#This Row],[SalesBot]]*Table4[[#This Row],[ML]]</f>
        <v>1</v>
      </c>
      <c r="W769" s="1">
        <f>VLOOKUP(N769,Stock[#Data],6,FALSE)</f>
        <v>1850</v>
      </c>
      <c r="X769" s="8">
        <f>+Table4[[#This Row],[SalesBot]]*Table4[[#This Row],[နှုံး]]</f>
        <v>1850</v>
      </c>
      <c r="Y769" s="12"/>
      <c r="Z769" s="12"/>
      <c r="AA769" s="12"/>
      <c r="AB769" s="9"/>
      <c r="AC769" s="12"/>
      <c r="AD769" s="9"/>
      <c r="AE769" s="12"/>
      <c r="AF76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769" s="24"/>
      <c r="AH769" s="266">
        <f>Table4[[#This Row],[Date]]</f>
        <v>46070</v>
      </c>
      <c r="AI769" s="264" t="str">
        <f t="shared" si="144"/>
        <v>Feb</v>
      </c>
      <c r="AJ769" s="264" t="str">
        <f t="shared" si="145"/>
        <v>2026</v>
      </c>
      <c r="AK769" s="270" t="str">
        <f>Table4[[#This Row],[ကုန်သည်အမည်]]</f>
        <v>ဘီလျှံနာ</v>
      </c>
      <c r="AL769" s="270" t="str">
        <f>Table4[[#This Row],[Township]]</f>
        <v>Maw La Myaing</v>
      </c>
      <c r="AM769" s="271" t="str">
        <f>Table4[[#This Row],[WholeSales]]</f>
        <v>Van Sales</v>
      </c>
      <c r="AN769" s="272" t="str">
        <f>Table4[[#This Row],[Particular]]</f>
        <v>လက်ဆောင်</v>
      </c>
      <c r="AO769" s="273" t="str">
        <f>Table4[[#This Row],[StockName]]</f>
        <v>ကောင်းကြည်-1Li</v>
      </c>
      <c r="AP769" s="268">
        <f>Table4[[#This Row],[Parking]]</f>
        <v>8.3333333333333329E-2</v>
      </c>
      <c r="AQ769" s="268">
        <f>Table4[[#This Row],[SalesBot]]</f>
        <v>1</v>
      </c>
      <c r="AR769" s="268">
        <f>Table4[[#This Row],[Liter]]</f>
        <v>1</v>
      </c>
    </row>
    <row r="770" spans="1:44" s="16" customFormat="1" hidden="1" x14ac:dyDescent="0.5">
      <c r="A770" s="3">
        <f t="shared" si="146"/>
        <v>2026</v>
      </c>
      <c r="B770" s="8">
        <f t="shared" si="147"/>
        <v>2</v>
      </c>
      <c r="C770" s="6">
        <v>46070</v>
      </c>
      <c r="D770" s="15">
        <f t="shared" ca="1" si="148"/>
        <v>46097</v>
      </c>
      <c r="E770" s="15" t="str">
        <f t="shared" ca="1" si="149"/>
        <v>0-Months</v>
      </c>
      <c r="F770" s="8" t="str">
        <f>VLOOKUP(N770,Stock[#Data],5,FALSE)</f>
        <v>BE</v>
      </c>
      <c r="G770" s="82" t="s">
        <v>1457</v>
      </c>
      <c r="H770" s="15"/>
      <c r="I770" s="7" t="s">
        <v>546</v>
      </c>
      <c r="J770" s="8" t="str">
        <f>VLOOKUP(I770,Customers[#Data],2,FALSE)</f>
        <v>မသီတာ၀င်း</v>
      </c>
      <c r="K770" s="15" t="str">
        <f>VLOOKUP(I770,Customers[#Data],4,FALSE)</f>
        <v>Mudon</v>
      </c>
      <c r="L770" s="15" t="str">
        <f>VLOOKUP(I770,Customers[#Data],5,FALSE)</f>
        <v>SemiWholeSales</v>
      </c>
      <c r="M770" s="7" t="s">
        <v>6</v>
      </c>
      <c r="N770" s="7" t="s">
        <v>520</v>
      </c>
      <c r="O770" s="14" t="str">
        <f>VLOOKUP(N770,Stock[#Data],2,FALSE)</f>
        <v>ဇေယျဝတီ  Red(ပု)</v>
      </c>
      <c r="P770" s="44">
        <f>VLOOKUP(N770,Stock[#Data],3,FALSE)</f>
        <v>0.64</v>
      </c>
      <c r="Q770" s="3">
        <f>VLOOKUP(N770,Stock[#Data],4,FALSE)</f>
        <v>14</v>
      </c>
      <c r="R770" s="11"/>
      <c r="S770" s="45">
        <f>IFERROR(Table4[[#This Row],[Bottle]]/Table4[[#This Row],[ပါဝင်မှု]]+Table4[[#This Row],[SalesPK]],0)</f>
        <v>50</v>
      </c>
      <c r="T770" s="12">
        <v>50</v>
      </c>
      <c r="U770" s="10">
        <f>Table4[[#This Row],[ပါဝင်မှု]]*Table4[[#This Row],[SalesPK]]+Table4[[#This Row],[Bottle]]</f>
        <v>700</v>
      </c>
      <c r="V770" s="10">
        <f>Table4[[#This Row],[SalesBot]]*Table4[[#This Row],[ML]]</f>
        <v>448</v>
      </c>
      <c r="W770" s="1">
        <f>VLOOKUP(N770,Stock[#Data],6,FALSE)</f>
        <v>1800</v>
      </c>
      <c r="X770" s="8">
        <f>+Table4[[#This Row],[SalesBot]]*Table4[[#This Row],[နှုံး]]</f>
        <v>1260000</v>
      </c>
      <c r="Y770" s="12"/>
      <c r="Z770" s="12"/>
      <c r="AA770" s="12"/>
      <c r="AB770" s="9"/>
      <c r="AC770" s="12"/>
      <c r="AD770" s="9"/>
      <c r="AE770" s="12"/>
      <c r="AF77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770" s="24"/>
      <c r="AH770" s="266">
        <f>Table4[[#This Row],[Date]]</f>
        <v>46070</v>
      </c>
      <c r="AI770" s="264" t="str">
        <f t="shared" si="144"/>
        <v>Feb</v>
      </c>
      <c r="AJ770" s="264" t="str">
        <f t="shared" si="145"/>
        <v>2026</v>
      </c>
      <c r="AK770" s="270" t="str">
        <f>Table4[[#This Row],[ကုန်သည်အမည်]]</f>
        <v>မသီတာ၀င်း</v>
      </c>
      <c r="AL770" s="270" t="str">
        <f>Table4[[#This Row],[Township]]</f>
        <v>Mudon</v>
      </c>
      <c r="AM770" s="271" t="str">
        <f>Table4[[#This Row],[WholeSales]]</f>
        <v>SemiWholeSales</v>
      </c>
      <c r="AN770" s="272" t="str">
        <f>Table4[[#This Row],[Particular]]</f>
        <v>ကုန်ရောင်း(လက်ငင်း)</v>
      </c>
      <c r="AO770" s="273" t="str">
        <f>Table4[[#This Row],[StockName]]</f>
        <v>ဇေယျဝတီ  Red(ပု)</v>
      </c>
      <c r="AP770" s="268">
        <f>Table4[[#This Row],[Parking]]</f>
        <v>50</v>
      </c>
      <c r="AQ770" s="268">
        <f>Table4[[#This Row],[SalesBot]]</f>
        <v>700</v>
      </c>
      <c r="AR770" s="268">
        <f>Table4[[#This Row],[Liter]]</f>
        <v>448</v>
      </c>
    </row>
    <row r="771" spans="1:44" s="16" customFormat="1" hidden="1" x14ac:dyDescent="0.5">
      <c r="A771" s="3">
        <f t="shared" si="146"/>
        <v>2026</v>
      </c>
      <c r="B771" s="8">
        <f t="shared" si="147"/>
        <v>2</v>
      </c>
      <c r="C771" s="6">
        <v>46071</v>
      </c>
      <c r="D771" s="15">
        <f t="shared" ca="1" si="148"/>
        <v>46097</v>
      </c>
      <c r="E771" s="15" t="str">
        <f t="shared" ca="1" si="149"/>
        <v>0-Months</v>
      </c>
      <c r="F771" s="8" t="str">
        <f>VLOOKUP(N771,Stock[#Data],5,FALSE)</f>
        <v>BE</v>
      </c>
      <c r="G771" s="82" t="s">
        <v>1458</v>
      </c>
      <c r="H771" s="15"/>
      <c r="I771" s="7" t="s">
        <v>93</v>
      </c>
      <c r="J771" s="8" t="str">
        <f>VLOOKUP(I771,Customers[#Data],2,FALSE)</f>
        <v>မဝင့်ဝါထိုက်(ရွှေပင်လယ်)</v>
      </c>
      <c r="K771" s="15" t="str">
        <f>VLOOKUP(I771,Customers[#Data],4,FALSE)</f>
        <v>Yay</v>
      </c>
      <c r="L771" s="15" t="str">
        <f>VLOOKUP(I771,Customers[#Data],5,FALSE)</f>
        <v>WholeSales</v>
      </c>
      <c r="M771" s="7" t="s">
        <v>120</v>
      </c>
      <c r="N771" s="7" t="s">
        <v>517</v>
      </c>
      <c r="O771" s="14" t="str">
        <f>VLOOKUP(N771,Stock[#Data],2,FALSE)</f>
        <v>ဇေယျဝတီ Red (1 Liter) 30%</v>
      </c>
      <c r="P771" s="44">
        <f>VLOOKUP(N771,Stock[#Data],3,FALSE)</f>
        <v>1</v>
      </c>
      <c r="Q771" s="3">
        <f>VLOOKUP(N771,Stock[#Data],4,FALSE)</f>
        <v>12</v>
      </c>
      <c r="R771" s="11"/>
      <c r="S771" s="45">
        <f>IFERROR(Table4[[#This Row],[Bottle]]/Table4[[#This Row],[ပါဝင်မှု]]+Table4[[#This Row],[SalesPK]],0)</f>
        <v>100</v>
      </c>
      <c r="T771" s="12">
        <v>100</v>
      </c>
      <c r="U771" s="10">
        <f>Table4[[#This Row],[ပါဝင်မှု]]*Table4[[#This Row],[SalesPK]]+Table4[[#This Row],[Bottle]]</f>
        <v>1200</v>
      </c>
      <c r="V771" s="10">
        <f>Table4[[#This Row],[SalesBot]]*Table4[[#This Row],[ML]]</f>
        <v>1200</v>
      </c>
      <c r="W771" s="1">
        <f>VLOOKUP(N771,Stock[#Data],6,FALSE)</f>
        <v>1710</v>
      </c>
      <c r="X771" s="8">
        <f>+Table4[[#This Row],[SalesBot]]*Table4[[#This Row],[နှုံး]]</f>
        <v>2052000</v>
      </c>
      <c r="Y771" s="12"/>
      <c r="Z771" s="12"/>
      <c r="AA771" s="12"/>
      <c r="AB771" s="9"/>
      <c r="AC771" s="12"/>
      <c r="AD771" s="9"/>
      <c r="AE771" s="12"/>
      <c r="AF77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771" s="24"/>
      <c r="AH771" s="266">
        <f>Table4[[#This Row],[Date]]</f>
        <v>46071</v>
      </c>
      <c r="AI771" s="264" t="str">
        <f t="shared" si="144"/>
        <v>Feb</v>
      </c>
      <c r="AJ771" s="264" t="str">
        <f t="shared" si="145"/>
        <v>2026</v>
      </c>
      <c r="AK771" s="270" t="str">
        <f>Table4[[#This Row],[ကုန်သည်အမည်]]</f>
        <v>မဝင့်ဝါထိုက်(ရွှေပင်လယ်)</v>
      </c>
      <c r="AL771" s="270" t="str">
        <f>Table4[[#This Row],[Township]]</f>
        <v>Yay</v>
      </c>
      <c r="AM771" s="271" t="str">
        <f>Table4[[#This Row],[WholeSales]]</f>
        <v>WholeSales</v>
      </c>
      <c r="AN771" s="272" t="str">
        <f>Table4[[#This Row],[Particular]]</f>
        <v>ကြိုရောင်း</v>
      </c>
      <c r="AO771" s="273" t="str">
        <f>Table4[[#This Row],[StockName]]</f>
        <v>ဇေယျဝတီ Red (1 Liter) 30%</v>
      </c>
      <c r="AP771" s="268">
        <f>Table4[[#This Row],[Parking]]</f>
        <v>100</v>
      </c>
      <c r="AQ771" s="268">
        <f>Table4[[#This Row],[SalesBot]]</f>
        <v>1200</v>
      </c>
      <c r="AR771" s="268">
        <f>Table4[[#This Row],[Liter]]</f>
        <v>1200</v>
      </c>
    </row>
    <row r="772" spans="1:44" s="16" customFormat="1" hidden="1" x14ac:dyDescent="0.5">
      <c r="A772" s="3">
        <f t="shared" si="146"/>
        <v>2026</v>
      </c>
      <c r="B772" s="8">
        <f t="shared" si="147"/>
        <v>2</v>
      </c>
      <c r="C772" s="6">
        <v>46071</v>
      </c>
      <c r="D772" s="15">
        <f t="shared" ca="1" si="148"/>
        <v>46097</v>
      </c>
      <c r="E772" s="15" t="str">
        <f t="shared" ca="1" si="149"/>
        <v>0-Months</v>
      </c>
      <c r="F772" s="8" t="str">
        <f>VLOOKUP(N772,Stock[#Data],5,FALSE)</f>
        <v>BE</v>
      </c>
      <c r="G772" s="82" t="s">
        <v>1458</v>
      </c>
      <c r="H772" s="15"/>
      <c r="I772" s="7" t="s">
        <v>93</v>
      </c>
      <c r="J772" s="8" t="str">
        <f>VLOOKUP(I772,Customers[#Data],2,FALSE)</f>
        <v>မဝင့်ဝါထိုက်(ရွှေပင်လယ်)</v>
      </c>
      <c r="K772" s="15" t="str">
        <f>VLOOKUP(I772,Customers[#Data],4,FALSE)</f>
        <v>Yay</v>
      </c>
      <c r="L772" s="15" t="str">
        <f>VLOOKUP(I772,Customers[#Data],5,FALSE)</f>
        <v>WholeSales</v>
      </c>
      <c r="M772" s="7" t="s">
        <v>9</v>
      </c>
      <c r="N772" s="7" t="s">
        <v>522</v>
      </c>
      <c r="O772" s="14" t="str">
        <f>VLOOKUP(N772,Stock[#Data],2,FALSE)</f>
        <v>ဒဂုံမန်ကျည်း ကော်ဘူး (1 Liter)</v>
      </c>
      <c r="P772" s="44">
        <f>VLOOKUP(N772,Stock[#Data],3,FALSE)</f>
        <v>1</v>
      </c>
      <c r="Q772" s="3">
        <f>VLOOKUP(N772,Stock[#Data],4,FALSE)</f>
        <v>12</v>
      </c>
      <c r="R772" s="11">
        <v>6</v>
      </c>
      <c r="S772" s="45">
        <f>IFERROR(Table4[[#This Row],[Bottle]]/Table4[[#This Row],[ပါဝင်မှု]]+Table4[[#This Row],[SalesPK]],0)</f>
        <v>0.5</v>
      </c>
      <c r="T772" s="12"/>
      <c r="U772" s="10">
        <f>Table4[[#This Row],[ပါဝင်မှု]]*Table4[[#This Row],[SalesPK]]+Table4[[#This Row],[Bottle]]</f>
        <v>6</v>
      </c>
      <c r="V772" s="10">
        <f>Table4[[#This Row],[SalesBot]]*Table4[[#This Row],[ML]]</f>
        <v>6</v>
      </c>
      <c r="W772" s="1">
        <f>VLOOKUP(N772,Stock[#Data],6,FALSE)</f>
        <v>1600</v>
      </c>
      <c r="X772" s="8">
        <f>+Table4[[#This Row],[SalesBot]]*Table4[[#This Row],[နှုံး]]</f>
        <v>9600</v>
      </c>
      <c r="Y772" s="12"/>
      <c r="Z772" s="12"/>
      <c r="AA772" s="12"/>
      <c r="AB772" s="9"/>
      <c r="AC772" s="12"/>
      <c r="AD772" s="9"/>
      <c r="AE772" s="12"/>
      <c r="AF77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9600</v>
      </c>
      <c r="AG772" s="24"/>
      <c r="AH772" s="266">
        <f>Table4[[#This Row],[Date]]</f>
        <v>46071</v>
      </c>
      <c r="AI772" s="264" t="str">
        <f t="shared" si="144"/>
        <v>Feb</v>
      </c>
      <c r="AJ772" s="264" t="str">
        <f t="shared" si="145"/>
        <v>2026</v>
      </c>
      <c r="AK772" s="270" t="str">
        <f>Table4[[#This Row],[ကုန်သည်အမည်]]</f>
        <v>မဝင့်ဝါထိုက်(ရွှေပင်လယ်)</v>
      </c>
      <c r="AL772" s="270" t="str">
        <f>Table4[[#This Row],[Township]]</f>
        <v>Yay</v>
      </c>
      <c r="AM772" s="271" t="str">
        <f>Table4[[#This Row],[WholeSales]]</f>
        <v>WholeSales</v>
      </c>
      <c r="AN772" s="272" t="str">
        <f>Table4[[#This Row],[Particular]]</f>
        <v>လက်ဆောင်</v>
      </c>
      <c r="AO772" s="273" t="str">
        <f>Table4[[#This Row],[StockName]]</f>
        <v>ဒဂုံမန်ကျည်း ကော်ဘူး (1 Liter)</v>
      </c>
      <c r="AP772" s="268">
        <f>Table4[[#This Row],[Parking]]</f>
        <v>0.5</v>
      </c>
      <c r="AQ772" s="268">
        <f>Table4[[#This Row],[SalesBot]]</f>
        <v>6</v>
      </c>
      <c r="AR772" s="268">
        <f>Table4[[#This Row],[Liter]]</f>
        <v>6</v>
      </c>
    </row>
    <row r="773" spans="1:44" s="16" customFormat="1" hidden="1" x14ac:dyDescent="0.5">
      <c r="A773" s="3">
        <f t="shared" si="146"/>
        <v>2026</v>
      </c>
      <c r="B773" s="8">
        <f t="shared" si="147"/>
        <v>2</v>
      </c>
      <c r="C773" s="6">
        <v>46071</v>
      </c>
      <c r="D773" s="15">
        <f t="shared" ca="1" si="148"/>
        <v>46097</v>
      </c>
      <c r="E773" s="15" t="str">
        <f t="shared" ca="1" si="149"/>
        <v>0-Months</v>
      </c>
      <c r="F773" s="8" t="str">
        <f>VLOOKUP(N773,Stock[#Data],5,FALSE)</f>
        <v>BE</v>
      </c>
      <c r="G773" s="82" t="s">
        <v>1458</v>
      </c>
      <c r="H773" s="15"/>
      <c r="I773" s="7" t="s">
        <v>93</v>
      </c>
      <c r="J773" s="8" t="str">
        <f>VLOOKUP(I773,Customers[#Data],2,FALSE)</f>
        <v>မဝင့်ဝါထိုက်(ရွှေပင်လယ်)</v>
      </c>
      <c r="K773" s="15" t="str">
        <f>VLOOKUP(I773,Customers[#Data],4,FALSE)</f>
        <v>Yay</v>
      </c>
      <c r="L773" s="15" t="str">
        <f>VLOOKUP(I773,Customers[#Data],5,FALSE)</f>
        <v>WholeSales</v>
      </c>
      <c r="M773" s="7" t="s">
        <v>9</v>
      </c>
      <c r="N773" s="7" t="s">
        <v>425</v>
      </c>
      <c r="O773" s="14" t="str">
        <f>VLOOKUP(N773,Stock[#Data],2,FALSE)</f>
        <v>ကောင်းကြည်-1Li</v>
      </c>
      <c r="P773" s="44">
        <f>VLOOKUP(N773,Stock[#Data],3,FALSE)</f>
        <v>1</v>
      </c>
      <c r="Q773" s="3">
        <f>VLOOKUP(N773,Stock[#Data],4,FALSE)</f>
        <v>12</v>
      </c>
      <c r="R773" s="11">
        <v>3</v>
      </c>
      <c r="S773" s="45">
        <f>IFERROR(Table4[[#This Row],[Bottle]]/Table4[[#This Row],[ပါဝင်မှု]]+Table4[[#This Row],[SalesPK]],0)</f>
        <v>0.25</v>
      </c>
      <c r="T773" s="12"/>
      <c r="U773" s="10">
        <f>Table4[[#This Row],[ပါဝင်မှု]]*Table4[[#This Row],[SalesPK]]+Table4[[#This Row],[Bottle]]</f>
        <v>3</v>
      </c>
      <c r="V773" s="10">
        <f>Table4[[#This Row],[SalesBot]]*Table4[[#This Row],[ML]]</f>
        <v>3</v>
      </c>
      <c r="W773" s="1">
        <f>VLOOKUP(N773,Stock[#Data],6,FALSE)</f>
        <v>1500</v>
      </c>
      <c r="X773" s="8">
        <f>+Table4[[#This Row],[SalesBot]]*Table4[[#This Row],[နှုံး]]</f>
        <v>4500</v>
      </c>
      <c r="Y773" s="12"/>
      <c r="Z773" s="12"/>
      <c r="AA773" s="12"/>
      <c r="AB773" s="9"/>
      <c r="AC773" s="12"/>
      <c r="AD773" s="9"/>
      <c r="AE773" s="12"/>
      <c r="AF77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4500</v>
      </c>
      <c r="AG773" s="24"/>
      <c r="AH773" s="266">
        <f>Table4[[#This Row],[Date]]</f>
        <v>46071</v>
      </c>
      <c r="AI773" s="264" t="str">
        <f t="shared" si="144"/>
        <v>Feb</v>
      </c>
      <c r="AJ773" s="264" t="str">
        <f t="shared" si="145"/>
        <v>2026</v>
      </c>
      <c r="AK773" s="270" t="str">
        <f>Table4[[#This Row],[ကုန်သည်အမည်]]</f>
        <v>မဝင့်ဝါထိုက်(ရွှေပင်လယ်)</v>
      </c>
      <c r="AL773" s="270" t="str">
        <f>Table4[[#This Row],[Township]]</f>
        <v>Yay</v>
      </c>
      <c r="AM773" s="271" t="str">
        <f>Table4[[#This Row],[WholeSales]]</f>
        <v>WholeSales</v>
      </c>
      <c r="AN773" s="272" t="str">
        <f>Table4[[#This Row],[Particular]]</f>
        <v>လက်ဆောင်</v>
      </c>
      <c r="AO773" s="273" t="str">
        <f>Table4[[#This Row],[StockName]]</f>
        <v>ကောင်းကြည်-1Li</v>
      </c>
      <c r="AP773" s="268">
        <f>Table4[[#This Row],[Parking]]</f>
        <v>0.25</v>
      </c>
      <c r="AQ773" s="268">
        <f>Table4[[#This Row],[SalesBot]]</f>
        <v>3</v>
      </c>
      <c r="AR773" s="268">
        <f>Table4[[#This Row],[Liter]]</f>
        <v>3</v>
      </c>
    </row>
    <row r="774" spans="1:44" s="16" customFormat="1" hidden="1" x14ac:dyDescent="0.5">
      <c r="A774" s="3">
        <f t="shared" si="146"/>
        <v>2026</v>
      </c>
      <c r="B774" s="8">
        <f t="shared" si="147"/>
        <v>2</v>
      </c>
      <c r="C774" s="6">
        <v>46071</v>
      </c>
      <c r="D774" s="15">
        <f t="shared" ca="1" si="148"/>
        <v>46097</v>
      </c>
      <c r="E774" s="15" t="str">
        <f t="shared" ca="1" si="149"/>
        <v>0-Months</v>
      </c>
      <c r="F774" s="8" t="str">
        <f>VLOOKUP(N774,Stock[#Data],5,FALSE)</f>
        <v>BE</v>
      </c>
      <c r="G774" s="82" t="s">
        <v>1458</v>
      </c>
      <c r="H774" s="15"/>
      <c r="I774" s="7" t="s">
        <v>93</v>
      </c>
      <c r="J774" s="8" t="str">
        <f>VLOOKUP(I774,Customers[#Data],2,FALSE)</f>
        <v>မဝင့်ဝါထိုက်(ရွှေပင်လယ်)</v>
      </c>
      <c r="K774" s="15" t="str">
        <f>VLOOKUP(I774,Customers[#Data],4,FALSE)</f>
        <v>Yay</v>
      </c>
      <c r="L774" s="15" t="str">
        <f>VLOOKUP(I774,Customers[#Data],5,FALSE)</f>
        <v>WholeSales</v>
      </c>
      <c r="M774" s="7" t="s">
        <v>9</v>
      </c>
      <c r="N774" s="7" t="s">
        <v>508</v>
      </c>
      <c r="O774" s="14" t="str">
        <f>VLOOKUP(N774,Stock[#Data],2,FALSE)</f>
        <v>ကောင်းကြည်-1Li</v>
      </c>
      <c r="P774" s="44">
        <f>VLOOKUP(N774,Stock[#Data],3,FALSE)</f>
        <v>1</v>
      </c>
      <c r="Q774" s="3">
        <f>VLOOKUP(N774,Stock[#Data],4,FALSE)</f>
        <v>12</v>
      </c>
      <c r="R774" s="11">
        <v>3</v>
      </c>
      <c r="S774" s="45">
        <f>IFERROR(Table4[[#This Row],[Bottle]]/Table4[[#This Row],[ပါဝင်မှု]]+Table4[[#This Row],[SalesPK]],0)</f>
        <v>0.25</v>
      </c>
      <c r="T774" s="12"/>
      <c r="U774" s="10">
        <f>Table4[[#This Row],[ပါဝင်မှု]]*Table4[[#This Row],[SalesPK]]+Table4[[#This Row],[Bottle]]</f>
        <v>3</v>
      </c>
      <c r="V774" s="10">
        <f>Table4[[#This Row],[SalesBot]]*Table4[[#This Row],[ML]]</f>
        <v>3</v>
      </c>
      <c r="W774" s="1">
        <f>VLOOKUP(N774,Stock[#Data],6,FALSE)</f>
        <v>1850</v>
      </c>
      <c r="X774" s="8">
        <f>+Table4[[#This Row],[SalesBot]]*Table4[[#This Row],[နှုံး]]</f>
        <v>5550</v>
      </c>
      <c r="Y774" s="12"/>
      <c r="Z774" s="12"/>
      <c r="AA774" s="12"/>
      <c r="AB774" s="9"/>
      <c r="AC774" s="12"/>
      <c r="AD774" s="9"/>
      <c r="AE774" s="12"/>
      <c r="AF77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5550</v>
      </c>
      <c r="AG774" s="24"/>
      <c r="AH774" s="266">
        <f>Table4[[#This Row],[Date]]</f>
        <v>46071</v>
      </c>
      <c r="AI774" s="264" t="str">
        <f t="shared" si="144"/>
        <v>Feb</v>
      </c>
      <c r="AJ774" s="264" t="str">
        <f t="shared" si="145"/>
        <v>2026</v>
      </c>
      <c r="AK774" s="270" t="str">
        <f>Table4[[#This Row],[ကုန်သည်အမည်]]</f>
        <v>မဝင့်ဝါထိုက်(ရွှေပင်လယ်)</v>
      </c>
      <c r="AL774" s="270" t="str">
        <f>Table4[[#This Row],[Township]]</f>
        <v>Yay</v>
      </c>
      <c r="AM774" s="271" t="str">
        <f>Table4[[#This Row],[WholeSales]]</f>
        <v>WholeSales</v>
      </c>
      <c r="AN774" s="272" t="str">
        <f>Table4[[#This Row],[Particular]]</f>
        <v>လက်ဆောင်</v>
      </c>
      <c r="AO774" s="273" t="str">
        <f>Table4[[#This Row],[StockName]]</f>
        <v>ကောင်းကြည်-1Li</v>
      </c>
      <c r="AP774" s="268">
        <f>Table4[[#This Row],[Parking]]</f>
        <v>0.25</v>
      </c>
      <c r="AQ774" s="268">
        <f>Table4[[#This Row],[SalesBot]]</f>
        <v>3</v>
      </c>
      <c r="AR774" s="268">
        <f>Table4[[#This Row],[Liter]]</f>
        <v>3</v>
      </c>
    </row>
    <row r="775" spans="1:44" s="16" customFormat="1" hidden="1" x14ac:dyDescent="0.5">
      <c r="A775" s="3">
        <f t="shared" si="146"/>
        <v>2026</v>
      </c>
      <c r="B775" s="8">
        <f t="shared" si="147"/>
        <v>2</v>
      </c>
      <c r="C775" s="6">
        <v>46071</v>
      </c>
      <c r="D775" s="15">
        <f t="shared" ca="1" si="148"/>
        <v>46097</v>
      </c>
      <c r="E775" s="15" t="str">
        <f t="shared" ca="1" si="149"/>
        <v>0-Months</v>
      </c>
      <c r="F775" s="8" t="str">
        <f>VLOOKUP(N775,Stock[#Data],5,FALSE)</f>
        <v>BE</v>
      </c>
      <c r="G775" s="82" t="s">
        <v>1459</v>
      </c>
      <c r="H775" s="15"/>
      <c r="I775" s="7" t="s">
        <v>95</v>
      </c>
      <c r="J775" s="8" t="str">
        <f>VLOOKUP(I775,Customers[#Data],2,FALSE)</f>
        <v>ကျော်စတား</v>
      </c>
      <c r="K775" s="15" t="str">
        <f>VLOOKUP(I775,Customers[#Data],4,FALSE)</f>
        <v>Yay</v>
      </c>
      <c r="L775" s="15" t="str">
        <f>VLOOKUP(I775,Customers[#Data],5,FALSE)</f>
        <v>WholeSales</v>
      </c>
      <c r="M775" s="7" t="s">
        <v>7</v>
      </c>
      <c r="N775" s="7" t="s">
        <v>514</v>
      </c>
      <c r="O775" s="14" t="str">
        <f>VLOOKUP(N775,Stock[#Data],2,FALSE)</f>
        <v>ဇေယျဝတီ Red</v>
      </c>
      <c r="P775" s="44">
        <f>VLOOKUP(N775,Stock[#Data],3,FALSE)</f>
        <v>0.64</v>
      </c>
      <c r="Q775" s="3">
        <f>VLOOKUP(N775,Stock[#Data],4,FALSE)</f>
        <v>14</v>
      </c>
      <c r="R775" s="11"/>
      <c r="S775" s="45">
        <f>IFERROR(Table4[[#This Row],[Bottle]]/Table4[[#This Row],[ပါဝင်မှု]]+Table4[[#This Row],[SalesPK]],0)</f>
        <v>100</v>
      </c>
      <c r="T775" s="12">
        <v>100</v>
      </c>
      <c r="U775" s="10">
        <f>Table4[[#This Row],[ပါဝင်မှု]]*Table4[[#This Row],[SalesPK]]+Table4[[#This Row],[Bottle]]</f>
        <v>1400</v>
      </c>
      <c r="V775" s="10">
        <f>Table4[[#This Row],[SalesBot]]*Table4[[#This Row],[ML]]</f>
        <v>896</v>
      </c>
      <c r="W775" s="1">
        <f>VLOOKUP(N775,Stock[#Data],6,FALSE)</f>
        <v>1350</v>
      </c>
      <c r="X775" s="8">
        <f>+Table4[[#This Row],[SalesBot]]*Table4[[#This Row],[နှုံး]]</f>
        <v>1890000</v>
      </c>
      <c r="Y775" s="12"/>
      <c r="Z775" s="12"/>
      <c r="AA775" s="12"/>
      <c r="AB775" s="9"/>
      <c r="AC775" s="12"/>
      <c r="AD775" s="9"/>
      <c r="AE775" s="12"/>
      <c r="AF77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775" s="24"/>
      <c r="AH775" s="266">
        <f>Table4[[#This Row],[Date]]</f>
        <v>46071</v>
      </c>
      <c r="AI775" s="264" t="str">
        <f t="shared" si="144"/>
        <v>Feb</v>
      </c>
      <c r="AJ775" s="264" t="str">
        <f t="shared" si="145"/>
        <v>2026</v>
      </c>
      <c r="AK775" s="270" t="str">
        <f>Table4[[#This Row],[ကုန်သည်အမည်]]</f>
        <v>ကျော်စတား</v>
      </c>
      <c r="AL775" s="270" t="str">
        <f>Table4[[#This Row],[Township]]</f>
        <v>Yay</v>
      </c>
      <c r="AM775" s="271" t="str">
        <f>Table4[[#This Row],[WholeSales]]</f>
        <v>WholeSales</v>
      </c>
      <c r="AN775" s="272" t="str">
        <f>Table4[[#This Row],[Particular]]</f>
        <v>ကုန်ရောင်း(အကြွေး)</v>
      </c>
      <c r="AO775" s="273" t="str">
        <f>Table4[[#This Row],[StockName]]</f>
        <v>ဇေယျဝတီ Red</v>
      </c>
      <c r="AP775" s="268">
        <f>Table4[[#This Row],[Parking]]</f>
        <v>100</v>
      </c>
      <c r="AQ775" s="268">
        <f>Table4[[#This Row],[SalesBot]]</f>
        <v>1400</v>
      </c>
      <c r="AR775" s="268">
        <f>Table4[[#This Row],[Liter]]</f>
        <v>896</v>
      </c>
    </row>
    <row r="776" spans="1:44" s="16" customFormat="1" hidden="1" x14ac:dyDescent="0.5">
      <c r="A776" s="3">
        <f t="shared" si="146"/>
        <v>2026</v>
      </c>
      <c r="B776" s="8">
        <f t="shared" si="147"/>
        <v>2</v>
      </c>
      <c r="C776" s="6">
        <v>46071</v>
      </c>
      <c r="D776" s="15">
        <f t="shared" ca="1" si="148"/>
        <v>46097</v>
      </c>
      <c r="E776" s="15" t="str">
        <f t="shared" ca="1" si="149"/>
        <v>0-Months</v>
      </c>
      <c r="F776" s="8" t="str">
        <f>VLOOKUP(N776,Stock[#Data],5,FALSE)</f>
        <v>BE</v>
      </c>
      <c r="G776" s="82" t="s">
        <v>1459</v>
      </c>
      <c r="H776" s="15"/>
      <c r="I776" s="7" t="s">
        <v>95</v>
      </c>
      <c r="J776" s="8" t="str">
        <f>VLOOKUP(I776,Customers[#Data],2,FALSE)</f>
        <v>ကျော်စတား</v>
      </c>
      <c r="K776" s="15" t="str">
        <f>VLOOKUP(I776,Customers[#Data],4,FALSE)</f>
        <v>Yay</v>
      </c>
      <c r="L776" s="15" t="str">
        <f>VLOOKUP(I776,Customers[#Data],5,FALSE)</f>
        <v>WholeSales</v>
      </c>
      <c r="M776" s="7" t="s">
        <v>7</v>
      </c>
      <c r="N776" s="7" t="s">
        <v>517</v>
      </c>
      <c r="O776" s="14" t="str">
        <f>VLOOKUP(N776,Stock[#Data],2,FALSE)</f>
        <v>ဇေယျဝတီ Red (1 Liter) 30%</v>
      </c>
      <c r="P776" s="44">
        <f>VLOOKUP(N776,Stock[#Data],3,FALSE)</f>
        <v>1</v>
      </c>
      <c r="Q776" s="3">
        <f>VLOOKUP(N776,Stock[#Data],4,FALSE)</f>
        <v>12</v>
      </c>
      <c r="R776" s="11"/>
      <c r="S776" s="45">
        <f>IFERROR(Table4[[#This Row],[Bottle]]/Table4[[#This Row],[ပါဝင်မှု]]+Table4[[#This Row],[SalesPK]],0)</f>
        <v>50</v>
      </c>
      <c r="T776" s="12">
        <v>50</v>
      </c>
      <c r="U776" s="10">
        <f>Table4[[#This Row],[ပါဝင်မှု]]*Table4[[#This Row],[SalesPK]]+Table4[[#This Row],[Bottle]]</f>
        <v>600</v>
      </c>
      <c r="V776" s="10">
        <f>Table4[[#This Row],[SalesBot]]*Table4[[#This Row],[ML]]</f>
        <v>600</v>
      </c>
      <c r="W776" s="1">
        <f>VLOOKUP(N776,Stock[#Data],6,FALSE)</f>
        <v>1710</v>
      </c>
      <c r="X776" s="8">
        <f>+Table4[[#This Row],[SalesBot]]*Table4[[#This Row],[နှုံး]]</f>
        <v>1026000</v>
      </c>
      <c r="Y776" s="12"/>
      <c r="Z776" s="12"/>
      <c r="AA776" s="12"/>
      <c r="AB776" s="9"/>
      <c r="AC776" s="12"/>
      <c r="AD776" s="9"/>
      <c r="AE776" s="12"/>
      <c r="AF77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776" s="24"/>
      <c r="AH776" s="266">
        <f>Table4[[#This Row],[Date]]</f>
        <v>46071</v>
      </c>
      <c r="AI776" s="264" t="str">
        <f t="shared" si="144"/>
        <v>Feb</v>
      </c>
      <c r="AJ776" s="264" t="str">
        <f t="shared" si="145"/>
        <v>2026</v>
      </c>
      <c r="AK776" s="270" t="str">
        <f>Table4[[#This Row],[ကုန်သည်အမည်]]</f>
        <v>ကျော်စတား</v>
      </c>
      <c r="AL776" s="270" t="str">
        <f>Table4[[#This Row],[Township]]</f>
        <v>Yay</v>
      </c>
      <c r="AM776" s="271" t="str">
        <f>Table4[[#This Row],[WholeSales]]</f>
        <v>WholeSales</v>
      </c>
      <c r="AN776" s="272" t="str">
        <f>Table4[[#This Row],[Particular]]</f>
        <v>ကုန်ရောင်း(အကြွေး)</v>
      </c>
      <c r="AO776" s="273" t="str">
        <f>Table4[[#This Row],[StockName]]</f>
        <v>ဇေယျဝတီ Red (1 Liter) 30%</v>
      </c>
      <c r="AP776" s="268">
        <f>Table4[[#This Row],[Parking]]</f>
        <v>50</v>
      </c>
      <c r="AQ776" s="268">
        <f>Table4[[#This Row],[SalesBot]]</f>
        <v>600</v>
      </c>
      <c r="AR776" s="268">
        <f>Table4[[#This Row],[Liter]]</f>
        <v>600</v>
      </c>
    </row>
    <row r="777" spans="1:44" s="16" customFormat="1" hidden="1" x14ac:dyDescent="0.5">
      <c r="A777" s="3">
        <f t="shared" si="146"/>
        <v>2026</v>
      </c>
      <c r="B777" s="8">
        <f t="shared" si="147"/>
        <v>2</v>
      </c>
      <c r="C777" s="6">
        <v>46071</v>
      </c>
      <c r="D777" s="15">
        <f t="shared" ca="1" si="148"/>
        <v>46097</v>
      </c>
      <c r="E777" s="15" t="str">
        <f t="shared" ca="1" si="149"/>
        <v>0-Months</v>
      </c>
      <c r="F777" s="8" t="str">
        <f>VLOOKUP(N777,Stock[#Data],5,FALSE)</f>
        <v>BE</v>
      </c>
      <c r="G777" s="82" t="s">
        <v>1460</v>
      </c>
      <c r="H777" s="15"/>
      <c r="I777" s="7" t="s">
        <v>540</v>
      </c>
      <c r="J777" s="8" t="str">
        <f>VLOOKUP(I777,Customers[#Data],2,FALSE)</f>
        <v>ကိုမွန်လေး</v>
      </c>
      <c r="K777" s="15" t="str">
        <f>VLOOKUP(I777,Customers[#Data],4,FALSE)</f>
        <v>Yay</v>
      </c>
      <c r="L777" s="15" t="str">
        <f>VLOOKUP(I777,Customers[#Data],5,FALSE)</f>
        <v>SemiWholeSales</v>
      </c>
      <c r="M777" s="7" t="s">
        <v>6</v>
      </c>
      <c r="N777" s="7" t="s">
        <v>514</v>
      </c>
      <c r="O777" s="14" t="str">
        <f>VLOOKUP(N777,Stock[#Data],2,FALSE)</f>
        <v>ဇေယျဝတီ Red</v>
      </c>
      <c r="P777" s="44">
        <f>VLOOKUP(N777,Stock[#Data],3,FALSE)</f>
        <v>0.64</v>
      </c>
      <c r="Q777" s="3">
        <f>VLOOKUP(N777,Stock[#Data],4,FALSE)</f>
        <v>14</v>
      </c>
      <c r="R777" s="11"/>
      <c r="S777" s="45">
        <f>IFERROR(Table4[[#This Row],[Bottle]]/Table4[[#This Row],[ပါဝင်မှု]]+Table4[[#This Row],[SalesPK]],0)</f>
        <v>50</v>
      </c>
      <c r="T777" s="12">
        <v>50</v>
      </c>
      <c r="U777" s="10">
        <f>Table4[[#This Row],[ပါဝင်မှု]]*Table4[[#This Row],[SalesPK]]+Table4[[#This Row],[Bottle]]</f>
        <v>700</v>
      </c>
      <c r="V777" s="10">
        <f>Table4[[#This Row],[SalesBot]]*Table4[[#This Row],[ML]]</f>
        <v>448</v>
      </c>
      <c r="W777" s="1">
        <f>VLOOKUP(N777,Stock[#Data],6,FALSE)</f>
        <v>1350</v>
      </c>
      <c r="X777" s="8">
        <f>+Table4[[#This Row],[SalesBot]]*Table4[[#This Row],[နှုံး]]</f>
        <v>945000</v>
      </c>
      <c r="Y777" s="12"/>
      <c r="Z777" s="12"/>
      <c r="AA777" s="12"/>
      <c r="AB777" s="9"/>
      <c r="AC777" s="12"/>
      <c r="AD777" s="9"/>
      <c r="AE777" s="12"/>
      <c r="AF77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777" s="24"/>
      <c r="AH777" s="266">
        <f>Table4[[#This Row],[Date]]</f>
        <v>46071</v>
      </c>
      <c r="AI777" s="264" t="str">
        <f t="shared" si="144"/>
        <v>Feb</v>
      </c>
      <c r="AJ777" s="264" t="str">
        <f t="shared" si="145"/>
        <v>2026</v>
      </c>
      <c r="AK777" s="270" t="str">
        <f>Table4[[#This Row],[ကုန်သည်အမည်]]</f>
        <v>ကိုမွန်လေး</v>
      </c>
      <c r="AL777" s="270" t="str">
        <f>Table4[[#This Row],[Township]]</f>
        <v>Yay</v>
      </c>
      <c r="AM777" s="271" t="str">
        <f>Table4[[#This Row],[WholeSales]]</f>
        <v>SemiWholeSales</v>
      </c>
      <c r="AN777" s="272" t="str">
        <f>Table4[[#This Row],[Particular]]</f>
        <v>ကုန်ရောင်း(လက်ငင်း)</v>
      </c>
      <c r="AO777" s="273" t="str">
        <f>Table4[[#This Row],[StockName]]</f>
        <v>ဇေယျဝတီ Red</v>
      </c>
      <c r="AP777" s="268">
        <f>Table4[[#This Row],[Parking]]</f>
        <v>50</v>
      </c>
      <c r="AQ777" s="268">
        <f>Table4[[#This Row],[SalesBot]]</f>
        <v>700</v>
      </c>
      <c r="AR777" s="268">
        <f>Table4[[#This Row],[Liter]]</f>
        <v>448</v>
      </c>
    </row>
    <row r="778" spans="1:44" s="16" customFormat="1" hidden="1" x14ac:dyDescent="0.5">
      <c r="A778" s="3">
        <f t="shared" si="146"/>
        <v>2026</v>
      </c>
      <c r="B778" s="8">
        <f t="shared" si="147"/>
        <v>2</v>
      </c>
      <c r="C778" s="6">
        <v>46071</v>
      </c>
      <c r="D778" s="15">
        <f t="shared" ca="1" si="148"/>
        <v>46097</v>
      </c>
      <c r="E778" s="15" t="str">
        <f t="shared" ca="1" si="149"/>
        <v>0-Months</v>
      </c>
      <c r="F778" s="8" t="str">
        <f>VLOOKUP(N778,Stock[#Data],5,FALSE)</f>
        <v>BE</v>
      </c>
      <c r="G778" s="82" t="s">
        <v>1461</v>
      </c>
      <c r="H778" s="15"/>
      <c r="I778" s="7" t="s">
        <v>1109</v>
      </c>
      <c r="J778" s="8" t="str">
        <f>VLOOKUP(I778,Customers[#Data],2,FALSE)</f>
        <v>မဇာဇာဦး</v>
      </c>
      <c r="K778" s="15" t="str">
        <f>VLOOKUP(I778,Customers[#Data],4,FALSE)</f>
        <v>Yay</v>
      </c>
      <c r="L778" s="15" t="str">
        <f>VLOOKUP(I778,Customers[#Data],5,FALSE)</f>
        <v>Van Sales</v>
      </c>
      <c r="M778" s="7" t="s">
        <v>6</v>
      </c>
      <c r="N778" s="7" t="s">
        <v>514</v>
      </c>
      <c r="O778" s="14" t="str">
        <f>VLOOKUP(N778,Stock[#Data],2,FALSE)</f>
        <v>ဇေယျဝတီ Red</v>
      </c>
      <c r="P778" s="44">
        <f>VLOOKUP(N778,Stock[#Data],3,FALSE)</f>
        <v>0.64</v>
      </c>
      <c r="Q778" s="3">
        <f>VLOOKUP(N778,Stock[#Data],4,FALSE)</f>
        <v>14</v>
      </c>
      <c r="R778" s="11"/>
      <c r="S778" s="45">
        <f>IFERROR(Table4[[#This Row],[Bottle]]/Table4[[#This Row],[ပါဝင်မှု]]+Table4[[#This Row],[SalesPK]],0)</f>
        <v>100</v>
      </c>
      <c r="T778" s="12">
        <v>100</v>
      </c>
      <c r="U778" s="10">
        <f>Table4[[#This Row],[ပါဝင်မှု]]*Table4[[#This Row],[SalesPK]]+Table4[[#This Row],[Bottle]]</f>
        <v>1400</v>
      </c>
      <c r="V778" s="10">
        <f>Table4[[#This Row],[SalesBot]]*Table4[[#This Row],[ML]]</f>
        <v>896</v>
      </c>
      <c r="W778" s="1">
        <f>VLOOKUP(N778,Stock[#Data],6,FALSE)</f>
        <v>1350</v>
      </c>
      <c r="X778" s="8">
        <f>+Table4[[#This Row],[SalesBot]]*Table4[[#This Row],[နှုံး]]</f>
        <v>1890000</v>
      </c>
      <c r="Y778" s="12"/>
      <c r="Z778" s="12"/>
      <c r="AA778" s="12"/>
      <c r="AB778" s="9"/>
      <c r="AC778" s="12"/>
      <c r="AD778" s="9"/>
      <c r="AE778" s="12"/>
      <c r="AF77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778" s="24"/>
      <c r="AH778" s="266">
        <f>Table4[[#This Row],[Date]]</f>
        <v>46071</v>
      </c>
      <c r="AI778" s="264" t="str">
        <f t="shared" si="144"/>
        <v>Feb</v>
      </c>
      <c r="AJ778" s="264" t="str">
        <f t="shared" si="145"/>
        <v>2026</v>
      </c>
      <c r="AK778" s="270" t="str">
        <f>Table4[[#This Row],[ကုန်သည်အမည်]]</f>
        <v>မဇာဇာဦး</v>
      </c>
      <c r="AL778" s="270" t="str">
        <f>Table4[[#This Row],[Township]]</f>
        <v>Yay</v>
      </c>
      <c r="AM778" s="271" t="str">
        <f>Table4[[#This Row],[WholeSales]]</f>
        <v>Van Sales</v>
      </c>
      <c r="AN778" s="272" t="str">
        <f>Table4[[#This Row],[Particular]]</f>
        <v>ကုန်ရောင်း(လက်ငင်း)</v>
      </c>
      <c r="AO778" s="273" t="str">
        <f>Table4[[#This Row],[StockName]]</f>
        <v>ဇေယျဝတီ Red</v>
      </c>
      <c r="AP778" s="268">
        <f>Table4[[#This Row],[Parking]]</f>
        <v>100</v>
      </c>
      <c r="AQ778" s="268">
        <f>Table4[[#This Row],[SalesBot]]</f>
        <v>1400</v>
      </c>
      <c r="AR778" s="268">
        <f>Table4[[#This Row],[Liter]]</f>
        <v>896</v>
      </c>
    </row>
    <row r="779" spans="1:44" s="16" customFormat="1" hidden="1" x14ac:dyDescent="0.5">
      <c r="A779" s="3">
        <f t="shared" si="146"/>
        <v>2026</v>
      </c>
      <c r="B779" s="8">
        <f t="shared" si="147"/>
        <v>2</v>
      </c>
      <c r="C779" s="6">
        <v>46071</v>
      </c>
      <c r="D779" s="15">
        <f t="shared" ca="1" si="148"/>
        <v>46097</v>
      </c>
      <c r="E779" s="15" t="str">
        <f t="shared" ca="1" si="149"/>
        <v>0-Months</v>
      </c>
      <c r="F779" s="8" t="str">
        <f>VLOOKUP(N779,Stock[#Data],5,FALSE)</f>
        <v>BE</v>
      </c>
      <c r="G779" s="82" t="s">
        <v>1461</v>
      </c>
      <c r="H779" s="15"/>
      <c r="I779" s="7" t="s">
        <v>1109</v>
      </c>
      <c r="J779" s="8" t="str">
        <f>VLOOKUP(I779,Customers[#Data],2,FALSE)</f>
        <v>မဇာဇာဦး</v>
      </c>
      <c r="K779" s="15" t="str">
        <f>VLOOKUP(I779,Customers[#Data],4,FALSE)</f>
        <v>Yay</v>
      </c>
      <c r="L779" s="15" t="str">
        <f>VLOOKUP(I779,Customers[#Data],5,FALSE)</f>
        <v>Van Sales</v>
      </c>
      <c r="M779" s="7" t="s">
        <v>6</v>
      </c>
      <c r="N779" s="7" t="s">
        <v>517</v>
      </c>
      <c r="O779" s="14" t="str">
        <f>VLOOKUP(N779,Stock[#Data],2,FALSE)</f>
        <v>ဇေယျဝတီ Red (1 Liter) 30%</v>
      </c>
      <c r="P779" s="44">
        <f>VLOOKUP(N779,Stock[#Data],3,FALSE)</f>
        <v>1</v>
      </c>
      <c r="Q779" s="3">
        <f>VLOOKUP(N779,Stock[#Data],4,FALSE)</f>
        <v>12</v>
      </c>
      <c r="R779" s="11"/>
      <c r="S779" s="45">
        <f>IFERROR(Table4[[#This Row],[Bottle]]/Table4[[#This Row],[ပါဝင်မှု]]+Table4[[#This Row],[SalesPK]],0)</f>
        <v>50</v>
      </c>
      <c r="T779" s="12">
        <v>50</v>
      </c>
      <c r="U779" s="10">
        <f>Table4[[#This Row],[ပါဝင်မှု]]*Table4[[#This Row],[SalesPK]]+Table4[[#This Row],[Bottle]]</f>
        <v>600</v>
      </c>
      <c r="V779" s="10">
        <f>Table4[[#This Row],[SalesBot]]*Table4[[#This Row],[ML]]</f>
        <v>600</v>
      </c>
      <c r="W779" s="1">
        <f>VLOOKUP(N779,Stock[#Data],6,FALSE)</f>
        <v>1710</v>
      </c>
      <c r="X779" s="8">
        <f>+Table4[[#This Row],[SalesBot]]*Table4[[#This Row],[နှုံး]]</f>
        <v>1026000</v>
      </c>
      <c r="Y779" s="12"/>
      <c r="Z779" s="12"/>
      <c r="AA779" s="12"/>
      <c r="AB779" s="9"/>
      <c r="AC779" s="12"/>
      <c r="AD779" s="9"/>
      <c r="AE779" s="12"/>
      <c r="AF77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779" s="24"/>
      <c r="AH779" s="266">
        <f>Table4[[#This Row],[Date]]</f>
        <v>46071</v>
      </c>
      <c r="AI779" s="264" t="str">
        <f t="shared" si="144"/>
        <v>Feb</v>
      </c>
      <c r="AJ779" s="264" t="str">
        <f t="shared" si="145"/>
        <v>2026</v>
      </c>
      <c r="AK779" s="270" t="str">
        <f>Table4[[#This Row],[ကုန်သည်အမည်]]</f>
        <v>မဇာဇာဦး</v>
      </c>
      <c r="AL779" s="270" t="str">
        <f>Table4[[#This Row],[Township]]</f>
        <v>Yay</v>
      </c>
      <c r="AM779" s="271" t="str">
        <f>Table4[[#This Row],[WholeSales]]</f>
        <v>Van Sales</v>
      </c>
      <c r="AN779" s="272" t="str">
        <f>Table4[[#This Row],[Particular]]</f>
        <v>ကုန်ရောင်း(လက်ငင်း)</v>
      </c>
      <c r="AO779" s="273" t="str">
        <f>Table4[[#This Row],[StockName]]</f>
        <v>ဇေယျဝတီ Red (1 Liter) 30%</v>
      </c>
      <c r="AP779" s="268">
        <f>Table4[[#This Row],[Parking]]</f>
        <v>50</v>
      </c>
      <c r="AQ779" s="268">
        <f>Table4[[#This Row],[SalesBot]]</f>
        <v>600</v>
      </c>
      <c r="AR779" s="268">
        <f>Table4[[#This Row],[Liter]]</f>
        <v>600</v>
      </c>
    </row>
    <row r="780" spans="1:44" s="16" customFormat="1" hidden="1" x14ac:dyDescent="0.5">
      <c r="A780" s="3">
        <f t="shared" si="146"/>
        <v>2026</v>
      </c>
      <c r="B780" s="8">
        <f t="shared" si="147"/>
        <v>2</v>
      </c>
      <c r="C780" s="6">
        <v>46071</v>
      </c>
      <c r="D780" s="15">
        <f t="shared" ca="1" si="148"/>
        <v>46097</v>
      </c>
      <c r="E780" s="15" t="str">
        <f t="shared" ca="1" si="149"/>
        <v>0-Months</v>
      </c>
      <c r="F780" s="8" t="str">
        <f>VLOOKUP(N780,Stock[#Data],5,FALSE)</f>
        <v>BE</v>
      </c>
      <c r="G780" s="82" t="s">
        <v>1461</v>
      </c>
      <c r="H780" s="15"/>
      <c r="I780" s="7" t="s">
        <v>1109</v>
      </c>
      <c r="J780" s="8" t="str">
        <f>VLOOKUP(I780,Customers[#Data],2,FALSE)</f>
        <v>မဇာဇာဦး</v>
      </c>
      <c r="K780" s="15" t="str">
        <f>VLOOKUP(I780,Customers[#Data],4,FALSE)</f>
        <v>Yay</v>
      </c>
      <c r="L780" s="15" t="str">
        <f>VLOOKUP(I780,Customers[#Data],5,FALSE)</f>
        <v>Van Sales</v>
      </c>
      <c r="M780" s="7" t="s">
        <v>9</v>
      </c>
      <c r="N780" s="7" t="s">
        <v>522</v>
      </c>
      <c r="O780" s="14" t="str">
        <f>VLOOKUP(N780,Stock[#Data],2,FALSE)</f>
        <v>ဒဂုံမန်ကျည်း ကော်ဘူး (1 Liter)</v>
      </c>
      <c r="P780" s="44">
        <f>VLOOKUP(N780,Stock[#Data],3,FALSE)</f>
        <v>1</v>
      </c>
      <c r="Q780" s="3">
        <f>VLOOKUP(N780,Stock[#Data],4,FALSE)</f>
        <v>12</v>
      </c>
      <c r="R780" s="11">
        <v>3</v>
      </c>
      <c r="S780" s="45">
        <f>IFERROR(Table4[[#This Row],[Bottle]]/Table4[[#This Row],[ပါဝင်မှု]]+Table4[[#This Row],[SalesPK]],0)</f>
        <v>0.25</v>
      </c>
      <c r="T780" s="12"/>
      <c r="U780" s="10">
        <f>Table4[[#This Row],[ပါဝင်မှု]]*Table4[[#This Row],[SalesPK]]+Table4[[#This Row],[Bottle]]</f>
        <v>3</v>
      </c>
      <c r="V780" s="10">
        <f>Table4[[#This Row],[SalesBot]]*Table4[[#This Row],[ML]]</f>
        <v>3</v>
      </c>
      <c r="W780" s="1">
        <f>VLOOKUP(N780,Stock[#Data],6,FALSE)</f>
        <v>1600</v>
      </c>
      <c r="X780" s="8">
        <f>+Table4[[#This Row],[SalesBot]]*Table4[[#This Row],[နှုံး]]</f>
        <v>4800</v>
      </c>
      <c r="Y780" s="12"/>
      <c r="Z780" s="12"/>
      <c r="AA780" s="12"/>
      <c r="AB780" s="9"/>
      <c r="AC780" s="12"/>
      <c r="AD780" s="9"/>
      <c r="AE780" s="12"/>
      <c r="AF78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4800</v>
      </c>
      <c r="AG780" s="24"/>
      <c r="AH780" s="266">
        <f>Table4[[#This Row],[Date]]</f>
        <v>46071</v>
      </c>
      <c r="AI780" s="264" t="str">
        <f t="shared" si="144"/>
        <v>Feb</v>
      </c>
      <c r="AJ780" s="264" t="str">
        <f t="shared" si="145"/>
        <v>2026</v>
      </c>
      <c r="AK780" s="270" t="str">
        <f>Table4[[#This Row],[ကုန်သည်အမည်]]</f>
        <v>မဇာဇာဦး</v>
      </c>
      <c r="AL780" s="270" t="str">
        <f>Table4[[#This Row],[Township]]</f>
        <v>Yay</v>
      </c>
      <c r="AM780" s="271" t="str">
        <f>Table4[[#This Row],[WholeSales]]</f>
        <v>Van Sales</v>
      </c>
      <c r="AN780" s="272" t="str">
        <f>Table4[[#This Row],[Particular]]</f>
        <v>လက်ဆောင်</v>
      </c>
      <c r="AO780" s="273" t="str">
        <f>Table4[[#This Row],[StockName]]</f>
        <v>ဒဂုံမန်ကျည်း ကော်ဘူး (1 Liter)</v>
      </c>
      <c r="AP780" s="268">
        <f>Table4[[#This Row],[Parking]]</f>
        <v>0.25</v>
      </c>
      <c r="AQ780" s="268">
        <f>Table4[[#This Row],[SalesBot]]</f>
        <v>3</v>
      </c>
      <c r="AR780" s="268">
        <f>Table4[[#This Row],[Liter]]</f>
        <v>3</v>
      </c>
    </row>
    <row r="781" spans="1:44" s="16" customFormat="1" hidden="1" x14ac:dyDescent="0.5">
      <c r="A781" s="3">
        <f t="shared" si="146"/>
        <v>2026</v>
      </c>
      <c r="B781" s="8">
        <f t="shared" si="147"/>
        <v>2</v>
      </c>
      <c r="C781" s="6">
        <v>46071</v>
      </c>
      <c r="D781" s="15">
        <f t="shared" ca="1" si="148"/>
        <v>46097</v>
      </c>
      <c r="E781" s="15" t="str">
        <f t="shared" ca="1" si="149"/>
        <v>0-Months</v>
      </c>
      <c r="F781" s="8" t="str">
        <f>VLOOKUP(N781,Stock[#Data],5,FALSE)</f>
        <v>BE</v>
      </c>
      <c r="G781" s="82" t="s">
        <v>1461</v>
      </c>
      <c r="H781" s="15"/>
      <c r="I781" s="7" t="s">
        <v>1109</v>
      </c>
      <c r="J781" s="8" t="str">
        <f>VLOOKUP(I781,Customers[#Data],2,FALSE)</f>
        <v>မဇာဇာဦး</v>
      </c>
      <c r="K781" s="15" t="str">
        <f>VLOOKUP(I781,Customers[#Data],4,FALSE)</f>
        <v>Yay</v>
      </c>
      <c r="L781" s="15" t="str">
        <f>VLOOKUP(I781,Customers[#Data],5,FALSE)</f>
        <v>Van Sales</v>
      </c>
      <c r="M781" s="7" t="s">
        <v>9</v>
      </c>
      <c r="N781" s="7" t="s">
        <v>425</v>
      </c>
      <c r="O781" s="14" t="str">
        <f>VLOOKUP(N781,Stock[#Data],2,FALSE)</f>
        <v>ကောင်းကြည်-1Li</v>
      </c>
      <c r="P781" s="44">
        <f>VLOOKUP(N781,Stock[#Data],3,FALSE)</f>
        <v>1</v>
      </c>
      <c r="Q781" s="3">
        <f>VLOOKUP(N781,Stock[#Data],4,FALSE)</f>
        <v>12</v>
      </c>
      <c r="R781" s="11">
        <v>3</v>
      </c>
      <c r="S781" s="45">
        <f>IFERROR(Table4[[#This Row],[Bottle]]/Table4[[#This Row],[ပါဝင်မှု]]+Table4[[#This Row],[SalesPK]],0)</f>
        <v>0.25</v>
      </c>
      <c r="T781" s="12"/>
      <c r="U781" s="10">
        <f>Table4[[#This Row],[ပါဝင်မှု]]*Table4[[#This Row],[SalesPK]]+Table4[[#This Row],[Bottle]]</f>
        <v>3</v>
      </c>
      <c r="V781" s="10">
        <f>Table4[[#This Row],[SalesBot]]*Table4[[#This Row],[ML]]</f>
        <v>3</v>
      </c>
      <c r="W781" s="1">
        <f>VLOOKUP(N781,Stock[#Data],6,FALSE)</f>
        <v>1500</v>
      </c>
      <c r="X781" s="8">
        <f>+Table4[[#This Row],[SalesBot]]*Table4[[#This Row],[နှုံး]]</f>
        <v>4500</v>
      </c>
      <c r="Y781" s="12"/>
      <c r="Z781" s="12"/>
      <c r="AA781" s="12"/>
      <c r="AB781" s="9"/>
      <c r="AC781" s="12"/>
      <c r="AD781" s="9"/>
      <c r="AE781" s="12"/>
      <c r="AF78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4500</v>
      </c>
      <c r="AG781" s="24"/>
      <c r="AH781" s="266">
        <f>Table4[[#This Row],[Date]]</f>
        <v>46071</v>
      </c>
      <c r="AI781" s="264" t="str">
        <f t="shared" si="144"/>
        <v>Feb</v>
      </c>
      <c r="AJ781" s="264" t="str">
        <f t="shared" si="145"/>
        <v>2026</v>
      </c>
      <c r="AK781" s="270" t="str">
        <f>Table4[[#This Row],[ကုန်သည်အမည်]]</f>
        <v>မဇာဇာဦး</v>
      </c>
      <c r="AL781" s="270" t="str">
        <f>Table4[[#This Row],[Township]]</f>
        <v>Yay</v>
      </c>
      <c r="AM781" s="271" t="str">
        <f>Table4[[#This Row],[WholeSales]]</f>
        <v>Van Sales</v>
      </c>
      <c r="AN781" s="272" t="str">
        <f>Table4[[#This Row],[Particular]]</f>
        <v>လက်ဆောင်</v>
      </c>
      <c r="AO781" s="273" t="str">
        <f>Table4[[#This Row],[StockName]]</f>
        <v>ကောင်းကြည်-1Li</v>
      </c>
      <c r="AP781" s="268">
        <f>Table4[[#This Row],[Parking]]</f>
        <v>0.25</v>
      </c>
      <c r="AQ781" s="268">
        <f>Table4[[#This Row],[SalesBot]]</f>
        <v>3</v>
      </c>
      <c r="AR781" s="268">
        <f>Table4[[#This Row],[Liter]]</f>
        <v>3</v>
      </c>
    </row>
    <row r="782" spans="1:44" s="16" customFormat="1" hidden="1" x14ac:dyDescent="0.5">
      <c r="A782" s="3">
        <f t="shared" si="146"/>
        <v>2026</v>
      </c>
      <c r="B782" s="8">
        <f t="shared" si="147"/>
        <v>2</v>
      </c>
      <c r="C782" s="6">
        <v>46071</v>
      </c>
      <c r="D782" s="15">
        <f t="shared" ca="1" si="148"/>
        <v>46097</v>
      </c>
      <c r="E782" s="15" t="str">
        <f t="shared" ca="1" si="149"/>
        <v>0-Months</v>
      </c>
      <c r="F782" s="8" t="str">
        <f>VLOOKUP(N782,Stock[#Data],5,FALSE)</f>
        <v>BE</v>
      </c>
      <c r="G782" s="82" t="s">
        <v>1461</v>
      </c>
      <c r="H782" s="15"/>
      <c r="I782" s="7" t="s">
        <v>1109</v>
      </c>
      <c r="J782" s="8" t="str">
        <f>VLOOKUP(I782,Customers[#Data],2,FALSE)</f>
        <v>မဇာဇာဦး</v>
      </c>
      <c r="K782" s="15" t="str">
        <f>VLOOKUP(I782,Customers[#Data],4,FALSE)</f>
        <v>Yay</v>
      </c>
      <c r="L782" s="15" t="str">
        <f>VLOOKUP(I782,Customers[#Data],5,FALSE)</f>
        <v>Van Sales</v>
      </c>
      <c r="M782" s="7" t="s">
        <v>9</v>
      </c>
      <c r="N782" s="7" t="s">
        <v>508</v>
      </c>
      <c r="O782" s="14" t="str">
        <f>VLOOKUP(N782,Stock[#Data],2,FALSE)</f>
        <v>ကောင်းကြည်-1Li</v>
      </c>
      <c r="P782" s="44">
        <f>VLOOKUP(N782,Stock[#Data],3,FALSE)</f>
        <v>1</v>
      </c>
      <c r="Q782" s="3">
        <f>VLOOKUP(N782,Stock[#Data],4,FALSE)</f>
        <v>12</v>
      </c>
      <c r="R782" s="11">
        <v>3</v>
      </c>
      <c r="S782" s="45">
        <f>IFERROR(Table4[[#This Row],[Bottle]]/Table4[[#This Row],[ပါဝင်မှု]]+Table4[[#This Row],[SalesPK]],0)</f>
        <v>0.25</v>
      </c>
      <c r="T782" s="12"/>
      <c r="U782" s="10">
        <f>Table4[[#This Row],[ပါဝင်မှု]]*Table4[[#This Row],[SalesPK]]+Table4[[#This Row],[Bottle]]</f>
        <v>3</v>
      </c>
      <c r="V782" s="10">
        <f>Table4[[#This Row],[SalesBot]]*Table4[[#This Row],[ML]]</f>
        <v>3</v>
      </c>
      <c r="W782" s="1">
        <f>VLOOKUP(N782,Stock[#Data],6,FALSE)</f>
        <v>1850</v>
      </c>
      <c r="X782" s="8">
        <f>+Table4[[#This Row],[SalesBot]]*Table4[[#This Row],[နှုံး]]</f>
        <v>5550</v>
      </c>
      <c r="Y782" s="12"/>
      <c r="Z782" s="12"/>
      <c r="AA782" s="12"/>
      <c r="AB782" s="9"/>
      <c r="AC782" s="12"/>
      <c r="AD782" s="9"/>
      <c r="AE782" s="12"/>
      <c r="AF78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5550</v>
      </c>
      <c r="AG782" s="24"/>
      <c r="AH782" s="266">
        <f>Table4[[#This Row],[Date]]</f>
        <v>46071</v>
      </c>
      <c r="AI782" s="264" t="str">
        <f t="shared" si="144"/>
        <v>Feb</v>
      </c>
      <c r="AJ782" s="264" t="str">
        <f t="shared" si="145"/>
        <v>2026</v>
      </c>
      <c r="AK782" s="270" t="str">
        <f>Table4[[#This Row],[ကုန်သည်အမည်]]</f>
        <v>မဇာဇာဦး</v>
      </c>
      <c r="AL782" s="270" t="str">
        <f>Table4[[#This Row],[Township]]</f>
        <v>Yay</v>
      </c>
      <c r="AM782" s="271" t="str">
        <f>Table4[[#This Row],[WholeSales]]</f>
        <v>Van Sales</v>
      </c>
      <c r="AN782" s="272" t="str">
        <f>Table4[[#This Row],[Particular]]</f>
        <v>လက်ဆောင်</v>
      </c>
      <c r="AO782" s="273" t="str">
        <f>Table4[[#This Row],[StockName]]</f>
        <v>ကောင်းကြည်-1Li</v>
      </c>
      <c r="AP782" s="268">
        <f>Table4[[#This Row],[Parking]]</f>
        <v>0.25</v>
      </c>
      <c r="AQ782" s="268">
        <f>Table4[[#This Row],[SalesBot]]</f>
        <v>3</v>
      </c>
      <c r="AR782" s="268">
        <f>Table4[[#This Row],[Liter]]</f>
        <v>3</v>
      </c>
    </row>
    <row r="783" spans="1:44" s="16" customFormat="1" hidden="1" x14ac:dyDescent="0.5">
      <c r="A783" s="3">
        <f t="shared" si="146"/>
        <v>2026</v>
      </c>
      <c r="B783" s="8">
        <f t="shared" si="147"/>
        <v>2</v>
      </c>
      <c r="C783" s="6">
        <v>46071</v>
      </c>
      <c r="D783" s="15">
        <f t="shared" ca="1" si="148"/>
        <v>46097</v>
      </c>
      <c r="E783" s="15" t="str">
        <f t="shared" ca="1" si="149"/>
        <v>0-Months</v>
      </c>
      <c r="F783" s="8" t="str">
        <f>VLOOKUP(N783,Stock[#Data],5,FALSE)</f>
        <v>BE</v>
      </c>
      <c r="G783" s="82" t="s">
        <v>1462</v>
      </c>
      <c r="H783" s="15"/>
      <c r="I783" s="7" t="s">
        <v>535</v>
      </c>
      <c r="J783" s="8" t="str">
        <f>VLOOKUP(I783,Customers[#Data],2,FALSE)</f>
        <v>ကိုရဲ</v>
      </c>
      <c r="K783" s="15" t="str">
        <f>VLOOKUP(I783,Customers[#Data],4,FALSE)</f>
        <v>Yay</v>
      </c>
      <c r="L783" s="15" t="str">
        <f>VLOOKUP(I783,Customers[#Data],5,FALSE)</f>
        <v>Van Sales</v>
      </c>
      <c r="M783" s="7" t="s">
        <v>6</v>
      </c>
      <c r="N783" s="7" t="s">
        <v>517</v>
      </c>
      <c r="O783" s="14" t="str">
        <f>VLOOKUP(N783,Stock[#Data],2,FALSE)</f>
        <v>ဇေယျဝတီ Red (1 Liter) 30%</v>
      </c>
      <c r="P783" s="44">
        <f>VLOOKUP(N783,Stock[#Data],3,FALSE)</f>
        <v>1</v>
      </c>
      <c r="Q783" s="3">
        <f>VLOOKUP(N783,Stock[#Data],4,FALSE)</f>
        <v>12</v>
      </c>
      <c r="R783" s="11"/>
      <c r="S783" s="45">
        <f>IFERROR(Table4[[#This Row],[Bottle]]/Table4[[#This Row],[ပါဝင်မှု]]+Table4[[#This Row],[SalesPK]],0)</f>
        <v>50</v>
      </c>
      <c r="T783" s="12">
        <v>50</v>
      </c>
      <c r="U783" s="10">
        <f>Table4[[#This Row],[ပါဝင်မှု]]*Table4[[#This Row],[SalesPK]]+Table4[[#This Row],[Bottle]]</f>
        <v>600</v>
      </c>
      <c r="V783" s="10">
        <f>Table4[[#This Row],[SalesBot]]*Table4[[#This Row],[ML]]</f>
        <v>600</v>
      </c>
      <c r="W783" s="1">
        <f>VLOOKUP(N783,Stock[#Data],6,FALSE)</f>
        <v>1710</v>
      </c>
      <c r="X783" s="8">
        <f>+Table4[[#This Row],[SalesBot]]*Table4[[#This Row],[နှုံး]]</f>
        <v>1026000</v>
      </c>
      <c r="Y783" s="12"/>
      <c r="Z783" s="12"/>
      <c r="AA783" s="12"/>
      <c r="AB783" s="9"/>
      <c r="AC783" s="12"/>
      <c r="AD783" s="9"/>
      <c r="AE783" s="12"/>
      <c r="AF78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783" s="24"/>
      <c r="AH783" s="266">
        <f>Table4[[#This Row],[Date]]</f>
        <v>46071</v>
      </c>
      <c r="AI783" s="264" t="str">
        <f t="shared" si="144"/>
        <v>Feb</v>
      </c>
      <c r="AJ783" s="264" t="str">
        <f t="shared" si="145"/>
        <v>2026</v>
      </c>
      <c r="AK783" s="270" t="str">
        <f>Table4[[#This Row],[ကုန်သည်အမည်]]</f>
        <v>ကိုရဲ</v>
      </c>
      <c r="AL783" s="270" t="str">
        <f>Table4[[#This Row],[Township]]</f>
        <v>Yay</v>
      </c>
      <c r="AM783" s="271" t="str">
        <f>Table4[[#This Row],[WholeSales]]</f>
        <v>Van Sales</v>
      </c>
      <c r="AN783" s="272" t="str">
        <f>Table4[[#This Row],[Particular]]</f>
        <v>ကုန်ရောင်း(လက်ငင်း)</v>
      </c>
      <c r="AO783" s="273" t="str">
        <f>Table4[[#This Row],[StockName]]</f>
        <v>ဇေယျဝတီ Red (1 Liter) 30%</v>
      </c>
      <c r="AP783" s="268">
        <f>Table4[[#This Row],[Parking]]</f>
        <v>50</v>
      </c>
      <c r="AQ783" s="268">
        <f>Table4[[#This Row],[SalesBot]]</f>
        <v>600</v>
      </c>
      <c r="AR783" s="268">
        <f>Table4[[#This Row],[Liter]]</f>
        <v>600</v>
      </c>
    </row>
    <row r="784" spans="1:44" s="16" customFormat="1" hidden="1" x14ac:dyDescent="0.5">
      <c r="A784" s="3">
        <f t="shared" si="146"/>
        <v>2026</v>
      </c>
      <c r="B784" s="8">
        <f t="shared" si="147"/>
        <v>2</v>
      </c>
      <c r="C784" s="6">
        <v>46071</v>
      </c>
      <c r="D784" s="15">
        <f t="shared" ca="1" si="148"/>
        <v>46097</v>
      </c>
      <c r="E784" s="15" t="str">
        <f t="shared" ca="1" si="149"/>
        <v>0-Months</v>
      </c>
      <c r="F784" s="8" t="str">
        <f>VLOOKUP(N784,Stock[#Data],5,FALSE)</f>
        <v>BE</v>
      </c>
      <c r="G784" s="82" t="s">
        <v>1463</v>
      </c>
      <c r="H784" s="15"/>
      <c r="I784" s="7" t="s">
        <v>109</v>
      </c>
      <c r="J784" s="8" t="str">
        <f>VLOOKUP(I784,Customers[#Data],2,FALSE)</f>
        <v>ဦးမင်းလွင်</v>
      </c>
      <c r="K784" s="15" t="str">
        <f>VLOOKUP(I784,Customers[#Data],4,FALSE)</f>
        <v>Maw La Myaing</v>
      </c>
      <c r="L784" s="15" t="str">
        <f>VLOOKUP(I784,Customers[#Data],5,FALSE)</f>
        <v>WholeSales</v>
      </c>
      <c r="M784" s="7" t="s">
        <v>6</v>
      </c>
      <c r="N784" s="7" t="s">
        <v>521</v>
      </c>
      <c r="O784" s="14" t="str">
        <f>VLOOKUP(N784,Stock[#Data],2,FALSE)</f>
        <v>ဒဂုံအရက်သန့်</v>
      </c>
      <c r="P784" s="44">
        <f>VLOOKUP(N784,Stock[#Data],3,FALSE)</f>
        <v>0.64</v>
      </c>
      <c r="Q784" s="3">
        <f>VLOOKUP(N784,Stock[#Data],4,FALSE)</f>
        <v>24</v>
      </c>
      <c r="R784" s="11"/>
      <c r="S784" s="45">
        <f>IFERROR(Table4[[#This Row],[Bottle]]/Table4[[#This Row],[ပါဝင်မှု]]+Table4[[#This Row],[SalesPK]],0)</f>
        <v>30</v>
      </c>
      <c r="T784" s="12">
        <v>30</v>
      </c>
      <c r="U784" s="10">
        <f>Table4[[#This Row],[ပါဝင်မှု]]*Table4[[#This Row],[SalesPK]]+Table4[[#This Row],[Bottle]]</f>
        <v>720</v>
      </c>
      <c r="V784" s="10">
        <f>Table4[[#This Row],[SalesBot]]*Table4[[#This Row],[ML]]</f>
        <v>460.8</v>
      </c>
      <c r="W784" s="1">
        <f>VLOOKUP(N784,Stock[#Data],6,FALSE)</f>
        <v>1350</v>
      </c>
      <c r="X784" s="8">
        <f>+Table4[[#This Row],[SalesBot]]*Table4[[#This Row],[နှုံး]]</f>
        <v>972000</v>
      </c>
      <c r="Y784" s="12"/>
      <c r="Z784" s="12"/>
      <c r="AA784" s="12"/>
      <c r="AB784" s="9"/>
      <c r="AC784" s="12"/>
      <c r="AD784" s="9"/>
      <c r="AE784" s="12"/>
      <c r="AF78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972000</v>
      </c>
      <c r="AG784" s="24"/>
      <c r="AH784" s="266">
        <f>Table4[[#This Row],[Date]]</f>
        <v>46071</v>
      </c>
      <c r="AI784" s="264" t="str">
        <f t="shared" si="144"/>
        <v>Feb</v>
      </c>
      <c r="AJ784" s="264" t="str">
        <f t="shared" si="145"/>
        <v>2026</v>
      </c>
      <c r="AK784" s="270" t="str">
        <f>Table4[[#This Row],[ကုန်သည်အမည်]]</f>
        <v>ဦးမင်းလွင်</v>
      </c>
      <c r="AL784" s="270" t="str">
        <f>Table4[[#This Row],[Township]]</f>
        <v>Maw La Myaing</v>
      </c>
      <c r="AM784" s="271" t="str">
        <f>Table4[[#This Row],[WholeSales]]</f>
        <v>WholeSales</v>
      </c>
      <c r="AN784" s="272" t="str">
        <f>Table4[[#This Row],[Particular]]</f>
        <v>ကုန်ရောင်း(လက်ငင်း)</v>
      </c>
      <c r="AO784" s="273" t="str">
        <f>Table4[[#This Row],[StockName]]</f>
        <v>ဒဂုံအရက်သန့်</v>
      </c>
      <c r="AP784" s="268">
        <f>Table4[[#This Row],[Parking]]</f>
        <v>30</v>
      </c>
      <c r="AQ784" s="268">
        <f>Table4[[#This Row],[SalesBot]]</f>
        <v>720</v>
      </c>
      <c r="AR784" s="268">
        <f>Table4[[#This Row],[Liter]]</f>
        <v>460.8</v>
      </c>
    </row>
    <row r="785" spans="1:44" s="16" customFormat="1" hidden="1" x14ac:dyDescent="0.5">
      <c r="A785" s="3">
        <f t="shared" si="146"/>
        <v>2026</v>
      </c>
      <c r="B785" s="8">
        <f t="shared" si="147"/>
        <v>2</v>
      </c>
      <c r="C785" s="6">
        <v>46071</v>
      </c>
      <c r="D785" s="15">
        <f t="shared" ca="1" si="148"/>
        <v>46097</v>
      </c>
      <c r="E785" s="15" t="str">
        <f t="shared" ca="1" si="149"/>
        <v>0-Months</v>
      </c>
      <c r="F785" s="8" t="str">
        <f>VLOOKUP(N785,Stock[#Data],5,FALSE)</f>
        <v>BE</v>
      </c>
      <c r="G785" s="82" t="s">
        <v>1464</v>
      </c>
      <c r="H785" s="15"/>
      <c r="I785" s="7" t="s">
        <v>109</v>
      </c>
      <c r="J785" s="8" t="str">
        <f>VLOOKUP(I785,Customers[#Data],2,FALSE)</f>
        <v>ဦးမင်းလွင်</v>
      </c>
      <c r="K785" s="15" t="str">
        <f>VLOOKUP(I785,Customers[#Data],4,FALSE)</f>
        <v>Maw La Myaing</v>
      </c>
      <c r="L785" s="15" t="str">
        <f>VLOOKUP(I785,Customers[#Data],5,FALSE)</f>
        <v>WholeSales</v>
      </c>
      <c r="M785" s="7" t="s">
        <v>6</v>
      </c>
      <c r="N785" s="7" t="s">
        <v>521</v>
      </c>
      <c r="O785" s="14" t="str">
        <f>VLOOKUP(N785,Stock[#Data],2,FALSE)</f>
        <v>ဒဂုံအရက်သန့်</v>
      </c>
      <c r="P785" s="44">
        <f>VLOOKUP(N785,Stock[#Data],3,FALSE)</f>
        <v>0.64</v>
      </c>
      <c r="Q785" s="3">
        <f>VLOOKUP(N785,Stock[#Data],4,FALSE)</f>
        <v>24</v>
      </c>
      <c r="R785" s="11"/>
      <c r="S785" s="45">
        <f>IFERROR(Table4[[#This Row],[Bottle]]/Table4[[#This Row],[ပါဝင်မှု]]+Table4[[#This Row],[SalesPK]],0)</f>
        <v>20</v>
      </c>
      <c r="T785" s="12">
        <v>20</v>
      </c>
      <c r="U785" s="10">
        <f>Table4[[#This Row],[ပါဝင်မှု]]*Table4[[#This Row],[SalesPK]]+Table4[[#This Row],[Bottle]]</f>
        <v>480</v>
      </c>
      <c r="V785" s="10">
        <f>Table4[[#This Row],[SalesBot]]*Table4[[#This Row],[ML]]</f>
        <v>307.2</v>
      </c>
      <c r="W785" s="1">
        <f>VLOOKUP(N785,Stock[#Data],6,FALSE)</f>
        <v>1350</v>
      </c>
      <c r="X785" s="8">
        <f>+Table4[[#This Row],[SalesBot]]*Table4[[#This Row],[နှုံး]]</f>
        <v>648000</v>
      </c>
      <c r="Y785" s="12"/>
      <c r="Z785" s="12"/>
      <c r="AA785" s="12"/>
      <c r="AB785" s="9"/>
      <c r="AC785" s="12"/>
      <c r="AD785" s="9"/>
      <c r="AE785" s="12"/>
      <c r="AF78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648000</v>
      </c>
      <c r="AG785" s="24"/>
      <c r="AH785" s="266">
        <f>Table4[[#This Row],[Date]]</f>
        <v>46071</v>
      </c>
      <c r="AI785" s="264" t="str">
        <f t="shared" si="144"/>
        <v>Feb</v>
      </c>
      <c r="AJ785" s="264" t="str">
        <f t="shared" si="145"/>
        <v>2026</v>
      </c>
      <c r="AK785" s="270" t="str">
        <f>Table4[[#This Row],[ကုန်သည်အမည်]]</f>
        <v>ဦးမင်းလွင်</v>
      </c>
      <c r="AL785" s="270" t="str">
        <f>Table4[[#This Row],[Township]]</f>
        <v>Maw La Myaing</v>
      </c>
      <c r="AM785" s="271" t="str">
        <f>Table4[[#This Row],[WholeSales]]</f>
        <v>WholeSales</v>
      </c>
      <c r="AN785" s="272" t="str">
        <f>Table4[[#This Row],[Particular]]</f>
        <v>ကုန်ရောင်း(လက်ငင်း)</v>
      </c>
      <c r="AO785" s="273" t="str">
        <f>Table4[[#This Row],[StockName]]</f>
        <v>ဒဂုံအရက်သန့်</v>
      </c>
      <c r="AP785" s="268">
        <f>Table4[[#This Row],[Parking]]</f>
        <v>20</v>
      </c>
      <c r="AQ785" s="268">
        <f>Table4[[#This Row],[SalesBot]]</f>
        <v>480</v>
      </c>
      <c r="AR785" s="268">
        <f>Table4[[#This Row],[Liter]]</f>
        <v>307.2</v>
      </c>
    </row>
    <row r="786" spans="1:44" s="16" customFormat="1" hidden="1" x14ac:dyDescent="0.5">
      <c r="A786" s="3">
        <f t="shared" si="146"/>
        <v>2026</v>
      </c>
      <c r="B786" s="8">
        <f t="shared" si="147"/>
        <v>2</v>
      </c>
      <c r="C786" s="6">
        <v>46071</v>
      </c>
      <c r="D786" s="15">
        <f t="shared" ca="1" si="148"/>
        <v>46097</v>
      </c>
      <c r="E786" s="15" t="str">
        <f t="shared" ca="1" si="149"/>
        <v>0-Months</v>
      </c>
      <c r="F786" s="8" t="str">
        <f>VLOOKUP(N786,Stock[#Data],5,FALSE)</f>
        <v>BE</v>
      </c>
      <c r="G786" s="82" t="s">
        <v>1465</v>
      </c>
      <c r="H786" s="15"/>
      <c r="I786" s="7" t="s">
        <v>541</v>
      </c>
      <c r="J786" s="8" t="str">
        <f>VLOOKUP(I786,Customers[#Data],2,FALSE)</f>
        <v>ကိုကျော်ရွှေ</v>
      </c>
      <c r="K786" s="15" t="str">
        <f>VLOOKUP(I786,Customers[#Data],4,FALSE)</f>
        <v>Mudon</v>
      </c>
      <c r="L786" s="15" t="str">
        <f>VLOOKUP(I786,Customers[#Data],5,FALSE)</f>
        <v>SemiWholeSales</v>
      </c>
      <c r="M786" s="7" t="s">
        <v>6</v>
      </c>
      <c r="N786" s="7" t="s">
        <v>520</v>
      </c>
      <c r="O786" s="14" t="str">
        <f>VLOOKUP(N786,Stock[#Data],2,FALSE)</f>
        <v>ဇေယျဝတီ  Red(ပု)</v>
      </c>
      <c r="P786" s="44">
        <f>VLOOKUP(N786,Stock[#Data],3,FALSE)</f>
        <v>0.64</v>
      </c>
      <c r="Q786" s="3">
        <f>VLOOKUP(N786,Stock[#Data],4,FALSE)</f>
        <v>14</v>
      </c>
      <c r="R786" s="11"/>
      <c r="S786" s="45">
        <f>IFERROR(Table4[[#This Row],[Bottle]]/Table4[[#This Row],[ပါဝင်မှု]]+Table4[[#This Row],[SalesPK]],0)</f>
        <v>50</v>
      </c>
      <c r="T786" s="12">
        <v>50</v>
      </c>
      <c r="U786" s="10">
        <f>Table4[[#This Row],[ပါဝင်မှု]]*Table4[[#This Row],[SalesPK]]+Table4[[#This Row],[Bottle]]</f>
        <v>700</v>
      </c>
      <c r="V786" s="10">
        <f>Table4[[#This Row],[SalesBot]]*Table4[[#This Row],[ML]]</f>
        <v>448</v>
      </c>
      <c r="W786" s="1">
        <f>VLOOKUP(N786,Stock[#Data],6,FALSE)</f>
        <v>1800</v>
      </c>
      <c r="X786" s="8">
        <f>+Table4[[#This Row],[SalesBot]]*Table4[[#This Row],[နှုံး]]</f>
        <v>1260000</v>
      </c>
      <c r="Y786" s="12"/>
      <c r="Z786" s="12"/>
      <c r="AA786" s="12"/>
      <c r="AB786" s="9"/>
      <c r="AC786" s="12"/>
      <c r="AD786" s="9"/>
      <c r="AE786" s="12"/>
      <c r="AF78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786" s="24"/>
      <c r="AH786" s="266">
        <f>Table4[[#This Row],[Date]]</f>
        <v>46071</v>
      </c>
      <c r="AI786" s="264" t="str">
        <f t="shared" si="144"/>
        <v>Feb</v>
      </c>
      <c r="AJ786" s="264" t="str">
        <f t="shared" si="145"/>
        <v>2026</v>
      </c>
      <c r="AK786" s="270" t="str">
        <f>Table4[[#This Row],[ကုန်သည်အမည်]]</f>
        <v>ကိုကျော်ရွှေ</v>
      </c>
      <c r="AL786" s="270" t="str">
        <f>Table4[[#This Row],[Township]]</f>
        <v>Mudon</v>
      </c>
      <c r="AM786" s="271" t="str">
        <f>Table4[[#This Row],[WholeSales]]</f>
        <v>SemiWholeSales</v>
      </c>
      <c r="AN786" s="272" t="str">
        <f>Table4[[#This Row],[Particular]]</f>
        <v>ကုန်ရောင်း(လက်ငင်း)</v>
      </c>
      <c r="AO786" s="273" t="str">
        <f>Table4[[#This Row],[StockName]]</f>
        <v>ဇေယျဝတီ  Red(ပု)</v>
      </c>
      <c r="AP786" s="268">
        <f>Table4[[#This Row],[Parking]]</f>
        <v>50</v>
      </c>
      <c r="AQ786" s="268">
        <f>Table4[[#This Row],[SalesBot]]</f>
        <v>700</v>
      </c>
      <c r="AR786" s="268">
        <f>Table4[[#This Row],[Liter]]</f>
        <v>448</v>
      </c>
    </row>
    <row r="787" spans="1:44" s="16" customFormat="1" hidden="1" x14ac:dyDescent="0.5">
      <c r="A787" s="3">
        <f t="shared" ref="A787:A819" si="150">YEAR(C787)</f>
        <v>2026</v>
      </c>
      <c r="B787" s="8">
        <f t="shared" ref="B787:B819" si="151">MONTH(C787)</f>
        <v>2</v>
      </c>
      <c r="C787" s="6">
        <v>46071</v>
      </c>
      <c r="D787" s="15">
        <f t="shared" ref="D787:D819" ca="1" si="152">TODAY()</f>
        <v>46097</v>
      </c>
      <c r="E787" s="15" t="str">
        <f t="shared" ref="E787:E819" ca="1" si="153">DATEDIF(C787,D787,"M")&amp;"-Months"</f>
        <v>0-Months</v>
      </c>
      <c r="F787" s="8" t="str">
        <f>VLOOKUP(N787,Stock[#Data],5,FALSE)</f>
        <v>BE</v>
      </c>
      <c r="G787" s="82" t="s">
        <v>1466</v>
      </c>
      <c r="H787" s="15"/>
      <c r="I787" s="7" t="s">
        <v>647</v>
      </c>
      <c r="J787" s="8" t="str">
        <f>VLOOKUP(I787,Customers[#Data],2,FALSE)</f>
        <v>အလင်းသစ်</v>
      </c>
      <c r="K787" s="15" t="str">
        <f>VLOOKUP(I787,Customers[#Data],4,FALSE)</f>
        <v>Mudon</v>
      </c>
      <c r="L787" s="15" t="str">
        <f>VLOOKUP(I787,Customers[#Data],5,FALSE)</f>
        <v>Van Sales</v>
      </c>
      <c r="M787" s="7" t="s">
        <v>6</v>
      </c>
      <c r="N787" s="7" t="s">
        <v>518</v>
      </c>
      <c r="O787" s="14" t="str">
        <f>VLOOKUP(N787,Stock[#Data],2,FALSE)</f>
        <v>"ဇေ" ကော်ဘူး (1 Liter)</v>
      </c>
      <c r="P787" s="44">
        <f>VLOOKUP(N787,Stock[#Data],3,FALSE)</f>
        <v>1</v>
      </c>
      <c r="Q787" s="3">
        <f>VLOOKUP(N787,Stock[#Data],4,FALSE)</f>
        <v>12</v>
      </c>
      <c r="R787" s="11"/>
      <c r="S787" s="45">
        <f>IFERROR(Table4[[#This Row],[Bottle]]/Table4[[#This Row],[ပါဝင်မှု]]+Table4[[#This Row],[SalesPK]],0)</f>
        <v>1</v>
      </c>
      <c r="T787" s="12">
        <v>1</v>
      </c>
      <c r="U787" s="10">
        <f>Table4[[#This Row],[ပါဝင်မှု]]*Table4[[#This Row],[SalesPK]]+Table4[[#This Row],[Bottle]]</f>
        <v>12</v>
      </c>
      <c r="V787" s="10">
        <f>Table4[[#This Row],[SalesBot]]*Table4[[#This Row],[ML]]</f>
        <v>12</v>
      </c>
      <c r="W787" s="1">
        <f>VLOOKUP(N787,Stock[#Data],6,FALSE)</f>
        <v>1675</v>
      </c>
      <c r="X787" s="8">
        <f>+Table4[[#This Row],[SalesBot]]*Table4[[#This Row],[နှုံး]]</f>
        <v>20100</v>
      </c>
      <c r="Y787" s="12"/>
      <c r="Z787" s="12"/>
      <c r="AA787" s="12"/>
      <c r="AB787" s="9"/>
      <c r="AC787" s="12"/>
      <c r="AD787" s="9"/>
      <c r="AE787" s="12"/>
      <c r="AF78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</v>
      </c>
      <c r="AG787" s="24"/>
      <c r="AH787" s="266">
        <f>Table4[[#This Row],[Date]]</f>
        <v>46071</v>
      </c>
      <c r="AI787" s="264" t="str">
        <f t="shared" si="144"/>
        <v>Feb</v>
      </c>
      <c r="AJ787" s="264" t="str">
        <f t="shared" si="145"/>
        <v>2026</v>
      </c>
      <c r="AK787" s="270" t="str">
        <f>Table4[[#This Row],[ကုန်သည်အမည်]]</f>
        <v>အလင်းသစ်</v>
      </c>
      <c r="AL787" s="270" t="str">
        <f>Table4[[#This Row],[Township]]</f>
        <v>Mudon</v>
      </c>
      <c r="AM787" s="271" t="str">
        <f>Table4[[#This Row],[WholeSales]]</f>
        <v>Van Sales</v>
      </c>
      <c r="AN787" s="272" t="str">
        <f>Table4[[#This Row],[Particular]]</f>
        <v>ကုန်ရောင်း(လက်ငင်း)</v>
      </c>
      <c r="AO787" s="273" t="str">
        <f>Table4[[#This Row],[StockName]]</f>
        <v>"ဇေ" ကော်ဘူး (1 Liter)</v>
      </c>
      <c r="AP787" s="268">
        <f>Table4[[#This Row],[Parking]]</f>
        <v>1</v>
      </c>
      <c r="AQ787" s="268">
        <f>Table4[[#This Row],[SalesBot]]</f>
        <v>12</v>
      </c>
      <c r="AR787" s="268">
        <f>Table4[[#This Row],[Liter]]</f>
        <v>12</v>
      </c>
    </row>
    <row r="788" spans="1:44" s="16" customFormat="1" hidden="1" x14ac:dyDescent="0.5">
      <c r="A788" s="3">
        <f t="shared" si="150"/>
        <v>2026</v>
      </c>
      <c r="B788" s="8">
        <f t="shared" si="151"/>
        <v>2</v>
      </c>
      <c r="C788" s="6">
        <v>46071</v>
      </c>
      <c r="D788" s="15">
        <f t="shared" ca="1" si="152"/>
        <v>46097</v>
      </c>
      <c r="E788" s="15" t="str">
        <f t="shared" ca="1" si="153"/>
        <v>0-Months</v>
      </c>
      <c r="F788" s="8" t="str">
        <f>VLOOKUP(N788,Stock[#Data],5,FALSE)</f>
        <v>BE</v>
      </c>
      <c r="G788" s="82" t="s">
        <v>1466</v>
      </c>
      <c r="H788" s="15"/>
      <c r="I788" s="7" t="s">
        <v>647</v>
      </c>
      <c r="J788" s="8" t="str">
        <f>VLOOKUP(I788,Customers[#Data],2,FALSE)</f>
        <v>အလင်းသစ်</v>
      </c>
      <c r="K788" s="15" t="str">
        <f>VLOOKUP(I788,Customers[#Data],4,FALSE)</f>
        <v>Mudon</v>
      </c>
      <c r="L788" s="15" t="str">
        <f>VLOOKUP(I788,Customers[#Data],5,FALSE)</f>
        <v>Van Sales</v>
      </c>
      <c r="M788" s="7" t="s">
        <v>6</v>
      </c>
      <c r="N788" s="7" t="s">
        <v>522</v>
      </c>
      <c r="O788" s="14" t="str">
        <f>VLOOKUP(N788,Stock[#Data],2,FALSE)</f>
        <v>ဒဂုံမန်ကျည်း ကော်ဘူး (1 Liter)</v>
      </c>
      <c r="P788" s="44">
        <f>VLOOKUP(N788,Stock[#Data],3,FALSE)</f>
        <v>1</v>
      </c>
      <c r="Q788" s="3">
        <f>VLOOKUP(N788,Stock[#Data],4,FALSE)</f>
        <v>12</v>
      </c>
      <c r="R788" s="11"/>
      <c r="S788" s="45">
        <f>IFERROR(Table4[[#This Row],[Bottle]]/Table4[[#This Row],[ပါဝင်မှု]]+Table4[[#This Row],[SalesPK]],0)</f>
        <v>1</v>
      </c>
      <c r="T788" s="12">
        <v>1</v>
      </c>
      <c r="U788" s="10">
        <f>Table4[[#This Row],[ပါဝင်မှု]]*Table4[[#This Row],[SalesPK]]+Table4[[#This Row],[Bottle]]</f>
        <v>12</v>
      </c>
      <c r="V788" s="10">
        <f>Table4[[#This Row],[SalesBot]]*Table4[[#This Row],[ML]]</f>
        <v>12</v>
      </c>
      <c r="W788" s="1">
        <f>VLOOKUP(N788,Stock[#Data],6,FALSE)</f>
        <v>1600</v>
      </c>
      <c r="X788" s="8">
        <f>+Table4[[#This Row],[SalesBot]]*Table4[[#This Row],[နှုံး]]</f>
        <v>19200</v>
      </c>
      <c r="Y788" s="12"/>
      <c r="Z788" s="12"/>
      <c r="AA788" s="12"/>
      <c r="AB788" s="9"/>
      <c r="AC788" s="12"/>
      <c r="AD788" s="9"/>
      <c r="AE788" s="12"/>
      <c r="AF78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788" s="24"/>
      <c r="AH788" s="266">
        <f>Table4[[#This Row],[Date]]</f>
        <v>46071</v>
      </c>
      <c r="AI788" s="264" t="str">
        <f t="shared" si="144"/>
        <v>Feb</v>
      </c>
      <c r="AJ788" s="264" t="str">
        <f t="shared" si="145"/>
        <v>2026</v>
      </c>
      <c r="AK788" s="270" t="str">
        <f>Table4[[#This Row],[ကုန်သည်အမည်]]</f>
        <v>အလင်းသစ်</v>
      </c>
      <c r="AL788" s="270" t="str">
        <f>Table4[[#This Row],[Township]]</f>
        <v>Mudon</v>
      </c>
      <c r="AM788" s="271" t="str">
        <f>Table4[[#This Row],[WholeSales]]</f>
        <v>Van Sales</v>
      </c>
      <c r="AN788" s="272" t="str">
        <f>Table4[[#This Row],[Particular]]</f>
        <v>ကုန်ရောင်း(လက်ငင်း)</v>
      </c>
      <c r="AO788" s="273" t="str">
        <f>Table4[[#This Row],[StockName]]</f>
        <v>ဒဂုံမန်ကျည်း ကော်ဘူး (1 Liter)</v>
      </c>
      <c r="AP788" s="268">
        <f>Table4[[#This Row],[Parking]]</f>
        <v>1</v>
      </c>
      <c r="AQ788" s="268">
        <f>Table4[[#This Row],[SalesBot]]</f>
        <v>12</v>
      </c>
      <c r="AR788" s="268">
        <f>Table4[[#This Row],[Liter]]</f>
        <v>12</v>
      </c>
    </row>
    <row r="789" spans="1:44" s="16" customFormat="1" hidden="1" x14ac:dyDescent="0.5">
      <c r="A789" s="3">
        <f t="shared" si="150"/>
        <v>2026</v>
      </c>
      <c r="B789" s="8">
        <f t="shared" si="151"/>
        <v>2</v>
      </c>
      <c r="C789" s="6">
        <v>46071</v>
      </c>
      <c r="D789" s="15">
        <f t="shared" ca="1" si="152"/>
        <v>46097</v>
      </c>
      <c r="E789" s="15" t="str">
        <f t="shared" ca="1" si="153"/>
        <v>0-Months</v>
      </c>
      <c r="F789" s="8" t="str">
        <f>VLOOKUP(N789,Stock[#Data],5,FALSE)</f>
        <v>BE</v>
      </c>
      <c r="G789" s="82" t="s">
        <v>1466</v>
      </c>
      <c r="H789" s="15"/>
      <c r="I789" s="7" t="s">
        <v>647</v>
      </c>
      <c r="J789" s="8" t="str">
        <f>VLOOKUP(I789,Customers[#Data],2,FALSE)</f>
        <v>အလင်းသစ်</v>
      </c>
      <c r="K789" s="15" t="str">
        <f>VLOOKUP(I789,Customers[#Data],4,FALSE)</f>
        <v>Mudon</v>
      </c>
      <c r="L789" s="15" t="str">
        <f>VLOOKUP(I789,Customers[#Data],5,FALSE)</f>
        <v>Van Sales</v>
      </c>
      <c r="M789" s="7" t="s">
        <v>6</v>
      </c>
      <c r="N789" s="7" t="s">
        <v>425</v>
      </c>
      <c r="O789" s="14" t="str">
        <f>VLOOKUP(N789,Stock[#Data],2,FALSE)</f>
        <v>ကောင်းကြည်-1Li</v>
      </c>
      <c r="P789" s="44">
        <f>VLOOKUP(N789,Stock[#Data],3,FALSE)</f>
        <v>1</v>
      </c>
      <c r="Q789" s="3">
        <f>VLOOKUP(N789,Stock[#Data],4,FALSE)</f>
        <v>12</v>
      </c>
      <c r="R789" s="11"/>
      <c r="S789" s="45">
        <f>IFERROR(Table4[[#This Row],[Bottle]]/Table4[[#This Row],[ပါဝင်မှု]]+Table4[[#This Row],[SalesPK]],0)</f>
        <v>1</v>
      </c>
      <c r="T789" s="12">
        <v>1</v>
      </c>
      <c r="U789" s="10">
        <f>Table4[[#This Row],[ပါဝင်မှု]]*Table4[[#This Row],[SalesPK]]+Table4[[#This Row],[Bottle]]</f>
        <v>12</v>
      </c>
      <c r="V789" s="10">
        <f>Table4[[#This Row],[SalesBot]]*Table4[[#This Row],[ML]]</f>
        <v>12</v>
      </c>
      <c r="W789" s="1">
        <f>VLOOKUP(N789,Stock[#Data],6,FALSE)</f>
        <v>1500</v>
      </c>
      <c r="X789" s="8">
        <f>+Table4[[#This Row],[SalesBot]]*Table4[[#This Row],[နှုံး]]</f>
        <v>18000</v>
      </c>
      <c r="Y789" s="12"/>
      <c r="Z789" s="12"/>
      <c r="AA789" s="12"/>
      <c r="AB789" s="9"/>
      <c r="AC789" s="12"/>
      <c r="AD789" s="9"/>
      <c r="AE789" s="12"/>
      <c r="AF78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789" s="24"/>
      <c r="AH789" s="266">
        <f>Table4[[#This Row],[Date]]</f>
        <v>46071</v>
      </c>
      <c r="AI789" s="264" t="str">
        <f t="shared" si="144"/>
        <v>Feb</v>
      </c>
      <c r="AJ789" s="264" t="str">
        <f t="shared" si="145"/>
        <v>2026</v>
      </c>
      <c r="AK789" s="270" t="str">
        <f>Table4[[#This Row],[ကုန်သည်အမည်]]</f>
        <v>အလင်းသစ်</v>
      </c>
      <c r="AL789" s="270" t="str">
        <f>Table4[[#This Row],[Township]]</f>
        <v>Mudon</v>
      </c>
      <c r="AM789" s="271" t="str">
        <f>Table4[[#This Row],[WholeSales]]</f>
        <v>Van Sales</v>
      </c>
      <c r="AN789" s="272" t="str">
        <f>Table4[[#This Row],[Particular]]</f>
        <v>ကုန်ရောင်း(လက်ငင်း)</v>
      </c>
      <c r="AO789" s="273" t="str">
        <f>Table4[[#This Row],[StockName]]</f>
        <v>ကောင်းကြည်-1Li</v>
      </c>
      <c r="AP789" s="268">
        <f>Table4[[#This Row],[Parking]]</f>
        <v>1</v>
      </c>
      <c r="AQ789" s="268">
        <f>Table4[[#This Row],[SalesBot]]</f>
        <v>12</v>
      </c>
      <c r="AR789" s="268">
        <f>Table4[[#This Row],[Liter]]</f>
        <v>12</v>
      </c>
    </row>
    <row r="790" spans="1:44" s="16" customFormat="1" hidden="1" x14ac:dyDescent="0.5">
      <c r="A790" s="3">
        <f t="shared" si="150"/>
        <v>2026</v>
      </c>
      <c r="B790" s="8">
        <f t="shared" si="151"/>
        <v>2</v>
      </c>
      <c r="C790" s="6">
        <v>46071</v>
      </c>
      <c r="D790" s="15">
        <f t="shared" ca="1" si="152"/>
        <v>46097</v>
      </c>
      <c r="E790" s="15" t="str">
        <f t="shared" ca="1" si="153"/>
        <v>0-Months</v>
      </c>
      <c r="F790" s="8" t="str">
        <f>VLOOKUP(N790,Stock[#Data],5,FALSE)</f>
        <v>BE</v>
      </c>
      <c r="G790" s="82" t="s">
        <v>1466</v>
      </c>
      <c r="H790" s="15"/>
      <c r="I790" s="7" t="s">
        <v>647</v>
      </c>
      <c r="J790" s="8" t="str">
        <f>VLOOKUP(I790,Customers[#Data],2,FALSE)</f>
        <v>အလင်းသစ်</v>
      </c>
      <c r="K790" s="15" t="str">
        <f>VLOOKUP(I790,Customers[#Data],4,FALSE)</f>
        <v>Mudon</v>
      </c>
      <c r="L790" s="15" t="str">
        <f>VLOOKUP(I790,Customers[#Data],5,FALSE)</f>
        <v>Van Sales</v>
      </c>
      <c r="M790" s="7" t="s">
        <v>6</v>
      </c>
      <c r="N790" s="7" t="s">
        <v>508</v>
      </c>
      <c r="O790" s="14" t="str">
        <f>VLOOKUP(N790,Stock[#Data],2,FALSE)</f>
        <v>ကောင်းကြည်-1Li</v>
      </c>
      <c r="P790" s="44">
        <f>VLOOKUP(N790,Stock[#Data],3,FALSE)</f>
        <v>1</v>
      </c>
      <c r="Q790" s="3">
        <f>VLOOKUP(N790,Stock[#Data],4,FALSE)</f>
        <v>12</v>
      </c>
      <c r="R790" s="11"/>
      <c r="S790" s="45">
        <f>IFERROR(Table4[[#This Row],[Bottle]]/Table4[[#This Row],[ပါဝင်မှု]]+Table4[[#This Row],[SalesPK]],0)</f>
        <v>1</v>
      </c>
      <c r="T790" s="12">
        <v>1</v>
      </c>
      <c r="U790" s="10">
        <f>Table4[[#This Row],[ပါဝင်မှု]]*Table4[[#This Row],[SalesPK]]+Table4[[#This Row],[Bottle]]</f>
        <v>12</v>
      </c>
      <c r="V790" s="10">
        <f>Table4[[#This Row],[SalesBot]]*Table4[[#This Row],[ML]]</f>
        <v>12</v>
      </c>
      <c r="W790" s="1">
        <f>VLOOKUP(N790,Stock[#Data],6,FALSE)</f>
        <v>1850</v>
      </c>
      <c r="X790" s="8">
        <f>+Table4[[#This Row],[SalesBot]]*Table4[[#This Row],[နှုံး]]</f>
        <v>22200</v>
      </c>
      <c r="Y790" s="12"/>
      <c r="Z790" s="12"/>
      <c r="AA790" s="12"/>
      <c r="AB790" s="9"/>
      <c r="AC790" s="12"/>
      <c r="AD790" s="9"/>
      <c r="AE790" s="12"/>
      <c r="AF79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790" s="24"/>
      <c r="AH790" s="266">
        <f>Table4[[#This Row],[Date]]</f>
        <v>46071</v>
      </c>
      <c r="AI790" s="264" t="str">
        <f t="shared" si="144"/>
        <v>Feb</v>
      </c>
      <c r="AJ790" s="264" t="str">
        <f t="shared" si="145"/>
        <v>2026</v>
      </c>
      <c r="AK790" s="270" t="str">
        <f>Table4[[#This Row],[ကုန်သည်အမည်]]</f>
        <v>အလင်းသစ်</v>
      </c>
      <c r="AL790" s="270" t="str">
        <f>Table4[[#This Row],[Township]]</f>
        <v>Mudon</v>
      </c>
      <c r="AM790" s="271" t="str">
        <f>Table4[[#This Row],[WholeSales]]</f>
        <v>Van Sales</v>
      </c>
      <c r="AN790" s="272" t="str">
        <f>Table4[[#This Row],[Particular]]</f>
        <v>ကုန်ရောင်း(လက်ငင်း)</v>
      </c>
      <c r="AO790" s="273" t="str">
        <f>Table4[[#This Row],[StockName]]</f>
        <v>ကောင်းကြည်-1Li</v>
      </c>
      <c r="AP790" s="268">
        <f>Table4[[#This Row],[Parking]]</f>
        <v>1</v>
      </c>
      <c r="AQ790" s="268">
        <f>Table4[[#This Row],[SalesBot]]</f>
        <v>12</v>
      </c>
      <c r="AR790" s="268">
        <f>Table4[[#This Row],[Liter]]</f>
        <v>12</v>
      </c>
    </row>
    <row r="791" spans="1:44" s="16" customFormat="1" hidden="1" x14ac:dyDescent="0.5">
      <c r="A791" s="3">
        <f t="shared" si="150"/>
        <v>2026</v>
      </c>
      <c r="B791" s="8">
        <f t="shared" si="151"/>
        <v>2</v>
      </c>
      <c r="C791" s="6">
        <v>46071</v>
      </c>
      <c r="D791" s="15">
        <f t="shared" ca="1" si="152"/>
        <v>46097</v>
      </c>
      <c r="E791" s="15" t="str">
        <f t="shared" ca="1" si="153"/>
        <v>0-Months</v>
      </c>
      <c r="F791" s="8" t="str">
        <f>VLOOKUP(N791,Stock[#Data],5,FALSE)</f>
        <v>BE</v>
      </c>
      <c r="G791" s="82" t="s">
        <v>1466</v>
      </c>
      <c r="H791" s="15"/>
      <c r="I791" s="7" t="s">
        <v>647</v>
      </c>
      <c r="J791" s="8" t="str">
        <f>VLOOKUP(I791,Customers[#Data],2,FALSE)</f>
        <v>အလင်းသစ်</v>
      </c>
      <c r="K791" s="15" t="str">
        <f>VLOOKUP(I791,Customers[#Data],4,FALSE)</f>
        <v>Mudon</v>
      </c>
      <c r="L791" s="15" t="str">
        <f>VLOOKUP(I791,Customers[#Data],5,FALSE)</f>
        <v>Van Sales</v>
      </c>
      <c r="M791" s="7" t="s">
        <v>9</v>
      </c>
      <c r="N791" s="7" t="s">
        <v>522</v>
      </c>
      <c r="O791" s="14" t="str">
        <f>VLOOKUP(N791,Stock[#Data],2,FALSE)</f>
        <v>ဒဂုံမန်ကျည်း ကော်ဘူး (1 Liter)</v>
      </c>
      <c r="P791" s="44">
        <f>VLOOKUP(N791,Stock[#Data],3,FALSE)</f>
        <v>1</v>
      </c>
      <c r="Q791" s="3">
        <f>VLOOKUP(N791,Stock[#Data],4,FALSE)</f>
        <v>12</v>
      </c>
      <c r="R791" s="11">
        <v>1</v>
      </c>
      <c r="S791" s="45">
        <f>IFERROR(Table4[[#This Row],[Bottle]]/Table4[[#This Row],[ပါဝင်မှု]]+Table4[[#This Row],[SalesPK]],0)</f>
        <v>8.3333333333333329E-2</v>
      </c>
      <c r="T791" s="12"/>
      <c r="U791" s="10">
        <f>Table4[[#This Row],[ပါဝင်မှု]]*Table4[[#This Row],[SalesPK]]+Table4[[#This Row],[Bottle]]</f>
        <v>1</v>
      </c>
      <c r="V791" s="10">
        <f>Table4[[#This Row],[SalesBot]]*Table4[[#This Row],[ML]]</f>
        <v>1</v>
      </c>
      <c r="W791" s="1">
        <f>VLOOKUP(N791,Stock[#Data],6,FALSE)</f>
        <v>1600</v>
      </c>
      <c r="X791" s="8">
        <f>+Table4[[#This Row],[SalesBot]]*Table4[[#This Row],[နှုံး]]</f>
        <v>1600</v>
      </c>
      <c r="Y791" s="12"/>
      <c r="Z791" s="12"/>
      <c r="AA791" s="12"/>
      <c r="AB791" s="9"/>
      <c r="AC791" s="12"/>
      <c r="AD791" s="9"/>
      <c r="AE791" s="12"/>
      <c r="AF79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791" s="24"/>
      <c r="AH791" s="266">
        <f>Table4[[#This Row],[Date]]</f>
        <v>46071</v>
      </c>
      <c r="AI791" s="264" t="str">
        <f t="shared" si="144"/>
        <v>Feb</v>
      </c>
      <c r="AJ791" s="264" t="str">
        <f t="shared" si="145"/>
        <v>2026</v>
      </c>
      <c r="AK791" s="270" t="str">
        <f>Table4[[#This Row],[ကုန်သည်အမည်]]</f>
        <v>အလင်းသစ်</v>
      </c>
      <c r="AL791" s="270" t="str">
        <f>Table4[[#This Row],[Township]]</f>
        <v>Mudon</v>
      </c>
      <c r="AM791" s="271" t="str">
        <f>Table4[[#This Row],[WholeSales]]</f>
        <v>Van Sales</v>
      </c>
      <c r="AN791" s="272" t="str">
        <f>Table4[[#This Row],[Particular]]</f>
        <v>လက်ဆောင်</v>
      </c>
      <c r="AO791" s="273" t="str">
        <f>Table4[[#This Row],[StockName]]</f>
        <v>ဒဂုံမန်ကျည်း ကော်ဘူး (1 Liter)</v>
      </c>
      <c r="AP791" s="268">
        <f>Table4[[#This Row],[Parking]]</f>
        <v>8.3333333333333329E-2</v>
      </c>
      <c r="AQ791" s="268">
        <f>Table4[[#This Row],[SalesBot]]</f>
        <v>1</v>
      </c>
      <c r="AR791" s="268">
        <f>Table4[[#This Row],[Liter]]</f>
        <v>1</v>
      </c>
    </row>
    <row r="792" spans="1:44" s="16" customFormat="1" hidden="1" x14ac:dyDescent="0.5">
      <c r="A792" s="3">
        <f t="shared" si="150"/>
        <v>2026</v>
      </c>
      <c r="B792" s="8">
        <f t="shared" si="151"/>
        <v>2</v>
      </c>
      <c r="C792" s="6">
        <v>46071</v>
      </c>
      <c r="D792" s="15">
        <f t="shared" ca="1" si="152"/>
        <v>46097</v>
      </c>
      <c r="E792" s="15" t="str">
        <f t="shared" ca="1" si="153"/>
        <v>0-Months</v>
      </c>
      <c r="F792" s="8" t="str">
        <f>VLOOKUP(N792,Stock[#Data],5,FALSE)</f>
        <v>BE</v>
      </c>
      <c r="G792" s="82" t="s">
        <v>1466</v>
      </c>
      <c r="H792" s="15"/>
      <c r="I792" s="7" t="s">
        <v>647</v>
      </c>
      <c r="J792" s="8" t="str">
        <f>VLOOKUP(I792,Customers[#Data],2,FALSE)</f>
        <v>အလင်းသစ်</v>
      </c>
      <c r="K792" s="15" t="str">
        <f>VLOOKUP(I792,Customers[#Data],4,FALSE)</f>
        <v>Mudon</v>
      </c>
      <c r="L792" s="15" t="str">
        <f>VLOOKUP(I792,Customers[#Data],5,FALSE)</f>
        <v>Van Sales</v>
      </c>
      <c r="M792" s="7" t="s">
        <v>9</v>
      </c>
      <c r="N792" s="7" t="s">
        <v>425</v>
      </c>
      <c r="O792" s="14" t="str">
        <f>VLOOKUP(N792,Stock[#Data],2,FALSE)</f>
        <v>ကောင်းကြည်-1Li</v>
      </c>
      <c r="P792" s="44">
        <f>VLOOKUP(N792,Stock[#Data],3,FALSE)</f>
        <v>1</v>
      </c>
      <c r="Q792" s="3">
        <f>VLOOKUP(N792,Stock[#Data],4,FALSE)</f>
        <v>12</v>
      </c>
      <c r="R792" s="11">
        <v>1</v>
      </c>
      <c r="S792" s="45">
        <f>IFERROR(Table4[[#This Row],[Bottle]]/Table4[[#This Row],[ပါဝင်မှု]]+Table4[[#This Row],[SalesPK]],0)</f>
        <v>8.3333333333333329E-2</v>
      </c>
      <c r="T792" s="12"/>
      <c r="U792" s="10">
        <f>Table4[[#This Row],[ပါဝင်မှု]]*Table4[[#This Row],[SalesPK]]+Table4[[#This Row],[Bottle]]</f>
        <v>1</v>
      </c>
      <c r="V792" s="10">
        <f>Table4[[#This Row],[SalesBot]]*Table4[[#This Row],[ML]]</f>
        <v>1</v>
      </c>
      <c r="W792" s="1">
        <f>VLOOKUP(N792,Stock[#Data],6,FALSE)</f>
        <v>1500</v>
      </c>
      <c r="X792" s="8">
        <f>+Table4[[#This Row],[SalesBot]]*Table4[[#This Row],[နှုံး]]</f>
        <v>1500</v>
      </c>
      <c r="Y792" s="12"/>
      <c r="Z792" s="12"/>
      <c r="AA792" s="12"/>
      <c r="AB792" s="9"/>
      <c r="AC792" s="12"/>
      <c r="AD792" s="9"/>
      <c r="AE792" s="12"/>
      <c r="AF79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792" s="24"/>
      <c r="AH792" s="266">
        <f>Table4[[#This Row],[Date]]</f>
        <v>46071</v>
      </c>
      <c r="AI792" s="264" t="str">
        <f t="shared" si="144"/>
        <v>Feb</v>
      </c>
      <c r="AJ792" s="264" t="str">
        <f t="shared" si="145"/>
        <v>2026</v>
      </c>
      <c r="AK792" s="270" t="str">
        <f>Table4[[#This Row],[ကုန်သည်အမည်]]</f>
        <v>အလင်းသစ်</v>
      </c>
      <c r="AL792" s="270" t="str">
        <f>Table4[[#This Row],[Township]]</f>
        <v>Mudon</v>
      </c>
      <c r="AM792" s="271" t="str">
        <f>Table4[[#This Row],[WholeSales]]</f>
        <v>Van Sales</v>
      </c>
      <c r="AN792" s="272" t="str">
        <f>Table4[[#This Row],[Particular]]</f>
        <v>လက်ဆောင်</v>
      </c>
      <c r="AO792" s="273" t="str">
        <f>Table4[[#This Row],[StockName]]</f>
        <v>ကောင်းကြည်-1Li</v>
      </c>
      <c r="AP792" s="268">
        <f>Table4[[#This Row],[Parking]]</f>
        <v>8.3333333333333329E-2</v>
      </c>
      <c r="AQ792" s="268">
        <f>Table4[[#This Row],[SalesBot]]</f>
        <v>1</v>
      </c>
      <c r="AR792" s="268">
        <f>Table4[[#This Row],[Liter]]</f>
        <v>1</v>
      </c>
    </row>
    <row r="793" spans="1:44" s="16" customFormat="1" hidden="1" x14ac:dyDescent="0.5">
      <c r="A793" s="3">
        <f t="shared" si="150"/>
        <v>2026</v>
      </c>
      <c r="B793" s="8">
        <f t="shared" si="151"/>
        <v>2</v>
      </c>
      <c r="C793" s="6">
        <v>46071</v>
      </c>
      <c r="D793" s="15">
        <f t="shared" ca="1" si="152"/>
        <v>46097</v>
      </c>
      <c r="E793" s="15" t="str">
        <f t="shared" ca="1" si="153"/>
        <v>0-Months</v>
      </c>
      <c r="F793" s="8" t="str">
        <f>VLOOKUP(N793,Stock[#Data],5,FALSE)</f>
        <v>BE</v>
      </c>
      <c r="G793" s="82" t="s">
        <v>1466</v>
      </c>
      <c r="H793" s="15"/>
      <c r="I793" s="7" t="s">
        <v>647</v>
      </c>
      <c r="J793" s="8" t="str">
        <f>VLOOKUP(I793,Customers[#Data],2,FALSE)</f>
        <v>အလင်းသစ်</v>
      </c>
      <c r="K793" s="15" t="str">
        <f>VLOOKUP(I793,Customers[#Data],4,FALSE)</f>
        <v>Mudon</v>
      </c>
      <c r="L793" s="15" t="str">
        <f>VLOOKUP(I793,Customers[#Data],5,FALSE)</f>
        <v>Van Sales</v>
      </c>
      <c r="M793" s="7" t="s">
        <v>9</v>
      </c>
      <c r="N793" s="7" t="s">
        <v>508</v>
      </c>
      <c r="O793" s="14" t="str">
        <f>VLOOKUP(N793,Stock[#Data],2,FALSE)</f>
        <v>ကောင်းကြည်-1Li</v>
      </c>
      <c r="P793" s="44">
        <f>VLOOKUP(N793,Stock[#Data],3,FALSE)</f>
        <v>1</v>
      </c>
      <c r="Q793" s="3">
        <f>VLOOKUP(N793,Stock[#Data],4,FALSE)</f>
        <v>12</v>
      </c>
      <c r="R793" s="11">
        <v>1</v>
      </c>
      <c r="S793" s="45">
        <f>IFERROR(Table4[[#This Row],[Bottle]]/Table4[[#This Row],[ပါဝင်မှု]]+Table4[[#This Row],[SalesPK]],0)</f>
        <v>8.3333333333333329E-2</v>
      </c>
      <c r="T793" s="12"/>
      <c r="U793" s="10">
        <f>Table4[[#This Row],[ပါဝင်မှု]]*Table4[[#This Row],[SalesPK]]+Table4[[#This Row],[Bottle]]</f>
        <v>1</v>
      </c>
      <c r="V793" s="10">
        <f>Table4[[#This Row],[SalesBot]]*Table4[[#This Row],[ML]]</f>
        <v>1</v>
      </c>
      <c r="W793" s="1">
        <f>VLOOKUP(N793,Stock[#Data],6,FALSE)</f>
        <v>1850</v>
      </c>
      <c r="X793" s="8">
        <f>+Table4[[#This Row],[SalesBot]]*Table4[[#This Row],[နှုံး]]</f>
        <v>1850</v>
      </c>
      <c r="Y793" s="12"/>
      <c r="Z793" s="12"/>
      <c r="AA793" s="12"/>
      <c r="AB793" s="9"/>
      <c r="AC793" s="12"/>
      <c r="AD793" s="9"/>
      <c r="AE793" s="12"/>
      <c r="AF79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793" s="24"/>
      <c r="AH793" s="266">
        <f>Table4[[#This Row],[Date]]</f>
        <v>46071</v>
      </c>
      <c r="AI793" s="264" t="str">
        <f t="shared" si="144"/>
        <v>Feb</v>
      </c>
      <c r="AJ793" s="264" t="str">
        <f t="shared" si="145"/>
        <v>2026</v>
      </c>
      <c r="AK793" s="270" t="str">
        <f>Table4[[#This Row],[ကုန်သည်အမည်]]</f>
        <v>အလင်းသစ်</v>
      </c>
      <c r="AL793" s="270" t="str">
        <f>Table4[[#This Row],[Township]]</f>
        <v>Mudon</v>
      </c>
      <c r="AM793" s="271" t="str">
        <f>Table4[[#This Row],[WholeSales]]</f>
        <v>Van Sales</v>
      </c>
      <c r="AN793" s="272" t="str">
        <f>Table4[[#This Row],[Particular]]</f>
        <v>လက်ဆောင်</v>
      </c>
      <c r="AO793" s="273" t="str">
        <f>Table4[[#This Row],[StockName]]</f>
        <v>ကောင်းကြည်-1Li</v>
      </c>
      <c r="AP793" s="268">
        <f>Table4[[#This Row],[Parking]]</f>
        <v>8.3333333333333329E-2</v>
      </c>
      <c r="AQ793" s="268">
        <f>Table4[[#This Row],[SalesBot]]</f>
        <v>1</v>
      </c>
      <c r="AR793" s="268">
        <f>Table4[[#This Row],[Liter]]</f>
        <v>1</v>
      </c>
    </row>
    <row r="794" spans="1:44" s="16" customFormat="1" hidden="1" x14ac:dyDescent="0.5">
      <c r="A794" s="3">
        <f t="shared" si="150"/>
        <v>2026</v>
      </c>
      <c r="B794" s="8">
        <f t="shared" si="151"/>
        <v>2</v>
      </c>
      <c r="C794" s="6">
        <v>46071</v>
      </c>
      <c r="D794" s="15">
        <f t="shared" ca="1" si="152"/>
        <v>46097</v>
      </c>
      <c r="E794" s="15" t="str">
        <f t="shared" ca="1" si="153"/>
        <v>0-Months</v>
      </c>
      <c r="F794" s="8" t="str">
        <f>VLOOKUP(N794,Stock[#Data],5,FALSE)</f>
        <v>BE</v>
      </c>
      <c r="G794" s="82" t="s">
        <v>1467</v>
      </c>
      <c r="H794" s="15"/>
      <c r="I794" s="7" t="s">
        <v>1468</v>
      </c>
      <c r="J794" s="8" t="str">
        <f>VLOOKUP(I794,Customers[#Data],2,FALSE)</f>
        <v>ဟံသာမြိုင်</v>
      </c>
      <c r="K794" s="15" t="str">
        <f>VLOOKUP(I794,Customers[#Data],4,FALSE)</f>
        <v>Maw La Myaing</v>
      </c>
      <c r="L794" s="15" t="str">
        <f>VLOOKUP(I794,Customers[#Data],5,FALSE)</f>
        <v>Van Sales</v>
      </c>
      <c r="M794" s="7" t="s">
        <v>6</v>
      </c>
      <c r="N794" s="7" t="s">
        <v>518</v>
      </c>
      <c r="O794" s="14" t="str">
        <f>VLOOKUP(N794,Stock[#Data],2,FALSE)</f>
        <v>"ဇေ" ကော်ဘူး (1 Liter)</v>
      </c>
      <c r="P794" s="44">
        <f>VLOOKUP(N794,Stock[#Data],3,FALSE)</f>
        <v>1</v>
      </c>
      <c r="Q794" s="3">
        <f>VLOOKUP(N794,Stock[#Data],4,FALSE)</f>
        <v>12</v>
      </c>
      <c r="R794" s="11"/>
      <c r="S794" s="45">
        <f>IFERROR(Table4[[#This Row],[Bottle]]/Table4[[#This Row],[ပါဝင်မှု]]+Table4[[#This Row],[SalesPK]],0)</f>
        <v>3</v>
      </c>
      <c r="T794" s="12">
        <v>3</v>
      </c>
      <c r="U794" s="10">
        <f>Table4[[#This Row],[ပါဝင်မှု]]*Table4[[#This Row],[SalesPK]]+Table4[[#This Row],[Bottle]]</f>
        <v>36</v>
      </c>
      <c r="V794" s="10">
        <f>Table4[[#This Row],[SalesBot]]*Table4[[#This Row],[ML]]</f>
        <v>36</v>
      </c>
      <c r="W794" s="1">
        <f>VLOOKUP(N794,Stock[#Data],6,FALSE)</f>
        <v>1675</v>
      </c>
      <c r="X794" s="8">
        <f>+Table4[[#This Row],[SalesBot]]*Table4[[#This Row],[နှုံး]]</f>
        <v>60300</v>
      </c>
      <c r="Y794" s="12"/>
      <c r="Z794" s="12"/>
      <c r="AA794" s="12"/>
      <c r="AB794" s="9"/>
      <c r="AC794" s="12"/>
      <c r="AD794" s="9"/>
      <c r="AE794" s="12"/>
      <c r="AF79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60300</v>
      </c>
      <c r="AG794" s="24"/>
      <c r="AH794" s="266">
        <f>Table4[[#This Row],[Date]]</f>
        <v>46071</v>
      </c>
      <c r="AI794" s="264" t="str">
        <f t="shared" si="144"/>
        <v>Feb</v>
      </c>
      <c r="AJ794" s="264" t="str">
        <f t="shared" si="145"/>
        <v>2026</v>
      </c>
      <c r="AK794" s="270" t="str">
        <f>Table4[[#This Row],[ကုန်သည်အမည်]]</f>
        <v>ဟံသာမြိုင်</v>
      </c>
      <c r="AL794" s="270" t="str">
        <f>Table4[[#This Row],[Township]]</f>
        <v>Maw La Myaing</v>
      </c>
      <c r="AM794" s="271" t="str">
        <f>Table4[[#This Row],[WholeSales]]</f>
        <v>Van Sales</v>
      </c>
      <c r="AN794" s="272" t="str">
        <f>Table4[[#This Row],[Particular]]</f>
        <v>ကုန်ရောင်း(လက်ငင်း)</v>
      </c>
      <c r="AO794" s="273" t="str">
        <f>Table4[[#This Row],[StockName]]</f>
        <v>"ဇေ" ကော်ဘူး (1 Liter)</v>
      </c>
      <c r="AP794" s="268">
        <f>Table4[[#This Row],[Parking]]</f>
        <v>3</v>
      </c>
      <c r="AQ794" s="268">
        <f>Table4[[#This Row],[SalesBot]]</f>
        <v>36</v>
      </c>
      <c r="AR794" s="268">
        <f>Table4[[#This Row],[Liter]]</f>
        <v>36</v>
      </c>
    </row>
    <row r="795" spans="1:44" s="16" customFormat="1" hidden="1" x14ac:dyDescent="0.5">
      <c r="A795" s="3">
        <f t="shared" si="150"/>
        <v>2026</v>
      </c>
      <c r="B795" s="8">
        <f t="shared" si="151"/>
        <v>2</v>
      </c>
      <c r="C795" s="6">
        <v>46071</v>
      </c>
      <c r="D795" s="15">
        <f t="shared" ca="1" si="152"/>
        <v>46097</v>
      </c>
      <c r="E795" s="15" t="str">
        <f t="shared" ca="1" si="153"/>
        <v>0-Months</v>
      </c>
      <c r="F795" s="8" t="str">
        <f>VLOOKUP(N795,Stock[#Data],5,FALSE)</f>
        <v>BE</v>
      </c>
      <c r="G795" s="82" t="s">
        <v>1470</v>
      </c>
      <c r="H795" s="15"/>
      <c r="I795" s="7" t="s">
        <v>109</v>
      </c>
      <c r="J795" s="8" t="str">
        <f>VLOOKUP(I795,Customers[#Data],2,FALSE)</f>
        <v>ဦးမင်းလွင်</v>
      </c>
      <c r="K795" s="15" t="str">
        <f>VLOOKUP(I795,Customers[#Data],4,FALSE)</f>
        <v>Maw La Myaing</v>
      </c>
      <c r="L795" s="15" t="str">
        <f>VLOOKUP(I795,Customers[#Data],5,FALSE)</f>
        <v>WholeSales</v>
      </c>
      <c r="M795" s="7" t="s">
        <v>6</v>
      </c>
      <c r="N795" s="7" t="s">
        <v>521</v>
      </c>
      <c r="O795" s="14" t="str">
        <f>VLOOKUP(N795,Stock[#Data],2,FALSE)</f>
        <v>ဒဂုံအရက်သန့်</v>
      </c>
      <c r="P795" s="44">
        <f>VLOOKUP(N795,Stock[#Data],3,FALSE)</f>
        <v>0.64</v>
      </c>
      <c r="Q795" s="3">
        <f>VLOOKUP(N795,Stock[#Data],4,FALSE)</f>
        <v>24</v>
      </c>
      <c r="R795" s="11"/>
      <c r="S795" s="45">
        <f>IFERROR(Table4[[#This Row],[Bottle]]/Table4[[#This Row],[ပါဝင်မှု]]+Table4[[#This Row],[SalesPK]],0)</f>
        <v>30</v>
      </c>
      <c r="T795" s="12">
        <v>30</v>
      </c>
      <c r="U795" s="10">
        <f>Table4[[#This Row],[ပါဝင်မှု]]*Table4[[#This Row],[SalesPK]]+Table4[[#This Row],[Bottle]]</f>
        <v>720</v>
      </c>
      <c r="V795" s="10">
        <f>Table4[[#This Row],[SalesBot]]*Table4[[#This Row],[ML]]</f>
        <v>460.8</v>
      </c>
      <c r="W795" s="1">
        <f>VLOOKUP(N795,Stock[#Data],6,FALSE)</f>
        <v>1350</v>
      </c>
      <c r="X795" s="8">
        <f>+Table4[[#This Row],[SalesBot]]*Table4[[#This Row],[နှုံး]]</f>
        <v>972000</v>
      </c>
      <c r="Y795" s="12"/>
      <c r="Z795" s="12"/>
      <c r="AA795" s="12"/>
      <c r="AB795" s="9"/>
      <c r="AC795" s="12"/>
      <c r="AD795" s="9"/>
      <c r="AE795" s="12"/>
      <c r="AF79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972000</v>
      </c>
      <c r="AG795" s="24"/>
      <c r="AH795" s="266">
        <f>Table4[[#This Row],[Date]]</f>
        <v>46071</v>
      </c>
      <c r="AI795" s="264" t="str">
        <f t="shared" si="144"/>
        <v>Feb</v>
      </c>
      <c r="AJ795" s="264" t="str">
        <f t="shared" si="145"/>
        <v>2026</v>
      </c>
      <c r="AK795" s="270" t="str">
        <f>Table4[[#This Row],[ကုန်သည်အမည်]]</f>
        <v>ဦးမင်းလွင်</v>
      </c>
      <c r="AL795" s="270" t="str">
        <f>Table4[[#This Row],[Township]]</f>
        <v>Maw La Myaing</v>
      </c>
      <c r="AM795" s="271" t="str">
        <f>Table4[[#This Row],[WholeSales]]</f>
        <v>WholeSales</v>
      </c>
      <c r="AN795" s="272" t="str">
        <f>Table4[[#This Row],[Particular]]</f>
        <v>ကုန်ရောင်း(လက်ငင်း)</v>
      </c>
      <c r="AO795" s="273" t="str">
        <f>Table4[[#This Row],[StockName]]</f>
        <v>ဒဂုံအရက်သန့်</v>
      </c>
      <c r="AP795" s="268">
        <f>Table4[[#This Row],[Parking]]</f>
        <v>30</v>
      </c>
      <c r="AQ795" s="268">
        <f>Table4[[#This Row],[SalesBot]]</f>
        <v>720</v>
      </c>
      <c r="AR795" s="268">
        <f>Table4[[#This Row],[Liter]]</f>
        <v>460.8</v>
      </c>
    </row>
    <row r="796" spans="1:44" s="16" customFormat="1" hidden="1" x14ac:dyDescent="0.5">
      <c r="A796" s="3">
        <f t="shared" si="150"/>
        <v>2026</v>
      </c>
      <c r="B796" s="8">
        <f t="shared" si="151"/>
        <v>2</v>
      </c>
      <c r="C796" s="6">
        <v>46071</v>
      </c>
      <c r="D796" s="15">
        <f t="shared" ca="1" si="152"/>
        <v>46097</v>
      </c>
      <c r="E796" s="15" t="str">
        <f t="shared" ca="1" si="153"/>
        <v>0-Months</v>
      </c>
      <c r="F796" s="8" t="str">
        <f>VLOOKUP(N796,Stock[#Data],5,FALSE)</f>
        <v>BE</v>
      </c>
      <c r="G796" s="82" t="s">
        <v>1471</v>
      </c>
      <c r="H796" s="15"/>
      <c r="I796" s="7" t="s">
        <v>176</v>
      </c>
      <c r="J796" s="8" t="str">
        <f>VLOOKUP(I796,Customers[#Data],2,FALSE)</f>
        <v>ဒေါ်စိန်</v>
      </c>
      <c r="K796" s="15" t="str">
        <f>VLOOKUP(I796,Customers[#Data],4,FALSE)</f>
        <v>Thein Zayet</v>
      </c>
      <c r="L796" s="15" t="str">
        <f>VLOOKUP(I796,Customers[#Data],5,FALSE)</f>
        <v>SemiWholeSales</v>
      </c>
      <c r="M796" s="7" t="s">
        <v>6</v>
      </c>
      <c r="N796" s="7" t="s">
        <v>514</v>
      </c>
      <c r="O796" s="14" t="str">
        <f>VLOOKUP(N796,Stock[#Data],2,FALSE)</f>
        <v>ဇေယျဝတီ Red</v>
      </c>
      <c r="P796" s="44">
        <f>VLOOKUP(N796,Stock[#Data],3,FALSE)</f>
        <v>0.64</v>
      </c>
      <c r="Q796" s="3">
        <f>VLOOKUP(N796,Stock[#Data],4,FALSE)</f>
        <v>14</v>
      </c>
      <c r="R796" s="11"/>
      <c r="S796" s="45">
        <f>IFERROR(Table4[[#This Row],[Bottle]]/Table4[[#This Row],[ပါဝင်မှု]]+Table4[[#This Row],[SalesPK]],0)</f>
        <v>30</v>
      </c>
      <c r="T796" s="12">
        <v>30</v>
      </c>
      <c r="U796" s="10">
        <f>Table4[[#This Row],[ပါဝင်မှု]]*Table4[[#This Row],[SalesPK]]+Table4[[#This Row],[Bottle]]</f>
        <v>420</v>
      </c>
      <c r="V796" s="10">
        <f>Table4[[#This Row],[SalesBot]]*Table4[[#This Row],[ML]]</f>
        <v>268.8</v>
      </c>
      <c r="W796" s="1">
        <f>VLOOKUP(N796,Stock[#Data],6,FALSE)</f>
        <v>1350</v>
      </c>
      <c r="X796" s="8">
        <f>+Table4[[#This Row],[SalesBot]]*Table4[[#This Row],[နှုံး]]</f>
        <v>567000</v>
      </c>
      <c r="Y796" s="12"/>
      <c r="Z796" s="12"/>
      <c r="AA796" s="12"/>
      <c r="AB796" s="9"/>
      <c r="AC796" s="12"/>
      <c r="AD796" s="9"/>
      <c r="AE796" s="12"/>
      <c r="AF79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567000</v>
      </c>
      <c r="AG796" s="24"/>
      <c r="AH796" s="266">
        <f>Table4[[#This Row],[Date]]</f>
        <v>46071</v>
      </c>
      <c r="AI796" s="264" t="str">
        <f t="shared" si="144"/>
        <v>Feb</v>
      </c>
      <c r="AJ796" s="264" t="str">
        <f t="shared" si="145"/>
        <v>2026</v>
      </c>
      <c r="AK796" s="270" t="str">
        <f>Table4[[#This Row],[ကုန်သည်အမည်]]</f>
        <v>ဒေါ်စိန်</v>
      </c>
      <c r="AL796" s="270" t="str">
        <f>Table4[[#This Row],[Township]]</f>
        <v>Thein Zayet</v>
      </c>
      <c r="AM796" s="271" t="str">
        <f>Table4[[#This Row],[WholeSales]]</f>
        <v>SemiWholeSales</v>
      </c>
      <c r="AN796" s="272" t="str">
        <f>Table4[[#This Row],[Particular]]</f>
        <v>ကုန်ရောင်း(လက်ငင်း)</v>
      </c>
      <c r="AO796" s="273" t="str">
        <f>Table4[[#This Row],[StockName]]</f>
        <v>ဇေယျဝတီ Red</v>
      </c>
      <c r="AP796" s="268">
        <f>Table4[[#This Row],[Parking]]</f>
        <v>30</v>
      </c>
      <c r="AQ796" s="268">
        <f>Table4[[#This Row],[SalesBot]]</f>
        <v>420</v>
      </c>
      <c r="AR796" s="268">
        <f>Table4[[#This Row],[Liter]]</f>
        <v>268.8</v>
      </c>
    </row>
    <row r="797" spans="1:44" s="16" customFormat="1" hidden="1" x14ac:dyDescent="0.5">
      <c r="A797" s="3">
        <f t="shared" si="150"/>
        <v>2026</v>
      </c>
      <c r="B797" s="8">
        <f t="shared" si="151"/>
        <v>2</v>
      </c>
      <c r="C797" s="6">
        <v>46071</v>
      </c>
      <c r="D797" s="15">
        <f t="shared" ca="1" si="152"/>
        <v>46097</v>
      </c>
      <c r="E797" s="15" t="str">
        <f t="shared" ca="1" si="153"/>
        <v>0-Months</v>
      </c>
      <c r="F797" s="8" t="str">
        <f>VLOOKUP(N797,Stock[#Data],5,FALSE)</f>
        <v>BE</v>
      </c>
      <c r="G797" s="82" t="s">
        <v>1471</v>
      </c>
      <c r="H797" s="15"/>
      <c r="I797" s="7" t="s">
        <v>176</v>
      </c>
      <c r="J797" s="8" t="str">
        <f>VLOOKUP(I797,Customers[#Data],2,FALSE)</f>
        <v>ဒေါ်စိန်</v>
      </c>
      <c r="K797" s="15" t="str">
        <f>VLOOKUP(I797,Customers[#Data],4,FALSE)</f>
        <v>Thein Zayet</v>
      </c>
      <c r="L797" s="15" t="str">
        <f>VLOOKUP(I797,Customers[#Data],5,FALSE)</f>
        <v>SemiWholeSales</v>
      </c>
      <c r="M797" s="7" t="s">
        <v>6</v>
      </c>
      <c r="N797" s="7" t="s">
        <v>517</v>
      </c>
      <c r="O797" s="14" t="str">
        <f>VLOOKUP(N797,Stock[#Data],2,FALSE)</f>
        <v>ဇေယျဝတီ Red (1 Liter) 30%</v>
      </c>
      <c r="P797" s="44">
        <f>VLOOKUP(N797,Stock[#Data],3,FALSE)</f>
        <v>1</v>
      </c>
      <c r="Q797" s="3">
        <f>VLOOKUP(N797,Stock[#Data],4,FALSE)</f>
        <v>12</v>
      </c>
      <c r="R797" s="11"/>
      <c r="S797" s="45">
        <f>IFERROR(Table4[[#This Row],[Bottle]]/Table4[[#This Row],[ပါဝင်မှု]]+Table4[[#This Row],[SalesPK]],0)</f>
        <v>70</v>
      </c>
      <c r="T797" s="12">
        <v>70</v>
      </c>
      <c r="U797" s="10">
        <f>Table4[[#This Row],[ပါဝင်မှု]]*Table4[[#This Row],[SalesPK]]+Table4[[#This Row],[Bottle]]</f>
        <v>840</v>
      </c>
      <c r="V797" s="10">
        <f>Table4[[#This Row],[SalesBot]]*Table4[[#This Row],[ML]]</f>
        <v>840</v>
      </c>
      <c r="W797" s="1">
        <f>VLOOKUP(N797,Stock[#Data],6,FALSE)</f>
        <v>1710</v>
      </c>
      <c r="X797" s="8">
        <f>+Table4[[#This Row],[SalesBot]]*Table4[[#This Row],[နှုံး]]</f>
        <v>1436400</v>
      </c>
      <c r="Y797" s="12"/>
      <c r="Z797" s="12"/>
      <c r="AA797" s="12"/>
      <c r="AB797" s="9"/>
      <c r="AC797" s="12"/>
      <c r="AD797" s="9"/>
      <c r="AE797" s="12"/>
      <c r="AF79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1436400</v>
      </c>
      <c r="AG797" s="24"/>
      <c r="AH797" s="266">
        <f>Table4[[#This Row],[Date]]</f>
        <v>46071</v>
      </c>
      <c r="AI797" s="264" t="str">
        <f t="shared" si="144"/>
        <v>Feb</v>
      </c>
      <c r="AJ797" s="264" t="str">
        <f t="shared" si="145"/>
        <v>2026</v>
      </c>
      <c r="AK797" s="270" t="str">
        <f>Table4[[#This Row],[ကုန်သည်အမည်]]</f>
        <v>ဒေါ်စိန်</v>
      </c>
      <c r="AL797" s="270" t="str">
        <f>Table4[[#This Row],[Township]]</f>
        <v>Thein Zayet</v>
      </c>
      <c r="AM797" s="271" t="str">
        <f>Table4[[#This Row],[WholeSales]]</f>
        <v>SemiWholeSales</v>
      </c>
      <c r="AN797" s="272" t="str">
        <f>Table4[[#This Row],[Particular]]</f>
        <v>ကုန်ရောင်း(လက်ငင်း)</v>
      </c>
      <c r="AO797" s="273" t="str">
        <f>Table4[[#This Row],[StockName]]</f>
        <v>ဇေယျဝတီ Red (1 Liter) 30%</v>
      </c>
      <c r="AP797" s="268">
        <f>Table4[[#This Row],[Parking]]</f>
        <v>70</v>
      </c>
      <c r="AQ797" s="268">
        <f>Table4[[#This Row],[SalesBot]]</f>
        <v>840</v>
      </c>
      <c r="AR797" s="268">
        <f>Table4[[#This Row],[Liter]]</f>
        <v>840</v>
      </c>
    </row>
    <row r="798" spans="1:44" s="16" customFormat="1" hidden="1" x14ac:dyDescent="0.5">
      <c r="A798" s="3">
        <f t="shared" si="150"/>
        <v>2026</v>
      </c>
      <c r="B798" s="8">
        <f t="shared" si="151"/>
        <v>2</v>
      </c>
      <c r="C798" s="6">
        <v>46071</v>
      </c>
      <c r="D798" s="15">
        <f t="shared" ca="1" si="152"/>
        <v>46097</v>
      </c>
      <c r="E798" s="15" t="str">
        <f t="shared" ca="1" si="153"/>
        <v>0-Months</v>
      </c>
      <c r="F798" s="8" t="str">
        <f>VLOOKUP(N798,Stock[#Data],5,FALSE)</f>
        <v>BE</v>
      </c>
      <c r="G798" s="82" t="s">
        <v>1471</v>
      </c>
      <c r="H798" s="15"/>
      <c r="I798" s="7" t="s">
        <v>176</v>
      </c>
      <c r="J798" s="8" t="str">
        <f>VLOOKUP(I798,Customers[#Data],2,FALSE)</f>
        <v>ဒေါ်စိန်</v>
      </c>
      <c r="K798" s="15" t="str">
        <f>VLOOKUP(I798,Customers[#Data],4,FALSE)</f>
        <v>Thein Zayet</v>
      </c>
      <c r="L798" s="15" t="str">
        <f>VLOOKUP(I798,Customers[#Data],5,FALSE)</f>
        <v>SemiWholeSales</v>
      </c>
      <c r="M798" s="7" t="s">
        <v>9</v>
      </c>
      <c r="N798" s="7" t="s">
        <v>514</v>
      </c>
      <c r="O798" s="14" t="str">
        <f>VLOOKUP(N798,Stock[#Data],2,FALSE)</f>
        <v>ဇေယျဝတီ Red</v>
      </c>
      <c r="P798" s="44">
        <f>VLOOKUP(N798,Stock[#Data],3,FALSE)</f>
        <v>0.64</v>
      </c>
      <c r="Q798" s="3">
        <f>VLOOKUP(N798,Stock[#Data],4,FALSE)</f>
        <v>14</v>
      </c>
      <c r="R798" s="11">
        <v>2</v>
      </c>
      <c r="S798" s="45">
        <f>IFERROR(Table4[[#This Row],[Bottle]]/Table4[[#This Row],[ပါဝင်မှု]]+Table4[[#This Row],[SalesPK]],0)</f>
        <v>0.14285714285714285</v>
      </c>
      <c r="T798" s="12"/>
      <c r="U798" s="10">
        <f>Table4[[#This Row],[ပါဝင်မှု]]*Table4[[#This Row],[SalesPK]]+Table4[[#This Row],[Bottle]]</f>
        <v>2</v>
      </c>
      <c r="V798" s="10">
        <f>Table4[[#This Row],[SalesBot]]*Table4[[#This Row],[ML]]</f>
        <v>1.28</v>
      </c>
      <c r="W798" s="1">
        <f>VLOOKUP(N798,Stock[#Data],6,FALSE)</f>
        <v>1350</v>
      </c>
      <c r="X798" s="8">
        <f>+Table4[[#This Row],[SalesBot]]*Table4[[#This Row],[နှုံး]]</f>
        <v>2700</v>
      </c>
      <c r="Y798" s="12"/>
      <c r="Z798" s="12"/>
      <c r="AA798" s="12"/>
      <c r="AB798" s="9"/>
      <c r="AC798" s="12"/>
      <c r="AD798" s="9"/>
      <c r="AE798" s="12"/>
      <c r="AF79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2700</v>
      </c>
      <c r="AG798" s="24"/>
      <c r="AH798" s="266">
        <f>Table4[[#This Row],[Date]]</f>
        <v>46071</v>
      </c>
      <c r="AI798" s="264" t="str">
        <f t="shared" si="144"/>
        <v>Feb</v>
      </c>
      <c r="AJ798" s="264" t="str">
        <f t="shared" si="145"/>
        <v>2026</v>
      </c>
      <c r="AK798" s="270" t="str">
        <f>Table4[[#This Row],[ကုန်သည်အမည်]]</f>
        <v>ဒေါ်စိန်</v>
      </c>
      <c r="AL798" s="270" t="str">
        <f>Table4[[#This Row],[Township]]</f>
        <v>Thein Zayet</v>
      </c>
      <c r="AM798" s="271" t="str">
        <f>Table4[[#This Row],[WholeSales]]</f>
        <v>SemiWholeSales</v>
      </c>
      <c r="AN798" s="272" t="str">
        <f>Table4[[#This Row],[Particular]]</f>
        <v>လက်ဆောင်</v>
      </c>
      <c r="AO798" s="273" t="str">
        <f>Table4[[#This Row],[StockName]]</f>
        <v>ဇေယျဝတီ Red</v>
      </c>
      <c r="AP798" s="268">
        <f>Table4[[#This Row],[Parking]]</f>
        <v>0.14285714285714285</v>
      </c>
      <c r="AQ798" s="268">
        <f>Table4[[#This Row],[SalesBot]]</f>
        <v>2</v>
      </c>
      <c r="AR798" s="268">
        <f>Table4[[#This Row],[Liter]]</f>
        <v>1.28</v>
      </c>
    </row>
    <row r="799" spans="1:44" s="16" customFormat="1" hidden="1" x14ac:dyDescent="0.5">
      <c r="A799" s="3">
        <f t="shared" si="150"/>
        <v>2026</v>
      </c>
      <c r="B799" s="8">
        <f t="shared" si="151"/>
        <v>2</v>
      </c>
      <c r="C799" s="6">
        <v>46071</v>
      </c>
      <c r="D799" s="15">
        <f t="shared" ca="1" si="152"/>
        <v>46097</v>
      </c>
      <c r="E799" s="15" t="str">
        <f t="shared" ca="1" si="153"/>
        <v>0-Months</v>
      </c>
      <c r="F799" s="8" t="str">
        <f>VLOOKUP(N799,Stock[#Data],5,FALSE)</f>
        <v>BE</v>
      </c>
      <c r="G799" s="82" t="s">
        <v>1472</v>
      </c>
      <c r="H799" s="15"/>
      <c r="I799" s="7" t="s">
        <v>118</v>
      </c>
      <c r="J799" s="8" t="str">
        <f>VLOOKUP(I799,Customers[#Data],2,FALSE)</f>
        <v>ဒေါ်ဌေး</v>
      </c>
      <c r="K799" s="15" t="str">
        <f>VLOOKUP(I799,Customers[#Data],4,FALSE)</f>
        <v>Thein Zayet</v>
      </c>
      <c r="L799" s="15" t="str">
        <f>VLOOKUP(I799,Customers[#Data],5,FALSE)</f>
        <v>Van Sales</v>
      </c>
      <c r="M799" s="7" t="s">
        <v>6</v>
      </c>
      <c r="N799" s="7" t="s">
        <v>517</v>
      </c>
      <c r="O799" s="14" t="str">
        <f>VLOOKUP(N799,Stock[#Data],2,FALSE)</f>
        <v>ဇေယျဝတီ Red (1 Liter) 30%</v>
      </c>
      <c r="P799" s="44">
        <f>VLOOKUP(N799,Stock[#Data],3,FALSE)</f>
        <v>1</v>
      </c>
      <c r="Q799" s="3">
        <f>VLOOKUP(N799,Stock[#Data],4,FALSE)</f>
        <v>12</v>
      </c>
      <c r="R799" s="11"/>
      <c r="S799" s="45">
        <f>IFERROR(Table4[[#This Row],[Bottle]]/Table4[[#This Row],[ပါဝင်မှု]]+Table4[[#This Row],[SalesPK]],0)</f>
        <v>25</v>
      </c>
      <c r="T799" s="12">
        <v>25</v>
      </c>
      <c r="U799" s="10">
        <f>Table4[[#This Row],[ပါဝင်မှု]]*Table4[[#This Row],[SalesPK]]+Table4[[#This Row],[Bottle]]</f>
        <v>300</v>
      </c>
      <c r="V799" s="10">
        <f>Table4[[#This Row],[SalesBot]]*Table4[[#This Row],[ML]]</f>
        <v>300</v>
      </c>
      <c r="W799" s="1">
        <f>VLOOKUP(N799,Stock[#Data],6,FALSE)</f>
        <v>1710</v>
      </c>
      <c r="X799" s="8">
        <f>+Table4[[#This Row],[SalesBot]]*Table4[[#This Row],[နှုံး]]</f>
        <v>513000</v>
      </c>
      <c r="Y799" s="12"/>
      <c r="Z799" s="12"/>
      <c r="AA799" s="12"/>
      <c r="AB799" s="9"/>
      <c r="AC799" s="12"/>
      <c r="AD799" s="9"/>
      <c r="AE799" s="12"/>
      <c r="AF79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513000</v>
      </c>
      <c r="AG799" s="24"/>
      <c r="AH799" s="266">
        <f>Table4[[#This Row],[Date]]</f>
        <v>46071</v>
      </c>
      <c r="AI799" s="264" t="str">
        <f t="shared" si="144"/>
        <v>Feb</v>
      </c>
      <c r="AJ799" s="264" t="str">
        <f t="shared" si="145"/>
        <v>2026</v>
      </c>
      <c r="AK799" s="270" t="str">
        <f>Table4[[#This Row],[ကုန်သည်အမည်]]</f>
        <v>ဒေါ်ဌေး</v>
      </c>
      <c r="AL799" s="270" t="str">
        <f>Table4[[#This Row],[Township]]</f>
        <v>Thein Zayet</v>
      </c>
      <c r="AM799" s="271" t="str">
        <f>Table4[[#This Row],[WholeSales]]</f>
        <v>Van Sales</v>
      </c>
      <c r="AN799" s="272" t="str">
        <f>Table4[[#This Row],[Particular]]</f>
        <v>ကုန်ရောင်း(လက်ငင်း)</v>
      </c>
      <c r="AO799" s="273" t="str">
        <f>Table4[[#This Row],[StockName]]</f>
        <v>ဇေယျဝတီ Red (1 Liter) 30%</v>
      </c>
      <c r="AP799" s="268">
        <f>Table4[[#This Row],[Parking]]</f>
        <v>25</v>
      </c>
      <c r="AQ799" s="268">
        <f>Table4[[#This Row],[SalesBot]]</f>
        <v>300</v>
      </c>
      <c r="AR799" s="268">
        <f>Table4[[#This Row],[Liter]]</f>
        <v>300</v>
      </c>
    </row>
    <row r="800" spans="1:44" s="16" customFormat="1" hidden="1" x14ac:dyDescent="0.5">
      <c r="A800" s="3">
        <f t="shared" si="150"/>
        <v>2026</v>
      </c>
      <c r="B800" s="8">
        <f t="shared" si="151"/>
        <v>2</v>
      </c>
      <c r="C800" s="6">
        <v>46071</v>
      </c>
      <c r="D800" s="15">
        <f t="shared" ca="1" si="152"/>
        <v>46097</v>
      </c>
      <c r="E800" s="15" t="str">
        <f t="shared" ca="1" si="153"/>
        <v>0-Months</v>
      </c>
      <c r="F800" s="8" t="str">
        <f>VLOOKUP(N800,Stock[#Data],5,FALSE)</f>
        <v>BE</v>
      </c>
      <c r="G800" s="82" t="s">
        <v>1472</v>
      </c>
      <c r="H800" s="15"/>
      <c r="I800" s="7" t="s">
        <v>118</v>
      </c>
      <c r="J800" s="8" t="str">
        <f>VLOOKUP(I800,Customers[#Data],2,FALSE)</f>
        <v>ဒေါ်ဌေး</v>
      </c>
      <c r="K800" s="15" t="str">
        <f>VLOOKUP(I800,Customers[#Data],4,FALSE)</f>
        <v>Thein Zayet</v>
      </c>
      <c r="L800" s="15" t="str">
        <f>VLOOKUP(I800,Customers[#Data],5,FALSE)</f>
        <v>Van Sales</v>
      </c>
      <c r="M800" s="7" t="s">
        <v>9</v>
      </c>
      <c r="N800" s="7" t="s">
        <v>514</v>
      </c>
      <c r="O800" s="14" t="str">
        <f>VLOOKUP(N800,Stock[#Data],2,FALSE)</f>
        <v>ဇေယျဝတီ Red</v>
      </c>
      <c r="P800" s="44">
        <f>VLOOKUP(N800,Stock[#Data],3,FALSE)</f>
        <v>0.64</v>
      </c>
      <c r="Q800" s="3">
        <f>VLOOKUP(N800,Stock[#Data],4,FALSE)</f>
        <v>14</v>
      </c>
      <c r="R800" s="11">
        <v>2</v>
      </c>
      <c r="S800" s="45">
        <f>IFERROR(Table4[[#This Row],[Bottle]]/Table4[[#This Row],[ပါဝင်မှု]]+Table4[[#This Row],[SalesPK]],0)</f>
        <v>0.14285714285714285</v>
      </c>
      <c r="T800" s="12"/>
      <c r="U800" s="10">
        <f>Table4[[#This Row],[ပါဝင်မှု]]*Table4[[#This Row],[SalesPK]]+Table4[[#This Row],[Bottle]]</f>
        <v>2</v>
      </c>
      <c r="V800" s="10">
        <f>Table4[[#This Row],[SalesBot]]*Table4[[#This Row],[ML]]</f>
        <v>1.28</v>
      </c>
      <c r="W800" s="1">
        <f>VLOOKUP(N800,Stock[#Data],6,FALSE)</f>
        <v>1350</v>
      </c>
      <c r="X800" s="8">
        <f>+Table4[[#This Row],[SalesBot]]*Table4[[#This Row],[နှုံး]]</f>
        <v>2700</v>
      </c>
      <c r="Y800" s="12"/>
      <c r="Z800" s="12"/>
      <c r="AA800" s="12"/>
      <c r="AB800" s="9"/>
      <c r="AC800" s="12"/>
      <c r="AD800" s="9"/>
      <c r="AE800" s="12"/>
      <c r="AF80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2700</v>
      </c>
      <c r="AG800" s="24"/>
      <c r="AH800" s="266">
        <f>Table4[[#This Row],[Date]]</f>
        <v>46071</v>
      </c>
      <c r="AI800" s="264" t="str">
        <f t="shared" si="144"/>
        <v>Feb</v>
      </c>
      <c r="AJ800" s="264" t="str">
        <f t="shared" si="145"/>
        <v>2026</v>
      </c>
      <c r="AK800" s="270" t="str">
        <f>Table4[[#This Row],[ကုန်သည်အမည်]]</f>
        <v>ဒေါ်ဌေး</v>
      </c>
      <c r="AL800" s="270" t="str">
        <f>Table4[[#This Row],[Township]]</f>
        <v>Thein Zayet</v>
      </c>
      <c r="AM800" s="271" t="str">
        <f>Table4[[#This Row],[WholeSales]]</f>
        <v>Van Sales</v>
      </c>
      <c r="AN800" s="272" t="str">
        <f>Table4[[#This Row],[Particular]]</f>
        <v>လက်ဆောင်</v>
      </c>
      <c r="AO800" s="273" t="str">
        <f>Table4[[#This Row],[StockName]]</f>
        <v>ဇေယျဝတီ Red</v>
      </c>
      <c r="AP800" s="268">
        <f>Table4[[#This Row],[Parking]]</f>
        <v>0.14285714285714285</v>
      </c>
      <c r="AQ800" s="268">
        <f>Table4[[#This Row],[SalesBot]]</f>
        <v>2</v>
      </c>
      <c r="AR800" s="268">
        <f>Table4[[#This Row],[Liter]]</f>
        <v>1.28</v>
      </c>
    </row>
    <row r="801" spans="1:44" s="16" customFormat="1" hidden="1" x14ac:dyDescent="0.5">
      <c r="A801" s="3">
        <f t="shared" si="150"/>
        <v>2026</v>
      </c>
      <c r="B801" s="8">
        <f t="shared" si="151"/>
        <v>2</v>
      </c>
      <c r="C801" s="6">
        <v>46071</v>
      </c>
      <c r="D801" s="15">
        <f t="shared" ca="1" si="152"/>
        <v>46097</v>
      </c>
      <c r="E801" s="15" t="str">
        <f t="shared" ca="1" si="153"/>
        <v>0-Months</v>
      </c>
      <c r="F801" s="8" t="str">
        <f>VLOOKUP(N801,Stock[#Data],5,FALSE)</f>
        <v>BE</v>
      </c>
      <c r="G801" s="82" t="s">
        <v>1472</v>
      </c>
      <c r="H801" s="15"/>
      <c r="I801" s="7" t="s">
        <v>89</v>
      </c>
      <c r="J801" s="8" t="str">
        <f>VLOOKUP(I801,Customers[#Data],2,FALSE)</f>
        <v>ဝါးအိမ်</v>
      </c>
      <c r="K801" s="15" t="str">
        <f>VLOOKUP(I801,Customers[#Data],4,FALSE)</f>
        <v>Thein Zayet</v>
      </c>
      <c r="L801" s="15" t="str">
        <f>VLOOKUP(I801,Customers[#Data],5,FALSE)</f>
        <v>Mini Whole Sales</v>
      </c>
      <c r="M801" s="7" t="s">
        <v>6</v>
      </c>
      <c r="N801" s="7" t="s">
        <v>517</v>
      </c>
      <c r="O801" s="14" t="str">
        <f>VLOOKUP(N801,Stock[#Data],2,FALSE)</f>
        <v>ဇေယျဝတီ Red (1 Liter) 30%</v>
      </c>
      <c r="P801" s="44">
        <f>VLOOKUP(N801,Stock[#Data],3,FALSE)</f>
        <v>1</v>
      </c>
      <c r="Q801" s="3">
        <f>VLOOKUP(N801,Stock[#Data],4,FALSE)</f>
        <v>12</v>
      </c>
      <c r="R801" s="11"/>
      <c r="S801" s="45">
        <f>IFERROR(Table4[[#This Row],[Bottle]]/Table4[[#This Row],[ပါဝင်မှု]]+Table4[[#This Row],[SalesPK]],0)</f>
        <v>100</v>
      </c>
      <c r="T801" s="12">
        <v>100</v>
      </c>
      <c r="U801" s="10">
        <f>Table4[[#This Row],[ပါဝင်မှု]]*Table4[[#This Row],[SalesPK]]+Table4[[#This Row],[Bottle]]</f>
        <v>1200</v>
      </c>
      <c r="V801" s="10">
        <f>Table4[[#This Row],[SalesBot]]*Table4[[#This Row],[ML]]</f>
        <v>1200</v>
      </c>
      <c r="W801" s="1">
        <f>VLOOKUP(N801,Stock[#Data],6,FALSE)</f>
        <v>1710</v>
      </c>
      <c r="X801" s="8">
        <f>+Table4[[#This Row],[SalesBot]]*Table4[[#This Row],[နှုံး]]</f>
        <v>2052000</v>
      </c>
      <c r="Y801" s="12"/>
      <c r="Z801" s="12"/>
      <c r="AA801" s="12"/>
      <c r="AB801" s="9"/>
      <c r="AC801" s="12"/>
      <c r="AD801" s="9"/>
      <c r="AE801" s="12"/>
      <c r="AF80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801" s="24"/>
      <c r="AH801" s="266">
        <f>Table4[[#This Row],[Date]]</f>
        <v>46071</v>
      </c>
      <c r="AI801" s="264" t="str">
        <f t="shared" si="144"/>
        <v>Feb</v>
      </c>
      <c r="AJ801" s="264" t="str">
        <f t="shared" si="145"/>
        <v>2026</v>
      </c>
      <c r="AK801" s="270" t="str">
        <f>Table4[[#This Row],[ကုန်သည်အမည်]]</f>
        <v>ဝါးအိမ်</v>
      </c>
      <c r="AL801" s="270" t="str">
        <f>Table4[[#This Row],[Township]]</f>
        <v>Thein Zayet</v>
      </c>
      <c r="AM801" s="271" t="str">
        <f>Table4[[#This Row],[WholeSales]]</f>
        <v>Mini Whole Sales</v>
      </c>
      <c r="AN801" s="272" t="str">
        <f>Table4[[#This Row],[Particular]]</f>
        <v>ကုန်ရောင်း(လက်ငင်း)</v>
      </c>
      <c r="AO801" s="273" t="str">
        <f>Table4[[#This Row],[StockName]]</f>
        <v>ဇေယျဝတီ Red (1 Liter) 30%</v>
      </c>
      <c r="AP801" s="268">
        <f>Table4[[#This Row],[Parking]]</f>
        <v>100</v>
      </c>
      <c r="AQ801" s="268">
        <f>Table4[[#This Row],[SalesBot]]</f>
        <v>1200</v>
      </c>
      <c r="AR801" s="268">
        <f>Table4[[#This Row],[Liter]]</f>
        <v>1200</v>
      </c>
    </row>
    <row r="802" spans="1:44" s="16" customFormat="1" hidden="1" x14ac:dyDescent="0.5">
      <c r="A802" s="3">
        <f t="shared" si="150"/>
        <v>2026</v>
      </c>
      <c r="B802" s="8">
        <f t="shared" si="151"/>
        <v>2</v>
      </c>
      <c r="C802" s="6">
        <v>46071</v>
      </c>
      <c r="D802" s="15">
        <f t="shared" ca="1" si="152"/>
        <v>46097</v>
      </c>
      <c r="E802" s="15" t="str">
        <f t="shared" ca="1" si="153"/>
        <v>0-Months</v>
      </c>
      <c r="F802" s="8" t="str">
        <f>VLOOKUP(N802,Stock[#Data],5,FALSE)</f>
        <v>BE</v>
      </c>
      <c r="G802" s="82" t="s">
        <v>1472</v>
      </c>
      <c r="H802" s="15"/>
      <c r="I802" s="7" t="s">
        <v>89</v>
      </c>
      <c r="J802" s="8" t="str">
        <f>VLOOKUP(I802,Customers[#Data],2,FALSE)</f>
        <v>ဝါးအိမ်</v>
      </c>
      <c r="K802" s="15" t="str">
        <f>VLOOKUP(I802,Customers[#Data],4,FALSE)</f>
        <v>Thein Zayet</v>
      </c>
      <c r="L802" s="15" t="str">
        <f>VLOOKUP(I802,Customers[#Data],5,FALSE)</f>
        <v>Mini Whole Sales</v>
      </c>
      <c r="M802" s="7" t="s">
        <v>9</v>
      </c>
      <c r="N802" s="7" t="s">
        <v>514</v>
      </c>
      <c r="O802" s="14" t="str">
        <f>VLOOKUP(N802,Stock[#Data],2,FALSE)</f>
        <v>ဇေယျဝတီ Red</v>
      </c>
      <c r="P802" s="44">
        <f>VLOOKUP(N802,Stock[#Data],3,FALSE)</f>
        <v>0.64</v>
      </c>
      <c r="Q802" s="3">
        <f>VLOOKUP(N802,Stock[#Data],4,FALSE)</f>
        <v>14</v>
      </c>
      <c r="R802" s="11">
        <v>1</v>
      </c>
      <c r="S802" s="45">
        <f>IFERROR(Table4[[#This Row],[Bottle]]/Table4[[#This Row],[ပါဝင်မှု]]+Table4[[#This Row],[SalesPK]],0)</f>
        <v>7.1428571428571425E-2</v>
      </c>
      <c r="T802" s="12"/>
      <c r="U802" s="10">
        <f>Table4[[#This Row],[ပါဝင်မှု]]*Table4[[#This Row],[SalesPK]]+Table4[[#This Row],[Bottle]]</f>
        <v>1</v>
      </c>
      <c r="V802" s="10">
        <f>Table4[[#This Row],[SalesBot]]*Table4[[#This Row],[ML]]</f>
        <v>0.64</v>
      </c>
      <c r="W802" s="1">
        <f>VLOOKUP(N802,Stock[#Data],6,FALSE)</f>
        <v>1350</v>
      </c>
      <c r="X802" s="8">
        <f>+Table4[[#This Row],[SalesBot]]*Table4[[#This Row],[နှုံး]]</f>
        <v>1350</v>
      </c>
      <c r="Y802" s="12"/>
      <c r="Z802" s="12"/>
      <c r="AA802" s="12"/>
      <c r="AB802" s="9"/>
      <c r="AC802" s="12"/>
      <c r="AD802" s="9"/>
      <c r="AE802" s="12"/>
      <c r="AF80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1350</v>
      </c>
      <c r="AG802" s="24"/>
      <c r="AH802" s="266">
        <f>Table4[[#This Row],[Date]]</f>
        <v>46071</v>
      </c>
      <c r="AI802" s="264" t="str">
        <f t="shared" si="144"/>
        <v>Feb</v>
      </c>
      <c r="AJ802" s="264" t="str">
        <f t="shared" si="145"/>
        <v>2026</v>
      </c>
      <c r="AK802" s="270" t="str">
        <f>Table4[[#This Row],[ကုန်သည်အမည်]]</f>
        <v>ဝါးအိမ်</v>
      </c>
      <c r="AL802" s="270" t="str">
        <f>Table4[[#This Row],[Township]]</f>
        <v>Thein Zayet</v>
      </c>
      <c r="AM802" s="271" t="str">
        <f>Table4[[#This Row],[WholeSales]]</f>
        <v>Mini Whole Sales</v>
      </c>
      <c r="AN802" s="272" t="str">
        <f>Table4[[#This Row],[Particular]]</f>
        <v>လက်ဆောင်</v>
      </c>
      <c r="AO802" s="273" t="str">
        <f>Table4[[#This Row],[StockName]]</f>
        <v>ဇေယျဝတီ Red</v>
      </c>
      <c r="AP802" s="268">
        <f>Table4[[#This Row],[Parking]]</f>
        <v>7.1428571428571425E-2</v>
      </c>
      <c r="AQ802" s="268">
        <f>Table4[[#This Row],[SalesBot]]</f>
        <v>1</v>
      </c>
      <c r="AR802" s="268">
        <f>Table4[[#This Row],[Liter]]</f>
        <v>0.64</v>
      </c>
    </row>
    <row r="803" spans="1:44" s="16" customFormat="1" hidden="1" x14ac:dyDescent="0.5">
      <c r="A803" s="3">
        <f t="shared" si="150"/>
        <v>2026</v>
      </c>
      <c r="B803" s="8">
        <f t="shared" si="151"/>
        <v>2</v>
      </c>
      <c r="C803" s="6">
        <v>46072</v>
      </c>
      <c r="D803" s="15">
        <f t="shared" ca="1" si="152"/>
        <v>46097</v>
      </c>
      <c r="E803" s="15" t="str">
        <f t="shared" ca="1" si="153"/>
        <v>0-Months</v>
      </c>
      <c r="F803" s="8" t="str">
        <f>VLOOKUP(N803,Stock[#Data],5,FALSE)</f>
        <v>BE</v>
      </c>
      <c r="G803" s="82" t="s">
        <v>1473</v>
      </c>
      <c r="H803" s="15" t="s">
        <v>439</v>
      </c>
      <c r="I803" s="7" t="s">
        <v>376</v>
      </c>
      <c r="J803" s="8" t="str">
        <f>VLOOKUP(I803,Customers[#Data],2,FALSE)</f>
        <v>Feeling Store</v>
      </c>
      <c r="K803" s="15" t="str">
        <f>VLOOKUP(I803,Customers[#Data],4,FALSE)</f>
        <v>Maw La Myaing</v>
      </c>
      <c r="L803" s="15" t="str">
        <f>VLOOKUP(I803,Customers[#Data],5,FALSE)</f>
        <v>Van Sales</v>
      </c>
      <c r="M803" s="7" t="s">
        <v>6</v>
      </c>
      <c r="N803" s="7" t="s">
        <v>518</v>
      </c>
      <c r="O803" s="14" t="str">
        <f>VLOOKUP(N803,Stock[#Data],2,FALSE)</f>
        <v>"ဇေ" ကော်ဘူး (1 Liter)</v>
      </c>
      <c r="P803" s="44">
        <f>VLOOKUP(N803,Stock[#Data],3,FALSE)</f>
        <v>1</v>
      </c>
      <c r="Q803" s="3">
        <f>VLOOKUP(N803,Stock[#Data],4,FALSE)</f>
        <v>12</v>
      </c>
      <c r="R803" s="11"/>
      <c r="S803" s="45">
        <f>IFERROR(Table4[[#This Row],[Bottle]]/Table4[[#This Row],[ပါဝင်မှု]]+Table4[[#This Row],[SalesPK]],0)</f>
        <v>2</v>
      </c>
      <c r="T803" s="12">
        <v>2</v>
      </c>
      <c r="U803" s="10">
        <f>Table4[[#This Row],[ပါဝင်မှု]]*Table4[[#This Row],[SalesPK]]+Table4[[#This Row],[Bottle]]</f>
        <v>24</v>
      </c>
      <c r="V803" s="10">
        <f>Table4[[#This Row],[SalesBot]]*Table4[[#This Row],[ML]]</f>
        <v>24</v>
      </c>
      <c r="W803" s="1">
        <f>VLOOKUP(N803,Stock[#Data],6,FALSE)</f>
        <v>1675</v>
      </c>
      <c r="X803" s="8">
        <f>+Table4[[#This Row],[SalesBot]]*Table4[[#This Row],[နှုံး]]</f>
        <v>40200</v>
      </c>
      <c r="Y803" s="12"/>
      <c r="Z803" s="12"/>
      <c r="AA803" s="12"/>
      <c r="AB803" s="9"/>
      <c r="AC803" s="12"/>
      <c r="AD803" s="9"/>
      <c r="AE803" s="12"/>
      <c r="AF80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40200</v>
      </c>
      <c r="AG803" s="24"/>
      <c r="AH803" s="266">
        <f>Table4[[#This Row],[Date]]</f>
        <v>46072</v>
      </c>
      <c r="AI803" s="264" t="str">
        <f t="shared" si="144"/>
        <v>Feb</v>
      </c>
      <c r="AJ803" s="264" t="str">
        <f t="shared" si="145"/>
        <v>2026</v>
      </c>
      <c r="AK803" s="270" t="str">
        <f>Table4[[#This Row],[ကုန်သည်အမည်]]</f>
        <v>Feeling Store</v>
      </c>
      <c r="AL803" s="270" t="str">
        <f>Table4[[#This Row],[Township]]</f>
        <v>Maw La Myaing</v>
      </c>
      <c r="AM803" s="271" t="str">
        <f>Table4[[#This Row],[WholeSales]]</f>
        <v>Van Sales</v>
      </c>
      <c r="AN803" s="272" t="str">
        <f>Table4[[#This Row],[Particular]]</f>
        <v>ကုန်ရောင်း(လက်ငင်း)</v>
      </c>
      <c r="AO803" s="273" t="str">
        <f>Table4[[#This Row],[StockName]]</f>
        <v>"ဇေ" ကော်ဘူး (1 Liter)</v>
      </c>
      <c r="AP803" s="268">
        <f>Table4[[#This Row],[Parking]]</f>
        <v>2</v>
      </c>
      <c r="AQ803" s="268">
        <f>Table4[[#This Row],[SalesBot]]</f>
        <v>24</v>
      </c>
      <c r="AR803" s="268">
        <f>Table4[[#This Row],[Liter]]</f>
        <v>24</v>
      </c>
    </row>
    <row r="804" spans="1:44" s="16" customFormat="1" hidden="1" x14ac:dyDescent="0.5">
      <c r="A804" s="3">
        <f t="shared" si="150"/>
        <v>2026</v>
      </c>
      <c r="B804" s="8">
        <f t="shared" si="151"/>
        <v>2</v>
      </c>
      <c r="C804" s="6">
        <v>46072</v>
      </c>
      <c r="D804" s="15">
        <f t="shared" ca="1" si="152"/>
        <v>46097</v>
      </c>
      <c r="E804" s="15" t="str">
        <f t="shared" ca="1" si="153"/>
        <v>0-Months</v>
      </c>
      <c r="F804" s="8" t="str">
        <f>VLOOKUP(N804,Stock[#Data],5,FALSE)</f>
        <v>BE</v>
      </c>
      <c r="G804" s="82" t="s">
        <v>1474</v>
      </c>
      <c r="H804" s="15" t="s">
        <v>439</v>
      </c>
      <c r="I804" s="7" t="s">
        <v>1475</v>
      </c>
      <c r="J804" s="8" t="str">
        <f>VLOOKUP(I804,Customers[#Data],2,FALSE)</f>
        <v>AKK</v>
      </c>
      <c r="K804" s="15" t="str">
        <f>VLOOKUP(I804,Customers[#Data],4,FALSE)</f>
        <v>Maw La Myaing</v>
      </c>
      <c r="L804" s="15" t="str">
        <f>VLOOKUP(I804,Customers[#Data],5,FALSE)</f>
        <v>Van Sales</v>
      </c>
      <c r="M804" s="7" t="s">
        <v>6</v>
      </c>
      <c r="N804" s="7" t="s">
        <v>518</v>
      </c>
      <c r="O804" s="14" t="str">
        <f>VLOOKUP(N804,Stock[#Data],2,FALSE)</f>
        <v>"ဇေ" ကော်ဘူး (1 Liter)</v>
      </c>
      <c r="P804" s="44">
        <f>VLOOKUP(N804,Stock[#Data],3,FALSE)</f>
        <v>1</v>
      </c>
      <c r="Q804" s="3">
        <f>VLOOKUP(N804,Stock[#Data],4,FALSE)</f>
        <v>12</v>
      </c>
      <c r="R804" s="11"/>
      <c r="S804" s="45">
        <f>IFERROR(Table4[[#This Row],[Bottle]]/Table4[[#This Row],[ပါဝင်မှု]]+Table4[[#This Row],[SalesPK]],0)</f>
        <v>2</v>
      </c>
      <c r="T804" s="12">
        <v>2</v>
      </c>
      <c r="U804" s="10">
        <f>Table4[[#This Row],[ပါဝင်မှု]]*Table4[[#This Row],[SalesPK]]+Table4[[#This Row],[Bottle]]</f>
        <v>24</v>
      </c>
      <c r="V804" s="10">
        <f>Table4[[#This Row],[SalesBot]]*Table4[[#This Row],[ML]]</f>
        <v>24</v>
      </c>
      <c r="W804" s="1">
        <f>VLOOKUP(N804,Stock[#Data],6,FALSE)</f>
        <v>1675</v>
      </c>
      <c r="X804" s="8">
        <f>+Table4[[#This Row],[SalesBot]]*Table4[[#This Row],[နှုံး]]</f>
        <v>40200</v>
      </c>
      <c r="Y804" s="12"/>
      <c r="Z804" s="12"/>
      <c r="AA804" s="12"/>
      <c r="AB804" s="9"/>
      <c r="AC804" s="12"/>
      <c r="AD804" s="9"/>
      <c r="AE804" s="12"/>
      <c r="AF80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40200</v>
      </c>
      <c r="AG804" s="24"/>
      <c r="AH804" s="266">
        <f>Table4[[#This Row],[Date]]</f>
        <v>46072</v>
      </c>
      <c r="AI804" s="264" t="str">
        <f t="shared" si="144"/>
        <v>Feb</v>
      </c>
      <c r="AJ804" s="264" t="str">
        <f t="shared" si="145"/>
        <v>2026</v>
      </c>
      <c r="AK804" s="270" t="str">
        <f>Table4[[#This Row],[ကုန်သည်အမည်]]</f>
        <v>AKK</v>
      </c>
      <c r="AL804" s="270" t="str">
        <f>Table4[[#This Row],[Township]]</f>
        <v>Maw La Myaing</v>
      </c>
      <c r="AM804" s="271" t="str">
        <f>Table4[[#This Row],[WholeSales]]</f>
        <v>Van Sales</v>
      </c>
      <c r="AN804" s="272" t="str">
        <f>Table4[[#This Row],[Particular]]</f>
        <v>ကုန်ရောင်း(လက်ငင်း)</v>
      </c>
      <c r="AO804" s="273" t="str">
        <f>Table4[[#This Row],[StockName]]</f>
        <v>"ဇေ" ကော်ဘူး (1 Liter)</v>
      </c>
      <c r="AP804" s="268">
        <f>Table4[[#This Row],[Parking]]</f>
        <v>2</v>
      </c>
      <c r="AQ804" s="268">
        <f>Table4[[#This Row],[SalesBot]]</f>
        <v>24</v>
      </c>
      <c r="AR804" s="268">
        <f>Table4[[#This Row],[Liter]]</f>
        <v>24</v>
      </c>
    </row>
    <row r="805" spans="1:44" s="16" customFormat="1" hidden="1" x14ac:dyDescent="0.5">
      <c r="A805" s="3">
        <f t="shared" si="150"/>
        <v>2026</v>
      </c>
      <c r="B805" s="8">
        <f t="shared" si="151"/>
        <v>2</v>
      </c>
      <c r="C805" s="6">
        <v>46072</v>
      </c>
      <c r="D805" s="15">
        <f t="shared" ca="1" si="152"/>
        <v>46097</v>
      </c>
      <c r="E805" s="15" t="str">
        <f t="shared" ca="1" si="153"/>
        <v>0-Months</v>
      </c>
      <c r="F805" s="8" t="str">
        <f>VLOOKUP(N805,Stock[#Data],5,FALSE)</f>
        <v>BE</v>
      </c>
      <c r="G805" s="82" t="s">
        <v>1474</v>
      </c>
      <c r="H805" s="15" t="s">
        <v>439</v>
      </c>
      <c r="I805" s="7" t="s">
        <v>1475</v>
      </c>
      <c r="J805" s="8" t="str">
        <f>VLOOKUP(I805,Customers[#Data],2,FALSE)</f>
        <v>AKK</v>
      </c>
      <c r="K805" s="15" t="str">
        <f>VLOOKUP(I805,Customers[#Data],4,FALSE)</f>
        <v>Maw La Myaing</v>
      </c>
      <c r="L805" s="15" t="str">
        <f>VLOOKUP(I805,Customers[#Data],5,FALSE)</f>
        <v>Van Sales</v>
      </c>
      <c r="M805" s="7" t="s">
        <v>6</v>
      </c>
      <c r="N805" s="7" t="s">
        <v>522</v>
      </c>
      <c r="O805" s="14" t="str">
        <f>VLOOKUP(N805,Stock[#Data],2,FALSE)</f>
        <v>ဒဂုံမန်ကျည်း ကော်ဘူး (1 Liter)</v>
      </c>
      <c r="P805" s="44">
        <f>VLOOKUP(N805,Stock[#Data],3,FALSE)</f>
        <v>1</v>
      </c>
      <c r="Q805" s="3">
        <f>VLOOKUP(N805,Stock[#Data],4,FALSE)</f>
        <v>12</v>
      </c>
      <c r="R805" s="11"/>
      <c r="S805" s="45">
        <f>IFERROR(Table4[[#This Row],[Bottle]]/Table4[[#This Row],[ပါဝင်မှု]]+Table4[[#This Row],[SalesPK]],0)</f>
        <v>1</v>
      </c>
      <c r="T805" s="12">
        <v>1</v>
      </c>
      <c r="U805" s="10">
        <f>Table4[[#This Row],[ပါဝင်မှု]]*Table4[[#This Row],[SalesPK]]+Table4[[#This Row],[Bottle]]</f>
        <v>12</v>
      </c>
      <c r="V805" s="10">
        <f>Table4[[#This Row],[SalesBot]]*Table4[[#This Row],[ML]]</f>
        <v>12</v>
      </c>
      <c r="W805" s="1">
        <f>VLOOKUP(N805,Stock[#Data],6,FALSE)</f>
        <v>1600</v>
      </c>
      <c r="X805" s="8">
        <f>+Table4[[#This Row],[SalesBot]]*Table4[[#This Row],[နှုံး]]</f>
        <v>19200</v>
      </c>
      <c r="Y805" s="12"/>
      <c r="Z805" s="12"/>
      <c r="AA805" s="12"/>
      <c r="AB805" s="9"/>
      <c r="AC805" s="12"/>
      <c r="AD805" s="9"/>
      <c r="AE805" s="12"/>
      <c r="AF80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805" s="24"/>
      <c r="AH805" s="266">
        <f>Table4[[#This Row],[Date]]</f>
        <v>46072</v>
      </c>
      <c r="AI805" s="264" t="str">
        <f t="shared" ref="AI805:AI868" si="154">TEXT(AH805,"mmm")</f>
        <v>Feb</v>
      </c>
      <c r="AJ805" s="264" t="str">
        <f t="shared" ref="AJ805:AJ868" si="155">TEXT(AH805,"yyyy")</f>
        <v>2026</v>
      </c>
      <c r="AK805" s="270" t="str">
        <f>Table4[[#This Row],[ကုန်သည်အမည်]]</f>
        <v>AKK</v>
      </c>
      <c r="AL805" s="270" t="str">
        <f>Table4[[#This Row],[Township]]</f>
        <v>Maw La Myaing</v>
      </c>
      <c r="AM805" s="271" t="str">
        <f>Table4[[#This Row],[WholeSales]]</f>
        <v>Van Sales</v>
      </c>
      <c r="AN805" s="272" t="str">
        <f>Table4[[#This Row],[Particular]]</f>
        <v>ကုန်ရောင်း(လက်ငင်း)</v>
      </c>
      <c r="AO805" s="273" t="str">
        <f>Table4[[#This Row],[StockName]]</f>
        <v>ဒဂုံမန်ကျည်း ကော်ဘူး (1 Liter)</v>
      </c>
      <c r="AP805" s="268">
        <f>Table4[[#This Row],[Parking]]</f>
        <v>1</v>
      </c>
      <c r="AQ805" s="268">
        <f>Table4[[#This Row],[SalesBot]]</f>
        <v>12</v>
      </c>
      <c r="AR805" s="268">
        <f>Table4[[#This Row],[Liter]]</f>
        <v>12</v>
      </c>
    </row>
    <row r="806" spans="1:44" s="16" customFormat="1" hidden="1" x14ac:dyDescent="0.5">
      <c r="A806" s="3">
        <f t="shared" si="150"/>
        <v>2026</v>
      </c>
      <c r="B806" s="8">
        <f t="shared" si="151"/>
        <v>2</v>
      </c>
      <c r="C806" s="6">
        <v>46072</v>
      </c>
      <c r="D806" s="15">
        <f t="shared" ca="1" si="152"/>
        <v>46097</v>
      </c>
      <c r="E806" s="15" t="str">
        <f t="shared" ca="1" si="153"/>
        <v>0-Months</v>
      </c>
      <c r="F806" s="8" t="str">
        <f>VLOOKUP(N806,Stock[#Data],5,FALSE)</f>
        <v>BE</v>
      </c>
      <c r="G806" s="82" t="s">
        <v>1474</v>
      </c>
      <c r="H806" s="15" t="s">
        <v>439</v>
      </c>
      <c r="I806" s="7" t="s">
        <v>1475</v>
      </c>
      <c r="J806" s="8" t="str">
        <f>VLOOKUP(I806,Customers[#Data],2,FALSE)</f>
        <v>AKK</v>
      </c>
      <c r="K806" s="15" t="str">
        <f>VLOOKUP(I806,Customers[#Data],4,FALSE)</f>
        <v>Maw La Myaing</v>
      </c>
      <c r="L806" s="15" t="str">
        <f>VLOOKUP(I806,Customers[#Data],5,FALSE)</f>
        <v>Van Sales</v>
      </c>
      <c r="M806" s="7" t="s">
        <v>6</v>
      </c>
      <c r="N806" s="7" t="s">
        <v>425</v>
      </c>
      <c r="O806" s="14" t="str">
        <f>VLOOKUP(N806,Stock[#Data],2,FALSE)</f>
        <v>ကောင်းကြည်-1Li</v>
      </c>
      <c r="P806" s="44">
        <f>VLOOKUP(N806,Stock[#Data],3,FALSE)</f>
        <v>1</v>
      </c>
      <c r="Q806" s="3">
        <f>VLOOKUP(N806,Stock[#Data],4,FALSE)</f>
        <v>12</v>
      </c>
      <c r="R806" s="11"/>
      <c r="S806" s="45">
        <f>IFERROR(Table4[[#This Row],[Bottle]]/Table4[[#This Row],[ပါဝင်မှု]]+Table4[[#This Row],[SalesPK]],0)</f>
        <v>1</v>
      </c>
      <c r="T806" s="12">
        <v>1</v>
      </c>
      <c r="U806" s="10">
        <f>Table4[[#This Row],[ပါဝင်မှု]]*Table4[[#This Row],[SalesPK]]+Table4[[#This Row],[Bottle]]</f>
        <v>12</v>
      </c>
      <c r="V806" s="10">
        <f>Table4[[#This Row],[SalesBot]]*Table4[[#This Row],[ML]]</f>
        <v>12</v>
      </c>
      <c r="W806" s="1">
        <f>VLOOKUP(N806,Stock[#Data],6,FALSE)</f>
        <v>1500</v>
      </c>
      <c r="X806" s="8">
        <f>+Table4[[#This Row],[SalesBot]]*Table4[[#This Row],[နှုံး]]</f>
        <v>18000</v>
      </c>
      <c r="Y806" s="12"/>
      <c r="Z806" s="12"/>
      <c r="AA806" s="12"/>
      <c r="AB806" s="9"/>
      <c r="AC806" s="12"/>
      <c r="AD806" s="9"/>
      <c r="AE806" s="12"/>
      <c r="AF80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806" s="24"/>
      <c r="AH806" s="266">
        <f>Table4[[#This Row],[Date]]</f>
        <v>46072</v>
      </c>
      <c r="AI806" s="264" t="str">
        <f t="shared" si="154"/>
        <v>Feb</v>
      </c>
      <c r="AJ806" s="264" t="str">
        <f t="shared" si="155"/>
        <v>2026</v>
      </c>
      <c r="AK806" s="270" t="str">
        <f>Table4[[#This Row],[ကုန်သည်အမည်]]</f>
        <v>AKK</v>
      </c>
      <c r="AL806" s="270" t="str">
        <f>Table4[[#This Row],[Township]]</f>
        <v>Maw La Myaing</v>
      </c>
      <c r="AM806" s="271" t="str">
        <f>Table4[[#This Row],[WholeSales]]</f>
        <v>Van Sales</v>
      </c>
      <c r="AN806" s="272" t="str">
        <f>Table4[[#This Row],[Particular]]</f>
        <v>ကုန်ရောင်း(လက်ငင်း)</v>
      </c>
      <c r="AO806" s="273" t="str">
        <f>Table4[[#This Row],[StockName]]</f>
        <v>ကောင်းကြည်-1Li</v>
      </c>
      <c r="AP806" s="268">
        <f>Table4[[#This Row],[Parking]]</f>
        <v>1</v>
      </c>
      <c r="AQ806" s="268">
        <f>Table4[[#This Row],[SalesBot]]</f>
        <v>12</v>
      </c>
      <c r="AR806" s="268">
        <f>Table4[[#This Row],[Liter]]</f>
        <v>12</v>
      </c>
    </row>
    <row r="807" spans="1:44" s="16" customFormat="1" hidden="1" x14ac:dyDescent="0.5">
      <c r="A807" s="3">
        <f t="shared" si="150"/>
        <v>2026</v>
      </c>
      <c r="B807" s="8">
        <f t="shared" si="151"/>
        <v>2</v>
      </c>
      <c r="C807" s="6">
        <v>46072</v>
      </c>
      <c r="D807" s="15">
        <f t="shared" ca="1" si="152"/>
        <v>46097</v>
      </c>
      <c r="E807" s="15" t="str">
        <f t="shared" ca="1" si="153"/>
        <v>0-Months</v>
      </c>
      <c r="F807" s="8" t="str">
        <f>VLOOKUP(N807,Stock[#Data],5,FALSE)</f>
        <v>BE</v>
      </c>
      <c r="G807" s="82" t="s">
        <v>1474</v>
      </c>
      <c r="H807" s="15" t="s">
        <v>439</v>
      </c>
      <c r="I807" s="7" t="s">
        <v>1475</v>
      </c>
      <c r="J807" s="8" t="str">
        <f>VLOOKUP(I807,Customers[#Data],2,FALSE)</f>
        <v>AKK</v>
      </c>
      <c r="K807" s="15" t="str">
        <f>VLOOKUP(I807,Customers[#Data],4,FALSE)</f>
        <v>Maw La Myaing</v>
      </c>
      <c r="L807" s="15" t="str">
        <f>VLOOKUP(I807,Customers[#Data],5,FALSE)</f>
        <v>Van Sales</v>
      </c>
      <c r="M807" s="7" t="s">
        <v>6</v>
      </c>
      <c r="N807" s="7" t="s">
        <v>508</v>
      </c>
      <c r="O807" s="14" t="str">
        <f>VLOOKUP(N807,Stock[#Data],2,FALSE)</f>
        <v>ကောင်းကြည်-1Li</v>
      </c>
      <c r="P807" s="44">
        <f>VLOOKUP(N807,Stock[#Data],3,FALSE)</f>
        <v>1</v>
      </c>
      <c r="Q807" s="3">
        <f>VLOOKUP(N807,Stock[#Data],4,FALSE)</f>
        <v>12</v>
      </c>
      <c r="R807" s="11"/>
      <c r="S807" s="45">
        <f>IFERROR(Table4[[#This Row],[Bottle]]/Table4[[#This Row],[ပါဝင်မှု]]+Table4[[#This Row],[SalesPK]],0)</f>
        <v>1</v>
      </c>
      <c r="T807" s="12">
        <v>1</v>
      </c>
      <c r="U807" s="10">
        <f>Table4[[#This Row],[ပါဝင်မှု]]*Table4[[#This Row],[SalesPK]]+Table4[[#This Row],[Bottle]]</f>
        <v>12</v>
      </c>
      <c r="V807" s="10">
        <f>Table4[[#This Row],[SalesBot]]*Table4[[#This Row],[ML]]</f>
        <v>12</v>
      </c>
      <c r="W807" s="1">
        <f>VLOOKUP(N807,Stock[#Data],6,FALSE)</f>
        <v>1850</v>
      </c>
      <c r="X807" s="8">
        <f>+Table4[[#This Row],[SalesBot]]*Table4[[#This Row],[နှုံး]]</f>
        <v>22200</v>
      </c>
      <c r="Y807" s="12"/>
      <c r="Z807" s="12"/>
      <c r="AA807" s="12"/>
      <c r="AB807" s="9"/>
      <c r="AC807" s="12"/>
      <c r="AD807" s="9"/>
      <c r="AE807" s="12"/>
      <c r="AF80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807" s="24"/>
      <c r="AH807" s="266">
        <f>Table4[[#This Row],[Date]]</f>
        <v>46072</v>
      </c>
      <c r="AI807" s="264" t="str">
        <f t="shared" si="154"/>
        <v>Feb</v>
      </c>
      <c r="AJ807" s="264" t="str">
        <f t="shared" si="155"/>
        <v>2026</v>
      </c>
      <c r="AK807" s="270" t="str">
        <f>Table4[[#This Row],[ကုန်သည်အမည်]]</f>
        <v>AKK</v>
      </c>
      <c r="AL807" s="270" t="str">
        <f>Table4[[#This Row],[Township]]</f>
        <v>Maw La Myaing</v>
      </c>
      <c r="AM807" s="271" t="str">
        <f>Table4[[#This Row],[WholeSales]]</f>
        <v>Van Sales</v>
      </c>
      <c r="AN807" s="272" t="str">
        <f>Table4[[#This Row],[Particular]]</f>
        <v>ကုန်ရောင်း(လက်ငင်း)</v>
      </c>
      <c r="AO807" s="273" t="str">
        <f>Table4[[#This Row],[StockName]]</f>
        <v>ကောင်းကြည်-1Li</v>
      </c>
      <c r="AP807" s="268">
        <f>Table4[[#This Row],[Parking]]</f>
        <v>1</v>
      </c>
      <c r="AQ807" s="268">
        <f>Table4[[#This Row],[SalesBot]]</f>
        <v>12</v>
      </c>
      <c r="AR807" s="268">
        <f>Table4[[#This Row],[Liter]]</f>
        <v>12</v>
      </c>
    </row>
    <row r="808" spans="1:44" s="16" customFormat="1" hidden="1" x14ac:dyDescent="0.5">
      <c r="A808" s="3">
        <f t="shared" si="150"/>
        <v>2026</v>
      </c>
      <c r="B808" s="8">
        <f t="shared" si="151"/>
        <v>2</v>
      </c>
      <c r="C808" s="6">
        <v>46072</v>
      </c>
      <c r="D808" s="15">
        <f t="shared" ca="1" si="152"/>
        <v>46097</v>
      </c>
      <c r="E808" s="15" t="str">
        <f t="shared" ca="1" si="153"/>
        <v>0-Months</v>
      </c>
      <c r="F808" s="8" t="str">
        <f>VLOOKUP(N808,Stock[#Data],5,FALSE)</f>
        <v>BE</v>
      </c>
      <c r="G808" s="82" t="s">
        <v>1474</v>
      </c>
      <c r="H808" s="15"/>
      <c r="I808" s="7" t="s">
        <v>1475</v>
      </c>
      <c r="J808" s="8" t="str">
        <f>VLOOKUP(I808,Customers[#Data],2,FALSE)</f>
        <v>AKK</v>
      </c>
      <c r="K808" s="15" t="str">
        <f>VLOOKUP(I808,Customers[#Data],4,FALSE)</f>
        <v>Maw La Myaing</v>
      </c>
      <c r="L808" s="15" t="str">
        <f>VLOOKUP(I808,Customers[#Data],5,FALSE)</f>
        <v>Van Sales</v>
      </c>
      <c r="M808" s="7" t="s">
        <v>9</v>
      </c>
      <c r="N808" s="7" t="s">
        <v>522</v>
      </c>
      <c r="O808" s="14" t="str">
        <f>VLOOKUP(N808,Stock[#Data],2,FALSE)</f>
        <v>ဒဂုံမန်ကျည်း ကော်ဘူး (1 Liter)</v>
      </c>
      <c r="P808" s="44">
        <f>VLOOKUP(N808,Stock[#Data],3,FALSE)</f>
        <v>1</v>
      </c>
      <c r="Q808" s="3">
        <f>VLOOKUP(N808,Stock[#Data],4,FALSE)</f>
        <v>12</v>
      </c>
      <c r="R808" s="11">
        <v>1</v>
      </c>
      <c r="S808" s="45">
        <f>IFERROR(Table4[[#This Row],[Bottle]]/Table4[[#This Row],[ပါဝင်မှု]]+Table4[[#This Row],[SalesPK]],0)</f>
        <v>8.3333333333333329E-2</v>
      </c>
      <c r="T808" s="12"/>
      <c r="U808" s="10">
        <f>Table4[[#This Row],[ပါဝင်မှု]]*Table4[[#This Row],[SalesPK]]+Table4[[#This Row],[Bottle]]</f>
        <v>1</v>
      </c>
      <c r="V808" s="10">
        <f>Table4[[#This Row],[SalesBot]]*Table4[[#This Row],[ML]]</f>
        <v>1</v>
      </c>
      <c r="W808" s="1">
        <f>VLOOKUP(N808,Stock[#Data],6,FALSE)</f>
        <v>1600</v>
      </c>
      <c r="X808" s="8">
        <f>+Table4[[#This Row],[SalesBot]]*Table4[[#This Row],[နှုံး]]</f>
        <v>1600</v>
      </c>
      <c r="Y808" s="12"/>
      <c r="Z808" s="12"/>
      <c r="AA808" s="12"/>
      <c r="AB808" s="9"/>
      <c r="AC808" s="12"/>
      <c r="AD808" s="9"/>
      <c r="AE808" s="12"/>
      <c r="AF80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808" s="24"/>
      <c r="AH808" s="266">
        <f>Table4[[#This Row],[Date]]</f>
        <v>46072</v>
      </c>
      <c r="AI808" s="264" t="str">
        <f t="shared" si="154"/>
        <v>Feb</v>
      </c>
      <c r="AJ808" s="264" t="str">
        <f t="shared" si="155"/>
        <v>2026</v>
      </c>
      <c r="AK808" s="270" t="str">
        <f>Table4[[#This Row],[ကုန်သည်အမည်]]</f>
        <v>AKK</v>
      </c>
      <c r="AL808" s="270" t="str">
        <f>Table4[[#This Row],[Township]]</f>
        <v>Maw La Myaing</v>
      </c>
      <c r="AM808" s="271" t="str">
        <f>Table4[[#This Row],[WholeSales]]</f>
        <v>Van Sales</v>
      </c>
      <c r="AN808" s="272" t="str">
        <f>Table4[[#This Row],[Particular]]</f>
        <v>လက်ဆောင်</v>
      </c>
      <c r="AO808" s="273" t="str">
        <f>Table4[[#This Row],[StockName]]</f>
        <v>ဒဂုံမန်ကျည်း ကော်ဘူး (1 Liter)</v>
      </c>
      <c r="AP808" s="268">
        <f>Table4[[#This Row],[Parking]]</f>
        <v>8.3333333333333329E-2</v>
      </c>
      <c r="AQ808" s="268">
        <f>Table4[[#This Row],[SalesBot]]</f>
        <v>1</v>
      </c>
      <c r="AR808" s="268">
        <f>Table4[[#This Row],[Liter]]</f>
        <v>1</v>
      </c>
    </row>
    <row r="809" spans="1:44" s="16" customFormat="1" hidden="1" x14ac:dyDescent="0.5">
      <c r="A809" s="3">
        <f t="shared" si="150"/>
        <v>2026</v>
      </c>
      <c r="B809" s="8">
        <f t="shared" si="151"/>
        <v>2</v>
      </c>
      <c r="C809" s="6">
        <v>46072</v>
      </c>
      <c r="D809" s="15">
        <f t="shared" ca="1" si="152"/>
        <v>46097</v>
      </c>
      <c r="E809" s="15" t="str">
        <f t="shared" ca="1" si="153"/>
        <v>0-Months</v>
      </c>
      <c r="F809" s="8" t="str">
        <f>VLOOKUP(N809,Stock[#Data],5,FALSE)</f>
        <v>BE</v>
      </c>
      <c r="G809" s="82" t="s">
        <v>1474</v>
      </c>
      <c r="H809" s="15"/>
      <c r="I809" s="7" t="s">
        <v>1475</v>
      </c>
      <c r="J809" s="8" t="str">
        <f>VLOOKUP(I809,Customers[#Data],2,FALSE)</f>
        <v>AKK</v>
      </c>
      <c r="K809" s="15" t="str">
        <f>VLOOKUP(I809,Customers[#Data],4,FALSE)</f>
        <v>Maw La Myaing</v>
      </c>
      <c r="L809" s="15" t="str">
        <f>VLOOKUP(I809,Customers[#Data],5,FALSE)</f>
        <v>Van Sales</v>
      </c>
      <c r="M809" s="7" t="s">
        <v>9</v>
      </c>
      <c r="N809" s="7" t="s">
        <v>425</v>
      </c>
      <c r="O809" s="14" t="str">
        <f>VLOOKUP(N809,Stock[#Data],2,FALSE)</f>
        <v>ကောင်းကြည်-1Li</v>
      </c>
      <c r="P809" s="44">
        <f>VLOOKUP(N809,Stock[#Data],3,FALSE)</f>
        <v>1</v>
      </c>
      <c r="Q809" s="3">
        <f>VLOOKUP(N809,Stock[#Data],4,FALSE)</f>
        <v>12</v>
      </c>
      <c r="R809" s="11">
        <v>1</v>
      </c>
      <c r="S809" s="45">
        <f>IFERROR(Table4[[#This Row],[Bottle]]/Table4[[#This Row],[ပါဝင်မှု]]+Table4[[#This Row],[SalesPK]],0)</f>
        <v>8.3333333333333329E-2</v>
      </c>
      <c r="T809" s="12"/>
      <c r="U809" s="10">
        <f>Table4[[#This Row],[ပါဝင်မှု]]*Table4[[#This Row],[SalesPK]]+Table4[[#This Row],[Bottle]]</f>
        <v>1</v>
      </c>
      <c r="V809" s="10">
        <f>Table4[[#This Row],[SalesBot]]*Table4[[#This Row],[ML]]</f>
        <v>1</v>
      </c>
      <c r="W809" s="1">
        <f>VLOOKUP(N809,Stock[#Data],6,FALSE)</f>
        <v>1500</v>
      </c>
      <c r="X809" s="8">
        <f>+Table4[[#This Row],[SalesBot]]*Table4[[#This Row],[နှုံး]]</f>
        <v>1500</v>
      </c>
      <c r="Y809" s="12"/>
      <c r="Z809" s="12"/>
      <c r="AA809" s="12"/>
      <c r="AB809" s="9"/>
      <c r="AC809" s="12"/>
      <c r="AD809" s="9"/>
      <c r="AE809" s="12"/>
      <c r="AF80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809" s="24"/>
      <c r="AH809" s="266">
        <f>Table4[[#This Row],[Date]]</f>
        <v>46072</v>
      </c>
      <c r="AI809" s="264" t="str">
        <f t="shared" si="154"/>
        <v>Feb</v>
      </c>
      <c r="AJ809" s="264" t="str">
        <f t="shared" si="155"/>
        <v>2026</v>
      </c>
      <c r="AK809" s="270" t="str">
        <f>Table4[[#This Row],[ကုန်သည်အမည်]]</f>
        <v>AKK</v>
      </c>
      <c r="AL809" s="270" t="str">
        <f>Table4[[#This Row],[Township]]</f>
        <v>Maw La Myaing</v>
      </c>
      <c r="AM809" s="271" t="str">
        <f>Table4[[#This Row],[WholeSales]]</f>
        <v>Van Sales</v>
      </c>
      <c r="AN809" s="272" t="str">
        <f>Table4[[#This Row],[Particular]]</f>
        <v>လက်ဆောင်</v>
      </c>
      <c r="AO809" s="273" t="str">
        <f>Table4[[#This Row],[StockName]]</f>
        <v>ကောင်းကြည်-1Li</v>
      </c>
      <c r="AP809" s="268">
        <f>Table4[[#This Row],[Parking]]</f>
        <v>8.3333333333333329E-2</v>
      </c>
      <c r="AQ809" s="268">
        <f>Table4[[#This Row],[SalesBot]]</f>
        <v>1</v>
      </c>
      <c r="AR809" s="268">
        <f>Table4[[#This Row],[Liter]]</f>
        <v>1</v>
      </c>
    </row>
    <row r="810" spans="1:44" s="16" customFormat="1" hidden="1" x14ac:dyDescent="0.5">
      <c r="A810" s="3">
        <f t="shared" si="150"/>
        <v>2026</v>
      </c>
      <c r="B810" s="8">
        <f t="shared" si="151"/>
        <v>2</v>
      </c>
      <c r="C810" s="6">
        <v>46072</v>
      </c>
      <c r="D810" s="15">
        <f t="shared" ca="1" si="152"/>
        <v>46097</v>
      </c>
      <c r="E810" s="15" t="str">
        <f t="shared" ca="1" si="153"/>
        <v>0-Months</v>
      </c>
      <c r="F810" s="8" t="str">
        <f>VLOOKUP(N810,Stock[#Data],5,FALSE)</f>
        <v>BE</v>
      </c>
      <c r="G810" s="82" t="s">
        <v>1474</v>
      </c>
      <c r="H810" s="15"/>
      <c r="I810" s="7" t="s">
        <v>1475</v>
      </c>
      <c r="J810" s="8" t="str">
        <f>VLOOKUP(I810,Customers[#Data],2,FALSE)</f>
        <v>AKK</v>
      </c>
      <c r="K810" s="15" t="str">
        <f>VLOOKUP(I810,Customers[#Data],4,FALSE)</f>
        <v>Maw La Myaing</v>
      </c>
      <c r="L810" s="15" t="str">
        <f>VLOOKUP(I810,Customers[#Data],5,FALSE)</f>
        <v>Van Sales</v>
      </c>
      <c r="M810" s="7" t="s">
        <v>9</v>
      </c>
      <c r="N810" s="7" t="s">
        <v>508</v>
      </c>
      <c r="O810" s="14" t="str">
        <f>VLOOKUP(N810,Stock[#Data],2,FALSE)</f>
        <v>ကောင်းကြည်-1Li</v>
      </c>
      <c r="P810" s="44">
        <f>VLOOKUP(N810,Stock[#Data],3,FALSE)</f>
        <v>1</v>
      </c>
      <c r="Q810" s="3">
        <f>VLOOKUP(N810,Stock[#Data],4,FALSE)</f>
        <v>12</v>
      </c>
      <c r="R810" s="11">
        <v>1</v>
      </c>
      <c r="S810" s="45">
        <f>IFERROR(Table4[[#This Row],[Bottle]]/Table4[[#This Row],[ပါဝင်မှု]]+Table4[[#This Row],[SalesPK]],0)</f>
        <v>8.3333333333333329E-2</v>
      </c>
      <c r="T810" s="12"/>
      <c r="U810" s="10">
        <f>Table4[[#This Row],[ပါဝင်မှု]]*Table4[[#This Row],[SalesPK]]+Table4[[#This Row],[Bottle]]</f>
        <v>1</v>
      </c>
      <c r="V810" s="10">
        <f>Table4[[#This Row],[SalesBot]]*Table4[[#This Row],[ML]]</f>
        <v>1</v>
      </c>
      <c r="W810" s="1">
        <f>VLOOKUP(N810,Stock[#Data],6,FALSE)</f>
        <v>1850</v>
      </c>
      <c r="X810" s="8">
        <f>+Table4[[#This Row],[SalesBot]]*Table4[[#This Row],[နှုံး]]</f>
        <v>1850</v>
      </c>
      <c r="Y810" s="12"/>
      <c r="Z810" s="12"/>
      <c r="AA810" s="12"/>
      <c r="AB810" s="9"/>
      <c r="AC810" s="12"/>
      <c r="AD810" s="9"/>
      <c r="AE810" s="12"/>
      <c r="AF81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810" s="24"/>
      <c r="AH810" s="266">
        <f>Table4[[#This Row],[Date]]</f>
        <v>46072</v>
      </c>
      <c r="AI810" s="264" t="str">
        <f t="shared" si="154"/>
        <v>Feb</v>
      </c>
      <c r="AJ810" s="264" t="str">
        <f t="shared" si="155"/>
        <v>2026</v>
      </c>
      <c r="AK810" s="270" t="str">
        <f>Table4[[#This Row],[ကုန်သည်အမည်]]</f>
        <v>AKK</v>
      </c>
      <c r="AL810" s="270" t="str">
        <f>Table4[[#This Row],[Township]]</f>
        <v>Maw La Myaing</v>
      </c>
      <c r="AM810" s="271" t="str">
        <f>Table4[[#This Row],[WholeSales]]</f>
        <v>Van Sales</v>
      </c>
      <c r="AN810" s="272" t="str">
        <f>Table4[[#This Row],[Particular]]</f>
        <v>လက်ဆောင်</v>
      </c>
      <c r="AO810" s="273" t="str">
        <f>Table4[[#This Row],[StockName]]</f>
        <v>ကောင်းကြည်-1Li</v>
      </c>
      <c r="AP810" s="268">
        <f>Table4[[#This Row],[Parking]]</f>
        <v>8.3333333333333329E-2</v>
      </c>
      <c r="AQ810" s="268">
        <f>Table4[[#This Row],[SalesBot]]</f>
        <v>1</v>
      </c>
      <c r="AR810" s="268">
        <f>Table4[[#This Row],[Liter]]</f>
        <v>1</v>
      </c>
    </row>
    <row r="811" spans="1:44" s="16" customFormat="1" hidden="1" x14ac:dyDescent="0.5">
      <c r="A811" s="3">
        <f t="shared" si="150"/>
        <v>2026</v>
      </c>
      <c r="B811" s="8">
        <f t="shared" si="151"/>
        <v>2</v>
      </c>
      <c r="C811" s="6">
        <v>46072</v>
      </c>
      <c r="D811" s="15">
        <f t="shared" ca="1" si="152"/>
        <v>46097</v>
      </c>
      <c r="E811" s="15" t="str">
        <f t="shared" ca="1" si="153"/>
        <v>0-Months</v>
      </c>
      <c r="F811" s="8" t="str">
        <f>VLOOKUP(N811,Stock[#Data],5,FALSE)</f>
        <v>BE</v>
      </c>
      <c r="G811" s="82" t="s">
        <v>1478</v>
      </c>
      <c r="H811" s="15" t="s">
        <v>439</v>
      </c>
      <c r="I811" s="7" t="s">
        <v>1476</v>
      </c>
      <c r="J811" s="8" t="str">
        <f>VLOOKUP(I811,Customers[#Data],2,FALSE)</f>
        <v>သန်းမေတ္တာ</v>
      </c>
      <c r="K811" s="15" t="str">
        <f>VLOOKUP(I811,Customers[#Data],4,FALSE)</f>
        <v>Maw La Myaing</v>
      </c>
      <c r="L811" s="15" t="str">
        <f>VLOOKUP(I811,Customers[#Data],5,FALSE)</f>
        <v>Van Sales</v>
      </c>
      <c r="M811" s="7" t="s">
        <v>6</v>
      </c>
      <c r="N811" s="7" t="s">
        <v>425</v>
      </c>
      <c r="O811" s="14" t="str">
        <f>VLOOKUP(N811,Stock[#Data],2,FALSE)</f>
        <v>ကောင်းကြည်-1Li</v>
      </c>
      <c r="P811" s="44">
        <f>VLOOKUP(N811,Stock[#Data],3,FALSE)</f>
        <v>1</v>
      </c>
      <c r="Q811" s="3">
        <f>VLOOKUP(N811,Stock[#Data],4,FALSE)</f>
        <v>12</v>
      </c>
      <c r="R811" s="11"/>
      <c r="S811" s="45">
        <f>IFERROR(Table4[[#This Row],[Bottle]]/Table4[[#This Row],[ပါဝင်မှု]]+Table4[[#This Row],[SalesPK]],0)</f>
        <v>2</v>
      </c>
      <c r="T811" s="12">
        <v>2</v>
      </c>
      <c r="U811" s="10">
        <f>Table4[[#This Row],[ပါဝင်မှု]]*Table4[[#This Row],[SalesPK]]+Table4[[#This Row],[Bottle]]</f>
        <v>24</v>
      </c>
      <c r="V811" s="10">
        <f>Table4[[#This Row],[SalesBot]]*Table4[[#This Row],[ML]]</f>
        <v>24</v>
      </c>
      <c r="W811" s="1">
        <f>VLOOKUP(N811,Stock[#Data],6,FALSE)</f>
        <v>1500</v>
      </c>
      <c r="X811" s="8">
        <f>+Table4[[#This Row],[SalesBot]]*Table4[[#This Row],[နှုံး]]</f>
        <v>36000</v>
      </c>
      <c r="Y811" s="12"/>
      <c r="Z811" s="12"/>
      <c r="AA811" s="12"/>
      <c r="AB811" s="9"/>
      <c r="AC811" s="12"/>
      <c r="AD811" s="9"/>
      <c r="AE811" s="12"/>
      <c r="AF81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36000</v>
      </c>
      <c r="AG811" s="24"/>
      <c r="AH811" s="266">
        <f>Table4[[#This Row],[Date]]</f>
        <v>46072</v>
      </c>
      <c r="AI811" s="264" t="str">
        <f t="shared" si="154"/>
        <v>Feb</v>
      </c>
      <c r="AJ811" s="264" t="str">
        <f t="shared" si="155"/>
        <v>2026</v>
      </c>
      <c r="AK811" s="270" t="str">
        <f>Table4[[#This Row],[ကုန်သည်အမည်]]</f>
        <v>သန်းမေတ္တာ</v>
      </c>
      <c r="AL811" s="270" t="str">
        <f>Table4[[#This Row],[Township]]</f>
        <v>Maw La Myaing</v>
      </c>
      <c r="AM811" s="271" t="str">
        <f>Table4[[#This Row],[WholeSales]]</f>
        <v>Van Sales</v>
      </c>
      <c r="AN811" s="272" t="str">
        <f>Table4[[#This Row],[Particular]]</f>
        <v>ကုန်ရောင်း(လက်ငင်း)</v>
      </c>
      <c r="AO811" s="273" t="str">
        <f>Table4[[#This Row],[StockName]]</f>
        <v>ကောင်းကြည်-1Li</v>
      </c>
      <c r="AP811" s="268">
        <f>Table4[[#This Row],[Parking]]</f>
        <v>2</v>
      </c>
      <c r="AQ811" s="268">
        <f>Table4[[#This Row],[SalesBot]]</f>
        <v>24</v>
      </c>
      <c r="AR811" s="268">
        <f>Table4[[#This Row],[Liter]]</f>
        <v>24</v>
      </c>
    </row>
    <row r="812" spans="1:44" s="16" customFormat="1" hidden="1" x14ac:dyDescent="0.5">
      <c r="A812" s="3">
        <f t="shared" si="150"/>
        <v>2026</v>
      </c>
      <c r="B812" s="8">
        <f t="shared" si="151"/>
        <v>2</v>
      </c>
      <c r="C812" s="6">
        <v>46072</v>
      </c>
      <c r="D812" s="15">
        <f t="shared" ca="1" si="152"/>
        <v>46097</v>
      </c>
      <c r="E812" s="15" t="str">
        <f t="shared" ca="1" si="153"/>
        <v>0-Months</v>
      </c>
      <c r="F812" s="8" t="str">
        <f>VLOOKUP(N812,Stock[#Data],5,FALSE)</f>
        <v>BE</v>
      </c>
      <c r="G812" s="82" t="s">
        <v>1479</v>
      </c>
      <c r="H812" s="15" t="s">
        <v>439</v>
      </c>
      <c r="I812" s="7" t="s">
        <v>1384</v>
      </c>
      <c r="J812" s="8" t="str">
        <f>VLOOKUP(I812,Customers[#Data],2,FALSE)</f>
        <v>မာလာမြို်င</v>
      </c>
      <c r="K812" s="15" t="str">
        <f>VLOOKUP(I812,Customers[#Data],4,FALSE)</f>
        <v>Maw La Myaing</v>
      </c>
      <c r="L812" s="15" t="str">
        <f>VLOOKUP(I812,Customers[#Data],5,FALSE)</f>
        <v>Van Sales</v>
      </c>
      <c r="M812" s="7" t="s">
        <v>6</v>
      </c>
      <c r="N812" s="7" t="s">
        <v>522</v>
      </c>
      <c r="O812" s="14" t="str">
        <f>VLOOKUP(N812,Stock[#Data],2,FALSE)</f>
        <v>ဒဂုံမန်ကျည်း ကော်ဘူး (1 Liter)</v>
      </c>
      <c r="P812" s="44">
        <f>VLOOKUP(N812,Stock[#Data],3,FALSE)</f>
        <v>1</v>
      </c>
      <c r="Q812" s="3">
        <f>VLOOKUP(N812,Stock[#Data],4,FALSE)</f>
        <v>12</v>
      </c>
      <c r="R812" s="11"/>
      <c r="S812" s="45">
        <f>IFERROR(Table4[[#This Row],[Bottle]]/Table4[[#This Row],[ပါဝင်မှု]]+Table4[[#This Row],[SalesPK]],0)</f>
        <v>1</v>
      </c>
      <c r="T812" s="12">
        <v>1</v>
      </c>
      <c r="U812" s="10">
        <f>Table4[[#This Row],[ပါဝင်မှု]]*Table4[[#This Row],[SalesPK]]+Table4[[#This Row],[Bottle]]</f>
        <v>12</v>
      </c>
      <c r="V812" s="10">
        <f>Table4[[#This Row],[SalesBot]]*Table4[[#This Row],[ML]]</f>
        <v>12</v>
      </c>
      <c r="W812" s="1">
        <f>VLOOKUP(N812,Stock[#Data],6,FALSE)</f>
        <v>1600</v>
      </c>
      <c r="X812" s="8">
        <f>+Table4[[#This Row],[SalesBot]]*Table4[[#This Row],[နှုံး]]</f>
        <v>19200</v>
      </c>
      <c r="Y812" s="12"/>
      <c r="Z812" s="12"/>
      <c r="AA812" s="12"/>
      <c r="AB812" s="9"/>
      <c r="AC812" s="12"/>
      <c r="AD812" s="9"/>
      <c r="AE812" s="12"/>
      <c r="AF81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812" s="24"/>
      <c r="AH812" s="266">
        <f>Table4[[#This Row],[Date]]</f>
        <v>46072</v>
      </c>
      <c r="AI812" s="264" t="str">
        <f t="shared" si="154"/>
        <v>Feb</v>
      </c>
      <c r="AJ812" s="264" t="str">
        <f t="shared" si="155"/>
        <v>2026</v>
      </c>
      <c r="AK812" s="270" t="str">
        <f>Table4[[#This Row],[ကုန်သည်အမည်]]</f>
        <v>မာလာမြို်င</v>
      </c>
      <c r="AL812" s="270" t="str">
        <f>Table4[[#This Row],[Township]]</f>
        <v>Maw La Myaing</v>
      </c>
      <c r="AM812" s="271" t="str">
        <f>Table4[[#This Row],[WholeSales]]</f>
        <v>Van Sales</v>
      </c>
      <c r="AN812" s="272" t="str">
        <f>Table4[[#This Row],[Particular]]</f>
        <v>ကုန်ရောင်း(လက်ငင်း)</v>
      </c>
      <c r="AO812" s="273" t="str">
        <f>Table4[[#This Row],[StockName]]</f>
        <v>ဒဂုံမန်ကျည်း ကော်ဘူး (1 Liter)</v>
      </c>
      <c r="AP812" s="268">
        <f>Table4[[#This Row],[Parking]]</f>
        <v>1</v>
      </c>
      <c r="AQ812" s="268">
        <f>Table4[[#This Row],[SalesBot]]</f>
        <v>12</v>
      </c>
      <c r="AR812" s="268">
        <f>Table4[[#This Row],[Liter]]</f>
        <v>12</v>
      </c>
    </row>
    <row r="813" spans="1:44" s="16" customFormat="1" hidden="1" x14ac:dyDescent="0.5">
      <c r="A813" s="3">
        <f t="shared" si="150"/>
        <v>2026</v>
      </c>
      <c r="B813" s="8">
        <f t="shared" si="151"/>
        <v>2</v>
      </c>
      <c r="C813" s="6">
        <v>46072</v>
      </c>
      <c r="D813" s="15">
        <f t="shared" ca="1" si="152"/>
        <v>46097</v>
      </c>
      <c r="E813" s="15" t="str">
        <f t="shared" ca="1" si="153"/>
        <v>0-Months</v>
      </c>
      <c r="F813" s="8" t="str">
        <f>VLOOKUP(N813,Stock[#Data],5,FALSE)</f>
        <v>BE</v>
      </c>
      <c r="G813" s="82" t="s">
        <v>1479</v>
      </c>
      <c r="H813" s="15"/>
      <c r="I813" s="7" t="s">
        <v>1384</v>
      </c>
      <c r="J813" s="8" t="str">
        <f>VLOOKUP(I813,Customers[#Data],2,FALSE)</f>
        <v>မာလာမြို်င</v>
      </c>
      <c r="K813" s="15" t="str">
        <f>VLOOKUP(I813,Customers[#Data],4,FALSE)</f>
        <v>Maw La Myaing</v>
      </c>
      <c r="L813" s="15" t="str">
        <f>VLOOKUP(I813,Customers[#Data],5,FALSE)</f>
        <v>Van Sales</v>
      </c>
      <c r="M813" s="7" t="s">
        <v>9</v>
      </c>
      <c r="N813" s="7" t="s">
        <v>508</v>
      </c>
      <c r="O813" s="14" t="str">
        <f>VLOOKUP(N813,Stock[#Data],2,FALSE)</f>
        <v>ကောင်းကြည်-1Li</v>
      </c>
      <c r="P813" s="44">
        <f>VLOOKUP(N813,Stock[#Data],3,FALSE)</f>
        <v>1</v>
      </c>
      <c r="Q813" s="3">
        <f>VLOOKUP(N813,Stock[#Data],4,FALSE)</f>
        <v>12</v>
      </c>
      <c r="R813" s="11">
        <v>1</v>
      </c>
      <c r="S813" s="45">
        <f>IFERROR(Table4[[#This Row],[Bottle]]/Table4[[#This Row],[ပါဝင်မှု]]+Table4[[#This Row],[SalesPK]],0)</f>
        <v>8.3333333333333329E-2</v>
      </c>
      <c r="T813" s="12"/>
      <c r="U813" s="10">
        <f>Table4[[#This Row],[ပါဝင်မှု]]*Table4[[#This Row],[SalesPK]]+Table4[[#This Row],[Bottle]]</f>
        <v>1</v>
      </c>
      <c r="V813" s="10">
        <f>Table4[[#This Row],[SalesBot]]*Table4[[#This Row],[ML]]</f>
        <v>1</v>
      </c>
      <c r="W813" s="1">
        <f>VLOOKUP(N813,Stock[#Data],6,FALSE)</f>
        <v>1850</v>
      </c>
      <c r="X813" s="8">
        <f>+Table4[[#This Row],[SalesBot]]*Table4[[#This Row],[နှုံး]]</f>
        <v>1850</v>
      </c>
      <c r="Y813" s="12"/>
      <c r="Z813" s="12"/>
      <c r="AA813" s="12"/>
      <c r="AB813" s="9"/>
      <c r="AC813" s="12"/>
      <c r="AD813" s="9"/>
      <c r="AE813" s="12"/>
      <c r="AF81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813" s="24"/>
      <c r="AH813" s="266">
        <f>Table4[[#This Row],[Date]]</f>
        <v>46072</v>
      </c>
      <c r="AI813" s="264" t="str">
        <f t="shared" si="154"/>
        <v>Feb</v>
      </c>
      <c r="AJ813" s="264" t="str">
        <f t="shared" si="155"/>
        <v>2026</v>
      </c>
      <c r="AK813" s="270" t="str">
        <f>Table4[[#This Row],[ကုန်သည်အမည်]]</f>
        <v>မာလာမြို်င</v>
      </c>
      <c r="AL813" s="270" t="str">
        <f>Table4[[#This Row],[Township]]</f>
        <v>Maw La Myaing</v>
      </c>
      <c r="AM813" s="271" t="str">
        <f>Table4[[#This Row],[WholeSales]]</f>
        <v>Van Sales</v>
      </c>
      <c r="AN813" s="272" t="str">
        <f>Table4[[#This Row],[Particular]]</f>
        <v>လက်ဆောင်</v>
      </c>
      <c r="AO813" s="273" t="str">
        <f>Table4[[#This Row],[StockName]]</f>
        <v>ကောင်းကြည်-1Li</v>
      </c>
      <c r="AP813" s="268">
        <f>Table4[[#This Row],[Parking]]</f>
        <v>8.3333333333333329E-2</v>
      </c>
      <c r="AQ813" s="268">
        <f>Table4[[#This Row],[SalesBot]]</f>
        <v>1</v>
      </c>
      <c r="AR813" s="268">
        <f>Table4[[#This Row],[Liter]]</f>
        <v>1</v>
      </c>
    </row>
    <row r="814" spans="1:44" s="16" customFormat="1" hidden="1" x14ac:dyDescent="0.5">
      <c r="A814" s="3">
        <f t="shared" si="150"/>
        <v>2026</v>
      </c>
      <c r="B814" s="8">
        <f t="shared" si="151"/>
        <v>2</v>
      </c>
      <c r="C814" s="6">
        <v>46072</v>
      </c>
      <c r="D814" s="15">
        <f t="shared" ca="1" si="152"/>
        <v>46097</v>
      </c>
      <c r="E814" s="15" t="str">
        <f t="shared" ca="1" si="153"/>
        <v>0-Months</v>
      </c>
      <c r="F814" s="8" t="str">
        <f>VLOOKUP(N814,Stock[#Data],5,FALSE)</f>
        <v>BE</v>
      </c>
      <c r="G814" s="82" t="s">
        <v>1479</v>
      </c>
      <c r="H814" s="15"/>
      <c r="I814" s="7" t="s">
        <v>1384</v>
      </c>
      <c r="J814" s="8" t="str">
        <f>VLOOKUP(I814,Customers[#Data],2,FALSE)</f>
        <v>မာလာမြို်င</v>
      </c>
      <c r="K814" s="15" t="str">
        <f>VLOOKUP(I814,Customers[#Data],4,FALSE)</f>
        <v>Maw La Myaing</v>
      </c>
      <c r="L814" s="15" t="str">
        <f>VLOOKUP(I814,Customers[#Data],5,FALSE)</f>
        <v>Van Sales</v>
      </c>
      <c r="M814" s="7" t="s">
        <v>9</v>
      </c>
      <c r="N814" s="7" t="s">
        <v>522</v>
      </c>
      <c r="O814" s="14" t="str">
        <f>VLOOKUP(N814,Stock[#Data],2,FALSE)</f>
        <v>ဒဂုံမန်ကျည်း ကော်ဘူး (1 Liter)</v>
      </c>
      <c r="P814" s="44">
        <f>VLOOKUP(N814,Stock[#Data],3,FALSE)</f>
        <v>1</v>
      </c>
      <c r="Q814" s="3">
        <f>VLOOKUP(N814,Stock[#Data],4,FALSE)</f>
        <v>12</v>
      </c>
      <c r="R814" s="11">
        <v>1</v>
      </c>
      <c r="S814" s="45">
        <f>IFERROR(Table4[[#This Row],[Bottle]]/Table4[[#This Row],[ပါဝင်မှု]]+Table4[[#This Row],[SalesPK]],0)</f>
        <v>8.3333333333333329E-2</v>
      </c>
      <c r="T814" s="12"/>
      <c r="U814" s="10">
        <f>Table4[[#This Row],[ပါဝင်မှု]]*Table4[[#This Row],[SalesPK]]+Table4[[#This Row],[Bottle]]</f>
        <v>1</v>
      </c>
      <c r="V814" s="10">
        <f>Table4[[#This Row],[SalesBot]]*Table4[[#This Row],[ML]]</f>
        <v>1</v>
      </c>
      <c r="W814" s="1">
        <f>VLOOKUP(N814,Stock[#Data],6,FALSE)</f>
        <v>1600</v>
      </c>
      <c r="X814" s="8">
        <f>+Table4[[#This Row],[SalesBot]]*Table4[[#This Row],[နှုံး]]</f>
        <v>1600</v>
      </c>
      <c r="Y814" s="12"/>
      <c r="Z814" s="12"/>
      <c r="AA814" s="12"/>
      <c r="AB814" s="9"/>
      <c r="AC814" s="12"/>
      <c r="AD814" s="9"/>
      <c r="AE814" s="12"/>
      <c r="AF81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814" s="24"/>
      <c r="AH814" s="266">
        <f>Table4[[#This Row],[Date]]</f>
        <v>46072</v>
      </c>
      <c r="AI814" s="264" t="str">
        <f t="shared" si="154"/>
        <v>Feb</v>
      </c>
      <c r="AJ814" s="264" t="str">
        <f t="shared" si="155"/>
        <v>2026</v>
      </c>
      <c r="AK814" s="270" t="str">
        <f>Table4[[#This Row],[ကုန်သည်အမည်]]</f>
        <v>မာလာမြို်င</v>
      </c>
      <c r="AL814" s="270" t="str">
        <f>Table4[[#This Row],[Township]]</f>
        <v>Maw La Myaing</v>
      </c>
      <c r="AM814" s="271" t="str">
        <f>Table4[[#This Row],[WholeSales]]</f>
        <v>Van Sales</v>
      </c>
      <c r="AN814" s="272" t="str">
        <f>Table4[[#This Row],[Particular]]</f>
        <v>လက်ဆောင်</v>
      </c>
      <c r="AO814" s="273" t="str">
        <f>Table4[[#This Row],[StockName]]</f>
        <v>ဒဂုံမန်ကျည်း ကော်ဘူး (1 Liter)</v>
      </c>
      <c r="AP814" s="268">
        <f>Table4[[#This Row],[Parking]]</f>
        <v>8.3333333333333329E-2</v>
      </c>
      <c r="AQ814" s="268">
        <f>Table4[[#This Row],[SalesBot]]</f>
        <v>1</v>
      </c>
      <c r="AR814" s="268">
        <f>Table4[[#This Row],[Liter]]</f>
        <v>1</v>
      </c>
    </row>
    <row r="815" spans="1:44" s="16" customFormat="1" hidden="1" x14ac:dyDescent="0.5">
      <c r="A815" s="3">
        <f t="shared" si="150"/>
        <v>2026</v>
      </c>
      <c r="B815" s="8">
        <f t="shared" si="151"/>
        <v>2</v>
      </c>
      <c r="C815" s="6">
        <v>46072</v>
      </c>
      <c r="D815" s="15">
        <f t="shared" ca="1" si="152"/>
        <v>46097</v>
      </c>
      <c r="E815" s="15" t="str">
        <f t="shared" ca="1" si="153"/>
        <v>0-Months</v>
      </c>
      <c r="F815" s="8" t="str">
        <f>VLOOKUP(N815,Stock[#Data],5,FALSE)</f>
        <v>BE</v>
      </c>
      <c r="G815" s="82" t="s">
        <v>1479</v>
      </c>
      <c r="H815" s="15"/>
      <c r="I815" s="7" t="s">
        <v>1384</v>
      </c>
      <c r="J815" s="8" t="str">
        <f>VLOOKUP(I815,Customers[#Data],2,FALSE)</f>
        <v>မာလာမြို်င</v>
      </c>
      <c r="K815" s="15" t="str">
        <f>VLOOKUP(I815,Customers[#Data],4,FALSE)</f>
        <v>Maw La Myaing</v>
      </c>
      <c r="L815" s="15" t="str">
        <f>VLOOKUP(I815,Customers[#Data],5,FALSE)</f>
        <v>Van Sales</v>
      </c>
      <c r="M815" s="7" t="s">
        <v>9</v>
      </c>
      <c r="N815" s="7" t="s">
        <v>508</v>
      </c>
      <c r="O815" s="14" t="str">
        <f>VLOOKUP(N815,Stock[#Data],2,FALSE)</f>
        <v>ကောင်းကြည်-1Li</v>
      </c>
      <c r="P815" s="44">
        <f>VLOOKUP(N815,Stock[#Data],3,FALSE)</f>
        <v>1</v>
      </c>
      <c r="Q815" s="3">
        <f>VLOOKUP(N815,Stock[#Data],4,FALSE)</f>
        <v>12</v>
      </c>
      <c r="R815" s="11">
        <v>1</v>
      </c>
      <c r="S815" s="45">
        <f>IFERROR(Table4[[#This Row],[Bottle]]/Table4[[#This Row],[ပါဝင်မှု]]+Table4[[#This Row],[SalesPK]],0)</f>
        <v>8.3333333333333329E-2</v>
      </c>
      <c r="T815" s="12"/>
      <c r="U815" s="10">
        <f>Table4[[#This Row],[ပါဝင်မှု]]*Table4[[#This Row],[SalesPK]]+Table4[[#This Row],[Bottle]]</f>
        <v>1</v>
      </c>
      <c r="V815" s="10">
        <f>Table4[[#This Row],[SalesBot]]*Table4[[#This Row],[ML]]</f>
        <v>1</v>
      </c>
      <c r="W815" s="1">
        <f>VLOOKUP(N815,Stock[#Data],6,FALSE)</f>
        <v>1850</v>
      </c>
      <c r="X815" s="8">
        <f>+Table4[[#This Row],[SalesBot]]*Table4[[#This Row],[နှုံး]]</f>
        <v>1850</v>
      </c>
      <c r="Y815" s="12"/>
      <c r="Z815" s="12"/>
      <c r="AA815" s="12"/>
      <c r="AB815" s="9"/>
      <c r="AC815" s="12"/>
      <c r="AD815" s="9"/>
      <c r="AE815" s="12"/>
      <c r="AF81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815" s="24"/>
      <c r="AH815" s="266">
        <f>Table4[[#This Row],[Date]]</f>
        <v>46072</v>
      </c>
      <c r="AI815" s="264" t="str">
        <f t="shared" si="154"/>
        <v>Feb</v>
      </c>
      <c r="AJ815" s="264" t="str">
        <f t="shared" si="155"/>
        <v>2026</v>
      </c>
      <c r="AK815" s="270" t="str">
        <f>Table4[[#This Row],[ကုန်သည်အမည်]]</f>
        <v>မာလာမြို်င</v>
      </c>
      <c r="AL815" s="270" t="str">
        <f>Table4[[#This Row],[Township]]</f>
        <v>Maw La Myaing</v>
      </c>
      <c r="AM815" s="271" t="str">
        <f>Table4[[#This Row],[WholeSales]]</f>
        <v>Van Sales</v>
      </c>
      <c r="AN815" s="272" t="str">
        <f>Table4[[#This Row],[Particular]]</f>
        <v>လက်ဆောင်</v>
      </c>
      <c r="AO815" s="273" t="str">
        <f>Table4[[#This Row],[StockName]]</f>
        <v>ကောင်းကြည်-1Li</v>
      </c>
      <c r="AP815" s="268">
        <f>Table4[[#This Row],[Parking]]</f>
        <v>8.3333333333333329E-2</v>
      </c>
      <c r="AQ815" s="268">
        <f>Table4[[#This Row],[SalesBot]]</f>
        <v>1</v>
      </c>
      <c r="AR815" s="268">
        <f>Table4[[#This Row],[Liter]]</f>
        <v>1</v>
      </c>
    </row>
    <row r="816" spans="1:44" s="16" customFormat="1" hidden="1" x14ac:dyDescent="0.5">
      <c r="A816" s="3">
        <f>YEAR(C816)</f>
        <v>2026</v>
      </c>
      <c r="B816" s="8">
        <f>MONTH(C816)</f>
        <v>2</v>
      </c>
      <c r="C816" s="6">
        <v>46072</v>
      </c>
      <c r="D816" s="15">
        <f ca="1">TODAY()</f>
        <v>46097</v>
      </c>
      <c r="E816" s="15" t="str">
        <f ca="1">DATEDIF(C816,D816,"M")&amp;"-Months"</f>
        <v>0-Months</v>
      </c>
      <c r="F816" s="8" t="str">
        <f>VLOOKUP(N816,Stock[#Data],5,FALSE)</f>
        <v>BE</v>
      </c>
      <c r="G816" s="82" t="s">
        <v>1479</v>
      </c>
      <c r="H816" s="15" t="s">
        <v>439</v>
      </c>
      <c r="I816" s="7" t="s">
        <v>1384</v>
      </c>
      <c r="J816" s="8" t="str">
        <f>VLOOKUP(I816,Customers[#Data],2,FALSE)</f>
        <v>မာလာမြို်င</v>
      </c>
      <c r="K816" s="15" t="str">
        <f>VLOOKUP(I816,Customers[#Data],4,FALSE)</f>
        <v>Maw La Myaing</v>
      </c>
      <c r="L816" s="15" t="str">
        <f>VLOOKUP(I816,Customers[#Data],5,FALSE)</f>
        <v>Van Sales</v>
      </c>
      <c r="M816" s="7" t="s">
        <v>6</v>
      </c>
      <c r="N816" s="7" t="s">
        <v>508</v>
      </c>
      <c r="O816" s="14" t="str">
        <f>VLOOKUP(N816,Stock[#Data],2,FALSE)</f>
        <v>ကောင်းကြည်-1Li</v>
      </c>
      <c r="P816" s="44">
        <f>VLOOKUP(N816,Stock[#Data],3,FALSE)</f>
        <v>1</v>
      </c>
      <c r="Q816" s="3">
        <f>VLOOKUP(N816,Stock[#Data],4,FALSE)</f>
        <v>12</v>
      </c>
      <c r="R816" s="11">
        <v>1</v>
      </c>
      <c r="S816" s="45">
        <f>IFERROR(Table4[[#This Row],[Bottle]]/Table4[[#This Row],[ပါဝင်မှု]]+Table4[[#This Row],[SalesPK]],0)</f>
        <v>8.3333333333333329E-2</v>
      </c>
      <c r="T816" s="12"/>
      <c r="U816" s="10">
        <f>Table4[[#This Row],[ပါဝင်မှု]]*Table4[[#This Row],[SalesPK]]+Table4[[#This Row],[Bottle]]</f>
        <v>1</v>
      </c>
      <c r="V816" s="10">
        <f>Table4[[#This Row],[SalesBot]]*Table4[[#This Row],[ML]]</f>
        <v>1</v>
      </c>
      <c r="W816" s="1">
        <f>VLOOKUP(N816,Stock[#Data],6,FALSE)</f>
        <v>1850</v>
      </c>
      <c r="X816" s="8">
        <f>+Table4[[#This Row],[SalesBot]]*Table4[[#This Row],[နှုံး]]</f>
        <v>1850</v>
      </c>
      <c r="Y816" s="12"/>
      <c r="Z816" s="12"/>
      <c r="AA816" s="12"/>
      <c r="AB816" s="9"/>
      <c r="AC816" s="12"/>
      <c r="AD816" s="9"/>
      <c r="AE816" s="12"/>
      <c r="AF81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816" s="24"/>
      <c r="AH816" s="266">
        <f>Table4[[#This Row],[Date]]</f>
        <v>46072</v>
      </c>
      <c r="AI816" s="264" t="str">
        <f t="shared" si="154"/>
        <v>Feb</v>
      </c>
      <c r="AJ816" s="264" t="str">
        <f t="shared" si="155"/>
        <v>2026</v>
      </c>
      <c r="AK816" s="270" t="str">
        <f>Table4[[#This Row],[ကုန်သည်အမည်]]</f>
        <v>မာလာမြို်င</v>
      </c>
      <c r="AL816" s="270" t="str">
        <f>Table4[[#This Row],[Township]]</f>
        <v>Maw La Myaing</v>
      </c>
      <c r="AM816" s="271" t="str">
        <f>Table4[[#This Row],[WholeSales]]</f>
        <v>Van Sales</v>
      </c>
      <c r="AN816" s="272" t="str">
        <f>Table4[[#This Row],[Particular]]</f>
        <v>ကုန်ရောင်း(လက်ငင်း)</v>
      </c>
      <c r="AO816" s="273" t="str">
        <f>Table4[[#This Row],[StockName]]</f>
        <v>ကောင်းကြည်-1Li</v>
      </c>
      <c r="AP816" s="268">
        <f>Table4[[#This Row],[Parking]]</f>
        <v>8.3333333333333329E-2</v>
      </c>
      <c r="AQ816" s="268">
        <f>Table4[[#This Row],[SalesBot]]</f>
        <v>1</v>
      </c>
      <c r="AR816" s="268">
        <f>Table4[[#This Row],[Liter]]</f>
        <v>1</v>
      </c>
    </row>
    <row r="817" spans="1:44" s="16" customFormat="1" hidden="1" x14ac:dyDescent="0.5">
      <c r="A817" s="3">
        <f t="shared" si="150"/>
        <v>2026</v>
      </c>
      <c r="B817" s="8">
        <f t="shared" si="151"/>
        <v>2</v>
      </c>
      <c r="C817" s="6">
        <v>46072</v>
      </c>
      <c r="D817" s="15">
        <f t="shared" ca="1" si="152"/>
        <v>46097</v>
      </c>
      <c r="E817" s="15" t="str">
        <f t="shared" ca="1" si="153"/>
        <v>0-Months</v>
      </c>
      <c r="F817" s="8" t="str">
        <f>VLOOKUP(N817,Stock[#Data],5,FALSE)</f>
        <v>BE</v>
      </c>
      <c r="G817" s="82" t="s">
        <v>1480</v>
      </c>
      <c r="H817" s="15" t="s">
        <v>439</v>
      </c>
      <c r="I817" s="7">
        <v>155</v>
      </c>
      <c r="J817" s="8">
        <f>VLOOKUP(I817,Customers[#Data],2,FALSE)</f>
        <v>155</v>
      </c>
      <c r="K817" s="15" t="str">
        <f>VLOOKUP(I817,Customers[#Data],4,FALSE)</f>
        <v>Maw La Myaing</v>
      </c>
      <c r="L817" s="15" t="str">
        <f>VLOOKUP(I817,Customers[#Data],5,FALSE)</f>
        <v>Van Sales</v>
      </c>
      <c r="M817" s="7" t="s">
        <v>6</v>
      </c>
      <c r="N817" s="7" t="s">
        <v>522</v>
      </c>
      <c r="O817" s="14" t="str">
        <f>VLOOKUP(N817,Stock[#Data],2,FALSE)</f>
        <v>ဒဂုံမန်ကျည်း ကော်ဘူး (1 Liter)</v>
      </c>
      <c r="P817" s="44">
        <f>VLOOKUP(N817,Stock[#Data],3,FALSE)</f>
        <v>1</v>
      </c>
      <c r="Q817" s="3">
        <f>VLOOKUP(N817,Stock[#Data],4,FALSE)</f>
        <v>12</v>
      </c>
      <c r="R817" s="11"/>
      <c r="S817" s="45">
        <f>IFERROR(Table4[[#This Row],[Bottle]]/Table4[[#This Row],[ပါဝင်မှု]]+Table4[[#This Row],[SalesPK]],0)</f>
        <v>5</v>
      </c>
      <c r="T817" s="12">
        <v>5</v>
      </c>
      <c r="U817" s="10">
        <f>Table4[[#This Row],[ပါဝင်မှု]]*Table4[[#This Row],[SalesPK]]+Table4[[#This Row],[Bottle]]</f>
        <v>60</v>
      </c>
      <c r="V817" s="10">
        <f>Table4[[#This Row],[SalesBot]]*Table4[[#This Row],[ML]]</f>
        <v>60</v>
      </c>
      <c r="W817" s="1">
        <f>VLOOKUP(N817,Stock[#Data],6,FALSE)</f>
        <v>1600</v>
      </c>
      <c r="X817" s="8">
        <f>+Table4[[#This Row],[SalesBot]]*Table4[[#This Row],[နှုံး]]</f>
        <v>96000</v>
      </c>
      <c r="Y817" s="12"/>
      <c r="Z817" s="12"/>
      <c r="AA817" s="12"/>
      <c r="AB817" s="9"/>
      <c r="AC817" s="12"/>
      <c r="AD817" s="9"/>
      <c r="AE817" s="12"/>
      <c r="AF81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96000</v>
      </c>
      <c r="AG817" s="24"/>
      <c r="AH817" s="266">
        <f>Table4[[#This Row],[Date]]</f>
        <v>46072</v>
      </c>
      <c r="AI817" s="264" t="str">
        <f t="shared" si="154"/>
        <v>Feb</v>
      </c>
      <c r="AJ817" s="264" t="str">
        <f t="shared" si="155"/>
        <v>2026</v>
      </c>
      <c r="AK817" s="270">
        <f>Table4[[#This Row],[ကုန်သည်အမည်]]</f>
        <v>155</v>
      </c>
      <c r="AL817" s="270" t="str">
        <f>Table4[[#This Row],[Township]]</f>
        <v>Maw La Myaing</v>
      </c>
      <c r="AM817" s="271" t="str">
        <f>Table4[[#This Row],[WholeSales]]</f>
        <v>Van Sales</v>
      </c>
      <c r="AN817" s="272" t="str">
        <f>Table4[[#This Row],[Particular]]</f>
        <v>ကုန်ရောင်း(လက်ငင်း)</v>
      </c>
      <c r="AO817" s="273" t="str">
        <f>Table4[[#This Row],[StockName]]</f>
        <v>ဒဂုံမန်ကျည်း ကော်ဘူး (1 Liter)</v>
      </c>
      <c r="AP817" s="268">
        <f>Table4[[#This Row],[Parking]]</f>
        <v>5</v>
      </c>
      <c r="AQ817" s="268">
        <f>Table4[[#This Row],[SalesBot]]</f>
        <v>60</v>
      </c>
      <c r="AR817" s="268">
        <f>Table4[[#This Row],[Liter]]</f>
        <v>60</v>
      </c>
    </row>
    <row r="818" spans="1:44" s="16" customFormat="1" hidden="1" x14ac:dyDescent="0.5">
      <c r="A818" s="3">
        <f t="shared" si="150"/>
        <v>2026</v>
      </c>
      <c r="B818" s="8">
        <f t="shared" si="151"/>
        <v>2</v>
      </c>
      <c r="C818" s="6">
        <v>46072</v>
      </c>
      <c r="D818" s="15">
        <f t="shared" ca="1" si="152"/>
        <v>46097</v>
      </c>
      <c r="E818" s="15" t="str">
        <f t="shared" ca="1" si="153"/>
        <v>0-Months</v>
      </c>
      <c r="F818" s="8" t="str">
        <f>VLOOKUP(N818,Stock[#Data],5,FALSE)</f>
        <v>BE</v>
      </c>
      <c r="G818" s="82" t="s">
        <v>1480</v>
      </c>
      <c r="H818" s="15"/>
      <c r="I818" s="7">
        <v>155</v>
      </c>
      <c r="J818" s="8">
        <f>VLOOKUP(I818,Customers[#Data],2,FALSE)</f>
        <v>155</v>
      </c>
      <c r="K818" s="15" t="str">
        <f>VLOOKUP(I818,Customers[#Data],4,FALSE)</f>
        <v>Maw La Myaing</v>
      </c>
      <c r="L818" s="15" t="str">
        <f>VLOOKUP(I818,Customers[#Data],5,FALSE)</f>
        <v>Van Sales</v>
      </c>
      <c r="M818" s="7" t="s">
        <v>9</v>
      </c>
      <c r="N818" s="7" t="s">
        <v>522</v>
      </c>
      <c r="O818" s="14" t="str">
        <f>VLOOKUP(N818,Stock[#Data],2,FALSE)</f>
        <v>ဒဂုံမန်ကျည်း ကော်ဘူး (1 Liter)</v>
      </c>
      <c r="P818" s="44">
        <f>VLOOKUP(N818,Stock[#Data],3,FALSE)</f>
        <v>1</v>
      </c>
      <c r="Q818" s="3">
        <f>VLOOKUP(N818,Stock[#Data],4,FALSE)</f>
        <v>12</v>
      </c>
      <c r="R818" s="11">
        <v>3</v>
      </c>
      <c r="S818" s="45">
        <f>IFERROR(Table4[[#This Row],[Bottle]]/Table4[[#This Row],[ပါဝင်မှု]]+Table4[[#This Row],[SalesPK]],0)</f>
        <v>0.25</v>
      </c>
      <c r="T818" s="12"/>
      <c r="U818" s="10">
        <f>Table4[[#This Row],[ပါဝင်မှု]]*Table4[[#This Row],[SalesPK]]+Table4[[#This Row],[Bottle]]</f>
        <v>3</v>
      </c>
      <c r="V818" s="10">
        <f>Table4[[#This Row],[SalesBot]]*Table4[[#This Row],[ML]]</f>
        <v>3</v>
      </c>
      <c r="W818" s="1">
        <f>VLOOKUP(N818,Stock[#Data],6,FALSE)</f>
        <v>1600</v>
      </c>
      <c r="X818" s="8">
        <f>+Table4[[#This Row],[SalesBot]]*Table4[[#This Row],[နှုံး]]</f>
        <v>4800</v>
      </c>
      <c r="Y818" s="12"/>
      <c r="Z818" s="12"/>
      <c r="AA818" s="12"/>
      <c r="AB818" s="9"/>
      <c r="AC818" s="12"/>
      <c r="AD818" s="9"/>
      <c r="AE818" s="12"/>
      <c r="AF81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4800</v>
      </c>
      <c r="AG818" s="24"/>
      <c r="AH818" s="266">
        <f>Table4[[#This Row],[Date]]</f>
        <v>46072</v>
      </c>
      <c r="AI818" s="264" t="str">
        <f t="shared" si="154"/>
        <v>Feb</v>
      </c>
      <c r="AJ818" s="264" t="str">
        <f t="shared" si="155"/>
        <v>2026</v>
      </c>
      <c r="AK818" s="270">
        <f>Table4[[#This Row],[ကုန်သည်အမည်]]</f>
        <v>155</v>
      </c>
      <c r="AL818" s="270" t="str">
        <f>Table4[[#This Row],[Township]]</f>
        <v>Maw La Myaing</v>
      </c>
      <c r="AM818" s="271" t="str">
        <f>Table4[[#This Row],[WholeSales]]</f>
        <v>Van Sales</v>
      </c>
      <c r="AN818" s="272" t="str">
        <f>Table4[[#This Row],[Particular]]</f>
        <v>လက်ဆောင်</v>
      </c>
      <c r="AO818" s="273" t="str">
        <f>Table4[[#This Row],[StockName]]</f>
        <v>ဒဂုံမန်ကျည်း ကော်ဘူး (1 Liter)</v>
      </c>
      <c r="AP818" s="268">
        <f>Table4[[#This Row],[Parking]]</f>
        <v>0.25</v>
      </c>
      <c r="AQ818" s="268">
        <f>Table4[[#This Row],[SalesBot]]</f>
        <v>3</v>
      </c>
      <c r="AR818" s="268">
        <f>Table4[[#This Row],[Liter]]</f>
        <v>3</v>
      </c>
    </row>
    <row r="819" spans="1:44" s="16" customFormat="1" hidden="1" x14ac:dyDescent="0.5">
      <c r="A819" s="3">
        <f t="shared" si="150"/>
        <v>2026</v>
      </c>
      <c r="B819" s="8">
        <f t="shared" si="151"/>
        <v>2</v>
      </c>
      <c r="C819" s="6">
        <v>46072</v>
      </c>
      <c r="D819" s="15">
        <f t="shared" ca="1" si="152"/>
        <v>46097</v>
      </c>
      <c r="E819" s="15" t="str">
        <f t="shared" ca="1" si="153"/>
        <v>0-Months</v>
      </c>
      <c r="F819" s="8" t="str">
        <f>VLOOKUP(N819,Stock[#Data],5,FALSE)</f>
        <v>BE</v>
      </c>
      <c r="G819" s="82" t="s">
        <v>1481</v>
      </c>
      <c r="H819" s="15"/>
      <c r="I819" s="7" t="s">
        <v>296</v>
      </c>
      <c r="J819" s="8" t="str">
        <f>VLOOKUP(I819,Customers[#Data],2,FALSE)</f>
        <v>A1</v>
      </c>
      <c r="K819" s="15" t="str">
        <f>VLOOKUP(I819,Customers[#Data],4,FALSE)</f>
        <v>Maw La Myaing</v>
      </c>
      <c r="L819" s="15" t="str">
        <f>VLOOKUP(I819,Customers[#Data],5,FALSE)</f>
        <v>SemiWholeSales</v>
      </c>
      <c r="M819" s="7" t="s">
        <v>9</v>
      </c>
      <c r="N819" s="7" t="s">
        <v>522</v>
      </c>
      <c r="O819" s="14" t="str">
        <f>VLOOKUP(N819,Stock[#Data],2,FALSE)</f>
        <v>ဒဂုံမန်ကျည်း ကော်ဘူး (1 Liter)</v>
      </c>
      <c r="P819" s="44">
        <f>VLOOKUP(N819,Stock[#Data],3,FALSE)</f>
        <v>1</v>
      </c>
      <c r="Q819" s="3">
        <f>VLOOKUP(N819,Stock[#Data],4,FALSE)</f>
        <v>12</v>
      </c>
      <c r="R819" s="11">
        <v>1</v>
      </c>
      <c r="S819" s="45">
        <f>IFERROR(Table4[[#This Row],[Bottle]]/Table4[[#This Row],[ပါဝင်မှု]]+Table4[[#This Row],[SalesPK]],0)</f>
        <v>8.3333333333333329E-2</v>
      </c>
      <c r="T819" s="12"/>
      <c r="U819" s="10">
        <f>Table4[[#This Row],[ပါဝင်မှု]]*Table4[[#This Row],[SalesPK]]+Table4[[#This Row],[Bottle]]</f>
        <v>1</v>
      </c>
      <c r="V819" s="10">
        <f>Table4[[#This Row],[SalesBot]]*Table4[[#This Row],[ML]]</f>
        <v>1</v>
      </c>
      <c r="W819" s="1">
        <f>VLOOKUP(N819,Stock[#Data],6,FALSE)</f>
        <v>1600</v>
      </c>
      <c r="X819" s="8">
        <f>+Table4[[#This Row],[SalesBot]]*Table4[[#This Row],[နှုံး]]</f>
        <v>1600</v>
      </c>
      <c r="Y819" s="12"/>
      <c r="Z819" s="12"/>
      <c r="AA819" s="12"/>
      <c r="AB819" s="9"/>
      <c r="AC819" s="12"/>
      <c r="AD819" s="9"/>
      <c r="AE819" s="12"/>
      <c r="AF81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819" s="24"/>
      <c r="AH819" s="266">
        <f>Table4[[#This Row],[Date]]</f>
        <v>46072</v>
      </c>
      <c r="AI819" s="264" t="str">
        <f t="shared" si="154"/>
        <v>Feb</v>
      </c>
      <c r="AJ819" s="264" t="str">
        <f t="shared" si="155"/>
        <v>2026</v>
      </c>
      <c r="AK819" s="270" t="str">
        <f>Table4[[#This Row],[ကုန်သည်အမည်]]</f>
        <v>A1</v>
      </c>
      <c r="AL819" s="270" t="str">
        <f>Table4[[#This Row],[Township]]</f>
        <v>Maw La Myaing</v>
      </c>
      <c r="AM819" s="271" t="str">
        <f>Table4[[#This Row],[WholeSales]]</f>
        <v>SemiWholeSales</v>
      </c>
      <c r="AN819" s="272" t="str">
        <f>Table4[[#This Row],[Particular]]</f>
        <v>လက်ဆောင်</v>
      </c>
      <c r="AO819" s="273" t="str">
        <f>Table4[[#This Row],[StockName]]</f>
        <v>ဒဂုံမန်ကျည်း ကော်ဘူး (1 Liter)</v>
      </c>
      <c r="AP819" s="268">
        <f>Table4[[#This Row],[Parking]]</f>
        <v>8.3333333333333329E-2</v>
      </c>
      <c r="AQ819" s="268">
        <f>Table4[[#This Row],[SalesBot]]</f>
        <v>1</v>
      </c>
      <c r="AR819" s="268">
        <f>Table4[[#This Row],[Liter]]</f>
        <v>1</v>
      </c>
    </row>
    <row r="820" spans="1:44" s="16" customFormat="1" hidden="1" x14ac:dyDescent="0.5">
      <c r="A820" s="3">
        <f t="shared" ref="A820:A861" si="156">YEAR(C820)</f>
        <v>2026</v>
      </c>
      <c r="B820" s="8">
        <f t="shared" ref="B820:B861" si="157">MONTH(C820)</f>
        <v>2</v>
      </c>
      <c r="C820" s="6">
        <v>46072</v>
      </c>
      <c r="D820" s="15">
        <f t="shared" ref="D820:D861" ca="1" si="158">TODAY()</f>
        <v>46097</v>
      </c>
      <c r="E820" s="15" t="str">
        <f t="shared" ref="E820:E861" ca="1" si="159">DATEDIF(C820,D820,"M")&amp;"-Months"</f>
        <v>0-Months</v>
      </c>
      <c r="F820" s="8" t="str">
        <f>VLOOKUP(N820,Stock[#Data],5,FALSE)</f>
        <v>BE</v>
      </c>
      <c r="G820" s="82" t="s">
        <v>1481</v>
      </c>
      <c r="H820" s="15"/>
      <c r="I820" s="7" t="s">
        <v>296</v>
      </c>
      <c r="J820" s="8" t="str">
        <f>VLOOKUP(I820,Customers[#Data],2,FALSE)</f>
        <v>A1</v>
      </c>
      <c r="K820" s="15" t="str">
        <f>VLOOKUP(I820,Customers[#Data],4,FALSE)</f>
        <v>Maw La Myaing</v>
      </c>
      <c r="L820" s="15" t="str">
        <f>VLOOKUP(I820,Customers[#Data],5,FALSE)</f>
        <v>SemiWholeSales</v>
      </c>
      <c r="M820" s="7" t="s">
        <v>9</v>
      </c>
      <c r="N820" s="7" t="s">
        <v>425</v>
      </c>
      <c r="O820" s="14" t="str">
        <f>VLOOKUP(N820,Stock[#Data],2,FALSE)</f>
        <v>ကောင်းကြည်-1Li</v>
      </c>
      <c r="P820" s="44">
        <f>VLOOKUP(N820,Stock[#Data],3,FALSE)</f>
        <v>1</v>
      </c>
      <c r="Q820" s="3">
        <f>VLOOKUP(N820,Stock[#Data],4,FALSE)</f>
        <v>12</v>
      </c>
      <c r="R820" s="11">
        <v>1</v>
      </c>
      <c r="S820" s="45">
        <f>IFERROR(Table4[[#This Row],[Bottle]]/Table4[[#This Row],[ပါဝင်မှု]]+Table4[[#This Row],[SalesPK]],0)</f>
        <v>8.3333333333333329E-2</v>
      </c>
      <c r="T820" s="12"/>
      <c r="U820" s="10">
        <f>Table4[[#This Row],[ပါဝင်မှု]]*Table4[[#This Row],[SalesPK]]+Table4[[#This Row],[Bottle]]</f>
        <v>1</v>
      </c>
      <c r="V820" s="10">
        <f>Table4[[#This Row],[SalesBot]]*Table4[[#This Row],[ML]]</f>
        <v>1</v>
      </c>
      <c r="W820" s="1">
        <f>VLOOKUP(N820,Stock[#Data],6,FALSE)</f>
        <v>1500</v>
      </c>
      <c r="X820" s="8">
        <f>+Table4[[#This Row],[SalesBot]]*Table4[[#This Row],[နှုံး]]</f>
        <v>1500</v>
      </c>
      <c r="Y820" s="12"/>
      <c r="Z820" s="12"/>
      <c r="AA820" s="12"/>
      <c r="AB820" s="9"/>
      <c r="AC820" s="12"/>
      <c r="AD820" s="9"/>
      <c r="AE820" s="12"/>
      <c r="AF82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820" s="24"/>
      <c r="AH820" s="266">
        <f>Table4[[#This Row],[Date]]</f>
        <v>46072</v>
      </c>
      <c r="AI820" s="264" t="str">
        <f t="shared" si="154"/>
        <v>Feb</v>
      </c>
      <c r="AJ820" s="264" t="str">
        <f t="shared" si="155"/>
        <v>2026</v>
      </c>
      <c r="AK820" s="270" t="str">
        <f>Table4[[#This Row],[ကုန်သည်အမည်]]</f>
        <v>A1</v>
      </c>
      <c r="AL820" s="270" t="str">
        <f>Table4[[#This Row],[Township]]</f>
        <v>Maw La Myaing</v>
      </c>
      <c r="AM820" s="271" t="str">
        <f>Table4[[#This Row],[WholeSales]]</f>
        <v>SemiWholeSales</v>
      </c>
      <c r="AN820" s="272" t="str">
        <f>Table4[[#This Row],[Particular]]</f>
        <v>လက်ဆောင်</v>
      </c>
      <c r="AO820" s="273" t="str">
        <f>Table4[[#This Row],[StockName]]</f>
        <v>ကောင်းကြည်-1Li</v>
      </c>
      <c r="AP820" s="268">
        <f>Table4[[#This Row],[Parking]]</f>
        <v>8.3333333333333329E-2</v>
      </c>
      <c r="AQ820" s="268">
        <f>Table4[[#This Row],[SalesBot]]</f>
        <v>1</v>
      </c>
      <c r="AR820" s="268">
        <f>Table4[[#This Row],[Liter]]</f>
        <v>1</v>
      </c>
    </row>
    <row r="821" spans="1:44" s="16" customFormat="1" hidden="1" x14ac:dyDescent="0.5">
      <c r="A821" s="3">
        <f t="shared" si="156"/>
        <v>2026</v>
      </c>
      <c r="B821" s="8">
        <f t="shared" si="157"/>
        <v>2</v>
      </c>
      <c r="C821" s="6">
        <v>46072</v>
      </c>
      <c r="D821" s="15">
        <f t="shared" ca="1" si="158"/>
        <v>46097</v>
      </c>
      <c r="E821" s="15" t="str">
        <f t="shared" ca="1" si="159"/>
        <v>0-Months</v>
      </c>
      <c r="F821" s="8" t="str">
        <f>VLOOKUP(N821,Stock[#Data],5,FALSE)</f>
        <v>BE</v>
      </c>
      <c r="G821" s="82" t="s">
        <v>1481</v>
      </c>
      <c r="H821" s="15"/>
      <c r="I821" s="7" t="s">
        <v>296</v>
      </c>
      <c r="J821" s="8" t="str">
        <f>VLOOKUP(I821,Customers[#Data],2,FALSE)</f>
        <v>A1</v>
      </c>
      <c r="K821" s="15" t="str">
        <f>VLOOKUP(I821,Customers[#Data],4,FALSE)</f>
        <v>Maw La Myaing</v>
      </c>
      <c r="L821" s="15" t="str">
        <f>VLOOKUP(I821,Customers[#Data],5,FALSE)</f>
        <v>SemiWholeSales</v>
      </c>
      <c r="M821" s="7" t="s">
        <v>9</v>
      </c>
      <c r="N821" s="7" t="s">
        <v>508</v>
      </c>
      <c r="O821" s="14" t="str">
        <f>VLOOKUP(N821,Stock[#Data],2,FALSE)</f>
        <v>ကောင်းကြည်-1Li</v>
      </c>
      <c r="P821" s="44">
        <f>VLOOKUP(N821,Stock[#Data],3,FALSE)</f>
        <v>1</v>
      </c>
      <c r="Q821" s="3">
        <f>VLOOKUP(N821,Stock[#Data],4,FALSE)</f>
        <v>12</v>
      </c>
      <c r="R821" s="11">
        <v>1</v>
      </c>
      <c r="S821" s="45">
        <f>IFERROR(Table4[[#This Row],[Bottle]]/Table4[[#This Row],[ပါဝင်မှု]]+Table4[[#This Row],[SalesPK]],0)</f>
        <v>8.3333333333333329E-2</v>
      </c>
      <c r="T821" s="12"/>
      <c r="U821" s="10">
        <f>Table4[[#This Row],[ပါဝင်မှု]]*Table4[[#This Row],[SalesPK]]+Table4[[#This Row],[Bottle]]</f>
        <v>1</v>
      </c>
      <c r="V821" s="10">
        <f>Table4[[#This Row],[SalesBot]]*Table4[[#This Row],[ML]]</f>
        <v>1</v>
      </c>
      <c r="W821" s="1">
        <f>VLOOKUP(N821,Stock[#Data],6,FALSE)</f>
        <v>1850</v>
      </c>
      <c r="X821" s="8">
        <f>+Table4[[#This Row],[SalesBot]]*Table4[[#This Row],[နှုံး]]</f>
        <v>1850</v>
      </c>
      <c r="Y821" s="12"/>
      <c r="Z821" s="12"/>
      <c r="AA821" s="12"/>
      <c r="AB821" s="9"/>
      <c r="AC821" s="12"/>
      <c r="AD821" s="9"/>
      <c r="AE821" s="12"/>
      <c r="AF82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821" s="24"/>
      <c r="AH821" s="266">
        <f>Table4[[#This Row],[Date]]</f>
        <v>46072</v>
      </c>
      <c r="AI821" s="264" t="str">
        <f t="shared" si="154"/>
        <v>Feb</v>
      </c>
      <c r="AJ821" s="264" t="str">
        <f t="shared" si="155"/>
        <v>2026</v>
      </c>
      <c r="AK821" s="270" t="str">
        <f>Table4[[#This Row],[ကုန်သည်အမည်]]</f>
        <v>A1</v>
      </c>
      <c r="AL821" s="270" t="str">
        <f>Table4[[#This Row],[Township]]</f>
        <v>Maw La Myaing</v>
      </c>
      <c r="AM821" s="271" t="str">
        <f>Table4[[#This Row],[WholeSales]]</f>
        <v>SemiWholeSales</v>
      </c>
      <c r="AN821" s="272" t="str">
        <f>Table4[[#This Row],[Particular]]</f>
        <v>လက်ဆောင်</v>
      </c>
      <c r="AO821" s="273" t="str">
        <f>Table4[[#This Row],[StockName]]</f>
        <v>ကောင်းကြည်-1Li</v>
      </c>
      <c r="AP821" s="268">
        <f>Table4[[#This Row],[Parking]]</f>
        <v>8.3333333333333329E-2</v>
      </c>
      <c r="AQ821" s="268">
        <f>Table4[[#This Row],[SalesBot]]</f>
        <v>1</v>
      </c>
      <c r="AR821" s="268">
        <f>Table4[[#This Row],[Liter]]</f>
        <v>1</v>
      </c>
    </row>
    <row r="822" spans="1:44" s="16" customFormat="1" hidden="1" x14ac:dyDescent="0.5">
      <c r="A822" s="3">
        <f t="shared" si="156"/>
        <v>2026</v>
      </c>
      <c r="B822" s="8">
        <f t="shared" si="157"/>
        <v>2</v>
      </c>
      <c r="C822" s="6">
        <v>46072</v>
      </c>
      <c r="D822" s="15">
        <f t="shared" ca="1" si="158"/>
        <v>46097</v>
      </c>
      <c r="E822" s="15" t="str">
        <f t="shared" ca="1" si="159"/>
        <v>0-Months</v>
      </c>
      <c r="F822" s="8" t="str">
        <f>VLOOKUP(N822,Stock[#Data],5,FALSE)</f>
        <v>BE</v>
      </c>
      <c r="G822" s="82" t="s">
        <v>1482</v>
      </c>
      <c r="H822" s="15"/>
      <c r="I822" s="7" t="s">
        <v>553</v>
      </c>
      <c r="J822" s="8" t="str">
        <f>VLOOKUP(I822,Customers[#Data],2,FALSE)</f>
        <v>ကိုမောင်ဦး</v>
      </c>
      <c r="K822" s="15" t="str">
        <f>VLOOKUP(I822,Customers[#Data],4,FALSE)</f>
        <v>Maw La Myaing</v>
      </c>
      <c r="L822" s="15" t="str">
        <f>VLOOKUP(I822,Customers[#Data],5,FALSE)</f>
        <v>Mini Whole Sales</v>
      </c>
      <c r="M822" s="7" t="s">
        <v>6</v>
      </c>
      <c r="N822" s="7" t="s">
        <v>516</v>
      </c>
      <c r="O822" s="14" t="str">
        <f>VLOOKUP(N822,Stock[#Data],2,FALSE)</f>
        <v>ဇေ Vodka</v>
      </c>
      <c r="P822" s="44">
        <f>VLOOKUP(N822,Stock[#Data],3,FALSE)</f>
        <v>0.64</v>
      </c>
      <c r="Q822" s="3">
        <f>VLOOKUP(N822,Stock[#Data],4,FALSE)</f>
        <v>14</v>
      </c>
      <c r="R822" s="11"/>
      <c r="S822" s="45">
        <f>IFERROR(Table4[[#This Row],[Bottle]]/Table4[[#This Row],[ပါဝင်မှု]]+Table4[[#This Row],[SalesPK]],0)</f>
        <v>10</v>
      </c>
      <c r="T822" s="12">
        <v>10</v>
      </c>
      <c r="U822" s="10">
        <f>Table4[[#This Row],[ပါဝင်မှု]]*Table4[[#This Row],[SalesPK]]+Table4[[#This Row],[Bottle]]</f>
        <v>140</v>
      </c>
      <c r="V822" s="10">
        <f>Table4[[#This Row],[SalesBot]]*Table4[[#This Row],[ML]]</f>
        <v>89.600000000000009</v>
      </c>
      <c r="W822" s="1">
        <f>VLOOKUP(N822,Stock[#Data],6,FALSE)</f>
        <v>1400</v>
      </c>
      <c r="X822" s="8">
        <f>+Table4[[#This Row],[SalesBot]]*Table4[[#This Row],[နှုံး]]</f>
        <v>196000</v>
      </c>
      <c r="Y822" s="12"/>
      <c r="Z822" s="12"/>
      <c r="AA822" s="12"/>
      <c r="AB822" s="9"/>
      <c r="AC822" s="12"/>
      <c r="AD822" s="9"/>
      <c r="AE822" s="12"/>
      <c r="AF82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822" s="24"/>
      <c r="AH822" s="266">
        <f>Table4[[#This Row],[Date]]</f>
        <v>46072</v>
      </c>
      <c r="AI822" s="264" t="str">
        <f t="shared" si="154"/>
        <v>Feb</v>
      </c>
      <c r="AJ822" s="264" t="str">
        <f t="shared" si="155"/>
        <v>2026</v>
      </c>
      <c r="AK822" s="270" t="str">
        <f>Table4[[#This Row],[ကုန်သည်အမည်]]</f>
        <v>ကိုမောင်ဦး</v>
      </c>
      <c r="AL822" s="270" t="str">
        <f>Table4[[#This Row],[Township]]</f>
        <v>Maw La Myaing</v>
      </c>
      <c r="AM822" s="271" t="str">
        <f>Table4[[#This Row],[WholeSales]]</f>
        <v>Mini Whole Sales</v>
      </c>
      <c r="AN822" s="272" t="str">
        <f>Table4[[#This Row],[Particular]]</f>
        <v>ကုန်ရောင်း(လက်ငင်း)</v>
      </c>
      <c r="AO822" s="273" t="str">
        <f>Table4[[#This Row],[StockName]]</f>
        <v>ဇေ Vodka</v>
      </c>
      <c r="AP822" s="268">
        <f>Table4[[#This Row],[Parking]]</f>
        <v>10</v>
      </c>
      <c r="AQ822" s="268">
        <f>Table4[[#This Row],[SalesBot]]</f>
        <v>140</v>
      </c>
      <c r="AR822" s="268">
        <f>Table4[[#This Row],[Liter]]</f>
        <v>89.600000000000009</v>
      </c>
    </row>
    <row r="823" spans="1:44" s="16" customFormat="1" hidden="1" x14ac:dyDescent="0.5">
      <c r="A823" s="3">
        <f t="shared" si="156"/>
        <v>2026</v>
      </c>
      <c r="B823" s="8">
        <f t="shared" si="157"/>
        <v>2</v>
      </c>
      <c r="C823" s="6">
        <v>46072</v>
      </c>
      <c r="D823" s="15">
        <f t="shared" ca="1" si="158"/>
        <v>46097</v>
      </c>
      <c r="E823" s="15" t="str">
        <f t="shared" ca="1" si="159"/>
        <v>0-Months</v>
      </c>
      <c r="F823" s="8" t="str">
        <f>VLOOKUP(N823,Stock[#Data],5,FALSE)</f>
        <v>BE</v>
      </c>
      <c r="G823" s="82" t="s">
        <v>1483</v>
      </c>
      <c r="H823" s="15"/>
      <c r="I823" s="7" t="s">
        <v>106</v>
      </c>
      <c r="J823" s="8" t="str">
        <f>VLOOKUP(I823,Customers[#Data],2,FALSE)</f>
        <v>ကိုမျိုးအောင်</v>
      </c>
      <c r="K823" s="15" t="str">
        <f>VLOOKUP(I823,Customers[#Data],4,FALSE)</f>
        <v>Maw La Myaing</v>
      </c>
      <c r="L823" s="15" t="str">
        <f>VLOOKUP(I823,Customers[#Data],5,FALSE)</f>
        <v>WholeSales</v>
      </c>
      <c r="M823" s="7" t="s">
        <v>6</v>
      </c>
      <c r="N823" s="7" t="s">
        <v>516</v>
      </c>
      <c r="O823" s="14" t="str">
        <f>VLOOKUP(N823,Stock[#Data],2,FALSE)</f>
        <v>ဇေ Vodka</v>
      </c>
      <c r="P823" s="44">
        <f>VLOOKUP(N823,Stock[#Data],3,FALSE)</f>
        <v>0.64</v>
      </c>
      <c r="Q823" s="3">
        <f>VLOOKUP(N823,Stock[#Data],4,FALSE)</f>
        <v>14</v>
      </c>
      <c r="R823" s="11"/>
      <c r="S823" s="45">
        <f>IFERROR(Table4[[#This Row],[Bottle]]/Table4[[#This Row],[ပါဝင်မှု]]+Table4[[#This Row],[SalesPK]],0)</f>
        <v>30</v>
      </c>
      <c r="T823" s="12">
        <v>30</v>
      </c>
      <c r="U823" s="10">
        <f>Table4[[#This Row],[ပါဝင်မှု]]*Table4[[#This Row],[SalesPK]]+Table4[[#This Row],[Bottle]]</f>
        <v>420</v>
      </c>
      <c r="V823" s="10">
        <f>Table4[[#This Row],[SalesBot]]*Table4[[#This Row],[ML]]</f>
        <v>268.8</v>
      </c>
      <c r="W823" s="1">
        <f>VLOOKUP(N823,Stock[#Data],6,FALSE)</f>
        <v>1400</v>
      </c>
      <c r="X823" s="8">
        <f>+Table4[[#This Row],[SalesBot]]*Table4[[#This Row],[နှုံး]]</f>
        <v>588000</v>
      </c>
      <c r="Y823" s="12"/>
      <c r="Z823" s="12"/>
      <c r="AA823" s="12"/>
      <c r="AB823" s="9"/>
      <c r="AC823" s="12"/>
      <c r="AD823" s="9"/>
      <c r="AE823" s="12"/>
      <c r="AF82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588000</v>
      </c>
      <c r="AG823" s="24"/>
      <c r="AH823" s="266">
        <f>Table4[[#This Row],[Date]]</f>
        <v>46072</v>
      </c>
      <c r="AI823" s="264" t="str">
        <f t="shared" si="154"/>
        <v>Feb</v>
      </c>
      <c r="AJ823" s="264" t="str">
        <f t="shared" si="155"/>
        <v>2026</v>
      </c>
      <c r="AK823" s="270" t="str">
        <f>Table4[[#This Row],[ကုန်သည်အမည်]]</f>
        <v>ကိုမျိုးအောင်</v>
      </c>
      <c r="AL823" s="270" t="str">
        <f>Table4[[#This Row],[Township]]</f>
        <v>Maw La Myaing</v>
      </c>
      <c r="AM823" s="271" t="str">
        <f>Table4[[#This Row],[WholeSales]]</f>
        <v>WholeSales</v>
      </c>
      <c r="AN823" s="272" t="str">
        <f>Table4[[#This Row],[Particular]]</f>
        <v>ကုန်ရောင်း(လက်ငင်း)</v>
      </c>
      <c r="AO823" s="273" t="str">
        <f>Table4[[#This Row],[StockName]]</f>
        <v>ဇေ Vodka</v>
      </c>
      <c r="AP823" s="268">
        <f>Table4[[#This Row],[Parking]]</f>
        <v>30</v>
      </c>
      <c r="AQ823" s="268">
        <f>Table4[[#This Row],[SalesBot]]</f>
        <v>420</v>
      </c>
      <c r="AR823" s="268">
        <f>Table4[[#This Row],[Liter]]</f>
        <v>268.8</v>
      </c>
    </row>
    <row r="824" spans="1:44" s="16" customFormat="1" hidden="1" x14ac:dyDescent="0.5">
      <c r="A824" s="3">
        <f t="shared" si="156"/>
        <v>2026</v>
      </c>
      <c r="B824" s="8">
        <f t="shared" si="157"/>
        <v>2</v>
      </c>
      <c r="C824" s="6">
        <v>46072</v>
      </c>
      <c r="D824" s="15">
        <f t="shared" ca="1" si="158"/>
        <v>46097</v>
      </c>
      <c r="E824" s="15" t="str">
        <f t="shared" ca="1" si="159"/>
        <v>0-Months</v>
      </c>
      <c r="F824" s="8" t="str">
        <f>VLOOKUP(N824,Stock[#Data],5,FALSE)</f>
        <v>BE</v>
      </c>
      <c r="G824" s="82" t="s">
        <v>1483</v>
      </c>
      <c r="H824" s="15"/>
      <c r="I824" s="7" t="s">
        <v>106</v>
      </c>
      <c r="J824" s="8" t="str">
        <f>VLOOKUP(I824,Customers[#Data],2,FALSE)</f>
        <v>ကိုမျိုးအောင်</v>
      </c>
      <c r="K824" s="15" t="str">
        <f>VLOOKUP(I824,Customers[#Data],4,FALSE)</f>
        <v>Maw La Myaing</v>
      </c>
      <c r="L824" s="15" t="str">
        <f>VLOOKUP(I824,Customers[#Data],5,FALSE)</f>
        <v>WholeSales</v>
      </c>
      <c r="M824" s="7" t="s">
        <v>6</v>
      </c>
      <c r="N824" s="7" t="s">
        <v>519</v>
      </c>
      <c r="O824" s="14" t="str">
        <f>VLOOKUP(N824,Stock[#Data],2,FALSE)</f>
        <v>ဇေယျဝတီ High 43%</v>
      </c>
      <c r="P824" s="44">
        <f>VLOOKUP(N824,Stock[#Data],3,FALSE)</f>
        <v>0.64</v>
      </c>
      <c r="Q824" s="3">
        <f>VLOOKUP(N824,Stock[#Data],4,FALSE)</f>
        <v>14</v>
      </c>
      <c r="R824" s="11"/>
      <c r="S824" s="45">
        <f>IFERROR(Table4[[#This Row],[Bottle]]/Table4[[#This Row],[ပါဝင်မှု]]+Table4[[#This Row],[SalesPK]],0)</f>
        <v>20</v>
      </c>
      <c r="T824" s="12">
        <v>20</v>
      </c>
      <c r="U824" s="10">
        <f>Table4[[#This Row],[ပါဝင်မှု]]*Table4[[#This Row],[SalesPK]]+Table4[[#This Row],[Bottle]]</f>
        <v>280</v>
      </c>
      <c r="V824" s="10">
        <f>Table4[[#This Row],[SalesBot]]*Table4[[#This Row],[ML]]</f>
        <v>179.20000000000002</v>
      </c>
      <c r="W824" s="1">
        <f>VLOOKUP(N824,Stock[#Data],6,FALSE)</f>
        <v>1500</v>
      </c>
      <c r="X824" s="8">
        <f>+Table4[[#This Row],[SalesBot]]*Table4[[#This Row],[နှုံး]]</f>
        <v>420000</v>
      </c>
      <c r="Y824" s="12"/>
      <c r="Z824" s="12"/>
      <c r="AA824" s="12"/>
      <c r="AB824" s="9"/>
      <c r="AC824" s="12"/>
      <c r="AD824" s="9"/>
      <c r="AE824" s="12"/>
      <c r="AF82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420000</v>
      </c>
      <c r="AG824" s="24"/>
      <c r="AH824" s="266">
        <f>Table4[[#This Row],[Date]]</f>
        <v>46072</v>
      </c>
      <c r="AI824" s="264" t="str">
        <f t="shared" si="154"/>
        <v>Feb</v>
      </c>
      <c r="AJ824" s="264" t="str">
        <f t="shared" si="155"/>
        <v>2026</v>
      </c>
      <c r="AK824" s="270" t="str">
        <f>Table4[[#This Row],[ကုန်သည်အမည်]]</f>
        <v>ကိုမျိုးအောင်</v>
      </c>
      <c r="AL824" s="270" t="str">
        <f>Table4[[#This Row],[Township]]</f>
        <v>Maw La Myaing</v>
      </c>
      <c r="AM824" s="271" t="str">
        <f>Table4[[#This Row],[WholeSales]]</f>
        <v>WholeSales</v>
      </c>
      <c r="AN824" s="272" t="str">
        <f>Table4[[#This Row],[Particular]]</f>
        <v>ကုန်ရောင်း(လက်ငင်း)</v>
      </c>
      <c r="AO824" s="273" t="str">
        <f>Table4[[#This Row],[StockName]]</f>
        <v>ဇေယျဝတီ High 43%</v>
      </c>
      <c r="AP824" s="268">
        <f>Table4[[#This Row],[Parking]]</f>
        <v>20</v>
      </c>
      <c r="AQ824" s="268">
        <f>Table4[[#This Row],[SalesBot]]</f>
        <v>280</v>
      </c>
      <c r="AR824" s="268">
        <f>Table4[[#This Row],[Liter]]</f>
        <v>179.20000000000002</v>
      </c>
    </row>
    <row r="825" spans="1:44" s="16" customFormat="1" hidden="1" x14ac:dyDescent="0.5">
      <c r="A825" s="3">
        <f t="shared" si="156"/>
        <v>2026</v>
      </c>
      <c r="B825" s="8">
        <f t="shared" si="157"/>
        <v>2</v>
      </c>
      <c r="C825" s="6">
        <v>46072</v>
      </c>
      <c r="D825" s="15">
        <f t="shared" ca="1" si="158"/>
        <v>46097</v>
      </c>
      <c r="E825" s="15" t="str">
        <f t="shared" ca="1" si="159"/>
        <v>0-Months</v>
      </c>
      <c r="F825" s="8" t="str">
        <f>VLOOKUP(N825,Stock[#Data],5,FALSE)</f>
        <v>BE</v>
      </c>
      <c r="G825" s="82" t="s">
        <v>1484</v>
      </c>
      <c r="H825" s="15"/>
      <c r="I825" s="7" t="s">
        <v>108</v>
      </c>
      <c r="J825" s="8" t="str">
        <f>VLOOKUP(I825,Customers[#Data],2,FALSE)</f>
        <v>ကိုညီညီဆွေ</v>
      </c>
      <c r="K825" s="15" t="str">
        <f>VLOOKUP(I825,Customers[#Data],4,FALSE)</f>
        <v>Maw La Myaing</v>
      </c>
      <c r="L825" s="15" t="str">
        <f>VLOOKUP(I825,Customers[#Data],5,FALSE)</f>
        <v>WholeSales</v>
      </c>
      <c r="M825" s="7" t="s">
        <v>6</v>
      </c>
      <c r="N825" s="7" t="s">
        <v>516</v>
      </c>
      <c r="O825" s="14" t="str">
        <f>VLOOKUP(N825,Stock[#Data],2,FALSE)</f>
        <v>ဇေ Vodka</v>
      </c>
      <c r="P825" s="44">
        <f>VLOOKUP(N825,Stock[#Data],3,FALSE)</f>
        <v>0.64</v>
      </c>
      <c r="Q825" s="3">
        <f>VLOOKUP(N825,Stock[#Data],4,FALSE)</f>
        <v>14</v>
      </c>
      <c r="R825" s="11"/>
      <c r="S825" s="45">
        <f>IFERROR(Table4[[#This Row],[Bottle]]/Table4[[#This Row],[ပါဝင်မှု]]+Table4[[#This Row],[SalesPK]],0)</f>
        <v>100</v>
      </c>
      <c r="T825" s="12">
        <v>100</v>
      </c>
      <c r="U825" s="10">
        <f>Table4[[#This Row],[ပါဝင်မှု]]*Table4[[#This Row],[SalesPK]]+Table4[[#This Row],[Bottle]]</f>
        <v>1400</v>
      </c>
      <c r="V825" s="10">
        <f>Table4[[#This Row],[SalesBot]]*Table4[[#This Row],[ML]]</f>
        <v>896</v>
      </c>
      <c r="W825" s="1">
        <f>VLOOKUP(N825,Stock[#Data],6,FALSE)</f>
        <v>1400</v>
      </c>
      <c r="X825" s="8">
        <f>+Table4[[#This Row],[SalesBot]]*Table4[[#This Row],[နှုံး]]</f>
        <v>1960000</v>
      </c>
      <c r="Y825" s="12"/>
      <c r="Z825" s="12"/>
      <c r="AA825" s="12"/>
      <c r="AB825" s="9"/>
      <c r="AC825" s="12"/>
      <c r="AD825" s="9"/>
      <c r="AE825" s="12"/>
      <c r="AF82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1960000</v>
      </c>
      <c r="AG825" s="24"/>
      <c r="AH825" s="266">
        <f>Table4[[#This Row],[Date]]</f>
        <v>46072</v>
      </c>
      <c r="AI825" s="264" t="str">
        <f t="shared" si="154"/>
        <v>Feb</v>
      </c>
      <c r="AJ825" s="264" t="str">
        <f t="shared" si="155"/>
        <v>2026</v>
      </c>
      <c r="AK825" s="270" t="str">
        <f>Table4[[#This Row],[ကုန်သည်အမည်]]</f>
        <v>ကိုညီညီဆွေ</v>
      </c>
      <c r="AL825" s="270" t="str">
        <f>Table4[[#This Row],[Township]]</f>
        <v>Maw La Myaing</v>
      </c>
      <c r="AM825" s="271" t="str">
        <f>Table4[[#This Row],[WholeSales]]</f>
        <v>WholeSales</v>
      </c>
      <c r="AN825" s="272" t="str">
        <f>Table4[[#This Row],[Particular]]</f>
        <v>ကုန်ရောင်း(လက်ငင်း)</v>
      </c>
      <c r="AO825" s="273" t="str">
        <f>Table4[[#This Row],[StockName]]</f>
        <v>ဇေ Vodka</v>
      </c>
      <c r="AP825" s="268">
        <f>Table4[[#This Row],[Parking]]</f>
        <v>100</v>
      </c>
      <c r="AQ825" s="268">
        <f>Table4[[#This Row],[SalesBot]]</f>
        <v>1400</v>
      </c>
      <c r="AR825" s="268">
        <f>Table4[[#This Row],[Liter]]</f>
        <v>896</v>
      </c>
    </row>
    <row r="826" spans="1:44" s="16" customFormat="1" hidden="1" x14ac:dyDescent="0.5">
      <c r="A826" s="3">
        <f t="shared" si="156"/>
        <v>2026</v>
      </c>
      <c r="B826" s="8">
        <f t="shared" si="157"/>
        <v>2</v>
      </c>
      <c r="C826" s="6">
        <v>46072</v>
      </c>
      <c r="D826" s="15">
        <f t="shared" ca="1" si="158"/>
        <v>46097</v>
      </c>
      <c r="E826" s="15" t="str">
        <f t="shared" ca="1" si="159"/>
        <v>0-Months</v>
      </c>
      <c r="F826" s="8" t="str">
        <f>VLOOKUP(N826,Stock[#Data],5,FALSE)</f>
        <v>BE</v>
      </c>
      <c r="G826" s="82" t="s">
        <v>1484</v>
      </c>
      <c r="H826" s="15"/>
      <c r="I826" s="7" t="s">
        <v>108</v>
      </c>
      <c r="J826" s="8" t="str">
        <f>VLOOKUP(I826,Customers[#Data],2,FALSE)</f>
        <v>ကိုညီညီဆွေ</v>
      </c>
      <c r="K826" s="15" t="str">
        <f>VLOOKUP(I826,Customers[#Data],4,FALSE)</f>
        <v>Maw La Myaing</v>
      </c>
      <c r="L826" s="15" t="str">
        <f>VLOOKUP(I826,Customers[#Data],5,FALSE)</f>
        <v>WholeSales</v>
      </c>
      <c r="M826" s="7" t="s">
        <v>6</v>
      </c>
      <c r="N826" s="7" t="s">
        <v>514</v>
      </c>
      <c r="O826" s="14" t="str">
        <f>VLOOKUP(N826,Stock[#Data],2,FALSE)</f>
        <v>ဇေယျဝတီ Red</v>
      </c>
      <c r="P826" s="44">
        <f>VLOOKUP(N826,Stock[#Data],3,FALSE)</f>
        <v>0.64</v>
      </c>
      <c r="Q826" s="3">
        <f>VLOOKUP(N826,Stock[#Data],4,FALSE)</f>
        <v>14</v>
      </c>
      <c r="R826" s="11"/>
      <c r="S826" s="45">
        <f>IFERROR(Table4[[#This Row],[Bottle]]/Table4[[#This Row],[ပါဝင်မှု]]+Table4[[#This Row],[SalesPK]],0)</f>
        <v>30</v>
      </c>
      <c r="T826" s="12">
        <v>30</v>
      </c>
      <c r="U826" s="10">
        <f>Table4[[#This Row],[ပါဝင်မှု]]*Table4[[#This Row],[SalesPK]]+Table4[[#This Row],[Bottle]]</f>
        <v>420</v>
      </c>
      <c r="V826" s="10">
        <f>Table4[[#This Row],[SalesBot]]*Table4[[#This Row],[ML]]</f>
        <v>268.8</v>
      </c>
      <c r="W826" s="1">
        <f>VLOOKUP(N826,Stock[#Data],6,FALSE)</f>
        <v>1350</v>
      </c>
      <c r="X826" s="8">
        <f>+Table4[[#This Row],[SalesBot]]*Table4[[#This Row],[နှုံး]]</f>
        <v>567000</v>
      </c>
      <c r="Y826" s="12"/>
      <c r="Z826" s="12"/>
      <c r="AA826" s="12"/>
      <c r="AB826" s="9"/>
      <c r="AC826" s="12"/>
      <c r="AD826" s="9"/>
      <c r="AE826" s="12"/>
      <c r="AF82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567000</v>
      </c>
      <c r="AG826" s="24"/>
      <c r="AH826" s="266">
        <f>Table4[[#This Row],[Date]]</f>
        <v>46072</v>
      </c>
      <c r="AI826" s="264" t="str">
        <f t="shared" si="154"/>
        <v>Feb</v>
      </c>
      <c r="AJ826" s="264" t="str">
        <f t="shared" si="155"/>
        <v>2026</v>
      </c>
      <c r="AK826" s="270" t="str">
        <f>Table4[[#This Row],[ကုန်သည်အမည်]]</f>
        <v>ကိုညီညီဆွေ</v>
      </c>
      <c r="AL826" s="270" t="str">
        <f>Table4[[#This Row],[Township]]</f>
        <v>Maw La Myaing</v>
      </c>
      <c r="AM826" s="271" t="str">
        <f>Table4[[#This Row],[WholeSales]]</f>
        <v>WholeSales</v>
      </c>
      <c r="AN826" s="272" t="str">
        <f>Table4[[#This Row],[Particular]]</f>
        <v>ကုန်ရောင်း(လက်ငင်း)</v>
      </c>
      <c r="AO826" s="273" t="str">
        <f>Table4[[#This Row],[StockName]]</f>
        <v>ဇေယျဝတီ Red</v>
      </c>
      <c r="AP826" s="268">
        <f>Table4[[#This Row],[Parking]]</f>
        <v>30</v>
      </c>
      <c r="AQ826" s="268">
        <f>Table4[[#This Row],[SalesBot]]</f>
        <v>420</v>
      </c>
      <c r="AR826" s="268">
        <f>Table4[[#This Row],[Liter]]</f>
        <v>268.8</v>
      </c>
    </row>
    <row r="827" spans="1:44" s="16" customFormat="1" hidden="1" x14ac:dyDescent="0.5">
      <c r="A827" s="3">
        <f t="shared" si="156"/>
        <v>2026</v>
      </c>
      <c r="B827" s="8">
        <f t="shared" si="157"/>
        <v>2</v>
      </c>
      <c r="C827" s="6">
        <v>46072</v>
      </c>
      <c r="D827" s="15">
        <f t="shared" ca="1" si="158"/>
        <v>46097</v>
      </c>
      <c r="E827" s="15" t="str">
        <f t="shared" ca="1" si="159"/>
        <v>0-Months</v>
      </c>
      <c r="F827" s="8" t="str">
        <f>VLOOKUP(N827,Stock[#Data],5,FALSE)</f>
        <v>BE</v>
      </c>
      <c r="G827" s="82" t="s">
        <v>1484</v>
      </c>
      <c r="H827" s="15"/>
      <c r="I827" s="7" t="s">
        <v>108</v>
      </c>
      <c r="J827" s="8" t="str">
        <f>VLOOKUP(I827,Customers[#Data],2,FALSE)</f>
        <v>ကိုညီညီဆွေ</v>
      </c>
      <c r="K827" s="15" t="str">
        <f>VLOOKUP(I827,Customers[#Data],4,FALSE)</f>
        <v>Maw La Myaing</v>
      </c>
      <c r="L827" s="15" t="str">
        <f>VLOOKUP(I827,Customers[#Data],5,FALSE)</f>
        <v>WholeSales</v>
      </c>
      <c r="M827" s="7" t="s">
        <v>6</v>
      </c>
      <c r="N827" s="7" t="s">
        <v>517</v>
      </c>
      <c r="O827" s="14" t="str">
        <f>VLOOKUP(N827,Stock[#Data],2,FALSE)</f>
        <v>ဇေယျဝတီ Red (1 Liter) 30%</v>
      </c>
      <c r="P827" s="44">
        <f>VLOOKUP(N827,Stock[#Data],3,FALSE)</f>
        <v>1</v>
      </c>
      <c r="Q827" s="3">
        <f>VLOOKUP(N827,Stock[#Data],4,FALSE)</f>
        <v>12</v>
      </c>
      <c r="R827" s="11"/>
      <c r="S827" s="45">
        <f>IFERROR(Table4[[#This Row],[Bottle]]/Table4[[#This Row],[ပါဝင်မှု]]+Table4[[#This Row],[SalesPK]],0)</f>
        <v>50</v>
      </c>
      <c r="T827" s="12">
        <v>50</v>
      </c>
      <c r="U827" s="10">
        <f>Table4[[#This Row],[ပါဝင်မှု]]*Table4[[#This Row],[SalesPK]]+Table4[[#This Row],[Bottle]]</f>
        <v>600</v>
      </c>
      <c r="V827" s="10">
        <f>Table4[[#This Row],[SalesBot]]*Table4[[#This Row],[ML]]</f>
        <v>600</v>
      </c>
      <c r="W827" s="1">
        <f>VLOOKUP(N827,Stock[#Data],6,FALSE)</f>
        <v>1710</v>
      </c>
      <c r="X827" s="8">
        <f>+Table4[[#This Row],[SalesBot]]*Table4[[#This Row],[နှုံး]]</f>
        <v>1026000</v>
      </c>
      <c r="Y827" s="12"/>
      <c r="Z827" s="12"/>
      <c r="AA827" s="12"/>
      <c r="AB827" s="9"/>
      <c r="AC827" s="12"/>
      <c r="AD827" s="9"/>
      <c r="AE827" s="12"/>
      <c r="AF82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827" s="24"/>
      <c r="AH827" s="266">
        <f>Table4[[#This Row],[Date]]</f>
        <v>46072</v>
      </c>
      <c r="AI827" s="264" t="str">
        <f t="shared" si="154"/>
        <v>Feb</v>
      </c>
      <c r="AJ827" s="264" t="str">
        <f t="shared" si="155"/>
        <v>2026</v>
      </c>
      <c r="AK827" s="270" t="str">
        <f>Table4[[#This Row],[ကုန်သည်အမည်]]</f>
        <v>ကိုညီညီဆွေ</v>
      </c>
      <c r="AL827" s="270" t="str">
        <f>Table4[[#This Row],[Township]]</f>
        <v>Maw La Myaing</v>
      </c>
      <c r="AM827" s="271" t="str">
        <f>Table4[[#This Row],[WholeSales]]</f>
        <v>WholeSales</v>
      </c>
      <c r="AN827" s="272" t="str">
        <f>Table4[[#This Row],[Particular]]</f>
        <v>ကုန်ရောင်း(လက်ငင်း)</v>
      </c>
      <c r="AO827" s="273" t="str">
        <f>Table4[[#This Row],[StockName]]</f>
        <v>ဇေယျဝတီ Red (1 Liter) 30%</v>
      </c>
      <c r="AP827" s="268">
        <f>Table4[[#This Row],[Parking]]</f>
        <v>50</v>
      </c>
      <c r="AQ827" s="268">
        <f>Table4[[#This Row],[SalesBot]]</f>
        <v>600</v>
      </c>
      <c r="AR827" s="268">
        <f>Table4[[#This Row],[Liter]]</f>
        <v>600</v>
      </c>
    </row>
    <row r="828" spans="1:44" s="16" customFormat="1" hidden="1" x14ac:dyDescent="0.5">
      <c r="A828" s="3">
        <f t="shared" si="156"/>
        <v>2026</v>
      </c>
      <c r="B828" s="8">
        <f t="shared" si="157"/>
        <v>2</v>
      </c>
      <c r="C828" s="6">
        <v>46072</v>
      </c>
      <c r="D828" s="15">
        <f t="shared" ca="1" si="158"/>
        <v>46097</v>
      </c>
      <c r="E828" s="15" t="str">
        <f t="shared" ca="1" si="159"/>
        <v>0-Months</v>
      </c>
      <c r="F828" s="8" t="str">
        <f>VLOOKUP(N828,Stock[#Data],5,FALSE)</f>
        <v>BE</v>
      </c>
      <c r="G828" s="82" t="s">
        <v>1484</v>
      </c>
      <c r="H828" s="15"/>
      <c r="I828" s="7" t="s">
        <v>108</v>
      </c>
      <c r="J828" s="8" t="str">
        <f>VLOOKUP(I828,Customers[#Data],2,FALSE)</f>
        <v>ကိုညီညီဆွေ</v>
      </c>
      <c r="K828" s="15" t="str">
        <f>VLOOKUP(I828,Customers[#Data],4,FALSE)</f>
        <v>Maw La Myaing</v>
      </c>
      <c r="L828" s="15" t="str">
        <f>VLOOKUP(I828,Customers[#Data],5,FALSE)</f>
        <v>WholeSales</v>
      </c>
      <c r="M828" s="7" t="s">
        <v>6</v>
      </c>
      <c r="N828" s="7" t="s">
        <v>518</v>
      </c>
      <c r="O828" s="14" t="str">
        <f>VLOOKUP(N828,Stock[#Data],2,FALSE)</f>
        <v>"ဇေ" ကော်ဘူး (1 Liter)</v>
      </c>
      <c r="P828" s="44">
        <f>VLOOKUP(N828,Stock[#Data],3,FALSE)</f>
        <v>1</v>
      </c>
      <c r="Q828" s="3">
        <f>VLOOKUP(N828,Stock[#Data],4,FALSE)</f>
        <v>12</v>
      </c>
      <c r="R828" s="11"/>
      <c r="S828" s="45">
        <f>IFERROR(Table4[[#This Row],[Bottle]]/Table4[[#This Row],[ပါဝင်မှု]]+Table4[[#This Row],[SalesPK]],0)</f>
        <v>20</v>
      </c>
      <c r="T828" s="12">
        <v>20</v>
      </c>
      <c r="U828" s="10">
        <f>Table4[[#This Row],[ပါဝင်မှု]]*Table4[[#This Row],[SalesPK]]+Table4[[#This Row],[Bottle]]</f>
        <v>240</v>
      </c>
      <c r="V828" s="10">
        <f>Table4[[#This Row],[SalesBot]]*Table4[[#This Row],[ML]]</f>
        <v>240</v>
      </c>
      <c r="W828" s="1">
        <f>VLOOKUP(N828,Stock[#Data],6,FALSE)</f>
        <v>1675</v>
      </c>
      <c r="X828" s="8">
        <f>+Table4[[#This Row],[SalesBot]]*Table4[[#This Row],[နှုံး]]</f>
        <v>402000</v>
      </c>
      <c r="Y828" s="12"/>
      <c r="Z828" s="12"/>
      <c r="AA828" s="12"/>
      <c r="AB828" s="9"/>
      <c r="AC828" s="12"/>
      <c r="AD828" s="9"/>
      <c r="AE828" s="12"/>
      <c r="AF82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402000</v>
      </c>
      <c r="AG828" s="24"/>
      <c r="AH828" s="266">
        <f>Table4[[#This Row],[Date]]</f>
        <v>46072</v>
      </c>
      <c r="AI828" s="264" t="str">
        <f t="shared" si="154"/>
        <v>Feb</v>
      </c>
      <c r="AJ828" s="264" t="str">
        <f t="shared" si="155"/>
        <v>2026</v>
      </c>
      <c r="AK828" s="270" t="str">
        <f>Table4[[#This Row],[ကုန်သည်အမည်]]</f>
        <v>ကိုညီညီဆွေ</v>
      </c>
      <c r="AL828" s="270" t="str">
        <f>Table4[[#This Row],[Township]]</f>
        <v>Maw La Myaing</v>
      </c>
      <c r="AM828" s="271" t="str">
        <f>Table4[[#This Row],[WholeSales]]</f>
        <v>WholeSales</v>
      </c>
      <c r="AN828" s="272" t="str">
        <f>Table4[[#This Row],[Particular]]</f>
        <v>ကုန်ရောင်း(လက်ငင်း)</v>
      </c>
      <c r="AO828" s="273" t="str">
        <f>Table4[[#This Row],[StockName]]</f>
        <v>"ဇေ" ကော်ဘူး (1 Liter)</v>
      </c>
      <c r="AP828" s="268">
        <f>Table4[[#This Row],[Parking]]</f>
        <v>20</v>
      </c>
      <c r="AQ828" s="268">
        <f>Table4[[#This Row],[SalesBot]]</f>
        <v>240</v>
      </c>
      <c r="AR828" s="268">
        <f>Table4[[#This Row],[Liter]]</f>
        <v>240</v>
      </c>
    </row>
    <row r="829" spans="1:44" s="16" customFormat="1" hidden="1" x14ac:dyDescent="0.5">
      <c r="A829" s="3">
        <f t="shared" si="156"/>
        <v>2026</v>
      </c>
      <c r="B829" s="8">
        <f t="shared" si="157"/>
        <v>2</v>
      </c>
      <c r="C829" s="6">
        <v>46072</v>
      </c>
      <c r="D829" s="15">
        <f t="shared" ca="1" si="158"/>
        <v>46097</v>
      </c>
      <c r="E829" s="15" t="str">
        <f t="shared" ca="1" si="159"/>
        <v>0-Months</v>
      </c>
      <c r="F829" s="8" t="str">
        <f>VLOOKUP(N829,Stock[#Data],5,FALSE)</f>
        <v>BE</v>
      </c>
      <c r="G829" s="82" t="s">
        <v>1485</v>
      </c>
      <c r="H829" s="15"/>
      <c r="I829" s="7" t="s">
        <v>543</v>
      </c>
      <c r="J829" s="8" t="str">
        <f>VLOOKUP(I829,Customers[#Data],2,FALSE)</f>
        <v>ဒေါ်မိစိန်</v>
      </c>
      <c r="K829" s="15" t="str">
        <f>VLOOKUP(I829,Customers[#Data],4,FALSE)</f>
        <v>Yay</v>
      </c>
      <c r="L829" s="15" t="str">
        <f>VLOOKUP(I829,Customers[#Data],5,FALSE)</f>
        <v>SemiWholeSales</v>
      </c>
      <c r="M829" s="7" t="s">
        <v>6</v>
      </c>
      <c r="N829" s="7" t="s">
        <v>514</v>
      </c>
      <c r="O829" s="14" t="str">
        <f>VLOOKUP(N829,Stock[#Data],2,FALSE)</f>
        <v>ဇေယျဝတီ Red</v>
      </c>
      <c r="P829" s="44">
        <f>VLOOKUP(N829,Stock[#Data],3,FALSE)</f>
        <v>0.64</v>
      </c>
      <c r="Q829" s="3">
        <f>VLOOKUP(N829,Stock[#Data],4,FALSE)</f>
        <v>14</v>
      </c>
      <c r="R829" s="11"/>
      <c r="S829" s="45">
        <f>IFERROR(Table4[[#This Row],[Bottle]]/Table4[[#This Row],[ပါဝင်မှု]]+Table4[[#This Row],[SalesPK]],0)</f>
        <v>20</v>
      </c>
      <c r="T829" s="12">
        <v>20</v>
      </c>
      <c r="U829" s="10">
        <f>Table4[[#This Row],[ပါဝင်မှု]]*Table4[[#This Row],[SalesPK]]+Table4[[#This Row],[Bottle]]</f>
        <v>280</v>
      </c>
      <c r="V829" s="10">
        <f>Table4[[#This Row],[SalesBot]]*Table4[[#This Row],[ML]]</f>
        <v>179.20000000000002</v>
      </c>
      <c r="W829" s="1">
        <f>VLOOKUP(N829,Stock[#Data],6,FALSE)</f>
        <v>1350</v>
      </c>
      <c r="X829" s="8">
        <f>+Table4[[#This Row],[SalesBot]]*Table4[[#This Row],[နှုံး]]</f>
        <v>378000</v>
      </c>
      <c r="Y829" s="12"/>
      <c r="Z829" s="12"/>
      <c r="AA829" s="12"/>
      <c r="AB829" s="9"/>
      <c r="AC829" s="12"/>
      <c r="AD829" s="9"/>
      <c r="AE829" s="12"/>
      <c r="AF82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</v>
      </c>
      <c r="AG829" s="24"/>
      <c r="AH829" s="266">
        <f>Table4[[#This Row],[Date]]</f>
        <v>46072</v>
      </c>
      <c r="AI829" s="264" t="str">
        <f t="shared" si="154"/>
        <v>Feb</v>
      </c>
      <c r="AJ829" s="264" t="str">
        <f t="shared" si="155"/>
        <v>2026</v>
      </c>
      <c r="AK829" s="270" t="str">
        <f>Table4[[#This Row],[ကုန်သည်အမည်]]</f>
        <v>ဒေါ်မိစိန်</v>
      </c>
      <c r="AL829" s="270" t="str">
        <f>Table4[[#This Row],[Township]]</f>
        <v>Yay</v>
      </c>
      <c r="AM829" s="271" t="str">
        <f>Table4[[#This Row],[WholeSales]]</f>
        <v>SemiWholeSales</v>
      </c>
      <c r="AN829" s="272" t="str">
        <f>Table4[[#This Row],[Particular]]</f>
        <v>ကုန်ရောင်း(လက်ငင်း)</v>
      </c>
      <c r="AO829" s="273" t="str">
        <f>Table4[[#This Row],[StockName]]</f>
        <v>ဇေယျဝတီ Red</v>
      </c>
      <c r="AP829" s="268">
        <f>Table4[[#This Row],[Parking]]</f>
        <v>20</v>
      </c>
      <c r="AQ829" s="268">
        <f>Table4[[#This Row],[SalesBot]]</f>
        <v>280</v>
      </c>
      <c r="AR829" s="268">
        <f>Table4[[#This Row],[Liter]]</f>
        <v>179.20000000000002</v>
      </c>
    </row>
    <row r="830" spans="1:44" s="16" customFormat="1" hidden="1" x14ac:dyDescent="0.5">
      <c r="A830" s="3">
        <f t="shared" si="156"/>
        <v>2026</v>
      </c>
      <c r="B830" s="8">
        <f t="shared" si="157"/>
        <v>2</v>
      </c>
      <c r="C830" s="6">
        <v>46072</v>
      </c>
      <c r="D830" s="15">
        <f t="shared" ca="1" si="158"/>
        <v>46097</v>
      </c>
      <c r="E830" s="15" t="str">
        <f t="shared" ca="1" si="159"/>
        <v>0-Months</v>
      </c>
      <c r="F830" s="8" t="str">
        <f>VLOOKUP(N830,Stock[#Data],5,FALSE)</f>
        <v>BE</v>
      </c>
      <c r="G830" s="82" t="s">
        <v>1485</v>
      </c>
      <c r="H830" s="15"/>
      <c r="I830" s="7" t="s">
        <v>543</v>
      </c>
      <c r="J830" s="8" t="str">
        <f>VLOOKUP(I830,Customers[#Data],2,FALSE)</f>
        <v>ဒေါ်မိစိန်</v>
      </c>
      <c r="K830" s="15" t="str">
        <f>VLOOKUP(I830,Customers[#Data],4,FALSE)</f>
        <v>Yay</v>
      </c>
      <c r="L830" s="15" t="str">
        <f>VLOOKUP(I830,Customers[#Data],5,FALSE)</f>
        <v>SemiWholeSales</v>
      </c>
      <c r="M830" s="7" t="s">
        <v>6</v>
      </c>
      <c r="N830" s="7" t="s">
        <v>517</v>
      </c>
      <c r="O830" s="14" t="str">
        <f>VLOOKUP(N830,Stock[#Data],2,FALSE)</f>
        <v>ဇေယျဝတီ Red (1 Liter) 30%</v>
      </c>
      <c r="P830" s="44">
        <f>VLOOKUP(N830,Stock[#Data],3,FALSE)</f>
        <v>1</v>
      </c>
      <c r="Q830" s="3">
        <f>VLOOKUP(N830,Stock[#Data],4,FALSE)</f>
        <v>12</v>
      </c>
      <c r="R830" s="11"/>
      <c r="S830" s="45">
        <f>IFERROR(Table4[[#This Row],[Bottle]]/Table4[[#This Row],[ပါဝင်မှု]]+Table4[[#This Row],[SalesPK]],0)</f>
        <v>40</v>
      </c>
      <c r="T830" s="12">
        <v>40</v>
      </c>
      <c r="U830" s="10">
        <f>Table4[[#This Row],[ပါဝင်မှု]]*Table4[[#This Row],[SalesPK]]+Table4[[#This Row],[Bottle]]</f>
        <v>480</v>
      </c>
      <c r="V830" s="10">
        <f>Table4[[#This Row],[SalesBot]]*Table4[[#This Row],[ML]]</f>
        <v>480</v>
      </c>
      <c r="W830" s="1">
        <f>VLOOKUP(N830,Stock[#Data],6,FALSE)</f>
        <v>1710</v>
      </c>
      <c r="X830" s="8">
        <f>+Table4[[#This Row],[SalesBot]]*Table4[[#This Row],[နှုံး]]</f>
        <v>820800</v>
      </c>
      <c r="Y830" s="12"/>
      <c r="Z830" s="12"/>
      <c r="AA830" s="12"/>
      <c r="AB830" s="9"/>
      <c r="AC830" s="12"/>
      <c r="AD830" s="9"/>
      <c r="AE830" s="12"/>
      <c r="AF83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820800</v>
      </c>
      <c r="AG830" s="24"/>
      <c r="AH830" s="266">
        <f>Table4[[#This Row],[Date]]</f>
        <v>46072</v>
      </c>
      <c r="AI830" s="264" t="str">
        <f t="shared" si="154"/>
        <v>Feb</v>
      </c>
      <c r="AJ830" s="264" t="str">
        <f t="shared" si="155"/>
        <v>2026</v>
      </c>
      <c r="AK830" s="270" t="str">
        <f>Table4[[#This Row],[ကုန်သည်အမည်]]</f>
        <v>ဒေါ်မိစိန်</v>
      </c>
      <c r="AL830" s="270" t="str">
        <f>Table4[[#This Row],[Township]]</f>
        <v>Yay</v>
      </c>
      <c r="AM830" s="271" t="str">
        <f>Table4[[#This Row],[WholeSales]]</f>
        <v>SemiWholeSales</v>
      </c>
      <c r="AN830" s="272" t="str">
        <f>Table4[[#This Row],[Particular]]</f>
        <v>ကုန်ရောင်း(လက်ငင်း)</v>
      </c>
      <c r="AO830" s="273" t="str">
        <f>Table4[[#This Row],[StockName]]</f>
        <v>ဇေယျဝတီ Red (1 Liter) 30%</v>
      </c>
      <c r="AP830" s="268">
        <f>Table4[[#This Row],[Parking]]</f>
        <v>40</v>
      </c>
      <c r="AQ830" s="268">
        <f>Table4[[#This Row],[SalesBot]]</f>
        <v>480</v>
      </c>
      <c r="AR830" s="268">
        <f>Table4[[#This Row],[Liter]]</f>
        <v>480</v>
      </c>
    </row>
    <row r="831" spans="1:44" s="16" customFormat="1" hidden="1" x14ac:dyDescent="0.5">
      <c r="A831" s="3">
        <f t="shared" si="156"/>
        <v>2026</v>
      </c>
      <c r="B831" s="8">
        <f t="shared" si="157"/>
        <v>2</v>
      </c>
      <c r="C831" s="6">
        <v>46072</v>
      </c>
      <c r="D831" s="15">
        <f t="shared" ca="1" si="158"/>
        <v>46097</v>
      </c>
      <c r="E831" s="15" t="str">
        <f t="shared" ca="1" si="159"/>
        <v>0-Months</v>
      </c>
      <c r="F831" s="8" t="str">
        <f>VLOOKUP(N831,Stock[#Data],5,FALSE)</f>
        <v>BE</v>
      </c>
      <c r="G831" s="82" t="s">
        <v>1459</v>
      </c>
      <c r="H831" s="15"/>
      <c r="I831" s="7" t="s">
        <v>109</v>
      </c>
      <c r="J831" s="8" t="str">
        <f>VLOOKUP(I831,Customers[#Data],2,FALSE)</f>
        <v>ဦးမင်းလွင်</v>
      </c>
      <c r="K831" s="15" t="str">
        <f>VLOOKUP(I831,Customers[#Data],4,FALSE)</f>
        <v>Maw La Myaing</v>
      </c>
      <c r="L831" s="15" t="str">
        <f>VLOOKUP(I831,Customers[#Data],5,FALSE)</f>
        <v>WholeSales</v>
      </c>
      <c r="M831" s="7" t="s">
        <v>6</v>
      </c>
      <c r="N831" s="7" t="s">
        <v>516</v>
      </c>
      <c r="O831" s="14" t="str">
        <f>VLOOKUP(N831,Stock[#Data],2,FALSE)</f>
        <v>ဇေ Vodka</v>
      </c>
      <c r="P831" s="44">
        <f>VLOOKUP(N831,Stock[#Data],3,FALSE)</f>
        <v>0.64</v>
      </c>
      <c r="Q831" s="3">
        <f>VLOOKUP(N831,Stock[#Data],4,FALSE)</f>
        <v>14</v>
      </c>
      <c r="R831" s="11"/>
      <c r="S831" s="45">
        <f>IFERROR(Table4[[#This Row],[Bottle]]/Table4[[#This Row],[ပါဝင်မှု]]+Table4[[#This Row],[SalesPK]],0)</f>
        <v>20</v>
      </c>
      <c r="T831" s="12">
        <v>20</v>
      </c>
      <c r="U831" s="10">
        <f>Table4[[#This Row],[ပါဝင်မှု]]*Table4[[#This Row],[SalesPK]]+Table4[[#This Row],[Bottle]]</f>
        <v>280</v>
      </c>
      <c r="V831" s="10">
        <f>Table4[[#This Row],[SalesBot]]*Table4[[#This Row],[ML]]</f>
        <v>179.20000000000002</v>
      </c>
      <c r="W831" s="1">
        <f>VLOOKUP(N831,Stock[#Data],6,FALSE)</f>
        <v>1400</v>
      </c>
      <c r="X831" s="8">
        <f>+Table4[[#This Row],[SalesBot]]*Table4[[#This Row],[နှုံး]]</f>
        <v>392000</v>
      </c>
      <c r="Y831" s="12"/>
      <c r="Z831" s="12"/>
      <c r="AA831" s="12"/>
      <c r="AB831" s="9"/>
      <c r="AC831" s="12"/>
      <c r="AD831" s="9"/>
      <c r="AE831" s="12"/>
      <c r="AF83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392000</v>
      </c>
      <c r="AG831" s="24"/>
      <c r="AH831" s="266">
        <f>Table4[[#This Row],[Date]]</f>
        <v>46072</v>
      </c>
      <c r="AI831" s="264" t="str">
        <f t="shared" si="154"/>
        <v>Feb</v>
      </c>
      <c r="AJ831" s="264" t="str">
        <f t="shared" si="155"/>
        <v>2026</v>
      </c>
      <c r="AK831" s="270" t="str">
        <f>Table4[[#This Row],[ကုန်သည်အမည်]]</f>
        <v>ဦးမင်းလွင်</v>
      </c>
      <c r="AL831" s="270" t="str">
        <f>Table4[[#This Row],[Township]]</f>
        <v>Maw La Myaing</v>
      </c>
      <c r="AM831" s="271" t="str">
        <f>Table4[[#This Row],[WholeSales]]</f>
        <v>WholeSales</v>
      </c>
      <c r="AN831" s="272" t="str">
        <f>Table4[[#This Row],[Particular]]</f>
        <v>ကုန်ရောင်း(လက်ငင်း)</v>
      </c>
      <c r="AO831" s="273" t="str">
        <f>Table4[[#This Row],[StockName]]</f>
        <v>ဇေ Vodka</v>
      </c>
      <c r="AP831" s="268">
        <f>Table4[[#This Row],[Parking]]</f>
        <v>20</v>
      </c>
      <c r="AQ831" s="268">
        <f>Table4[[#This Row],[SalesBot]]</f>
        <v>280</v>
      </c>
      <c r="AR831" s="268">
        <f>Table4[[#This Row],[Liter]]</f>
        <v>179.20000000000002</v>
      </c>
    </row>
    <row r="832" spans="1:44" s="16" customFormat="1" hidden="1" x14ac:dyDescent="0.5">
      <c r="A832" s="3">
        <f t="shared" si="156"/>
        <v>2026</v>
      </c>
      <c r="B832" s="8">
        <f t="shared" si="157"/>
        <v>2</v>
      </c>
      <c r="C832" s="6">
        <v>46072</v>
      </c>
      <c r="D832" s="15">
        <f t="shared" ca="1" si="158"/>
        <v>46097</v>
      </c>
      <c r="E832" s="15" t="str">
        <f t="shared" ca="1" si="159"/>
        <v>0-Months</v>
      </c>
      <c r="F832" s="8" t="str">
        <f>VLOOKUP(N832,Stock[#Data],5,FALSE)</f>
        <v>BE</v>
      </c>
      <c r="G832" s="82" t="s">
        <v>1459</v>
      </c>
      <c r="H832" s="15"/>
      <c r="I832" s="7" t="s">
        <v>109</v>
      </c>
      <c r="J832" s="8" t="str">
        <f>VLOOKUP(I832,Customers[#Data],2,FALSE)</f>
        <v>ဦးမင်းလွင်</v>
      </c>
      <c r="K832" s="15" t="str">
        <f>VLOOKUP(I832,Customers[#Data],4,FALSE)</f>
        <v>Maw La Myaing</v>
      </c>
      <c r="L832" s="15" t="str">
        <f>VLOOKUP(I832,Customers[#Data],5,FALSE)</f>
        <v>WholeSales</v>
      </c>
      <c r="M832" s="7" t="s">
        <v>6</v>
      </c>
      <c r="N832" s="7" t="s">
        <v>521</v>
      </c>
      <c r="O832" s="14" t="str">
        <f>VLOOKUP(N832,Stock[#Data],2,FALSE)</f>
        <v>ဒဂုံအရက်သန့်</v>
      </c>
      <c r="P832" s="44">
        <f>VLOOKUP(N832,Stock[#Data],3,FALSE)</f>
        <v>0.64</v>
      </c>
      <c r="Q832" s="3">
        <f>VLOOKUP(N832,Stock[#Data],4,FALSE)</f>
        <v>24</v>
      </c>
      <c r="R832" s="11"/>
      <c r="S832" s="45">
        <f>IFERROR(Table4[[#This Row],[Bottle]]/Table4[[#This Row],[ပါဝင်မှု]]+Table4[[#This Row],[SalesPK]],0)</f>
        <v>30</v>
      </c>
      <c r="T832" s="12">
        <v>30</v>
      </c>
      <c r="U832" s="10">
        <f>Table4[[#This Row],[ပါဝင်မှု]]*Table4[[#This Row],[SalesPK]]+Table4[[#This Row],[Bottle]]</f>
        <v>720</v>
      </c>
      <c r="V832" s="10">
        <f>Table4[[#This Row],[SalesBot]]*Table4[[#This Row],[ML]]</f>
        <v>460.8</v>
      </c>
      <c r="W832" s="1">
        <f>VLOOKUP(N832,Stock[#Data],6,FALSE)</f>
        <v>1350</v>
      </c>
      <c r="X832" s="8">
        <f>+Table4[[#This Row],[SalesBot]]*Table4[[#This Row],[နှုံး]]</f>
        <v>972000</v>
      </c>
      <c r="Y832" s="12"/>
      <c r="Z832" s="12"/>
      <c r="AA832" s="12"/>
      <c r="AB832" s="9"/>
      <c r="AC832" s="12"/>
      <c r="AD832" s="9"/>
      <c r="AE832" s="12"/>
      <c r="AF83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972000</v>
      </c>
      <c r="AG832" s="24"/>
      <c r="AH832" s="266">
        <f>Table4[[#This Row],[Date]]</f>
        <v>46072</v>
      </c>
      <c r="AI832" s="264" t="str">
        <f t="shared" si="154"/>
        <v>Feb</v>
      </c>
      <c r="AJ832" s="264" t="str">
        <f t="shared" si="155"/>
        <v>2026</v>
      </c>
      <c r="AK832" s="270" t="str">
        <f>Table4[[#This Row],[ကုန်သည်အမည်]]</f>
        <v>ဦးမင်းလွင်</v>
      </c>
      <c r="AL832" s="270" t="str">
        <f>Table4[[#This Row],[Township]]</f>
        <v>Maw La Myaing</v>
      </c>
      <c r="AM832" s="271" t="str">
        <f>Table4[[#This Row],[WholeSales]]</f>
        <v>WholeSales</v>
      </c>
      <c r="AN832" s="272" t="str">
        <f>Table4[[#This Row],[Particular]]</f>
        <v>ကုန်ရောင်း(လက်ငင်း)</v>
      </c>
      <c r="AO832" s="273" t="str">
        <f>Table4[[#This Row],[StockName]]</f>
        <v>ဒဂုံအရက်သန့်</v>
      </c>
      <c r="AP832" s="268">
        <f>Table4[[#This Row],[Parking]]</f>
        <v>30</v>
      </c>
      <c r="AQ832" s="268">
        <f>Table4[[#This Row],[SalesBot]]</f>
        <v>720</v>
      </c>
      <c r="AR832" s="268">
        <f>Table4[[#This Row],[Liter]]</f>
        <v>460.8</v>
      </c>
    </row>
    <row r="833" spans="1:44" s="16" customFormat="1" hidden="1" x14ac:dyDescent="0.5">
      <c r="A833" s="3">
        <f t="shared" si="156"/>
        <v>2026</v>
      </c>
      <c r="B833" s="8">
        <f t="shared" si="157"/>
        <v>2</v>
      </c>
      <c r="C833" s="6">
        <v>46072</v>
      </c>
      <c r="D833" s="15">
        <f t="shared" ca="1" si="158"/>
        <v>46097</v>
      </c>
      <c r="E833" s="15" t="str">
        <f t="shared" ca="1" si="159"/>
        <v>0-Months</v>
      </c>
      <c r="F833" s="8" t="str">
        <f>VLOOKUP(N833,Stock[#Data],5,FALSE)</f>
        <v>BE</v>
      </c>
      <c r="G833" s="82" t="s">
        <v>1486</v>
      </c>
      <c r="H833" s="15"/>
      <c r="I833" s="7" t="s">
        <v>749</v>
      </c>
      <c r="J833" s="8" t="str">
        <f>VLOOKUP(I833,Customers[#Data],2,FALSE)</f>
        <v>ဦး၀င်းမြင့်</v>
      </c>
      <c r="K833" s="15" t="str">
        <f>VLOOKUP(I833,Customers[#Data],4,FALSE)</f>
        <v>Maw La Myaing</v>
      </c>
      <c r="L833" s="15" t="str">
        <f>VLOOKUP(I833,Customers[#Data],5,FALSE)</f>
        <v>Van Sales</v>
      </c>
      <c r="M833" s="7" t="s">
        <v>6</v>
      </c>
      <c r="N833" s="7" t="s">
        <v>517</v>
      </c>
      <c r="O833" s="14" t="str">
        <f>VLOOKUP(N833,Stock[#Data],2,FALSE)</f>
        <v>ဇေယျဝတီ Red (1 Liter) 30%</v>
      </c>
      <c r="P833" s="44">
        <f>VLOOKUP(N833,Stock[#Data],3,FALSE)</f>
        <v>1</v>
      </c>
      <c r="Q833" s="3">
        <f>VLOOKUP(N833,Stock[#Data],4,FALSE)</f>
        <v>12</v>
      </c>
      <c r="R833" s="11"/>
      <c r="S833" s="45">
        <f>IFERROR(Table4[[#This Row],[Bottle]]/Table4[[#This Row],[ပါဝင်မှု]]+Table4[[#This Row],[SalesPK]],0)</f>
        <v>50</v>
      </c>
      <c r="T833" s="12">
        <v>50</v>
      </c>
      <c r="U833" s="10">
        <f>Table4[[#This Row],[ပါဝင်မှု]]*Table4[[#This Row],[SalesPK]]+Table4[[#This Row],[Bottle]]</f>
        <v>600</v>
      </c>
      <c r="V833" s="10">
        <f>Table4[[#This Row],[SalesBot]]*Table4[[#This Row],[ML]]</f>
        <v>600</v>
      </c>
      <c r="W833" s="1">
        <f>VLOOKUP(N833,Stock[#Data],6,FALSE)</f>
        <v>1710</v>
      </c>
      <c r="X833" s="8">
        <f>+Table4[[#This Row],[SalesBot]]*Table4[[#This Row],[နှုံး]]</f>
        <v>1026000</v>
      </c>
      <c r="Y833" s="12"/>
      <c r="Z833" s="12"/>
      <c r="AA833" s="12"/>
      <c r="AB833" s="9"/>
      <c r="AC833" s="12"/>
      <c r="AD833" s="9"/>
      <c r="AE833" s="12"/>
      <c r="AF83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833" s="24"/>
      <c r="AH833" s="266">
        <f>Table4[[#This Row],[Date]]</f>
        <v>46072</v>
      </c>
      <c r="AI833" s="264" t="str">
        <f t="shared" si="154"/>
        <v>Feb</v>
      </c>
      <c r="AJ833" s="264" t="str">
        <f t="shared" si="155"/>
        <v>2026</v>
      </c>
      <c r="AK833" s="270" t="str">
        <f>Table4[[#This Row],[ကုန်သည်အမည်]]</f>
        <v>ဦး၀င်းမြင့်</v>
      </c>
      <c r="AL833" s="270" t="str">
        <f>Table4[[#This Row],[Township]]</f>
        <v>Maw La Myaing</v>
      </c>
      <c r="AM833" s="271" t="str">
        <f>Table4[[#This Row],[WholeSales]]</f>
        <v>Van Sales</v>
      </c>
      <c r="AN833" s="272" t="str">
        <f>Table4[[#This Row],[Particular]]</f>
        <v>ကုန်ရောင်း(လက်ငင်း)</v>
      </c>
      <c r="AO833" s="273" t="str">
        <f>Table4[[#This Row],[StockName]]</f>
        <v>ဇေယျဝတီ Red (1 Liter) 30%</v>
      </c>
      <c r="AP833" s="268">
        <f>Table4[[#This Row],[Parking]]</f>
        <v>50</v>
      </c>
      <c r="AQ833" s="268">
        <f>Table4[[#This Row],[SalesBot]]</f>
        <v>600</v>
      </c>
      <c r="AR833" s="268">
        <f>Table4[[#This Row],[Liter]]</f>
        <v>600</v>
      </c>
    </row>
    <row r="834" spans="1:44" s="16" customFormat="1" hidden="1" x14ac:dyDescent="0.5">
      <c r="A834" s="3">
        <f t="shared" si="156"/>
        <v>2026</v>
      </c>
      <c r="B834" s="8">
        <f t="shared" si="157"/>
        <v>2</v>
      </c>
      <c r="C834" s="6">
        <v>46072</v>
      </c>
      <c r="D834" s="15">
        <f t="shared" ca="1" si="158"/>
        <v>46097</v>
      </c>
      <c r="E834" s="15" t="str">
        <f t="shared" ca="1" si="159"/>
        <v>0-Months</v>
      </c>
      <c r="F834" s="8" t="str">
        <f>VLOOKUP(N834,Stock[#Data],5,FALSE)</f>
        <v>BE</v>
      </c>
      <c r="G834" s="82" t="s">
        <v>1487</v>
      </c>
      <c r="H834" s="15"/>
      <c r="I834" s="7" t="s">
        <v>95</v>
      </c>
      <c r="J834" s="8" t="str">
        <f>VLOOKUP(I834,Customers[#Data],2,FALSE)</f>
        <v>ကျော်စတား</v>
      </c>
      <c r="K834" s="15" t="str">
        <f>VLOOKUP(I834,Customers[#Data],4,FALSE)</f>
        <v>Yay</v>
      </c>
      <c r="L834" s="15" t="str">
        <f>VLOOKUP(I834,Customers[#Data],5,FALSE)</f>
        <v>WholeSales</v>
      </c>
      <c r="M834" s="7" t="s">
        <v>7</v>
      </c>
      <c r="N834" s="7" t="s">
        <v>514</v>
      </c>
      <c r="O834" s="14" t="str">
        <f>VLOOKUP(N834,Stock[#Data],2,FALSE)</f>
        <v>ဇေယျဝတီ Red</v>
      </c>
      <c r="P834" s="44">
        <f>VLOOKUP(N834,Stock[#Data],3,FALSE)</f>
        <v>0.64</v>
      </c>
      <c r="Q834" s="3">
        <f>VLOOKUP(N834,Stock[#Data],4,FALSE)</f>
        <v>14</v>
      </c>
      <c r="R834" s="11"/>
      <c r="S834" s="45">
        <f>IFERROR(Table4[[#This Row],[Bottle]]/Table4[[#This Row],[ပါဝင်မှု]]+Table4[[#This Row],[SalesPK]],0)</f>
        <v>200</v>
      </c>
      <c r="T834" s="12">
        <v>200</v>
      </c>
      <c r="U834" s="10">
        <f>Table4[[#This Row],[ပါဝင်မှု]]*Table4[[#This Row],[SalesPK]]+Table4[[#This Row],[Bottle]]</f>
        <v>2800</v>
      </c>
      <c r="V834" s="10">
        <f>Table4[[#This Row],[SalesBot]]*Table4[[#This Row],[ML]]</f>
        <v>1792</v>
      </c>
      <c r="W834" s="1">
        <f>VLOOKUP(N834,Stock[#Data],6,FALSE)</f>
        <v>1350</v>
      </c>
      <c r="X834" s="8">
        <f>+Table4[[#This Row],[SalesBot]]*Table4[[#This Row],[နှုံး]]</f>
        <v>3780000</v>
      </c>
      <c r="Y834" s="12"/>
      <c r="Z834" s="12"/>
      <c r="AA834" s="12"/>
      <c r="AB834" s="9"/>
      <c r="AC834" s="12"/>
      <c r="AD834" s="9"/>
      <c r="AE834" s="12"/>
      <c r="AF83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3780000</v>
      </c>
      <c r="AG834" s="24"/>
      <c r="AH834" s="266">
        <f>Table4[[#This Row],[Date]]</f>
        <v>46072</v>
      </c>
      <c r="AI834" s="264" t="str">
        <f t="shared" si="154"/>
        <v>Feb</v>
      </c>
      <c r="AJ834" s="264" t="str">
        <f t="shared" si="155"/>
        <v>2026</v>
      </c>
      <c r="AK834" s="270" t="str">
        <f>Table4[[#This Row],[ကုန်သည်အမည်]]</f>
        <v>ကျော်စတား</v>
      </c>
      <c r="AL834" s="270" t="str">
        <f>Table4[[#This Row],[Township]]</f>
        <v>Yay</v>
      </c>
      <c r="AM834" s="271" t="str">
        <f>Table4[[#This Row],[WholeSales]]</f>
        <v>WholeSales</v>
      </c>
      <c r="AN834" s="272" t="str">
        <f>Table4[[#This Row],[Particular]]</f>
        <v>ကုန်ရောင်း(အကြွေး)</v>
      </c>
      <c r="AO834" s="273" t="str">
        <f>Table4[[#This Row],[StockName]]</f>
        <v>ဇေယျဝတီ Red</v>
      </c>
      <c r="AP834" s="268">
        <f>Table4[[#This Row],[Parking]]</f>
        <v>200</v>
      </c>
      <c r="AQ834" s="268">
        <f>Table4[[#This Row],[SalesBot]]</f>
        <v>2800</v>
      </c>
      <c r="AR834" s="268">
        <f>Table4[[#This Row],[Liter]]</f>
        <v>1792</v>
      </c>
    </row>
    <row r="835" spans="1:44" s="16" customFormat="1" hidden="1" x14ac:dyDescent="0.5">
      <c r="A835" s="3">
        <f t="shared" si="156"/>
        <v>2026</v>
      </c>
      <c r="B835" s="8">
        <f t="shared" si="157"/>
        <v>2</v>
      </c>
      <c r="C835" s="6">
        <v>46072</v>
      </c>
      <c r="D835" s="15">
        <f t="shared" ca="1" si="158"/>
        <v>46097</v>
      </c>
      <c r="E835" s="15" t="str">
        <f t="shared" ca="1" si="159"/>
        <v>0-Months</v>
      </c>
      <c r="F835" s="8" t="str">
        <f>VLOOKUP(N835,Stock[#Data],5,FALSE)</f>
        <v>BE</v>
      </c>
      <c r="G835" s="82" t="s">
        <v>1488</v>
      </c>
      <c r="H835" s="15"/>
      <c r="I835" s="7" t="s">
        <v>95</v>
      </c>
      <c r="J835" s="8" t="str">
        <f>VLOOKUP(I835,Customers[#Data],2,FALSE)</f>
        <v>ကျော်စတား</v>
      </c>
      <c r="K835" s="15" t="str">
        <f>VLOOKUP(I835,Customers[#Data],4,FALSE)</f>
        <v>Yay</v>
      </c>
      <c r="L835" s="15" t="str">
        <f>VLOOKUP(I835,Customers[#Data],5,FALSE)</f>
        <v>WholeSales</v>
      </c>
      <c r="M835" s="7" t="s">
        <v>7</v>
      </c>
      <c r="N835" s="7" t="s">
        <v>514</v>
      </c>
      <c r="O835" s="14" t="str">
        <f>VLOOKUP(N835,Stock[#Data],2,FALSE)</f>
        <v>ဇေယျဝတီ Red</v>
      </c>
      <c r="P835" s="44">
        <f>VLOOKUP(N835,Stock[#Data],3,FALSE)</f>
        <v>0.64</v>
      </c>
      <c r="Q835" s="3">
        <f>VLOOKUP(N835,Stock[#Data],4,FALSE)</f>
        <v>14</v>
      </c>
      <c r="R835" s="11"/>
      <c r="S835" s="45">
        <f>IFERROR(Table4[[#This Row],[Bottle]]/Table4[[#This Row],[ပါဝင်မှု]]+Table4[[#This Row],[SalesPK]],0)</f>
        <v>50</v>
      </c>
      <c r="T835" s="12">
        <v>50</v>
      </c>
      <c r="U835" s="10">
        <f>Table4[[#This Row],[ပါဝင်မှု]]*Table4[[#This Row],[SalesPK]]+Table4[[#This Row],[Bottle]]</f>
        <v>700</v>
      </c>
      <c r="V835" s="10">
        <f>Table4[[#This Row],[SalesBot]]*Table4[[#This Row],[ML]]</f>
        <v>448</v>
      </c>
      <c r="W835" s="1">
        <f>VLOOKUP(N835,Stock[#Data],6,FALSE)</f>
        <v>1350</v>
      </c>
      <c r="X835" s="8">
        <f>+Table4[[#This Row],[SalesBot]]*Table4[[#This Row],[နှုံး]]</f>
        <v>945000</v>
      </c>
      <c r="Y835" s="12"/>
      <c r="Z835" s="12"/>
      <c r="AA835" s="12"/>
      <c r="AB835" s="9"/>
      <c r="AC835" s="12"/>
      <c r="AD835" s="9"/>
      <c r="AE835" s="12"/>
      <c r="AF83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835" s="24"/>
      <c r="AH835" s="266">
        <f>Table4[[#This Row],[Date]]</f>
        <v>46072</v>
      </c>
      <c r="AI835" s="264" t="str">
        <f t="shared" si="154"/>
        <v>Feb</v>
      </c>
      <c r="AJ835" s="264" t="str">
        <f t="shared" si="155"/>
        <v>2026</v>
      </c>
      <c r="AK835" s="270" t="str">
        <f>Table4[[#This Row],[ကုန်သည်အမည်]]</f>
        <v>ကျော်စတား</v>
      </c>
      <c r="AL835" s="270" t="str">
        <f>Table4[[#This Row],[Township]]</f>
        <v>Yay</v>
      </c>
      <c r="AM835" s="271" t="str">
        <f>Table4[[#This Row],[WholeSales]]</f>
        <v>WholeSales</v>
      </c>
      <c r="AN835" s="272" t="str">
        <f>Table4[[#This Row],[Particular]]</f>
        <v>ကုန်ရောင်း(အကြွေး)</v>
      </c>
      <c r="AO835" s="273" t="str">
        <f>Table4[[#This Row],[StockName]]</f>
        <v>ဇေယျဝတီ Red</v>
      </c>
      <c r="AP835" s="268">
        <f>Table4[[#This Row],[Parking]]</f>
        <v>50</v>
      </c>
      <c r="AQ835" s="268">
        <f>Table4[[#This Row],[SalesBot]]</f>
        <v>700</v>
      </c>
      <c r="AR835" s="268">
        <f>Table4[[#This Row],[Liter]]</f>
        <v>448</v>
      </c>
    </row>
    <row r="836" spans="1:44" s="16" customFormat="1" hidden="1" x14ac:dyDescent="0.5">
      <c r="A836" s="3">
        <f t="shared" si="156"/>
        <v>2026</v>
      </c>
      <c r="B836" s="8">
        <f t="shared" si="157"/>
        <v>2</v>
      </c>
      <c r="C836" s="6">
        <v>46072</v>
      </c>
      <c r="D836" s="15">
        <f t="shared" ca="1" si="158"/>
        <v>46097</v>
      </c>
      <c r="E836" s="15" t="str">
        <f t="shared" ca="1" si="159"/>
        <v>0-Months</v>
      </c>
      <c r="F836" s="8" t="str">
        <f>VLOOKUP(N836,Stock[#Data],5,FALSE)</f>
        <v>BE</v>
      </c>
      <c r="G836" s="82" t="s">
        <v>1488</v>
      </c>
      <c r="H836" s="15"/>
      <c r="I836" s="7" t="s">
        <v>95</v>
      </c>
      <c r="J836" s="8" t="str">
        <f>VLOOKUP(I836,Customers[#Data],2,FALSE)</f>
        <v>ကျော်စတား</v>
      </c>
      <c r="K836" s="15" t="str">
        <f>VLOOKUP(I836,Customers[#Data],4,FALSE)</f>
        <v>Yay</v>
      </c>
      <c r="L836" s="15" t="str">
        <f>VLOOKUP(I836,Customers[#Data],5,FALSE)</f>
        <v>WholeSales</v>
      </c>
      <c r="M836" s="7" t="s">
        <v>7</v>
      </c>
      <c r="N836" s="7" t="s">
        <v>517</v>
      </c>
      <c r="O836" s="14" t="str">
        <f>VLOOKUP(N836,Stock[#Data],2,FALSE)</f>
        <v>ဇေယျဝတီ Red (1 Liter) 30%</v>
      </c>
      <c r="P836" s="44">
        <f>VLOOKUP(N836,Stock[#Data],3,FALSE)</f>
        <v>1</v>
      </c>
      <c r="Q836" s="3">
        <f>VLOOKUP(N836,Stock[#Data],4,FALSE)</f>
        <v>12</v>
      </c>
      <c r="R836" s="11"/>
      <c r="S836" s="45">
        <f>IFERROR(Table4[[#This Row],[Bottle]]/Table4[[#This Row],[ပါဝင်မှု]]+Table4[[#This Row],[SalesPK]],0)</f>
        <v>150</v>
      </c>
      <c r="T836" s="12">
        <v>150</v>
      </c>
      <c r="U836" s="10">
        <f>Table4[[#This Row],[ပါဝင်မှု]]*Table4[[#This Row],[SalesPK]]+Table4[[#This Row],[Bottle]]</f>
        <v>1800</v>
      </c>
      <c r="V836" s="10">
        <f>Table4[[#This Row],[SalesBot]]*Table4[[#This Row],[ML]]</f>
        <v>1800</v>
      </c>
      <c r="W836" s="1">
        <f>VLOOKUP(N836,Stock[#Data],6,FALSE)</f>
        <v>1710</v>
      </c>
      <c r="X836" s="8">
        <f>+Table4[[#This Row],[SalesBot]]*Table4[[#This Row],[နှုံး]]</f>
        <v>3078000</v>
      </c>
      <c r="Y836" s="12"/>
      <c r="Z836" s="12"/>
      <c r="AA836" s="12"/>
      <c r="AB836" s="9"/>
      <c r="AC836" s="12"/>
      <c r="AD836" s="9"/>
      <c r="AE836" s="12"/>
      <c r="AF83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3078000</v>
      </c>
      <c r="AG836" s="24"/>
      <c r="AH836" s="266">
        <f>Table4[[#This Row],[Date]]</f>
        <v>46072</v>
      </c>
      <c r="AI836" s="264" t="str">
        <f t="shared" si="154"/>
        <v>Feb</v>
      </c>
      <c r="AJ836" s="264" t="str">
        <f t="shared" si="155"/>
        <v>2026</v>
      </c>
      <c r="AK836" s="270" t="str">
        <f>Table4[[#This Row],[ကုန်သည်အမည်]]</f>
        <v>ကျော်စတား</v>
      </c>
      <c r="AL836" s="270" t="str">
        <f>Table4[[#This Row],[Township]]</f>
        <v>Yay</v>
      </c>
      <c r="AM836" s="271" t="str">
        <f>Table4[[#This Row],[WholeSales]]</f>
        <v>WholeSales</v>
      </c>
      <c r="AN836" s="272" t="str">
        <f>Table4[[#This Row],[Particular]]</f>
        <v>ကုန်ရောင်း(အကြွေး)</v>
      </c>
      <c r="AO836" s="273" t="str">
        <f>Table4[[#This Row],[StockName]]</f>
        <v>ဇေယျဝတီ Red (1 Liter) 30%</v>
      </c>
      <c r="AP836" s="268">
        <f>Table4[[#This Row],[Parking]]</f>
        <v>150</v>
      </c>
      <c r="AQ836" s="268">
        <f>Table4[[#This Row],[SalesBot]]</f>
        <v>1800</v>
      </c>
      <c r="AR836" s="268">
        <f>Table4[[#This Row],[Liter]]</f>
        <v>1800</v>
      </c>
    </row>
    <row r="837" spans="1:44" s="16" customFormat="1" hidden="1" x14ac:dyDescent="0.5">
      <c r="A837" s="3">
        <f t="shared" si="156"/>
        <v>2026</v>
      </c>
      <c r="B837" s="8">
        <f t="shared" si="157"/>
        <v>2</v>
      </c>
      <c r="C837" s="6">
        <v>46072</v>
      </c>
      <c r="D837" s="15">
        <f t="shared" ca="1" si="158"/>
        <v>46097</v>
      </c>
      <c r="E837" s="15" t="str">
        <f t="shared" ca="1" si="159"/>
        <v>0-Months</v>
      </c>
      <c r="F837" s="8" t="str">
        <f>VLOOKUP(N837,Stock[#Data],5,FALSE)</f>
        <v>BE</v>
      </c>
      <c r="G837" s="82" t="s">
        <v>1489</v>
      </c>
      <c r="H837" s="15"/>
      <c r="I837" s="7" t="s">
        <v>538</v>
      </c>
      <c r="J837" s="8" t="str">
        <f>VLOOKUP(I837,Customers[#Data],2,FALSE)</f>
        <v>ဒေါ်နွယ်နွယ်ရီ(ရွှေတောင်ကြား)</v>
      </c>
      <c r="K837" s="15" t="str">
        <f>VLOOKUP(I837,Customers[#Data],4,FALSE)</f>
        <v>Yay</v>
      </c>
      <c r="L837" s="15" t="str">
        <f>VLOOKUP(I837,Customers[#Data],5,FALSE)</f>
        <v>WholeSales</v>
      </c>
      <c r="M837" s="7" t="s">
        <v>7</v>
      </c>
      <c r="N837" s="7" t="s">
        <v>517</v>
      </c>
      <c r="O837" s="14" t="str">
        <f>VLOOKUP(N837,Stock[#Data],2,FALSE)</f>
        <v>ဇေယျဝတီ Red (1 Liter) 30%</v>
      </c>
      <c r="P837" s="44">
        <f>VLOOKUP(N837,Stock[#Data],3,FALSE)</f>
        <v>1</v>
      </c>
      <c r="Q837" s="3">
        <f>VLOOKUP(N837,Stock[#Data],4,FALSE)</f>
        <v>12</v>
      </c>
      <c r="R837" s="11"/>
      <c r="S837" s="45">
        <f>IFERROR(Table4[[#This Row],[Bottle]]/Table4[[#This Row],[ပါဝင်မှု]]+Table4[[#This Row],[SalesPK]],0)</f>
        <v>100</v>
      </c>
      <c r="T837" s="12">
        <v>100</v>
      </c>
      <c r="U837" s="10">
        <f>Table4[[#This Row],[ပါဝင်မှု]]*Table4[[#This Row],[SalesPK]]+Table4[[#This Row],[Bottle]]</f>
        <v>1200</v>
      </c>
      <c r="V837" s="10">
        <f>Table4[[#This Row],[SalesBot]]*Table4[[#This Row],[ML]]</f>
        <v>1200</v>
      </c>
      <c r="W837" s="1">
        <f>VLOOKUP(N837,Stock[#Data],6,FALSE)</f>
        <v>1710</v>
      </c>
      <c r="X837" s="8">
        <f>+Table4[[#This Row],[SalesBot]]*Table4[[#This Row],[နှုံး]]</f>
        <v>2052000</v>
      </c>
      <c r="Y837" s="12"/>
      <c r="Z837" s="12"/>
      <c r="AA837" s="12"/>
      <c r="AB837" s="9"/>
      <c r="AC837" s="12"/>
      <c r="AD837" s="9"/>
      <c r="AE837" s="12"/>
      <c r="AF83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837" s="24"/>
      <c r="AH837" s="266">
        <f>Table4[[#This Row],[Date]]</f>
        <v>46072</v>
      </c>
      <c r="AI837" s="264" t="str">
        <f t="shared" si="154"/>
        <v>Feb</v>
      </c>
      <c r="AJ837" s="264" t="str">
        <f t="shared" si="155"/>
        <v>2026</v>
      </c>
      <c r="AK837" s="270" t="str">
        <f>Table4[[#This Row],[ကုန်သည်အမည်]]</f>
        <v>ဒေါ်နွယ်နွယ်ရီ(ရွှေတောင်ကြား)</v>
      </c>
      <c r="AL837" s="270" t="str">
        <f>Table4[[#This Row],[Township]]</f>
        <v>Yay</v>
      </c>
      <c r="AM837" s="271" t="str">
        <f>Table4[[#This Row],[WholeSales]]</f>
        <v>WholeSales</v>
      </c>
      <c r="AN837" s="272" t="str">
        <f>Table4[[#This Row],[Particular]]</f>
        <v>ကုန်ရောင်း(အကြွေး)</v>
      </c>
      <c r="AO837" s="273" t="str">
        <f>Table4[[#This Row],[StockName]]</f>
        <v>ဇေယျဝတီ Red (1 Liter) 30%</v>
      </c>
      <c r="AP837" s="268">
        <f>Table4[[#This Row],[Parking]]</f>
        <v>100</v>
      </c>
      <c r="AQ837" s="268">
        <f>Table4[[#This Row],[SalesBot]]</f>
        <v>1200</v>
      </c>
      <c r="AR837" s="268">
        <f>Table4[[#This Row],[Liter]]</f>
        <v>1200</v>
      </c>
    </row>
    <row r="838" spans="1:44" s="16" customFormat="1" hidden="1" x14ac:dyDescent="0.5">
      <c r="A838" s="3">
        <f t="shared" si="156"/>
        <v>2026</v>
      </c>
      <c r="B838" s="8">
        <f t="shared" si="157"/>
        <v>2</v>
      </c>
      <c r="C838" s="6">
        <v>46072</v>
      </c>
      <c r="D838" s="15">
        <f t="shared" ca="1" si="158"/>
        <v>46097</v>
      </c>
      <c r="E838" s="15" t="str">
        <f t="shared" ca="1" si="159"/>
        <v>0-Months</v>
      </c>
      <c r="F838" s="8" t="str">
        <f>VLOOKUP(N838,Stock[#Data],5,FALSE)</f>
        <v>BE</v>
      </c>
      <c r="G838" s="82" t="s">
        <v>1490</v>
      </c>
      <c r="H838" s="15"/>
      <c r="I838" s="7" t="s">
        <v>76</v>
      </c>
      <c r="J838" s="8" t="str">
        <f>VLOOKUP(I838,Customers[#Data],2,FALSE)</f>
        <v>Thailand</v>
      </c>
      <c r="K838" s="15" t="str">
        <f>VLOOKUP(I838,Customers[#Data],4,FALSE)</f>
        <v>Mudon</v>
      </c>
      <c r="L838" s="15" t="str">
        <f>VLOOKUP(I838,Customers[#Data],5,FALSE)</f>
        <v>SemiWholeSales</v>
      </c>
      <c r="M838" s="7" t="s">
        <v>7</v>
      </c>
      <c r="N838" s="7" t="s">
        <v>520</v>
      </c>
      <c r="O838" s="14" t="str">
        <f>VLOOKUP(N838,Stock[#Data],2,FALSE)</f>
        <v>ဇေယျဝတီ  Red(ပု)</v>
      </c>
      <c r="P838" s="44">
        <f>VLOOKUP(N838,Stock[#Data],3,FALSE)</f>
        <v>0.64</v>
      </c>
      <c r="Q838" s="3">
        <f>VLOOKUP(N838,Stock[#Data],4,FALSE)</f>
        <v>14</v>
      </c>
      <c r="R838" s="11"/>
      <c r="S838" s="45">
        <f>IFERROR(Table4[[#This Row],[Bottle]]/Table4[[#This Row],[ပါဝင်မှု]]+Table4[[#This Row],[SalesPK]],0)</f>
        <v>50</v>
      </c>
      <c r="T838" s="12">
        <v>50</v>
      </c>
      <c r="U838" s="10">
        <f>Table4[[#This Row],[ပါဝင်မှု]]*Table4[[#This Row],[SalesPK]]+Table4[[#This Row],[Bottle]]</f>
        <v>700</v>
      </c>
      <c r="V838" s="10">
        <f>Table4[[#This Row],[SalesBot]]*Table4[[#This Row],[ML]]</f>
        <v>448</v>
      </c>
      <c r="W838" s="1">
        <f>VLOOKUP(N838,Stock[#Data],6,FALSE)</f>
        <v>1800</v>
      </c>
      <c r="X838" s="8">
        <f>+Table4[[#This Row],[SalesBot]]*Table4[[#This Row],[နှုံး]]</f>
        <v>1260000</v>
      </c>
      <c r="Y838" s="12"/>
      <c r="Z838" s="12"/>
      <c r="AA838" s="12"/>
      <c r="AB838" s="9"/>
      <c r="AC838" s="12"/>
      <c r="AD838" s="9"/>
      <c r="AE838" s="12"/>
      <c r="AF83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838" s="24"/>
      <c r="AH838" s="266">
        <f>Table4[[#This Row],[Date]]</f>
        <v>46072</v>
      </c>
      <c r="AI838" s="264" t="str">
        <f t="shared" si="154"/>
        <v>Feb</v>
      </c>
      <c r="AJ838" s="264" t="str">
        <f t="shared" si="155"/>
        <v>2026</v>
      </c>
      <c r="AK838" s="270" t="str">
        <f>Table4[[#This Row],[ကုန်သည်အမည်]]</f>
        <v>Thailand</v>
      </c>
      <c r="AL838" s="270" t="str">
        <f>Table4[[#This Row],[Township]]</f>
        <v>Mudon</v>
      </c>
      <c r="AM838" s="271" t="str">
        <f>Table4[[#This Row],[WholeSales]]</f>
        <v>SemiWholeSales</v>
      </c>
      <c r="AN838" s="272" t="str">
        <f>Table4[[#This Row],[Particular]]</f>
        <v>ကုန်ရောင်း(အကြွေး)</v>
      </c>
      <c r="AO838" s="273" t="str">
        <f>Table4[[#This Row],[StockName]]</f>
        <v>ဇေယျဝတီ  Red(ပု)</v>
      </c>
      <c r="AP838" s="268">
        <f>Table4[[#This Row],[Parking]]</f>
        <v>50</v>
      </c>
      <c r="AQ838" s="268">
        <f>Table4[[#This Row],[SalesBot]]</f>
        <v>700</v>
      </c>
      <c r="AR838" s="268">
        <f>Table4[[#This Row],[Liter]]</f>
        <v>448</v>
      </c>
    </row>
    <row r="839" spans="1:44" s="16" customFormat="1" hidden="1" x14ac:dyDescent="0.5">
      <c r="A839" s="3">
        <f t="shared" si="156"/>
        <v>2026</v>
      </c>
      <c r="B839" s="8">
        <f t="shared" si="157"/>
        <v>2</v>
      </c>
      <c r="C839" s="6">
        <v>46072</v>
      </c>
      <c r="D839" s="15">
        <f t="shared" ca="1" si="158"/>
        <v>46097</v>
      </c>
      <c r="E839" s="15" t="str">
        <f t="shared" ca="1" si="159"/>
        <v>0-Months</v>
      </c>
      <c r="F839" s="8" t="str">
        <f>VLOOKUP(N839,Stock[#Data],5,FALSE)</f>
        <v>BE</v>
      </c>
      <c r="G839" s="82" t="s">
        <v>1491</v>
      </c>
      <c r="H839" s="15"/>
      <c r="I839" s="7" t="s">
        <v>82</v>
      </c>
      <c r="J839" s="8" t="str">
        <f>VLOOKUP(I839,Customers[#Data],2,FALSE)</f>
        <v>ဒေါ်ထွန်းမေ</v>
      </c>
      <c r="K839" s="15" t="str">
        <f>VLOOKUP(I839,Customers[#Data],4,FALSE)</f>
        <v>Maw La Myaing</v>
      </c>
      <c r="L839" s="15" t="str">
        <f>VLOOKUP(I839,Customers[#Data],5,FALSE)</f>
        <v>WholeSales</v>
      </c>
      <c r="M839" s="7" t="s">
        <v>7</v>
      </c>
      <c r="N839" s="7" t="s">
        <v>521</v>
      </c>
      <c r="O839" s="14" t="str">
        <f>VLOOKUP(N839,Stock[#Data],2,FALSE)</f>
        <v>ဒဂုံအရက်သန့်</v>
      </c>
      <c r="P839" s="44">
        <f>VLOOKUP(N839,Stock[#Data],3,FALSE)</f>
        <v>0.64</v>
      </c>
      <c r="Q839" s="3">
        <f>VLOOKUP(N839,Stock[#Data],4,FALSE)</f>
        <v>24</v>
      </c>
      <c r="R839" s="11"/>
      <c r="S839" s="45">
        <f>IFERROR(Table4[[#This Row],[Bottle]]/Table4[[#This Row],[ပါဝင်မှု]]+Table4[[#This Row],[SalesPK]],0)</f>
        <v>60</v>
      </c>
      <c r="T839" s="12">
        <v>60</v>
      </c>
      <c r="U839" s="10">
        <f>Table4[[#This Row],[ပါဝင်မှု]]*Table4[[#This Row],[SalesPK]]+Table4[[#This Row],[Bottle]]</f>
        <v>1440</v>
      </c>
      <c r="V839" s="10">
        <f>Table4[[#This Row],[SalesBot]]*Table4[[#This Row],[ML]]</f>
        <v>921.6</v>
      </c>
      <c r="W839" s="1">
        <f>VLOOKUP(N839,Stock[#Data],6,FALSE)</f>
        <v>1350</v>
      </c>
      <c r="X839" s="8">
        <f>+Table4[[#This Row],[SalesBot]]*Table4[[#This Row],[နှုံး]]</f>
        <v>1944000</v>
      </c>
      <c r="Y839" s="12"/>
      <c r="Z839" s="12"/>
      <c r="AA839" s="12"/>
      <c r="AB839" s="9"/>
      <c r="AC839" s="12"/>
      <c r="AD839" s="9"/>
      <c r="AE839" s="12"/>
      <c r="AF83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1944000</v>
      </c>
      <c r="AG839" s="24"/>
      <c r="AH839" s="266">
        <f>Table4[[#This Row],[Date]]</f>
        <v>46072</v>
      </c>
      <c r="AI839" s="264" t="str">
        <f t="shared" si="154"/>
        <v>Feb</v>
      </c>
      <c r="AJ839" s="264" t="str">
        <f t="shared" si="155"/>
        <v>2026</v>
      </c>
      <c r="AK839" s="270" t="str">
        <f>Table4[[#This Row],[ကုန်သည်အမည်]]</f>
        <v>ဒေါ်ထွန်းမေ</v>
      </c>
      <c r="AL839" s="270" t="str">
        <f>Table4[[#This Row],[Township]]</f>
        <v>Maw La Myaing</v>
      </c>
      <c r="AM839" s="271" t="str">
        <f>Table4[[#This Row],[WholeSales]]</f>
        <v>WholeSales</v>
      </c>
      <c r="AN839" s="272" t="str">
        <f>Table4[[#This Row],[Particular]]</f>
        <v>ကုန်ရောင်း(အကြွေး)</v>
      </c>
      <c r="AO839" s="273" t="str">
        <f>Table4[[#This Row],[StockName]]</f>
        <v>ဒဂုံအရက်သန့်</v>
      </c>
      <c r="AP839" s="268">
        <f>Table4[[#This Row],[Parking]]</f>
        <v>60</v>
      </c>
      <c r="AQ839" s="268">
        <f>Table4[[#This Row],[SalesBot]]</f>
        <v>1440</v>
      </c>
      <c r="AR839" s="268">
        <f>Table4[[#This Row],[Liter]]</f>
        <v>921.6</v>
      </c>
    </row>
    <row r="840" spans="1:44" s="16" customFormat="1" hidden="1" x14ac:dyDescent="0.5">
      <c r="A840" s="3">
        <f t="shared" si="156"/>
        <v>2026</v>
      </c>
      <c r="B840" s="8">
        <f t="shared" si="157"/>
        <v>2</v>
      </c>
      <c r="C840" s="6">
        <v>46073</v>
      </c>
      <c r="D840" s="15">
        <f t="shared" ca="1" si="158"/>
        <v>46097</v>
      </c>
      <c r="E840" s="15" t="str">
        <f t="shared" ca="1" si="159"/>
        <v>0-Months</v>
      </c>
      <c r="F840" s="8" t="str">
        <f>VLOOKUP(N840,Stock[#Data],5,FALSE)</f>
        <v>BE</v>
      </c>
      <c r="G840" s="82" t="s">
        <v>1492</v>
      </c>
      <c r="H840" s="15"/>
      <c r="I840" s="7" t="s">
        <v>102</v>
      </c>
      <c r="J840" s="8" t="str">
        <f>VLOOKUP(I840,Customers[#Data],2,FALSE)</f>
        <v>ဦးပြည်အေး</v>
      </c>
      <c r="K840" s="15" t="str">
        <f>VLOOKUP(I840,Customers[#Data],4,FALSE)</f>
        <v>Paung</v>
      </c>
      <c r="L840" s="15" t="str">
        <f>VLOOKUP(I840,Customers[#Data],5,FALSE)</f>
        <v>SemiWholeSales</v>
      </c>
      <c r="M840" s="7" t="s">
        <v>7</v>
      </c>
      <c r="N840" s="7" t="s">
        <v>516</v>
      </c>
      <c r="O840" s="14" t="str">
        <f>VLOOKUP(N840,Stock[#Data],2,FALSE)</f>
        <v>ဇေ Vodka</v>
      </c>
      <c r="P840" s="44">
        <f>VLOOKUP(N840,Stock[#Data],3,FALSE)</f>
        <v>0.64</v>
      </c>
      <c r="Q840" s="3">
        <f>VLOOKUP(N840,Stock[#Data],4,FALSE)</f>
        <v>14</v>
      </c>
      <c r="R840" s="11"/>
      <c r="S840" s="45">
        <f>IFERROR(Table4[[#This Row],[Bottle]]/Table4[[#This Row],[ပါဝင်မှု]]+Table4[[#This Row],[SalesPK]],0)</f>
        <v>50</v>
      </c>
      <c r="T840" s="12">
        <v>50</v>
      </c>
      <c r="U840" s="10">
        <f>Table4[[#This Row],[ပါဝင်မှု]]*Table4[[#This Row],[SalesPK]]+Table4[[#This Row],[Bottle]]</f>
        <v>700</v>
      </c>
      <c r="V840" s="10">
        <f>Table4[[#This Row],[SalesBot]]*Table4[[#This Row],[ML]]</f>
        <v>448</v>
      </c>
      <c r="W840" s="1">
        <f>VLOOKUP(N840,Stock[#Data],6,FALSE)</f>
        <v>1400</v>
      </c>
      <c r="X840" s="8">
        <f>+Table4[[#This Row],[SalesBot]]*Table4[[#This Row],[နှုံး]]</f>
        <v>980000</v>
      </c>
      <c r="Y840" s="12"/>
      <c r="Z840" s="12"/>
      <c r="AA840" s="12"/>
      <c r="AB840" s="9"/>
      <c r="AC840" s="12"/>
      <c r="AD840" s="9"/>
      <c r="AE840" s="12"/>
      <c r="AF84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980000</v>
      </c>
      <c r="AG840" s="24"/>
      <c r="AH840" s="266">
        <f>Table4[[#This Row],[Date]]</f>
        <v>46073</v>
      </c>
      <c r="AI840" s="264" t="str">
        <f t="shared" si="154"/>
        <v>Feb</v>
      </c>
      <c r="AJ840" s="264" t="str">
        <f t="shared" si="155"/>
        <v>2026</v>
      </c>
      <c r="AK840" s="270" t="str">
        <f>Table4[[#This Row],[ကုန်သည်အမည်]]</f>
        <v>ဦးပြည်အေး</v>
      </c>
      <c r="AL840" s="270" t="str">
        <f>Table4[[#This Row],[Township]]</f>
        <v>Paung</v>
      </c>
      <c r="AM840" s="271" t="str">
        <f>Table4[[#This Row],[WholeSales]]</f>
        <v>SemiWholeSales</v>
      </c>
      <c r="AN840" s="272" t="str">
        <f>Table4[[#This Row],[Particular]]</f>
        <v>ကုန်ရောင်း(အကြွေး)</v>
      </c>
      <c r="AO840" s="273" t="str">
        <f>Table4[[#This Row],[StockName]]</f>
        <v>ဇေ Vodka</v>
      </c>
      <c r="AP840" s="268">
        <f>Table4[[#This Row],[Parking]]</f>
        <v>50</v>
      </c>
      <c r="AQ840" s="268">
        <f>Table4[[#This Row],[SalesBot]]</f>
        <v>700</v>
      </c>
      <c r="AR840" s="268">
        <f>Table4[[#This Row],[Liter]]</f>
        <v>448</v>
      </c>
    </row>
    <row r="841" spans="1:44" s="16" customFormat="1" hidden="1" x14ac:dyDescent="0.5">
      <c r="A841" s="3">
        <f t="shared" ref="A841:A853" si="160">YEAR(C841)</f>
        <v>2026</v>
      </c>
      <c r="B841" s="8">
        <f t="shared" ref="B841:B853" si="161">MONTH(C841)</f>
        <v>2</v>
      </c>
      <c r="C841" s="6">
        <v>46073</v>
      </c>
      <c r="D841" s="15">
        <f t="shared" ref="D841:D853" ca="1" si="162">TODAY()</f>
        <v>46097</v>
      </c>
      <c r="E841" s="15" t="str">
        <f t="shared" ref="E841:E853" ca="1" si="163">DATEDIF(C841,D841,"M")&amp;"-Months"</f>
        <v>0-Months</v>
      </c>
      <c r="F841" s="8" t="str">
        <f>VLOOKUP(N841,Stock[#Data],5,FALSE)</f>
        <v>BE</v>
      </c>
      <c r="G841" s="82" t="s">
        <v>1492</v>
      </c>
      <c r="H841" s="15"/>
      <c r="I841" s="7" t="s">
        <v>102</v>
      </c>
      <c r="J841" s="8" t="str">
        <f>VLOOKUP(I841,Customers[#Data],2,FALSE)</f>
        <v>ဦးပြည်အေး</v>
      </c>
      <c r="K841" s="15" t="str">
        <f>VLOOKUP(I841,Customers[#Data],4,FALSE)</f>
        <v>Paung</v>
      </c>
      <c r="L841" s="15" t="str">
        <f>VLOOKUP(I841,Customers[#Data],5,FALSE)</f>
        <v>SemiWholeSales</v>
      </c>
      <c r="M841" s="7" t="s">
        <v>7</v>
      </c>
      <c r="N841" s="7" t="s">
        <v>521</v>
      </c>
      <c r="O841" s="14" t="str">
        <f>VLOOKUP(N841,Stock[#Data],2,FALSE)</f>
        <v>ဒဂုံအရက်သန့်</v>
      </c>
      <c r="P841" s="44">
        <f>VLOOKUP(N841,Stock[#Data],3,FALSE)</f>
        <v>0.64</v>
      </c>
      <c r="Q841" s="3">
        <f>VLOOKUP(N841,Stock[#Data],4,FALSE)</f>
        <v>24</v>
      </c>
      <c r="R841" s="11"/>
      <c r="S841" s="45">
        <f>IFERROR(Table4[[#This Row],[Bottle]]/Table4[[#This Row],[ပါဝင်မှု]]+Table4[[#This Row],[SalesPK]],0)</f>
        <v>20</v>
      </c>
      <c r="T841" s="12">
        <v>20</v>
      </c>
      <c r="U841" s="10">
        <f>Table4[[#This Row],[ပါဝင်မှု]]*Table4[[#This Row],[SalesPK]]+Table4[[#This Row],[Bottle]]</f>
        <v>480</v>
      </c>
      <c r="V841" s="10">
        <f>Table4[[#This Row],[SalesBot]]*Table4[[#This Row],[ML]]</f>
        <v>307.2</v>
      </c>
      <c r="W841" s="1">
        <f>VLOOKUP(N841,Stock[#Data],6,FALSE)</f>
        <v>1350</v>
      </c>
      <c r="X841" s="8">
        <f>+Table4[[#This Row],[SalesBot]]*Table4[[#This Row],[နှုံး]]</f>
        <v>648000</v>
      </c>
      <c r="Y841" s="12"/>
      <c r="Z841" s="12"/>
      <c r="AA841" s="12"/>
      <c r="AB841" s="9"/>
      <c r="AC841" s="12"/>
      <c r="AD841" s="9"/>
      <c r="AE841" s="12"/>
      <c r="AF84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648000</v>
      </c>
      <c r="AG841" s="24"/>
      <c r="AH841" s="266">
        <f>Table4[[#This Row],[Date]]</f>
        <v>46073</v>
      </c>
      <c r="AI841" s="264" t="str">
        <f t="shared" si="154"/>
        <v>Feb</v>
      </c>
      <c r="AJ841" s="264" t="str">
        <f t="shared" si="155"/>
        <v>2026</v>
      </c>
      <c r="AK841" s="270" t="str">
        <f>Table4[[#This Row],[ကုန်သည်အမည်]]</f>
        <v>ဦးပြည်အေး</v>
      </c>
      <c r="AL841" s="270" t="str">
        <f>Table4[[#This Row],[Township]]</f>
        <v>Paung</v>
      </c>
      <c r="AM841" s="271" t="str">
        <f>Table4[[#This Row],[WholeSales]]</f>
        <v>SemiWholeSales</v>
      </c>
      <c r="AN841" s="272" t="str">
        <f>Table4[[#This Row],[Particular]]</f>
        <v>ကုန်ရောင်း(အကြွေး)</v>
      </c>
      <c r="AO841" s="273" t="str">
        <f>Table4[[#This Row],[StockName]]</f>
        <v>ဒဂုံအရက်သန့်</v>
      </c>
      <c r="AP841" s="268">
        <f>Table4[[#This Row],[Parking]]</f>
        <v>20</v>
      </c>
      <c r="AQ841" s="268">
        <f>Table4[[#This Row],[SalesBot]]</f>
        <v>480</v>
      </c>
      <c r="AR841" s="268">
        <f>Table4[[#This Row],[Liter]]</f>
        <v>307.2</v>
      </c>
    </row>
    <row r="842" spans="1:44" s="16" customFormat="1" hidden="1" x14ac:dyDescent="0.5">
      <c r="A842" s="3">
        <f t="shared" si="160"/>
        <v>2026</v>
      </c>
      <c r="B842" s="8">
        <f t="shared" si="161"/>
        <v>2</v>
      </c>
      <c r="C842" s="6">
        <v>46073</v>
      </c>
      <c r="D842" s="15">
        <f t="shared" ca="1" si="162"/>
        <v>46097</v>
      </c>
      <c r="E842" s="15" t="str">
        <f t="shared" ca="1" si="163"/>
        <v>0-Months</v>
      </c>
      <c r="F842" s="8" t="str">
        <f>VLOOKUP(N842,Stock[#Data],5,FALSE)</f>
        <v>BE</v>
      </c>
      <c r="G842" s="82" t="s">
        <v>1493</v>
      </c>
      <c r="H842" s="15"/>
      <c r="I842" s="7" t="s">
        <v>101</v>
      </c>
      <c r="J842" s="8" t="str">
        <f>VLOOKUP(I842,Customers[#Data],2,FALSE)</f>
        <v>ကိုမောင်+မသူဇာ</v>
      </c>
      <c r="K842" s="15" t="str">
        <f>VLOOKUP(I842,Customers[#Data],4,FALSE)</f>
        <v>Yay</v>
      </c>
      <c r="L842" s="15" t="str">
        <f>VLOOKUP(I842,Customers[#Data],5,FALSE)</f>
        <v>WholeSales</v>
      </c>
      <c r="M842" s="7" t="s">
        <v>7</v>
      </c>
      <c r="N842" s="7" t="s">
        <v>517</v>
      </c>
      <c r="O842" s="14" t="str">
        <f>VLOOKUP(N842,Stock[#Data],2,FALSE)</f>
        <v>ဇေယျဝတီ Red (1 Liter) 30%</v>
      </c>
      <c r="P842" s="44">
        <f>VLOOKUP(N842,Stock[#Data],3,FALSE)</f>
        <v>1</v>
      </c>
      <c r="Q842" s="3">
        <f>VLOOKUP(N842,Stock[#Data],4,FALSE)</f>
        <v>12</v>
      </c>
      <c r="R842" s="11"/>
      <c r="S842" s="45">
        <f>IFERROR(Table4[[#This Row],[Bottle]]/Table4[[#This Row],[ပါဝင်မှု]]+Table4[[#This Row],[SalesPK]],0)</f>
        <v>100</v>
      </c>
      <c r="T842" s="12">
        <v>100</v>
      </c>
      <c r="U842" s="10">
        <f>Table4[[#This Row],[ပါဝင်မှု]]*Table4[[#This Row],[SalesPK]]+Table4[[#This Row],[Bottle]]</f>
        <v>1200</v>
      </c>
      <c r="V842" s="10">
        <f>Table4[[#This Row],[SalesBot]]*Table4[[#This Row],[ML]]</f>
        <v>1200</v>
      </c>
      <c r="W842" s="1">
        <f>VLOOKUP(N842,Stock[#Data],6,FALSE)</f>
        <v>1710</v>
      </c>
      <c r="X842" s="8">
        <f>+Table4[[#This Row],[SalesBot]]*Table4[[#This Row],[နှုံး]]</f>
        <v>2052000</v>
      </c>
      <c r="Y842" s="12"/>
      <c r="Z842" s="12"/>
      <c r="AA842" s="12"/>
      <c r="AB842" s="9"/>
      <c r="AC842" s="12"/>
      <c r="AD842" s="9"/>
      <c r="AE842" s="12"/>
      <c r="AF84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842" s="24"/>
      <c r="AH842" s="266">
        <f>Table4[[#This Row],[Date]]</f>
        <v>46073</v>
      </c>
      <c r="AI842" s="264" t="str">
        <f t="shared" si="154"/>
        <v>Feb</v>
      </c>
      <c r="AJ842" s="264" t="str">
        <f t="shared" si="155"/>
        <v>2026</v>
      </c>
      <c r="AK842" s="270" t="str">
        <f>Table4[[#This Row],[ကုန်သည်အမည်]]</f>
        <v>ကိုမောင်+မသူဇာ</v>
      </c>
      <c r="AL842" s="270" t="str">
        <f>Table4[[#This Row],[Township]]</f>
        <v>Yay</v>
      </c>
      <c r="AM842" s="271" t="str">
        <f>Table4[[#This Row],[WholeSales]]</f>
        <v>WholeSales</v>
      </c>
      <c r="AN842" s="272" t="str">
        <f>Table4[[#This Row],[Particular]]</f>
        <v>ကုန်ရောင်း(အကြွေး)</v>
      </c>
      <c r="AO842" s="273" t="str">
        <f>Table4[[#This Row],[StockName]]</f>
        <v>ဇေယျဝတီ Red (1 Liter) 30%</v>
      </c>
      <c r="AP842" s="268">
        <f>Table4[[#This Row],[Parking]]</f>
        <v>100</v>
      </c>
      <c r="AQ842" s="268">
        <f>Table4[[#This Row],[SalesBot]]</f>
        <v>1200</v>
      </c>
      <c r="AR842" s="268">
        <f>Table4[[#This Row],[Liter]]</f>
        <v>1200</v>
      </c>
    </row>
    <row r="843" spans="1:44" s="16" customFormat="1" hidden="1" x14ac:dyDescent="0.5">
      <c r="A843" s="3">
        <f t="shared" si="160"/>
        <v>2026</v>
      </c>
      <c r="B843" s="8">
        <f t="shared" si="161"/>
        <v>2</v>
      </c>
      <c r="C843" s="6">
        <v>46073</v>
      </c>
      <c r="D843" s="15">
        <f t="shared" ca="1" si="162"/>
        <v>46097</v>
      </c>
      <c r="E843" s="15" t="str">
        <f t="shared" ca="1" si="163"/>
        <v>0-Months</v>
      </c>
      <c r="F843" s="8" t="str">
        <f>VLOOKUP(N843,Stock[#Data],5,FALSE)</f>
        <v>BE</v>
      </c>
      <c r="G843" s="82" t="s">
        <v>1493</v>
      </c>
      <c r="H843" s="15"/>
      <c r="I843" s="7" t="s">
        <v>101</v>
      </c>
      <c r="J843" s="8" t="str">
        <f>VLOOKUP(I843,Customers[#Data],2,FALSE)</f>
        <v>ကိုမောင်+မသူဇာ</v>
      </c>
      <c r="K843" s="15" t="str">
        <f>VLOOKUP(I843,Customers[#Data],4,FALSE)</f>
        <v>Yay</v>
      </c>
      <c r="L843" s="15" t="str">
        <f>VLOOKUP(I843,Customers[#Data],5,FALSE)</f>
        <v>WholeSales</v>
      </c>
      <c r="M843" s="7" t="s">
        <v>9</v>
      </c>
      <c r="N843" s="7" t="s">
        <v>522</v>
      </c>
      <c r="O843" s="14" t="str">
        <f>VLOOKUP(N843,Stock[#Data],2,FALSE)</f>
        <v>ဒဂုံမန်ကျည်း ကော်ဘူး (1 Liter)</v>
      </c>
      <c r="P843" s="44">
        <f>VLOOKUP(N843,Stock[#Data],3,FALSE)</f>
        <v>1</v>
      </c>
      <c r="Q843" s="3">
        <f>VLOOKUP(N843,Stock[#Data],4,FALSE)</f>
        <v>12</v>
      </c>
      <c r="R843" s="11">
        <v>6</v>
      </c>
      <c r="S843" s="45">
        <f>IFERROR(Table4[[#This Row],[Bottle]]/Table4[[#This Row],[ပါဝင်မှု]]+Table4[[#This Row],[SalesPK]],0)</f>
        <v>0.5</v>
      </c>
      <c r="T843" s="12"/>
      <c r="U843" s="10">
        <f>Table4[[#This Row],[ပါဝင်မှု]]*Table4[[#This Row],[SalesPK]]+Table4[[#This Row],[Bottle]]</f>
        <v>6</v>
      </c>
      <c r="V843" s="10">
        <f>Table4[[#This Row],[SalesBot]]*Table4[[#This Row],[ML]]</f>
        <v>6</v>
      </c>
      <c r="W843" s="1">
        <f>VLOOKUP(N843,Stock[#Data],6,FALSE)</f>
        <v>1600</v>
      </c>
      <c r="X843" s="8">
        <f>+Table4[[#This Row],[SalesBot]]*Table4[[#This Row],[နှုံး]]</f>
        <v>9600</v>
      </c>
      <c r="Y843" s="12"/>
      <c r="Z843" s="12"/>
      <c r="AA843" s="12"/>
      <c r="AB843" s="9"/>
      <c r="AC843" s="12"/>
      <c r="AD843" s="9"/>
      <c r="AE843" s="12"/>
      <c r="AF84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9600</v>
      </c>
      <c r="AG843" s="24"/>
      <c r="AH843" s="266">
        <f>Table4[[#This Row],[Date]]</f>
        <v>46073</v>
      </c>
      <c r="AI843" s="264" t="str">
        <f t="shared" si="154"/>
        <v>Feb</v>
      </c>
      <c r="AJ843" s="264" t="str">
        <f t="shared" si="155"/>
        <v>2026</v>
      </c>
      <c r="AK843" s="270" t="str">
        <f>Table4[[#This Row],[ကုန်သည်အမည်]]</f>
        <v>ကိုမောင်+မသူဇာ</v>
      </c>
      <c r="AL843" s="270" t="str">
        <f>Table4[[#This Row],[Township]]</f>
        <v>Yay</v>
      </c>
      <c r="AM843" s="271" t="str">
        <f>Table4[[#This Row],[WholeSales]]</f>
        <v>WholeSales</v>
      </c>
      <c r="AN843" s="272" t="str">
        <f>Table4[[#This Row],[Particular]]</f>
        <v>လက်ဆောင်</v>
      </c>
      <c r="AO843" s="273" t="str">
        <f>Table4[[#This Row],[StockName]]</f>
        <v>ဒဂုံမန်ကျည်း ကော်ဘူး (1 Liter)</v>
      </c>
      <c r="AP843" s="268">
        <f>Table4[[#This Row],[Parking]]</f>
        <v>0.5</v>
      </c>
      <c r="AQ843" s="268">
        <f>Table4[[#This Row],[SalesBot]]</f>
        <v>6</v>
      </c>
      <c r="AR843" s="268">
        <f>Table4[[#This Row],[Liter]]</f>
        <v>6</v>
      </c>
    </row>
    <row r="844" spans="1:44" s="16" customFormat="1" hidden="1" x14ac:dyDescent="0.5">
      <c r="A844" s="3">
        <f t="shared" si="160"/>
        <v>2026</v>
      </c>
      <c r="B844" s="8">
        <f t="shared" si="161"/>
        <v>2</v>
      </c>
      <c r="C844" s="6">
        <v>46073</v>
      </c>
      <c r="D844" s="15">
        <f t="shared" ca="1" si="162"/>
        <v>46097</v>
      </c>
      <c r="E844" s="15" t="str">
        <f t="shared" ca="1" si="163"/>
        <v>0-Months</v>
      </c>
      <c r="F844" s="8" t="str">
        <f>VLOOKUP(N844,Stock[#Data],5,FALSE)</f>
        <v>BE</v>
      </c>
      <c r="G844" s="82" t="s">
        <v>1493</v>
      </c>
      <c r="H844" s="15"/>
      <c r="I844" s="7" t="s">
        <v>101</v>
      </c>
      <c r="J844" s="8" t="str">
        <f>VLOOKUP(I844,Customers[#Data],2,FALSE)</f>
        <v>ကိုမောင်+မသူဇာ</v>
      </c>
      <c r="K844" s="15" t="str">
        <f>VLOOKUP(I844,Customers[#Data],4,FALSE)</f>
        <v>Yay</v>
      </c>
      <c r="L844" s="15" t="str">
        <f>VLOOKUP(I844,Customers[#Data],5,FALSE)</f>
        <v>WholeSales</v>
      </c>
      <c r="M844" s="7" t="s">
        <v>9</v>
      </c>
      <c r="N844" s="7" t="s">
        <v>425</v>
      </c>
      <c r="O844" s="14" t="str">
        <f>VLOOKUP(N844,Stock[#Data],2,FALSE)</f>
        <v>ကောင်းကြည်-1Li</v>
      </c>
      <c r="P844" s="44">
        <f>VLOOKUP(N844,Stock[#Data],3,FALSE)</f>
        <v>1</v>
      </c>
      <c r="Q844" s="3">
        <f>VLOOKUP(N844,Stock[#Data],4,FALSE)</f>
        <v>12</v>
      </c>
      <c r="R844" s="11">
        <v>3</v>
      </c>
      <c r="S844" s="45">
        <f>IFERROR(Table4[[#This Row],[Bottle]]/Table4[[#This Row],[ပါဝင်မှု]]+Table4[[#This Row],[SalesPK]],0)</f>
        <v>0.25</v>
      </c>
      <c r="T844" s="12"/>
      <c r="U844" s="10">
        <f>Table4[[#This Row],[ပါဝင်မှု]]*Table4[[#This Row],[SalesPK]]+Table4[[#This Row],[Bottle]]</f>
        <v>3</v>
      </c>
      <c r="V844" s="10">
        <f>Table4[[#This Row],[SalesBot]]*Table4[[#This Row],[ML]]</f>
        <v>3</v>
      </c>
      <c r="W844" s="1">
        <f>VLOOKUP(N844,Stock[#Data],6,FALSE)</f>
        <v>1500</v>
      </c>
      <c r="X844" s="8">
        <f>+Table4[[#This Row],[SalesBot]]*Table4[[#This Row],[နှုံး]]</f>
        <v>4500</v>
      </c>
      <c r="Y844" s="12"/>
      <c r="Z844" s="12"/>
      <c r="AA844" s="12"/>
      <c r="AB844" s="9"/>
      <c r="AC844" s="12"/>
      <c r="AD844" s="9"/>
      <c r="AE844" s="12"/>
      <c r="AF84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4500</v>
      </c>
      <c r="AG844" s="24"/>
      <c r="AH844" s="266">
        <f>Table4[[#This Row],[Date]]</f>
        <v>46073</v>
      </c>
      <c r="AI844" s="264" t="str">
        <f t="shared" si="154"/>
        <v>Feb</v>
      </c>
      <c r="AJ844" s="264" t="str">
        <f t="shared" si="155"/>
        <v>2026</v>
      </c>
      <c r="AK844" s="270" t="str">
        <f>Table4[[#This Row],[ကုန်သည်အမည်]]</f>
        <v>ကိုမောင်+မသူဇာ</v>
      </c>
      <c r="AL844" s="270" t="str">
        <f>Table4[[#This Row],[Township]]</f>
        <v>Yay</v>
      </c>
      <c r="AM844" s="271" t="str">
        <f>Table4[[#This Row],[WholeSales]]</f>
        <v>WholeSales</v>
      </c>
      <c r="AN844" s="272" t="str">
        <f>Table4[[#This Row],[Particular]]</f>
        <v>လက်ဆောင်</v>
      </c>
      <c r="AO844" s="273" t="str">
        <f>Table4[[#This Row],[StockName]]</f>
        <v>ကောင်းကြည်-1Li</v>
      </c>
      <c r="AP844" s="268">
        <f>Table4[[#This Row],[Parking]]</f>
        <v>0.25</v>
      </c>
      <c r="AQ844" s="268">
        <f>Table4[[#This Row],[SalesBot]]</f>
        <v>3</v>
      </c>
      <c r="AR844" s="268">
        <f>Table4[[#This Row],[Liter]]</f>
        <v>3</v>
      </c>
    </row>
    <row r="845" spans="1:44" s="16" customFormat="1" hidden="1" x14ac:dyDescent="0.5">
      <c r="A845" s="3">
        <f t="shared" si="160"/>
        <v>2026</v>
      </c>
      <c r="B845" s="8">
        <f t="shared" si="161"/>
        <v>2</v>
      </c>
      <c r="C845" s="6">
        <v>46073</v>
      </c>
      <c r="D845" s="15">
        <f t="shared" ca="1" si="162"/>
        <v>46097</v>
      </c>
      <c r="E845" s="15" t="str">
        <f t="shared" ca="1" si="163"/>
        <v>0-Months</v>
      </c>
      <c r="F845" s="8" t="str">
        <f>VLOOKUP(N845,Stock[#Data],5,FALSE)</f>
        <v>BE</v>
      </c>
      <c r="G845" s="82" t="s">
        <v>1493</v>
      </c>
      <c r="H845" s="15"/>
      <c r="I845" s="7" t="s">
        <v>101</v>
      </c>
      <c r="J845" s="8" t="str">
        <f>VLOOKUP(I845,Customers[#Data],2,FALSE)</f>
        <v>ကိုမောင်+မသူဇာ</v>
      </c>
      <c r="K845" s="15" t="str">
        <f>VLOOKUP(I845,Customers[#Data],4,FALSE)</f>
        <v>Yay</v>
      </c>
      <c r="L845" s="15" t="str">
        <f>VLOOKUP(I845,Customers[#Data],5,FALSE)</f>
        <v>WholeSales</v>
      </c>
      <c r="M845" s="7" t="s">
        <v>9</v>
      </c>
      <c r="N845" s="7" t="s">
        <v>508</v>
      </c>
      <c r="O845" s="14" t="str">
        <f>VLOOKUP(N845,Stock[#Data],2,FALSE)</f>
        <v>ကောင်းကြည်-1Li</v>
      </c>
      <c r="P845" s="44">
        <f>VLOOKUP(N845,Stock[#Data],3,FALSE)</f>
        <v>1</v>
      </c>
      <c r="Q845" s="3">
        <f>VLOOKUP(N845,Stock[#Data],4,FALSE)</f>
        <v>12</v>
      </c>
      <c r="R845" s="11">
        <v>3</v>
      </c>
      <c r="S845" s="45">
        <f>IFERROR(Table4[[#This Row],[Bottle]]/Table4[[#This Row],[ပါဝင်မှု]]+Table4[[#This Row],[SalesPK]],0)</f>
        <v>0.25</v>
      </c>
      <c r="T845" s="12"/>
      <c r="U845" s="10">
        <f>Table4[[#This Row],[ပါဝင်မှု]]*Table4[[#This Row],[SalesPK]]+Table4[[#This Row],[Bottle]]</f>
        <v>3</v>
      </c>
      <c r="V845" s="10">
        <f>Table4[[#This Row],[SalesBot]]*Table4[[#This Row],[ML]]</f>
        <v>3</v>
      </c>
      <c r="W845" s="1">
        <f>VLOOKUP(N845,Stock[#Data],6,FALSE)</f>
        <v>1850</v>
      </c>
      <c r="X845" s="8">
        <f>+Table4[[#This Row],[SalesBot]]*Table4[[#This Row],[နှုံး]]</f>
        <v>5550</v>
      </c>
      <c r="Y845" s="12"/>
      <c r="Z845" s="12"/>
      <c r="AA845" s="12"/>
      <c r="AB845" s="9"/>
      <c r="AC845" s="12"/>
      <c r="AD845" s="9"/>
      <c r="AE845" s="12"/>
      <c r="AF84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5550</v>
      </c>
      <c r="AG845" s="24"/>
      <c r="AH845" s="266">
        <f>Table4[[#This Row],[Date]]</f>
        <v>46073</v>
      </c>
      <c r="AI845" s="264" t="str">
        <f t="shared" si="154"/>
        <v>Feb</v>
      </c>
      <c r="AJ845" s="264" t="str">
        <f t="shared" si="155"/>
        <v>2026</v>
      </c>
      <c r="AK845" s="270" t="str">
        <f>Table4[[#This Row],[ကုန်သည်အမည်]]</f>
        <v>ကိုမောင်+မသူဇာ</v>
      </c>
      <c r="AL845" s="270" t="str">
        <f>Table4[[#This Row],[Township]]</f>
        <v>Yay</v>
      </c>
      <c r="AM845" s="271" t="str">
        <f>Table4[[#This Row],[WholeSales]]</f>
        <v>WholeSales</v>
      </c>
      <c r="AN845" s="272" t="str">
        <f>Table4[[#This Row],[Particular]]</f>
        <v>လက်ဆောင်</v>
      </c>
      <c r="AO845" s="273" t="str">
        <f>Table4[[#This Row],[StockName]]</f>
        <v>ကောင်းကြည်-1Li</v>
      </c>
      <c r="AP845" s="268">
        <f>Table4[[#This Row],[Parking]]</f>
        <v>0.25</v>
      </c>
      <c r="AQ845" s="268">
        <f>Table4[[#This Row],[SalesBot]]</f>
        <v>3</v>
      </c>
      <c r="AR845" s="268">
        <f>Table4[[#This Row],[Liter]]</f>
        <v>3</v>
      </c>
    </row>
    <row r="846" spans="1:44" s="16" customFormat="1" hidden="1" x14ac:dyDescent="0.5">
      <c r="A846" s="3">
        <f t="shared" si="160"/>
        <v>2026</v>
      </c>
      <c r="B846" s="8">
        <f t="shared" si="161"/>
        <v>2</v>
      </c>
      <c r="C846" s="6">
        <v>46073</v>
      </c>
      <c r="D846" s="15">
        <f t="shared" ca="1" si="162"/>
        <v>46097</v>
      </c>
      <c r="E846" s="15" t="str">
        <f t="shared" ca="1" si="163"/>
        <v>0-Months</v>
      </c>
      <c r="F846" s="8" t="str">
        <f>VLOOKUP(N846,Stock[#Data],5,FALSE)</f>
        <v>BE</v>
      </c>
      <c r="G846" s="82" t="s">
        <v>1494</v>
      </c>
      <c r="H846" s="15"/>
      <c r="I846" s="7" t="s">
        <v>538</v>
      </c>
      <c r="J846" s="8" t="str">
        <f>VLOOKUP(I846,Customers[#Data],2,FALSE)</f>
        <v>ဒေါ်နွယ်နွယ်ရီ(ရွှေတောင်ကြား)</v>
      </c>
      <c r="K846" s="15" t="str">
        <f>VLOOKUP(I846,Customers[#Data],4,FALSE)</f>
        <v>Yay</v>
      </c>
      <c r="L846" s="15" t="str">
        <f>VLOOKUP(I846,Customers[#Data],5,FALSE)</f>
        <v>WholeSales</v>
      </c>
      <c r="M846" s="7" t="s">
        <v>7</v>
      </c>
      <c r="N846" s="7" t="s">
        <v>514</v>
      </c>
      <c r="O846" s="14" t="str">
        <f>VLOOKUP(N846,Stock[#Data],2,FALSE)</f>
        <v>ဇေယျဝတီ Red</v>
      </c>
      <c r="P846" s="44">
        <f>VLOOKUP(N846,Stock[#Data],3,FALSE)</f>
        <v>0.64</v>
      </c>
      <c r="Q846" s="3">
        <f>VLOOKUP(N846,Stock[#Data],4,FALSE)</f>
        <v>14</v>
      </c>
      <c r="R846" s="11"/>
      <c r="S846" s="45">
        <f>IFERROR(Table4[[#This Row],[Bottle]]/Table4[[#This Row],[ပါဝင်မှု]]+Table4[[#This Row],[SalesPK]],0)</f>
        <v>200</v>
      </c>
      <c r="T846" s="12">
        <v>200</v>
      </c>
      <c r="U846" s="10">
        <f>Table4[[#This Row],[ပါဝင်မှု]]*Table4[[#This Row],[SalesPK]]+Table4[[#This Row],[Bottle]]</f>
        <v>2800</v>
      </c>
      <c r="V846" s="10">
        <f>Table4[[#This Row],[SalesBot]]*Table4[[#This Row],[ML]]</f>
        <v>1792</v>
      </c>
      <c r="W846" s="1">
        <f>VLOOKUP(N846,Stock[#Data],6,FALSE)</f>
        <v>1350</v>
      </c>
      <c r="X846" s="8">
        <f>+Table4[[#This Row],[SalesBot]]*Table4[[#This Row],[နှုံး]]</f>
        <v>3780000</v>
      </c>
      <c r="Y846" s="12"/>
      <c r="Z846" s="12"/>
      <c r="AA846" s="12"/>
      <c r="AB846" s="9"/>
      <c r="AC846" s="12"/>
      <c r="AD846" s="9"/>
      <c r="AE846" s="12"/>
      <c r="AF84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3780000</v>
      </c>
      <c r="AG846" s="24"/>
      <c r="AH846" s="266">
        <f>Table4[[#This Row],[Date]]</f>
        <v>46073</v>
      </c>
      <c r="AI846" s="264" t="str">
        <f t="shared" si="154"/>
        <v>Feb</v>
      </c>
      <c r="AJ846" s="264" t="str">
        <f t="shared" si="155"/>
        <v>2026</v>
      </c>
      <c r="AK846" s="270" t="str">
        <f>Table4[[#This Row],[ကုန်သည်အမည်]]</f>
        <v>ဒေါ်နွယ်နွယ်ရီ(ရွှေတောင်ကြား)</v>
      </c>
      <c r="AL846" s="270" t="str">
        <f>Table4[[#This Row],[Township]]</f>
        <v>Yay</v>
      </c>
      <c r="AM846" s="271" t="str">
        <f>Table4[[#This Row],[WholeSales]]</f>
        <v>WholeSales</v>
      </c>
      <c r="AN846" s="272" t="str">
        <f>Table4[[#This Row],[Particular]]</f>
        <v>ကုန်ရောင်း(အကြွေး)</v>
      </c>
      <c r="AO846" s="273" t="str">
        <f>Table4[[#This Row],[StockName]]</f>
        <v>ဇေယျဝတီ Red</v>
      </c>
      <c r="AP846" s="268">
        <f>Table4[[#This Row],[Parking]]</f>
        <v>200</v>
      </c>
      <c r="AQ846" s="268">
        <f>Table4[[#This Row],[SalesBot]]</f>
        <v>2800</v>
      </c>
      <c r="AR846" s="268">
        <f>Table4[[#This Row],[Liter]]</f>
        <v>1792</v>
      </c>
    </row>
    <row r="847" spans="1:44" s="16" customFormat="1" hidden="1" x14ac:dyDescent="0.5">
      <c r="A847" s="3">
        <f>YEAR(C847)</f>
        <v>2026</v>
      </c>
      <c r="B847" s="8">
        <f>MONTH(C847)</f>
        <v>2</v>
      </c>
      <c r="C847" s="6">
        <v>46073</v>
      </c>
      <c r="D847" s="15">
        <f ca="1">TODAY()</f>
        <v>46097</v>
      </c>
      <c r="E847" s="15" t="str">
        <f ca="1">DATEDIF(C847,D847,"M")&amp;"-Months"</f>
        <v>0-Months</v>
      </c>
      <c r="F847" s="8" t="str">
        <f>VLOOKUP(N847,Stock[#Data],5,FALSE)</f>
        <v>BE</v>
      </c>
      <c r="G847" s="82" t="s">
        <v>1494</v>
      </c>
      <c r="H847" s="15"/>
      <c r="I847" s="7" t="s">
        <v>101</v>
      </c>
      <c r="J847" s="8" t="str">
        <f>VLOOKUP(I847,Customers[#Data],2,FALSE)</f>
        <v>ကိုမောင်+မသူဇာ</v>
      </c>
      <c r="K847" s="15" t="str">
        <f>VLOOKUP(I847,Customers[#Data],4,FALSE)</f>
        <v>Yay</v>
      </c>
      <c r="L847" s="15" t="str">
        <f>VLOOKUP(I847,Customers[#Data],5,FALSE)</f>
        <v>WholeSales</v>
      </c>
      <c r="M847" s="7" t="s">
        <v>7</v>
      </c>
      <c r="N847" s="7" t="s">
        <v>517</v>
      </c>
      <c r="O847" s="14" t="str">
        <f>VLOOKUP(N847,Stock[#Data],2,FALSE)</f>
        <v>ဇေယျဝတီ Red (1 Liter) 30%</v>
      </c>
      <c r="P847" s="44">
        <f>VLOOKUP(N847,Stock[#Data],3,FALSE)</f>
        <v>1</v>
      </c>
      <c r="Q847" s="3">
        <f>VLOOKUP(N847,Stock[#Data],4,FALSE)</f>
        <v>12</v>
      </c>
      <c r="R847" s="11"/>
      <c r="S847" s="45">
        <f>IFERROR(Table4[[#This Row],[Bottle]]/Table4[[#This Row],[ပါဝင်မှု]]+Table4[[#This Row],[SalesPK]],0)</f>
        <v>50</v>
      </c>
      <c r="T847" s="12">
        <v>50</v>
      </c>
      <c r="U847" s="10">
        <f>Table4[[#This Row],[ပါဝင်မှု]]*Table4[[#This Row],[SalesPK]]+Table4[[#This Row],[Bottle]]</f>
        <v>600</v>
      </c>
      <c r="V847" s="10">
        <f>Table4[[#This Row],[SalesBot]]*Table4[[#This Row],[ML]]</f>
        <v>600</v>
      </c>
      <c r="W847" s="1">
        <f>VLOOKUP(N847,Stock[#Data],6,FALSE)</f>
        <v>1710</v>
      </c>
      <c r="X847" s="8">
        <f>+Table4[[#This Row],[SalesBot]]*Table4[[#This Row],[နှုံး]]</f>
        <v>1026000</v>
      </c>
      <c r="Y847" s="12"/>
      <c r="Z847" s="12"/>
      <c r="AA847" s="12"/>
      <c r="AB847" s="9"/>
      <c r="AC847" s="12"/>
      <c r="AD847" s="9"/>
      <c r="AE847" s="12"/>
      <c r="AF84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847" s="24"/>
      <c r="AH847" s="266">
        <f>Table4[[#This Row],[Date]]</f>
        <v>46073</v>
      </c>
      <c r="AI847" s="264" t="str">
        <f t="shared" si="154"/>
        <v>Feb</v>
      </c>
      <c r="AJ847" s="264" t="str">
        <f t="shared" si="155"/>
        <v>2026</v>
      </c>
      <c r="AK847" s="270" t="str">
        <f>Table4[[#This Row],[ကုန်သည်အမည်]]</f>
        <v>ကိုမောင်+မသူဇာ</v>
      </c>
      <c r="AL847" s="270" t="str">
        <f>Table4[[#This Row],[Township]]</f>
        <v>Yay</v>
      </c>
      <c r="AM847" s="271" t="str">
        <f>Table4[[#This Row],[WholeSales]]</f>
        <v>WholeSales</v>
      </c>
      <c r="AN847" s="272" t="str">
        <f>Table4[[#This Row],[Particular]]</f>
        <v>ကုန်ရောင်း(အကြွေး)</v>
      </c>
      <c r="AO847" s="273" t="str">
        <f>Table4[[#This Row],[StockName]]</f>
        <v>ဇေယျဝတီ Red (1 Liter) 30%</v>
      </c>
      <c r="AP847" s="268">
        <f>Table4[[#This Row],[Parking]]</f>
        <v>50</v>
      </c>
      <c r="AQ847" s="268">
        <f>Table4[[#This Row],[SalesBot]]</f>
        <v>600</v>
      </c>
      <c r="AR847" s="268">
        <f>Table4[[#This Row],[Liter]]</f>
        <v>600</v>
      </c>
    </row>
    <row r="848" spans="1:44" s="16" customFormat="1" hidden="1" x14ac:dyDescent="0.5">
      <c r="A848" s="3">
        <f t="shared" si="160"/>
        <v>2026</v>
      </c>
      <c r="B848" s="8">
        <f t="shared" si="161"/>
        <v>2</v>
      </c>
      <c r="C848" s="6">
        <v>46073</v>
      </c>
      <c r="D848" s="15">
        <f t="shared" ca="1" si="162"/>
        <v>46097</v>
      </c>
      <c r="E848" s="15" t="str">
        <f t="shared" ca="1" si="163"/>
        <v>0-Months</v>
      </c>
      <c r="F848" s="8" t="str">
        <f>VLOOKUP(N848,Stock[#Data],5,FALSE)</f>
        <v>BE</v>
      </c>
      <c r="G848" s="82" t="s">
        <v>1495</v>
      </c>
      <c r="H848" s="15"/>
      <c r="I848" s="7" t="s">
        <v>565</v>
      </c>
      <c r="J848" s="8" t="str">
        <f>VLOOKUP(I848,Customers[#Data],2,FALSE)</f>
        <v>မဇာဇာ</v>
      </c>
      <c r="K848" s="15" t="str">
        <f>VLOOKUP(I848,Customers[#Data],4,FALSE)</f>
        <v>Maw La Myaing</v>
      </c>
      <c r="L848" s="15" t="str">
        <f>VLOOKUP(I848,Customers[#Data],5,FALSE)</f>
        <v>Van Sales</v>
      </c>
      <c r="M848" s="7" t="s">
        <v>6</v>
      </c>
      <c r="N848" s="7" t="s">
        <v>516</v>
      </c>
      <c r="O848" s="14" t="str">
        <f>VLOOKUP(N848,Stock[#Data],2,FALSE)</f>
        <v>ဇေ Vodka</v>
      </c>
      <c r="P848" s="44">
        <f>VLOOKUP(N848,Stock[#Data],3,FALSE)</f>
        <v>0.64</v>
      </c>
      <c r="Q848" s="3">
        <f>VLOOKUP(N848,Stock[#Data],4,FALSE)</f>
        <v>14</v>
      </c>
      <c r="R848" s="11"/>
      <c r="S848" s="45">
        <f>IFERROR(Table4[[#This Row],[Bottle]]/Table4[[#This Row],[ပါဝင်မှု]]+Table4[[#This Row],[SalesPK]],0)</f>
        <v>5</v>
      </c>
      <c r="T848" s="12">
        <v>5</v>
      </c>
      <c r="U848" s="10">
        <f>Table4[[#This Row],[ပါဝင်မှု]]*Table4[[#This Row],[SalesPK]]+Table4[[#This Row],[Bottle]]</f>
        <v>70</v>
      </c>
      <c r="V848" s="10">
        <f>Table4[[#This Row],[SalesBot]]*Table4[[#This Row],[ML]]</f>
        <v>44.800000000000004</v>
      </c>
      <c r="W848" s="1">
        <f>VLOOKUP(N848,Stock[#Data],6,FALSE)</f>
        <v>1400</v>
      </c>
      <c r="X848" s="8">
        <f>+Table4[[#This Row],[SalesBot]]*Table4[[#This Row],[နှုံး]]</f>
        <v>98000</v>
      </c>
      <c r="Y848" s="12"/>
      <c r="Z848" s="12"/>
      <c r="AA848" s="12"/>
      <c r="AB848" s="9"/>
      <c r="AC848" s="12"/>
      <c r="AD848" s="9"/>
      <c r="AE848" s="12"/>
      <c r="AF84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</v>
      </c>
      <c r="AG848" s="24"/>
      <c r="AH848" s="266">
        <f>Table4[[#This Row],[Date]]</f>
        <v>46073</v>
      </c>
      <c r="AI848" s="264" t="str">
        <f t="shared" si="154"/>
        <v>Feb</v>
      </c>
      <c r="AJ848" s="264" t="str">
        <f t="shared" si="155"/>
        <v>2026</v>
      </c>
      <c r="AK848" s="270" t="str">
        <f>Table4[[#This Row],[ကုန်သည်အမည်]]</f>
        <v>မဇာဇာ</v>
      </c>
      <c r="AL848" s="270" t="str">
        <f>Table4[[#This Row],[Township]]</f>
        <v>Maw La Myaing</v>
      </c>
      <c r="AM848" s="271" t="str">
        <f>Table4[[#This Row],[WholeSales]]</f>
        <v>Van Sales</v>
      </c>
      <c r="AN848" s="272" t="str">
        <f>Table4[[#This Row],[Particular]]</f>
        <v>ကုန်ရောင်း(လက်ငင်း)</v>
      </c>
      <c r="AO848" s="273" t="str">
        <f>Table4[[#This Row],[StockName]]</f>
        <v>ဇေ Vodka</v>
      </c>
      <c r="AP848" s="268">
        <f>Table4[[#This Row],[Parking]]</f>
        <v>5</v>
      </c>
      <c r="AQ848" s="268">
        <f>Table4[[#This Row],[SalesBot]]</f>
        <v>70</v>
      </c>
      <c r="AR848" s="268">
        <f>Table4[[#This Row],[Liter]]</f>
        <v>44.800000000000004</v>
      </c>
    </row>
    <row r="849" spans="1:44" s="16" customFormat="1" hidden="1" x14ac:dyDescent="0.5">
      <c r="A849" s="3">
        <f t="shared" si="160"/>
        <v>2026</v>
      </c>
      <c r="B849" s="8">
        <f t="shared" si="161"/>
        <v>2</v>
      </c>
      <c r="C849" s="6">
        <v>46073</v>
      </c>
      <c r="D849" s="15">
        <f t="shared" ca="1" si="162"/>
        <v>46097</v>
      </c>
      <c r="E849" s="15" t="str">
        <f t="shared" ca="1" si="163"/>
        <v>0-Months</v>
      </c>
      <c r="F849" s="8" t="str">
        <f>VLOOKUP(N849,Stock[#Data],5,FALSE)</f>
        <v>BE</v>
      </c>
      <c r="G849" s="82" t="s">
        <v>1495</v>
      </c>
      <c r="H849" s="15"/>
      <c r="I849" s="7" t="s">
        <v>565</v>
      </c>
      <c r="J849" s="8" t="str">
        <f>VLOOKUP(I849,Customers[#Data],2,FALSE)</f>
        <v>မဇာဇာ</v>
      </c>
      <c r="K849" s="15" t="str">
        <f>VLOOKUP(I849,Customers[#Data],4,FALSE)</f>
        <v>Maw La Myaing</v>
      </c>
      <c r="L849" s="15" t="str">
        <f>VLOOKUP(I849,Customers[#Data],5,FALSE)</f>
        <v>Van Sales</v>
      </c>
      <c r="M849" s="7" t="s">
        <v>6</v>
      </c>
      <c r="N849" s="7" t="s">
        <v>518</v>
      </c>
      <c r="O849" s="14" t="str">
        <f>VLOOKUP(N849,Stock[#Data],2,FALSE)</f>
        <v>"ဇေ" ကော်ဘူး (1 Liter)</v>
      </c>
      <c r="P849" s="44">
        <f>VLOOKUP(N849,Stock[#Data],3,FALSE)</f>
        <v>1</v>
      </c>
      <c r="Q849" s="3">
        <f>VLOOKUP(N849,Stock[#Data],4,FALSE)</f>
        <v>12</v>
      </c>
      <c r="R849" s="11"/>
      <c r="S849" s="45">
        <f>IFERROR(Table4[[#This Row],[Bottle]]/Table4[[#This Row],[ပါဝင်မှု]]+Table4[[#This Row],[SalesPK]],0)</f>
        <v>10</v>
      </c>
      <c r="T849" s="12">
        <v>10</v>
      </c>
      <c r="U849" s="10">
        <f>Table4[[#This Row],[ပါဝင်မှု]]*Table4[[#This Row],[SalesPK]]+Table4[[#This Row],[Bottle]]</f>
        <v>120</v>
      </c>
      <c r="V849" s="10">
        <f>Table4[[#This Row],[SalesBot]]*Table4[[#This Row],[ML]]</f>
        <v>120</v>
      </c>
      <c r="W849" s="1">
        <f>VLOOKUP(N849,Stock[#Data],6,FALSE)</f>
        <v>1675</v>
      </c>
      <c r="X849" s="8">
        <f>+Table4[[#This Row],[SalesBot]]*Table4[[#This Row],[နှုံး]]</f>
        <v>201000</v>
      </c>
      <c r="Y849" s="12"/>
      <c r="Z849" s="12"/>
      <c r="AA849" s="12"/>
      <c r="AB849" s="9"/>
      <c r="AC849" s="12"/>
      <c r="AD849" s="9"/>
      <c r="AE849" s="12"/>
      <c r="AF84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201000</v>
      </c>
      <c r="AG849" s="24"/>
      <c r="AH849" s="266">
        <f>Table4[[#This Row],[Date]]</f>
        <v>46073</v>
      </c>
      <c r="AI849" s="264" t="str">
        <f t="shared" si="154"/>
        <v>Feb</v>
      </c>
      <c r="AJ849" s="264" t="str">
        <f t="shared" si="155"/>
        <v>2026</v>
      </c>
      <c r="AK849" s="270" t="str">
        <f>Table4[[#This Row],[ကုန်သည်အမည်]]</f>
        <v>မဇာဇာ</v>
      </c>
      <c r="AL849" s="270" t="str">
        <f>Table4[[#This Row],[Township]]</f>
        <v>Maw La Myaing</v>
      </c>
      <c r="AM849" s="271" t="str">
        <f>Table4[[#This Row],[WholeSales]]</f>
        <v>Van Sales</v>
      </c>
      <c r="AN849" s="272" t="str">
        <f>Table4[[#This Row],[Particular]]</f>
        <v>ကုန်ရောင်း(လက်ငင်း)</v>
      </c>
      <c r="AO849" s="273" t="str">
        <f>Table4[[#This Row],[StockName]]</f>
        <v>"ဇေ" ကော်ဘူး (1 Liter)</v>
      </c>
      <c r="AP849" s="268">
        <f>Table4[[#This Row],[Parking]]</f>
        <v>10</v>
      </c>
      <c r="AQ849" s="268">
        <f>Table4[[#This Row],[SalesBot]]</f>
        <v>120</v>
      </c>
      <c r="AR849" s="268">
        <f>Table4[[#This Row],[Liter]]</f>
        <v>120</v>
      </c>
    </row>
    <row r="850" spans="1:44" s="16" customFormat="1" hidden="1" x14ac:dyDescent="0.5">
      <c r="A850" s="3">
        <f t="shared" si="160"/>
        <v>2026</v>
      </c>
      <c r="B850" s="8">
        <f t="shared" si="161"/>
        <v>2</v>
      </c>
      <c r="C850" s="6">
        <v>46073</v>
      </c>
      <c r="D850" s="15">
        <f t="shared" ca="1" si="162"/>
        <v>46097</v>
      </c>
      <c r="E850" s="15" t="str">
        <f t="shared" ca="1" si="163"/>
        <v>0-Months</v>
      </c>
      <c r="F850" s="8" t="str">
        <f>VLOOKUP(N850,Stock[#Data],5,FALSE)</f>
        <v>BE</v>
      </c>
      <c r="G850" s="82" t="s">
        <v>1495</v>
      </c>
      <c r="H850" s="15"/>
      <c r="I850" s="7" t="s">
        <v>565</v>
      </c>
      <c r="J850" s="8" t="str">
        <f>VLOOKUP(I850,Customers[#Data],2,FALSE)</f>
        <v>မဇာဇာ</v>
      </c>
      <c r="K850" s="15" t="str">
        <f>VLOOKUP(I850,Customers[#Data],4,FALSE)</f>
        <v>Maw La Myaing</v>
      </c>
      <c r="L850" s="15" t="str">
        <f>VLOOKUP(I850,Customers[#Data],5,FALSE)</f>
        <v>Van Sales</v>
      </c>
      <c r="M850" s="7" t="s">
        <v>6</v>
      </c>
      <c r="N850" s="7" t="s">
        <v>508</v>
      </c>
      <c r="O850" s="14" t="str">
        <f>VLOOKUP(N850,Stock[#Data],2,FALSE)</f>
        <v>ကောင်းကြည်-1Li</v>
      </c>
      <c r="P850" s="44">
        <f>VLOOKUP(N850,Stock[#Data],3,FALSE)</f>
        <v>1</v>
      </c>
      <c r="Q850" s="3">
        <f>VLOOKUP(N850,Stock[#Data],4,FALSE)</f>
        <v>12</v>
      </c>
      <c r="R850" s="11"/>
      <c r="S850" s="45">
        <f>IFERROR(Table4[[#This Row],[Bottle]]/Table4[[#This Row],[ပါဝင်မှု]]+Table4[[#This Row],[SalesPK]],0)</f>
        <v>3</v>
      </c>
      <c r="T850" s="12">
        <v>3</v>
      </c>
      <c r="U850" s="10">
        <f>Table4[[#This Row],[ပါဝင်မှု]]*Table4[[#This Row],[SalesPK]]+Table4[[#This Row],[Bottle]]</f>
        <v>36</v>
      </c>
      <c r="V850" s="10">
        <f>Table4[[#This Row],[SalesBot]]*Table4[[#This Row],[ML]]</f>
        <v>36</v>
      </c>
      <c r="W850" s="1">
        <f>VLOOKUP(N850,Stock[#Data],6,FALSE)</f>
        <v>1850</v>
      </c>
      <c r="X850" s="8">
        <f>+Table4[[#This Row],[SalesBot]]*Table4[[#This Row],[နှုံး]]</f>
        <v>66600</v>
      </c>
      <c r="Y850" s="12"/>
      <c r="Z850" s="12"/>
      <c r="AA850" s="12"/>
      <c r="AB850" s="9"/>
      <c r="AC850" s="12"/>
      <c r="AD850" s="9"/>
      <c r="AE850" s="12"/>
      <c r="AF85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66600</v>
      </c>
      <c r="AG850" s="24"/>
      <c r="AH850" s="266">
        <f>Table4[[#This Row],[Date]]</f>
        <v>46073</v>
      </c>
      <c r="AI850" s="264" t="str">
        <f t="shared" si="154"/>
        <v>Feb</v>
      </c>
      <c r="AJ850" s="264" t="str">
        <f t="shared" si="155"/>
        <v>2026</v>
      </c>
      <c r="AK850" s="270" t="str">
        <f>Table4[[#This Row],[ကုန်သည်အမည်]]</f>
        <v>မဇာဇာ</v>
      </c>
      <c r="AL850" s="270" t="str">
        <f>Table4[[#This Row],[Township]]</f>
        <v>Maw La Myaing</v>
      </c>
      <c r="AM850" s="271" t="str">
        <f>Table4[[#This Row],[WholeSales]]</f>
        <v>Van Sales</v>
      </c>
      <c r="AN850" s="272" t="str">
        <f>Table4[[#This Row],[Particular]]</f>
        <v>ကုန်ရောင်း(လက်ငင်း)</v>
      </c>
      <c r="AO850" s="273" t="str">
        <f>Table4[[#This Row],[StockName]]</f>
        <v>ကောင်းကြည်-1Li</v>
      </c>
      <c r="AP850" s="268">
        <f>Table4[[#This Row],[Parking]]</f>
        <v>3</v>
      </c>
      <c r="AQ850" s="268">
        <f>Table4[[#This Row],[SalesBot]]</f>
        <v>36</v>
      </c>
      <c r="AR850" s="268">
        <f>Table4[[#This Row],[Liter]]</f>
        <v>36</v>
      </c>
    </row>
    <row r="851" spans="1:44" s="16" customFormat="1" hidden="1" x14ac:dyDescent="0.5">
      <c r="A851" s="3">
        <f t="shared" si="160"/>
        <v>2026</v>
      </c>
      <c r="B851" s="8">
        <f t="shared" si="161"/>
        <v>2</v>
      </c>
      <c r="C851" s="6">
        <v>46073</v>
      </c>
      <c r="D851" s="15">
        <f t="shared" ca="1" si="162"/>
        <v>46097</v>
      </c>
      <c r="E851" s="15" t="str">
        <f t="shared" ca="1" si="163"/>
        <v>0-Months</v>
      </c>
      <c r="F851" s="8" t="str">
        <f>VLOOKUP(N851,Stock[#Data],5,FALSE)</f>
        <v>BE</v>
      </c>
      <c r="G851" s="82" t="s">
        <v>1495</v>
      </c>
      <c r="H851" s="15"/>
      <c r="I851" s="7" t="s">
        <v>565</v>
      </c>
      <c r="J851" s="8" t="str">
        <f>VLOOKUP(I851,Customers[#Data],2,FALSE)</f>
        <v>မဇာဇာ</v>
      </c>
      <c r="K851" s="15" t="str">
        <f>VLOOKUP(I851,Customers[#Data],4,FALSE)</f>
        <v>Maw La Myaing</v>
      </c>
      <c r="L851" s="15" t="str">
        <f>VLOOKUP(I851,Customers[#Data],5,FALSE)</f>
        <v>Van Sales</v>
      </c>
      <c r="M851" s="7" t="s">
        <v>9</v>
      </c>
      <c r="N851" s="7" t="s">
        <v>425</v>
      </c>
      <c r="O851" s="14" t="str">
        <f>VLOOKUP(N851,Stock[#Data],2,FALSE)</f>
        <v>ကောင်းကြည်-1Li</v>
      </c>
      <c r="P851" s="44">
        <f>VLOOKUP(N851,Stock[#Data],3,FALSE)</f>
        <v>1</v>
      </c>
      <c r="Q851" s="3">
        <f>VLOOKUP(N851,Stock[#Data],4,FALSE)</f>
        <v>12</v>
      </c>
      <c r="R851" s="11">
        <v>2</v>
      </c>
      <c r="S851" s="45">
        <f>IFERROR(Table4[[#This Row],[Bottle]]/Table4[[#This Row],[ပါဝင်မှု]]+Table4[[#This Row],[SalesPK]],0)</f>
        <v>0.16666666666666666</v>
      </c>
      <c r="T851" s="12"/>
      <c r="U851" s="10">
        <f>Table4[[#This Row],[ပါဝင်မှု]]*Table4[[#This Row],[SalesPK]]+Table4[[#This Row],[Bottle]]</f>
        <v>2</v>
      </c>
      <c r="V851" s="10">
        <f>Table4[[#This Row],[SalesBot]]*Table4[[#This Row],[ML]]</f>
        <v>2</v>
      </c>
      <c r="W851" s="1">
        <f>VLOOKUP(N851,Stock[#Data],6,FALSE)</f>
        <v>1500</v>
      </c>
      <c r="X851" s="8">
        <f>+Table4[[#This Row],[SalesBot]]*Table4[[#This Row],[နှုံး]]</f>
        <v>3000</v>
      </c>
      <c r="Y851" s="12"/>
      <c r="Z851" s="12"/>
      <c r="AA851" s="12"/>
      <c r="AB851" s="9"/>
      <c r="AC851" s="12"/>
      <c r="AD851" s="9"/>
      <c r="AE851" s="12"/>
      <c r="AF85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3000</v>
      </c>
      <c r="AG851" s="24"/>
      <c r="AH851" s="266">
        <f>Table4[[#This Row],[Date]]</f>
        <v>46073</v>
      </c>
      <c r="AI851" s="264" t="str">
        <f t="shared" si="154"/>
        <v>Feb</v>
      </c>
      <c r="AJ851" s="264" t="str">
        <f t="shared" si="155"/>
        <v>2026</v>
      </c>
      <c r="AK851" s="270" t="str">
        <f>Table4[[#This Row],[ကုန်သည်အမည်]]</f>
        <v>မဇာဇာ</v>
      </c>
      <c r="AL851" s="270" t="str">
        <f>Table4[[#This Row],[Township]]</f>
        <v>Maw La Myaing</v>
      </c>
      <c r="AM851" s="271" t="str">
        <f>Table4[[#This Row],[WholeSales]]</f>
        <v>Van Sales</v>
      </c>
      <c r="AN851" s="272" t="str">
        <f>Table4[[#This Row],[Particular]]</f>
        <v>လက်ဆောင်</v>
      </c>
      <c r="AO851" s="273" t="str">
        <f>Table4[[#This Row],[StockName]]</f>
        <v>ကောင်းကြည်-1Li</v>
      </c>
      <c r="AP851" s="268">
        <f>Table4[[#This Row],[Parking]]</f>
        <v>0.16666666666666666</v>
      </c>
      <c r="AQ851" s="268">
        <f>Table4[[#This Row],[SalesBot]]</f>
        <v>2</v>
      </c>
      <c r="AR851" s="268">
        <f>Table4[[#This Row],[Liter]]</f>
        <v>2</v>
      </c>
    </row>
    <row r="852" spans="1:44" s="16" customFormat="1" hidden="1" x14ac:dyDescent="0.5">
      <c r="A852" s="3">
        <f t="shared" si="160"/>
        <v>2026</v>
      </c>
      <c r="B852" s="8">
        <f t="shared" si="161"/>
        <v>2</v>
      </c>
      <c r="C852" s="6">
        <v>46073</v>
      </c>
      <c r="D852" s="15">
        <f t="shared" ca="1" si="162"/>
        <v>46097</v>
      </c>
      <c r="E852" s="15" t="str">
        <f t="shared" ca="1" si="163"/>
        <v>0-Months</v>
      </c>
      <c r="F852" s="8" t="str">
        <f>VLOOKUP(N852,Stock[#Data],5,FALSE)</f>
        <v>BE</v>
      </c>
      <c r="G852" s="82" t="s">
        <v>1496</v>
      </c>
      <c r="H852" s="15"/>
      <c r="I852" s="7" t="s">
        <v>583</v>
      </c>
      <c r="J852" s="8" t="str">
        <f>VLOOKUP(I852,Customers[#Data],2,FALSE)</f>
        <v>မင်းဆန်းသစ်</v>
      </c>
      <c r="K852" s="15" t="str">
        <f>VLOOKUP(I852,Customers[#Data],4,FALSE)</f>
        <v>Maw La Myaing</v>
      </c>
      <c r="L852" s="15" t="str">
        <f>VLOOKUP(I852,Customers[#Data],5,FALSE)</f>
        <v>Van Sales</v>
      </c>
      <c r="M852" s="7" t="s">
        <v>6</v>
      </c>
      <c r="N852" s="7" t="s">
        <v>516</v>
      </c>
      <c r="O852" s="14" t="str">
        <f>VLOOKUP(N852,Stock[#Data],2,FALSE)</f>
        <v>ဇေ Vodka</v>
      </c>
      <c r="P852" s="44">
        <f>VLOOKUP(N852,Stock[#Data],3,FALSE)</f>
        <v>0.64</v>
      </c>
      <c r="Q852" s="3">
        <f>VLOOKUP(N852,Stock[#Data],4,FALSE)</f>
        <v>14</v>
      </c>
      <c r="R852" s="11"/>
      <c r="S852" s="45">
        <f>IFERROR(Table4[[#This Row],[Bottle]]/Table4[[#This Row],[ပါဝင်မှု]]+Table4[[#This Row],[SalesPK]],0)</f>
        <v>5</v>
      </c>
      <c r="T852" s="12">
        <v>5</v>
      </c>
      <c r="U852" s="10">
        <f>Table4[[#This Row],[ပါဝင်မှု]]*Table4[[#This Row],[SalesPK]]+Table4[[#This Row],[Bottle]]</f>
        <v>70</v>
      </c>
      <c r="V852" s="10">
        <f>Table4[[#This Row],[SalesBot]]*Table4[[#This Row],[ML]]</f>
        <v>44.800000000000004</v>
      </c>
      <c r="W852" s="1">
        <f>VLOOKUP(N852,Stock[#Data],6,FALSE)</f>
        <v>1400</v>
      </c>
      <c r="X852" s="8">
        <f>+Table4[[#This Row],[SalesBot]]*Table4[[#This Row],[နှုံး]]</f>
        <v>98000</v>
      </c>
      <c r="Y852" s="12"/>
      <c r="Z852" s="12"/>
      <c r="AA852" s="12"/>
      <c r="AB852" s="9"/>
      <c r="AC852" s="12"/>
      <c r="AD852" s="9"/>
      <c r="AE852" s="12"/>
      <c r="AF85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</v>
      </c>
      <c r="AG852" s="24"/>
      <c r="AH852" s="266">
        <f>Table4[[#This Row],[Date]]</f>
        <v>46073</v>
      </c>
      <c r="AI852" s="264" t="str">
        <f t="shared" si="154"/>
        <v>Feb</v>
      </c>
      <c r="AJ852" s="264" t="str">
        <f t="shared" si="155"/>
        <v>2026</v>
      </c>
      <c r="AK852" s="270" t="str">
        <f>Table4[[#This Row],[ကုန်သည်အမည်]]</f>
        <v>မင်းဆန်းသစ်</v>
      </c>
      <c r="AL852" s="270" t="str">
        <f>Table4[[#This Row],[Township]]</f>
        <v>Maw La Myaing</v>
      </c>
      <c r="AM852" s="271" t="str">
        <f>Table4[[#This Row],[WholeSales]]</f>
        <v>Van Sales</v>
      </c>
      <c r="AN852" s="272" t="str">
        <f>Table4[[#This Row],[Particular]]</f>
        <v>ကုန်ရောင်း(လက်ငင်း)</v>
      </c>
      <c r="AO852" s="273" t="str">
        <f>Table4[[#This Row],[StockName]]</f>
        <v>ဇေ Vodka</v>
      </c>
      <c r="AP852" s="268">
        <f>Table4[[#This Row],[Parking]]</f>
        <v>5</v>
      </c>
      <c r="AQ852" s="268">
        <f>Table4[[#This Row],[SalesBot]]</f>
        <v>70</v>
      </c>
      <c r="AR852" s="268">
        <f>Table4[[#This Row],[Liter]]</f>
        <v>44.800000000000004</v>
      </c>
    </row>
    <row r="853" spans="1:44" s="16" customFormat="1" hidden="1" x14ac:dyDescent="0.5">
      <c r="A853" s="3">
        <f t="shared" si="160"/>
        <v>2026</v>
      </c>
      <c r="B853" s="8">
        <f t="shared" si="161"/>
        <v>2</v>
      </c>
      <c r="C853" s="6">
        <v>46073</v>
      </c>
      <c r="D853" s="15">
        <f t="shared" ca="1" si="162"/>
        <v>46097</v>
      </c>
      <c r="E853" s="15" t="str">
        <f t="shared" ca="1" si="163"/>
        <v>0-Months</v>
      </c>
      <c r="F853" s="8" t="str">
        <f>VLOOKUP(N853,Stock[#Data],5,FALSE)</f>
        <v>BE</v>
      </c>
      <c r="G853" s="82" t="s">
        <v>1496</v>
      </c>
      <c r="H853" s="15"/>
      <c r="I853" s="7" t="s">
        <v>583</v>
      </c>
      <c r="J853" s="8" t="str">
        <f>VLOOKUP(I853,Customers[#Data],2,FALSE)</f>
        <v>မင်းဆန်းသစ်</v>
      </c>
      <c r="K853" s="15" t="str">
        <f>VLOOKUP(I853,Customers[#Data],4,FALSE)</f>
        <v>Maw La Myaing</v>
      </c>
      <c r="L853" s="15" t="str">
        <f>VLOOKUP(I853,Customers[#Data],5,FALSE)</f>
        <v>Van Sales</v>
      </c>
      <c r="M853" s="7" t="s">
        <v>6</v>
      </c>
      <c r="N853" s="7" t="s">
        <v>518</v>
      </c>
      <c r="O853" s="14" t="str">
        <f>VLOOKUP(N853,Stock[#Data],2,FALSE)</f>
        <v>"ဇေ" ကော်ဘူး (1 Liter)</v>
      </c>
      <c r="P853" s="44">
        <f>VLOOKUP(N853,Stock[#Data],3,FALSE)</f>
        <v>1</v>
      </c>
      <c r="Q853" s="3">
        <f>VLOOKUP(N853,Stock[#Data],4,FALSE)</f>
        <v>12</v>
      </c>
      <c r="R853" s="11"/>
      <c r="S853" s="45">
        <f>IFERROR(Table4[[#This Row],[Bottle]]/Table4[[#This Row],[ပါဝင်မှု]]+Table4[[#This Row],[SalesPK]],0)</f>
        <v>5</v>
      </c>
      <c r="T853" s="12">
        <v>5</v>
      </c>
      <c r="U853" s="10">
        <f>Table4[[#This Row],[ပါဝင်မှု]]*Table4[[#This Row],[SalesPK]]+Table4[[#This Row],[Bottle]]</f>
        <v>60</v>
      </c>
      <c r="V853" s="10">
        <f>Table4[[#This Row],[SalesBot]]*Table4[[#This Row],[ML]]</f>
        <v>60</v>
      </c>
      <c r="W853" s="1">
        <f>VLOOKUP(N853,Stock[#Data],6,FALSE)</f>
        <v>1675</v>
      </c>
      <c r="X853" s="8">
        <f>+Table4[[#This Row],[SalesBot]]*Table4[[#This Row],[နှုံး]]</f>
        <v>100500</v>
      </c>
      <c r="Y853" s="12"/>
      <c r="Z853" s="12"/>
      <c r="AA853" s="12"/>
      <c r="AB853" s="9"/>
      <c r="AC853" s="12"/>
      <c r="AD853" s="9"/>
      <c r="AE853" s="12"/>
      <c r="AF85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853" s="24"/>
      <c r="AH853" s="266">
        <f>Table4[[#This Row],[Date]]</f>
        <v>46073</v>
      </c>
      <c r="AI853" s="264" t="str">
        <f t="shared" si="154"/>
        <v>Feb</v>
      </c>
      <c r="AJ853" s="264" t="str">
        <f t="shared" si="155"/>
        <v>2026</v>
      </c>
      <c r="AK853" s="270" t="str">
        <f>Table4[[#This Row],[ကုန်သည်အမည်]]</f>
        <v>မင်းဆန်းသစ်</v>
      </c>
      <c r="AL853" s="270" t="str">
        <f>Table4[[#This Row],[Township]]</f>
        <v>Maw La Myaing</v>
      </c>
      <c r="AM853" s="271" t="str">
        <f>Table4[[#This Row],[WholeSales]]</f>
        <v>Van Sales</v>
      </c>
      <c r="AN853" s="272" t="str">
        <f>Table4[[#This Row],[Particular]]</f>
        <v>ကုန်ရောင်း(လက်ငင်း)</v>
      </c>
      <c r="AO853" s="273" t="str">
        <f>Table4[[#This Row],[StockName]]</f>
        <v>"ဇေ" ကော်ဘူး (1 Liter)</v>
      </c>
      <c r="AP853" s="268">
        <f>Table4[[#This Row],[Parking]]</f>
        <v>5</v>
      </c>
      <c r="AQ853" s="268">
        <f>Table4[[#This Row],[SalesBot]]</f>
        <v>60</v>
      </c>
      <c r="AR853" s="268">
        <f>Table4[[#This Row],[Liter]]</f>
        <v>60</v>
      </c>
    </row>
    <row r="854" spans="1:44" s="16" customFormat="1" hidden="1" x14ac:dyDescent="0.5">
      <c r="A854" s="3">
        <f t="shared" si="156"/>
        <v>2026</v>
      </c>
      <c r="B854" s="8">
        <f t="shared" si="157"/>
        <v>2</v>
      </c>
      <c r="C854" s="6">
        <v>46073</v>
      </c>
      <c r="D854" s="15">
        <f t="shared" ca="1" si="158"/>
        <v>46097</v>
      </c>
      <c r="E854" s="15" t="str">
        <f t="shared" ca="1" si="159"/>
        <v>0-Months</v>
      </c>
      <c r="F854" s="8" t="str">
        <f>VLOOKUP(N854,Stock[#Data],5,FALSE)</f>
        <v>BE</v>
      </c>
      <c r="G854" s="82" t="s">
        <v>1496</v>
      </c>
      <c r="H854" s="15"/>
      <c r="I854" s="7" t="s">
        <v>107</v>
      </c>
      <c r="J854" s="8" t="str">
        <f>VLOOKUP(I854,Customers[#Data],2,FALSE)</f>
        <v>မင်းမင်းထွန်း</v>
      </c>
      <c r="K854" s="15" t="str">
        <f>VLOOKUP(I854,Customers[#Data],4,FALSE)</f>
        <v>Paung</v>
      </c>
      <c r="L854" s="15" t="str">
        <f>VLOOKUP(I854,Customers[#Data],5,FALSE)</f>
        <v>Van Sales</v>
      </c>
      <c r="M854" s="7" t="s">
        <v>6</v>
      </c>
      <c r="N854" s="7" t="s">
        <v>520</v>
      </c>
      <c r="O854" s="14" t="str">
        <f>VLOOKUP(N854,Stock[#Data],2,FALSE)</f>
        <v>ဇေယျဝတီ  Red(ပု)</v>
      </c>
      <c r="P854" s="44">
        <f>VLOOKUP(N854,Stock[#Data],3,FALSE)</f>
        <v>0.64</v>
      </c>
      <c r="Q854" s="3">
        <f>VLOOKUP(N854,Stock[#Data],4,FALSE)</f>
        <v>14</v>
      </c>
      <c r="R854" s="11"/>
      <c r="S854" s="45">
        <f>IFERROR(Table4[[#This Row],[Bottle]]/Table4[[#This Row],[ပါဝင်မှု]]+Table4[[#This Row],[SalesPK]],0)</f>
        <v>10</v>
      </c>
      <c r="T854" s="12">
        <v>10</v>
      </c>
      <c r="U854" s="10">
        <f>Table4[[#This Row],[ပါဝင်မှု]]*Table4[[#This Row],[SalesPK]]+Table4[[#This Row],[Bottle]]</f>
        <v>140</v>
      </c>
      <c r="V854" s="10">
        <f>Table4[[#This Row],[SalesBot]]*Table4[[#This Row],[ML]]</f>
        <v>89.600000000000009</v>
      </c>
      <c r="W854" s="1">
        <f>VLOOKUP(N854,Stock[#Data],6,FALSE)</f>
        <v>1800</v>
      </c>
      <c r="X854" s="8">
        <f>+Table4[[#This Row],[SalesBot]]*Table4[[#This Row],[နှုံး]]</f>
        <v>252000</v>
      </c>
      <c r="Y854" s="12"/>
      <c r="Z854" s="12"/>
      <c r="AA854" s="12"/>
      <c r="AB854" s="9"/>
      <c r="AC854" s="12"/>
      <c r="AD854" s="9"/>
      <c r="AE854" s="12"/>
      <c r="AF85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252000</v>
      </c>
      <c r="AG854" s="24"/>
      <c r="AH854" s="266">
        <f>Table4[[#This Row],[Date]]</f>
        <v>46073</v>
      </c>
      <c r="AI854" s="264" t="str">
        <f t="shared" si="154"/>
        <v>Feb</v>
      </c>
      <c r="AJ854" s="264" t="str">
        <f t="shared" si="155"/>
        <v>2026</v>
      </c>
      <c r="AK854" s="270" t="str">
        <f>Table4[[#This Row],[ကုန်သည်အမည်]]</f>
        <v>မင်းမင်းထွန်း</v>
      </c>
      <c r="AL854" s="270" t="str">
        <f>Table4[[#This Row],[Township]]</f>
        <v>Paung</v>
      </c>
      <c r="AM854" s="271" t="str">
        <f>Table4[[#This Row],[WholeSales]]</f>
        <v>Van Sales</v>
      </c>
      <c r="AN854" s="272" t="str">
        <f>Table4[[#This Row],[Particular]]</f>
        <v>ကုန်ရောင်း(လက်ငင်း)</v>
      </c>
      <c r="AO854" s="273" t="str">
        <f>Table4[[#This Row],[StockName]]</f>
        <v>ဇေယျဝတီ  Red(ပု)</v>
      </c>
      <c r="AP854" s="268">
        <f>Table4[[#This Row],[Parking]]</f>
        <v>10</v>
      </c>
      <c r="AQ854" s="268">
        <f>Table4[[#This Row],[SalesBot]]</f>
        <v>140</v>
      </c>
      <c r="AR854" s="268">
        <f>Table4[[#This Row],[Liter]]</f>
        <v>89.600000000000009</v>
      </c>
    </row>
    <row r="855" spans="1:44" s="16" customFormat="1" hidden="1" x14ac:dyDescent="0.5">
      <c r="A855" s="3">
        <f t="shared" si="156"/>
        <v>2026</v>
      </c>
      <c r="B855" s="8">
        <f t="shared" si="157"/>
        <v>2</v>
      </c>
      <c r="C855" s="6">
        <v>46073</v>
      </c>
      <c r="D855" s="15">
        <f t="shared" ca="1" si="158"/>
        <v>46097</v>
      </c>
      <c r="E855" s="15" t="str">
        <f t="shared" ca="1" si="159"/>
        <v>0-Months</v>
      </c>
      <c r="F855" s="8" t="str">
        <f>VLOOKUP(N855,Stock[#Data],5,FALSE)</f>
        <v>BE</v>
      </c>
      <c r="G855" s="82" t="s">
        <v>1497</v>
      </c>
      <c r="H855" s="15"/>
      <c r="I855" s="7" t="s">
        <v>535</v>
      </c>
      <c r="J855" s="8" t="str">
        <f>VLOOKUP(I855,Customers[#Data],2,FALSE)</f>
        <v>ကိုရဲ</v>
      </c>
      <c r="K855" s="15" t="str">
        <f>VLOOKUP(I855,Customers[#Data],4,FALSE)</f>
        <v>Yay</v>
      </c>
      <c r="L855" s="15" t="str">
        <f>VLOOKUP(I855,Customers[#Data],5,FALSE)</f>
        <v>Van Sales</v>
      </c>
      <c r="M855" s="7" t="s">
        <v>6</v>
      </c>
      <c r="N855" s="7" t="s">
        <v>517</v>
      </c>
      <c r="O855" s="14" t="str">
        <f>VLOOKUP(N855,Stock[#Data],2,FALSE)</f>
        <v>ဇေယျဝတီ Red (1 Liter) 30%</v>
      </c>
      <c r="P855" s="44">
        <f>VLOOKUP(N855,Stock[#Data],3,FALSE)</f>
        <v>1</v>
      </c>
      <c r="Q855" s="3">
        <f>VLOOKUP(N855,Stock[#Data],4,FALSE)</f>
        <v>12</v>
      </c>
      <c r="R855" s="11"/>
      <c r="S855" s="45">
        <f>IFERROR(Table4[[#This Row],[Bottle]]/Table4[[#This Row],[ပါဝင်မှု]]+Table4[[#This Row],[SalesPK]],0)</f>
        <v>50</v>
      </c>
      <c r="T855" s="12">
        <v>50</v>
      </c>
      <c r="U855" s="10">
        <f>Table4[[#This Row],[ပါဝင်မှု]]*Table4[[#This Row],[SalesPK]]+Table4[[#This Row],[Bottle]]</f>
        <v>600</v>
      </c>
      <c r="V855" s="10">
        <f>Table4[[#This Row],[SalesBot]]*Table4[[#This Row],[ML]]</f>
        <v>600</v>
      </c>
      <c r="W855" s="1">
        <f>VLOOKUP(N855,Stock[#Data],6,FALSE)</f>
        <v>1710</v>
      </c>
      <c r="X855" s="8">
        <f>+Table4[[#This Row],[SalesBot]]*Table4[[#This Row],[နှုံး]]</f>
        <v>1026000</v>
      </c>
      <c r="Y855" s="12"/>
      <c r="Z855" s="12"/>
      <c r="AA855" s="12"/>
      <c r="AB855" s="9"/>
      <c r="AC855" s="12"/>
      <c r="AD855" s="9"/>
      <c r="AE855" s="12"/>
      <c r="AF85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855" s="24"/>
      <c r="AH855" s="266">
        <f>Table4[[#This Row],[Date]]</f>
        <v>46073</v>
      </c>
      <c r="AI855" s="264" t="str">
        <f t="shared" si="154"/>
        <v>Feb</v>
      </c>
      <c r="AJ855" s="264" t="str">
        <f t="shared" si="155"/>
        <v>2026</v>
      </c>
      <c r="AK855" s="270" t="str">
        <f>Table4[[#This Row],[ကုန်သည်အမည်]]</f>
        <v>ကိုရဲ</v>
      </c>
      <c r="AL855" s="270" t="str">
        <f>Table4[[#This Row],[Township]]</f>
        <v>Yay</v>
      </c>
      <c r="AM855" s="271" t="str">
        <f>Table4[[#This Row],[WholeSales]]</f>
        <v>Van Sales</v>
      </c>
      <c r="AN855" s="272" t="str">
        <f>Table4[[#This Row],[Particular]]</f>
        <v>ကုန်ရောင်း(လက်ငင်း)</v>
      </c>
      <c r="AO855" s="273" t="str">
        <f>Table4[[#This Row],[StockName]]</f>
        <v>ဇေယျဝတီ Red (1 Liter) 30%</v>
      </c>
      <c r="AP855" s="268">
        <f>Table4[[#This Row],[Parking]]</f>
        <v>50</v>
      </c>
      <c r="AQ855" s="268">
        <f>Table4[[#This Row],[SalesBot]]</f>
        <v>600</v>
      </c>
      <c r="AR855" s="268">
        <f>Table4[[#This Row],[Liter]]</f>
        <v>600</v>
      </c>
    </row>
    <row r="856" spans="1:44" s="16" customFormat="1" hidden="1" x14ac:dyDescent="0.5">
      <c r="A856" s="3">
        <f>YEAR(C856)</f>
        <v>2026</v>
      </c>
      <c r="B856" s="8">
        <f>MONTH(C856)</f>
        <v>2</v>
      </c>
      <c r="C856" s="6">
        <v>46073</v>
      </c>
      <c r="D856" s="15">
        <f ca="1">TODAY()</f>
        <v>46097</v>
      </c>
      <c r="E856" s="15" t="str">
        <f ca="1">DATEDIF(C856,D856,"M")&amp;"-Months"</f>
        <v>0-Months</v>
      </c>
      <c r="F856" s="8" t="str">
        <f>VLOOKUP(N856,Stock[#Data],5,FALSE)</f>
        <v>BE</v>
      </c>
      <c r="G856" s="82" t="s">
        <v>1498</v>
      </c>
      <c r="H856" s="15" t="s">
        <v>439</v>
      </c>
      <c r="I856" s="7" t="s">
        <v>555</v>
      </c>
      <c r="J856" s="8" t="str">
        <f>VLOOKUP(I856,Customers[#Data],2,FALSE)</f>
        <v>အနဲကြီး</v>
      </c>
      <c r="K856" s="15" t="str">
        <f>VLOOKUP(I856,Customers[#Data],4,FALSE)</f>
        <v>Maw La Myaing</v>
      </c>
      <c r="L856" s="15" t="str">
        <f>VLOOKUP(I856,Customers[#Data],5,FALSE)</f>
        <v>Mini Whole Sales</v>
      </c>
      <c r="M856" s="7" t="s">
        <v>6</v>
      </c>
      <c r="N856" s="7" t="s">
        <v>516</v>
      </c>
      <c r="O856" s="14" t="str">
        <f>VLOOKUP(N856,Stock[#Data],2,FALSE)</f>
        <v>ဇေ Vodka</v>
      </c>
      <c r="P856" s="44">
        <f>VLOOKUP(N856,Stock[#Data],3,FALSE)</f>
        <v>0.64</v>
      </c>
      <c r="Q856" s="3">
        <f>VLOOKUP(N856,Stock[#Data],4,FALSE)</f>
        <v>14</v>
      </c>
      <c r="R856" s="11"/>
      <c r="S856" s="45">
        <f>IFERROR(Table4[[#This Row],[Bottle]]/Table4[[#This Row],[ပါဝင်မှု]]+Table4[[#This Row],[SalesPK]],0)</f>
        <v>10</v>
      </c>
      <c r="T856" s="12">
        <v>10</v>
      </c>
      <c r="U856" s="10">
        <f>Table4[[#This Row],[ပါဝင်မှု]]*Table4[[#This Row],[SalesPK]]+Table4[[#This Row],[Bottle]]</f>
        <v>140</v>
      </c>
      <c r="V856" s="10">
        <f>Table4[[#This Row],[SalesBot]]*Table4[[#This Row],[ML]]</f>
        <v>89.600000000000009</v>
      </c>
      <c r="W856" s="1">
        <f>VLOOKUP(N856,Stock[#Data],6,FALSE)</f>
        <v>1400</v>
      </c>
      <c r="X856" s="8">
        <f>+Table4[[#This Row],[SalesBot]]*Table4[[#This Row],[နှုံး]]</f>
        <v>196000</v>
      </c>
      <c r="Y856" s="12"/>
      <c r="Z856" s="12"/>
      <c r="AA856" s="12"/>
      <c r="AB856" s="9"/>
      <c r="AC856" s="12"/>
      <c r="AD856" s="9"/>
      <c r="AE856" s="12"/>
      <c r="AF85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856" s="24"/>
      <c r="AH856" s="266">
        <f>Table4[[#This Row],[Date]]</f>
        <v>46073</v>
      </c>
      <c r="AI856" s="264" t="str">
        <f t="shared" si="154"/>
        <v>Feb</v>
      </c>
      <c r="AJ856" s="264" t="str">
        <f t="shared" si="155"/>
        <v>2026</v>
      </c>
      <c r="AK856" s="270" t="str">
        <f>Table4[[#This Row],[ကုန်သည်အမည်]]</f>
        <v>အနဲကြီး</v>
      </c>
      <c r="AL856" s="270" t="str">
        <f>Table4[[#This Row],[Township]]</f>
        <v>Maw La Myaing</v>
      </c>
      <c r="AM856" s="271" t="str">
        <f>Table4[[#This Row],[WholeSales]]</f>
        <v>Mini Whole Sales</v>
      </c>
      <c r="AN856" s="272" t="str">
        <f>Table4[[#This Row],[Particular]]</f>
        <v>ကုန်ရောင်း(လက်ငင်း)</v>
      </c>
      <c r="AO856" s="273" t="str">
        <f>Table4[[#This Row],[StockName]]</f>
        <v>ဇေ Vodka</v>
      </c>
      <c r="AP856" s="268">
        <f>Table4[[#This Row],[Parking]]</f>
        <v>10</v>
      </c>
      <c r="AQ856" s="268">
        <f>Table4[[#This Row],[SalesBot]]</f>
        <v>140</v>
      </c>
      <c r="AR856" s="268">
        <f>Table4[[#This Row],[Liter]]</f>
        <v>89.600000000000009</v>
      </c>
    </row>
    <row r="857" spans="1:44" s="16" customFormat="1" hidden="1" x14ac:dyDescent="0.5">
      <c r="A857" s="3">
        <f>YEAR(C857)</f>
        <v>2026</v>
      </c>
      <c r="B857" s="8">
        <f>MONTH(C857)</f>
        <v>2</v>
      </c>
      <c r="C857" s="6">
        <v>46073</v>
      </c>
      <c r="D857" s="15">
        <f ca="1">TODAY()</f>
        <v>46097</v>
      </c>
      <c r="E857" s="15" t="str">
        <f ca="1">DATEDIF(C857,D857,"M")&amp;"-Months"</f>
        <v>0-Months</v>
      </c>
      <c r="F857" s="8" t="str">
        <f>VLOOKUP(N857,Stock[#Data],5,FALSE)</f>
        <v>BE</v>
      </c>
      <c r="G857" s="82" t="s">
        <v>1499</v>
      </c>
      <c r="H857" s="15" t="s">
        <v>439</v>
      </c>
      <c r="I857" s="7" t="s">
        <v>472</v>
      </c>
      <c r="J857" s="8" t="str">
        <f>VLOOKUP(I857,Customers[#Data],2,FALSE)</f>
        <v>စိုးသီဟ</v>
      </c>
      <c r="K857" s="15" t="str">
        <f>VLOOKUP(I857,Customers[#Data],4,FALSE)</f>
        <v>Maw La Myaing</v>
      </c>
      <c r="L857" s="15" t="str">
        <f>VLOOKUP(I857,Customers[#Data],5,FALSE)</f>
        <v>Van Sales</v>
      </c>
      <c r="M857" s="7" t="s">
        <v>6</v>
      </c>
      <c r="N857" s="7" t="s">
        <v>518</v>
      </c>
      <c r="O857" s="14" t="str">
        <f>VLOOKUP(N857,Stock[#Data],2,FALSE)</f>
        <v>"ဇေ" ကော်ဘူး (1 Liter)</v>
      </c>
      <c r="P857" s="44">
        <f>VLOOKUP(N857,Stock[#Data],3,FALSE)</f>
        <v>1</v>
      </c>
      <c r="Q857" s="3">
        <f>VLOOKUP(N857,Stock[#Data],4,FALSE)</f>
        <v>12</v>
      </c>
      <c r="R857" s="11"/>
      <c r="S857" s="45">
        <f>IFERROR(Table4[[#This Row],[Bottle]]/Table4[[#This Row],[ပါဝင်မှု]]+Table4[[#This Row],[SalesPK]],0)</f>
        <v>5</v>
      </c>
      <c r="T857" s="12">
        <v>5</v>
      </c>
      <c r="U857" s="10">
        <f>Table4[[#This Row],[ပါဝင်မှု]]*Table4[[#This Row],[SalesPK]]+Table4[[#This Row],[Bottle]]</f>
        <v>60</v>
      </c>
      <c r="V857" s="10">
        <f>Table4[[#This Row],[SalesBot]]*Table4[[#This Row],[ML]]</f>
        <v>60</v>
      </c>
      <c r="W857" s="1">
        <f>VLOOKUP(N857,Stock[#Data],6,FALSE)</f>
        <v>1675</v>
      </c>
      <c r="X857" s="8">
        <f>+Table4[[#This Row],[SalesBot]]*Table4[[#This Row],[နှုံး]]</f>
        <v>100500</v>
      </c>
      <c r="Y857" s="12"/>
      <c r="Z857" s="12"/>
      <c r="AA857" s="12"/>
      <c r="AB857" s="9"/>
      <c r="AC857" s="12"/>
      <c r="AD857" s="9"/>
      <c r="AE857" s="12"/>
      <c r="AF85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857" s="24"/>
      <c r="AH857" s="266">
        <f>Table4[[#This Row],[Date]]</f>
        <v>46073</v>
      </c>
      <c r="AI857" s="264" t="str">
        <f t="shared" si="154"/>
        <v>Feb</v>
      </c>
      <c r="AJ857" s="264" t="str">
        <f t="shared" si="155"/>
        <v>2026</v>
      </c>
      <c r="AK857" s="270" t="str">
        <f>Table4[[#This Row],[ကုန်သည်အမည်]]</f>
        <v>စိုးသီဟ</v>
      </c>
      <c r="AL857" s="270" t="str">
        <f>Table4[[#This Row],[Township]]</f>
        <v>Maw La Myaing</v>
      </c>
      <c r="AM857" s="271" t="str">
        <f>Table4[[#This Row],[WholeSales]]</f>
        <v>Van Sales</v>
      </c>
      <c r="AN857" s="272" t="str">
        <f>Table4[[#This Row],[Particular]]</f>
        <v>ကုန်ရောင်း(လက်ငင်း)</v>
      </c>
      <c r="AO857" s="273" t="str">
        <f>Table4[[#This Row],[StockName]]</f>
        <v>"ဇေ" ကော်ဘူး (1 Liter)</v>
      </c>
      <c r="AP857" s="268">
        <f>Table4[[#This Row],[Parking]]</f>
        <v>5</v>
      </c>
      <c r="AQ857" s="268">
        <f>Table4[[#This Row],[SalesBot]]</f>
        <v>60</v>
      </c>
      <c r="AR857" s="268">
        <f>Table4[[#This Row],[Liter]]</f>
        <v>60</v>
      </c>
    </row>
    <row r="858" spans="1:44" s="16" customFormat="1" hidden="1" x14ac:dyDescent="0.5">
      <c r="A858" s="3">
        <f>YEAR(C858)</f>
        <v>2026</v>
      </c>
      <c r="B858" s="8">
        <f>MONTH(C858)</f>
        <v>2</v>
      </c>
      <c r="C858" s="6">
        <v>46073</v>
      </c>
      <c r="D858" s="15">
        <f ca="1">TODAY()</f>
        <v>46097</v>
      </c>
      <c r="E858" s="15" t="str">
        <f ca="1">DATEDIF(C858,D858,"M")&amp;"-Months"</f>
        <v>0-Months</v>
      </c>
      <c r="F858" s="8" t="str">
        <f>VLOOKUP(N858,Stock[#Data],5,FALSE)</f>
        <v>BE</v>
      </c>
      <c r="G858" s="82" t="s">
        <v>1500</v>
      </c>
      <c r="H858" s="15" t="s">
        <v>439</v>
      </c>
      <c r="I858" s="7" t="s">
        <v>722</v>
      </c>
      <c r="J858" s="8" t="str">
        <f>VLOOKUP(I858,Customers[#Data],2,FALSE)</f>
        <v>Moon</v>
      </c>
      <c r="K858" s="15" t="str">
        <f>VLOOKUP(I858,Customers[#Data],4,FALSE)</f>
        <v>Maw La Myaing</v>
      </c>
      <c r="L858" s="15" t="str">
        <f>VLOOKUP(I858,Customers[#Data],5,FALSE)</f>
        <v>Van Sales</v>
      </c>
      <c r="M858" s="7" t="s">
        <v>6</v>
      </c>
      <c r="N858" s="7" t="s">
        <v>518</v>
      </c>
      <c r="O858" s="14" t="str">
        <f>VLOOKUP(N858,Stock[#Data],2,FALSE)</f>
        <v>"ဇေ" ကော်ဘူး (1 Liter)</v>
      </c>
      <c r="P858" s="44">
        <f>VLOOKUP(N858,Stock[#Data],3,FALSE)</f>
        <v>1</v>
      </c>
      <c r="Q858" s="3">
        <f>VLOOKUP(N858,Stock[#Data],4,FALSE)</f>
        <v>12</v>
      </c>
      <c r="R858" s="11"/>
      <c r="S858" s="45">
        <f>IFERROR(Table4[[#This Row],[Bottle]]/Table4[[#This Row],[ပါဝင်မှု]]+Table4[[#This Row],[SalesPK]],0)</f>
        <v>2</v>
      </c>
      <c r="T858" s="12">
        <v>2</v>
      </c>
      <c r="U858" s="10">
        <f>Table4[[#This Row],[ပါဝင်မှု]]*Table4[[#This Row],[SalesPK]]+Table4[[#This Row],[Bottle]]</f>
        <v>24</v>
      </c>
      <c r="V858" s="10">
        <f>Table4[[#This Row],[SalesBot]]*Table4[[#This Row],[ML]]</f>
        <v>24</v>
      </c>
      <c r="W858" s="1">
        <f>VLOOKUP(N858,Stock[#Data],6,FALSE)</f>
        <v>1675</v>
      </c>
      <c r="X858" s="8">
        <f>+Table4[[#This Row],[SalesBot]]*Table4[[#This Row],[နှုံး]]</f>
        <v>40200</v>
      </c>
      <c r="Y858" s="12"/>
      <c r="Z858" s="12"/>
      <c r="AA858" s="12"/>
      <c r="AB858" s="9"/>
      <c r="AC858" s="12"/>
      <c r="AD858" s="9"/>
      <c r="AE858" s="12"/>
      <c r="AF85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40200</v>
      </c>
      <c r="AG858" s="24"/>
      <c r="AH858" s="266">
        <f>Table4[[#This Row],[Date]]</f>
        <v>46073</v>
      </c>
      <c r="AI858" s="264" t="str">
        <f t="shared" si="154"/>
        <v>Feb</v>
      </c>
      <c r="AJ858" s="264" t="str">
        <f t="shared" si="155"/>
        <v>2026</v>
      </c>
      <c r="AK858" s="270" t="str">
        <f>Table4[[#This Row],[ကုန်သည်အမည်]]</f>
        <v>Moon</v>
      </c>
      <c r="AL858" s="270" t="str">
        <f>Table4[[#This Row],[Township]]</f>
        <v>Maw La Myaing</v>
      </c>
      <c r="AM858" s="271" t="str">
        <f>Table4[[#This Row],[WholeSales]]</f>
        <v>Van Sales</v>
      </c>
      <c r="AN858" s="272" t="str">
        <f>Table4[[#This Row],[Particular]]</f>
        <v>ကုန်ရောင်း(လက်ငင်း)</v>
      </c>
      <c r="AO858" s="273" t="str">
        <f>Table4[[#This Row],[StockName]]</f>
        <v>"ဇေ" ကော်ဘူး (1 Liter)</v>
      </c>
      <c r="AP858" s="268">
        <f>Table4[[#This Row],[Parking]]</f>
        <v>2</v>
      </c>
      <c r="AQ858" s="268">
        <f>Table4[[#This Row],[SalesBot]]</f>
        <v>24</v>
      </c>
      <c r="AR858" s="268">
        <f>Table4[[#This Row],[Liter]]</f>
        <v>24</v>
      </c>
    </row>
    <row r="859" spans="1:44" s="16" customFormat="1" hidden="1" x14ac:dyDescent="0.5">
      <c r="A859" s="3">
        <f>YEAR(C859)</f>
        <v>2026</v>
      </c>
      <c r="B859" s="8">
        <f>MONTH(C859)</f>
        <v>2</v>
      </c>
      <c r="C859" s="6">
        <v>46073</v>
      </c>
      <c r="D859" s="15">
        <f ca="1">TODAY()</f>
        <v>46097</v>
      </c>
      <c r="E859" s="15" t="str">
        <f ca="1">DATEDIF(C859,D859,"M")&amp;"-Months"</f>
        <v>0-Months</v>
      </c>
      <c r="F859" s="8" t="str">
        <f>VLOOKUP(N859,Stock[#Data],5,FALSE)</f>
        <v>BE</v>
      </c>
      <c r="G859" s="82" t="s">
        <v>1501</v>
      </c>
      <c r="H859" s="15" t="s">
        <v>439</v>
      </c>
      <c r="I859" s="7" t="s">
        <v>725</v>
      </c>
      <c r="J859" s="8" t="str">
        <f>VLOOKUP(I859,Customers[#Data],2,FALSE)</f>
        <v>ရွှေနဂါး</v>
      </c>
      <c r="K859" s="15" t="str">
        <f>VLOOKUP(I859,Customers[#Data],4,FALSE)</f>
        <v>Maw La Myaing</v>
      </c>
      <c r="L859" s="15" t="str">
        <f>VLOOKUP(I859,Customers[#Data],5,FALSE)</f>
        <v>Van Sales</v>
      </c>
      <c r="M859" s="7" t="s">
        <v>6</v>
      </c>
      <c r="N859" s="7" t="s">
        <v>522</v>
      </c>
      <c r="O859" s="14" t="str">
        <f>VLOOKUP(N859,Stock[#Data],2,FALSE)</f>
        <v>ဒဂုံမန်ကျည်း ကော်ဘူး (1 Liter)</v>
      </c>
      <c r="P859" s="44">
        <f>VLOOKUP(N859,Stock[#Data],3,FALSE)</f>
        <v>1</v>
      </c>
      <c r="Q859" s="3">
        <f>VLOOKUP(N859,Stock[#Data],4,FALSE)</f>
        <v>12</v>
      </c>
      <c r="R859" s="11"/>
      <c r="S859" s="45">
        <f>IFERROR(Table4[[#This Row],[Bottle]]/Table4[[#This Row],[ပါဝင်မှု]]+Table4[[#This Row],[SalesPK]],0)</f>
        <v>3</v>
      </c>
      <c r="T859" s="12">
        <v>3</v>
      </c>
      <c r="U859" s="10">
        <f>Table4[[#This Row],[ပါဝင်မှု]]*Table4[[#This Row],[SalesPK]]+Table4[[#This Row],[Bottle]]</f>
        <v>36</v>
      </c>
      <c r="V859" s="10">
        <f>Table4[[#This Row],[SalesBot]]*Table4[[#This Row],[ML]]</f>
        <v>36</v>
      </c>
      <c r="W859" s="1">
        <f>VLOOKUP(N859,Stock[#Data],6,FALSE)</f>
        <v>1600</v>
      </c>
      <c r="X859" s="8">
        <f>+Table4[[#This Row],[SalesBot]]*Table4[[#This Row],[နှုံး]]</f>
        <v>57600</v>
      </c>
      <c r="Y859" s="12"/>
      <c r="Z859" s="12"/>
      <c r="AA859" s="12"/>
      <c r="AB859" s="9"/>
      <c r="AC859" s="12"/>
      <c r="AD859" s="9"/>
      <c r="AE859" s="12"/>
      <c r="AF85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57600</v>
      </c>
      <c r="AG859" s="24"/>
      <c r="AH859" s="266">
        <f>Table4[[#This Row],[Date]]</f>
        <v>46073</v>
      </c>
      <c r="AI859" s="264" t="str">
        <f t="shared" si="154"/>
        <v>Feb</v>
      </c>
      <c r="AJ859" s="264" t="str">
        <f t="shared" si="155"/>
        <v>2026</v>
      </c>
      <c r="AK859" s="270" t="str">
        <f>Table4[[#This Row],[ကုန်သည်အမည်]]</f>
        <v>ရွှေနဂါး</v>
      </c>
      <c r="AL859" s="270" t="str">
        <f>Table4[[#This Row],[Township]]</f>
        <v>Maw La Myaing</v>
      </c>
      <c r="AM859" s="271" t="str">
        <f>Table4[[#This Row],[WholeSales]]</f>
        <v>Van Sales</v>
      </c>
      <c r="AN859" s="272" t="str">
        <f>Table4[[#This Row],[Particular]]</f>
        <v>ကုန်ရောင်း(လက်ငင်း)</v>
      </c>
      <c r="AO859" s="273" t="str">
        <f>Table4[[#This Row],[StockName]]</f>
        <v>ဒဂုံမန်ကျည်း ကော်ဘူး (1 Liter)</v>
      </c>
      <c r="AP859" s="268">
        <f>Table4[[#This Row],[Parking]]</f>
        <v>3</v>
      </c>
      <c r="AQ859" s="268">
        <f>Table4[[#This Row],[SalesBot]]</f>
        <v>36</v>
      </c>
      <c r="AR859" s="268">
        <f>Table4[[#This Row],[Liter]]</f>
        <v>36</v>
      </c>
    </row>
    <row r="860" spans="1:44" s="16" customFormat="1" hidden="1" x14ac:dyDescent="0.5">
      <c r="A860" s="3">
        <f>YEAR(C860)</f>
        <v>2026</v>
      </c>
      <c r="B860" s="8">
        <f>MONTH(C860)</f>
        <v>2</v>
      </c>
      <c r="C860" s="6">
        <v>46073</v>
      </c>
      <c r="D860" s="15">
        <f ca="1">TODAY()</f>
        <v>46097</v>
      </c>
      <c r="E860" s="15" t="str">
        <f ca="1">DATEDIF(C860,D860,"M")&amp;"-Months"</f>
        <v>0-Months</v>
      </c>
      <c r="F860" s="8" t="str">
        <f>VLOOKUP(N860,Stock[#Data],5,FALSE)</f>
        <v>BE</v>
      </c>
      <c r="G860" s="82" t="s">
        <v>1502</v>
      </c>
      <c r="H860" s="15" t="s">
        <v>439</v>
      </c>
      <c r="I860" s="7" t="s">
        <v>724</v>
      </c>
      <c r="J860" s="8" t="str">
        <f>VLOOKUP(I860,Customers[#Data],2,FALSE)</f>
        <v>လျှမ်း</v>
      </c>
      <c r="K860" s="15" t="str">
        <f>VLOOKUP(I860,Customers[#Data],4,FALSE)</f>
        <v>Maw La Myaing</v>
      </c>
      <c r="L860" s="15" t="str">
        <f>VLOOKUP(I860,Customers[#Data],5,FALSE)</f>
        <v>Van Sales</v>
      </c>
      <c r="M860" s="7" t="s">
        <v>6</v>
      </c>
      <c r="N860" s="7" t="s">
        <v>522</v>
      </c>
      <c r="O860" s="14" t="str">
        <f>VLOOKUP(N860,Stock[#Data],2,FALSE)</f>
        <v>ဒဂုံမန်ကျည်း ကော်ဘူး (1 Liter)</v>
      </c>
      <c r="P860" s="44">
        <f>VLOOKUP(N860,Stock[#Data],3,FALSE)</f>
        <v>1</v>
      </c>
      <c r="Q860" s="3">
        <f>VLOOKUP(N860,Stock[#Data],4,FALSE)</f>
        <v>12</v>
      </c>
      <c r="R860" s="11"/>
      <c r="S860" s="45">
        <f>IFERROR(Table4[[#This Row],[Bottle]]/Table4[[#This Row],[ပါဝင်မှု]]+Table4[[#This Row],[SalesPK]],0)</f>
        <v>1</v>
      </c>
      <c r="T860" s="12">
        <v>1</v>
      </c>
      <c r="U860" s="10">
        <f>Table4[[#This Row],[ပါဝင်မှု]]*Table4[[#This Row],[SalesPK]]+Table4[[#This Row],[Bottle]]</f>
        <v>12</v>
      </c>
      <c r="V860" s="10">
        <f>Table4[[#This Row],[SalesBot]]*Table4[[#This Row],[ML]]</f>
        <v>12</v>
      </c>
      <c r="W860" s="1">
        <f>VLOOKUP(N860,Stock[#Data],6,FALSE)</f>
        <v>1600</v>
      </c>
      <c r="X860" s="8">
        <f>+Table4[[#This Row],[SalesBot]]*Table4[[#This Row],[နှုံး]]</f>
        <v>19200</v>
      </c>
      <c r="Y860" s="12"/>
      <c r="Z860" s="12"/>
      <c r="AA860" s="12"/>
      <c r="AB860" s="9"/>
      <c r="AC860" s="12"/>
      <c r="AD860" s="9"/>
      <c r="AE860" s="12"/>
      <c r="AF86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860" s="24"/>
      <c r="AH860" s="266">
        <f>Table4[[#This Row],[Date]]</f>
        <v>46073</v>
      </c>
      <c r="AI860" s="264" t="str">
        <f t="shared" si="154"/>
        <v>Feb</v>
      </c>
      <c r="AJ860" s="264" t="str">
        <f t="shared" si="155"/>
        <v>2026</v>
      </c>
      <c r="AK860" s="270" t="str">
        <f>Table4[[#This Row],[ကုန်သည်အမည်]]</f>
        <v>လျှမ်း</v>
      </c>
      <c r="AL860" s="270" t="str">
        <f>Table4[[#This Row],[Township]]</f>
        <v>Maw La Myaing</v>
      </c>
      <c r="AM860" s="271" t="str">
        <f>Table4[[#This Row],[WholeSales]]</f>
        <v>Van Sales</v>
      </c>
      <c r="AN860" s="272" t="str">
        <f>Table4[[#This Row],[Particular]]</f>
        <v>ကုန်ရောင်း(လက်ငင်း)</v>
      </c>
      <c r="AO860" s="273" t="str">
        <f>Table4[[#This Row],[StockName]]</f>
        <v>ဒဂုံမန်ကျည်း ကော်ဘူး (1 Liter)</v>
      </c>
      <c r="AP860" s="268">
        <f>Table4[[#This Row],[Parking]]</f>
        <v>1</v>
      </c>
      <c r="AQ860" s="268">
        <f>Table4[[#This Row],[SalesBot]]</f>
        <v>12</v>
      </c>
      <c r="AR860" s="268">
        <f>Table4[[#This Row],[Liter]]</f>
        <v>12</v>
      </c>
    </row>
    <row r="861" spans="1:44" s="16" customFormat="1" hidden="1" x14ac:dyDescent="0.5">
      <c r="A861" s="3">
        <f t="shared" si="156"/>
        <v>2026</v>
      </c>
      <c r="B861" s="8">
        <f t="shared" si="157"/>
        <v>2</v>
      </c>
      <c r="C861" s="6">
        <v>46073</v>
      </c>
      <c r="D861" s="15">
        <f t="shared" ca="1" si="158"/>
        <v>46097</v>
      </c>
      <c r="E861" s="15" t="str">
        <f t="shared" ca="1" si="159"/>
        <v>0-Months</v>
      </c>
      <c r="F861" s="8" t="str">
        <f>VLOOKUP(N861,Stock[#Data],5,FALSE)</f>
        <v>BE</v>
      </c>
      <c r="G861" s="82" t="s">
        <v>1501</v>
      </c>
      <c r="H861" s="15"/>
      <c r="I861" s="7" t="s">
        <v>725</v>
      </c>
      <c r="J861" s="8" t="str">
        <f>VLOOKUP(I861,Customers[#Data],2,FALSE)</f>
        <v>ရွှေနဂါး</v>
      </c>
      <c r="K861" s="15" t="str">
        <f>VLOOKUP(I861,Customers[#Data],4,FALSE)</f>
        <v>Maw La Myaing</v>
      </c>
      <c r="L861" s="15" t="str">
        <f>VLOOKUP(I861,Customers[#Data],5,FALSE)</f>
        <v>Van Sales</v>
      </c>
      <c r="M861" s="7" t="s">
        <v>9</v>
      </c>
      <c r="N861" s="7" t="s">
        <v>522</v>
      </c>
      <c r="O861" s="14" t="str">
        <f>VLOOKUP(N861,Stock[#Data],2,FALSE)</f>
        <v>ဒဂုံမန်ကျည်း ကော်ဘူး (1 Liter)</v>
      </c>
      <c r="P861" s="44">
        <f>VLOOKUP(N861,Stock[#Data],3,FALSE)</f>
        <v>1</v>
      </c>
      <c r="Q861" s="3">
        <f>VLOOKUP(N861,Stock[#Data],4,FALSE)</f>
        <v>12</v>
      </c>
      <c r="R861" s="11">
        <v>2</v>
      </c>
      <c r="S861" s="45">
        <f>IFERROR(Table4[[#This Row],[Bottle]]/Table4[[#This Row],[ပါဝင်မှု]]+Table4[[#This Row],[SalesPK]],0)</f>
        <v>0.16666666666666666</v>
      </c>
      <c r="T861" s="12"/>
      <c r="U861" s="10">
        <f>Table4[[#This Row],[ပါဝင်မှု]]*Table4[[#This Row],[SalesPK]]+Table4[[#This Row],[Bottle]]</f>
        <v>2</v>
      </c>
      <c r="V861" s="10">
        <f>Table4[[#This Row],[SalesBot]]*Table4[[#This Row],[ML]]</f>
        <v>2</v>
      </c>
      <c r="W861" s="1">
        <f>VLOOKUP(N861,Stock[#Data],6,FALSE)</f>
        <v>1600</v>
      </c>
      <c r="X861" s="8">
        <f>+Table4[[#This Row],[SalesBot]]*Table4[[#This Row],[နှုံး]]</f>
        <v>3200</v>
      </c>
      <c r="Y861" s="12"/>
      <c r="Z861" s="12"/>
      <c r="AA861" s="12"/>
      <c r="AB861" s="9"/>
      <c r="AC861" s="12"/>
      <c r="AD861" s="9"/>
      <c r="AE861" s="12"/>
      <c r="AF86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3200</v>
      </c>
      <c r="AG861" s="24"/>
      <c r="AH861" s="266">
        <f>Table4[[#This Row],[Date]]</f>
        <v>46073</v>
      </c>
      <c r="AI861" s="264" t="str">
        <f t="shared" si="154"/>
        <v>Feb</v>
      </c>
      <c r="AJ861" s="264" t="str">
        <f t="shared" si="155"/>
        <v>2026</v>
      </c>
      <c r="AK861" s="270" t="str">
        <f>Table4[[#This Row],[ကုန်သည်အမည်]]</f>
        <v>ရွှေနဂါး</v>
      </c>
      <c r="AL861" s="270" t="str">
        <f>Table4[[#This Row],[Township]]</f>
        <v>Maw La Myaing</v>
      </c>
      <c r="AM861" s="271" t="str">
        <f>Table4[[#This Row],[WholeSales]]</f>
        <v>Van Sales</v>
      </c>
      <c r="AN861" s="272" t="str">
        <f>Table4[[#This Row],[Particular]]</f>
        <v>လက်ဆောင်</v>
      </c>
      <c r="AO861" s="273" t="str">
        <f>Table4[[#This Row],[StockName]]</f>
        <v>ဒဂုံမန်ကျည်း ကော်ဘူး (1 Liter)</v>
      </c>
      <c r="AP861" s="268">
        <f>Table4[[#This Row],[Parking]]</f>
        <v>0.16666666666666666</v>
      </c>
      <c r="AQ861" s="268">
        <f>Table4[[#This Row],[SalesBot]]</f>
        <v>2</v>
      </c>
      <c r="AR861" s="268">
        <f>Table4[[#This Row],[Liter]]</f>
        <v>2</v>
      </c>
    </row>
    <row r="862" spans="1:44" s="16" customFormat="1" hidden="1" x14ac:dyDescent="0.5">
      <c r="A862" s="3">
        <f t="shared" si="136"/>
        <v>2026</v>
      </c>
      <c r="B862" s="8">
        <f t="shared" si="137"/>
        <v>2</v>
      </c>
      <c r="C862" s="6">
        <v>46073</v>
      </c>
      <c r="D862" s="15">
        <f t="shared" ca="1" si="138"/>
        <v>46097</v>
      </c>
      <c r="E862" s="15" t="str">
        <f t="shared" ca="1" si="139"/>
        <v>0-Months</v>
      </c>
      <c r="F862" s="8" t="str">
        <f>VLOOKUP(N862,Stock[#Data],5,FALSE)</f>
        <v>BE</v>
      </c>
      <c r="G862" s="82" t="s">
        <v>1502</v>
      </c>
      <c r="H862" s="15"/>
      <c r="I862" s="7" t="s">
        <v>724</v>
      </c>
      <c r="J862" s="8" t="str">
        <f>VLOOKUP(I862,Customers[#Data],2,FALSE)</f>
        <v>လျှမ်း</v>
      </c>
      <c r="K862" s="15" t="str">
        <f>VLOOKUP(I862,Customers[#Data],4,FALSE)</f>
        <v>Maw La Myaing</v>
      </c>
      <c r="L862" s="15" t="str">
        <f>VLOOKUP(I862,Customers[#Data],5,FALSE)</f>
        <v>Van Sales</v>
      </c>
      <c r="M862" s="7" t="s">
        <v>9</v>
      </c>
      <c r="N862" s="7" t="s">
        <v>522</v>
      </c>
      <c r="O862" s="14" t="str">
        <f>VLOOKUP(N862,Stock[#Data],2,FALSE)</f>
        <v>ဒဂုံမန်ကျည်း ကော်ဘူး (1 Liter)</v>
      </c>
      <c r="P862" s="44">
        <f>VLOOKUP(N862,Stock[#Data],3,FALSE)</f>
        <v>1</v>
      </c>
      <c r="Q862" s="3">
        <f>VLOOKUP(N862,Stock[#Data],4,FALSE)</f>
        <v>12</v>
      </c>
      <c r="R862" s="11">
        <v>1</v>
      </c>
      <c r="S862" s="45">
        <f>IFERROR(Table4[[#This Row],[Bottle]]/Table4[[#This Row],[ပါဝင်မှု]]+Table4[[#This Row],[SalesPK]],0)</f>
        <v>8.3333333333333329E-2</v>
      </c>
      <c r="T862" s="12"/>
      <c r="U862" s="10">
        <f>Table4[[#This Row],[ပါဝင်မှု]]*Table4[[#This Row],[SalesPK]]+Table4[[#This Row],[Bottle]]</f>
        <v>1</v>
      </c>
      <c r="V862" s="10">
        <f>Table4[[#This Row],[SalesBot]]*Table4[[#This Row],[ML]]</f>
        <v>1</v>
      </c>
      <c r="W862" s="1">
        <f>VLOOKUP(N862,Stock[#Data],6,FALSE)</f>
        <v>1600</v>
      </c>
      <c r="X862" s="8">
        <f>+Table4[[#This Row],[SalesBot]]*Table4[[#This Row],[နှုံး]]</f>
        <v>1600</v>
      </c>
      <c r="Y862" s="12"/>
      <c r="Z862" s="12"/>
      <c r="AA862" s="12"/>
      <c r="AB862" s="9"/>
      <c r="AC862" s="12"/>
      <c r="AD862" s="9"/>
      <c r="AE862" s="12"/>
      <c r="AF86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862" s="24"/>
      <c r="AH862" s="266">
        <f>Table4[[#This Row],[Date]]</f>
        <v>46073</v>
      </c>
      <c r="AI862" s="264" t="str">
        <f t="shared" si="154"/>
        <v>Feb</v>
      </c>
      <c r="AJ862" s="264" t="str">
        <f t="shared" si="155"/>
        <v>2026</v>
      </c>
      <c r="AK862" s="270" t="str">
        <f>Table4[[#This Row],[ကုန်သည်အမည်]]</f>
        <v>လျှမ်း</v>
      </c>
      <c r="AL862" s="270" t="str">
        <f>Table4[[#This Row],[Township]]</f>
        <v>Maw La Myaing</v>
      </c>
      <c r="AM862" s="271" t="str">
        <f>Table4[[#This Row],[WholeSales]]</f>
        <v>Van Sales</v>
      </c>
      <c r="AN862" s="272" t="str">
        <f>Table4[[#This Row],[Particular]]</f>
        <v>လက်ဆောင်</v>
      </c>
      <c r="AO862" s="273" t="str">
        <f>Table4[[#This Row],[StockName]]</f>
        <v>ဒဂုံမန်ကျည်း ကော်ဘူး (1 Liter)</v>
      </c>
      <c r="AP862" s="268">
        <f>Table4[[#This Row],[Parking]]</f>
        <v>8.3333333333333329E-2</v>
      </c>
      <c r="AQ862" s="268">
        <f>Table4[[#This Row],[SalesBot]]</f>
        <v>1</v>
      </c>
      <c r="AR862" s="268">
        <f>Table4[[#This Row],[Liter]]</f>
        <v>1</v>
      </c>
    </row>
    <row r="863" spans="1:44" s="16" customFormat="1" hidden="1" x14ac:dyDescent="0.5">
      <c r="A863" s="3">
        <f t="shared" ref="A863:A901" si="164">YEAR(C863)</f>
        <v>2026</v>
      </c>
      <c r="B863" s="8">
        <f t="shared" ref="B863:B901" si="165">MONTH(C863)</f>
        <v>2</v>
      </c>
      <c r="C863" s="6">
        <v>46074</v>
      </c>
      <c r="D863" s="15">
        <f t="shared" ref="D863:D901" ca="1" si="166">TODAY()</f>
        <v>46097</v>
      </c>
      <c r="E863" s="15" t="str">
        <f t="shared" ref="E863:E901" ca="1" si="167">DATEDIF(C863,D863,"M")&amp;"-Months"</f>
        <v>0-Months</v>
      </c>
      <c r="F863" s="8" t="str">
        <f>VLOOKUP(N863,Stock[#Data],5,FALSE)</f>
        <v>BE</v>
      </c>
      <c r="G863" s="82" t="s">
        <v>1503</v>
      </c>
      <c r="H863" s="15"/>
      <c r="I863" s="7" t="s">
        <v>538</v>
      </c>
      <c r="J863" s="8" t="str">
        <f>VLOOKUP(I863,Customers[#Data],2,FALSE)</f>
        <v>ဒေါ်နွယ်နွယ်ရီ(ရွှေတောင်ကြား)</v>
      </c>
      <c r="K863" s="15" t="str">
        <f>VLOOKUP(I863,Customers[#Data],4,FALSE)</f>
        <v>Yay</v>
      </c>
      <c r="L863" s="15" t="str">
        <f>VLOOKUP(I863,Customers[#Data],5,FALSE)</f>
        <v>WholeSales</v>
      </c>
      <c r="M863" s="7" t="s">
        <v>7</v>
      </c>
      <c r="N863" s="7" t="s">
        <v>514</v>
      </c>
      <c r="O863" s="14" t="str">
        <f>VLOOKUP(N863,Stock[#Data],2,FALSE)</f>
        <v>ဇေယျဝတီ Red</v>
      </c>
      <c r="P863" s="44">
        <f>VLOOKUP(N863,Stock[#Data],3,FALSE)</f>
        <v>0.64</v>
      </c>
      <c r="Q863" s="3">
        <f>VLOOKUP(N863,Stock[#Data],4,FALSE)</f>
        <v>14</v>
      </c>
      <c r="R863" s="11"/>
      <c r="S863" s="45">
        <f>IFERROR(Table4[[#This Row],[Bottle]]/Table4[[#This Row],[ပါဝင်မှု]]+Table4[[#This Row],[SalesPK]],0)</f>
        <v>300</v>
      </c>
      <c r="T863" s="12">
        <v>300</v>
      </c>
      <c r="U863" s="10">
        <f>Table4[[#This Row],[ပါဝင်မှု]]*Table4[[#This Row],[SalesPK]]+Table4[[#This Row],[Bottle]]</f>
        <v>4200</v>
      </c>
      <c r="V863" s="10">
        <f>Table4[[#This Row],[SalesBot]]*Table4[[#This Row],[ML]]</f>
        <v>2688</v>
      </c>
      <c r="W863" s="1">
        <f>VLOOKUP(N863,Stock[#Data],6,FALSE)</f>
        <v>1350</v>
      </c>
      <c r="X863" s="8">
        <f>+Table4[[#This Row],[SalesBot]]*Table4[[#This Row],[နှုံး]]</f>
        <v>5670000</v>
      </c>
      <c r="Y863" s="12"/>
      <c r="Z863" s="12"/>
      <c r="AA863" s="12"/>
      <c r="AB863" s="9"/>
      <c r="AC863" s="12"/>
      <c r="AD863" s="9"/>
      <c r="AE863" s="12"/>
      <c r="AF86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5670000</v>
      </c>
      <c r="AG863" s="24"/>
      <c r="AH863" s="266">
        <f>Table4[[#This Row],[Date]]</f>
        <v>46074</v>
      </c>
      <c r="AI863" s="264" t="str">
        <f t="shared" si="154"/>
        <v>Feb</v>
      </c>
      <c r="AJ863" s="264" t="str">
        <f t="shared" si="155"/>
        <v>2026</v>
      </c>
      <c r="AK863" s="270" t="str">
        <f>Table4[[#This Row],[ကုန်သည်အမည်]]</f>
        <v>ဒေါ်နွယ်နွယ်ရီ(ရွှေတောင်ကြား)</v>
      </c>
      <c r="AL863" s="270" t="str">
        <f>Table4[[#This Row],[Township]]</f>
        <v>Yay</v>
      </c>
      <c r="AM863" s="271" t="str">
        <f>Table4[[#This Row],[WholeSales]]</f>
        <v>WholeSales</v>
      </c>
      <c r="AN863" s="272" t="str">
        <f>Table4[[#This Row],[Particular]]</f>
        <v>ကုန်ရောင်း(အကြွေး)</v>
      </c>
      <c r="AO863" s="273" t="str">
        <f>Table4[[#This Row],[StockName]]</f>
        <v>ဇေယျဝတီ Red</v>
      </c>
      <c r="AP863" s="268">
        <f>Table4[[#This Row],[Parking]]</f>
        <v>300</v>
      </c>
      <c r="AQ863" s="268">
        <f>Table4[[#This Row],[SalesBot]]</f>
        <v>4200</v>
      </c>
      <c r="AR863" s="268">
        <f>Table4[[#This Row],[Liter]]</f>
        <v>2688</v>
      </c>
    </row>
    <row r="864" spans="1:44" s="16" customFormat="1" hidden="1" x14ac:dyDescent="0.5">
      <c r="A864" s="3">
        <f t="shared" si="164"/>
        <v>2026</v>
      </c>
      <c r="B864" s="8">
        <f t="shared" si="165"/>
        <v>2</v>
      </c>
      <c r="C864" s="6">
        <v>46074</v>
      </c>
      <c r="D864" s="15">
        <f t="shared" ca="1" si="166"/>
        <v>46097</v>
      </c>
      <c r="E864" s="15" t="str">
        <f t="shared" ca="1" si="167"/>
        <v>0-Months</v>
      </c>
      <c r="F864" s="8" t="str">
        <f>VLOOKUP(N864,Stock[#Data],5,FALSE)</f>
        <v>BE</v>
      </c>
      <c r="G864" s="82" t="s">
        <v>1504</v>
      </c>
      <c r="H864" s="15"/>
      <c r="I864" s="7" t="s">
        <v>95</v>
      </c>
      <c r="J864" s="8" t="str">
        <f>VLOOKUP(I864,Customers[#Data],2,FALSE)</f>
        <v>ကျော်စတား</v>
      </c>
      <c r="K864" s="15" t="str">
        <f>VLOOKUP(I864,Customers[#Data],4,FALSE)</f>
        <v>Yay</v>
      </c>
      <c r="L864" s="15" t="str">
        <f>VLOOKUP(I864,Customers[#Data],5,FALSE)</f>
        <v>WholeSales</v>
      </c>
      <c r="M864" s="7" t="s">
        <v>7</v>
      </c>
      <c r="N864" s="7" t="s">
        <v>514</v>
      </c>
      <c r="O864" s="14" t="str">
        <f>VLOOKUP(N864,Stock[#Data],2,FALSE)</f>
        <v>ဇေယျဝတီ Red</v>
      </c>
      <c r="P864" s="44">
        <f>VLOOKUP(N864,Stock[#Data],3,FALSE)</f>
        <v>0.64</v>
      </c>
      <c r="Q864" s="3">
        <f>VLOOKUP(N864,Stock[#Data],4,FALSE)</f>
        <v>14</v>
      </c>
      <c r="R864" s="11"/>
      <c r="S864" s="45">
        <f>IFERROR(Table4[[#This Row],[Bottle]]/Table4[[#This Row],[ပါဝင်မှု]]+Table4[[#This Row],[SalesPK]],0)</f>
        <v>150</v>
      </c>
      <c r="T864" s="12">
        <v>150</v>
      </c>
      <c r="U864" s="10">
        <f>Table4[[#This Row],[ပါဝင်မှု]]*Table4[[#This Row],[SalesPK]]+Table4[[#This Row],[Bottle]]</f>
        <v>2100</v>
      </c>
      <c r="V864" s="10">
        <f>Table4[[#This Row],[SalesBot]]*Table4[[#This Row],[ML]]</f>
        <v>1344</v>
      </c>
      <c r="W864" s="1">
        <f>VLOOKUP(N864,Stock[#Data],6,FALSE)</f>
        <v>1350</v>
      </c>
      <c r="X864" s="8">
        <f>+Table4[[#This Row],[SalesBot]]*Table4[[#This Row],[နှုံး]]</f>
        <v>2835000</v>
      </c>
      <c r="Y864" s="12"/>
      <c r="Z864" s="12"/>
      <c r="AA864" s="12"/>
      <c r="AB864" s="9"/>
      <c r="AC864" s="12"/>
      <c r="AD864" s="9"/>
      <c r="AE864" s="12"/>
      <c r="AF86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2835000</v>
      </c>
      <c r="AG864" s="24"/>
      <c r="AH864" s="266">
        <f>Table4[[#This Row],[Date]]</f>
        <v>46074</v>
      </c>
      <c r="AI864" s="264" t="str">
        <f t="shared" si="154"/>
        <v>Feb</v>
      </c>
      <c r="AJ864" s="264" t="str">
        <f t="shared" si="155"/>
        <v>2026</v>
      </c>
      <c r="AK864" s="270" t="str">
        <f>Table4[[#This Row],[ကုန်သည်အမည်]]</f>
        <v>ကျော်စတား</v>
      </c>
      <c r="AL864" s="270" t="str">
        <f>Table4[[#This Row],[Township]]</f>
        <v>Yay</v>
      </c>
      <c r="AM864" s="271" t="str">
        <f>Table4[[#This Row],[WholeSales]]</f>
        <v>WholeSales</v>
      </c>
      <c r="AN864" s="272" t="str">
        <f>Table4[[#This Row],[Particular]]</f>
        <v>ကုန်ရောင်း(အကြွေး)</v>
      </c>
      <c r="AO864" s="273" t="str">
        <f>Table4[[#This Row],[StockName]]</f>
        <v>ဇေယျဝတီ Red</v>
      </c>
      <c r="AP864" s="268">
        <f>Table4[[#This Row],[Parking]]</f>
        <v>150</v>
      </c>
      <c r="AQ864" s="268">
        <f>Table4[[#This Row],[SalesBot]]</f>
        <v>2100</v>
      </c>
      <c r="AR864" s="268">
        <f>Table4[[#This Row],[Liter]]</f>
        <v>1344</v>
      </c>
    </row>
    <row r="865" spans="1:44" s="16" customFormat="1" hidden="1" x14ac:dyDescent="0.5">
      <c r="A865" s="3">
        <f t="shared" si="164"/>
        <v>2026</v>
      </c>
      <c r="B865" s="8">
        <f t="shared" si="165"/>
        <v>2</v>
      </c>
      <c r="C865" s="6">
        <v>46074</v>
      </c>
      <c r="D865" s="15">
        <f t="shared" ca="1" si="166"/>
        <v>46097</v>
      </c>
      <c r="E865" s="15" t="str">
        <f t="shared" ca="1" si="167"/>
        <v>0-Months</v>
      </c>
      <c r="F865" s="8" t="str">
        <f>VLOOKUP(N865,Stock[#Data],5,FALSE)</f>
        <v>BE</v>
      </c>
      <c r="G865" s="82" t="s">
        <v>1504</v>
      </c>
      <c r="H865" s="15"/>
      <c r="I865" s="7" t="s">
        <v>95</v>
      </c>
      <c r="J865" s="8" t="str">
        <f>VLOOKUP(I865,Customers[#Data],2,FALSE)</f>
        <v>ကျော်စတား</v>
      </c>
      <c r="K865" s="15" t="str">
        <f>VLOOKUP(I865,Customers[#Data],4,FALSE)</f>
        <v>Yay</v>
      </c>
      <c r="L865" s="15" t="str">
        <f>VLOOKUP(I865,Customers[#Data],5,FALSE)</f>
        <v>WholeSales</v>
      </c>
      <c r="M865" s="7" t="s">
        <v>7</v>
      </c>
      <c r="N865" s="7" t="s">
        <v>517</v>
      </c>
      <c r="O865" s="14" t="str">
        <f>VLOOKUP(N865,Stock[#Data],2,FALSE)</f>
        <v>ဇေယျဝတီ Red (1 Liter) 30%</v>
      </c>
      <c r="P865" s="44">
        <f>VLOOKUP(N865,Stock[#Data],3,FALSE)</f>
        <v>1</v>
      </c>
      <c r="Q865" s="3">
        <f>VLOOKUP(N865,Stock[#Data],4,FALSE)</f>
        <v>12</v>
      </c>
      <c r="R865" s="11"/>
      <c r="S865" s="45">
        <f>IFERROR(Table4[[#This Row],[Bottle]]/Table4[[#This Row],[ပါဝင်မှု]]+Table4[[#This Row],[SalesPK]],0)</f>
        <v>100</v>
      </c>
      <c r="T865" s="12">
        <v>100</v>
      </c>
      <c r="U865" s="10">
        <f>Table4[[#This Row],[ပါဝင်မှု]]*Table4[[#This Row],[SalesPK]]+Table4[[#This Row],[Bottle]]</f>
        <v>1200</v>
      </c>
      <c r="V865" s="10">
        <f>Table4[[#This Row],[SalesBot]]*Table4[[#This Row],[ML]]</f>
        <v>1200</v>
      </c>
      <c r="W865" s="1">
        <f>VLOOKUP(N865,Stock[#Data],6,FALSE)</f>
        <v>1710</v>
      </c>
      <c r="X865" s="8">
        <f>+Table4[[#This Row],[SalesBot]]*Table4[[#This Row],[နှုံး]]</f>
        <v>2052000</v>
      </c>
      <c r="Y865" s="12"/>
      <c r="Z865" s="12"/>
      <c r="AA865" s="12"/>
      <c r="AB865" s="9"/>
      <c r="AC865" s="12"/>
      <c r="AD865" s="9"/>
      <c r="AE865" s="12"/>
      <c r="AF86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865" s="24"/>
      <c r="AH865" s="266">
        <f>Table4[[#This Row],[Date]]</f>
        <v>46074</v>
      </c>
      <c r="AI865" s="264" t="str">
        <f t="shared" si="154"/>
        <v>Feb</v>
      </c>
      <c r="AJ865" s="264" t="str">
        <f t="shared" si="155"/>
        <v>2026</v>
      </c>
      <c r="AK865" s="270" t="str">
        <f>Table4[[#This Row],[ကုန်သည်အမည်]]</f>
        <v>ကျော်စတား</v>
      </c>
      <c r="AL865" s="270" t="str">
        <f>Table4[[#This Row],[Township]]</f>
        <v>Yay</v>
      </c>
      <c r="AM865" s="271" t="str">
        <f>Table4[[#This Row],[WholeSales]]</f>
        <v>WholeSales</v>
      </c>
      <c r="AN865" s="272" t="str">
        <f>Table4[[#This Row],[Particular]]</f>
        <v>ကုန်ရောင်း(အကြွေး)</v>
      </c>
      <c r="AO865" s="273" t="str">
        <f>Table4[[#This Row],[StockName]]</f>
        <v>ဇေယျဝတီ Red (1 Liter) 30%</v>
      </c>
      <c r="AP865" s="268">
        <f>Table4[[#This Row],[Parking]]</f>
        <v>100</v>
      </c>
      <c r="AQ865" s="268">
        <f>Table4[[#This Row],[SalesBot]]</f>
        <v>1200</v>
      </c>
      <c r="AR865" s="268">
        <f>Table4[[#This Row],[Liter]]</f>
        <v>1200</v>
      </c>
    </row>
    <row r="866" spans="1:44" s="16" customFormat="1" hidden="1" x14ac:dyDescent="0.5">
      <c r="A866" s="3">
        <f t="shared" si="164"/>
        <v>2026</v>
      </c>
      <c r="B866" s="8">
        <f t="shared" si="165"/>
        <v>2</v>
      </c>
      <c r="C866" s="6">
        <v>46074</v>
      </c>
      <c r="D866" s="15">
        <f t="shared" ca="1" si="166"/>
        <v>46097</v>
      </c>
      <c r="E866" s="15" t="str">
        <f t="shared" ca="1" si="167"/>
        <v>0-Months</v>
      </c>
      <c r="F866" s="8" t="str">
        <f>VLOOKUP(N866,Stock[#Data],5,FALSE)</f>
        <v>BE</v>
      </c>
      <c r="G866" s="82" t="s">
        <v>1505</v>
      </c>
      <c r="H866" s="15"/>
      <c r="I866" s="7" t="s">
        <v>1506</v>
      </c>
      <c r="J866" s="8" t="str">
        <f>VLOOKUP(I866,Customers[#Data],2,FALSE)</f>
        <v>ရတီ</v>
      </c>
      <c r="K866" s="15" t="str">
        <f>VLOOKUP(I866,Customers[#Data],4,FALSE)</f>
        <v>Maw La Myaing</v>
      </c>
      <c r="L866" s="15" t="str">
        <f>VLOOKUP(I866,Customers[#Data],5,FALSE)</f>
        <v>Van Sales</v>
      </c>
      <c r="M866" s="7" t="s">
        <v>6</v>
      </c>
      <c r="N866" s="7" t="s">
        <v>516</v>
      </c>
      <c r="O866" s="14" t="str">
        <f>VLOOKUP(N866,Stock[#Data],2,FALSE)</f>
        <v>ဇေ Vodka</v>
      </c>
      <c r="P866" s="44">
        <f>VLOOKUP(N866,Stock[#Data],3,FALSE)</f>
        <v>0.64</v>
      </c>
      <c r="Q866" s="3">
        <f>VLOOKUP(N866,Stock[#Data],4,FALSE)</f>
        <v>14</v>
      </c>
      <c r="R866" s="11"/>
      <c r="S866" s="45">
        <f>IFERROR(Table4[[#This Row],[Bottle]]/Table4[[#This Row],[ပါဝင်မှု]]+Table4[[#This Row],[SalesPK]],0)</f>
        <v>2</v>
      </c>
      <c r="T866" s="12">
        <v>2</v>
      </c>
      <c r="U866" s="10">
        <f>Table4[[#This Row],[ပါဝင်မှု]]*Table4[[#This Row],[SalesPK]]+Table4[[#This Row],[Bottle]]</f>
        <v>28</v>
      </c>
      <c r="V866" s="10">
        <f>Table4[[#This Row],[SalesBot]]*Table4[[#This Row],[ML]]</f>
        <v>17.920000000000002</v>
      </c>
      <c r="W866" s="1">
        <f>VLOOKUP(N866,Stock[#Data],6,FALSE)</f>
        <v>1400</v>
      </c>
      <c r="X866" s="8">
        <f>+Table4[[#This Row],[SalesBot]]*Table4[[#This Row],[နှုံး]]</f>
        <v>39200</v>
      </c>
      <c r="Y866" s="12"/>
      <c r="Z866" s="12"/>
      <c r="AA866" s="12"/>
      <c r="AB866" s="9"/>
      <c r="AC866" s="12"/>
      <c r="AD866" s="9"/>
      <c r="AE866" s="12"/>
      <c r="AF86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39200</v>
      </c>
      <c r="AG866" s="24"/>
      <c r="AH866" s="266">
        <f>Table4[[#This Row],[Date]]</f>
        <v>46074</v>
      </c>
      <c r="AI866" s="264" t="str">
        <f t="shared" si="154"/>
        <v>Feb</v>
      </c>
      <c r="AJ866" s="264" t="str">
        <f t="shared" si="155"/>
        <v>2026</v>
      </c>
      <c r="AK866" s="270" t="str">
        <f>Table4[[#This Row],[ကုန်သည်အမည်]]</f>
        <v>ရတီ</v>
      </c>
      <c r="AL866" s="270" t="str">
        <f>Table4[[#This Row],[Township]]</f>
        <v>Maw La Myaing</v>
      </c>
      <c r="AM866" s="271" t="str">
        <f>Table4[[#This Row],[WholeSales]]</f>
        <v>Van Sales</v>
      </c>
      <c r="AN866" s="272" t="str">
        <f>Table4[[#This Row],[Particular]]</f>
        <v>ကုန်ရောင်း(လက်ငင်း)</v>
      </c>
      <c r="AO866" s="273" t="str">
        <f>Table4[[#This Row],[StockName]]</f>
        <v>ဇေ Vodka</v>
      </c>
      <c r="AP866" s="268">
        <f>Table4[[#This Row],[Parking]]</f>
        <v>2</v>
      </c>
      <c r="AQ866" s="268">
        <f>Table4[[#This Row],[SalesBot]]</f>
        <v>28</v>
      </c>
      <c r="AR866" s="268">
        <f>Table4[[#This Row],[Liter]]</f>
        <v>17.920000000000002</v>
      </c>
    </row>
    <row r="867" spans="1:44" s="16" customFormat="1" hidden="1" x14ac:dyDescent="0.5">
      <c r="A867" s="3">
        <f t="shared" si="164"/>
        <v>2026</v>
      </c>
      <c r="B867" s="8">
        <f t="shared" si="165"/>
        <v>2</v>
      </c>
      <c r="C867" s="6">
        <v>46074</v>
      </c>
      <c r="D867" s="15">
        <f t="shared" ca="1" si="166"/>
        <v>46097</v>
      </c>
      <c r="E867" s="15" t="str">
        <f t="shared" ca="1" si="167"/>
        <v>0-Months</v>
      </c>
      <c r="F867" s="8" t="str">
        <f>VLOOKUP(N867,Stock[#Data],5,FALSE)</f>
        <v>BE</v>
      </c>
      <c r="G867" s="82" t="s">
        <v>1505</v>
      </c>
      <c r="H867" s="15"/>
      <c r="I867" s="7" t="s">
        <v>1506</v>
      </c>
      <c r="J867" s="8" t="str">
        <f>VLOOKUP(I867,Customers[#Data],2,FALSE)</f>
        <v>ရတီ</v>
      </c>
      <c r="K867" s="15" t="str">
        <f>VLOOKUP(I867,Customers[#Data],4,FALSE)</f>
        <v>Maw La Myaing</v>
      </c>
      <c r="L867" s="15" t="str">
        <f>VLOOKUP(I867,Customers[#Data],5,FALSE)</f>
        <v>Van Sales</v>
      </c>
      <c r="M867" s="7" t="s">
        <v>6</v>
      </c>
      <c r="N867" s="7" t="s">
        <v>518</v>
      </c>
      <c r="O867" s="14" t="str">
        <f>VLOOKUP(N867,Stock[#Data],2,FALSE)</f>
        <v>"ဇေ" ကော်ဘူး (1 Liter)</v>
      </c>
      <c r="P867" s="44">
        <f>VLOOKUP(N867,Stock[#Data],3,FALSE)</f>
        <v>1</v>
      </c>
      <c r="Q867" s="3">
        <f>VLOOKUP(N867,Stock[#Data],4,FALSE)</f>
        <v>12</v>
      </c>
      <c r="R867" s="11"/>
      <c r="S867" s="45">
        <f>IFERROR(Table4[[#This Row],[Bottle]]/Table4[[#This Row],[ပါဝင်မှု]]+Table4[[#This Row],[SalesPK]],0)</f>
        <v>2</v>
      </c>
      <c r="T867" s="12">
        <v>2</v>
      </c>
      <c r="U867" s="10">
        <f>Table4[[#This Row],[ပါဝင်မှု]]*Table4[[#This Row],[SalesPK]]+Table4[[#This Row],[Bottle]]</f>
        <v>24</v>
      </c>
      <c r="V867" s="10">
        <f>Table4[[#This Row],[SalesBot]]*Table4[[#This Row],[ML]]</f>
        <v>24</v>
      </c>
      <c r="W867" s="1">
        <f>VLOOKUP(N867,Stock[#Data],6,FALSE)</f>
        <v>1675</v>
      </c>
      <c r="X867" s="8">
        <f>+Table4[[#This Row],[SalesBot]]*Table4[[#This Row],[နှုံး]]</f>
        <v>40200</v>
      </c>
      <c r="Y867" s="12"/>
      <c r="Z867" s="12"/>
      <c r="AA867" s="12"/>
      <c r="AB867" s="9"/>
      <c r="AC867" s="12"/>
      <c r="AD867" s="9"/>
      <c r="AE867" s="12"/>
      <c r="AF86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40200</v>
      </c>
      <c r="AG867" s="24"/>
      <c r="AH867" s="266">
        <f>Table4[[#This Row],[Date]]</f>
        <v>46074</v>
      </c>
      <c r="AI867" s="264" t="str">
        <f t="shared" si="154"/>
        <v>Feb</v>
      </c>
      <c r="AJ867" s="264" t="str">
        <f t="shared" si="155"/>
        <v>2026</v>
      </c>
      <c r="AK867" s="270" t="str">
        <f>Table4[[#This Row],[ကုန်သည်အမည်]]</f>
        <v>ရတီ</v>
      </c>
      <c r="AL867" s="270" t="str">
        <f>Table4[[#This Row],[Township]]</f>
        <v>Maw La Myaing</v>
      </c>
      <c r="AM867" s="271" t="str">
        <f>Table4[[#This Row],[WholeSales]]</f>
        <v>Van Sales</v>
      </c>
      <c r="AN867" s="272" t="str">
        <f>Table4[[#This Row],[Particular]]</f>
        <v>ကုန်ရောင်း(လက်ငင်း)</v>
      </c>
      <c r="AO867" s="273" t="str">
        <f>Table4[[#This Row],[StockName]]</f>
        <v>"ဇေ" ကော်ဘူး (1 Liter)</v>
      </c>
      <c r="AP867" s="268">
        <f>Table4[[#This Row],[Parking]]</f>
        <v>2</v>
      </c>
      <c r="AQ867" s="268">
        <f>Table4[[#This Row],[SalesBot]]</f>
        <v>24</v>
      </c>
      <c r="AR867" s="268">
        <f>Table4[[#This Row],[Liter]]</f>
        <v>24</v>
      </c>
    </row>
    <row r="868" spans="1:44" s="16" customFormat="1" hidden="1" x14ac:dyDescent="0.5">
      <c r="A868" s="3">
        <f t="shared" si="164"/>
        <v>2026</v>
      </c>
      <c r="B868" s="8">
        <f t="shared" si="165"/>
        <v>2</v>
      </c>
      <c r="C868" s="6">
        <v>46074</v>
      </c>
      <c r="D868" s="15">
        <f t="shared" ca="1" si="166"/>
        <v>46097</v>
      </c>
      <c r="E868" s="15" t="str">
        <f t="shared" ca="1" si="167"/>
        <v>0-Months</v>
      </c>
      <c r="F868" s="8" t="str">
        <f>VLOOKUP(N868,Stock[#Data],5,FALSE)</f>
        <v>BE</v>
      </c>
      <c r="G868" s="82" t="s">
        <v>1509</v>
      </c>
      <c r="H868" s="15"/>
      <c r="I868" s="7" t="s">
        <v>106</v>
      </c>
      <c r="J868" s="8" t="str">
        <f>VLOOKUP(I868,Customers[#Data],2,FALSE)</f>
        <v>ကိုမျိုးအောင်</v>
      </c>
      <c r="K868" s="15" t="str">
        <f>VLOOKUP(I868,Customers[#Data],4,FALSE)</f>
        <v>Maw La Myaing</v>
      </c>
      <c r="L868" s="15" t="str">
        <f>VLOOKUP(I868,Customers[#Data],5,FALSE)</f>
        <v>WholeSales</v>
      </c>
      <c r="M868" s="7" t="s">
        <v>6</v>
      </c>
      <c r="N868" s="7" t="s">
        <v>517</v>
      </c>
      <c r="O868" s="14" t="str">
        <f>VLOOKUP(N868,Stock[#Data],2,FALSE)</f>
        <v>ဇေယျဝတီ Red (1 Liter) 30%</v>
      </c>
      <c r="P868" s="44">
        <f>VLOOKUP(N868,Stock[#Data],3,FALSE)</f>
        <v>1</v>
      </c>
      <c r="Q868" s="3">
        <f>VLOOKUP(N868,Stock[#Data],4,FALSE)</f>
        <v>12</v>
      </c>
      <c r="R868" s="11"/>
      <c r="S868" s="45">
        <f>IFERROR(Table4[[#This Row],[Bottle]]/Table4[[#This Row],[ပါဝင်မှု]]+Table4[[#This Row],[SalesPK]],0)</f>
        <v>30</v>
      </c>
      <c r="T868" s="12">
        <v>30</v>
      </c>
      <c r="U868" s="10">
        <f>Table4[[#This Row],[ပါဝင်မှု]]*Table4[[#This Row],[SalesPK]]+Table4[[#This Row],[Bottle]]</f>
        <v>360</v>
      </c>
      <c r="V868" s="10">
        <f>Table4[[#This Row],[SalesBot]]*Table4[[#This Row],[ML]]</f>
        <v>360</v>
      </c>
      <c r="W868" s="1">
        <f>VLOOKUP(N868,Stock[#Data],6,FALSE)</f>
        <v>1710</v>
      </c>
      <c r="X868" s="8">
        <f>+Table4[[#This Row],[SalesBot]]*Table4[[#This Row],[နှုံး]]</f>
        <v>615600</v>
      </c>
      <c r="Y868" s="12"/>
      <c r="Z868" s="12"/>
      <c r="AA868" s="12"/>
      <c r="AB868" s="9"/>
      <c r="AC868" s="12"/>
      <c r="AD868" s="9"/>
      <c r="AE868" s="12"/>
      <c r="AF86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615600</v>
      </c>
      <c r="AG868" s="24"/>
      <c r="AH868" s="266">
        <f>Table4[[#This Row],[Date]]</f>
        <v>46074</v>
      </c>
      <c r="AI868" s="264" t="str">
        <f t="shared" si="154"/>
        <v>Feb</v>
      </c>
      <c r="AJ868" s="264" t="str">
        <f t="shared" si="155"/>
        <v>2026</v>
      </c>
      <c r="AK868" s="270" t="str">
        <f>Table4[[#This Row],[ကုန်သည်အမည်]]</f>
        <v>ကိုမျိုးအောင်</v>
      </c>
      <c r="AL868" s="270" t="str">
        <f>Table4[[#This Row],[Township]]</f>
        <v>Maw La Myaing</v>
      </c>
      <c r="AM868" s="271" t="str">
        <f>Table4[[#This Row],[WholeSales]]</f>
        <v>WholeSales</v>
      </c>
      <c r="AN868" s="272" t="str">
        <f>Table4[[#This Row],[Particular]]</f>
        <v>ကုန်ရောင်း(လက်ငင်း)</v>
      </c>
      <c r="AO868" s="273" t="str">
        <f>Table4[[#This Row],[StockName]]</f>
        <v>ဇေယျဝတီ Red (1 Liter) 30%</v>
      </c>
      <c r="AP868" s="268">
        <f>Table4[[#This Row],[Parking]]</f>
        <v>30</v>
      </c>
      <c r="AQ868" s="268">
        <f>Table4[[#This Row],[SalesBot]]</f>
        <v>360</v>
      </c>
      <c r="AR868" s="268">
        <f>Table4[[#This Row],[Liter]]</f>
        <v>360</v>
      </c>
    </row>
    <row r="869" spans="1:44" s="16" customFormat="1" hidden="1" x14ac:dyDescent="0.5">
      <c r="A869" s="3">
        <f t="shared" si="164"/>
        <v>2026</v>
      </c>
      <c r="B869" s="8">
        <f t="shared" si="165"/>
        <v>2</v>
      </c>
      <c r="C869" s="6">
        <v>46074</v>
      </c>
      <c r="D869" s="15">
        <f t="shared" ca="1" si="166"/>
        <v>46097</v>
      </c>
      <c r="E869" s="15" t="str">
        <f t="shared" ca="1" si="167"/>
        <v>0-Months</v>
      </c>
      <c r="F869" s="8" t="str">
        <f>VLOOKUP(N869,Stock[#Data],5,FALSE)</f>
        <v>BE</v>
      </c>
      <c r="G869" s="82" t="s">
        <v>1510</v>
      </c>
      <c r="H869" s="15"/>
      <c r="I869" s="7" t="s">
        <v>731</v>
      </c>
      <c r="J869" s="8" t="str">
        <f>VLOOKUP(I869,Customers[#Data],2,FALSE)</f>
        <v>ဘီလျှံနာ</v>
      </c>
      <c r="K869" s="15" t="str">
        <f>VLOOKUP(I869,Customers[#Data],4,FALSE)</f>
        <v>Maw La Myaing</v>
      </c>
      <c r="L869" s="15" t="str">
        <f>VLOOKUP(I869,Customers[#Data],5,FALSE)</f>
        <v>Van Sales</v>
      </c>
      <c r="M869" s="7" t="s">
        <v>6</v>
      </c>
      <c r="N869" s="7" t="s">
        <v>522</v>
      </c>
      <c r="O869" s="14" t="str">
        <f>VLOOKUP(N869,Stock[#Data],2,FALSE)</f>
        <v>ဒဂုံမန်ကျည်း ကော်ဘူး (1 Liter)</v>
      </c>
      <c r="P869" s="44">
        <f>VLOOKUP(N869,Stock[#Data],3,FALSE)</f>
        <v>1</v>
      </c>
      <c r="Q869" s="3">
        <f>VLOOKUP(N869,Stock[#Data],4,FALSE)</f>
        <v>12</v>
      </c>
      <c r="R869" s="11"/>
      <c r="S869" s="45">
        <f>IFERROR(Table4[[#This Row],[Bottle]]/Table4[[#This Row],[ပါဝင်မှု]]+Table4[[#This Row],[SalesPK]],0)</f>
        <v>1</v>
      </c>
      <c r="T869" s="12">
        <v>1</v>
      </c>
      <c r="U869" s="10">
        <f>Table4[[#This Row],[ပါဝင်မှု]]*Table4[[#This Row],[SalesPK]]+Table4[[#This Row],[Bottle]]</f>
        <v>12</v>
      </c>
      <c r="V869" s="10">
        <f>Table4[[#This Row],[SalesBot]]*Table4[[#This Row],[ML]]</f>
        <v>12</v>
      </c>
      <c r="W869" s="1">
        <f>VLOOKUP(N869,Stock[#Data],6,FALSE)</f>
        <v>1600</v>
      </c>
      <c r="X869" s="8">
        <f>+Table4[[#This Row],[SalesBot]]*Table4[[#This Row],[နှုံး]]</f>
        <v>19200</v>
      </c>
      <c r="Y869" s="12"/>
      <c r="Z869" s="12"/>
      <c r="AA869" s="12"/>
      <c r="AB869" s="9"/>
      <c r="AC869" s="12"/>
      <c r="AD869" s="9"/>
      <c r="AE869" s="12"/>
      <c r="AF86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869" s="24"/>
      <c r="AH869" s="266">
        <f>Table4[[#This Row],[Date]]</f>
        <v>46074</v>
      </c>
      <c r="AI869" s="264" t="str">
        <f t="shared" ref="AI869:AI911" si="168">TEXT(AH869,"mmm")</f>
        <v>Feb</v>
      </c>
      <c r="AJ869" s="264" t="str">
        <f t="shared" ref="AJ869:AJ911" si="169">TEXT(AH869,"yyyy")</f>
        <v>2026</v>
      </c>
      <c r="AK869" s="270" t="str">
        <f>Table4[[#This Row],[ကုန်သည်အမည်]]</f>
        <v>ဘီလျှံနာ</v>
      </c>
      <c r="AL869" s="270" t="str">
        <f>Table4[[#This Row],[Township]]</f>
        <v>Maw La Myaing</v>
      </c>
      <c r="AM869" s="271" t="str">
        <f>Table4[[#This Row],[WholeSales]]</f>
        <v>Van Sales</v>
      </c>
      <c r="AN869" s="272" t="str">
        <f>Table4[[#This Row],[Particular]]</f>
        <v>ကုန်ရောင်း(လက်ငင်း)</v>
      </c>
      <c r="AO869" s="273" t="str">
        <f>Table4[[#This Row],[StockName]]</f>
        <v>ဒဂုံမန်ကျည်း ကော်ဘူး (1 Liter)</v>
      </c>
      <c r="AP869" s="268">
        <f>Table4[[#This Row],[Parking]]</f>
        <v>1</v>
      </c>
      <c r="AQ869" s="268">
        <f>Table4[[#This Row],[SalesBot]]</f>
        <v>12</v>
      </c>
      <c r="AR869" s="268">
        <f>Table4[[#This Row],[Liter]]</f>
        <v>12</v>
      </c>
    </row>
    <row r="870" spans="1:44" s="16" customFormat="1" hidden="1" x14ac:dyDescent="0.5">
      <c r="A870" s="3">
        <f t="shared" si="164"/>
        <v>2026</v>
      </c>
      <c r="B870" s="8">
        <f t="shared" si="165"/>
        <v>2</v>
      </c>
      <c r="C870" s="6">
        <v>46074</v>
      </c>
      <c r="D870" s="15">
        <f t="shared" ca="1" si="166"/>
        <v>46097</v>
      </c>
      <c r="E870" s="15" t="str">
        <f t="shared" ca="1" si="167"/>
        <v>0-Months</v>
      </c>
      <c r="F870" s="8" t="str">
        <f>VLOOKUP(N870,Stock[#Data],5,FALSE)</f>
        <v>BE</v>
      </c>
      <c r="G870" s="82" t="s">
        <v>1510</v>
      </c>
      <c r="H870" s="15"/>
      <c r="I870" s="7" t="s">
        <v>731</v>
      </c>
      <c r="J870" s="8" t="str">
        <f>VLOOKUP(I870,Customers[#Data],2,FALSE)</f>
        <v>ဘီလျှံနာ</v>
      </c>
      <c r="K870" s="15" t="str">
        <f>VLOOKUP(I870,Customers[#Data],4,FALSE)</f>
        <v>Maw La Myaing</v>
      </c>
      <c r="L870" s="15" t="str">
        <f>VLOOKUP(I870,Customers[#Data],5,FALSE)</f>
        <v>Van Sales</v>
      </c>
      <c r="M870" s="7" t="s">
        <v>6</v>
      </c>
      <c r="N870" s="7" t="s">
        <v>508</v>
      </c>
      <c r="O870" s="14" t="str">
        <f>VLOOKUP(N870,Stock[#Data],2,FALSE)</f>
        <v>ကောင်းကြည်-1Li</v>
      </c>
      <c r="P870" s="44">
        <f>VLOOKUP(N870,Stock[#Data],3,FALSE)</f>
        <v>1</v>
      </c>
      <c r="Q870" s="3">
        <f>VLOOKUP(N870,Stock[#Data],4,FALSE)</f>
        <v>12</v>
      </c>
      <c r="R870" s="11"/>
      <c r="S870" s="45">
        <f>IFERROR(Table4[[#This Row],[Bottle]]/Table4[[#This Row],[ပါဝင်မှု]]+Table4[[#This Row],[SalesPK]],0)</f>
        <v>2</v>
      </c>
      <c r="T870" s="12">
        <v>2</v>
      </c>
      <c r="U870" s="10">
        <f>Table4[[#This Row],[ပါဝင်မှု]]*Table4[[#This Row],[SalesPK]]+Table4[[#This Row],[Bottle]]</f>
        <v>24</v>
      </c>
      <c r="V870" s="10">
        <f>Table4[[#This Row],[SalesBot]]*Table4[[#This Row],[ML]]</f>
        <v>24</v>
      </c>
      <c r="W870" s="1">
        <f>VLOOKUP(N870,Stock[#Data],6,FALSE)</f>
        <v>1850</v>
      </c>
      <c r="X870" s="8">
        <f>+Table4[[#This Row],[SalesBot]]*Table4[[#This Row],[နှုံး]]</f>
        <v>44400</v>
      </c>
      <c r="Y870" s="12"/>
      <c r="Z870" s="12"/>
      <c r="AA870" s="12"/>
      <c r="AB870" s="9"/>
      <c r="AC870" s="12"/>
      <c r="AD870" s="9"/>
      <c r="AE870" s="12"/>
      <c r="AF87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44400</v>
      </c>
      <c r="AG870" s="24"/>
      <c r="AH870" s="266">
        <f>Table4[[#This Row],[Date]]</f>
        <v>46074</v>
      </c>
      <c r="AI870" s="264" t="str">
        <f t="shared" si="168"/>
        <v>Feb</v>
      </c>
      <c r="AJ870" s="264" t="str">
        <f t="shared" si="169"/>
        <v>2026</v>
      </c>
      <c r="AK870" s="270" t="str">
        <f>Table4[[#This Row],[ကုန်သည်အမည်]]</f>
        <v>ဘီလျှံနာ</v>
      </c>
      <c r="AL870" s="270" t="str">
        <f>Table4[[#This Row],[Township]]</f>
        <v>Maw La Myaing</v>
      </c>
      <c r="AM870" s="271" t="str">
        <f>Table4[[#This Row],[WholeSales]]</f>
        <v>Van Sales</v>
      </c>
      <c r="AN870" s="272" t="str">
        <f>Table4[[#This Row],[Particular]]</f>
        <v>ကုန်ရောင်း(လက်ငင်း)</v>
      </c>
      <c r="AO870" s="273" t="str">
        <f>Table4[[#This Row],[StockName]]</f>
        <v>ကောင်းကြည်-1Li</v>
      </c>
      <c r="AP870" s="268">
        <f>Table4[[#This Row],[Parking]]</f>
        <v>2</v>
      </c>
      <c r="AQ870" s="268">
        <f>Table4[[#This Row],[SalesBot]]</f>
        <v>24</v>
      </c>
      <c r="AR870" s="268">
        <f>Table4[[#This Row],[Liter]]</f>
        <v>24</v>
      </c>
    </row>
    <row r="871" spans="1:44" s="16" customFormat="1" hidden="1" x14ac:dyDescent="0.5">
      <c r="A871" s="3">
        <f t="shared" si="164"/>
        <v>2026</v>
      </c>
      <c r="B871" s="8">
        <f t="shared" si="165"/>
        <v>2</v>
      </c>
      <c r="C871" s="6">
        <v>46074</v>
      </c>
      <c r="D871" s="15">
        <f t="shared" ca="1" si="166"/>
        <v>46097</v>
      </c>
      <c r="E871" s="15" t="str">
        <f t="shared" ca="1" si="167"/>
        <v>0-Months</v>
      </c>
      <c r="F871" s="8" t="str">
        <f>VLOOKUP(N871,Stock[#Data],5,FALSE)</f>
        <v>BE</v>
      </c>
      <c r="G871" s="82" t="s">
        <v>1510</v>
      </c>
      <c r="H871" s="15"/>
      <c r="I871" s="7" t="s">
        <v>731</v>
      </c>
      <c r="J871" s="8" t="str">
        <f>VLOOKUP(I871,Customers[#Data],2,FALSE)</f>
        <v>ဘီလျှံနာ</v>
      </c>
      <c r="K871" s="15" t="str">
        <f>VLOOKUP(I871,Customers[#Data],4,FALSE)</f>
        <v>Maw La Myaing</v>
      </c>
      <c r="L871" s="15" t="str">
        <f>VLOOKUP(I871,Customers[#Data],5,FALSE)</f>
        <v>Van Sales</v>
      </c>
      <c r="M871" s="7" t="s">
        <v>9</v>
      </c>
      <c r="N871" s="7" t="s">
        <v>522</v>
      </c>
      <c r="O871" s="14" t="str">
        <f>VLOOKUP(N871,Stock[#Data],2,FALSE)</f>
        <v>ဒဂုံမန်ကျည်း ကော်ဘူး (1 Liter)</v>
      </c>
      <c r="P871" s="44">
        <f>VLOOKUP(N871,Stock[#Data],3,FALSE)</f>
        <v>1</v>
      </c>
      <c r="Q871" s="3">
        <f>VLOOKUP(N871,Stock[#Data],4,FALSE)</f>
        <v>12</v>
      </c>
      <c r="R871" s="11">
        <v>1</v>
      </c>
      <c r="S871" s="45">
        <f>IFERROR(Table4[[#This Row],[Bottle]]/Table4[[#This Row],[ပါဝင်မှု]]+Table4[[#This Row],[SalesPK]],0)</f>
        <v>8.3333333333333329E-2</v>
      </c>
      <c r="T871" s="12"/>
      <c r="U871" s="10">
        <f>Table4[[#This Row],[ပါဝင်မှု]]*Table4[[#This Row],[SalesPK]]+Table4[[#This Row],[Bottle]]</f>
        <v>1</v>
      </c>
      <c r="V871" s="10">
        <f>Table4[[#This Row],[SalesBot]]*Table4[[#This Row],[ML]]</f>
        <v>1</v>
      </c>
      <c r="W871" s="1">
        <f>VLOOKUP(N871,Stock[#Data],6,FALSE)</f>
        <v>1600</v>
      </c>
      <c r="X871" s="8">
        <f>+Table4[[#This Row],[SalesBot]]*Table4[[#This Row],[နှုံး]]</f>
        <v>1600</v>
      </c>
      <c r="Y871" s="12"/>
      <c r="Z871" s="12"/>
      <c r="AA871" s="12"/>
      <c r="AB871" s="9"/>
      <c r="AC871" s="12"/>
      <c r="AD871" s="9"/>
      <c r="AE871" s="12"/>
      <c r="AF87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871" s="24"/>
      <c r="AH871" s="266">
        <f>Table4[[#This Row],[Date]]</f>
        <v>46074</v>
      </c>
      <c r="AI871" s="264" t="str">
        <f t="shared" si="168"/>
        <v>Feb</v>
      </c>
      <c r="AJ871" s="264" t="str">
        <f t="shared" si="169"/>
        <v>2026</v>
      </c>
      <c r="AK871" s="270" t="str">
        <f>Table4[[#This Row],[ကုန်သည်အမည်]]</f>
        <v>ဘီလျှံနာ</v>
      </c>
      <c r="AL871" s="270" t="str">
        <f>Table4[[#This Row],[Township]]</f>
        <v>Maw La Myaing</v>
      </c>
      <c r="AM871" s="271" t="str">
        <f>Table4[[#This Row],[WholeSales]]</f>
        <v>Van Sales</v>
      </c>
      <c r="AN871" s="272" t="str">
        <f>Table4[[#This Row],[Particular]]</f>
        <v>လက်ဆောင်</v>
      </c>
      <c r="AO871" s="273" t="str">
        <f>Table4[[#This Row],[StockName]]</f>
        <v>ဒဂုံမန်ကျည်း ကော်ဘူး (1 Liter)</v>
      </c>
      <c r="AP871" s="268">
        <f>Table4[[#This Row],[Parking]]</f>
        <v>8.3333333333333329E-2</v>
      </c>
      <c r="AQ871" s="268">
        <f>Table4[[#This Row],[SalesBot]]</f>
        <v>1</v>
      </c>
      <c r="AR871" s="268">
        <f>Table4[[#This Row],[Liter]]</f>
        <v>1</v>
      </c>
    </row>
    <row r="872" spans="1:44" s="16" customFormat="1" hidden="1" x14ac:dyDescent="0.5">
      <c r="A872" s="3">
        <f t="shared" si="164"/>
        <v>2026</v>
      </c>
      <c r="B872" s="8">
        <f t="shared" si="165"/>
        <v>2</v>
      </c>
      <c r="C872" s="6">
        <v>46074</v>
      </c>
      <c r="D872" s="15">
        <f t="shared" ca="1" si="166"/>
        <v>46097</v>
      </c>
      <c r="E872" s="15" t="str">
        <f t="shared" ca="1" si="167"/>
        <v>0-Months</v>
      </c>
      <c r="F872" s="8" t="str">
        <f>VLOOKUP(N872,Stock[#Data],5,FALSE)</f>
        <v>BE</v>
      </c>
      <c r="G872" s="82" t="s">
        <v>1510</v>
      </c>
      <c r="H872" s="15"/>
      <c r="I872" s="7" t="s">
        <v>731</v>
      </c>
      <c r="J872" s="8" t="str">
        <f>VLOOKUP(I872,Customers[#Data],2,FALSE)</f>
        <v>ဘီလျှံနာ</v>
      </c>
      <c r="K872" s="15" t="str">
        <f>VLOOKUP(I872,Customers[#Data],4,FALSE)</f>
        <v>Maw La Myaing</v>
      </c>
      <c r="L872" s="15" t="str">
        <f>VLOOKUP(I872,Customers[#Data],5,FALSE)</f>
        <v>Van Sales</v>
      </c>
      <c r="M872" s="7" t="s">
        <v>9</v>
      </c>
      <c r="N872" s="7" t="s">
        <v>508</v>
      </c>
      <c r="O872" s="14" t="str">
        <f>VLOOKUP(N872,Stock[#Data],2,FALSE)</f>
        <v>ကောင်းကြည်-1Li</v>
      </c>
      <c r="P872" s="44">
        <f>VLOOKUP(N872,Stock[#Data],3,FALSE)</f>
        <v>1</v>
      </c>
      <c r="Q872" s="3">
        <f>VLOOKUP(N872,Stock[#Data],4,FALSE)</f>
        <v>12</v>
      </c>
      <c r="R872" s="11">
        <v>1</v>
      </c>
      <c r="S872" s="45">
        <f>IFERROR(Table4[[#This Row],[Bottle]]/Table4[[#This Row],[ပါဝင်မှု]]+Table4[[#This Row],[SalesPK]],0)</f>
        <v>8.3333333333333329E-2</v>
      </c>
      <c r="T872" s="12"/>
      <c r="U872" s="10">
        <f>Table4[[#This Row],[ပါဝင်မှု]]*Table4[[#This Row],[SalesPK]]+Table4[[#This Row],[Bottle]]</f>
        <v>1</v>
      </c>
      <c r="V872" s="10">
        <f>Table4[[#This Row],[SalesBot]]*Table4[[#This Row],[ML]]</f>
        <v>1</v>
      </c>
      <c r="W872" s="1">
        <f>VLOOKUP(N872,Stock[#Data],6,FALSE)</f>
        <v>1850</v>
      </c>
      <c r="X872" s="8">
        <f>+Table4[[#This Row],[SalesBot]]*Table4[[#This Row],[နှုံး]]</f>
        <v>1850</v>
      </c>
      <c r="Y872" s="12"/>
      <c r="Z872" s="12"/>
      <c r="AA872" s="12"/>
      <c r="AB872" s="9"/>
      <c r="AC872" s="12"/>
      <c r="AD872" s="9"/>
      <c r="AE872" s="12"/>
      <c r="AF87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872" s="24"/>
      <c r="AH872" s="266">
        <f>Table4[[#This Row],[Date]]</f>
        <v>46074</v>
      </c>
      <c r="AI872" s="264" t="str">
        <f t="shared" si="168"/>
        <v>Feb</v>
      </c>
      <c r="AJ872" s="264" t="str">
        <f t="shared" si="169"/>
        <v>2026</v>
      </c>
      <c r="AK872" s="270" t="str">
        <f>Table4[[#This Row],[ကုန်သည်အမည်]]</f>
        <v>ဘီလျှံနာ</v>
      </c>
      <c r="AL872" s="270" t="str">
        <f>Table4[[#This Row],[Township]]</f>
        <v>Maw La Myaing</v>
      </c>
      <c r="AM872" s="271" t="str">
        <f>Table4[[#This Row],[WholeSales]]</f>
        <v>Van Sales</v>
      </c>
      <c r="AN872" s="272" t="str">
        <f>Table4[[#This Row],[Particular]]</f>
        <v>လက်ဆောင်</v>
      </c>
      <c r="AO872" s="273" t="str">
        <f>Table4[[#This Row],[StockName]]</f>
        <v>ကောင်းကြည်-1Li</v>
      </c>
      <c r="AP872" s="268">
        <f>Table4[[#This Row],[Parking]]</f>
        <v>8.3333333333333329E-2</v>
      </c>
      <c r="AQ872" s="268">
        <f>Table4[[#This Row],[SalesBot]]</f>
        <v>1</v>
      </c>
      <c r="AR872" s="268">
        <f>Table4[[#This Row],[Liter]]</f>
        <v>1</v>
      </c>
    </row>
    <row r="873" spans="1:44" s="16" customFormat="1" hidden="1" x14ac:dyDescent="0.5">
      <c r="A873" s="3">
        <f t="shared" si="164"/>
        <v>2026</v>
      </c>
      <c r="B873" s="8">
        <f t="shared" si="165"/>
        <v>2</v>
      </c>
      <c r="C873" s="6">
        <v>46074</v>
      </c>
      <c r="D873" s="15">
        <f t="shared" ca="1" si="166"/>
        <v>46097</v>
      </c>
      <c r="E873" s="15" t="str">
        <f t="shared" ca="1" si="167"/>
        <v>0-Months</v>
      </c>
      <c r="F873" s="8" t="str">
        <f>VLOOKUP(N873,Stock[#Data],5,FALSE)</f>
        <v>BE</v>
      </c>
      <c r="G873" s="82" t="s">
        <v>1511</v>
      </c>
      <c r="H873" s="15"/>
      <c r="I873" s="7" t="s">
        <v>79</v>
      </c>
      <c r="J873" s="8" t="str">
        <f>VLOOKUP(I873,Customers[#Data],2,FALSE)</f>
        <v>My-2</v>
      </c>
      <c r="K873" s="15" t="str">
        <f>VLOOKUP(I873,Customers[#Data],4,FALSE)</f>
        <v>Maw La Myaing</v>
      </c>
      <c r="L873" s="15" t="str">
        <f>VLOOKUP(I873,Customers[#Data],5,FALSE)</f>
        <v>Van Sales</v>
      </c>
      <c r="M873" s="7" t="s">
        <v>6</v>
      </c>
      <c r="N873" s="7" t="s">
        <v>518</v>
      </c>
      <c r="O873" s="14" t="str">
        <f>VLOOKUP(N873,Stock[#Data],2,FALSE)</f>
        <v>"ဇေ" ကော်ဘူး (1 Liter)</v>
      </c>
      <c r="P873" s="44">
        <f>VLOOKUP(N873,Stock[#Data],3,FALSE)</f>
        <v>1</v>
      </c>
      <c r="Q873" s="3">
        <f>VLOOKUP(N873,Stock[#Data],4,FALSE)</f>
        <v>12</v>
      </c>
      <c r="R873" s="11"/>
      <c r="S873" s="45">
        <f>IFERROR(Table4[[#This Row],[Bottle]]/Table4[[#This Row],[ပါဝင်မှု]]+Table4[[#This Row],[SalesPK]],0)</f>
        <v>7</v>
      </c>
      <c r="T873" s="12">
        <v>7</v>
      </c>
      <c r="U873" s="10">
        <f>Table4[[#This Row],[ပါဝင်မှု]]*Table4[[#This Row],[SalesPK]]+Table4[[#This Row],[Bottle]]</f>
        <v>84</v>
      </c>
      <c r="V873" s="10">
        <f>Table4[[#This Row],[SalesBot]]*Table4[[#This Row],[ML]]</f>
        <v>84</v>
      </c>
      <c r="W873" s="1">
        <f>VLOOKUP(N873,Stock[#Data],6,FALSE)</f>
        <v>1675</v>
      </c>
      <c r="X873" s="8">
        <f>+Table4[[#This Row],[SalesBot]]*Table4[[#This Row],[နှုံး]]</f>
        <v>140700</v>
      </c>
      <c r="Y873" s="12"/>
      <c r="Z873" s="12"/>
      <c r="AA873" s="12"/>
      <c r="AB873" s="9"/>
      <c r="AC873" s="12"/>
      <c r="AD873" s="9"/>
      <c r="AE873" s="12"/>
      <c r="AF87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140700</v>
      </c>
      <c r="AG873" s="24"/>
      <c r="AH873" s="266">
        <f>Table4[[#This Row],[Date]]</f>
        <v>46074</v>
      </c>
      <c r="AI873" s="264" t="str">
        <f t="shared" si="168"/>
        <v>Feb</v>
      </c>
      <c r="AJ873" s="264" t="str">
        <f t="shared" si="169"/>
        <v>2026</v>
      </c>
      <c r="AK873" s="270" t="str">
        <f>Table4[[#This Row],[ကုန်သည်အမည်]]</f>
        <v>My-2</v>
      </c>
      <c r="AL873" s="270" t="str">
        <f>Table4[[#This Row],[Township]]</f>
        <v>Maw La Myaing</v>
      </c>
      <c r="AM873" s="271" t="str">
        <f>Table4[[#This Row],[WholeSales]]</f>
        <v>Van Sales</v>
      </c>
      <c r="AN873" s="272" t="str">
        <f>Table4[[#This Row],[Particular]]</f>
        <v>ကုန်ရောင်း(လက်ငင်း)</v>
      </c>
      <c r="AO873" s="273" t="str">
        <f>Table4[[#This Row],[StockName]]</f>
        <v>"ဇေ" ကော်ဘူး (1 Liter)</v>
      </c>
      <c r="AP873" s="268">
        <f>Table4[[#This Row],[Parking]]</f>
        <v>7</v>
      </c>
      <c r="AQ873" s="268">
        <f>Table4[[#This Row],[SalesBot]]</f>
        <v>84</v>
      </c>
      <c r="AR873" s="268">
        <f>Table4[[#This Row],[Liter]]</f>
        <v>84</v>
      </c>
    </row>
    <row r="874" spans="1:44" s="16" customFormat="1" hidden="1" x14ac:dyDescent="0.5">
      <c r="A874" s="3">
        <f t="shared" si="164"/>
        <v>2026</v>
      </c>
      <c r="B874" s="8">
        <f t="shared" si="165"/>
        <v>2</v>
      </c>
      <c r="C874" s="6">
        <v>46074</v>
      </c>
      <c r="D874" s="15">
        <f t="shared" ca="1" si="166"/>
        <v>46097</v>
      </c>
      <c r="E874" s="15" t="str">
        <f t="shared" ca="1" si="167"/>
        <v>0-Months</v>
      </c>
      <c r="F874" s="8" t="str">
        <f>VLOOKUP(N874,Stock[#Data],5,FALSE)</f>
        <v>BE</v>
      </c>
      <c r="G874" s="82" t="s">
        <v>1512</v>
      </c>
      <c r="H874" s="15"/>
      <c r="I874" s="7" t="s">
        <v>848</v>
      </c>
      <c r="J874" s="8" t="str">
        <f>VLOOKUP(I874,Customers[#Data],2,FALSE)</f>
        <v>အုပ်ကြီး</v>
      </c>
      <c r="K874" s="15" t="str">
        <f>VLOOKUP(I874,Customers[#Data],4,FALSE)</f>
        <v>Maw La Myaing</v>
      </c>
      <c r="L874" s="15" t="str">
        <f>VLOOKUP(I874,Customers[#Data],5,FALSE)</f>
        <v>Van Sales</v>
      </c>
      <c r="M874" s="7" t="s">
        <v>6</v>
      </c>
      <c r="N874" s="7" t="s">
        <v>515</v>
      </c>
      <c r="O874" s="14" t="str">
        <f>VLOOKUP(N874,Stock[#Data],2,FALSE)</f>
        <v>ဇေ Vodka</v>
      </c>
      <c r="P874" s="44">
        <f>VLOOKUP(N874,Stock[#Data],3,FALSE)</f>
        <v>0.7</v>
      </c>
      <c r="Q874" s="3">
        <f>VLOOKUP(N874,Stock[#Data],4,FALSE)</f>
        <v>12</v>
      </c>
      <c r="R874" s="11"/>
      <c r="S874" s="45">
        <f>IFERROR(Table4[[#This Row],[Bottle]]/Table4[[#This Row],[ပါဝင်မှု]]+Table4[[#This Row],[SalesPK]],0)</f>
        <v>2</v>
      </c>
      <c r="T874" s="12">
        <v>2</v>
      </c>
      <c r="U874" s="10">
        <f>Table4[[#This Row],[ပါဝင်မှု]]*Table4[[#This Row],[SalesPK]]+Table4[[#This Row],[Bottle]]</f>
        <v>24</v>
      </c>
      <c r="V874" s="10">
        <f>Table4[[#This Row],[SalesBot]]*Table4[[#This Row],[ML]]</f>
        <v>16.799999999999997</v>
      </c>
      <c r="W874" s="1">
        <f>VLOOKUP(N874,Stock[#Data],6,FALSE)</f>
        <v>2020</v>
      </c>
      <c r="X874" s="8">
        <f>+Table4[[#This Row],[SalesBot]]*Table4[[#This Row],[နှုံး]]</f>
        <v>48480</v>
      </c>
      <c r="Y874" s="12"/>
      <c r="Z874" s="12"/>
      <c r="AA874" s="12"/>
      <c r="AB874" s="9"/>
      <c r="AC874" s="12"/>
      <c r="AD874" s="9"/>
      <c r="AE874" s="12"/>
      <c r="AF87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48480</v>
      </c>
      <c r="AG874" s="24"/>
      <c r="AH874" s="266">
        <f>Table4[[#This Row],[Date]]</f>
        <v>46074</v>
      </c>
      <c r="AI874" s="264" t="str">
        <f t="shared" si="168"/>
        <v>Feb</v>
      </c>
      <c r="AJ874" s="264" t="str">
        <f t="shared" si="169"/>
        <v>2026</v>
      </c>
      <c r="AK874" s="270" t="str">
        <f>Table4[[#This Row],[ကုန်သည်အမည်]]</f>
        <v>အုပ်ကြီး</v>
      </c>
      <c r="AL874" s="270" t="str">
        <f>Table4[[#This Row],[Township]]</f>
        <v>Maw La Myaing</v>
      </c>
      <c r="AM874" s="271" t="str">
        <f>Table4[[#This Row],[WholeSales]]</f>
        <v>Van Sales</v>
      </c>
      <c r="AN874" s="272" t="str">
        <f>Table4[[#This Row],[Particular]]</f>
        <v>ကုန်ရောင်း(လက်ငင်း)</v>
      </c>
      <c r="AO874" s="273" t="str">
        <f>Table4[[#This Row],[StockName]]</f>
        <v>ဇေ Vodka</v>
      </c>
      <c r="AP874" s="268">
        <f>Table4[[#This Row],[Parking]]</f>
        <v>2</v>
      </c>
      <c r="AQ874" s="268">
        <f>Table4[[#This Row],[SalesBot]]</f>
        <v>24</v>
      </c>
      <c r="AR874" s="268">
        <f>Table4[[#This Row],[Liter]]</f>
        <v>16.799999999999997</v>
      </c>
    </row>
    <row r="875" spans="1:44" s="16" customFormat="1" hidden="1" x14ac:dyDescent="0.5">
      <c r="A875" s="3">
        <f t="shared" si="164"/>
        <v>2026</v>
      </c>
      <c r="B875" s="8">
        <f t="shared" si="165"/>
        <v>2</v>
      </c>
      <c r="C875" s="6">
        <v>46074</v>
      </c>
      <c r="D875" s="15">
        <f t="shared" ca="1" si="166"/>
        <v>46097</v>
      </c>
      <c r="E875" s="15" t="str">
        <f t="shared" ca="1" si="167"/>
        <v>0-Months</v>
      </c>
      <c r="F875" s="8" t="str">
        <f>VLOOKUP(N875,Stock[#Data],5,FALSE)</f>
        <v>BE</v>
      </c>
      <c r="G875" s="82" t="s">
        <v>1513</v>
      </c>
      <c r="H875" s="15"/>
      <c r="I875" s="7" t="s">
        <v>541</v>
      </c>
      <c r="J875" s="8" t="str">
        <f>VLOOKUP(I875,Customers[#Data],2,FALSE)</f>
        <v>ကိုကျော်ရွှေ</v>
      </c>
      <c r="K875" s="15" t="str">
        <f>VLOOKUP(I875,Customers[#Data],4,FALSE)</f>
        <v>Mudon</v>
      </c>
      <c r="L875" s="15" t="str">
        <f>VLOOKUP(I875,Customers[#Data],5,FALSE)</f>
        <v>SemiWholeSales</v>
      </c>
      <c r="M875" s="7" t="s">
        <v>6</v>
      </c>
      <c r="N875" s="7" t="s">
        <v>520</v>
      </c>
      <c r="O875" s="14" t="str">
        <f>VLOOKUP(N875,Stock[#Data],2,FALSE)</f>
        <v>ဇေယျဝတီ  Red(ပု)</v>
      </c>
      <c r="P875" s="44">
        <f>VLOOKUP(N875,Stock[#Data],3,FALSE)</f>
        <v>0.64</v>
      </c>
      <c r="Q875" s="3">
        <f>VLOOKUP(N875,Stock[#Data],4,FALSE)</f>
        <v>14</v>
      </c>
      <c r="R875" s="11"/>
      <c r="S875" s="45">
        <f>IFERROR(Table4[[#This Row],[Bottle]]/Table4[[#This Row],[ပါဝင်မှု]]+Table4[[#This Row],[SalesPK]],0)</f>
        <v>50</v>
      </c>
      <c r="T875" s="12">
        <v>50</v>
      </c>
      <c r="U875" s="10">
        <f>Table4[[#This Row],[ပါဝင်မှု]]*Table4[[#This Row],[SalesPK]]+Table4[[#This Row],[Bottle]]</f>
        <v>700</v>
      </c>
      <c r="V875" s="10">
        <f>Table4[[#This Row],[SalesBot]]*Table4[[#This Row],[ML]]</f>
        <v>448</v>
      </c>
      <c r="W875" s="1">
        <f>VLOOKUP(N875,Stock[#Data],6,FALSE)</f>
        <v>1800</v>
      </c>
      <c r="X875" s="8">
        <f>+Table4[[#This Row],[SalesBot]]*Table4[[#This Row],[နှုံး]]</f>
        <v>1260000</v>
      </c>
      <c r="Y875" s="12"/>
      <c r="Z875" s="12"/>
      <c r="AA875" s="12"/>
      <c r="AB875" s="9"/>
      <c r="AC875" s="12"/>
      <c r="AD875" s="9"/>
      <c r="AE875" s="12"/>
      <c r="AF87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875" s="24"/>
      <c r="AH875" s="266">
        <f>Table4[[#This Row],[Date]]</f>
        <v>46074</v>
      </c>
      <c r="AI875" s="264" t="str">
        <f t="shared" si="168"/>
        <v>Feb</v>
      </c>
      <c r="AJ875" s="264" t="str">
        <f t="shared" si="169"/>
        <v>2026</v>
      </c>
      <c r="AK875" s="270" t="str">
        <f>Table4[[#This Row],[ကုန်သည်အမည်]]</f>
        <v>ကိုကျော်ရွှေ</v>
      </c>
      <c r="AL875" s="270" t="str">
        <f>Table4[[#This Row],[Township]]</f>
        <v>Mudon</v>
      </c>
      <c r="AM875" s="271" t="str">
        <f>Table4[[#This Row],[WholeSales]]</f>
        <v>SemiWholeSales</v>
      </c>
      <c r="AN875" s="272" t="str">
        <f>Table4[[#This Row],[Particular]]</f>
        <v>ကုန်ရောင်း(လက်ငင်း)</v>
      </c>
      <c r="AO875" s="273" t="str">
        <f>Table4[[#This Row],[StockName]]</f>
        <v>ဇေယျဝတီ  Red(ပု)</v>
      </c>
      <c r="AP875" s="268">
        <f>Table4[[#This Row],[Parking]]</f>
        <v>50</v>
      </c>
      <c r="AQ875" s="268">
        <f>Table4[[#This Row],[SalesBot]]</f>
        <v>700</v>
      </c>
      <c r="AR875" s="268">
        <f>Table4[[#This Row],[Liter]]</f>
        <v>448</v>
      </c>
    </row>
    <row r="876" spans="1:44" s="16" customFormat="1" hidden="1" x14ac:dyDescent="0.5">
      <c r="A876" s="3">
        <f t="shared" si="164"/>
        <v>2026</v>
      </c>
      <c r="B876" s="8">
        <f t="shared" si="165"/>
        <v>2</v>
      </c>
      <c r="C876" s="6">
        <v>46076</v>
      </c>
      <c r="D876" s="15">
        <f t="shared" ca="1" si="166"/>
        <v>46097</v>
      </c>
      <c r="E876" s="15" t="str">
        <f t="shared" ca="1" si="167"/>
        <v>0-Months</v>
      </c>
      <c r="F876" s="8" t="str">
        <f>VLOOKUP(N876,Stock[#Data],5,FALSE)</f>
        <v>BE</v>
      </c>
      <c r="G876" s="82" t="s">
        <v>1514</v>
      </c>
      <c r="H876" s="15"/>
      <c r="I876" s="7" t="s">
        <v>95</v>
      </c>
      <c r="J876" s="8" t="str">
        <f>VLOOKUP(I876,Customers[#Data],2,FALSE)</f>
        <v>ကျော်စတား</v>
      </c>
      <c r="K876" s="15" t="str">
        <f>VLOOKUP(I876,Customers[#Data],4,FALSE)</f>
        <v>Yay</v>
      </c>
      <c r="L876" s="15" t="str">
        <f>VLOOKUP(I876,Customers[#Data],5,FALSE)</f>
        <v>WholeSales</v>
      </c>
      <c r="M876" s="7" t="s">
        <v>7</v>
      </c>
      <c r="N876" s="7" t="s">
        <v>514</v>
      </c>
      <c r="O876" s="14" t="str">
        <f>VLOOKUP(N876,Stock[#Data],2,FALSE)</f>
        <v>ဇေယျဝတီ Red</v>
      </c>
      <c r="P876" s="44">
        <f>VLOOKUP(N876,Stock[#Data],3,FALSE)</f>
        <v>0.64</v>
      </c>
      <c r="Q876" s="3">
        <f>VLOOKUP(N876,Stock[#Data],4,FALSE)</f>
        <v>14</v>
      </c>
      <c r="R876" s="11"/>
      <c r="S876" s="45">
        <f>IFERROR(Table4[[#This Row],[Bottle]]/Table4[[#This Row],[ပါဝင်မှု]]+Table4[[#This Row],[SalesPK]],0)</f>
        <v>60</v>
      </c>
      <c r="T876" s="12">
        <v>60</v>
      </c>
      <c r="U876" s="10">
        <f>Table4[[#This Row],[ပါဝင်မှု]]*Table4[[#This Row],[SalesPK]]+Table4[[#This Row],[Bottle]]</f>
        <v>840</v>
      </c>
      <c r="V876" s="10">
        <f>Table4[[#This Row],[SalesBot]]*Table4[[#This Row],[ML]]</f>
        <v>537.6</v>
      </c>
      <c r="W876" s="1">
        <f>VLOOKUP(N876,Stock[#Data],6,FALSE)</f>
        <v>1350</v>
      </c>
      <c r="X876" s="8">
        <f>+Table4[[#This Row],[SalesBot]]*Table4[[#This Row],[နှုံး]]</f>
        <v>1134000</v>
      </c>
      <c r="Y876" s="12"/>
      <c r="Z876" s="12"/>
      <c r="AA876" s="12"/>
      <c r="AB876" s="9"/>
      <c r="AC876" s="12"/>
      <c r="AD876" s="9"/>
      <c r="AE876" s="12"/>
      <c r="AF87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1134000</v>
      </c>
      <c r="AG876" s="24"/>
      <c r="AH876" s="266">
        <f>Table4[[#This Row],[Date]]</f>
        <v>46076</v>
      </c>
      <c r="AI876" s="264" t="str">
        <f t="shared" si="168"/>
        <v>Feb</v>
      </c>
      <c r="AJ876" s="264" t="str">
        <f t="shared" si="169"/>
        <v>2026</v>
      </c>
      <c r="AK876" s="270" t="str">
        <f>Table4[[#This Row],[ကုန်သည်အမည်]]</f>
        <v>ကျော်စတား</v>
      </c>
      <c r="AL876" s="270" t="str">
        <f>Table4[[#This Row],[Township]]</f>
        <v>Yay</v>
      </c>
      <c r="AM876" s="271" t="str">
        <f>Table4[[#This Row],[WholeSales]]</f>
        <v>WholeSales</v>
      </c>
      <c r="AN876" s="272" t="str">
        <f>Table4[[#This Row],[Particular]]</f>
        <v>ကုန်ရောင်း(အကြွေး)</v>
      </c>
      <c r="AO876" s="273" t="str">
        <f>Table4[[#This Row],[StockName]]</f>
        <v>ဇေယျဝတီ Red</v>
      </c>
      <c r="AP876" s="268">
        <f>Table4[[#This Row],[Parking]]</f>
        <v>60</v>
      </c>
      <c r="AQ876" s="268">
        <f>Table4[[#This Row],[SalesBot]]</f>
        <v>840</v>
      </c>
      <c r="AR876" s="268">
        <f>Table4[[#This Row],[Liter]]</f>
        <v>537.6</v>
      </c>
    </row>
    <row r="877" spans="1:44" s="16" customFormat="1" hidden="1" x14ac:dyDescent="0.5">
      <c r="A877" s="3">
        <f t="shared" si="164"/>
        <v>2026</v>
      </c>
      <c r="B877" s="8">
        <f t="shared" si="165"/>
        <v>2</v>
      </c>
      <c r="C877" s="6">
        <v>46076</v>
      </c>
      <c r="D877" s="15">
        <f t="shared" ca="1" si="166"/>
        <v>46097</v>
      </c>
      <c r="E877" s="15" t="str">
        <f t="shared" ca="1" si="167"/>
        <v>0-Months</v>
      </c>
      <c r="F877" s="8" t="str">
        <f>VLOOKUP(N877,Stock[#Data],5,FALSE)</f>
        <v>BE</v>
      </c>
      <c r="G877" s="82" t="s">
        <v>1514</v>
      </c>
      <c r="H877" s="15"/>
      <c r="I877" s="7" t="s">
        <v>95</v>
      </c>
      <c r="J877" s="8" t="str">
        <f>VLOOKUP(I877,Customers[#Data],2,FALSE)</f>
        <v>ကျော်စတား</v>
      </c>
      <c r="K877" s="15" t="str">
        <f>VLOOKUP(I877,Customers[#Data],4,FALSE)</f>
        <v>Yay</v>
      </c>
      <c r="L877" s="15" t="str">
        <f>VLOOKUP(I877,Customers[#Data],5,FALSE)</f>
        <v>WholeSales</v>
      </c>
      <c r="M877" s="7" t="s">
        <v>7</v>
      </c>
      <c r="N877" s="7" t="s">
        <v>517</v>
      </c>
      <c r="O877" s="14" t="str">
        <f>VLOOKUP(N877,Stock[#Data],2,FALSE)</f>
        <v>ဇေယျဝတီ Red (1 Liter) 30%</v>
      </c>
      <c r="P877" s="44">
        <f>VLOOKUP(N877,Stock[#Data],3,FALSE)</f>
        <v>1</v>
      </c>
      <c r="Q877" s="3">
        <f>VLOOKUP(N877,Stock[#Data],4,FALSE)</f>
        <v>12</v>
      </c>
      <c r="R877" s="11"/>
      <c r="S877" s="45">
        <f>IFERROR(Table4[[#This Row],[Bottle]]/Table4[[#This Row],[ပါဝင်မှု]]+Table4[[#This Row],[SalesPK]],0)</f>
        <v>50</v>
      </c>
      <c r="T877" s="12">
        <v>50</v>
      </c>
      <c r="U877" s="10">
        <f>Table4[[#This Row],[ပါဝင်မှု]]*Table4[[#This Row],[SalesPK]]+Table4[[#This Row],[Bottle]]</f>
        <v>600</v>
      </c>
      <c r="V877" s="10">
        <f>Table4[[#This Row],[SalesBot]]*Table4[[#This Row],[ML]]</f>
        <v>600</v>
      </c>
      <c r="W877" s="1">
        <f>VLOOKUP(N877,Stock[#Data],6,FALSE)</f>
        <v>1710</v>
      </c>
      <c r="X877" s="8">
        <f>+Table4[[#This Row],[SalesBot]]*Table4[[#This Row],[နှုံး]]</f>
        <v>1026000</v>
      </c>
      <c r="Y877" s="12"/>
      <c r="Z877" s="12"/>
      <c r="AA877" s="12"/>
      <c r="AB877" s="9"/>
      <c r="AC877" s="12"/>
      <c r="AD877" s="9"/>
      <c r="AE877" s="12"/>
      <c r="AF87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877" s="24"/>
      <c r="AH877" s="266">
        <f>Table4[[#This Row],[Date]]</f>
        <v>46076</v>
      </c>
      <c r="AI877" s="264" t="str">
        <f t="shared" si="168"/>
        <v>Feb</v>
      </c>
      <c r="AJ877" s="264" t="str">
        <f t="shared" si="169"/>
        <v>2026</v>
      </c>
      <c r="AK877" s="270" t="str">
        <f>Table4[[#This Row],[ကုန်သည်အမည်]]</f>
        <v>ကျော်စတား</v>
      </c>
      <c r="AL877" s="270" t="str">
        <f>Table4[[#This Row],[Township]]</f>
        <v>Yay</v>
      </c>
      <c r="AM877" s="271" t="str">
        <f>Table4[[#This Row],[WholeSales]]</f>
        <v>WholeSales</v>
      </c>
      <c r="AN877" s="272" t="str">
        <f>Table4[[#This Row],[Particular]]</f>
        <v>ကုန်ရောင်း(အကြွေး)</v>
      </c>
      <c r="AO877" s="273" t="str">
        <f>Table4[[#This Row],[StockName]]</f>
        <v>ဇေယျဝတီ Red (1 Liter) 30%</v>
      </c>
      <c r="AP877" s="268">
        <f>Table4[[#This Row],[Parking]]</f>
        <v>50</v>
      </c>
      <c r="AQ877" s="268">
        <f>Table4[[#This Row],[SalesBot]]</f>
        <v>600</v>
      </c>
      <c r="AR877" s="268">
        <f>Table4[[#This Row],[Liter]]</f>
        <v>600</v>
      </c>
    </row>
    <row r="878" spans="1:44" s="16" customFormat="1" hidden="1" x14ac:dyDescent="0.5">
      <c r="A878" s="3">
        <f t="shared" si="164"/>
        <v>2026</v>
      </c>
      <c r="B878" s="8">
        <f t="shared" si="165"/>
        <v>2</v>
      </c>
      <c r="C878" s="6">
        <v>46076</v>
      </c>
      <c r="D878" s="15">
        <f t="shared" ca="1" si="166"/>
        <v>46097</v>
      </c>
      <c r="E878" s="15" t="str">
        <f t="shared" ca="1" si="167"/>
        <v>0-Months</v>
      </c>
      <c r="F878" s="8" t="str">
        <f>VLOOKUP(N878,Stock[#Data],5,FALSE)</f>
        <v>BE</v>
      </c>
      <c r="G878" s="82" t="s">
        <v>1515</v>
      </c>
      <c r="H878" s="15"/>
      <c r="I878" s="7" t="s">
        <v>101</v>
      </c>
      <c r="J878" s="8" t="str">
        <f>VLOOKUP(I878,Customers[#Data],2,FALSE)</f>
        <v>ကိုမောင်+မသူဇာ</v>
      </c>
      <c r="K878" s="15" t="str">
        <f>VLOOKUP(I878,Customers[#Data],4,FALSE)</f>
        <v>Yay</v>
      </c>
      <c r="L878" s="15" t="str">
        <f>VLOOKUP(I878,Customers[#Data],5,FALSE)</f>
        <v>WholeSales</v>
      </c>
      <c r="M878" s="7" t="s">
        <v>7</v>
      </c>
      <c r="N878" s="7" t="s">
        <v>517</v>
      </c>
      <c r="O878" s="14" t="str">
        <f>VLOOKUP(N878,Stock[#Data],2,FALSE)</f>
        <v>ဇေယျဝတီ Red (1 Liter) 30%</v>
      </c>
      <c r="P878" s="44">
        <f>VLOOKUP(N878,Stock[#Data],3,FALSE)</f>
        <v>1</v>
      </c>
      <c r="Q878" s="3">
        <f>VLOOKUP(N878,Stock[#Data],4,FALSE)</f>
        <v>12</v>
      </c>
      <c r="R878" s="11"/>
      <c r="S878" s="45">
        <f>IFERROR(Table4[[#This Row],[Bottle]]/Table4[[#This Row],[ပါဝင်မှု]]+Table4[[#This Row],[SalesPK]],0)</f>
        <v>50</v>
      </c>
      <c r="T878" s="12">
        <v>50</v>
      </c>
      <c r="U878" s="10">
        <f>Table4[[#This Row],[ပါဝင်မှု]]*Table4[[#This Row],[SalesPK]]+Table4[[#This Row],[Bottle]]</f>
        <v>600</v>
      </c>
      <c r="V878" s="10">
        <f>Table4[[#This Row],[SalesBot]]*Table4[[#This Row],[ML]]</f>
        <v>600</v>
      </c>
      <c r="W878" s="1">
        <f>VLOOKUP(N878,Stock[#Data],6,FALSE)</f>
        <v>1710</v>
      </c>
      <c r="X878" s="8">
        <f>+Table4[[#This Row],[SalesBot]]*Table4[[#This Row],[နှုံး]]</f>
        <v>1026000</v>
      </c>
      <c r="Y878" s="12"/>
      <c r="Z878" s="12"/>
      <c r="AA878" s="12"/>
      <c r="AB878" s="9"/>
      <c r="AC878" s="12"/>
      <c r="AD878" s="9"/>
      <c r="AE878" s="12"/>
      <c r="AF87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878" s="24"/>
      <c r="AH878" s="266">
        <f>Table4[[#This Row],[Date]]</f>
        <v>46076</v>
      </c>
      <c r="AI878" s="264" t="str">
        <f t="shared" si="168"/>
        <v>Feb</v>
      </c>
      <c r="AJ878" s="264" t="str">
        <f t="shared" si="169"/>
        <v>2026</v>
      </c>
      <c r="AK878" s="270" t="str">
        <f>Table4[[#This Row],[ကုန်သည်အမည်]]</f>
        <v>ကိုမောင်+မသူဇာ</v>
      </c>
      <c r="AL878" s="270" t="str">
        <f>Table4[[#This Row],[Township]]</f>
        <v>Yay</v>
      </c>
      <c r="AM878" s="271" t="str">
        <f>Table4[[#This Row],[WholeSales]]</f>
        <v>WholeSales</v>
      </c>
      <c r="AN878" s="272" t="str">
        <f>Table4[[#This Row],[Particular]]</f>
        <v>ကုန်ရောင်း(အကြွေး)</v>
      </c>
      <c r="AO878" s="273" t="str">
        <f>Table4[[#This Row],[StockName]]</f>
        <v>ဇေယျဝတီ Red (1 Liter) 30%</v>
      </c>
      <c r="AP878" s="268">
        <f>Table4[[#This Row],[Parking]]</f>
        <v>50</v>
      </c>
      <c r="AQ878" s="268">
        <f>Table4[[#This Row],[SalesBot]]</f>
        <v>600</v>
      </c>
      <c r="AR878" s="268">
        <f>Table4[[#This Row],[Liter]]</f>
        <v>600</v>
      </c>
    </row>
    <row r="879" spans="1:44" s="16" customFormat="1" hidden="1" x14ac:dyDescent="0.5">
      <c r="A879" s="3">
        <f t="shared" si="164"/>
        <v>2026</v>
      </c>
      <c r="B879" s="8">
        <f t="shared" si="165"/>
        <v>2</v>
      </c>
      <c r="C879" s="6">
        <v>46076</v>
      </c>
      <c r="D879" s="15">
        <f t="shared" ca="1" si="166"/>
        <v>46097</v>
      </c>
      <c r="E879" s="15" t="str">
        <f t="shared" ca="1" si="167"/>
        <v>0-Months</v>
      </c>
      <c r="F879" s="8" t="str">
        <f>VLOOKUP(N879,Stock[#Data],5,FALSE)</f>
        <v>BE</v>
      </c>
      <c r="G879" s="82" t="s">
        <v>1516</v>
      </c>
      <c r="H879" s="15"/>
      <c r="I879" s="7" t="s">
        <v>95</v>
      </c>
      <c r="J879" s="8" t="str">
        <f>VLOOKUP(I879,Customers[#Data],2,FALSE)</f>
        <v>ကျော်စတား</v>
      </c>
      <c r="K879" s="15" t="str">
        <f>VLOOKUP(I879,Customers[#Data],4,FALSE)</f>
        <v>Yay</v>
      </c>
      <c r="L879" s="15" t="str">
        <f>VLOOKUP(I879,Customers[#Data],5,FALSE)</f>
        <v>WholeSales</v>
      </c>
      <c r="M879" s="7" t="s">
        <v>7</v>
      </c>
      <c r="N879" s="7" t="s">
        <v>514</v>
      </c>
      <c r="O879" s="14" t="str">
        <f>VLOOKUP(N879,Stock[#Data],2,FALSE)</f>
        <v>ဇေယျဝတီ Red</v>
      </c>
      <c r="P879" s="44">
        <f>VLOOKUP(N879,Stock[#Data],3,FALSE)</f>
        <v>0.64</v>
      </c>
      <c r="Q879" s="3">
        <f>VLOOKUP(N879,Stock[#Data],4,FALSE)</f>
        <v>14</v>
      </c>
      <c r="R879" s="11"/>
      <c r="S879" s="45">
        <f>IFERROR(Table4[[#This Row],[Bottle]]/Table4[[#This Row],[ပါဝင်မှု]]+Table4[[#This Row],[SalesPK]],0)</f>
        <v>100</v>
      </c>
      <c r="T879" s="12">
        <v>100</v>
      </c>
      <c r="U879" s="10">
        <f>Table4[[#This Row],[ပါဝင်မှု]]*Table4[[#This Row],[SalesPK]]+Table4[[#This Row],[Bottle]]</f>
        <v>1400</v>
      </c>
      <c r="V879" s="10">
        <f>Table4[[#This Row],[SalesBot]]*Table4[[#This Row],[ML]]</f>
        <v>896</v>
      </c>
      <c r="W879" s="1">
        <f>VLOOKUP(N879,Stock[#Data],6,FALSE)</f>
        <v>1350</v>
      </c>
      <c r="X879" s="8">
        <f>+Table4[[#This Row],[SalesBot]]*Table4[[#This Row],[နှုံး]]</f>
        <v>1890000</v>
      </c>
      <c r="Y879" s="12"/>
      <c r="Z879" s="12"/>
      <c r="AA879" s="12"/>
      <c r="AB879" s="9"/>
      <c r="AC879" s="12"/>
      <c r="AD879" s="9"/>
      <c r="AE879" s="12"/>
      <c r="AF87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879" s="24"/>
      <c r="AH879" s="266">
        <f>Table4[[#This Row],[Date]]</f>
        <v>46076</v>
      </c>
      <c r="AI879" s="264" t="str">
        <f t="shared" si="168"/>
        <v>Feb</v>
      </c>
      <c r="AJ879" s="264" t="str">
        <f t="shared" si="169"/>
        <v>2026</v>
      </c>
      <c r="AK879" s="270" t="str">
        <f>Table4[[#This Row],[ကုန်သည်အမည်]]</f>
        <v>ကျော်စတား</v>
      </c>
      <c r="AL879" s="270" t="str">
        <f>Table4[[#This Row],[Township]]</f>
        <v>Yay</v>
      </c>
      <c r="AM879" s="271" t="str">
        <f>Table4[[#This Row],[WholeSales]]</f>
        <v>WholeSales</v>
      </c>
      <c r="AN879" s="272" t="str">
        <f>Table4[[#This Row],[Particular]]</f>
        <v>ကုန်ရောင်း(အကြွေး)</v>
      </c>
      <c r="AO879" s="273" t="str">
        <f>Table4[[#This Row],[StockName]]</f>
        <v>ဇေယျဝတီ Red</v>
      </c>
      <c r="AP879" s="268">
        <f>Table4[[#This Row],[Parking]]</f>
        <v>100</v>
      </c>
      <c r="AQ879" s="268">
        <f>Table4[[#This Row],[SalesBot]]</f>
        <v>1400</v>
      </c>
      <c r="AR879" s="268">
        <f>Table4[[#This Row],[Liter]]</f>
        <v>896</v>
      </c>
    </row>
    <row r="880" spans="1:44" s="16" customFormat="1" hidden="1" x14ac:dyDescent="0.5">
      <c r="A880" s="3">
        <f t="shared" si="164"/>
        <v>2026</v>
      </c>
      <c r="B880" s="8">
        <f t="shared" si="165"/>
        <v>2</v>
      </c>
      <c r="C880" s="6">
        <v>46076</v>
      </c>
      <c r="D880" s="15">
        <f t="shared" ca="1" si="166"/>
        <v>46097</v>
      </c>
      <c r="E880" s="15" t="str">
        <f t="shared" ca="1" si="167"/>
        <v>0-Months</v>
      </c>
      <c r="F880" s="8" t="str">
        <f>VLOOKUP(N880,Stock[#Data],5,FALSE)</f>
        <v>BE</v>
      </c>
      <c r="G880" s="82" t="s">
        <v>1516</v>
      </c>
      <c r="H880" s="15"/>
      <c r="I880" s="7" t="s">
        <v>95</v>
      </c>
      <c r="J880" s="8" t="str">
        <f>VLOOKUP(I880,Customers[#Data],2,FALSE)</f>
        <v>ကျော်စတား</v>
      </c>
      <c r="K880" s="15" t="str">
        <f>VLOOKUP(I880,Customers[#Data],4,FALSE)</f>
        <v>Yay</v>
      </c>
      <c r="L880" s="15" t="str">
        <f>VLOOKUP(I880,Customers[#Data],5,FALSE)</f>
        <v>WholeSales</v>
      </c>
      <c r="M880" s="7" t="s">
        <v>7</v>
      </c>
      <c r="N880" s="7" t="s">
        <v>517</v>
      </c>
      <c r="O880" s="14" t="str">
        <f>VLOOKUP(N880,Stock[#Data],2,FALSE)</f>
        <v>ဇေယျဝတီ Red (1 Liter) 30%</v>
      </c>
      <c r="P880" s="44">
        <f>VLOOKUP(N880,Stock[#Data],3,FALSE)</f>
        <v>1</v>
      </c>
      <c r="Q880" s="3">
        <f>VLOOKUP(N880,Stock[#Data],4,FALSE)</f>
        <v>12</v>
      </c>
      <c r="R880" s="11"/>
      <c r="S880" s="45">
        <f>IFERROR(Table4[[#This Row],[Bottle]]/Table4[[#This Row],[ပါဝင်မှု]]+Table4[[#This Row],[SalesPK]],0)</f>
        <v>100</v>
      </c>
      <c r="T880" s="12">
        <v>100</v>
      </c>
      <c r="U880" s="10">
        <f>Table4[[#This Row],[ပါဝင်မှု]]*Table4[[#This Row],[SalesPK]]+Table4[[#This Row],[Bottle]]</f>
        <v>1200</v>
      </c>
      <c r="V880" s="10">
        <f>Table4[[#This Row],[SalesBot]]*Table4[[#This Row],[ML]]</f>
        <v>1200</v>
      </c>
      <c r="W880" s="1">
        <f>VLOOKUP(N880,Stock[#Data],6,FALSE)</f>
        <v>1710</v>
      </c>
      <c r="X880" s="8">
        <f>+Table4[[#This Row],[SalesBot]]*Table4[[#This Row],[နှုံး]]</f>
        <v>2052000</v>
      </c>
      <c r="Y880" s="12"/>
      <c r="Z880" s="12"/>
      <c r="AA880" s="12"/>
      <c r="AB880" s="9"/>
      <c r="AC880" s="12"/>
      <c r="AD880" s="9"/>
      <c r="AE880" s="12"/>
      <c r="AF88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880" s="24"/>
      <c r="AH880" s="266">
        <f>Table4[[#This Row],[Date]]</f>
        <v>46076</v>
      </c>
      <c r="AI880" s="264" t="str">
        <f t="shared" si="168"/>
        <v>Feb</v>
      </c>
      <c r="AJ880" s="264" t="str">
        <f t="shared" si="169"/>
        <v>2026</v>
      </c>
      <c r="AK880" s="270" t="str">
        <f>Table4[[#This Row],[ကုန်သည်အမည်]]</f>
        <v>ကျော်စတား</v>
      </c>
      <c r="AL880" s="270" t="str">
        <f>Table4[[#This Row],[Township]]</f>
        <v>Yay</v>
      </c>
      <c r="AM880" s="271" t="str">
        <f>Table4[[#This Row],[WholeSales]]</f>
        <v>WholeSales</v>
      </c>
      <c r="AN880" s="272" t="str">
        <f>Table4[[#This Row],[Particular]]</f>
        <v>ကုန်ရောင်း(အကြွေး)</v>
      </c>
      <c r="AO880" s="273" t="str">
        <f>Table4[[#This Row],[StockName]]</f>
        <v>ဇေယျဝတီ Red (1 Liter) 30%</v>
      </c>
      <c r="AP880" s="268">
        <f>Table4[[#This Row],[Parking]]</f>
        <v>100</v>
      </c>
      <c r="AQ880" s="268">
        <f>Table4[[#This Row],[SalesBot]]</f>
        <v>1200</v>
      </c>
      <c r="AR880" s="268">
        <f>Table4[[#This Row],[Liter]]</f>
        <v>1200</v>
      </c>
    </row>
    <row r="881" spans="1:44" s="16" customFormat="1" hidden="1" x14ac:dyDescent="0.5">
      <c r="A881" s="3">
        <f t="shared" si="164"/>
        <v>2026</v>
      </c>
      <c r="B881" s="8">
        <f t="shared" si="165"/>
        <v>2</v>
      </c>
      <c r="C881" s="6">
        <v>46076</v>
      </c>
      <c r="D881" s="15">
        <f t="shared" ca="1" si="166"/>
        <v>46097</v>
      </c>
      <c r="E881" s="15" t="str">
        <f t="shared" ca="1" si="167"/>
        <v>0-Months</v>
      </c>
      <c r="F881" s="8" t="str">
        <f>VLOOKUP(N881,Stock[#Data],5,FALSE)</f>
        <v>BE</v>
      </c>
      <c r="G881" s="82" t="s">
        <v>1517</v>
      </c>
      <c r="H881" s="15"/>
      <c r="I881" s="7" t="s">
        <v>538</v>
      </c>
      <c r="J881" s="8" t="str">
        <f>VLOOKUP(I881,Customers[#Data],2,FALSE)</f>
        <v>ဒေါ်နွယ်နွယ်ရီ(ရွှေတောင်ကြား)</v>
      </c>
      <c r="K881" s="15" t="str">
        <f>VLOOKUP(I881,Customers[#Data],4,FALSE)</f>
        <v>Yay</v>
      </c>
      <c r="L881" s="15" t="str">
        <f>VLOOKUP(I881,Customers[#Data],5,FALSE)</f>
        <v>WholeSales</v>
      </c>
      <c r="M881" s="7" t="s">
        <v>7</v>
      </c>
      <c r="N881" s="7" t="s">
        <v>517</v>
      </c>
      <c r="O881" s="14" t="str">
        <f>VLOOKUP(N881,Stock[#Data],2,FALSE)</f>
        <v>ဇေယျဝတီ Red (1 Liter) 30%</v>
      </c>
      <c r="P881" s="44">
        <f>VLOOKUP(N881,Stock[#Data],3,FALSE)</f>
        <v>1</v>
      </c>
      <c r="Q881" s="3">
        <f>VLOOKUP(N881,Stock[#Data],4,FALSE)</f>
        <v>12</v>
      </c>
      <c r="R881" s="11"/>
      <c r="S881" s="45">
        <f>IFERROR(Table4[[#This Row],[Bottle]]/Table4[[#This Row],[ပါဝင်မှု]]+Table4[[#This Row],[SalesPK]],0)</f>
        <v>100</v>
      </c>
      <c r="T881" s="12">
        <v>100</v>
      </c>
      <c r="U881" s="10">
        <f>Table4[[#This Row],[ပါဝင်မှု]]*Table4[[#This Row],[SalesPK]]+Table4[[#This Row],[Bottle]]</f>
        <v>1200</v>
      </c>
      <c r="V881" s="10">
        <f>Table4[[#This Row],[SalesBot]]*Table4[[#This Row],[ML]]</f>
        <v>1200</v>
      </c>
      <c r="W881" s="1">
        <f>VLOOKUP(N881,Stock[#Data],6,FALSE)</f>
        <v>1710</v>
      </c>
      <c r="X881" s="8">
        <f>+Table4[[#This Row],[SalesBot]]*Table4[[#This Row],[နှုံး]]</f>
        <v>2052000</v>
      </c>
      <c r="Y881" s="12"/>
      <c r="Z881" s="12"/>
      <c r="AA881" s="12"/>
      <c r="AB881" s="9"/>
      <c r="AC881" s="12"/>
      <c r="AD881" s="9"/>
      <c r="AE881" s="12"/>
      <c r="AF88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881" s="24"/>
      <c r="AH881" s="266">
        <f>Table4[[#This Row],[Date]]</f>
        <v>46076</v>
      </c>
      <c r="AI881" s="264" t="str">
        <f t="shared" si="168"/>
        <v>Feb</v>
      </c>
      <c r="AJ881" s="264" t="str">
        <f t="shared" si="169"/>
        <v>2026</v>
      </c>
      <c r="AK881" s="270" t="str">
        <f>Table4[[#This Row],[ကုန်သည်အမည်]]</f>
        <v>ဒေါ်နွယ်နွယ်ရီ(ရွှေတောင်ကြား)</v>
      </c>
      <c r="AL881" s="270" t="str">
        <f>Table4[[#This Row],[Township]]</f>
        <v>Yay</v>
      </c>
      <c r="AM881" s="271" t="str">
        <f>Table4[[#This Row],[WholeSales]]</f>
        <v>WholeSales</v>
      </c>
      <c r="AN881" s="272" t="str">
        <f>Table4[[#This Row],[Particular]]</f>
        <v>ကုန်ရောင်း(အကြွေး)</v>
      </c>
      <c r="AO881" s="273" t="str">
        <f>Table4[[#This Row],[StockName]]</f>
        <v>ဇေယျဝတီ Red (1 Liter) 30%</v>
      </c>
      <c r="AP881" s="268">
        <f>Table4[[#This Row],[Parking]]</f>
        <v>100</v>
      </c>
      <c r="AQ881" s="268">
        <f>Table4[[#This Row],[SalesBot]]</f>
        <v>1200</v>
      </c>
      <c r="AR881" s="268">
        <f>Table4[[#This Row],[Liter]]</f>
        <v>1200</v>
      </c>
    </row>
    <row r="882" spans="1:44" s="16" customFormat="1" hidden="1" x14ac:dyDescent="0.5">
      <c r="A882" s="3">
        <f t="shared" si="164"/>
        <v>2026</v>
      </c>
      <c r="B882" s="8">
        <f t="shared" si="165"/>
        <v>2</v>
      </c>
      <c r="C882" s="6">
        <v>46076</v>
      </c>
      <c r="D882" s="15">
        <f t="shared" ca="1" si="166"/>
        <v>46097</v>
      </c>
      <c r="E882" s="15" t="str">
        <f t="shared" ca="1" si="167"/>
        <v>0-Months</v>
      </c>
      <c r="F882" s="8" t="str">
        <f>VLOOKUP(N882,Stock[#Data],5,FALSE)</f>
        <v>BE</v>
      </c>
      <c r="G882" s="82" t="s">
        <v>1518</v>
      </c>
      <c r="H882" s="15"/>
      <c r="I882" s="7" t="s">
        <v>92</v>
      </c>
      <c r="J882" s="8" t="str">
        <f>VLOOKUP(I882,Customers[#Data],2,FALSE)</f>
        <v>ကိုမြခက်</v>
      </c>
      <c r="K882" s="15" t="str">
        <f>VLOOKUP(I882,Customers[#Data],4,FALSE)</f>
        <v>Yay</v>
      </c>
      <c r="L882" s="15" t="str">
        <f>VLOOKUP(I882,Customers[#Data],5,FALSE)</f>
        <v>WholeSales</v>
      </c>
      <c r="M882" s="7" t="s">
        <v>7</v>
      </c>
      <c r="N882" s="7" t="s">
        <v>514</v>
      </c>
      <c r="O882" s="14" t="str">
        <f>VLOOKUP(N882,Stock[#Data],2,FALSE)</f>
        <v>ဇေယျဝတီ Red</v>
      </c>
      <c r="P882" s="44">
        <f>VLOOKUP(N882,Stock[#Data],3,FALSE)</f>
        <v>0.64</v>
      </c>
      <c r="Q882" s="3">
        <f>VLOOKUP(N882,Stock[#Data],4,FALSE)</f>
        <v>14</v>
      </c>
      <c r="R882" s="11"/>
      <c r="S882" s="45">
        <f>IFERROR(Table4[[#This Row],[Bottle]]/Table4[[#This Row],[ပါဝင်မှု]]+Table4[[#This Row],[SalesPK]],0)</f>
        <v>200</v>
      </c>
      <c r="T882" s="12">
        <v>200</v>
      </c>
      <c r="U882" s="10">
        <f>Table4[[#This Row],[ပါဝင်မှု]]*Table4[[#This Row],[SalesPK]]+Table4[[#This Row],[Bottle]]</f>
        <v>2800</v>
      </c>
      <c r="V882" s="10">
        <f>Table4[[#This Row],[SalesBot]]*Table4[[#This Row],[ML]]</f>
        <v>1792</v>
      </c>
      <c r="W882" s="1">
        <f>VLOOKUP(N882,Stock[#Data],6,FALSE)</f>
        <v>1350</v>
      </c>
      <c r="X882" s="8">
        <f>+Table4[[#This Row],[SalesBot]]*Table4[[#This Row],[နှုံး]]</f>
        <v>3780000</v>
      </c>
      <c r="Y882" s="12"/>
      <c r="Z882" s="12"/>
      <c r="AA882" s="12"/>
      <c r="AB882" s="9"/>
      <c r="AC882" s="12"/>
      <c r="AD882" s="9"/>
      <c r="AE882" s="12"/>
      <c r="AF88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3780000</v>
      </c>
      <c r="AG882" s="24"/>
      <c r="AH882" s="266">
        <f>Table4[[#This Row],[Date]]</f>
        <v>46076</v>
      </c>
      <c r="AI882" s="264" t="str">
        <f t="shared" si="168"/>
        <v>Feb</v>
      </c>
      <c r="AJ882" s="264" t="str">
        <f t="shared" si="169"/>
        <v>2026</v>
      </c>
      <c r="AK882" s="270" t="str">
        <f>Table4[[#This Row],[ကုန်သည်အမည်]]</f>
        <v>ကိုမြခက်</v>
      </c>
      <c r="AL882" s="270" t="str">
        <f>Table4[[#This Row],[Township]]</f>
        <v>Yay</v>
      </c>
      <c r="AM882" s="271" t="str">
        <f>Table4[[#This Row],[WholeSales]]</f>
        <v>WholeSales</v>
      </c>
      <c r="AN882" s="272" t="str">
        <f>Table4[[#This Row],[Particular]]</f>
        <v>ကုန်ရောင်း(အကြွေး)</v>
      </c>
      <c r="AO882" s="273" t="str">
        <f>Table4[[#This Row],[StockName]]</f>
        <v>ဇေယျဝတီ Red</v>
      </c>
      <c r="AP882" s="268">
        <f>Table4[[#This Row],[Parking]]</f>
        <v>200</v>
      </c>
      <c r="AQ882" s="268">
        <f>Table4[[#This Row],[SalesBot]]</f>
        <v>2800</v>
      </c>
      <c r="AR882" s="268">
        <f>Table4[[#This Row],[Liter]]</f>
        <v>1792</v>
      </c>
    </row>
    <row r="883" spans="1:44" s="16" customFormat="1" hidden="1" x14ac:dyDescent="0.5">
      <c r="A883" s="3">
        <f t="shared" si="164"/>
        <v>2026</v>
      </c>
      <c r="B883" s="8">
        <f t="shared" si="165"/>
        <v>2</v>
      </c>
      <c r="C883" s="6">
        <v>46076</v>
      </c>
      <c r="D883" s="15">
        <f t="shared" ca="1" si="166"/>
        <v>46097</v>
      </c>
      <c r="E883" s="15" t="str">
        <f t="shared" ca="1" si="167"/>
        <v>0-Months</v>
      </c>
      <c r="F883" s="8" t="str">
        <f>VLOOKUP(N883,Stock[#Data],5,FALSE)</f>
        <v>BE</v>
      </c>
      <c r="G883" s="82" t="s">
        <v>1518</v>
      </c>
      <c r="H883" s="15"/>
      <c r="I883" s="7" t="s">
        <v>92</v>
      </c>
      <c r="J883" s="8" t="str">
        <f>VLOOKUP(I883,Customers[#Data],2,FALSE)</f>
        <v>ကိုမြခက်</v>
      </c>
      <c r="K883" s="15" t="str">
        <f>VLOOKUP(I883,Customers[#Data],4,FALSE)</f>
        <v>Yay</v>
      </c>
      <c r="L883" s="15" t="str">
        <f>VLOOKUP(I883,Customers[#Data],5,FALSE)</f>
        <v>WholeSales</v>
      </c>
      <c r="M883" s="7" t="s">
        <v>9</v>
      </c>
      <c r="N883" s="7" t="s">
        <v>522</v>
      </c>
      <c r="O883" s="14" t="str">
        <f>VLOOKUP(N883,Stock[#Data],2,FALSE)</f>
        <v>ဒဂုံမန်ကျည်း ကော်ဘူး (1 Liter)</v>
      </c>
      <c r="P883" s="44">
        <f>VLOOKUP(N883,Stock[#Data],3,FALSE)</f>
        <v>1</v>
      </c>
      <c r="Q883" s="3">
        <f>VLOOKUP(N883,Stock[#Data],4,FALSE)</f>
        <v>12</v>
      </c>
      <c r="R883" s="11">
        <v>3</v>
      </c>
      <c r="S883" s="45">
        <f>IFERROR(Table4[[#This Row],[Bottle]]/Table4[[#This Row],[ပါဝင်မှု]]+Table4[[#This Row],[SalesPK]],0)</f>
        <v>0.25</v>
      </c>
      <c r="T883" s="12"/>
      <c r="U883" s="10">
        <f>Table4[[#This Row],[ပါဝင်မှု]]*Table4[[#This Row],[SalesPK]]+Table4[[#This Row],[Bottle]]</f>
        <v>3</v>
      </c>
      <c r="V883" s="10">
        <f>Table4[[#This Row],[SalesBot]]*Table4[[#This Row],[ML]]</f>
        <v>3</v>
      </c>
      <c r="W883" s="1">
        <f>VLOOKUP(N883,Stock[#Data],6,FALSE)</f>
        <v>1600</v>
      </c>
      <c r="X883" s="8">
        <f>+Table4[[#This Row],[SalesBot]]*Table4[[#This Row],[နှုံး]]</f>
        <v>4800</v>
      </c>
      <c r="Y883" s="12"/>
      <c r="Z883" s="12"/>
      <c r="AA883" s="12"/>
      <c r="AB883" s="9"/>
      <c r="AC883" s="12"/>
      <c r="AD883" s="9"/>
      <c r="AE883" s="12"/>
      <c r="AF88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4800</v>
      </c>
      <c r="AG883" s="24"/>
      <c r="AH883" s="266">
        <f>Table4[[#This Row],[Date]]</f>
        <v>46076</v>
      </c>
      <c r="AI883" s="264" t="str">
        <f t="shared" si="168"/>
        <v>Feb</v>
      </c>
      <c r="AJ883" s="264" t="str">
        <f t="shared" si="169"/>
        <v>2026</v>
      </c>
      <c r="AK883" s="270" t="str">
        <f>Table4[[#This Row],[ကုန်သည်အမည်]]</f>
        <v>ကိုမြခက်</v>
      </c>
      <c r="AL883" s="270" t="str">
        <f>Table4[[#This Row],[Township]]</f>
        <v>Yay</v>
      </c>
      <c r="AM883" s="271" t="str">
        <f>Table4[[#This Row],[WholeSales]]</f>
        <v>WholeSales</v>
      </c>
      <c r="AN883" s="272" t="str">
        <f>Table4[[#This Row],[Particular]]</f>
        <v>လက်ဆောင်</v>
      </c>
      <c r="AO883" s="273" t="str">
        <f>Table4[[#This Row],[StockName]]</f>
        <v>ဒဂုံမန်ကျည်း ကော်ဘူး (1 Liter)</v>
      </c>
      <c r="AP883" s="268">
        <f>Table4[[#This Row],[Parking]]</f>
        <v>0.25</v>
      </c>
      <c r="AQ883" s="268">
        <f>Table4[[#This Row],[SalesBot]]</f>
        <v>3</v>
      </c>
      <c r="AR883" s="268">
        <f>Table4[[#This Row],[Liter]]</f>
        <v>3</v>
      </c>
    </row>
    <row r="884" spans="1:44" s="16" customFormat="1" hidden="1" x14ac:dyDescent="0.5">
      <c r="A884" s="3">
        <f t="shared" si="164"/>
        <v>2026</v>
      </c>
      <c r="B884" s="8">
        <f t="shared" si="165"/>
        <v>2</v>
      </c>
      <c r="C884" s="6">
        <v>46076</v>
      </c>
      <c r="D884" s="15">
        <f t="shared" ca="1" si="166"/>
        <v>46097</v>
      </c>
      <c r="E884" s="15" t="str">
        <f t="shared" ca="1" si="167"/>
        <v>0-Months</v>
      </c>
      <c r="F884" s="8" t="str">
        <f>VLOOKUP(N884,Stock[#Data],5,FALSE)</f>
        <v>BE</v>
      </c>
      <c r="G884" s="82" t="s">
        <v>1518</v>
      </c>
      <c r="H884" s="15"/>
      <c r="I884" s="7" t="s">
        <v>92</v>
      </c>
      <c r="J884" s="8" t="str">
        <f>VLOOKUP(I884,Customers[#Data],2,FALSE)</f>
        <v>ကိုမြခက်</v>
      </c>
      <c r="K884" s="15" t="str">
        <f>VLOOKUP(I884,Customers[#Data],4,FALSE)</f>
        <v>Yay</v>
      </c>
      <c r="L884" s="15" t="str">
        <f>VLOOKUP(I884,Customers[#Data],5,FALSE)</f>
        <v>WholeSales</v>
      </c>
      <c r="M884" s="7" t="s">
        <v>9</v>
      </c>
      <c r="N884" s="7" t="s">
        <v>425</v>
      </c>
      <c r="O884" s="14" t="str">
        <f>VLOOKUP(N884,Stock[#Data],2,FALSE)</f>
        <v>ကောင်းကြည်-1Li</v>
      </c>
      <c r="P884" s="44">
        <f>VLOOKUP(N884,Stock[#Data],3,FALSE)</f>
        <v>1</v>
      </c>
      <c r="Q884" s="3">
        <f>VLOOKUP(N884,Stock[#Data],4,FALSE)</f>
        <v>12</v>
      </c>
      <c r="R884" s="11">
        <v>3</v>
      </c>
      <c r="S884" s="45">
        <f>IFERROR(Table4[[#This Row],[Bottle]]/Table4[[#This Row],[ပါဝင်မှု]]+Table4[[#This Row],[SalesPK]],0)</f>
        <v>0.25</v>
      </c>
      <c r="T884" s="12"/>
      <c r="U884" s="10">
        <f>Table4[[#This Row],[ပါဝင်မှု]]*Table4[[#This Row],[SalesPK]]+Table4[[#This Row],[Bottle]]</f>
        <v>3</v>
      </c>
      <c r="V884" s="10">
        <f>Table4[[#This Row],[SalesBot]]*Table4[[#This Row],[ML]]</f>
        <v>3</v>
      </c>
      <c r="W884" s="1">
        <f>VLOOKUP(N884,Stock[#Data],6,FALSE)</f>
        <v>1500</v>
      </c>
      <c r="X884" s="8">
        <f>+Table4[[#This Row],[SalesBot]]*Table4[[#This Row],[နှုံး]]</f>
        <v>4500</v>
      </c>
      <c r="Y884" s="12"/>
      <c r="Z884" s="12"/>
      <c r="AA884" s="12"/>
      <c r="AB884" s="9"/>
      <c r="AC884" s="12"/>
      <c r="AD884" s="9"/>
      <c r="AE884" s="12"/>
      <c r="AF88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4500</v>
      </c>
      <c r="AG884" s="24"/>
      <c r="AH884" s="266">
        <f>Table4[[#This Row],[Date]]</f>
        <v>46076</v>
      </c>
      <c r="AI884" s="264" t="str">
        <f t="shared" si="168"/>
        <v>Feb</v>
      </c>
      <c r="AJ884" s="264" t="str">
        <f t="shared" si="169"/>
        <v>2026</v>
      </c>
      <c r="AK884" s="270" t="str">
        <f>Table4[[#This Row],[ကုန်သည်အမည်]]</f>
        <v>ကိုမြခက်</v>
      </c>
      <c r="AL884" s="270" t="str">
        <f>Table4[[#This Row],[Township]]</f>
        <v>Yay</v>
      </c>
      <c r="AM884" s="271" t="str">
        <f>Table4[[#This Row],[WholeSales]]</f>
        <v>WholeSales</v>
      </c>
      <c r="AN884" s="272" t="str">
        <f>Table4[[#This Row],[Particular]]</f>
        <v>လက်ဆောင်</v>
      </c>
      <c r="AO884" s="273" t="str">
        <f>Table4[[#This Row],[StockName]]</f>
        <v>ကောင်းကြည်-1Li</v>
      </c>
      <c r="AP884" s="268">
        <f>Table4[[#This Row],[Parking]]</f>
        <v>0.25</v>
      </c>
      <c r="AQ884" s="268">
        <f>Table4[[#This Row],[SalesBot]]</f>
        <v>3</v>
      </c>
      <c r="AR884" s="268">
        <f>Table4[[#This Row],[Liter]]</f>
        <v>3</v>
      </c>
    </row>
    <row r="885" spans="1:44" s="16" customFormat="1" hidden="1" x14ac:dyDescent="0.5">
      <c r="A885" s="3">
        <f t="shared" si="164"/>
        <v>2026</v>
      </c>
      <c r="B885" s="8">
        <f t="shared" si="165"/>
        <v>2</v>
      </c>
      <c r="C885" s="6">
        <v>46076</v>
      </c>
      <c r="D885" s="15">
        <f t="shared" ca="1" si="166"/>
        <v>46097</v>
      </c>
      <c r="E885" s="15" t="str">
        <f t="shared" ca="1" si="167"/>
        <v>0-Months</v>
      </c>
      <c r="F885" s="8" t="str">
        <f>VLOOKUP(N885,Stock[#Data],5,FALSE)</f>
        <v>BE</v>
      </c>
      <c r="G885" s="82" t="s">
        <v>1518</v>
      </c>
      <c r="H885" s="15"/>
      <c r="I885" s="7" t="s">
        <v>92</v>
      </c>
      <c r="J885" s="8" t="str">
        <f>VLOOKUP(I885,Customers[#Data],2,FALSE)</f>
        <v>ကိုမြခက်</v>
      </c>
      <c r="K885" s="15" t="str">
        <f>VLOOKUP(I885,Customers[#Data],4,FALSE)</f>
        <v>Yay</v>
      </c>
      <c r="L885" s="15" t="str">
        <f>VLOOKUP(I885,Customers[#Data],5,FALSE)</f>
        <v>WholeSales</v>
      </c>
      <c r="M885" s="7" t="s">
        <v>9</v>
      </c>
      <c r="N885" s="7" t="s">
        <v>508</v>
      </c>
      <c r="O885" s="14" t="str">
        <f>VLOOKUP(N885,Stock[#Data],2,FALSE)</f>
        <v>ကောင်းကြည်-1Li</v>
      </c>
      <c r="P885" s="44">
        <f>VLOOKUP(N885,Stock[#Data],3,FALSE)</f>
        <v>1</v>
      </c>
      <c r="Q885" s="3">
        <f>VLOOKUP(N885,Stock[#Data],4,FALSE)</f>
        <v>12</v>
      </c>
      <c r="R885" s="11">
        <v>3</v>
      </c>
      <c r="S885" s="45">
        <f>IFERROR(Table4[[#This Row],[Bottle]]/Table4[[#This Row],[ပါဝင်မှု]]+Table4[[#This Row],[SalesPK]],0)</f>
        <v>0.25</v>
      </c>
      <c r="T885" s="12"/>
      <c r="U885" s="10">
        <f>Table4[[#This Row],[ပါဝင်မှု]]*Table4[[#This Row],[SalesPK]]+Table4[[#This Row],[Bottle]]</f>
        <v>3</v>
      </c>
      <c r="V885" s="10">
        <f>Table4[[#This Row],[SalesBot]]*Table4[[#This Row],[ML]]</f>
        <v>3</v>
      </c>
      <c r="W885" s="1">
        <f>VLOOKUP(N885,Stock[#Data],6,FALSE)</f>
        <v>1850</v>
      </c>
      <c r="X885" s="8">
        <f>+Table4[[#This Row],[SalesBot]]*Table4[[#This Row],[နှုံး]]</f>
        <v>5550</v>
      </c>
      <c r="Y885" s="12"/>
      <c r="Z885" s="12"/>
      <c r="AA885" s="12"/>
      <c r="AB885" s="9"/>
      <c r="AC885" s="12"/>
      <c r="AD885" s="9"/>
      <c r="AE885" s="12"/>
      <c r="AF88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5550</v>
      </c>
      <c r="AG885" s="24"/>
      <c r="AH885" s="266">
        <f>Table4[[#This Row],[Date]]</f>
        <v>46076</v>
      </c>
      <c r="AI885" s="264" t="str">
        <f t="shared" si="168"/>
        <v>Feb</v>
      </c>
      <c r="AJ885" s="264" t="str">
        <f t="shared" si="169"/>
        <v>2026</v>
      </c>
      <c r="AK885" s="270" t="str">
        <f>Table4[[#This Row],[ကုန်သည်အမည်]]</f>
        <v>ကိုမြခက်</v>
      </c>
      <c r="AL885" s="270" t="str">
        <f>Table4[[#This Row],[Township]]</f>
        <v>Yay</v>
      </c>
      <c r="AM885" s="271" t="str">
        <f>Table4[[#This Row],[WholeSales]]</f>
        <v>WholeSales</v>
      </c>
      <c r="AN885" s="272" t="str">
        <f>Table4[[#This Row],[Particular]]</f>
        <v>လက်ဆောင်</v>
      </c>
      <c r="AO885" s="273" t="str">
        <f>Table4[[#This Row],[StockName]]</f>
        <v>ကောင်းကြည်-1Li</v>
      </c>
      <c r="AP885" s="268">
        <f>Table4[[#This Row],[Parking]]</f>
        <v>0.25</v>
      </c>
      <c r="AQ885" s="268">
        <f>Table4[[#This Row],[SalesBot]]</f>
        <v>3</v>
      </c>
      <c r="AR885" s="268">
        <f>Table4[[#This Row],[Liter]]</f>
        <v>3</v>
      </c>
    </row>
    <row r="886" spans="1:44" s="16" customFormat="1" hidden="1" x14ac:dyDescent="0.5">
      <c r="A886" s="3">
        <f t="shared" si="164"/>
        <v>2026</v>
      </c>
      <c r="B886" s="8">
        <f t="shared" si="165"/>
        <v>2</v>
      </c>
      <c r="C886" s="6">
        <v>46076</v>
      </c>
      <c r="D886" s="15">
        <f t="shared" ca="1" si="166"/>
        <v>46097</v>
      </c>
      <c r="E886" s="15" t="str">
        <f t="shared" ca="1" si="167"/>
        <v>0-Months</v>
      </c>
      <c r="F886" s="8" t="str">
        <f>VLOOKUP(N886,Stock[#Data],5,FALSE)</f>
        <v>BE</v>
      </c>
      <c r="G886" s="82" t="s">
        <v>1519</v>
      </c>
      <c r="H886" s="15"/>
      <c r="I886" s="7" t="s">
        <v>82</v>
      </c>
      <c r="J886" s="8" t="str">
        <f>VLOOKUP(I886,Customers[#Data],2,FALSE)</f>
        <v>ဒေါ်ထွန်းမေ</v>
      </c>
      <c r="K886" s="15" t="str">
        <f>VLOOKUP(I886,Customers[#Data],4,FALSE)</f>
        <v>Maw La Myaing</v>
      </c>
      <c r="L886" s="15" t="str">
        <f>VLOOKUP(I886,Customers[#Data],5,FALSE)</f>
        <v>WholeSales</v>
      </c>
      <c r="M886" s="7" t="s">
        <v>7</v>
      </c>
      <c r="N886" s="7" t="s">
        <v>521</v>
      </c>
      <c r="O886" s="14" t="str">
        <f>VLOOKUP(N886,Stock[#Data],2,FALSE)</f>
        <v>ဒဂုံအရက်သန့်</v>
      </c>
      <c r="P886" s="44">
        <f>VLOOKUP(N886,Stock[#Data],3,FALSE)</f>
        <v>0.64</v>
      </c>
      <c r="Q886" s="3">
        <f>VLOOKUP(N886,Stock[#Data],4,FALSE)</f>
        <v>24</v>
      </c>
      <c r="R886" s="11"/>
      <c r="S886" s="45">
        <f>IFERROR(Table4[[#This Row],[Bottle]]/Table4[[#This Row],[ပါဝင်မှု]]+Table4[[#This Row],[SalesPK]],0)</f>
        <v>60</v>
      </c>
      <c r="T886" s="12">
        <v>60</v>
      </c>
      <c r="U886" s="10">
        <f>Table4[[#This Row],[ပါဝင်မှု]]*Table4[[#This Row],[SalesPK]]+Table4[[#This Row],[Bottle]]</f>
        <v>1440</v>
      </c>
      <c r="V886" s="10">
        <f>Table4[[#This Row],[SalesBot]]*Table4[[#This Row],[ML]]</f>
        <v>921.6</v>
      </c>
      <c r="W886" s="1">
        <f>VLOOKUP(N886,Stock[#Data],6,FALSE)</f>
        <v>1350</v>
      </c>
      <c r="X886" s="8">
        <f>+Table4[[#This Row],[SalesBot]]*Table4[[#This Row],[နှုံး]]</f>
        <v>1944000</v>
      </c>
      <c r="Y886" s="12"/>
      <c r="Z886" s="12"/>
      <c r="AA886" s="12"/>
      <c r="AB886" s="9"/>
      <c r="AC886" s="12"/>
      <c r="AD886" s="9"/>
      <c r="AE886" s="12"/>
      <c r="AF88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1944000</v>
      </c>
      <c r="AG886" s="24"/>
      <c r="AH886" s="266">
        <f>Table4[[#This Row],[Date]]</f>
        <v>46076</v>
      </c>
      <c r="AI886" s="264" t="str">
        <f t="shared" si="168"/>
        <v>Feb</v>
      </c>
      <c r="AJ886" s="264" t="str">
        <f t="shared" si="169"/>
        <v>2026</v>
      </c>
      <c r="AK886" s="270" t="str">
        <f>Table4[[#This Row],[ကုန်သည်အမည်]]</f>
        <v>ဒေါ်ထွန်းမေ</v>
      </c>
      <c r="AL886" s="270" t="str">
        <f>Table4[[#This Row],[Township]]</f>
        <v>Maw La Myaing</v>
      </c>
      <c r="AM886" s="271" t="str">
        <f>Table4[[#This Row],[WholeSales]]</f>
        <v>WholeSales</v>
      </c>
      <c r="AN886" s="272" t="str">
        <f>Table4[[#This Row],[Particular]]</f>
        <v>ကုန်ရောင်း(အကြွေး)</v>
      </c>
      <c r="AO886" s="273" t="str">
        <f>Table4[[#This Row],[StockName]]</f>
        <v>ဒဂုံအရက်သန့်</v>
      </c>
      <c r="AP886" s="268">
        <f>Table4[[#This Row],[Parking]]</f>
        <v>60</v>
      </c>
      <c r="AQ886" s="268">
        <f>Table4[[#This Row],[SalesBot]]</f>
        <v>1440</v>
      </c>
      <c r="AR886" s="268">
        <f>Table4[[#This Row],[Liter]]</f>
        <v>921.6</v>
      </c>
    </row>
    <row r="887" spans="1:44" s="16" customFormat="1" hidden="1" x14ac:dyDescent="0.5">
      <c r="A887" s="3">
        <f t="shared" si="164"/>
        <v>2026</v>
      </c>
      <c r="B887" s="8">
        <f t="shared" si="165"/>
        <v>2</v>
      </c>
      <c r="C887" s="6">
        <v>46076</v>
      </c>
      <c r="D887" s="15">
        <f t="shared" ca="1" si="166"/>
        <v>46097</v>
      </c>
      <c r="E887" s="15" t="str">
        <f t="shared" ca="1" si="167"/>
        <v>0-Months</v>
      </c>
      <c r="F887" s="8" t="str">
        <f>VLOOKUP(N887,Stock[#Data],5,FALSE)</f>
        <v>BE</v>
      </c>
      <c r="G887" s="82" t="s">
        <v>1520</v>
      </c>
      <c r="H887" s="15"/>
      <c r="I887" s="7" t="s">
        <v>110</v>
      </c>
      <c r="J887" s="8" t="str">
        <f>VLOOKUP(I887,Customers[#Data],2,FALSE)</f>
        <v>ပြည့်လျှံ</v>
      </c>
      <c r="K887" s="15" t="str">
        <f>VLOOKUP(I887,Customers[#Data],4,FALSE)</f>
        <v>Maw La Myaing</v>
      </c>
      <c r="L887" s="15" t="str">
        <f>VLOOKUP(I887,Customers[#Data],5,FALSE)</f>
        <v>WholeSales</v>
      </c>
      <c r="M887" s="7" t="s">
        <v>6</v>
      </c>
      <c r="N887" s="7" t="s">
        <v>516</v>
      </c>
      <c r="O887" s="14" t="str">
        <f>VLOOKUP(N887,Stock[#Data],2,FALSE)</f>
        <v>ဇေ Vodka</v>
      </c>
      <c r="P887" s="44">
        <f>VLOOKUP(N887,Stock[#Data],3,FALSE)</f>
        <v>0.64</v>
      </c>
      <c r="Q887" s="3">
        <f>VLOOKUP(N887,Stock[#Data],4,FALSE)</f>
        <v>14</v>
      </c>
      <c r="R887" s="11"/>
      <c r="S887" s="45">
        <f>IFERROR(Table4[[#This Row],[Bottle]]/Table4[[#This Row],[ပါဝင်မှု]]+Table4[[#This Row],[SalesPK]],0)</f>
        <v>100</v>
      </c>
      <c r="T887" s="12">
        <v>100</v>
      </c>
      <c r="U887" s="10">
        <f>Table4[[#This Row],[ပါဝင်မှု]]*Table4[[#This Row],[SalesPK]]+Table4[[#This Row],[Bottle]]</f>
        <v>1400</v>
      </c>
      <c r="V887" s="10">
        <f>Table4[[#This Row],[SalesBot]]*Table4[[#This Row],[ML]]</f>
        <v>896</v>
      </c>
      <c r="W887" s="1">
        <f>VLOOKUP(N887,Stock[#Data],6,FALSE)</f>
        <v>1400</v>
      </c>
      <c r="X887" s="8">
        <f>+Table4[[#This Row],[SalesBot]]*Table4[[#This Row],[နှုံး]]</f>
        <v>1960000</v>
      </c>
      <c r="Y887" s="12"/>
      <c r="Z887" s="12"/>
      <c r="AA887" s="12"/>
      <c r="AB887" s="9"/>
      <c r="AC887" s="12"/>
      <c r="AD887" s="9"/>
      <c r="AE887" s="12"/>
      <c r="AF88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1960000</v>
      </c>
      <c r="AG887" s="24"/>
      <c r="AH887" s="266">
        <f>Table4[[#This Row],[Date]]</f>
        <v>46076</v>
      </c>
      <c r="AI887" s="264" t="str">
        <f t="shared" si="168"/>
        <v>Feb</v>
      </c>
      <c r="AJ887" s="264" t="str">
        <f t="shared" si="169"/>
        <v>2026</v>
      </c>
      <c r="AK887" s="270" t="str">
        <f>Table4[[#This Row],[ကုန်သည်အမည်]]</f>
        <v>ပြည့်လျှံ</v>
      </c>
      <c r="AL887" s="270" t="str">
        <f>Table4[[#This Row],[Township]]</f>
        <v>Maw La Myaing</v>
      </c>
      <c r="AM887" s="271" t="str">
        <f>Table4[[#This Row],[WholeSales]]</f>
        <v>WholeSales</v>
      </c>
      <c r="AN887" s="272" t="str">
        <f>Table4[[#This Row],[Particular]]</f>
        <v>ကုန်ရောင်း(လက်ငင်း)</v>
      </c>
      <c r="AO887" s="273" t="str">
        <f>Table4[[#This Row],[StockName]]</f>
        <v>ဇေ Vodka</v>
      </c>
      <c r="AP887" s="268">
        <f>Table4[[#This Row],[Parking]]</f>
        <v>100</v>
      </c>
      <c r="AQ887" s="268">
        <f>Table4[[#This Row],[SalesBot]]</f>
        <v>1400</v>
      </c>
      <c r="AR887" s="268">
        <f>Table4[[#This Row],[Liter]]</f>
        <v>896</v>
      </c>
    </row>
    <row r="888" spans="1:44" s="16" customFormat="1" hidden="1" x14ac:dyDescent="0.5">
      <c r="A888" s="3">
        <f t="shared" si="164"/>
        <v>2026</v>
      </c>
      <c r="B888" s="8">
        <f t="shared" si="165"/>
        <v>2</v>
      </c>
      <c r="C888" s="6">
        <v>46076</v>
      </c>
      <c r="D888" s="15">
        <f t="shared" ca="1" si="166"/>
        <v>46097</v>
      </c>
      <c r="E888" s="15" t="str">
        <f t="shared" ca="1" si="167"/>
        <v>0-Months</v>
      </c>
      <c r="F888" s="8" t="str">
        <f>VLOOKUP(N888,Stock[#Data],5,FALSE)</f>
        <v>BE</v>
      </c>
      <c r="G888" s="82" t="s">
        <v>1520</v>
      </c>
      <c r="H888" s="15"/>
      <c r="I888" s="7" t="s">
        <v>110</v>
      </c>
      <c r="J888" s="8" t="str">
        <f>VLOOKUP(I888,Customers[#Data],2,FALSE)</f>
        <v>ပြည့်လျှံ</v>
      </c>
      <c r="K888" s="15" t="str">
        <f>VLOOKUP(I888,Customers[#Data],4,FALSE)</f>
        <v>Maw La Myaing</v>
      </c>
      <c r="L888" s="15" t="str">
        <f>VLOOKUP(I888,Customers[#Data],5,FALSE)</f>
        <v>WholeSales</v>
      </c>
      <c r="M888" s="7" t="s">
        <v>6</v>
      </c>
      <c r="N888" s="7" t="s">
        <v>517</v>
      </c>
      <c r="O888" s="14" t="str">
        <f>VLOOKUP(N888,Stock[#Data],2,FALSE)</f>
        <v>ဇေယျဝတီ Red (1 Liter) 30%</v>
      </c>
      <c r="P888" s="44">
        <f>VLOOKUP(N888,Stock[#Data],3,FALSE)</f>
        <v>1</v>
      </c>
      <c r="Q888" s="3">
        <f>VLOOKUP(N888,Stock[#Data],4,FALSE)</f>
        <v>12</v>
      </c>
      <c r="R888" s="11"/>
      <c r="S888" s="45">
        <f>IFERROR(Table4[[#This Row],[Bottle]]/Table4[[#This Row],[ပါဝင်မှု]]+Table4[[#This Row],[SalesPK]],0)</f>
        <v>100</v>
      </c>
      <c r="T888" s="12">
        <v>100</v>
      </c>
      <c r="U888" s="10">
        <f>Table4[[#This Row],[ပါဝင်မှု]]*Table4[[#This Row],[SalesPK]]+Table4[[#This Row],[Bottle]]</f>
        <v>1200</v>
      </c>
      <c r="V888" s="10">
        <f>Table4[[#This Row],[SalesBot]]*Table4[[#This Row],[ML]]</f>
        <v>1200</v>
      </c>
      <c r="W888" s="1">
        <f>VLOOKUP(N888,Stock[#Data],6,FALSE)</f>
        <v>1710</v>
      </c>
      <c r="X888" s="8">
        <f>+Table4[[#This Row],[SalesBot]]*Table4[[#This Row],[နှုံး]]</f>
        <v>2052000</v>
      </c>
      <c r="Y888" s="12"/>
      <c r="Z888" s="12"/>
      <c r="AA888" s="12"/>
      <c r="AB888" s="9"/>
      <c r="AC888" s="12"/>
      <c r="AD888" s="9"/>
      <c r="AE888" s="12"/>
      <c r="AF88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888" s="24"/>
      <c r="AH888" s="266">
        <f>Table4[[#This Row],[Date]]</f>
        <v>46076</v>
      </c>
      <c r="AI888" s="264" t="str">
        <f t="shared" si="168"/>
        <v>Feb</v>
      </c>
      <c r="AJ888" s="264" t="str">
        <f t="shared" si="169"/>
        <v>2026</v>
      </c>
      <c r="AK888" s="270" t="str">
        <f>Table4[[#This Row],[ကုန်သည်အမည်]]</f>
        <v>ပြည့်လျှံ</v>
      </c>
      <c r="AL888" s="270" t="str">
        <f>Table4[[#This Row],[Township]]</f>
        <v>Maw La Myaing</v>
      </c>
      <c r="AM888" s="271" t="str">
        <f>Table4[[#This Row],[WholeSales]]</f>
        <v>WholeSales</v>
      </c>
      <c r="AN888" s="272" t="str">
        <f>Table4[[#This Row],[Particular]]</f>
        <v>ကုန်ရောင်း(လက်ငင်း)</v>
      </c>
      <c r="AO888" s="273" t="str">
        <f>Table4[[#This Row],[StockName]]</f>
        <v>ဇေယျဝတီ Red (1 Liter) 30%</v>
      </c>
      <c r="AP888" s="268">
        <f>Table4[[#This Row],[Parking]]</f>
        <v>100</v>
      </c>
      <c r="AQ888" s="268">
        <f>Table4[[#This Row],[SalesBot]]</f>
        <v>1200</v>
      </c>
      <c r="AR888" s="268">
        <f>Table4[[#This Row],[Liter]]</f>
        <v>1200</v>
      </c>
    </row>
    <row r="889" spans="1:44" s="16" customFormat="1" hidden="1" x14ac:dyDescent="0.5">
      <c r="A889" s="3">
        <f t="shared" si="164"/>
        <v>2026</v>
      </c>
      <c r="B889" s="8">
        <f t="shared" si="165"/>
        <v>2</v>
      </c>
      <c r="C889" s="6">
        <v>46076</v>
      </c>
      <c r="D889" s="15">
        <f t="shared" ca="1" si="166"/>
        <v>46097</v>
      </c>
      <c r="E889" s="15" t="str">
        <f t="shared" ca="1" si="167"/>
        <v>0-Months</v>
      </c>
      <c r="F889" s="8" t="str">
        <f>VLOOKUP(N889,Stock[#Data],5,FALSE)</f>
        <v>BE</v>
      </c>
      <c r="G889" s="82" t="s">
        <v>1521</v>
      </c>
      <c r="H889" s="15"/>
      <c r="I889" s="7" t="s">
        <v>487</v>
      </c>
      <c r="J889" s="8" t="str">
        <f>VLOOKUP(I889,Customers[#Data],2,FALSE)</f>
        <v>ချယ်ရီမြိုင်</v>
      </c>
      <c r="K889" s="15" t="str">
        <f>VLOOKUP(I889,Customers[#Data],4,FALSE)</f>
        <v>Maw La Myaing</v>
      </c>
      <c r="L889" s="15" t="str">
        <f>VLOOKUP(I889,Customers[#Data],5,FALSE)</f>
        <v>Van Sales</v>
      </c>
      <c r="M889" s="7" t="s">
        <v>6</v>
      </c>
      <c r="N889" s="7" t="s">
        <v>516</v>
      </c>
      <c r="O889" s="14" t="str">
        <f>VLOOKUP(N889,Stock[#Data],2,FALSE)</f>
        <v>ဇေ Vodka</v>
      </c>
      <c r="P889" s="44">
        <f>VLOOKUP(N889,Stock[#Data],3,FALSE)</f>
        <v>0.64</v>
      </c>
      <c r="Q889" s="3">
        <f>VLOOKUP(N889,Stock[#Data],4,FALSE)</f>
        <v>14</v>
      </c>
      <c r="R889" s="11"/>
      <c r="S889" s="45">
        <f>IFERROR(Table4[[#This Row],[Bottle]]/Table4[[#This Row],[ပါဝင်မှု]]+Table4[[#This Row],[SalesPK]],0)</f>
        <v>10</v>
      </c>
      <c r="T889" s="12">
        <v>10</v>
      </c>
      <c r="U889" s="10">
        <f>Table4[[#This Row],[ပါဝင်မှု]]*Table4[[#This Row],[SalesPK]]+Table4[[#This Row],[Bottle]]</f>
        <v>140</v>
      </c>
      <c r="V889" s="10">
        <f>Table4[[#This Row],[SalesBot]]*Table4[[#This Row],[ML]]</f>
        <v>89.600000000000009</v>
      </c>
      <c r="W889" s="1">
        <f>VLOOKUP(N889,Stock[#Data],6,FALSE)</f>
        <v>1400</v>
      </c>
      <c r="X889" s="8">
        <f>+Table4[[#This Row],[SalesBot]]*Table4[[#This Row],[နှုံး]]</f>
        <v>196000</v>
      </c>
      <c r="Y889" s="12"/>
      <c r="Z889" s="12"/>
      <c r="AA889" s="12"/>
      <c r="AB889" s="9"/>
      <c r="AC889" s="12"/>
      <c r="AD889" s="9"/>
      <c r="AE889" s="12"/>
      <c r="AF88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889" s="24"/>
      <c r="AH889" s="266">
        <f>Table4[[#This Row],[Date]]</f>
        <v>46076</v>
      </c>
      <c r="AI889" s="264" t="str">
        <f t="shared" si="168"/>
        <v>Feb</v>
      </c>
      <c r="AJ889" s="264" t="str">
        <f t="shared" si="169"/>
        <v>2026</v>
      </c>
      <c r="AK889" s="270" t="str">
        <f>Table4[[#This Row],[ကုန်သည်အမည်]]</f>
        <v>ချယ်ရီမြိုင်</v>
      </c>
      <c r="AL889" s="270" t="str">
        <f>Table4[[#This Row],[Township]]</f>
        <v>Maw La Myaing</v>
      </c>
      <c r="AM889" s="271" t="str">
        <f>Table4[[#This Row],[WholeSales]]</f>
        <v>Van Sales</v>
      </c>
      <c r="AN889" s="272" t="str">
        <f>Table4[[#This Row],[Particular]]</f>
        <v>ကုန်ရောင်း(လက်ငင်း)</v>
      </c>
      <c r="AO889" s="273" t="str">
        <f>Table4[[#This Row],[StockName]]</f>
        <v>ဇေ Vodka</v>
      </c>
      <c r="AP889" s="268">
        <f>Table4[[#This Row],[Parking]]</f>
        <v>10</v>
      </c>
      <c r="AQ889" s="268">
        <f>Table4[[#This Row],[SalesBot]]</f>
        <v>140</v>
      </c>
      <c r="AR889" s="268">
        <f>Table4[[#This Row],[Liter]]</f>
        <v>89.600000000000009</v>
      </c>
    </row>
    <row r="890" spans="1:44" s="16" customFormat="1" hidden="1" x14ac:dyDescent="0.5">
      <c r="A890" s="3">
        <f t="shared" si="164"/>
        <v>2026</v>
      </c>
      <c r="B890" s="8">
        <f t="shared" si="165"/>
        <v>2</v>
      </c>
      <c r="C890" s="6">
        <v>46076</v>
      </c>
      <c r="D890" s="15">
        <f t="shared" ca="1" si="166"/>
        <v>46097</v>
      </c>
      <c r="E890" s="15" t="str">
        <f t="shared" ca="1" si="167"/>
        <v>0-Months</v>
      </c>
      <c r="F890" s="8" t="str">
        <f>VLOOKUP(N890,Stock[#Data],5,FALSE)</f>
        <v>BE</v>
      </c>
      <c r="G890" s="82" t="s">
        <v>1522</v>
      </c>
      <c r="H890" s="15"/>
      <c r="I890" s="7" t="s">
        <v>82</v>
      </c>
      <c r="J890" s="8" t="str">
        <f>VLOOKUP(I890,Customers[#Data],2,FALSE)</f>
        <v>ဒေါ်ထွန်းမေ</v>
      </c>
      <c r="K890" s="15" t="str">
        <f>VLOOKUP(I890,Customers[#Data],4,FALSE)</f>
        <v>Maw La Myaing</v>
      </c>
      <c r="L890" s="15" t="str">
        <f>VLOOKUP(I890,Customers[#Data],5,FALSE)</f>
        <v>WholeSales</v>
      </c>
      <c r="M890" s="7" t="s">
        <v>6</v>
      </c>
      <c r="N890" s="7" t="s">
        <v>514</v>
      </c>
      <c r="O890" s="14" t="str">
        <f>VLOOKUP(N890,Stock[#Data],2,FALSE)</f>
        <v>ဇေယျဝတီ Red</v>
      </c>
      <c r="P890" s="44">
        <f>VLOOKUP(N890,Stock[#Data],3,FALSE)</f>
        <v>0.64</v>
      </c>
      <c r="Q890" s="3">
        <f>VLOOKUP(N890,Stock[#Data],4,FALSE)</f>
        <v>14</v>
      </c>
      <c r="R890" s="11"/>
      <c r="S890" s="45">
        <f>IFERROR(Table4[[#This Row],[Bottle]]/Table4[[#This Row],[ပါဝင်မှု]]+Table4[[#This Row],[SalesPK]],0)</f>
        <v>50</v>
      </c>
      <c r="T890" s="12">
        <v>50</v>
      </c>
      <c r="U890" s="10">
        <f>Table4[[#This Row],[ပါဝင်မှု]]*Table4[[#This Row],[SalesPK]]+Table4[[#This Row],[Bottle]]</f>
        <v>700</v>
      </c>
      <c r="V890" s="10">
        <f>Table4[[#This Row],[SalesBot]]*Table4[[#This Row],[ML]]</f>
        <v>448</v>
      </c>
      <c r="W890" s="1">
        <f>VLOOKUP(N890,Stock[#Data],6,FALSE)</f>
        <v>1350</v>
      </c>
      <c r="X890" s="8">
        <f>+Table4[[#This Row],[SalesBot]]*Table4[[#This Row],[နှုံး]]</f>
        <v>945000</v>
      </c>
      <c r="Y890" s="12"/>
      <c r="Z890" s="12"/>
      <c r="AA890" s="12"/>
      <c r="AB890" s="9"/>
      <c r="AC890" s="12"/>
      <c r="AD890" s="9"/>
      <c r="AE890" s="12"/>
      <c r="AF89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890" s="24"/>
      <c r="AH890" s="266">
        <f>Table4[[#This Row],[Date]]</f>
        <v>46076</v>
      </c>
      <c r="AI890" s="264" t="str">
        <f t="shared" si="168"/>
        <v>Feb</v>
      </c>
      <c r="AJ890" s="264" t="str">
        <f t="shared" si="169"/>
        <v>2026</v>
      </c>
      <c r="AK890" s="270" t="str">
        <f>Table4[[#This Row],[ကုန်သည်အမည်]]</f>
        <v>ဒေါ်ထွန်းမေ</v>
      </c>
      <c r="AL890" s="270" t="str">
        <f>Table4[[#This Row],[Township]]</f>
        <v>Maw La Myaing</v>
      </c>
      <c r="AM890" s="271" t="str">
        <f>Table4[[#This Row],[WholeSales]]</f>
        <v>WholeSales</v>
      </c>
      <c r="AN890" s="272" t="str">
        <f>Table4[[#This Row],[Particular]]</f>
        <v>ကုန်ရောင်း(လက်ငင်း)</v>
      </c>
      <c r="AO890" s="273" t="str">
        <f>Table4[[#This Row],[StockName]]</f>
        <v>ဇေယျဝတီ Red</v>
      </c>
      <c r="AP890" s="268">
        <f>Table4[[#This Row],[Parking]]</f>
        <v>50</v>
      </c>
      <c r="AQ890" s="268">
        <f>Table4[[#This Row],[SalesBot]]</f>
        <v>700</v>
      </c>
      <c r="AR890" s="268">
        <f>Table4[[#This Row],[Liter]]</f>
        <v>448</v>
      </c>
    </row>
    <row r="891" spans="1:44" s="16" customFormat="1" hidden="1" x14ac:dyDescent="0.5">
      <c r="A891" s="3">
        <f t="shared" si="164"/>
        <v>2026</v>
      </c>
      <c r="B891" s="8">
        <f t="shared" si="165"/>
        <v>2</v>
      </c>
      <c r="C891" s="6">
        <v>46076</v>
      </c>
      <c r="D891" s="15">
        <f t="shared" ca="1" si="166"/>
        <v>46097</v>
      </c>
      <c r="E891" s="15" t="str">
        <f t="shared" ca="1" si="167"/>
        <v>0-Months</v>
      </c>
      <c r="F891" s="8" t="str">
        <f>VLOOKUP(N891,Stock[#Data],5,FALSE)</f>
        <v>BE</v>
      </c>
      <c r="G891" s="82" t="s">
        <v>1523</v>
      </c>
      <c r="H891" s="15" t="s">
        <v>439</v>
      </c>
      <c r="I891" s="7" t="s">
        <v>793</v>
      </c>
      <c r="J891" s="8" t="str">
        <f>VLOOKUP(I891,Customers[#Data],2,FALSE)</f>
        <v>ဖြိုးဝေဝင်း</v>
      </c>
      <c r="K891" s="15" t="str">
        <f>VLOOKUP(I891,Customers[#Data],4,FALSE)</f>
        <v>Maw La Myaing</v>
      </c>
      <c r="L891" s="15" t="str">
        <f>VLOOKUP(I891,Customers[#Data],5,FALSE)</f>
        <v>Van Sales</v>
      </c>
      <c r="M891" s="7" t="s">
        <v>6</v>
      </c>
      <c r="N891" s="7" t="s">
        <v>516</v>
      </c>
      <c r="O891" s="14" t="str">
        <f>VLOOKUP(N891,Stock[#Data],2,FALSE)</f>
        <v>ဇေ Vodka</v>
      </c>
      <c r="P891" s="44">
        <f>VLOOKUP(N891,Stock[#Data],3,FALSE)</f>
        <v>0.64</v>
      </c>
      <c r="Q891" s="3">
        <f>VLOOKUP(N891,Stock[#Data],4,FALSE)</f>
        <v>14</v>
      </c>
      <c r="R891" s="11"/>
      <c r="S891" s="45">
        <f>IFERROR(Table4[[#This Row],[Bottle]]/Table4[[#This Row],[ပါဝင်မှု]]+Table4[[#This Row],[SalesPK]],0)</f>
        <v>10</v>
      </c>
      <c r="T891" s="12">
        <v>10</v>
      </c>
      <c r="U891" s="10">
        <f>Table4[[#This Row],[ပါဝင်မှု]]*Table4[[#This Row],[SalesPK]]+Table4[[#This Row],[Bottle]]</f>
        <v>140</v>
      </c>
      <c r="V891" s="10">
        <f>Table4[[#This Row],[SalesBot]]*Table4[[#This Row],[ML]]</f>
        <v>89.600000000000009</v>
      </c>
      <c r="W891" s="1">
        <f>VLOOKUP(N891,Stock[#Data],6,FALSE)</f>
        <v>1400</v>
      </c>
      <c r="X891" s="8">
        <f>+Table4[[#This Row],[SalesBot]]*Table4[[#This Row],[နှုံး]]</f>
        <v>196000</v>
      </c>
      <c r="Y891" s="12"/>
      <c r="Z891" s="12"/>
      <c r="AA891" s="12"/>
      <c r="AB891" s="9"/>
      <c r="AC891" s="12"/>
      <c r="AD891" s="9"/>
      <c r="AE891" s="12"/>
      <c r="AF89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891" s="24"/>
      <c r="AH891" s="266">
        <f>Table4[[#This Row],[Date]]</f>
        <v>46076</v>
      </c>
      <c r="AI891" s="264" t="str">
        <f t="shared" si="168"/>
        <v>Feb</v>
      </c>
      <c r="AJ891" s="264" t="str">
        <f t="shared" si="169"/>
        <v>2026</v>
      </c>
      <c r="AK891" s="270" t="str">
        <f>Table4[[#This Row],[ကုန်သည်အမည်]]</f>
        <v>ဖြိုးဝေဝင်း</v>
      </c>
      <c r="AL891" s="270" t="str">
        <f>Table4[[#This Row],[Township]]</f>
        <v>Maw La Myaing</v>
      </c>
      <c r="AM891" s="271" t="str">
        <f>Table4[[#This Row],[WholeSales]]</f>
        <v>Van Sales</v>
      </c>
      <c r="AN891" s="272" t="str">
        <f>Table4[[#This Row],[Particular]]</f>
        <v>ကုန်ရောင်း(လက်ငင်း)</v>
      </c>
      <c r="AO891" s="273" t="str">
        <f>Table4[[#This Row],[StockName]]</f>
        <v>ဇေ Vodka</v>
      </c>
      <c r="AP891" s="268">
        <f>Table4[[#This Row],[Parking]]</f>
        <v>10</v>
      </c>
      <c r="AQ891" s="268">
        <f>Table4[[#This Row],[SalesBot]]</f>
        <v>140</v>
      </c>
      <c r="AR891" s="268">
        <f>Table4[[#This Row],[Liter]]</f>
        <v>89.600000000000009</v>
      </c>
    </row>
    <row r="892" spans="1:44" s="16" customFormat="1" hidden="1" x14ac:dyDescent="0.5">
      <c r="A892" s="3">
        <f t="shared" si="164"/>
        <v>2026</v>
      </c>
      <c r="B892" s="8">
        <f t="shared" si="165"/>
        <v>2</v>
      </c>
      <c r="C892" s="6">
        <v>46076</v>
      </c>
      <c r="D892" s="15">
        <f t="shared" ca="1" si="166"/>
        <v>46097</v>
      </c>
      <c r="E892" s="15" t="str">
        <f t="shared" ca="1" si="167"/>
        <v>0-Months</v>
      </c>
      <c r="F892" s="8" t="str">
        <f>VLOOKUP(N892,Stock[#Data],5,FALSE)</f>
        <v>BE</v>
      </c>
      <c r="G892" s="82" t="s">
        <v>1523</v>
      </c>
      <c r="H892" s="15" t="s">
        <v>439</v>
      </c>
      <c r="I892" s="7" t="s">
        <v>1524</v>
      </c>
      <c r="J892" s="8" t="str">
        <f>VLOOKUP(I892,Customers[#Data],2,FALSE)</f>
        <v>ရွှေစိတ်ကူး</v>
      </c>
      <c r="K892" s="15" t="str">
        <f>VLOOKUP(I892,Customers[#Data],4,FALSE)</f>
        <v>Maw La Myaing</v>
      </c>
      <c r="L892" s="15" t="str">
        <f>VLOOKUP(I892,Customers[#Data],5,FALSE)</f>
        <v>Van Sales</v>
      </c>
      <c r="M892" s="7" t="s">
        <v>6</v>
      </c>
      <c r="N892" s="7" t="s">
        <v>518</v>
      </c>
      <c r="O892" s="14" t="str">
        <f>VLOOKUP(N892,Stock[#Data],2,FALSE)</f>
        <v>"ဇေ" ကော်ဘူး (1 Liter)</v>
      </c>
      <c r="P892" s="44">
        <f>VLOOKUP(N892,Stock[#Data],3,FALSE)</f>
        <v>1</v>
      </c>
      <c r="Q892" s="3">
        <f>VLOOKUP(N892,Stock[#Data],4,FALSE)</f>
        <v>12</v>
      </c>
      <c r="R892" s="11"/>
      <c r="S892" s="45">
        <f>IFERROR(Table4[[#This Row],[Bottle]]/Table4[[#This Row],[ပါဝင်မှု]]+Table4[[#This Row],[SalesPK]],0)</f>
        <v>4</v>
      </c>
      <c r="T892" s="12">
        <v>4</v>
      </c>
      <c r="U892" s="10">
        <f>Table4[[#This Row],[ပါဝင်မှု]]*Table4[[#This Row],[SalesPK]]+Table4[[#This Row],[Bottle]]</f>
        <v>48</v>
      </c>
      <c r="V892" s="10">
        <f>Table4[[#This Row],[SalesBot]]*Table4[[#This Row],[ML]]</f>
        <v>48</v>
      </c>
      <c r="W892" s="1">
        <f>VLOOKUP(N892,Stock[#Data],6,FALSE)</f>
        <v>1675</v>
      </c>
      <c r="X892" s="8">
        <f>+Table4[[#This Row],[SalesBot]]*Table4[[#This Row],[နှုံး]]</f>
        <v>80400</v>
      </c>
      <c r="Y892" s="12"/>
      <c r="Z892" s="12"/>
      <c r="AA892" s="12"/>
      <c r="AB892" s="9"/>
      <c r="AC892" s="12"/>
      <c r="AD892" s="9"/>
      <c r="AE892" s="12"/>
      <c r="AF89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80400</v>
      </c>
      <c r="AG892" s="24"/>
      <c r="AH892" s="266">
        <f>Table4[[#This Row],[Date]]</f>
        <v>46076</v>
      </c>
      <c r="AI892" s="264" t="str">
        <f t="shared" si="168"/>
        <v>Feb</v>
      </c>
      <c r="AJ892" s="264" t="str">
        <f t="shared" si="169"/>
        <v>2026</v>
      </c>
      <c r="AK892" s="270" t="str">
        <f>Table4[[#This Row],[ကုန်သည်အမည်]]</f>
        <v>ရွှေစိတ်ကူး</v>
      </c>
      <c r="AL892" s="270" t="str">
        <f>Table4[[#This Row],[Township]]</f>
        <v>Maw La Myaing</v>
      </c>
      <c r="AM892" s="271" t="str">
        <f>Table4[[#This Row],[WholeSales]]</f>
        <v>Van Sales</v>
      </c>
      <c r="AN892" s="272" t="str">
        <f>Table4[[#This Row],[Particular]]</f>
        <v>ကုန်ရောင်း(လက်ငင်း)</v>
      </c>
      <c r="AO892" s="273" t="str">
        <f>Table4[[#This Row],[StockName]]</f>
        <v>"ဇေ" ကော်ဘူး (1 Liter)</v>
      </c>
      <c r="AP892" s="268">
        <f>Table4[[#This Row],[Parking]]</f>
        <v>4</v>
      </c>
      <c r="AQ892" s="268">
        <f>Table4[[#This Row],[SalesBot]]</f>
        <v>48</v>
      </c>
      <c r="AR892" s="268">
        <f>Table4[[#This Row],[Liter]]</f>
        <v>48</v>
      </c>
    </row>
    <row r="893" spans="1:44" s="16" customFormat="1" hidden="1" x14ac:dyDescent="0.5">
      <c r="A893" s="3">
        <f t="shared" si="164"/>
        <v>2026</v>
      </c>
      <c r="B893" s="8">
        <f t="shared" si="165"/>
        <v>2</v>
      </c>
      <c r="C893" s="6">
        <v>46076</v>
      </c>
      <c r="D893" s="15">
        <f t="shared" ca="1" si="166"/>
        <v>46097</v>
      </c>
      <c r="E893" s="15" t="str">
        <f t="shared" ca="1" si="167"/>
        <v>0-Months</v>
      </c>
      <c r="F893" s="8" t="str">
        <f>VLOOKUP(N893,Stock[#Data],5,FALSE)</f>
        <v>BE</v>
      </c>
      <c r="G893" s="82" t="s">
        <v>1535</v>
      </c>
      <c r="H893" s="15" t="s">
        <v>439</v>
      </c>
      <c r="I893" s="7" t="s">
        <v>763</v>
      </c>
      <c r="J893" s="8" t="str">
        <f>VLOOKUP(I893,Customers[#Data],2,FALSE)</f>
        <v>ဦးသိန်းဝင်း</v>
      </c>
      <c r="K893" s="15" t="str">
        <f>VLOOKUP(I893,Customers[#Data],4,FALSE)</f>
        <v>Maw La Myaing</v>
      </c>
      <c r="L893" s="15" t="str">
        <f>VLOOKUP(I893,Customers[#Data],5,FALSE)</f>
        <v>Van Sales</v>
      </c>
      <c r="M893" s="7" t="s">
        <v>6</v>
      </c>
      <c r="N893" s="7" t="s">
        <v>518</v>
      </c>
      <c r="O893" s="14" t="str">
        <f>VLOOKUP(N893,Stock[#Data],2,FALSE)</f>
        <v>"ဇေ" ကော်ဘူး (1 Liter)</v>
      </c>
      <c r="P893" s="44">
        <f>VLOOKUP(N893,Stock[#Data],3,FALSE)</f>
        <v>1</v>
      </c>
      <c r="Q893" s="3">
        <f>VLOOKUP(N893,Stock[#Data],4,FALSE)</f>
        <v>12</v>
      </c>
      <c r="R893" s="11"/>
      <c r="S893" s="45">
        <f>IFERROR(Table4[[#This Row],[Bottle]]/Table4[[#This Row],[ပါဝင်မှု]]+Table4[[#This Row],[SalesPK]],0)</f>
        <v>3</v>
      </c>
      <c r="T893" s="12">
        <v>3</v>
      </c>
      <c r="U893" s="10">
        <f>Table4[[#This Row],[ပါဝင်မှု]]*Table4[[#This Row],[SalesPK]]+Table4[[#This Row],[Bottle]]</f>
        <v>36</v>
      </c>
      <c r="V893" s="10">
        <f>Table4[[#This Row],[SalesBot]]*Table4[[#This Row],[ML]]</f>
        <v>36</v>
      </c>
      <c r="W893" s="1">
        <f>VLOOKUP(N893,Stock[#Data],6,FALSE)</f>
        <v>1675</v>
      </c>
      <c r="X893" s="8">
        <f>+Table4[[#This Row],[SalesBot]]*Table4[[#This Row],[နှုံး]]</f>
        <v>60300</v>
      </c>
      <c r="Y893" s="12"/>
      <c r="Z893" s="12"/>
      <c r="AA893" s="12"/>
      <c r="AB893" s="9"/>
      <c r="AC893" s="12"/>
      <c r="AD893" s="9"/>
      <c r="AE893" s="12"/>
      <c r="AF89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60300</v>
      </c>
      <c r="AG893" s="24"/>
      <c r="AH893" s="266">
        <f>Table4[[#This Row],[Date]]</f>
        <v>46076</v>
      </c>
      <c r="AI893" s="264" t="str">
        <f t="shared" si="168"/>
        <v>Feb</v>
      </c>
      <c r="AJ893" s="264" t="str">
        <f t="shared" si="169"/>
        <v>2026</v>
      </c>
      <c r="AK893" s="270" t="str">
        <f>Table4[[#This Row],[ကုန်သည်အမည်]]</f>
        <v>ဦးသိန်းဝင်း</v>
      </c>
      <c r="AL893" s="270" t="str">
        <f>Table4[[#This Row],[Township]]</f>
        <v>Maw La Myaing</v>
      </c>
      <c r="AM893" s="271" t="str">
        <f>Table4[[#This Row],[WholeSales]]</f>
        <v>Van Sales</v>
      </c>
      <c r="AN893" s="272" t="str">
        <f>Table4[[#This Row],[Particular]]</f>
        <v>ကုန်ရောင်း(လက်ငင်း)</v>
      </c>
      <c r="AO893" s="273" t="str">
        <f>Table4[[#This Row],[StockName]]</f>
        <v>"ဇေ" ကော်ဘူး (1 Liter)</v>
      </c>
      <c r="AP893" s="268">
        <f>Table4[[#This Row],[Parking]]</f>
        <v>3</v>
      </c>
      <c r="AQ893" s="268">
        <f>Table4[[#This Row],[SalesBot]]</f>
        <v>36</v>
      </c>
      <c r="AR893" s="268">
        <f>Table4[[#This Row],[Liter]]</f>
        <v>36</v>
      </c>
    </row>
    <row r="894" spans="1:44" s="16" customFormat="1" hidden="1" x14ac:dyDescent="0.5">
      <c r="A894" s="3">
        <f t="shared" si="164"/>
        <v>2026</v>
      </c>
      <c r="B894" s="8">
        <f t="shared" si="165"/>
        <v>2</v>
      </c>
      <c r="C894" s="6">
        <v>46076</v>
      </c>
      <c r="D894" s="15">
        <f t="shared" ca="1" si="166"/>
        <v>46097</v>
      </c>
      <c r="E894" s="15" t="str">
        <f t="shared" ca="1" si="167"/>
        <v>0-Months</v>
      </c>
      <c r="F894" s="8" t="str">
        <f>VLOOKUP(N894,Stock[#Data],5,FALSE)</f>
        <v>BE</v>
      </c>
      <c r="G894" s="82" t="s">
        <v>1536</v>
      </c>
      <c r="H894" s="15" t="s">
        <v>439</v>
      </c>
      <c r="I894" s="7" t="s">
        <v>1526</v>
      </c>
      <c r="J894" s="8" t="str">
        <f>VLOOKUP(I894,Customers[#Data],2,FALSE)</f>
        <v>အာကြီး</v>
      </c>
      <c r="K894" s="15" t="str">
        <f>VLOOKUP(I894,Customers[#Data],4,FALSE)</f>
        <v>Maw La Myaing</v>
      </c>
      <c r="L894" s="15" t="str">
        <f>VLOOKUP(I894,Customers[#Data],5,FALSE)</f>
        <v>Van Sales</v>
      </c>
      <c r="M894" s="7" t="s">
        <v>6</v>
      </c>
      <c r="N894" s="7" t="s">
        <v>522</v>
      </c>
      <c r="O894" s="14" t="str">
        <f>VLOOKUP(N894,Stock[#Data],2,FALSE)</f>
        <v>ဒဂုံမန်ကျည်း ကော်ဘူး (1 Liter)</v>
      </c>
      <c r="P894" s="44">
        <f>VLOOKUP(N894,Stock[#Data],3,FALSE)</f>
        <v>1</v>
      </c>
      <c r="Q894" s="3">
        <f>VLOOKUP(N894,Stock[#Data],4,FALSE)</f>
        <v>12</v>
      </c>
      <c r="R894" s="11"/>
      <c r="S894" s="45">
        <f>IFERROR(Table4[[#This Row],[Bottle]]/Table4[[#This Row],[ပါဝင်မှု]]+Table4[[#This Row],[SalesPK]],0)</f>
        <v>1</v>
      </c>
      <c r="T894" s="12">
        <v>1</v>
      </c>
      <c r="U894" s="10">
        <f>Table4[[#This Row],[ပါဝင်မှု]]*Table4[[#This Row],[SalesPK]]+Table4[[#This Row],[Bottle]]</f>
        <v>12</v>
      </c>
      <c r="V894" s="10">
        <f>Table4[[#This Row],[SalesBot]]*Table4[[#This Row],[ML]]</f>
        <v>12</v>
      </c>
      <c r="W894" s="1">
        <f>VLOOKUP(N894,Stock[#Data],6,FALSE)</f>
        <v>1600</v>
      </c>
      <c r="X894" s="8">
        <f>+Table4[[#This Row],[SalesBot]]*Table4[[#This Row],[နှုံး]]</f>
        <v>19200</v>
      </c>
      <c r="Y894" s="12"/>
      <c r="Z894" s="12"/>
      <c r="AA894" s="12"/>
      <c r="AB894" s="9"/>
      <c r="AC894" s="12"/>
      <c r="AD894" s="9"/>
      <c r="AE894" s="12"/>
      <c r="AF89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894" s="24"/>
      <c r="AH894" s="266">
        <f>Table4[[#This Row],[Date]]</f>
        <v>46076</v>
      </c>
      <c r="AI894" s="264" t="str">
        <f t="shared" si="168"/>
        <v>Feb</v>
      </c>
      <c r="AJ894" s="264" t="str">
        <f t="shared" si="169"/>
        <v>2026</v>
      </c>
      <c r="AK894" s="270" t="str">
        <f>Table4[[#This Row],[ကုန်သည်အမည်]]</f>
        <v>အာကြီး</v>
      </c>
      <c r="AL894" s="270" t="str">
        <f>Table4[[#This Row],[Township]]</f>
        <v>Maw La Myaing</v>
      </c>
      <c r="AM894" s="271" t="str">
        <f>Table4[[#This Row],[WholeSales]]</f>
        <v>Van Sales</v>
      </c>
      <c r="AN894" s="272" t="str">
        <f>Table4[[#This Row],[Particular]]</f>
        <v>ကုန်ရောင်း(လက်ငင်း)</v>
      </c>
      <c r="AO894" s="273" t="str">
        <f>Table4[[#This Row],[StockName]]</f>
        <v>ဒဂုံမန်ကျည်း ကော်ဘူး (1 Liter)</v>
      </c>
      <c r="AP894" s="268">
        <f>Table4[[#This Row],[Parking]]</f>
        <v>1</v>
      </c>
      <c r="AQ894" s="268">
        <f>Table4[[#This Row],[SalesBot]]</f>
        <v>12</v>
      </c>
      <c r="AR894" s="268">
        <f>Table4[[#This Row],[Liter]]</f>
        <v>12</v>
      </c>
    </row>
    <row r="895" spans="1:44" s="16" customFormat="1" hidden="1" x14ac:dyDescent="0.5">
      <c r="A895" s="3">
        <f t="shared" si="164"/>
        <v>2026</v>
      </c>
      <c r="B895" s="8">
        <f t="shared" si="165"/>
        <v>2</v>
      </c>
      <c r="C895" s="6">
        <v>46076</v>
      </c>
      <c r="D895" s="15">
        <f t="shared" ca="1" si="166"/>
        <v>46097</v>
      </c>
      <c r="E895" s="15" t="str">
        <f t="shared" ca="1" si="167"/>
        <v>0-Months</v>
      </c>
      <c r="F895" s="8" t="str">
        <f>VLOOKUP(N895,Stock[#Data],5,FALSE)</f>
        <v>BE</v>
      </c>
      <c r="G895" s="82" t="s">
        <v>1536</v>
      </c>
      <c r="H895" s="15" t="s">
        <v>439</v>
      </c>
      <c r="I895" s="7" t="s">
        <v>1526</v>
      </c>
      <c r="J895" s="8" t="str">
        <f>VLOOKUP(I895,Customers[#Data],2,FALSE)</f>
        <v>အာကြီး</v>
      </c>
      <c r="K895" s="15" t="str">
        <f>VLOOKUP(I895,Customers[#Data],4,FALSE)</f>
        <v>Maw La Myaing</v>
      </c>
      <c r="L895" s="15" t="str">
        <f>VLOOKUP(I895,Customers[#Data],5,FALSE)</f>
        <v>Van Sales</v>
      </c>
      <c r="M895" s="7" t="s">
        <v>9</v>
      </c>
      <c r="N895" s="7" t="s">
        <v>522</v>
      </c>
      <c r="O895" s="14" t="str">
        <f>VLOOKUP(N895,Stock[#Data],2,FALSE)</f>
        <v>ဒဂုံမန်ကျည်း ကော်ဘူး (1 Liter)</v>
      </c>
      <c r="P895" s="44">
        <f>VLOOKUP(N895,Stock[#Data],3,FALSE)</f>
        <v>1</v>
      </c>
      <c r="Q895" s="3">
        <f>VLOOKUP(N895,Stock[#Data],4,FALSE)</f>
        <v>12</v>
      </c>
      <c r="R895" s="11">
        <v>1</v>
      </c>
      <c r="S895" s="45">
        <f>IFERROR(Table4[[#This Row],[Bottle]]/Table4[[#This Row],[ပါဝင်မှု]]+Table4[[#This Row],[SalesPK]],0)</f>
        <v>8.3333333333333329E-2</v>
      </c>
      <c r="T895" s="12"/>
      <c r="U895" s="10">
        <f>Table4[[#This Row],[ပါဝင်မှု]]*Table4[[#This Row],[SalesPK]]+Table4[[#This Row],[Bottle]]</f>
        <v>1</v>
      </c>
      <c r="V895" s="10">
        <f>Table4[[#This Row],[SalesBot]]*Table4[[#This Row],[ML]]</f>
        <v>1</v>
      </c>
      <c r="W895" s="1">
        <f>VLOOKUP(N895,Stock[#Data],6,FALSE)</f>
        <v>1600</v>
      </c>
      <c r="X895" s="8">
        <f>+Table4[[#This Row],[SalesBot]]*Table4[[#This Row],[နှုံး]]</f>
        <v>1600</v>
      </c>
      <c r="Y895" s="12"/>
      <c r="Z895" s="12"/>
      <c r="AA895" s="12"/>
      <c r="AB895" s="9"/>
      <c r="AC895" s="12"/>
      <c r="AD895" s="9"/>
      <c r="AE895" s="12"/>
      <c r="AF89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895" s="24"/>
      <c r="AH895" s="266">
        <f>Table4[[#This Row],[Date]]</f>
        <v>46076</v>
      </c>
      <c r="AI895" s="264" t="str">
        <f t="shared" si="168"/>
        <v>Feb</v>
      </c>
      <c r="AJ895" s="264" t="str">
        <f t="shared" si="169"/>
        <v>2026</v>
      </c>
      <c r="AK895" s="270" t="str">
        <f>Table4[[#This Row],[ကုန်သည်အမည်]]</f>
        <v>အာကြီး</v>
      </c>
      <c r="AL895" s="270" t="str">
        <f>Table4[[#This Row],[Township]]</f>
        <v>Maw La Myaing</v>
      </c>
      <c r="AM895" s="271" t="str">
        <f>Table4[[#This Row],[WholeSales]]</f>
        <v>Van Sales</v>
      </c>
      <c r="AN895" s="272" t="str">
        <f>Table4[[#This Row],[Particular]]</f>
        <v>လက်ဆောင်</v>
      </c>
      <c r="AO895" s="273" t="str">
        <f>Table4[[#This Row],[StockName]]</f>
        <v>ဒဂုံမန်ကျည်း ကော်ဘူး (1 Liter)</v>
      </c>
      <c r="AP895" s="268">
        <f>Table4[[#This Row],[Parking]]</f>
        <v>8.3333333333333329E-2</v>
      </c>
      <c r="AQ895" s="268">
        <f>Table4[[#This Row],[SalesBot]]</f>
        <v>1</v>
      </c>
      <c r="AR895" s="268">
        <f>Table4[[#This Row],[Liter]]</f>
        <v>1</v>
      </c>
    </row>
    <row r="896" spans="1:44" s="16" customFormat="1" hidden="1" x14ac:dyDescent="0.5">
      <c r="A896" s="3">
        <f t="shared" si="164"/>
        <v>2026</v>
      </c>
      <c r="B896" s="8">
        <f t="shared" si="165"/>
        <v>2</v>
      </c>
      <c r="C896" s="6">
        <v>46076</v>
      </c>
      <c r="D896" s="15">
        <f t="shared" ca="1" si="166"/>
        <v>46097</v>
      </c>
      <c r="E896" s="15" t="str">
        <f t="shared" ca="1" si="167"/>
        <v>0-Months</v>
      </c>
      <c r="F896" s="8" t="str">
        <f>VLOOKUP(N896,Stock[#Data],5,FALSE)</f>
        <v>BE</v>
      </c>
      <c r="G896" s="82" t="s">
        <v>1537</v>
      </c>
      <c r="H896" s="15" t="s">
        <v>439</v>
      </c>
      <c r="I896" s="7" t="s">
        <v>1528</v>
      </c>
      <c r="J896" s="8" t="str">
        <f>VLOOKUP(I896,Customers[#Data],2,FALSE)</f>
        <v>မနီနီမာ</v>
      </c>
      <c r="K896" s="15" t="str">
        <f>VLOOKUP(I896,Customers[#Data],4,FALSE)</f>
        <v>Maw La Myaing</v>
      </c>
      <c r="L896" s="15" t="str">
        <f>VLOOKUP(I896,Customers[#Data],5,FALSE)</f>
        <v>Van Sales</v>
      </c>
      <c r="M896" s="7" t="s">
        <v>6</v>
      </c>
      <c r="N896" s="7" t="s">
        <v>522</v>
      </c>
      <c r="O896" s="14" t="str">
        <f>VLOOKUP(N896,Stock[#Data],2,FALSE)</f>
        <v>ဒဂုံမန်ကျည်း ကော်ဘူး (1 Liter)</v>
      </c>
      <c r="P896" s="44">
        <f>VLOOKUP(N896,Stock[#Data],3,FALSE)</f>
        <v>1</v>
      </c>
      <c r="Q896" s="3">
        <f>VLOOKUP(N896,Stock[#Data],4,FALSE)</f>
        <v>12</v>
      </c>
      <c r="R896" s="11"/>
      <c r="S896" s="45">
        <f>IFERROR(Table4[[#This Row],[Bottle]]/Table4[[#This Row],[ပါဝင်မှု]]+Table4[[#This Row],[SalesPK]],0)</f>
        <v>3</v>
      </c>
      <c r="T896" s="12">
        <v>3</v>
      </c>
      <c r="U896" s="10">
        <f>Table4[[#This Row],[ပါဝင်မှု]]*Table4[[#This Row],[SalesPK]]+Table4[[#This Row],[Bottle]]</f>
        <v>36</v>
      </c>
      <c r="V896" s="10">
        <f>Table4[[#This Row],[SalesBot]]*Table4[[#This Row],[ML]]</f>
        <v>36</v>
      </c>
      <c r="W896" s="1">
        <f>VLOOKUP(N896,Stock[#Data],6,FALSE)</f>
        <v>1600</v>
      </c>
      <c r="X896" s="8">
        <f>+Table4[[#This Row],[SalesBot]]*Table4[[#This Row],[နှုံး]]</f>
        <v>57600</v>
      </c>
      <c r="Y896" s="12"/>
      <c r="Z896" s="12"/>
      <c r="AA896" s="12"/>
      <c r="AB896" s="9"/>
      <c r="AC896" s="12"/>
      <c r="AD896" s="9"/>
      <c r="AE896" s="12"/>
      <c r="AF89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57600</v>
      </c>
      <c r="AG896" s="24"/>
      <c r="AH896" s="266">
        <f>Table4[[#This Row],[Date]]</f>
        <v>46076</v>
      </c>
      <c r="AI896" s="264" t="str">
        <f t="shared" si="168"/>
        <v>Feb</v>
      </c>
      <c r="AJ896" s="264" t="str">
        <f t="shared" si="169"/>
        <v>2026</v>
      </c>
      <c r="AK896" s="270" t="str">
        <f>Table4[[#This Row],[ကုန်သည်အမည်]]</f>
        <v>မနီနီမာ</v>
      </c>
      <c r="AL896" s="270" t="str">
        <f>Table4[[#This Row],[Township]]</f>
        <v>Maw La Myaing</v>
      </c>
      <c r="AM896" s="271" t="str">
        <f>Table4[[#This Row],[WholeSales]]</f>
        <v>Van Sales</v>
      </c>
      <c r="AN896" s="272" t="str">
        <f>Table4[[#This Row],[Particular]]</f>
        <v>ကုန်ရောင်း(လက်ငင်း)</v>
      </c>
      <c r="AO896" s="273" t="str">
        <f>Table4[[#This Row],[StockName]]</f>
        <v>ဒဂုံမန်ကျည်း ကော်ဘူး (1 Liter)</v>
      </c>
      <c r="AP896" s="268">
        <f>Table4[[#This Row],[Parking]]</f>
        <v>3</v>
      </c>
      <c r="AQ896" s="268">
        <f>Table4[[#This Row],[SalesBot]]</f>
        <v>36</v>
      </c>
      <c r="AR896" s="268">
        <f>Table4[[#This Row],[Liter]]</f>
        <v>36</v>
      </c>
    </row>
    <row r="897" spans="1:44" s="16" customFormat="1" hidden="1" x14ac:dyDescent="0.5">
      <c r="A897" s="3">
        <f t="shared" si="164"/>
        <v>2026</v>
      </c>
      <c r="B897" s="8">
        <f t="shared" si="165"/>
        <v>2</v>
      </c>
      <c r="C897" s="6">
        <v>46076</v>
      </c>
      <c r="D897" s="15">
        <f t="shared" ca="1" si="166"/>
        <v>46097</v>
      </c>
      <c r="E897" s="15" t="str">
        <f t="shared" ca="1" si="167"/>
        <v>0-Months</v>
      </c>
      <c r="F897" s="8" t="str">
        <f>VLOOKUP(N897,Stock[#Data],5,FALSE)</f>
        <v>BE</v>
      </c>
      <c r="G897" s="82" t="s">
        <v>1537</v>
      </c>
      <c r="H897" s="15"/>
      <c r="I897" s="7" t="s">
        <v>1528</v>
      </c>
      <c r="J897" s="8" t="str">
        <f>VLOOKUP(I897,Customers[#Data],2,FALSE)</f>
        <v>မနီနီမာ</v>
      </c>
      <c r="K897" s="15" t="str">
        <f>VLOOKUP(I897,Customers[#Data],4,FALSE)</f>
        <v>Maw La Myaing</v>
      </c>
      <c r="L897" s="15" t="str">
        <f>VLOOKUP(I897,Customers[#Data],5,FALSE)</f>
        <v>Van Sales</v>
      </c>
      <c r="M897" s="7" t="s">
        <v>9</v>
      </c>
      <c r="N897" s="7" t="s">
        <v>522</v>
      </c>
      <c r="O897" s="14" t="str">
        <f>VLOOKUP(N897,Stock[#Data],2,FALSE)</f>
        <v>ဒဂုံမန်ကျည်း ကော်ဘူး (1 Liter)</v>
      </c>
      <c r="P897" s="44">
        <f>VLOOKUP(N897,Stock[#Data],3,FALSE)</f>
        <v>1</v>
      </c>
      <c r="Q897" s="3">
        <f>VLOOKUP(N897,Stock[#Data],4,FALSE)</f>
        <v>12</v>
      </c>
      <c r="R897" s="11">
        <v>2</v>
      </c>
      <c r="S897" s="45">
        <f>IFERROR(Table4[[#This Row],[Bottle]]/Table4[[#This Row],[ပါဝင်မှု]]+Table4[[#This Row],[SalesPK]],0)</f>
        <v>0.16666666666666666</v>
      </c>
      <c r="T897" s="12"/>
      <c r="U897" s="10">
        <f>Table4[[#This Row],[ပါဝင်မှု]]*Table4[[#This Row],[SalesPK]]+Table4[[#This Row],[Bottle]]</f>
        <v>2</v>
      </c>
      <c r="V897" s="10">
        <f>Table4[[#This Row],[SalesBot]]*Table4[[#This Row],[ML]]</f>
        <v>2</v>
      </c>
      <c r="W897" s="1">
        <f>VLOOKUP(N897,Stock[#Data],6,FALSE)</f>
        <v>1600</v>
      </c>
      <c r="X897" s="8">
        <f>+Table4[[#This Row],[SalesBot]]*Table4[[#This Row],[နှုံး]]</f>
        <v>3200</v>
      </c>
      <c r="Y897" s="12"/>
      <c r="Z897" s="12"/>
      <c r="AA897" s="12"/>
      <c r="AB897" s="9"/>
      <c r="AC897" s="12"/>
      <c r="AD897" s="9"/>
      <c r="AE897" s="12"/>
      <c r="AF89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3200</v>
      </c>
      <c r="AG897" s="24"/>
      <c r="AH897" s="266">
        <f>Table4[[#This Row],[Date]]</f>
        <v>46076</v>
      </c>
      <c r="AI897" s="264" t="str">
        <f t="shared" si="168"/>
        <v>Feb</v>
      </c>
      <c r="AJ897" s="264" t="str">
        <f t="shared" si="169"/>
        <v>2026</v>
      </c>
      <c r="AK897" s="270" t="str">
        <f>Table4[[#This Row],[ကုန်သည်အမည်]]</f>
        <v>မနီနီမာ</v>
      </c>
      <c r="AL897" s="270" t="str">
        <f>Table4[[#This Row],[Township]]</f>
        <v>Maw La Myaing</v>
      </c>
      <c r="AM897" s="271" t="str">
        <f>Table4[[#This Row],[WholeSales]]</f>
        <v>Van Sales</v>
      </c>
      <c r="AN897" s="272" t="str">
        <f>Table4[[#This Row],[Particular]]</f>
        <v>လက်ဆောင်</v>
      </c>
      <c r="AO897" s="273" t="str">
        <f>Table4[[#This Row],[StockName]]</f>
        <v>ဒဂုံမန်ကျည်း ကော်ဘူး (1 Liter)</v>
      </c>
      <c r="AP897" s="268">
        <f>Table4[[#This Row],[Parking]]</f>
        <v>0.16666666666666666</v>
      </c>
      <c r="AQ897" s="268">
        <f>Table4[[#This Row],[SalesBot]]</f>
        <v>2</v>
      </c>
      <c r="AR897" s="268">
        <f>Table4[[#This Row],[Liter]]</f>
        <v>2</v>
      </c>
    </row>
    <row r="898" spans="1:44" s="16" customFormat="1" hidden="1" x14ac:dyDescent="0.5">
      <c r="A898" s="3">
        <f t="shared" si="164"/>
        <v>2026</v>
      </c>
      <c r="B898" s="8">
        <f t="shared" si="165"/>
        <v>2</v>
      </c>
      <c r="C898" s="6">
        <v>46076</v>
      </c>
      <c r="D898" s="15">
        <f t="shared" ca="1" si="166"/>
        <v>46097</v>
      </c>
      <c r="E898" s="15" t="str">
        <f t="shared" ca="1" si="167"/>
        <v>0-Months</v>
      </c>
      <c r="F898" s="8" t="str">
        <f>VLOOKUP(N898,Stock[#Data],5,FALSE)</f>
        <v>BE</v>
      </c>
      <c r="G898" s="82" t="s">
        <v>1443</v>
      </c>
      <c r="H898" s="15" t="s">
        <v>439</v>
      </c>
      <c r="I898" s="7" t="s">
        <v>271</v>
      </c>
      <c r="J898" s="8" t="str">
        <f>VLOOKUP(I898,Customers[#Data],2,FALSE)</f>
        <v>ကိုအောင်</v>
      </c>
      <c r="K898" s="15" t="str">
        <f>VLOOKUP(I898,Customers[#Data],4,FALSE)</f>
        <v>Maw La Myaing</v>
      </c>
      <c r="L898" s="15" t="str">
        <f>VLOOKUP(I898,Customers[#Data],5,FALSE)</f>
        <v>Van Sales</v>
      </c>
      <c r="M898" s="7" t="s">
        <v>6</v>
      </c>
      <c r="N898" s="7" t="s">
        <v>425</v>
      </c>
      <c r="O898" s="14" t="str">
        <f>VLOOKUP(N898,Stock[#Data],2,FALSE)</f>
        <v>ကောင်းကြည်-1Li</v>
      </c>
      <c r="P898" s="44">
        <f>VLOOKUP(N898,Stock[#Data],3,FALSE)</f>
        <v>1</v>
      </c>
      <c r="Q898" s="3">
        <f>VLOOKUP(N898,Stock[#Data],4,FALSE)</f>
        <v>12</v>
      </c>
      <c r="R898" s="11"/>
      <c r="S898" s="45">
        <f>IFERROR(Table4[[#This Row],[Bottle]]/Table4[[#This Row],[ပါဝင်မှု]]+Table4[[#This Row],[SalesPK]],0)</f>
        <v>1</v>
      </c>
      <c r="T898" s="12">
        <v>1</v>
      </c>
      <c r="U898" s="10">
        <f>Table4[[#This Row],[ပါဝင်မှု]]*Table4[[#This Row],[SalesPK]]+Table4[[#This Row],[Bottle]]</f>
        <v>12</v>
      </c>
      <c r="V898" s="10">
        <f>Table4[[#This Row],[SalesBot]]*Table4[[#This Row],[ML]]</f>
        <v>12</v>
      </c>
      <c r="W898" s="1">
        <f>VLOOKUP(N898,Stock[#Data],6,FALSE)</f>
        <v>1500</v>
      </c>
      <c r="X898" s="8">
        <f>+Table4[[#This Row],[SalesBot]]*Table4[[#This Row],[နှုံး]]</f>
        <v>18000</v>
      </c>
      <c r="Y898" s="12"/>
      <c r="Z898" s="12"/>
      <c r="AA898" s="12"/>
      <c r="AB898" s="9"/>
      <c r="AC898" s="12"/>
      <c r="AD898" s="9"/>
      <c r="AE898" s="12"/>
      <c r="AF89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898" s="24"/>
      <c r="AH898" s="266">
        <f>Table4[[#This Row],[Date]]</f>
        <v>46076</v>
      </c>
      <c r="AI898" s="264" t="str">
        <f t="shared" si="168"/>
        <v>Feb</v>
      </c>
      <c r="AJ898" s="264" t="str">
        <f t="shared" si="169"/>
        <v>2026</v>
      </c>
      <c r="AK898" s="270" t="str">
        <f>Table4[[#This Row],[ကုန်သည်အမည်]]</f>
        <v>ကိုအောင်</v>
      </c>
      <c r="AL898" s="270" t="str">
        <f>Table4[[#This Row],[Township]]</f>
        <v>Maw La Myaing</v>
      </c>
      <c r="AM898" s="271" t="str">
        <f>Table4[[#This Row],[WholeSales]]</f>
        <v>Van Sales</v>
      </c>
      <c r="AN898" s="272" t="str">
        <f>Table4[[#This Row],[Particular]]</f>
        <v>ကုန်ရောင်း(လက်ငင်း)</v>
      </c>
      <c r="AO898" s="273" t="str">
        <f>Table4[[#This Row],[StockName]]</f>
        <v>ကောင်းကြည်-1Li</v>
      </c>
      <c r="AP898" s="268">
        <f>Table4[[#This Row],[Parking]]</f>
        <v>1</v>
      </c>
      <c r="AQ898" s="268">
        <f>Table4[[#This Row],[SalesBot]]</f>
        <v>12</v>
      </c>
      <c r="AR898" s="268">
        <f>Table4[[#This Row],[Liter]]</f>
        <v>12</v>
      </c>
    </row>
    <row r="899" spans="1:44" s="16" customFormat="1" hidden="1" x14ac:dyDescent="0.5">
      <c r="A899" s="3">
        <f t="shared" si="164"/>
        <v>2026</v>
      </c>
      <c r="B899" s="8">
        <f t="shared" si="165"/>
        <v>2</v>
      </c>
      <c r="C899" s="6">
        <v>46076</v>
      </c>
      <c r="D899" s="15">
        <f t="shared" ca="1" si="166"/>
        <v>46097</v>
      </c>
      <c r="E899" s="15" t="str">
        <f t="shared" ca="1" si="167"/>
        <v>0-Months</v>
      </c>
      <c r="F899" s="8" t="str">
        <f>VLOOKUP(N899,Stock[#Data],5,FALSE)</f>
        <v>BE</v>
      </c>
      <c r="G899" s="82" t="s">
        <v>1443</v>
      </c>
      <c r="H899" s="15" t="s">
        <v>439</v>
      </c>
      <c r="I899" s="7" t="s">
        <v>271</v>
      </c>
      <c r="J899" s="8" t="str">
        <f>VLOOKUP(I899,Customers[#Data],2,FALSE)</f>
        <v>ကိုအောင်</v>
      </c>
      <c r="K899" s="15" t="str">
        <f>VLOOKUP(I899,Customers[#Data],4,FALSE)</f>
        <v>Maw La Myaing</v>
      </c>
      <c r="L899" s="15" t="str">
        <f>VLOOKUP(I899,Customers[#Data],5,FALSE)</f>
        <v>Van Sales</v>
      </c>
      <c r="M899" s="7" t="s">
        <v>9</v>
      </c>
      <c r="N899" s="7" t="s">
        <v>425</v>
      </c>
      <c r="O899" s="14" t="str">
        <f>VLOOKUP(N899,Stock[#Data],2,FALSE)</f>
        <v>ကောင်းကြည်-1Li</v>
      </c>
      <c r="P899" s="44">
        <f>VLOOKUP(N899,Stock[#Data],3,FALSE)</f>
        <v>1</v>
      </c>
      <c r="Q899" s="3">
        <f>VLOOKUP(N899,Stock[#Data],4,FALSE)</f>
        <v>12</v>
      </c>
      <c r="R899" s="11">
        <v>1</v>
      </c>
      <c r="S899" s="45">
        <f>IFERROR(Table4[[#This Row],[Bottle]]/Table4[[#This Row],[ပါဝင်မှု]]+Table4[[#This Row],[SalesPK]],0)</f>
        <v>8.3333333333333329E-2</v>
      </c>
      <c r="T899" s="12"/>
      <c r="U899" s="10">
        <f>Table4[[#This Row],[ပါဝင်မှု]]*Table4[[#This Row],[SalesPK]]+Table4[[#This Row],[Bottle]]</f>
        <v>1</v>
      </c>
      <c r="V899" s="10">
        <f>Table4[[#This Row],[SalesBot]]*Table4[[#This Row],[ML]]</f>
        <v>1</v>
      </c>
      <c r="W899" s="1">
        <f>VLOOKUP(N899,Stock[#Data],6,FALSE)</f>
        <v>1500</v>
      </c>
      <c r="X899" s="8">
        <f>+Table4[[#This Row],[SalesBot]]*Table4[[#This Row],[နှုံး]]</f>
        <v>1500</v>
      </c>
      <c r="Y899" s="12"/>
      <c r="Z899" s="12"/>
      <c r="AA899" s="12"/>
      <c r="AB899" s="9"/>
      <c r="AC899" s="12"/>
      <c r="AD899" s="9"/>
      <c r="AE899" s="12"/>
      <c r="AF89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899" s="24"/>
      <c r="AH899" s="266">
        <f>Table4[[#This Row],[Date]]</f>
        <v>46076</v>
      </c>
      <c r="AI899" s="264" t="str">
        <f t="shared" si="168"/>
        <v>Feb</v>
      </c>
      <c r="AJ899" s="264" t="str">
        <f t="shared" si="169"/>
        <v>2026</v>
      </c>
      <c r="AK899" s="270" t="str">
        <f>Table4[[#This Row],[ကုန်သည်အမည်]]</f>
        <v>ကိုအောင်</v>
      </c>
      <c r="AL899" s="270" t="str">
        <f>Table4[[#This Row],[Township]]</f>
        <v>Maw La Myaing</v>
      </c>
      <c r="AM899" s="271" t="str">
        <f>Table4[[#This Row],[WholeSales]]</f>
        <v>Van Sales</v>
      </c>
      <c r="AN899" s="272" t="str">
        <f>Table4[[#This Row],[Particular]]</f>
        <v>လက်ဆောင်</v>
      </c>
      <c r="AO899" s="273" t="str">
        <f>Table4[[#This Row],[StockName]]</f>
        <v>ကောင်းကြည်-1Li</v>
      </c>
      <c r="AP899" s="268">
        <f>Table4[[#This Row],[Parking]]</f>
        <v>8.3333333333333329E-2</v>
      </c>
      <c r="AQ899" s="268">
        <f>Table4[[#This Row],[SalesBot]]</f>
        <v>1</v>
      </c>
      <c r="AR899" s="268">
        <f>Table4[[#This Row],[Liter]]</f>
        <v>1</v>
      </c>
    </row>
    <row r="900" spans="1:44" s="16" customFormat="1" hidden="1" x14ac:dyDescent="0.5">
      <c r="A900" s="3">
        <f t="shared" si="164"/>
        <v>2026</v>
      </c>
      <c r="B900" s="8">
        <f t="shared" si="165"/>
        <v>2</v>
      </c>
      <c r="C900" s="6">
        <v>46076</v>
      </c>
      <c r="D900" s="15">
        <f t="shared" ca="1" si="166"/>
        <v>46097</v>
      </c>
      <c r="E900" s="15" t="str">
        <f t="shared" ca="1" si="167"/>
        <v>0-Months</v>
      </c>
      <c r="F900" s="8" t="str">
        <f>VLOOKUP(N900,Stock[#Data],5,FALSE)</f>
        <v>BE</v>
      </c>
      <c r="G900" s="82" t="s">
        <v>1538</v>
      </c>
      <c r="H900" s="15" t="s">
        <v>439</v>
      </c>
      <c r="I900" s="7" t="s">
        <v>1531</v>
      </c>
      <c r="J900" s="8" t="str">
        <f>VLOOKUP(I900,Customers[#Data],2,FALSE)</f>
        <v>ရွှေစိတ်ရွှင်</v>
      </c>
      <c r="K900" s="15" t="str">
        <f>VLOOKUP(I900,Customers[#Data],4,FALSE)</f>
        <v>Maw La Myaing</v>
      </c>
      <c r="L900" s="15" t="str">
        <f>VLOOKUP(I900,Customers[#Data],5,FALSE)</f>
        <v>Van Sales</v>
      </c>
      <c r="M900" s="7" t="s">
        <v>6</v>
      </c>
      <c r="N900" s="7" t="s">
        <v>425</v>
      </c>
      <c r="O900" s="14" t="str">
        <f>VLOOKUP(N900,Stock[#Data],2,FALSE)</f>
        <v>ကောင်းကြည်-1Li</v>
      </c>
      <c r="P900" s="44">
        <f>VLOOKUP(N900,Stock[#Data],3,FALSE)</f>
        <v>1</v>
      </c>
      <c r="Q900" s="3">
        <f>VLOOKUP(N900,Stock[#Data],4,FALSE)</f>
        <v>12</v>
      </c>
      <c r="R900" s="11"/>
      <c r="S900" s="45">
        <f>IFERROR(Table4[[#This Row],[Bottle]]/Table4[[#This Row],[ပါဝင်မှု]]+Table4[[#This Row],[SalesPK]],0)</f>
        <v>2</v>
      </c>
      <c r="T900" s="12">
        <v>2</v>
      </c>
      <c r="U900" s="10">
        <f>Table4[[#This Row],[ပါဝင်မှု]]*Table4[[#This Row],[SalesPK]]+Table4[[#This Row],[Bottle]]</f>
        <v>24</v>
      </c>
      <c r="V900" s="10">
        <f>Table4[[#This Row],[SalesBot]]*Table4[[#This Row],[ML]]</f>
        <v>24</v>
      </c>
      <c r="W900" s="1">
        <f>VLOOKUP(N900,Stock[#Data],6,FALSE)</f>
        <v>1500</v>
      </c>
      <c r="X900" s="8">
        <f>+Table4[[#This Row],[SalesBot]]*Table4[[#This Row],[နှုံး]]</f>
        <v>36000</v>
      </c>
      <c r="Y900" s="12"/>
      <c r="Z900" s="12"/>
      <c r="AA900" s="12"/>
      <c r="AB900" s="9"/>
      <c r="AC900" s="12"/>
      <c r="AD900" s="9"/>
      <c r="AE900" s="12"/>
      <c r="AF90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36000</v>
      </c>
      <c r="AG900" s="24"/>
      <c r="AH900" s="266">
        <f>Table4[[#This Row],[Date]]</f>
        <v>46076</v>
      </c>
      <c r="AI900" s="264" t="str">
        <f t="shared" si="168"/>
        <v>Feb</v>
      </c>
      <c r="AJ900" s="264" t="str">
        <f t="shared" si="169"/>
        <v>2026</v>
      </c>
      <c r="AK900" s="270" t="str">
        <f>Table4[[#This Row],[ကုန်သည်အမည်]]</f>
        <v>ရွှေစိတ်ရွှင်</v>
      </c>
      <c r="AL900" s="270" t="str">
        <f>Table4[[#This Row],[Township]]</f>
        <v>Maw La Myaing</v>
      </c>
      <c r="AM900" s="271" t="str">
        <f>Table4[[#This Row],[WholeSales]]</f>
        <v>Van Sales</v>
      </c>
      <c r="AN900" s="272" t="str">
        <f>Table4[[#This Row],[Particular]]</f>
        <v>ကုန်ရောင်း(လက်ငင်း)</v>
      </c>
      <c r="AO900" s="273" t="str">
        <f>Table4[[#This Row],[StockName]]</f>
        <v>ကောင်းကြည်-1Li</v>
      </c>
      <c r="AP900" s="268">
        <f>Table4[[#This Row],[Parking]]</f>
        <v>2</v>
      </c>
      <c r="AQ900" s="268">
        <f>Table4[[#This Row],[SalesBot]]</f>
        <v>24</v>
      </c>
      <c r="AR900" s="268">
        <f>Table4[[#This Row],[Liter]]</f>
        <v>24</v>
      </c>
    </row>
    <row r="901" spans="1:44" s="16" customFormat="1" hidden="1" x14ac:dyDescent="0.5">
      <c r="A901" s="3">
        <f t="shared" si="164"/>
        <v>2026</v>
      </c>
      <c r="B901" s="8">
        <f t="shared" si="165"/>
        <v>2</v>
      </c>
      <c r="C901" s="6">
        <v>46076</v>
      </c>
      <c r="D901" s="15">
        <f t="shared" ca="1" si="166"/>
        <v>46097</v>
      </c>
      <c r="E901" s="15" t="str">
        <f t="shared" ca="1" si="167"/>
        <v>0-Months</v>
      </c>
      <c r="F901" s="8" t="str">
        <f>VLOOKUP(N901,Stock[#Data],5,FALSE)</f>
        <v>BE</v>
      </c>
      <c r="G901" s="82" t="s">
        <v>1538</v>
      </c>
      <c r="H901" s="15" t="s">
        <v>439</v>
      </c>
      <c r="I901" s="7" t="s">
        <v>1531</v>
      </c>
      <c r="J901" s="8" t="str">
        <f>VLOOKUP(I901,Customers[#Data],2,FALSE)</f>
        <v>ရွှေစိတ်ရွှင်</v>
      </c>
      <c r="K901" s="15" t="str">
        <f>VLOOKUP(I901,Customers[#Data],4,FALSE)</f>
        <v>Maw La Myaing</v>
      </c>
      <c r="L901" s="15" t="str">
        <f>VLOOKUP(I901,Customers[#Data],5,FALSE)</f>
        <v>Van Sales</v>
      </c>
      <c r="M901" s="7" t="s">
        <v>9</v>
      </c>
      <c r="N901" s="7" t="s">
        <v>425</v>
      </c>
      <c r="O901" s="14" t="str">
        <f>VLOOKUP(N901,Stock[#Data],2,FALSE)</f>
        <v>ကောင်းကြည်-1Li</v>
      </c>
      <c r="P901" s="44">
        <f>VLOOKUP(N901,Stock[#Data],3,FALSE)</f>
        <v>1</v>
      </c>
      <c r="Q901" s="3">
        <f>VLOOKUP(N901,Stock[#Data],4,FALSE)</f>
        <v>12</v>
      </c>
      <c r="R901" s="11">
        <v>1</v>
      </c>
      <c r="S901" s="45">
        <f>IFERROR(Table4[[#This Row],[Bottle]]/Table4[[#This Row],[ပါဝင်မှု]]+Table4[[#This Row],[SalesPK]],0)</f>
        <v>8.3333333333333329E-2</v>
      </c>
      <c r="T901" s="12"/>
      <c r="U901" s="10">
        <f>Table4[[#This Row],[ပါဝင်မှု]]*Table4[[#This Row],[SalesPK]]+Table4[[#This Row],[Bottle]]</f>
        <v>1</v>
      </c>
      <c r="V901" s="10">
        <f>Table4[[#This Row],[SalesBot]]*Table4[[#This Row],[ML]]</f>
        <v>1</v>
      </c>
      <c r="W901" s="1">
        <f>VLOOKUP(N901,Stock[#Data],6,FALSE)</f>
        <v>1500</v>
      </c>
      <c r="X901" s="8">
        <f>+Table4[[#This Row],[SalesBot]]*Table4[[#This Row],[နှုံး]]</f>
        <v>1500</v>
      </c>
      <c r="Y901" s="12"/>
      <c r="Z901" s="12"/>
      <c r="AA901" s="12"/>
      <c r="AB901" s="9"/>
      <c r="AC901" s="12"/>
      <c r="AD901" s="9"/>
      <c r="AE901" s="12"/>
      <c r="AF90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901" s="24"/>
      <c r="AH901" s="266">
        <f>Table4[[#This Row],[Date]]</f>
        <v>46076</v>
      </c>
      <c r="AI901" s="264" t="str">
        <f t="shared" si="168"/>
        <v>Feb</v>
      </c>
      <c r="AJ901" s="264" t="str">
        <f t="shared" si="169"/>
        <v>2026</v>
      </c>
      <c r="AK901" s="270" t="str">
        <f>Table4[[#This Row],[ကုန်သည်အမည်]]</f>
        <v>ရွှေစိတ်ရွှင်</v>
      </c>
      <c r="AL901" s="270" t="str">
        <f>Table4[[#This Row],[Township]]</f>
        <v>Maw La Myaing</v>
      </c>
      <c r="AM901" s="271" t="str">
        <f>Table4[[#This Row],[WholeSales]]</f>
        <v>Van Sales</v>
      </c>
      <c r="AN901" s="272" t="str">
        <f>Table4[[#This Row],[Particular]]</f>
        <v>လက်ဆောင်</v>
      </c>
      <c r="AO901" s="273" t="str">
        <f>Table4[[#This Row],[StockName]]</f>
        <v>ကောင်းကြည်-1Li</v>
      </c>
      <c r="AP901" s="268">
        <f>Table4[[#This Row],[Parking]]</f>
        <v>8.3333333333333329E-2</v>
      </c>
      <c r="AQ901" s="268">
        <f>Table4[[#This Row],[SalesBot]]</f>
        <v>1</v>
      </c>
      <c r="AR901" s="268">
        <f>Table4[[#This Row],[Liter]]</f>
        <v>1</v>
      </c>
    </row>
    <row r="902" spans="1:44" s="16" customFormat="1" hidden="1" x14ac:dyDescent="0.5">
      <c r="A902" s="3">
        <f t="shared" si="136"/>
        <v>2026</v>
      </c>
      <c r="B902" s="8">
        <f t="shared" si="137"/>
        <v>2</v>
      </c>
      <c r="C902" s="6">
        <v>46076</v>
      </c>
      <c r="D902" s="15">
        <f t="shared" ca="1" si="138"/>
        <v>46097</v>
      </c>
      <c r="E902" s="15" t="str">
        <f t="shared" ca="1" si="139"/>
        <v>0-Months</v>
      </c>
      <c r="F902" s="8" t="str">
        <f>VLOOKUP(N902,Stock[#Data],5,FALSE)</f>
        <v>BE</v>
      </c>
      <c r="G902" s="82" t="s">
        <v>1538</v>
      </c>
      <c r="H902" s="15" t="s">
        <v>439</v>
      </c>
      <c r="I902" s="7" t="s">
        <v>1531</v>
      </c>
      <c r="J902" s="8" t="str">
        <f>VLOOKUP(I902,Customers[#Data],2,FALSE)</f>
        <v>ရွှေစိတ်ရွှင်</v>
      </c>
      <c r="K902" s="15" t="str">
        <f>VLOOKUP(I902,Customers[#Data],4,FALSE)</f>
        <v>Maw La Myaing</v>
      </c>
      <c r="L902" s="15" t="str">
        <f>VLOOKUP(I902,Customers[#Data],5,FALSE)</f>
        <v>Van Sales</v>
      </c>
      <c r="M902" s="7" t="s">
        <v>9</v>
      </c>
      <c r="N902" s="7" t="s">
        <v>508</v>
      </c>
      <c r="O902" s="14" t="str">
        <f>VLOOKUP(N902,Stock[#Data],2,FALSE)</f>
        <v>ကောင်းကြည်-1Li</v>
      </c>
      <c r="P902" s="44">
        <f>VLOOKUP(N902,Stock[#Data],3,FALSE)</f>
        <v>1</v>
      </c>
      <c r="Q902" s="3">
        <f>VLOOKUP(N902,Stock[#Data],4,FALSE)</f>
        <v>12</v>
      </c>
      <c r="R902" s="11">
        <v>1</v>
      </c>
      <c r="S902" s="45">
        <f>IFERROR(Table4[[#This Row],[Bottle]]/Table4[[#This Row],[ပါဝင်မှု]]+Table4[[#This Row],[SalesPK]],0)</f>
        <v>8.3333333333333329E-2</v>
      </c>
      <c r="T902" s="12"/>
      <c r="U902" s="10">
        <f>Table4[[#This Row],[ပါဝင်မှု]]*Table4[[#This Row],[SalesPK]]+Table4[[#This Row],[Bottle]]</f>
        <v>1</v>
      </c>
      <c r="V902" s="10">
        <f>Table4[[#This Row],[SalesBot]]*Table4[[#This Row],[ML]]</f>
        <v>1</v>
      </c>
      <c r="W902" s="1">
        <f>VLOOKUP(N902,Stock[#Data],6,FALSE)</f>
        <v>1850</v>
      </c>
      <c r="X902" s="8">
        <f>+Table4[[#This Row],[SalesBot]]*Table4[[#This Row],[နှုံး]]</f>
        <v>1850</v>
      </c>
      <c r="Y902" s="12"/>
      <c r="Z902" s="12"/>
      <c r="AA902" s="12"/>
      <c r="AB902" s="9"/>
      <c r="AC902" s="12"/>
      <c r="AD902" s="9"/>
      <c r="AE902" s="12"/>
      <c r="AF90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902" s="24"/>
      <c r="AH902" s="266">
        <f>Table4[[#This Row],[Date]]</f>
        <v>46076</v>
      </c>
      <c r="AI902" s="264" t="str">
        <f t="shared" si="168"/>
        <v>Feb</v>
      </c>
      <c r="AJ902" s="264" t="str">
        <f t="shared" si="169"/>
        <v>2026</v>
      </c>
      <c r="AK902" s="270" t="str">
        <f>Table4[[#This Row],[ကုန်သည်အမည်]]</f>
        <v>ရွှေစိတ်ရွှင်</v>
      </c>
      <c r="AL902" s="270" t="str">
        <f>Table4[[#This Row],[Township]]</f>
        <v>Maw La Myaing</v>
      </c>
      <c r="AM902" s="271" t="str">
        <f>Table4[[#This Row],[WholeSales]]</f>
        <v>Van Sales</v>
      </c>
      <c r="AN902" s="272" t="str">
        <f>Table4[[#This Row],[Particular]]</f>
        <v>လက်ဆောင်</v>
      </c>
      <c r="AO902" s="273" t="str">
        <f>Table4[[#This Row],[StockName]]</f>
        <v>ကောင်းကြည်-1Li</v>
      </c>
      <c r="AP902" s="268">
        <f>Table4[[#This Row],[Parking]]</f>
        <v>8.3333333333333329E-2</v>
      </c>
      <c r="AQ902" s="268">
        <f>Table4[[#This Row],[SalesBot]]</f>
        <v>1</v>
      </c>
      <c r="AR902" s="268">
        <f>Table4[[#This Row],[Liter]]</f>
        <v>1</v>
      </c>
    </row>
    <row r="903" spans="1:44" s="16" customFormat="1" hidden="1" x14ac:dyDescent="0.5">
      <c r="A903" s="3">
        <f t="shared" si="136"/>
        <v>2026</v>
      </c>
      <c r="B903" s="8">
        <f t="shared" si="137"/>
        <v>2</v>
      </c>
      <c r="C903" s="6">
        <v>46076</v>
      </c>
      <c r="D903" s="15">
        <f t="shared" ca="1" si="138"/>
        <v>46097</v>
      </c>
      <c r="E903" s="15" t="str">
        <f t="shared" ca="1" si="139"/>
        <v>0-Months</v>
      </c>
      <c r="F903" s="8" t="str">
        <f>VLOOKUP(N903,Stock[#Data],5,FALSE)</f>
        <v>BE</v>
      </c>
      <c r="G903" s="82" t="s">
        <v>1538</v>
      </c>
      <c r="H903" s="15" t="s">
        <v>439</v>
      </c>
      <c r="I903" s="7" t="s">
        <v>1531</v>
      </c>
      <c r="J903" s="8" t="str">
        <f>VLOOKUP(I903,Customers[#Data],2,FALSE)</f>
        <v>ရွှေစိတ်ရွှင်</v>
      </c>
      <c r="K903" s="15" t="str">
        <f>VLOOKUP(I903,Customers[#Data],4,FALSE)</f>
        <v>Maw La Myaing</v>
      </c>
      <c r="L903" s="15" t="str">
        <f>VLOOKUP(I903,Customers[#Data],5,FALSE)</f>
        <v>Van Sales</v>
      </c>
      <c r="M903" s="7" t="s">
        <v>9</v>
      </c>
      <c r="N903" s="7" t="s">
        <v>522</v>
      </c>
      <c r="O903" s="14" t="str">
        <f>VLOOKUP(N903,Stock[#Data],2,FALSE)</f>
        <v>ဒဂုံမန်ကျည်း ကော်ဘူး (1 Liter)</v>
      </c>
      <c r="P903" s="44">
        <f>VLOOKUP(N903,Stock[#Data],3,FALSE)</f>
        <v>1</v>
      </c>
      <c r="Q903" s="3">
        <f>VLOOKUP(N903,Stock[#Data],4,FALSE)</f>
        <v>12</v>
      </c>
      <c r="R903" s="11">
        <v>1</v>
      </c>
      <c r="S903" s="45">
        <f>IFERROR(Table4[[#This Row],[Bottle]]/Table4[[#This Row],[ပါဝင်မှု]]+Table4[[#This Row],[SalesPK]],0)</f>
        <v>8.3333333333333329E-2</v>
      </c>
      <c r="T903" s="12"/>
      <c r="U903" s="10">
        <f>Table4[[#This Row],[ပါဝင်မှု]]*Table4[[#This Row],[SalesPK]]+Table4[[#This Row],[Bottle]]</f>
        <v>1</v>
      </c>
      <c r="V903" s="10">
        <f>Table4[[#This Row],[SalesBot]]*Table4[[#This Row],[ML]]</f>
        <v>1</v>
      </c>
      <c r="W903" s="1">
        <f>VLOOKUP(N903,Stock[#Data],6,FALSE)</f>
        <v>1600</v>
      </c>
      <c r="X903" s="8">
        <f>+Table4[[#This Row],[SalesBot]]*Table4[[#This Row],[နှုံး]]</f>
        <v>1600</v>
      </c>
      <c r="Y903" s="12"/>
      <c r="Z903" s="12"/>
      <c r="AA903" s="12"/>
      <c r="AB903" s="9"/>
      <c r="AC903" s="12"/>
      <c r="AD903" s="9"/>
      <c r="AE903" s="12"/>
      <c r="AF90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903" s="24"/>
      <c r="AH903" s="266">
        <f>Table4[[#This Row],[Date]]</f>
        <v>46076</v>
      </c>
      <c r="AI903" s="264" t="str">
        <f t="shared" si="168"/>
        <v>Feb</v>
      </c>
      <c r="AJ903" s="264" t="str">
        <f t="shared" si="169"/>
        <v>2026</v>
      </c>
      <c r="AK903" s="270" t="str">
        <f>Table4[[#This Row],[ကုန်သည်အမည်]]</f>
        <v>ရွှေစိတ်ရွှင်</v>
      </c>
      <c r="AL903" s="270" t="str">
        <f>Table4[[#This Row],[Township]]</f>
        <v>Maw La Myaing</v>
      </c>
      <c r="AM903" s="271" t="str">
        <f>Table4[[#This Row],[WholeSales]]</f>
        <v>Van Sales</v>
      </c>
      <c r="AN903" s="272" t="str">
        <f>Table4[[#This Row],[Particular]]</f>
        <v>လက်ဆောင်</v>
      </c>
      <c r="AO903" s="273" t="str">
        <f>Table4[[#This Row],[StockName]]</f>
        <v>ဒဂုံမန်ကျည်း ကော်ဘူး (1 Liter)</v>
      </c>
      <c r="AP903" s="268">
        <f>Table4[[#This Row],[Parking]]</f>
        <v>8.3333333333333329E-2</v>
      </c>
      <c r="AQ903" s="268">
        <f>Table4[[#This Row],[SalesBot]]</f>
        <v>1</v>
      </c>
      <c r="AR903" s="268">
        <f>Table4[[#This Row],[Liter]]</f>
        <v>1</v>
      </c>
    </row>
    <row r="904" spans="1:44" s="16" customFormat="1" hidden="1" x14ac:dyDescent="0.5">
      <c r="A904" s="3">
        <f t="shared" si="116"/>
        <v>2026</v>
      </c>
      <c r="B904" s="8">
        <f t="shared" si="117"/>
        <v>2</v>
      </c>
      <c r="C904" s="6">
        <v>46076</v>
      </c>
      <c r="D904" s="15">
        <f t="shared" ca="1" si="118"/>
        <v>46097</v>
      </c>
      <c r="E904" s="15" t="str">
        <f t="shared" ca="1" si="119"/>
        <v>0-Months</v>
      </c>
      <c r="F904" s="8" t="str">
        <f>VLOOKUP(N904,Stock[#Data],5,FALSE)</f>
        <v>BE</v>
      </c>
      <c r="G904" s="82" t="s">
        <v>1538</v>
      </c>
      <c r="H904" s="15" t="s">
        <v>439</v>
      </c>
      <c r="I904" s="7" t="s">
        <v>1531</v>
      </c>
      <c r="J904" s="8" t="str">
        <f>VLOOKUP(I904,Customers[#Data],2,FALSE)</f>
        <v>ရွှေစိတ်ရွှင်</v>
      </c>
      <c r="K904" s="15" t="str">
        <f>VLOOKUP(I904,Customers[#Data],4,FALSE)</f>
        <v>Maw La Myaing</v>
      </c>
      <c r="L904" s="15" t="str">
        <f>VLOOKUP(I904,Customers[#Data],5,FALSE)</f>
        <v>Van Sales</v>
      </c>
      <c r="M904" s="7" t="s">
        <v>9</v>
      </c>
      <c r="N904" s="7" t="s">
        <v>425</v>
      </c>
      <c r="O904" s="14" t="str">
        <f>VLOOKUP(N904,Stock[#Data],2,FALSE)</f>
        <v>ကောင်းကြည်-1Li</v>
      </c>
      <c r="P904" s="44">
        <f>VLOOKUP(N904,Stock[#Data],3,FALSE)</f>
        <v>1</v>
      </c>
      <c r="Q904" s="3">
        <f>VLOOKUP(N904,Stock[#Data],4,FALSE)</f>
        <v>12</v>
      </c>
      <c r="R904" s="11">
        <v>1</v>
      </c>
      <c r="S904" s="45">
        <f>IFERROR(Table4[[#This Row],[Bottle]]/Table4[[#This Row],[ပါဝင်မှု]]+Table4[[#This Row],[SalesPK]],0)</f>
        <v>8.3333333333333329E-2</v>
      </c>
      <c r="T904" s="12"/>
      <c r="U904" s="10">
        <f>Table4[[#This Row],[ပါဝင်မှု]]*Table4[[#This Row],[SalesPK]]+Table4[[#This Row],[Bottle]]</f>
        <v>1</v>
      </c>
      <c r="V904" s="10">
        <f>Table4[[#This Row],[SalesBot]]*Table4[[#This Row],[ML]]</f>
        <v>1</v>
      </c>
      <c r="W904" s="1">
        <f>VLOOKUP(N904,Stock[#Data],6,FALSE)</f>
        <v>1500</v>
      </c>
      <c r="X904" s="8">
        <f>+Table4[[#This Row],[SalesBot]]*Table4[[#This Row],[နှုံး]]</f>
        <v>1500</v>
      </c>
      <c r="Y904" s="12"/>
      <c r="Z904" s="12"/>
      <c r="AA904" s="12"/>
      <c r="AB904" s="9"/>
      <c r="AC904" s="12"/>
      <c r="AD904" s="9"/>
      <c r="AE904" s="12"/>
      <c r="AF90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904" s="24"/>
      <c r="AH904" s="266">
        <f>Table4[[#This Row],[Date]]</f>
        <v>46076</v>
      </c>
      <c r="AI904" s="264" t="str">
        <f t="shared" si="168"/>
        <v>Feb</v>
      </c>
      <c r="AJ904" s="264" t="str">
        <f t="shared" si="169"/>
        <v>2026</v>
      </c>
      <c r="AK904" s="270" t="str">
        <f>Table4[[#This Row],[ကုန်သည်အမည်]]</f>
        <v>ရွှေစိတ်ရွှင်</v>
      </c>
      <c r="AL904" s="270" t="str">
        <f>Table4[[#This Row],[Township]]</f>
        <v>Maw La Myaing</v>
      </c>
      <c r="AM904" s="271" t="str">
        <f>Table4[[#This Row],[WholeSales]]</f>
        <v>Van Sales</v>
      </c>
      <c r="AN904" s="272" t="str">
        <f>Table4[[#This Row],[Particular]]</f>
        <v>လက်ဆောင်</v>
      </c>
      <c r="AO904" s="273" t="str">
        <f>Table4[[#This Row],[StockName]]</f>
        <v>ကောင်းကြည်-1Li</v>
      </c>
      <c r="AP904" s="268">
        <f>Table4[[#This Row],[Parking]]</f>
        <v>8.3333333333333329E-2</v>
      </c>
      <c r="AQ904" s="268">
        <f>Table4[[#This Row],[SalesBot]]</f>
        <v>1</v>
      </c>
      <c r="AR904" s="268">
        <f>Table4[[#This Row],[Liter]]</f>
        <v>1</v>
      </c>
    </row>
    <row r="905" spans="1:44" s="16" customFormat="1" hidden="1" x14ac:dyDescent="0.5">
      <c r="A905" s="3">
        <f t="shared" si="26"/>
        <v>2026</v>
      </c>
      <c r="B905" s="8">
        <f t="shared" si="27"/>
        <v>2</v>
      </c>
      <c r="C905" s="6">
        <v>46076</v>
      </c>
      <c r="D905" s="15">
        <f t="shared" ca="1" si="28"/>
        <v>46097</v>
      </c>
      <c r="E905" s="15" t="str">
        <f t="shared" ca="1" si="29"/>
        <v>0-Months</v>
      </c>
      <c r="F905" s="8" t="str">
        <f>VLOOKUP(N905,Stock[#Data],5,FALSE)</f>
        <v>BE</v>
      </c>
      <c r="G905" s="82" t="s">
        <v>1538</v>
      </c>
      <c r="H905" s="15" t="s">
        <v>439</v>
      </c>
      <c r="I905" s="7" t="s">
        <v>1531</v>
      </c>
      <c r="J905" s="8" t="str">
        <f>VLOOKUP(I905,Customers[#Data],2,FALSE)</f>
        <v>ရွှေစိတ်ရွှင်</v>
      </c>
      <c r="K905" s="15" t="str">
        <f>VLOOKUP(I905,Customers[#Data],4,FALSE)</f>
        <v>Maw La Myaing</v>
      </c>
      <c r="L905" s="15" t="str">
        <f>VLOOKUP(I905,Customers[#Data],5,FALSE)</f>
        <v>Van Sales</v>
      </c>
      <c r="M905" s="7" t="s">
        <v>9</v>
      </c>
      <c r="N905" s="7" t="s">
        <v>508</v>
      </c>
      <c r="O905" s="14" t="str">
        <f>VLOOKUP(N905,Stock[#Data],2,FALSE)</f>
        <v>ကောင်းကြည်-1Li</v>
      </c>
      <c r="P905" s="44">
        <f>VLOOKUP(N905,Stock[#Data],3,FALSE)</f>
        <v>1</v>
      </c>
      <c r="Q905" s="3">
        <f>VLOOKUP(N905,Stock[#Data],4,FALSE)</f>
        <v>12</v>
      </c>
      <c r="R905" s="11">
        <v>1</v>
      </c>
      <c r="S905" s="45">
        <f>IFERROR(Table4[[#This Row],[Bottle]]/Table4[[#This Row],[ပါဝင်မှု]]+Table4[[#This Row],[SalesPK]],0)</f>
        <v>8.3333333333333329E-2</v>
      </c>
      <c r="T905" s="12"/>
      <c r="U905" s="10">
        <f>Table4[[#This Row],[ပါဝင်မှု]]*Table4[[#This Row],[SalesPK]]+Table4[[#This Row],[Bottle]]</f>
        <v>1</v>
      </c>
      <c r="V905" s="10">
        <f>Table4[[#This Row],[SalesBot]]*Table4[[#This Row],[ML]]</f>
        <v>1</v>
      </c>
      <c r="W905" s="1">
        <f>VLOOKUP(N905,Stock[#Data],6,FALSE)</f>
        <v>1850</v>
      </c>
      <c r="X905" s="8">
        <f>+Table4[[#This Row],[SalesBot]]*Table4[[#This Row],[နှုံး]]</f>
        <v>1850</v>
      </c>
      <c r="Y905" s="12"/>
      <c r="Z905" s="12"/>
      <c r="AA905" s="12"/>
      <c r="AB905" s="9"/>
      <c r="AC905" s="12"/>
      <c r="AD905" s="9"/>
      <c r="AE905" s="12"/>
      <c r="AF90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905" s="24"/>
      <c r="AH905" s="266">
        <f>Table4[[#This Row],[Date]]</f>
        <v>46076</v>
      </c>
      <c r="AI905" s="264" t="str">
        <f t="shared" si="168"/>
        <v>Feb</v>
      </c>
      <c r="AJ905" s="264" t="str">
        <f t="shared" si="169"/>
        <v>2026</v>
      </c>
      <c r="AK905" s="270" t="str">
        <f>Table4[[#This Row],[ကုန်သည်အမည်]]</f>
        <v>ရွှေစိတ်ရွှင်</v>
      </c>
      <c r="AL905" s="270" t="str">
        <f>Table4[[#This Row],[Township]]</f>
        <v>Maw La Myaing</v>
      </c>
      <c r="AM905" s="271" t="str">
        <f>Table4[[#This Row],[WholeSales]]</f>
        <v>Van Sales</v>
      </c>
      <c r="AN905" s="272" t="str">
        <f>Table4[[#This Row],[Particular]]</f>
        <v>လက်ဆောင်</v>
      </c>
      <c r="AO905" s="273" t="str">
        <f>Table4[[#This Row],[StockName]]</f>
        <v>ကောင်းကြည်-1Li</v>
      </c>
      <c r="AP905" s="268">
        <f>Table4[[#This Row],[Parking]]</f>
        <v>8.3333333333333329E-2</v>
      </c>
      <c r="AQ905" s="268">
        <f>Table4[[#This Row],[SalesBot]]</f>
        <v>1</v>
      </c>
      <c r="AR905" s="268">
        <f>Table4[[#This Row],[Liter]]</f>
        <v>1</v>
      </c>
    </row>
    <row r="906" spans="1:44" s="16" customFormat="1" hidden="1" x14ac:dyDescent="0.5">
      <c r="A906" s="3">
        <f t="shared" ref="A906:A1263" si="170">YEAR(C906)</f>
        <v>2026</v>
      </c>
      <c r="B906" s="8">
        <f t="shared" ref="B906:B1263" si="171">MONTH(C906)</f>
        <v>2</v>
      </c>
      <c r="C906" s="6">
        <v>46076</v>
      </c>
      <c r="D906" s="15">
        <f t="shared" ref="D906:D1263" ca="1" si="172">TODAY()</f>
        <v>46097</v>
      </c>
      <c r="E906" s="15" t="str">
        <f t="shared" ref="E906:E1263" ca="1" si="173">DATEDIF(C906,D906,"M")&amp;"-Months"</f>
        <v>0-Months</v>
      </c>
      <c r="F906" s="8" t="str">
        <f>VLOOKUP(N906,Stock[#Data],5,FALSE)</f>
        <v>BE</v>
      </c>
      <c r="G906" s="82" t="s">
        <v>1539</v>
      </c>
      <c r="H906" s="15" t="s">
        <v>439</v>
      </c>
      <c r="I906" s="7" t="s">
        <v>1533</v>
      </c>
      <c r="J906" s="8" t="str">
        <f>VLOOKUP(I906,Customers[#Data],2,FALSE)</f>
        <v>ကိုငယ်လေး+မနန်း</v>
      </c>
      <c r="K906" s="15" t="str">
        <f>VLOOKUP(I906,Customers[#Data],4,FALSE)</f>
        <v>Maw La Myaing</v>
      </c>
      <c r="L906" s="15" t="str">
        <f>VLOOKUP(I906,Customers[#Data],5,FALSE)</f>
        <v>Van Sales</v>
      </c>
      <c r="M906" s="7" t="s">
        <v>6</v>
      </c>
      <c r="N906" s="7" t="s">
        <v>425</v>
      </c>
      <c r="O906" s="14" t="str">
        <f>VLOOKUP(N906,Stock[#Data],2,FALSE)</f>
        <v>ကောင်းကြည်-1Li</v>
      </c>
      <c r="P906" s="44">
        <f>VLOOKUP(N906,Stock[#Data],3,FALSE)</f>
        <v>1</v>
      </c>
      <c r="Q906" s="3">
        <f>VLOOKUP(N906,Stock[#Data],4,FALSE)</f>
        <v>12</v>
      </c>
      <c r="R906" s="11"/>
      <c r="S906" s="45">
        <f>IFERROR(Table4[[#This Row],[Bottle]]/Table4[[#This Row],[ပါဝင်မှု]]+Table4[[#This Row],[SalesPK]],0)</f>
        <v>1</v>
      </c>
      <c r="T906" s="12">
        <v>1</v>
      </c>
      <c r="U906" s="10">
        <f>Table4[[#This Row],[ပါဝင်မှု]]*Table4[[#This Row],[SalesPK]]+Table4[[#This Row],[Bottle]]</f>
        <v>12</v>
      </c>
      <c r="V906" s="10">
        <f>Table4[[#This Row],[SalesBot]]*Table4[[#This Row],[ML]]</f>
        <v>12</v>
      </c>
      <c r="W906" s="1">
        <f>VLOOKUP(N906,Stock[#Data],6,FALSE)</f>
        <v>1500</v>
      </c>
      <c r="X906" s="8">
        <f>+Table4[[#This Row],[SalesBot]]*Table4[[#This Row],[နှုံး]]</f>
        <v>18000</v>
      </c>
      <c r="Y906" s="12"/>
      <c r="Z906" s="12"/>
      <c r="AA906" s="12"/>
      <c r="AB906" s="9"/>
      <c r="AC906" s="12"/>
      <c r="AD906" s="9"/>
      <c r="AE906" s="12"/>
      <c r="AF90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906" s="24"/>
      <c r="AH906" s="266">
        <f>Table4[[#This Row],[Date]]</f>
        <v>46076</v>
      </c>
      <c r="AI906" s="264" t="str">
        <f t="shared" si="168"/>
        <v>Feb</v>
      </c>
      <c r="AJ906" s="264" t="str">
        <f t="shared" si="169"/>
        <v>2026</v>
      </c>
      <c r="AK906" s="270" t="str">
        <f>Table4[[#This Row],[ကုန်သည်အမည်]]</f>
        <v>ကိုငယ်လေး+မနန်း</v>
      </c>
      <c r="AL906" s="270" t="str">
        <f>Table4[[#This Row],[Township]]</f>
        <v>Maw La Myaing</v>
      </c>
      <c r="AM906" s="271" t="str">
        <f>Table4[[#This Row],[WholeSales]]</f>
        <v>Van Sales</v>
      </c>
      <c r="AN906" s="272" t="str">
        <f>Table4[[#This Row],[Particular]]</f>
        <v>ကုန်ရောင်း(လက်ငင်း)</v>
      </c>
      <c r="AO906" s="273" t="str">
        <f>Table4[[#This Row],[StockName]]</f>
        <v>ကောင်းကြည်-1Li</v>
      </c>
      <c r="AP906" s="268">
        <f>Table4[[#This Row],[Parking]]</f>
        <v>1</v>
      </c>
      <c r="AQ906" s="268">
        <f>Table4[[#This Row],[SalesBot]]</f>
        <v>12</v>
      </c>
      <c r="AR906" s="268">
        <f>Table4[[#This Row],[Liter]]</f>
        <v>12</v>
      </c>
    </row>
    <row r="907" spans="1:44" s="16" customFormat="1" hidden="1" x14ac:dyDescent="0.5">
      <c r="A907" s="3">
        <f t="shared" si="170"/>
        <v>2026</v>
      </c>
      <c r="B907" s="8">
        <f t="shared" si="171"/>
        <v>2</v>
      </c>
      <c r="C907" s="6">
        <v>46076</v>
      </c>
      <c r="D907" s="15">
        <f t="shared" ca="1" si="172"/>
        <v>46097</v>
      </c>
      <c r="E907" s="15" t="str">
        <f t="shared" ca="1" si="173"/>
        <v>0-Months</v>
      </c>
      <c r="F907" s="8" t="str">
        <f>VLOOKUP(N907,Stock[#Data],5,FALSE)</f>
        <v>BE</v>
      </c>
      <c r="G907" s="82" t="s">
        <v>1539</v>
      </c>
      <c r="H907" s="15" t="s">
        <v>439</v>
      </c>
      <c r="I907" s="7" t="s">
        <v>1533</v>
      </c>
      <c r="J907" s="8" t="str">
        <f>VLOOKUP(I907,Customers[#Data],2,FALSE)</f>
        <v>ကိုငယ်လေး+မနန်း</v>
      </c>
      <c r="K907" s="15" t="str">
        <f>VLOOKUP(I907,Customers[#Data],4,FALSE)</f>
        <v>Maw La Myaing</v>
      </c>
      <c r="L907" s="15" t="str">
        <f>VLOOKUP(I907,Customers[#Data],5,FALSE)</f>
        <v>Van Sales</v>
      </c>
      <c r="M907" s="7" t="s">
        <v>6</v>
      </c>
      <c r="N907" s="7" t="s">
        <v>508</v>
      </c>
      <c r="O907" s="14" t="str">
        <f>VLOOKUP(N907,Stock[#Data],2,FALSE)</f>
        <v>ကောင်းကြည်-1Li</v>
      </c>
      <c r="P907" s="44">
        <f>VLOOKUP(N907,Stock[#Data],3,FALSE)</f>
        <v>1</v>
      </c>
      <c r="Q907" s="3">
        <f>VLOOKUP(N907,Stock[#Data],4,FALSE)</f>
        <v>12</v>
      </c>
      <c r="R907" s="11"/>
      <c r="S907" s="45">
        <f>IFERROR(Table4[[#This Row],[Bottle]]/Table4[[#This Row],[ပါဝင်မှု]]+Table4[[#This Row],[SalesPK]],0)</f>
        <v>1</v>
      </c>
      <c r="T907" s="12">
        <v>1</v>
      </c>
      <c r="U907" s="10">
        <f>Table4[[#This Row],[ပါဝင်မှု]]*Table4[[#This Row],[SalesPK]]+Table4[[#This Row],[Bottle]]</f>
        <v>12</v>
      </c>
      <c r="V907" s="10">
        <f>Table4[[#This Row],[SalesBot]]*Table4[[#This Row],[ML]]</f>
        <v>12</v>
      </c>
      <c r="W907" s="1">
        <f>VLOOKUP(N907,Stock[#Data],6,FALSE)</f>
        <v>1850</v>
      </c>
      <c r="X907" s="8">
        <f>+Table4[[#This Row],[SalesBot]]*Table4[[#This Row],[နှုံး]]</f>
        <v>22200</v>
      </c>
      <c r="Y907" s="12"/>
      <c r="Z907" s="12"/>
      <c r="AA907" s="12"/>
      <c r="AB907" s="9"/>
      <c r="AC907" s="12"/>
      <c r="AD907" s="9"/>
      <c r="AE907" s="12"/>
      <c r="AF90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907" s="24"/>
      <c r="AH907" s="266">
        <f>Table4[[#This Row],[Date]]</f>
        <v>46076</v>
      </c>
      <c r="AI907" s="264" t="str">
        <f t="shared" si="168"/>
        <v>Feb</v>
      </c>
      <c r="AJ907" s="264" t="str">
        <f t="shared" si="169"/>
        <v>2026</v>
      </c>
      <c r="AK907" s="270" t="str">
        <f>Table4[[#This Row],[ကုန်သည်အမည်]]</f>
        <v>ကိုငယ်လေး+မနန်း</v>
      </c>
      <c r="AL907" s="270" t="str">
        <f>Table4[[#This Row],[Township]]</f>
        <v>Maw La Myaing</v>
      </c>
      <c r="AM907" s="271" t="str">
        <f>Table4[[#This Row],[WholeSales]]</f>
        <v>Van Sales</v>
      </c>
      <c r="AN907" s="272" t="str">
        <f>Table4[[#This Row],[Particular]]</f>
        <v>ကုန်ရောင်း(လက်ငင်း)</v>
      </c>
      <c r="AO907" s="273" t="str">
        <f>Table4[[#This Row],[StockName]]</f>
        <v>ကောင်းကြည်-1Li</v>
      </c>
      <c r="AP907" s="268">
        <f>Table4[[#This Row],[Parking]]</f>
        <v>1</v>
      </c>
      <c r="AQ907" s="268">
        <f>Table4[[#This Row],[SalesBot]]</f>
        <v>12</v>
      </c>
      <c r="AR907" s="268">
        <f>Table4[[#This Row],[Liter]]</f>
        <v>12</v>
      </c>
    </row>
    <row r="908" spans="1:44" s="16" customFormat="1" hidden="1" x14ac:dyDescent="0.5">
      <c r="A908" s="3">
        <f t="shared" si="170"/>
        <v>2026</v>
      </c>
      <c r="B908" s="8">
        <f t="shared" si="171"/>
        <v>2</v>
      </c>
      <c r="C908" s="6">
        <v>46076</v>
      </c>
      <c r="D908" s="15">
        <f t="shared" ca="1" si="172"/>
        <v>46097</v>
      </c>
      <c r="E908" s="15" t="str">
        <f t="shared" ca="1" si="173"/>
        <v>0-Months</v>
      </c>
      <c r="F908" s="8" t="str">
        <f>VLOOKUP(N908,Stock[#Data],5,FALSE)</f>
        <v>BE</v>
      </c>
      <c r="G908" s="82" t="s">
        <v>1539</v>
      </c>
      <c r="H908" s="15"/>
      <c r="I908" s="7" t="s">
        <v>1533</v>
      </c>
      <c r="J908" s="8" t="str">
        <f>VLOOKUP(I908,Customers[#Data],2,FALSE)</f>
        <v>ကိုငယ်လေး+မနန်း</v>
      </c>
      <c r="K908" s="15" t="str">
        <f>VLOOKUP(I908,Customers[#Data],4,FALSE)</f>
        <v>Maw La Myaing</v>
      </c>
      <c r="L908" s="15" t="str">
        <f>VLOOKUP(I908,Customers[#Data],5,FALSE)</f>
        <v>Van Sales</v>
      </c>
      <c r="M908" s="7" t="s">
        <v>9</v>
      </c>
      <c r="N908" s="7" t="s">
        <v>425</v>
      </c>
      <c r="O908" s="14" t="str">
        <f>VLOOKUP(N908,Stock[#Data],2,FALSE)</f>
        <v>ကောင်းကြည်-1Li</v>
      </c>
      <c r="P908" s="44">
        <f>VLOOKUP(N908,Stock[#Data],3,FALSE)</f>
        <v>1</v>
      </c>
      <c r="Q908" s="3">
        <f>VLOOKUP(N908,Stock[#Data],4,FALSE)</f>
        <v>12</v>
      </c>
      <c r="R908" s="11">
        <v>1</v>
      </c>
      <c r="S908" s="45">
        <f>IFERROR(Table4[[#This Row],[Bottle]]/Table4[[#This Row],[ပါဝင်မှု]]+Table4[[#This Row],[SalesPK]],0)</f>
        <v>8.3333333333333329E-2</v>
      </c>
      <c r="T908" s="12"/>
      <c r="U908" s="10">
        <f>Table4[[#This Row],[ပါဝင်မှု]]*Table4[[#This Row],[SalesPK]]+Table4[[#This Row],[Bottle]]</f>
        <v>1</v>
      </c>
      <c r="V908" s="10">
        <f>Table4[[#This Row],[SalesBot]]*Table4[[#This Row],[ML]]</f>
        <v>1</v>
      </c>
      <c r="W908" s="1">
        <f>VLOOKUP(N908,Stock[#Data],6,FALSE)</f>
        <v>1500</v>
      </c>
      <c r="X908" s="8">
        <f>+Table4[[#This Row],[SalesBot]]*Table4[[#This Row],[နှုံး]]</f>
        <v>1500</v>
      </c>
      <c r="Y908" s="12"/>
      <c r="Z908" s="12"/>
      <c r="AA908" s="12"/>
      <c r="AB908" s="9"/>
      <c r="AC908" s="12"/>
      <c r="AD908" s="9"/>
      <c r="AE908" s="12"/>
      <c r="AF90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908" s="24"/>
      <c r="AH908" s="266">
        <f>Table4[[#This Row],[Date]]</f>
        <v>46076</v>
      </c>
      <c r="AI908" s="264" t="str">
        <f t="shared" si="168"/>
        <v>Feb</v>
      </c>
      <c r="AJ908" s="264" t="str">
        <f t="shared" si="169"/>
        <v>2026</v>
      </c>
      <c r="AK908" s="270" t="str">
        <f>Table4[[#This Row],[ကုန်သည်အမည်]]</f>
        <v>ကိုငယ်လေး+မနန်း</v>
      </c>
      <c r="AL908" s="270" t="str">
        <f>Table4[[#This Row],[Township]]</f>
        <v>Maw La Myaing</v>
      </c>
      <c r="AM908" s="271" t="str">
        <f>Table4[[#This Row],[WholeSales]]</f>
        <v>Van Sales</v>
      </c>
      <c r="AN908" s="272" t="str">
        <f>Table4[[#This Row],[Particular]]</f>
        <v>လက်ဆောင်</v>
      </c>
      <c r="AO908" s="273" t="str">
        <f>Table4[[#This Row],[StockName]]</f>
        <v>ကောင်းကြည်-1Li</v>
      </c>
      <c r="AP908" s="268">
        <f>Table4[[#This Row],[Parking]]</f>
        <v>8.3333333333333329E-2</v>
      </c>
      <c r="AQ908" s="268">
        <f>Table4[[#This Row],[SalesBot]]</f>
        <v>1</v>
      </c>
      <c r="AR908" s="268">
        <f>Table4[[#This Row],[Liter]]</f>
        <v>1</v>
      </c>
    </row>
    <row r="909" spans="1:44" s="16" customFormat="1" hidden="1" x14ac:dyDescent="0.5">
      <c r="A909" s="3">
        <f t="shared" si="170"/>
        <v>2026</v>
      </c>
      <c r="B909" s="8">
        <f t="shared" si="171"/>
        <v>2</v>
      </c>
      <c r="C909" s="6">
        <v>46076</v>
      </c>
      <c r="D909" s="15">
        <f t="shared" ca="1" si="172"/>
        <v>46097</v>
      </c>
      <c r="E909" s="15" t="str">
        <f t="shared" ca="1" si="173"/>
        <v>0-Months</v>
      </c>
      <c r="F909" s="8" t="str">
        <f>VLOOKUP(N909,Stock[#Data],5,FALSE)</f>
        <v>BE</v>
      </c>
      <c r="G909" s="82" t="s">
        <v>1539</v>
      </c>
      <c r="H909" s="15"/>
      <c r="I909" s="7" t="s">
        <v>1533</v>
      </c>
      <c r="J909" s="8" t="str">
        <f>VLOOKUP(I909,Customers[#Data],2,FALSE)</f>
        <v>ကိုငယ်လေး+မနန်း</v>
      </c>
      <c r="K909" s="15" t="str">
        <f>VLOOKUP(I909,Customers[#Data],4,FALSE)</f>
        <v>Maw La Myaing</v>
      </c>
      <c r="L909" s="15" t="str">
        <f>VLOOKUP(I909,Customers[#Data],5,FALSE)</f>
        <v>Van Sales</v>
      </c>
      <c r="M909" s="7" t="s">
        <v>9</v>
      </c>
      <c r="N909" s="7" t="s">
        <v>508</v>
      </c>
      <c r="O909" s="14" t="str">
        <f>VLOOKUP(N909,Stock[#Data],2,FALSE)</f>
        <v>ကောင်းကြည်-1Li</v>
      </c>
      <c r="P909" s="44">
        <f>VLOOKUP(N909,Stock[#Data],3,FALSE)</f>
        <v>1</v>
      </c>
      <c r="Q909" s="3">
        <f>VLOOKUP(N909,Stock[#Data],4,FALSE)</f>
        <v>12</v>
      </c>
      <c r="R909" s="11">
        <v>1</v>
      </c>
      <c r="S909" s="45">
        <f>IFERROR(Table4[[#This Row],[Bottle]]/Table4[[#This Row],[ပါဝင်မှု]]+Table4[[#This Row],[SalesPK]],0)</f>
        <v>8.3333333333333329E-2</v>
      </c>
      <c r="T909" s="12"/>
      <c r="U909" s="10">
        <f>Table4[[#This Row],[ပါဝင်မှု]]*Table4[[#This Row],[SalesPK]]+Table4[[#This Row],[Bottle]]</f>
        <v>1</v>
      </c>
      <c r="V909" s="10">
        <f>Table4[[#This Row],[SalesBot]]*Table4[[#This Row],[ML]]</f>
        <v>1</v>
      </c>
      <c r="W909" s="1">
        <f>VLOOKUP(N909,Stock[#Data],6,FALSE)</f>
        <v>1850</v>
      </c>
      <c r="X909" s="8">
        <f>+Table4[[#This Row],[SalesBot]]*Table4[[#This Row],[နှုံး]]</f>
        <v>1850</v>
      </c>
      <c r="Y909" s="12"/>
      <c r="Z909" s="12"/>
      <c r="AA909" s="12"/>
      <c r="AB909" s="9"/>
      <c r="AC909" s="12"/>
      <c r="AD909" s="9"/>
      <c r="AE909" s="12"/>
      <c r="AF90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909" s="24"/>
      <c r="AH909" s="266">
        <f>Table4[[#This Row],[Date]]</f>
        <v>46076</v>
      </c>
      <c r="AI909" s="264" t="str">
        <f t="shared" si="168"/>
        <v>Feb</v>
      </c>
      <c r="AJ909" s="264" t="str">
        <f t="shared" si="169"/>
        <v>2026</v>
      </c>
      <c r="AK909" s="270" t="str">
        <f>Table4[[#This Row],[ကုန်သည်အမည်]]</f>
        <v>ကိုငယ်လေး+မနန်း</v>
      </c>
      <c r="AL909" s="270" t="str">
        <f>Table4[[#This Row],[Township]]</f>
        <v>Maw La Myaing</v>
      </c>
      <c r="AM909" s="271" t="str">
        <f>Table4[[#This Row],[WholeSales]]</f>
        <v>Van Sales</v>
      </c>
      <c r="AN909" s="272" t="str">
        <f>Table4[[#This Row],[Particular]]</f>
        <v>လက်ဆောင်</v>
      </c>
      <c r="AO909" s="273" t="str">
        <f>Table4[[#This Row],[StockName]]</f>
        <v>ကောင်းကြည်-1Li</v>
      </c>
      <c r="AP909" s="268">
        <f>Table4[[#This Row],[Parking]]</f>
        <v>8.3333333333333329E-2</v>
      </c>
      <c r="AQ909" s="268">
        <f>Table4[[#This Row],[SalesBot]]</f>
        <v>1</v>
      </c>
      <c r="AR909" s="268">
        <f>Table4[[#This Row],[Liter]]</f>
        <v>1</v>
      </c>
    </row>
    <row r="910" spans="1:44" s="16" customFormat="1" hidden="1" x14ac:dyDescent="0.5">
      <c r="A910" s="3">
        <f t="shared" si="170"/>
        <v>2026</v>
      </c>
      <c r="B910" s="8">
        <f t="shared" si="171"/>
        <v>2</v>
      </c>
      <c r="C910" s="6">
        <v>46076</v>
      </c>
      <c r="D910" s="15">
        <f t="shared" ca="1" si="172"/>
        <v>46097</v>
      </c>
      <c r="E910" s="15" t="str">
        <f t="shared" ca="1" si="173"/>
        <v>0-Months</v>
      </c>
      <c r="F910" s="8" t="str">
        <f>VLOOKUP(N910,Stock[#Data],5,FALSE)</f>
        <v>BE</v>
      </c>
      <c r="G910" s="82" t="s">
        <v>1540</v>
      </c>
      <c r="H910" s="15" t="s">
        <v>439</v>
      </c>
      <c r="I910" s="7" t="s">
        <v>487</v>
      </c>
      <c r="J910" s="8" t="str">
        <f>VLOOKUP(I910,Customers[#Data],2,FALSE)</f>
        <v>ချယ်ရီမြိုင်</v>
      </c>
      <c r="K910" s="15" t="str">
        <f>VLOOKUP(I910,Customers[#Data],4,FALSE)</f>
        <v>Maw La Myaing</v>
      </c>
      <c r="L910" s="15" t="str">
        <f>VLOOKUP(I910,Customers[#Data],5,FALSE)</f>
        <v>Van Sales</v>
      </c>
      <c r="M910" s="7" t="s">
        <v>6</v>
      </c>
      <c r="N910" s="7" t="s">
        <v>508</v>
      </c>
      <c r="O910" s="14" t="str">
        <f>VLOOKUP(N910,Stock[#Data],2,FALSE)</f>
        <v>ကောင်းကြည်-1Li</v>
      </c>
      <c r="P910" s="44">
        <f>VLOOKUP(N910,Stock[#Data],3,FALSE)</f>
        <v>1</v>
      </c>
      <c r="Q910" s="3">
        <f>VLOOKUP(N910,Stock[#Data],4,FALSE)</f>
        <v>12</v>
      </c>
      <c r="R910" s="11"/>
      <c r="S910" s="45">
        <f>IFERROR(Table4[[#This Row],[Bottle]]/Table4[[#This Row],[ပါဝင်မှု]]+Table4[[#This Row],[SalesPK]],0)</f>
        <v>1</v>
      </c>
      <c r="T910" s="12">
        <v>1</v>
      </c>
      <c r="U910" s="10">
        <f>Table4[[#This Row],[ပါဝင်မှု]]*Table4[[#This Row],[SalesPK]]+Table4[[#This Row],[Bottle]]</f>
        <v>12</v>
      </c>
      <c r="V910" s="10">
        <f>Table4[[#This Row],[SalesBot]]*Table4[[#This Row],[ML]]</f>
        <v>12</v>
      </c>
      <c r="W910" s="1">
        <f>VLOOKUP(N910,Stock[#Data],6,FALSE)</f>
        <v>1850</v>
      </c>
      <c r="X910" s="8">
        <f>+Table4[[#This Row],[SalesBot]]*Table4[[#This Row],[နှုံး]]</f>
        <v>22200</v>
      </c>
      <c r="Y910" s="12"/>
      <c r="Z910" s="12"/>
      <c r="AA910" s="12"/>
      <c r="AB910" s="9"/>
      <c r="AC910" s="12"/>
      <c r="AD910" s="9"/>
      <c r="AE910" s="12"/>
      <c r="AF91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910" s="24"/>
      <c r="AH910" s="266">
        <f>Table4[[#This Row],[Date]]</f>
        <v>46076</v>
      </c>
      <c r="AI910" s="264" t="str">
        <f t="shared" si="168"/>
        <v>Feb</v>
      </c>
      <c r="AJ910" s="264" t="str">
        <f t="shared" si="169"/>
        <v>2026</v>
      </c>
      <c r="AK910" s="270" t="str">
        <f>Table4[[#This Row],[ကုန်သည်အမည်]]</f>
        <v>ချယ်ရီမြိုင်</v>
      </c>
      <c r="AL910" s="270" t="str">
        <f>Table4[[#This Row],[Township]]</f>
        <v>Maw La Myaing</v>
      </c>
      <c r="AM910" s="271" t="str">
        <f>Table4[[#This Row],[WholeSales]]</f>
        <v>Van Sales</v>
      </c>
      <c r="AN910" s="272" t="str">
        <f>Table4[[#This Row],[Particular]]</f>
        <v>ကုန်ရောင်း(လက်ငင်း)</v>
      </c>
      <c r="AO910" s="273" t="str">
        <f>Table4[[#This Row],[StockName]]</f>
        <v>ကောင်းကြည်-1Li</v>
      </c>
      <c r="AP910" s="268">
        <f>Table4[[#This Row],[Parking]]</f>
        <v>1</v>
      </c>
      <c r="AQ910" s="268">
        <f>Table4[[#This Row],[SalesBot]]</f>
        <v>12</v>
      </c>
      <c r="AR910" s="268">
        <f>Table4[[#This Row],[Liter]]</f>
        <v>12</v>
      </c>
    </row>
    <row r="911" spans="1:44" s="16" customFormat="1" hidden="1" x14ac:dyDescent="0.5">
      <c r="A911" s="3">
        <f t="shared" si="170"/>
        <v>2026</v>
      </c>
      <c r="B911" s="8">
        <f t="shared" si="171"/>
        <v>2</v>
      </c>
      <c r="C911" s="6">
        <v>46076</v>
      </c>
      <c r="D911" s="15">
        <f t="shared" ca="1" si="172"/>
        <v>46097</v>
      </c>
      <c r="E911" s="15" t="str">
        <f t="shared" ca="1" si="173"/>
        <v>0-Months</v>
      </c>
      <c r="F911" s="8" t="str">
        <f>VLOOKUP(N911,Stock[#Data],5,FALSE)</f>
        <v>BE</v>
      </c>
      <c r="G911" s="82" t="s">
        <v>1540</v>
      </c>
      <c r="H911" s="15"/>
      <c r="I911" s="7" t="s">
        <v>487</v>
      </c>
      <c r="J911" s="8" t="str">
        <f>VLOOKUP(I911,Customers[#Data],2,FALSE)</f>
        <v>ချယ်ရီမြိုင်</v>
      </c>
      <c r="K911" s="15" t="str">
        <f>VLOOKUP(I911,Customers[#Data],4,FALSE)</f>
        <v>Maw La Myaing</v>
      </c>
      <c r="L911" s="15" t="str">
        <f>VLOOKUP(I911,Customers[#Data],5,FALSE)</f>
        <v>Van Sales</v>
      </c>
      <c r="M911" s="7" t="s">
        <v>9</v>
      </c>
      <c r="N911" s="7" t="s">
        <v>522</v>
      </c>
      <c r="O911" s="14" t="str">
        <f>VLOOKUP(N911,Stock[#Data],2,FALSE)</f>
        <v>ဒဂုံမန်ကျည်း ကော်ဘူး (1 Liter)</v>
      </c>
      <c r="P911" s="44">
        <f>VLOOKUP(N911,Stock[#Data],3,FALSE)</f>
        <v>1</v>
      </c>
      <c r="Q911" s="3">
        <f>VLOOKUP(N911,Stock[#Data],4,FALSE)</f>
        <v>12</v>
      </c>
      <c r="R911" s="11">
        <v>1</v>
      </c>
      <c r="S911" s="45">
        <f>IFERROR(Table4[[#This Row],[Bottle]]/Table4[[#This Row],[ပါဝင်မှု]]+Table4[[#This Row],[SalesPK]],0)</f>
        <v>8.3333333333333329E-2</v>
      </c>
      <c r="T911" s="12"/>
      <c r="U911" s="10">
        <f>Table4[[#This Row],[ပါဝင်မှု]]*Table4[[#This Row],[SalesPK]]+Table4[[#This Row],[Bottle]]</f>
        <v>1</v>
      </c>
      <c r="V911" s="10">
        <f>Table4[[#This Row],[SalesBot]]*Table4[[#This Row],[ML]]</f>
        <v>1</v>
      </c>
      <c r="W911" s="1">
        <f>VLOOKUP(N911,Stock[#Data],6,FALSE)</f>
        <v>1600</v>
      </c>
      <c r="X911" s="8">
        <f>+Table4[[#This Row],[SalesBot]]*Table4[[#This Row],[နှုံး]]</f>
        <v>1600</v>
      </c>
      <c r="Y911" s="12"/>
      <c r="Z911" s="12"/>
      <c r="AA911" s="12"/>
      <c r="AB911" s="9"/>
      <c r="AC911" s="12"/>
      <c r="AD911" s="9"/>
      <c r="AE911" s="12"/>
      <c r="AF91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911" s="24"/>
      <c r="AH911" s="266">
        <f>Table4[[#This Row],[Date]]</f>
        <v>46076</v>
      </c>
      <c r="AI911" s="264" t="str">
        <f t="shared" si="168"/>
        <v>Feb</v>
      </c>
      <c r="AJ911" s="264" t="str">
        <f t="shared" si="169"/>
        <v>2026</v>
      </c>
      <c r="AK911" s="270" t="str">
        <f>Table4[[#This Row],[ကုန်သည်အမည်]]</f>
        <v>ချယ်ရီမြိုင်</v>
      </c>
      <c r="AL911" s="270" t="str">
        <f>Table4[[#This Row],[Township]]</f>
        <v>Maw La Myaing</v>
      </c>
      <c r="AM911" s="271" t="str">
        <f>Table4[[#This Row],[WholeSales]]</f>
        <v>Van Sales</v>
      </c>
      <c r="AN911" s="272" t="str">
        <f>Table4[[#This Row],[Particular]]</f>
        <v>လက်ဆောင်</v>
      </c>
      <c r="AO911" s="273" t="str">
        <f>Table4[[#This Row],[StockName]]</f>
        <v>ဒဂုံမန်ကျည်း ကော်ဘူး (1 Liter)</v>
      </c>
      <c r="AP911" s="268">
        <f>Table4[[#This Row],[Parking]]</f>
        <v>8.3333333333333329E-2</v>
      </c>
      <c r="AQ911" s="268">
        <f>Table4[[#This Row],[SalesBot]]</f>
        <v>1</v>
      </c>
      <c r="AR911" s="268">
        <f>Table4[[#This Row],[Liter]]</f>
        <v>1</v>
      </c>
    </row>
    <row r="912" spans="1:44" s="16" customFormat="1" hidden="1" x14ac:dyDescent="0.5">
      <c r="A912" s="3">
        <f t="shared" ref="A912:A943" si="174">YEAR(C912)</f>
        <v>2026</v>
      </c>
      <c r="B912" s="8">
        <f t="shared" ref="B912:B943" si="175">MONTH(C912)</f>
        <v>2</v>
      </c>
      <c r="C912" s="6">
        <v>46077</v>
      </c>
      <c r="D912" s="15">
        <f t="shared" ref="D912:D943" ca="1" si="176">TODAY()</f>
        <v>46097</v>
      </c>
      <c r="E912" s="15" t="str">
        <f t="shared" ref="E912:E943" ca="1" si="177">DATEDIF(C912,D912,"M")&amp;"-Months"</f>
        <v>0-Months</v>
      </c>
      <c r="F912" s="8" t="str">
        <f>VLOOKUP(N912,Stock[#Data],5,FALSE)</f>
        <v>BE</v>
      </c>
      <c r="G912" s="82" t="s">
        <v>1541</v>
      </c>
      <c r="H912" s="15"/>
      <c r="I912" s="7" t="s">
        <v>101</v>
      </c>
      <c r="J912" s="8" t="str">
        <f>VLOOKUP(I912,Customers[#Data],2,FALSE)</f>
        <v>ကိုမောင်+မသူဇာ</v>
      </c>
      <c r="K912" s="15" t="str">
        <f>VLOOKUP(I912,Customers[#Data],4,FALSE)</f>
        <v>Yay</v>
      </c>
      <c r="L912" s="15" t="str">
        <f>VLOOKUP(I912,Customers[#Data],5,FALSE)</f>
        <v>WholeSales</v>
      </c>
      <c r="M912" s="7" t="s">
        <v>7</v>
      </c>
      <c r="N912" s="7" t="s">
        <v>517</v>
      </c>
      <c r="O912" s="14" t="str">
        <f>VLOOKUP(N912,Stock[#Data],2,FALSE)</f>
        <v>ဇေယျဝတီ Red (1 Liter) 30%</v>
      </c>
      <c r="P912" s="44">
        <f>VLOOKUP(N912,Stock[#Data],3,FALSE)</f>
        <v>1</v>
      </c>
      <c r="Q912" s="3">
        <f>VLOOKUP(N912,Stock[#Data],4,FALSE)</f>
        <v>12</v>
      </c>
      <c r="R912" s="11"/>
      <c r="S912" s="45">
        <f>IFERROR(Table4[[#This Row],[Bottle]]/Table4[[#This Row],[ပါဝင်မှု]]+Table4[[#This Row],[SalesPK]],0)</f>
        <v>30</v>
      </c>
      <c r="T912" s="12">
        <v>30</v>
      </c>
      <c r="U912" s="10">
        <f>Table4[[#This Row],[ပါဝင်မှု]]*Table4[[#This Row],[SalesPK]]+Table4[[#This Row],[Bottle]]</f>
        <v>360</v>
      </c>
      <c r="V912" s="10">
        <f>Table4[[#This Row],[SalesBot]]*Table4[[#This Row],[ML]]</f>
        <v>360</v>
      </c>
      <c r="W912" s="1">
        <f>VLOOKUP(N912,Stock[#Data],6,FALSE)</f>
        <v>1710</v>
      </c>
      <c r="X912" s="8">
        <f>+Table4[[#This Row],[SalesBot]]*Table4[[#This Row],[နှုံး]]</f>
        <v>615600</v>
      </c>
      <c r="Y912" s="12"/>
      <c r="Z912" s="12"/>
      <c r="AA912" s="12"/>
      <c r="AB912" s="9"/>
      <c r="AC912" s="12"/>
      <c r="AD912" s="9"/>
      <c r="AE912" s="12"/>
      <c r="AF91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615600</v>
      </c>
      <c r="AG912" s="24"/>
      <c r="AH912" s="266"/>
      <c r="AI912" s="264"/>
      <c r="AJ912" s="264"/>
      <c r="AK912" s="270"/>
      <c r="AL912" s="270"/>
      <c r="AM912" s="271"/>
      <c r="AN912" s="272"/>
      <c r="AO912" s="273"/>
      <c r="AP912" s="268"/>
      <c r="AQ912" s="268"/>
      <c r="AR912" s="268"/>
    </row>
    <row r="913" spans="1:44" s="16" customFormat="1" hidden="1" x14ac:dyDescent="0.5">
      <c r="A913" s="3">
        <f t="shared" si="174"/>
        <v>2026</v>
      </c>
      <c r="B913" s="8">
        <f t="shared" si="175"/>
        <v>2</v>
      </c>
      <c r="C913" s="6">
        <v>46077</v>
      </c>
      <c r="D913" s="15">
        <f t="shared" ca="1" si="176"/>
        <v>46097</v>
      </c>
      <c r="E913" s="15" t="str">
        <f t="shared" ca="1" si="177"/>
        <v>0-Months</v>
      </c>
      <c r="F913" s="8" t="str">
        <f>VLOOKUP(N913,Stock[#Data],5,FALSE)</f>
        <v>BE</v>
      </c>
      <c r="G913" s="82" t="s">
        <v>1542</v>
      </c>
      <c r="H913" s="15"/>
      <c r="I913" s="7" t="s">
        <v>94</v>
      </c>
      <c r="J913" s="8" t="str">
        <f>VLOOKUP(I913,Customers[#Data],2,FALSE)</f>
        <v>ကိုထွန်းနိုင်</v>
      </c>
      <c r="K913" s="15" t="str">
        <f>VLOOKUP(I913,Customers[#Data],4,FALSE)</f>
        <v>Yay</v>
      </c>
      <c r="L913" s="15" t="str">
        <f>VLOOKUP(I913,Customers[#Data],5,FALSE)</f>
        <v>WholeSales</v>
      </c>
      <c r="M913" s="7" t="s">
        <v>7</v>
      </c>
      <c r="N913" s="7" t="s">
        <v>514</v>
      </c>
      <c r="O913" s="14" t="str">
        <f>VLOOKUP(N913,Stock[#Data],2,FALSE)</f>
        <v>ဇေယျဝတီ Red</v>
      </c>
      <c r="P913" s="44">
        <f>VLOOKUP(N913,Stock[#Data],3,FALSE)</f>
        <v>0.64</v>
      </c>
      <c r="Q913" s="3">
        <f>VLOOKUP(N913,Stock[#Data],4,FALSE)</f>
        <v>14</v>
      </c>
      <c r="R913" s="11"/>
      <c r="S913" s="45">
        <f>IFERROR(Table4[[#This Row],[Bottle]]/Table4[[#This Row],[ပါဝင်မှု]]+Table4[[#This Row],[SalesPK]],0)</f>
        <v>150</v>
      </c>
      <c r="T913" s="12">
        <v>150</v>
      </c>
      <c r="U913" s="10">
        <f>Table4[[#This Row],[ပါဝင်မှု]]*Table4[[#This Row],[SalesPK]]+Table4[[#This Row],[Bottle]]</f>
        <v>2100</v>
      </c>
      <c r="V913" s="10">
        <f>Table4[[#This Row],[SalesBot]]*Table4[[#This Row],[ML]]</f>
        <v>1344</v>
      </c>
      <c r="W913" s="1">
        <f>VLOOKUP(N913,Stock[#Data],6,FALSE)</f>
        <v>1350</v>
      </c>
      <c r="X913" s="8">
        <f>+Table4[[#This Row],[SalesBot]]*Table4[[#This Row],[နှုံး]]</f>
        <v>2835000</v>
      </c>
      <c r="Y913" s="12"/>
      <c r="Z913" s="12"/>
      <c r="AA913" s="12"/>
      <c r="AB913" s="9"/>
      <c r="AC913" s="12"/>
      <c r="AD913" s="9"/>
      <c r="AE913" s="12"/>
      <c r="AF91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2835000</v>
      </c>
      <c r="AG913" s="24"/>
      <c r="AH913" s="266"/>
      <c r="AI913" s="264"/>
      <c r="AJ913" s="264"/>
      <c r="AK913" s="270"/>
      <c r="AL913" s="270"/>
      <c r="AM913" s="271"/>
      <c r="AN913" s="272"/>
      <c r="AO913" s="273"/>
      <c r="AP913" s="268"/>
      <c r="AQ913" s="268"/>
      <c r="AR913" s="268"/>
    </row>
    <row r="914" spans="1:44" s="16" customFormat="1" hidden="1" x14ac:dyDescent="0.5">
      <c r="A914" s="3">
        <f t="shared" si="174"/>
        <v>2026</v>
      </c>
      <c r="B914" s="8">
        <f t="shared" si="175"/>
        <v>2</v>
      </c>
      <c r="C914" s="6">
        <v>46077</v>
      </c>
      <c r="D914" s="15">
        <f t="shared" ca="1" si="176"/>
        <v>46097</v>
      </c>
      <c r="E914" s="15" t="str">
        <f t="shared" ca="1" si="177"/>
        <v>0-Months</v>
      </c>
      <c r="F914" s="8" t="str">
        <f>VLOOKUP(N914,Stock[#Data],5,FALSE)</f>
        <v>BE</v>
      </c>
      <c r="G914" s="82" t="s">
        <v>1542</v>
      </c>
      <c r="H914" s="15"/>
      <c r="I914" s="7" t="s">
        <v>94</v>
      </c>
      <c r="J914" s="8" t="str">
        <f>VLOOKUP(I914,Customers[#Data],2,FALSE)</f>
        <v>ကိုထွန်းနိုင်</v>
      </c>
      <c r="K914" s="15" t="str">
        <f>VLOOKUP(I914,Customers[#Data],4,FALSE)</f>
        <v>Yay</v>
      </c>
      <c r="L914" s="15" t="str">
        <f>VLOOKUP(I914,Customers[#Data],5,FALSE)</f>
        <v>WholeSales</v>
      </c>
      <c r="M914" s="7" t="s">
        <v>7</v>
      </c>
      <c r="N914" s="7" t="s">
        <v>425</v>
      </c>
      <c r="O914" s="14" t="str">
        <f>VLOOKUP(N914,Stock[#Data],2,FALSE)</f>
        <v>ကောင်းကြည်-1Li</v>
      </c>
      <c r="P914" s="44">
        <f>VLOOKUP(N914,Stock[#Data],3,FALSE)</f>
        <v>1</v>
      </c>
      <c r="Q914" s="3">
        <f>VLOOKUP(N914,Stock[#Data],4,FALSE)</f>
        <v>12</v>
      </c>
      <c r="R914" s="11"/>
      <c r="S914" s="45">
        <f>IFERROR(Table4[[#This Row],[Bottle]]/Table4[[#This Row],[ပါဝင်မှု]]+Table4[[#This Row],[SalesPK]],0)</f>
        <v>15</v>
      </c>
      <c r="T914" s="12">
        <v>15</v>
      </c>
      <c r="U914" s="10">
        <f>Table4[[#This Row],[ပါဝင်မှု]]*Table4[[#This Row],[SalesPK]]+Table4[[#This Row],[Bottle]]</f>
        <v>180</v>
      </c>
      <c r="V914" s="10">
        <f>Table4[[#This Row],[SalesBot]]*Table4[[#This Row],[ML]]</f>
        <v>180</v>
      </c>
      <c r="W914" s="1">
        <f>VLOOKUP(N914,Stock[#Data],6,FALSE)</f>
        <v>1500</v>
      </c>
      <c r="X914" s="8">
        <f>+Table4[[#This Row],[SalesBot]]*Table4[[#This Row],[နှုံး]]</f>
        <v>270000</v>
      </c>
      <c r="Y914" s="12"/>
      <c r="Z914" s="12"/>
      <c r="AA914" s="12"/>
      <c r="AB914" s="9"/>
      <c r="AC914" s="12"/>
      <c r="AD914" s="9"/>
      <c r="AE914" s="12"/>
      <c r="AF91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270000</v>
      </c>
      <c r="AG914" s="24"/>
      <c r="AH914" s="266"/>
      <c r="AI914" s="264"/>
      <c r="AJ914" s="264"/>
      <c r="AK914" s="270"/>
      <c r="AL914" s="270"/>
      <c r="AM914" s="271"/>
      <c r="AN914" s="272"/>
      <c r="AO914" s="273"/>
      <c r="AP914" s="268"/>
      <c r="AQ914" s="268"/>
      <c r="AR914" s="268"/>
    </row>
    <row r="915" spans="1:44" s="16" customFormat="1" hidden="1" x14ac:dyDescent="0.5">
      <c r="A915" s="3">
        <f t="shared" si="174"/>
        <v>2026</v>
      </c>
      <c r="B915" s="8">
        <f t="shared" si="175"/>
        <v>2</v>
      </c>
      <c r="C915" s="6">
        <v>46077</v>
      </c>
      <c r="D915" s="15">
        <f t="shared" ca="1" si="176"/>
        <v>46097</v>
      </c>
      <c r="E915" s="15" t="str">
        <f t="shared" ca="1" si="177"/>
        <v>0-Months</v>
      </c>
      <c r="F915" s="8" t="str">
        <f>VLOOKUP(N915,Stock[#Data],5,FALSE)</f>
        <v>BE</v>
      </c>
      <c r="G915" s="82" t="s">
        <v>1542</v>
      </c>
      <c r="H915" s="15"/>
      <c r="I915" s="7" t="s">
        <v>94</v>
      </c>
      <c r="J915" s="8" t="str">
        <f>VLOOKUP(I915,Customers[#Data],2,FALSE)</f>
        <v>ကိုထွန်းနိုင်</v>
      </c>
      <c r="K915" s="15" t="str">
        <f>VLOOKUP(I915,Customers[#Data],4,FALSE)</f>
        <v>Yay</v>
      </c>
      <c r="L915" s="15" t="str">
        <f>VLOOKUP(I915,Customers[#Data],5,FALSE)</f>
        <v>WholeSales</v>
      </c>
      <c r="M915" s="7" t="s">
        <v>7</v>
      </c>
      <c r="N915" s="7" t="s">
        <v>508</v>
      </c>
      <c r="O915" s="14" t="str">
        <f>VLOOKUP(N915,Stock[#Data],2,FALSE)</f>
        <v>ကောင်းကြည်-1Li</v>
      </c>
      <c r="P915" s="44">
        <f>VLOOKUP(N915,Stock[#Data],3,FALSE)</f>
        <v>1</v>
      </c>
      <c r="Q915" s="3">
        <f>VLOOKUP(N915,Stock[#Data],4,FALSE)</f>
        <v>12</v>
      </c>
      <c r="R915" s="11"/>
      <c r="S915" s="45">
        <f>IFERROR(Table4[[#This Row],[Bottle]]/Table4[[#This Row],[ပါဝင်မှု]]+Table4[[#This Row],[SalesPK]],0)</f>
        <v>15</v>
      </c>
      <c r="T915" s="12">
        <v>15</v>
      </c>
      <c r="U915" s="10">
        <f>Table4[[#This Row],[ပါဝင်မှု]]*Table4[[#This Row],[SalesPK]]+Table4[[#This Row],[Bottle]]</f>
        <v>180</v>
      </c>
      <c r="V915" s="10">
        <f>Table4[[#This Row],[SalesBot]]*Table4[[#This Row],[ML]]</f>
        <v>180</v>
      </c>
      <c r="W915" s="1">
        <f>VLOOKUP(N915,Stock[#Data],6,FALSE)</f>
        <v>1850</v>
      </c>
      <c r="X915" s="8">
        <f>+Table4[[#This Row],[SalesBot]]*Table4[[#This Row],[နှုံး]]</f>
        <v>333000</v>
      </c>
      <c r="Y915" s="12"/>
      <c r="Z915" s="12"/>
      <c r="AA915" s="12"/>
      <c r="AB915" s="9"/>
      <c r="AC915" s="12"/>
      <c r="AD915" s="9"/>
      <c r="AE915" s="12"/>
      <c r="AF91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333000</v>
      </c>
      <c r="AG915" s="24"/>
      <c r="AH915" s="266"/>
      <c r="AI915" s="264"/>
      <c r="AJ915" s="264"/>
      <c r="AK915" s="270"/>
      <c r="AL915" s="270"/>
      <c r="AM915" s="271"/>
      <c r="AN915" s="272"/>
      <c r="AO915" s="273"/>
      <c r="AP915" s="268"/>
      <c r="AQ915" s="268"/>
      <c r="AR915" s="268"/>
    </row>
    <row r="916" spans="1:44" s="16" customFormat="1" hidden="1" x14ac:dyDescent="0.5">
      <c r="A916" s="3">
        <f t="shared" si="174"/>
        <v>2026</v>
      </c>
      <c r="B916" s="8">
        <f t="shared" si="175"/>
        <v>2</v>
      </c>
      <c r="C916" s="6">
        <v>46077</v>
      </c>
      <c r="D916" s="15">
        <f t="shared" ca="1" si="176"/>
        <v>46097</v>
      </c>
      <c r="E916" s="15" t="str">
        <f t="shared" ca="1" si="177"/>
        <v>0-Months</v>
      </c>
      <c r="F916" s="8" t="str">
        <f>VLOOKUP(N916,Stock[#Data],5,FALSE)</f>
        <v>BE</v>
      </c>
      <c r="G916" s="82" t="s">
        <v>1542</v>
      </c>
      <c r="H916" s="15"/>
      <c r="I916" s="7" t="s">
        <v>94</v>
      </c>
      <c r="J916" s="8" t="str">
        <f>VLOOKUP(I916,Customers[#Data],2,FALSE)</f>
        <v>ကိုထွန်းနိုင်</v>
      </c>
      <c r="K916" s="15" t="str">
        <f>VLOOKUP(I916,Customers[#Data],4,FALSE)</f>
        <v>Yay</v>
      </c>
      <c r="L916" s="15" t="str">
        <f>VLOOKUP(I916,Customers[#Data],5,FALSE)</f>
        <v>WholeSales</v>
      </c>
      <c r="M916" s="7" t="s">
        <v>9</v>
      </c>
      <c r="N916" s="7" t="s">
        <v>425</v>
      </c>
      <c r="O916" s="14" t="str">
        <f>VLOOKUP(N916,Stock[#Data],2,FALSE)</f>
        <v>ကောင်းကြည်-1Li</v>
      </c>
      <c r="P916" s="44">
        <f>VLOOKUP(N916,Stock[#Data],3,FALSE)</f>
        <v>1</v>
      </c>
      <c r="Q916" s="3">
        <f>VLOOKUP(N916,Stock[#Data],4,FALSE)</f>
        <v>12</v>
      </c>
      <c r="R916" s="11"/>
      <c r="S916" s="45">
        <f>IFERROR(Table4[[#This Row],[Bottle]]/Table4[[#This Row],[ပါဝင်မှု]]+Table4[[#This Row],[SalesPK]],0)</f>
        <v>1</v>
      </c>
      <c r="T916" s="12">
        <v>1</v>
      </c>
      <c r="U916" s="10">
        <f>Table4[[#This Row],[ပါဝင်မှု]]*Table4[[#This Row],[SalesPK]]+Table4[[#This Row],[Bottle]]</f>
        <v>12</v>
      </c>
      <c r="V916" s="10">
        <f>Table4[[#This Row],[SalesBot]]*Table4[[#This Row],[ML]]</f>
        <v>12</v>
      </c>
      <c r="W916" s="1">
        <f>VLOOKUP(N916,Stock[#Data],6,FALSE)</f>
        <v>1500</v>
      </c>
      <c r="X916" s="8">
        <f>+Table4[[#This Row],[SalesBot]]*Table4[[#This Row],[နှုံး]]</f>
        <v>18000</v>
      </c>
      <c r="Y916" s="12"/>
      <c r="Z916" s="12"/>
      <c r="AA916" s="12"/>
      <c r="AB916" s="9"/>
      <c r="AC916" s="12"/>
      <c r="AD916" s="9"/>
      <c r="AE916" s="12"/>
      <c r="AF91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916" s="24"/>
      <c r="AH916" s="266"/>
      <c r="AI916" s="264"/>
      <c r="AJ916" s="264"/>
      <c r="AK916" s="270"/>
      <c r="AL916" s="270"/>
      <c r="AM916" s="271"/>
      <c r="AN916" s="272"/>
      <c r="AO916" s="273"/>
      <c r="AP916" s="268"/>
      <c r="AQ916" s="268"/>
      <c r="AR916" s="268"/>
    </row>
    <row r="917" spans="1:44" s="16" customFormat="1" hidden="1" x14ac:dyDescent="0.5">
      <c r="A917" s="3">
        <f t="shared" si="174"/>
        <v>2026</v>
      </c>
      <c r="B917" s="8">
        <f t="shared" si="175"/>
        <v>2</v>
      </c>
      <c r="C917" s="6">
        <v>46077</v>
      </c>
      <c r="D917" s="15">
        <f t="shared" ca="1" si="176"/>
        <v>46097</v>
      </c>
      <c r="E917" s="15" t="str">
        <f t="shared" ca="1" si="177"/>
        <v>0-Months</v>
      </c>
      <c r="F917" s="8" t="str">
        <f>VLOOKUP(N917,Stock[#Data],5,FALSE)</f>
        <v>BE</v>
      </c>
      <c r="G917" s="82" t="s">
        <v>1542</v>
      </c>
      <c r="H917" s="15"/>
      <c r="I917" s="7" t="s">
        <v>94</v>
      </c>
      <c r="J917" s="8" t="str">
        <f>VLOOKUP(I917,Customers[#Data],2,FALSE)</f>
        <v>ကိုထွန်းနိုင်</v>
      </c>
      <c r="K917" s="15" t="str">
        <f>VLOOKUP(I917,Customers[#Data],4,FALSE)</f>
        <v>Yay</v>
      </c>
      <c r="L917" s="15" t="str">
        <f>VLOOKUP(I917,Customers[#Data],5,FALSE)</f>
        <v>WholeSales</v>
      </c>
      <c r="M917" s="7" t="s">
        <v>9</v>
      </c>
      <c r="N917" s="7" t="s">
        <v>508</v>
      </c>
      <c r="O917" s="14" t="str">
        <f>VLOOKUP(N917,Stock[#Data],2,FALSE)</f>
        <v>ကောင်းကြည်-1Li</v>
      </c>
      <c r="P917" s="44">
        <f>VLOOKUP(N917,Stock[#Data],3,FALSE)</f>
        <v>1</v>
      </c>
      <c r="Q917" s="3">
        <f>VLOOKUP(N917,Stock[#Data],4,FALSE)</f>
        <v>12</v>
      </c>
      <c r="R917" s="11"/>
      <c r="S917" s="45">
        <f>IFERROR(Table4[[#This Row],[Bottle]]/Table4[[#This Row],[ပါဝင်မှု]]+Table4[[#This Row],[SalesPK]],0)</f>
        <v>1</v>
      </c>
      <c r="T917" s="12">
        <v>1</v>
      </c>
      <c r="U917" s="10">
        <f>Table4[[#This Row],[ပါဝင်မှု]]*Table4[[#This Row],[SalesPK]]+Table4[[#This Row],[Bottle]]</f>
        <v>12</v>
      </c>
      <c r="V917" s="10">
        <f>Table4[[#This Row],[SalesBot]]*Table4[[#This Row],[ML]]</f>
        <v>12</v>
      </c>
      <c r="W917" s="1">
        <f>VLOOKUP(N917,Stock[#Data],6,FALSE)</f>
        <v>1850</v>
      </c>
      <c r="X917" s="8">
        <f>+Table4[[#This Row],[SalesBot]]*Table4[[#This Row],[နှုံး]]</f>
        <v>22200</v>
      </c>
      <c r="Y917" s="12"/>
      <c r="Z917" s="12"/>
      <c r="AA917" s="12"/>
      <c r="AB917" s="9"/>
      <c r="AC917" s="12"/>
      <c r="AD917" s="9"/>
      <c r="AE917" s="12"/>
      <c r="AF91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917" s="24"/>
      <c r="AH917" s="266"/>
      <c r="AI917" s="264"/>
      <c r="AJ917" s="264"/>
      <c r="AK917" s="270"/>
      <c r="AL917" s="270"/>
      <c r="AM917" s="271"/>
      <c r="AN917" s="272"/>
      <c r="AO917" s="273"/>
      <c r="AP917" s="268"/>
      <c r="AQ917" s="268"/>
      <c r="AR917" s="268"/>
    </row>
    <row r="918" spans="1:44" s="16" customFormat="1" hidden="1" x14ac:dyDescent="0.5">
      <c r="A918" s="3">
        <f t="shared" si="174"/>
        <v>2026</v>
      </c>
      <c r="B918" s="8">
        <f t="shared" si="175"/>
        <v>2</v>
      </c>
      <c r="C918" s="6">
        <v>46077</v>
      </c>
      <c r="D918" s="15">
        <f t="shared" ca="1" si="176"/>
        <v>46097</v>
      </c>
      <c r="E918" s="15" t="str">
        <f t="shared" ca="1" si="177"/>
        <v>0-Months</v>
      </c>
      <c r="F918" s="8" t="str">
        <f>VLOOKUP(N918,Stock[#Data],5,FALSE)</f>
        <v>BE</v>
      </c>
      <c r="G918" s="82" t="s">
        <v>1543</v>
      </c>
      <c r="H918" s="15"/>
      <c r="I918" s="7" t="s">
        <v>98</v>
      </c>
      <c r="J918" s="8" t="str">
        <f>VLOOKUP(I918,Customers[#Data],2,FALSE)</f>
        <v>ကိုထိုက်စိုး</v>
      </c>
      <c r="K918" s="15" t="str">
        <f>VLOOKUP(I918,Customers[#Data],4,FALSE)</f>
        <v>Yay</v>
      </c>
      <c r="L918" s="15" t="str">
        <f>VLOOKUP(I918,Customers[#Data],5,FALSE)</f>
        <v>WholeSales</v>
      </c>
      <c r="M918" s="7" t="s">
        <v>7</v>
      </c>
      <c r="N918" s="7" t="s">
        <v>514</v>
      </c>
      <c r="O918" s="14" t="str">
        <f>VLOOKUP(N918,Stock[#Data],2,FALSE)</f>
        <v>ဇေယျဝတီ Red</v>
      </c>
      <c r="P918" s="44">
        <f>VLOOKUP(N918,Stock[#Data],3,FALSE)</f>
        <v>0.64</v>
      </c>
      <c r="Q918" s="3">
        <f>VLOOKUP(N918,Stock[#Data],4,FALSE)</f>
        <v>14</v>
      </c>
      <c r="R918" s="11"/>
      <c r="S918" s="45">
        <f>IFERROR(Table4[[#This Row],[Bottle]]/Table4[[#This Row],[ပါဝင်မှု]]+Table4[[#This Row],[SalesPK]],0)</f>
        <v>200</v>
      </c>
      <c r="T918" s="12">
        <v>200</v>
      </c>
      <c r="U918" s="10">
        <f>Table4[[#This Row],[ပါဝင်မှု]]*Table4[[#This Row],[SalesPK]]+Table4[[#This Row],[Bottle]]</f>
        <v>2800</v>
      </c>
      <c r="V918" s="10">
        <f>Table4[[#This Row],[SalesBot]]*Table4[[#This Row],[ML]]</f>
        <v>1792</v>
      </c>
      <c r="W918" s="1">
        <f>VLOOKUP(N918,Stock[#Data],6,FALSE)</f>
        <v>1350</v>
      </c>
      <c r="X918" s="8">
        <f>+Table4[[#This Row],[SalesBot]]*Table4[[#This Row],[နှုံး]]</f>
        <v>3780000</v>
      </c>
      <c r="Y918" s="12"/>
      <c r="Z918" s="12"/>
      <c r="AA918" s="12"/>
      <c r="AB918" s="9"/>
      <c r="AC918" s="12"/>
      <c r="AD918" s="9"/>
      <c r="AE918" s="12"/>
      <c r="AF91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3780000</v>
      </c>
      <c r="AG918" s="24"/>
      <c r="AH918" s="266"/>
      <c r="AI918" s="264"/>
      <c r="AJ918" s="264"/>
      <c r="AK918" s="270"/>
      <c r="AL918" s="270"/>
      <c r="AM918" s="271"/>
      <c r="AN918" s="272"/>
      <c r="AO918" s="273"/>
      <c r="AP918" s="268"/>
      <c r="AQ918" s="268"/>
      <c r="AR918" s="268"/>
    </row>
    <row r="919" spans="1:44" s="16" customFormat="1" hidden="1" x14ac:dyDescent="0.5">
      <c r="A919" s="3">
        <f t="shared" si="174"/>
        <v>2026</v>
      </c>
      <c r="B919" s="8">
        <f t="shared" si="175"/>
        <v>2</v>
      </c>
      <c r="C919" s="6">
        <v>46077</v>
      </c>
      <c r="D919" s="15">
        <f t="shared" ca="1" si="176"/>
        <v>46097</v>
      </c>
      <c r="E919" s="15" t="str">
        <f t="shared" ca="1" si="177"/>
        <v>0-Months</v>
      </c>
      <c r="F919" s="8" t="str">
        <f>VLOOKUP(N919,Stock[#Data],5,FALSE)</f>
        <v>BE</v>
      </c>
      <c r="G919" s="82" t="s">
        <v>1543</v>
      </c>
      <c r="H919" s="15"/>
      <c r="I919" s="7" t="s">
        <v>98</v>
      </c>
      <c r="J919" s="8" t="str">
        <f>VLOOKUP(I919,Customers[#Data],2,FALSE)</f>
        <v>ကိုထိုက်စိုး</v>
      </c>
      <c r="K919" s="15" t="str">
        <f>VLOOKUP(I919,Customers[#Data],4,FALSE)</f>
        <v>Yay</v>
      </c>
      <c r="L919" s="15" t="str">
        <f>VLOOKUP(I919,Customers[#Data],5,FALSE)</f>
        <v>WholeSales</v>
      </c>
      <c r="M919" s="7" t="s">
        <v>7</v>
      </c>
      <c r="N919" s="7" t="s">
        <v>517</v>
      </c>
      <c r="O919" s="14" t="str">
        <f>VLOOKUP(N919,Stock[#Data],2,FALSE)</f>
        <v>ဇေယျဝတီ Red (1 Liter) 30%</v>
      </c>
      <c r="P919" s="44">
        <f>VLOOKUP(N919,Stock[#Data],3,FALSE)</f>
        <v>1</v>
      </c>
      <c r="Q919" s="3">
        <f>VLOOKUP(N919,Stock[#Data],4,FALSE)</f>
        <v>12</v>
      </c>
      <c r="R919" s="11"/>
      <c r="S919" s="45">
        <f>IFERROR(Table4[[#This Row],[Bottle]]/Table4[[#This Row],[ပါဝင်မှု]]+Table4[[#This Row],[SalesPK]],0)</f>
        <v>300</v>
      </c>
      <c r="T919" s="12">
        <v>300</v>
      </c>
      <c r="U919" s="10">
        <f>Table4[[#This Row],[ပါဝင်မှု]]*Table4[[#This Row],[SalesPK]]+Table4[[#This Row],[Bottle]]</f>
        <v>3600</v>
      </c>
      <c r="V919" s="10">
        <f>Table4[[#This Row],[SalesBot]]*Table4[[#This Row],[ML]]</f>
        <v>3600</v>
      </c>
      <c r="W919" s="1">
        <f>VLOOKUP(N919,Stock[#Data],6,FALSE)</f>
        <v>1710</v>
      </c>
      <c r="X919" s="8">
        <f>+Table4[[#This Row],[SalesBot]]*Table4[[#This Row],[နှုံး]]</f>
        <v>6156000</v>
      </c>
      <c r="Y919" s="12"/>
      <c r="Z919" s="12"/>
      <c r="AA919" s="12"/>
      <c r="AB919" s="9"/>
      <c r="AC919" s="12"/>
      <c r="AD919" s="9"/>
      <c r="AE919" s="12"/>
      <c r="AF91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6156000</v>
      </c>
      <c r="AG919" s="24"/>
      <c r="AH919" s="266"/>
      <c r="AI919" s="264"/>
      <c r="AJ919" s="264"/>
      <c r="AK919" s="270"/>
      <c r="AL919" s="270"/>
      <c r="AM919" s="271"/>
      <c r="AN919" s="272"/>
      <c r="AO919" s="273"/>
      <c r="AP919" s="268"/>
      <c r="AQ919" s="268"/>
      <c r="AR919" s="268"/>
    </row>
    <row r="920" spans="1:44" s="16" customFormat="1" hidden="1" x14ac:dyDescent="0.5">
      <c r="A920" s="3">
        <f t="shared" si="174"/>
        <v>2026</v>
      </c>
      <c r="B920" s="8">
        <f t="shared" si="175"/>
        <v>2</v>
      </c>
      <c r="C920" s="6">
        <v>46077</v>
      </c>
      <c r="D920" s="15">
        <f t="shared" ca="1" si="176"/>
        <v>46097</v>
      </c>
      <c r="E920" s="15" t="str">
        <f t="shared" ca="1" si="177"/>
        <v>0-Months</v>
      </c>
      <c r="F920" s="8" t="str">
        <f>VLOOKUP(N920,Stock[#Data],5,FALSE)</f>
        <v>BE</v>
      </c>
      <c r="G920" s="82" t="s">
        <v>1544</v>
      </c>
      <c r="H920" s="15"/>
      <c r="I920" s="7" t="s">
        <v>95</v>
      </c>
      <c r="J920" s="8" t="str">
        <f>VLOOKUP(I920,Customers[#Data],2,FALSE)</f>
        <v>ကျော်စတား</v>
      </c>
      <c r="K920" s="15" t="str">
        <f>VLOOKUP(I920,Customers[#Data],4,FALSE)</f>
        <v>Yay</v>
      </c>
      <c r="L920" s="15" t="str">
        <f>VLOOKUP(I920,Customers[#Data],5,FALSE)</f>
        <v>WholeSales</v>
      </c>
      <c r="M920" s="7" t="s">
        <v>7</v>
      </c>
      <c r="N920" s="7" t="s">
        <v>514</v>
      </c>
      <c r="O920" s="14" t="str">
        <f>VLOOKUP(N920,Stock[#Data],2,FALSE)</f>
        <v>ဇေယျဝတီ Red</v>
      </c>
      <c r="P920" s="44">
        <f>VLOOKUP(N920,Stock[#Data],3,FALSE)</f>
        <v>0.64</v>
      </c>
      <c r="Q920" s="3">
        <f>VLOOKUP(N920,Stock[#Data],4,FALSE)</f>
        <v>14</v>
      </c>
      <c r="R920" s="11"/>
      <c r="S920" s="45">
        <f>IFERROR(Table4[[#This Row],[Bottle]]/Table4[[#This Row],[ပါဝင်မှု]]+Table4[[#This Row],[SalesPK]],0)</f>
        <v>100</v>
      </c>
      <c r="T920" s="12">
        <v>100</v>
      </c>
      <c r="U920" s="10">
        <f>Table4[[#This Row],[ပါဝင်မှု]]*Table4[[#This Row],[SalesPK]]+Table4[[#This Row],[Bottle]]</f>
        <v>1400</v>
      </c>
      <c r="V920" s="10">
        <f>Table4[[#This Row],[SalesBot]]*Table4[[#This Row],[ML]]</f>
        <v>896</v>
      </c>
      <c r="W920" s="1">
        <f>VLOOKUP(N920,Stock[#Data],6,FALSE)</f>
        <v>1350</v>
      </c>
      <c r="X920" s="8">
        <f>+Table4[[#This Row],[SalesBot]]*Table4[[#This Row],[နှုံး]]</f>
        <v>1890000</v>
      </c>
      <c r="Y920" s="12"/>
      <c r="Z920" s="12"/>
      <c r="AA920" s="12"/>
      <c r="AB920" s="9"/>
      <c r="AC920" s="12"/>
      <c r="AD920" s="9"/>
      <c r="AE920" s="12"/>
      <c r="AF92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920" s="24"/>
      <c r="AH920" s="266"/>
      <c r="AI920" s="264"/>
      <c r="AJ920" s="264"/>
      <c r="AK920" s="270"/>
      <c r="AL920" s="270"/>
      <c r="AM920" s="271"/>
      <c r="AN920" s="272"/>
      <c r="AO920" s="273"/>
      <c r="AP920" s="268"/>
      <c r="AQ920" s="268"/>
      <c r="AR920" s="268"/>
    </row>
    <row r="921" spans="1:44" s="16" customFormat="1" hidden="1" x14ac:dyDescent="0.5">
      <c r="A921" s="3">
        <f t="shared" si="174"/>
        <v>2026</v>
      </c>
      <c r="B921" s="8">
        <f t="shared" si="175"/>
        <v>2</v>
      </c>
      <c r="C921" s="6">
        <v>46077</v>
      </c>
      <c r="D921" s="15">
        <f t="shared" ca="1" si="176"/>
        <v>46097</v>
      </c>
      <c r="E921" s="15" t="str">
        <f t="shared" ca="1" si="177"/>
        <v>0-Months</v>
      </c>
      <c r="F921" s="8" t="str">
        <f>VLOOKUP(N921,Stock[#Data],5,FALSE)</f>
        <v>BE</v>
      </c>
      <c r="G921" s="82" t="s">
        <v>1544</v>
      </c>
      <c r="H921" s="15"/>
      <c r="I921" s="7" t="s">
        <v>95</v>
      </c>
      <c r="J921" s="8" t="str">
        <f>VLOOKUP(I921,Customers[#Data],2,FALSE)</f>
        <v>ကျော်စတား</v>
      </c>
      <c r="K921" s="15" t="str">
        <f>VLOOKUP(I921,Customers[#Data],4,FALSE)</f>
        <v>Yay</v>
      </c>
      <c r="L921" s="15" t="str">
        <f>VLOOKUP(I921,Customers[#Data],5,FALSE)</f>
        <v>WholeSales</v>
      </c>
      <c r="M921" s="7" t="s">
        <v>7</v>
      </c>
      <c r="N921" s="7" t="s">
        <v>517</v>
      </c>
      <c r="O921" s="14" t="str">
        <f>VLOOKUP(N921,Stock[#Data],2,FALSE)</f>
        <v>ဇေယျဝတီ Red (1 Liter) 30%</v>
      </c>
      <c r="P921" s="44">
        <f>VLOOKUP(N921,Stock[#Data],3,FALSE)</f>
        <v>1</v>
      </c>
      <c r="Q921" s="3">
        <f>VLOOKUP(N921,Stock[#Data],4,FALSE)</f>
        <v>12</v>
      </c>
      <c r="R921" s="11"/>
      <c r="S921" s="45">
        <f>IFERROR(Table4[[#This Row],[Bottle]]/Table4[[#This Row],[ပါဝင်မှု]]+Table4[[#This Row],[SalesPK]],0)</f>
        <v>100</v>
      </c>
      <c r="T921" s="12">
        <v>100</v>
      </c>
      <c r="U921" s="10">
        <f>Table4[[#This Row],[ပါဝင်မှု]]*Table4[[#This Row],[SalesPK]]+Table4[[#This Row],[Bottle]]</f>
        <v>1200</v>
      </c>
      <c r="V921" s="10">
        <f>Table4[[#This Row],[SalesBot]]*Table4[[#This Row],[ML]]</f>
        <v>1200</v>
      </c>
      <c r="W921" s="1">
        <f>VLOOKUP(N921,Stock[#Data],6,FALSE)</f>
        <v>1710</v>
      </c>
      <c r="X921" s="8">
        <f>+Table4[[#This Row],[SalesBot]]*Table4[[#This Row],[နှုံး]]</f>
        <v>2052000</v>
      </c>
      <c r="Y921" s="12"/>
      <c r="Z921" s="12"/>
      <c r="AA921" s="12"/>
      <c r="AB921" s="9"/>
      <c r="AC921" s="12"/>
      <c r="AD921" s="9"/>
      <c r="AE921" s="12"/>
      <c r="AF92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921" s="24"/>
      <c r="AH921" s="266"/>
      <c r="AI921" s="264"/>
      <c r="AJ921" s="264"/>
      <c r="AK921" s="270"/>
      <c r="AL921" s="270"/>
      <c r="AM921" s="271"/>
      <c r="AN921" s="272"/>
      <c r="AO921" s="273"/>
      <c r="AP921" s="268"/>
      <c r="AQ921" s="268"/>
      <c r="AR921" s="268"/>
    </row>
    <row r="922" spans="1:44" s="16" customFormat="1" hidden="1" x14ac:dyDescent="0.5">
      <c r="A922" s="3">
        <f t="shared" si="174"/>
        <v>2026</v>
      </c>
      <c r="B922" s="8">
        <f t="shared" si="175"/>
        <v>2</v>
      </c>
      <c r="C922" s="6">
        <v>46077</v>
      </c>
      <c r="D922" s="15">
        <f t="shared" ca="1" si="176"/>
        <v>46097</v>
      </c>
      <c r="E922" s="15" t="str">
        <f t="shared" ca="1" si="177"/>
        <v>0-Months</v>
      </c>
      <c r="F922" s="8" t="str">
        <f>VLOOKUP(N922,Stock[#Data],5,FALSE)</f>
        <v>BE</v>
      </c>
      <c r="G922" s="82" t="s">
        <v>1545</v>
      </c>
      <c r="H922" s="15"/>
      <c r="I922" s="7" t="s">
        <v>111</v>
      </c>
      <c r="J922" s="8" t="str">
        <f>VLOOKUP(I922,Customers[#Data],2,FALSE)</f>
        <v>လင်းသစ်</v>
      </c>
      <c r="K922" s="15" t="str">
        <f>VLOOKUP(I922,Customers[#Data],4,FALSE)</f>
        <v>Yay</v>
      </c>
      <c r="L922" s="15" t="str">
        <f>VLOOKUP(I922,Customers[#Data],5,FALSE)</f>
        <v>WholeSales</v>
      </c>
      <c r="M922" s="7" t="s">
        <v>6</v>
      </c>
      <c r="N922" s="7" t="s">
        <v>514</v>
      </c>
      <c r="O922" s="14" t="str">
        <f>VLOOKUP(N922,Stock[#Data],2,FALSE)</f>
        <v>ဇေယျဝတီ Red</v>
      </c>
      <c r="P922" s="44">
        <f>VLOOKUP(N922,Stock[#Data],3,FALSE)</f>
        <v>0.64</v>
      </c>
      <c r="Q922" s="3">
        <f>VLOOKUP(N922,Stock[#Data],4,FALSE)</f>
        <v>14</v>
      </c>
      <c r="R922" s="11"/>
      <c r="S922" s="45">
        <f>IFERROR(Table4[[#This Row],[Bottle]]/Table4[[#This Row],[ပါဝင်မှု]]+Table4[[#This Row],[SalesPK]],0)</f>
        <v>50</v>
      </c>
      <c r="T922" s="12">
        <v>50</v>
      </c>
      <c r="U922" s="10">
        <f>Table4[[#This Row],[ပါဝင်မှု]]*Table4[[#This Row],[SalesPK]]+Table4[[#This Row],[Bottle]]</f>
        <v>700</v>
      </c>
      <c r="V922" s="10">
        <f>Table4[[#This Row],[SalesBot]]*Table4[[#This Row],[ML]]</f>
        <v>448</v>
      </c>
      <c r="W922" s="1">
        <f>VLOOKUP(N922,Stock[#Data],6,FALSE)</f>
        <v>1350</v>
      </c>
      <c r="X922" s="8">
        <f>+Table4[[#This Row],[SalesBot]]*Table4[[#This Row],[နှုံး]]</f>
        <v>945000</v>
      </c>
      <c r="Y922" s="12"/>
      <c r="Z922" s="12"/>
      <c r="AA922" s="12"/>
      <c r="AB922" s="9"/>
      <c r="AC922" s="12"/>
      <c r="AD922" s="9"/>
      <c r="AE922" s="12"/>
      <c r="AF92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922" s="24"/>
      <c r="AH922" s="266"/>
      <c r="AI922" s="264"/>
      <c r="AJ922" s="264"/>
      <c r="AK922" s="270"/>
      <c r="AL922" s="270"/>
      <c r="AM922" s="271"/>
      <c r="AN922" s="272"/>
      <c r="AO922" s="273"/>
      <c r="AP922" s="268"/>
      <c r="AQ922" s="268"/>
      <c r="AR922" s="268"/>
    </row>
    <row r="923" spans="1:44" s="16" customFormat="1" hidden="1" x14ac:dyDescent="0.5">
      <c r="A923" s="3">
        <f t="shared" si="174"/>
        <v>2026</v>
      </c>
      <c r="B923" s="8">
        <f t="shared" si="175"/>
        <v>2</v>
      </c>
      <c r="C923" s="6">
        <v>46077</v>
      </c>
      <c r="D923" s="15">
        <f t="shared" ca="1" si="176"/>
        <v>46097</v>
      </c>
      <c r="E923" s="15" t="str">
        <f t="shared" ca="1" si="177"/>
        <v>0-Months</v>
      </c>
      <c r="F923" s="8" t="str">
        <f>VLOOKUP(N923,Stock[#Data],5,FALSE)</f>
        <v>BE</v>
      </c>
      <c r="G923" s="82" t="s">
        <v>1545</v>
      </c>
      <c r="H923" s="15"/>
      <c r="I923" s="7" t="s">
        <v>111</v>
      </c>
      <c r="J923" s="8" t="str">
        <f>VLOOKUP(I923,Customers[#Data],2,FALSE)</f>
        <v>လင်းသစ်</v>
      </c>
      <c r="K923" s="15" t="str">
        <f>VLOOKUP(I923,Customers[#Data],4,FALSE)</f>
        <v>Yay</v>
      </c>
      <c r="L923" s="15" t="str">
        <f>VLOOKUP(I923,Customers[#Data],5,FALSE)</f>
        <v>WholeSales</v>
      </c>
      <c r="M923" s="7" t="s">
        <v>6</v>
      </c>
      <c r="N923" s="7" t="s">
        <v>517</v>
      </c>
      <c r="O923" s="14" t="str">
        <f>VLOOKUP(N923,Stock[#Data],2,FALSE)</f>
        <v>ဇေယျဝတီ Red (1 Liter) 30%</v>
      </c>
      <c r="P923" s="44">
        <f>VLOOKUP(N923,Stock[#Data],3,FALSE)</f>
        <v>1</v>
      </c>
      <c r="Q923" s="3">
        <f>VLOOKUP(N923,Stock[#Data],4,FALSE)</f>
        <v>12</v>
      </c>
      <c r="R923" s="11"/>
      <c r="S923" s="45">
        <f>IFERROR(Table4[[#This Row],[Bottle]]/Table4[[#This Row],[ပါဝင်မှု]]+Table4[[#This Row],[SalesPK]],0)</f>
        <v>50</v>
      </c>
      <c r="T923" s="12">
        <v>50</v>
      </c>
      <c r="U923" s="10">
        <f>Table4[[#This Row],[ပါဝင်မှု]]*Table4[[#This Row],[SalesPK]]+Table4[[#This Row],[Bottle]]</f>
        <v>600</v>
      </c>
      <c r="V923" s="10">
        <f>Table4[[#This Row],[SalesBot]]*Table4[[#This Row],[ML]]</f>
        <v>600</v>
      </c>
      <c r="W923" s="1">
        <f>VLOOKUP(N923,Stock[#Data],6,FALSE)</f>
        <v>1710</v>
      </c>
      <c r="X923" s="8">
        <f>+Table4[[#This Row],[SalesBot]]*Table4[[#This Row],[နှုံး]]</f>
        <v>1026000</v>
      </c>
      <c r="Y923" s="12"/>
      <c r="Z923" s="12"/>
      <c r="AA923" s="12"/>
      <c r="AB923" s="9"/>
      <c r="AC923" s="12"/>
      <c r="AD923" s="9"/>
      <c r="AE923" s="12"/>
      <c r="AF92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923" s="24"/>
      <c r="AH923" s="266"/>
      <c r="AI923" s="264"/>
      <c r="AJ923" s="264"/>
      <c r="AK923" s="270"/>
      <c r="AL923" s="270"/>
      <c r="AM923" s="271"/>
      <c r="AN923" s="272"/>
      <c r="AO923" s="273"/>
      <c r="AP923" s="268"/>
      <c r="AQ923" s="268"/>
      <c r="AR923" s="268"/>
    </row>
    <row r="924" spans="1:44" s="16" customFormat="1" hidden="1" x14ac:dyDescent="0.5">
      <c r="A924" s="3">
        <f t="shared" si="174"/>
        <v>2026</v>
      </c>
      <c r="B924" s="8">
        <f t="shared" si="175"/>
        <v>2</v>
      </c>
      <c r="C924" s="6">
        <v>46077</v>
      </c>
      <c r="D924" s="15">
        <f t="shared" ca="1" si="176"/>
        <v>46097</v>
      </c>
      <c r="E924" s="15" t="str">
        <f t="shared" ca="1" si="177"/>
        <v>0-Months</v>
      </c>
      <c r="F924" s="8" t="str">
        <f>VLOOKUP(N924,Stock[#Data],5,FALSE)</f>
        <v>BE</v>
      </c>
      <c r="G924" s="82" t="s">
        <v>1546</v>
      </c>
      <c r="H924" s="15"/>
      <c r="I924" s="7" t="s">
        <v>922</v>
      </c>
      <c r="J924" s="8" t="str">
        <f>VLOOKUP(I924,Customers[#Data],2,FALSE)</f>
        <v>မိုးဆမ်း</v>
      </c>
      <c r="K924" s="15" t="str">
        <f>VLOOKUP(I924,Customers[#Data],4,FALSE)</f>
        <v>Mudon</v>
      </c>
      <c r="L924" s="15" t="str">
        <f>VLOOKUP(I924,Customers[#Data],5,FALSE)</f>
        <v>SemiWholeSales</v>
      </c>
      <c r="M924" s="7" t="s">
        <v>6</v>
      </c>
      <c r="N924" s="7" t="s">
        <v>520</v>
      </c>
      <c r="O924" s="14" t="str">
        <f>VLOOKUP(N924,Stock[#Data],2,FALSE)</f>
        <v>ဇေယျဝတီ  Red(ပု)</v>
      </c>
      <c r="P924" s="44">
        <f>VLOOKUP(N924,Stock[#Data],3,FALSE)</f>
        <v>0.64</v>
      </c>
      <c r="Q924" s="3">
        <f>VLOOKUP(N924,Stock[#Data],4,FALSE)</f>
        <v>14</v>
      </c>
      <c r="R924" s="11"/>
      <c r="S924" s="45">
        <f>IFERROR(Table4[[#This Row],[Bottle]]/Table4[[#This Row],[ပါဝင်မှု]]+Table4[[#This Row],[SalesPK]],0)</f>
        <v>50</v>
      </c>
      <c r="T924" s="12">
        <v>50</v>
      </c>
      <c r="U924" s="10">
        <f>Table4[[#This Row],[ပါဝင်မှု]]*Table4[[#This Row],[SalesPK]]+Table4[[#This Row],[Bottle]]</f>
        <v>700</v>
      </c>
      <c r="V924" s="10">
        <f>Table4[[#This Row],[SalesBot]]*Table4[[#This Row],[ML]]</f>
        <v>448</v>
      </c>
      <c r="W924" s="1">
        <f>VLOOKUP(N924,Stock[#Data],6,FALSE)</f>
        <v>1800</v>
      </c>
      <c r="X924" s="8">
        <f>+Table4[[#This Row],[SalesBot]]*Table4[[#This Row],[နှုံး]]</f>
        <v>1260000</v>
      </c>
      <c r="Y924" s="12"/>
      <c r="Z924" s="12"/>
      <c r="AA924" s="12"/>
      <c r="AB924" s="9"/>
      <c r="AC924" s="12"/>
      <c r="AD924" s="9"/>
      <c r="AE924" s="12"/>
      <c r="AF92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924" s="24"/>
      <c r="AH924" s="266"/>
      <c r="AI924" s="264"/>
      <c r="AJ924" s="264"/>
      <c r="AK924" s="270"/>
      <c r="AL924" s="270"/>
      <c r="AM924" s="271"/>
      <c r="AN924" s="272"/>
      <c r="AO924" s="273"/>
      <c r="AP924" s="268"/>
      <c r="AQ924" s="268"/>
      <c r="AR924" s="268"/>
    </row>
    <row r="925" spans="1:44" s="16" customFormat="1" hidden="1" x14ac:dyDescent="0.5">
      <c r="A925" s="3">
        <f t="shared" si="174"/>
        <v>2026</v>
      </c>
      <c r="B925" s="8">
        <f t="shared" si="175"/>
        <v>2</v>
      </c>
      <c r="C925" s="6">
        <v>46077</v>
      </c>
      <c r="D925" s="15">
        <f t="shared" ca="1" si="176"/>
        <v>46097</v>
      </c>
      <c r="E925" s="15" t="str">
        <f t="shared" ca="1" si="177"/>
        <v>0-Months</v>
      </c>
      <c r="F925" s="8" t="str">
        <f>VLOOKUP(N925,Stock[#Data],5,FALSE)</f>
        <v>BE</v>
      </c>
      <c r="G925" s="82" t="s">
        <v>1546</v>
      </c>
      <c r="H925" s="15"/>
      <c r="I925" s="7" t="s">
        <v>563</v>
      </c>
      <c r="J925" s="8" t="str">
        <f>VLOOKUP(I925,Customers[#Data],2,FALSE)</f>
        <v>အမောင်</v>
      </c>
      <c r="K925" s="15" t="str">
        <f>VLOOKUP(I925,Customers[#Data],4,FALSE)</f>
        <v>Mudon</v>
      </c>
      <c r="L925" s="15" t="str">
        <f>VLOOKUP(I925,Customers[#Data],5,FALSE)</f>
        <v>Van Sales</v>
      </c>
      <c r="M925" s="7" t="s">
        <v>6</v>
      </c>
      <c r="N925" s="7" t="s">
        <v>520</v>
      </c>
      <c r="O925" s="14" t="str">
        <f>VLOOKUP(N925,Stock[#Data],2,FALSE)</f>
        <v>ဇေယျဝတီ  Red(ပု)</v>
      </c>
      <c r="P925" s="44">
        <f>VLOOKUP(N925,Stock[#Data],3,FALSE)</f>
        <v>0.64</v>
      </c>
      <c r="Q925" s="3">
        <f>VLOOKUP(N925,Stock[#Data],4,FALSE)</f>
        <v>14</v>
      </c>
      <c r="R925" s="11"/>
      <c r="S925" s="45">
        <f>IFERROR(Table4[[#This Row],[Bottle]]/Table4[[#This Row],[ပါဝင်မှု]]+Table4[[#This Row],[SalesPK]],0)</f>
        <v>25</v>
      </c>
      <c r="T925" s="12">
        <v>25</v>
      </c>
      <c r="U925" s="10">
        <f>Table4[[#This Row],[ပါဝင်မှု]]*Table4[[#This Row],[SalesPK]]+Table4[[#This Row],[Bottle]]</f>
        <v>350</v>
      </c>
      <c r="V925" s="10">
        <f>Table4[[#This Row],[SalesBot]]*Table4[[#This Row],[ML]]</f>
        <v>224</v>
      </c>
      <c r="W925" s="1">
        <f>VLOOKUP(N925,Stock[#Data],6,FALSE)</f>
        <v>1800</v>
      </c>
      <c r="X925" s="8">
        <f>+Table4[[#This Row],[SalesBot]]*Table4[[#This Row],[နှုံး]]</f>
        <v>630000</v>
      </c>
      <c r="Y925" s="12"/>
      <c r="Z925" s="12"/>
      <c r="AA925" s="12"/>
      <c r="AB925" s="9"/>
      <c r="AC925" s="12"/>
      <c r="AD925" s="9"/>
      <c r="AE925" s="12"/>
      <c r="AF92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630000</v>
      </c>
      <c r="AG925" s="24"/>
      <c r="AH925" s="266"/>
      <c r="AI925" s="264"/>
      <c r="AJ925" s="264"/>
      <c r="AK925" s="270"/>
      <c r="AL925" s="270"/>
      <c r="AM925" s="271"/>
      <c r="AN925" s="272"/>
      <c r="AO925" s="273"/>
      <c r="AP925" s="268"/>
      <c r="AQ925" s="268"/>
      <c r="AR925" s="268"/>
    </row>
    <row r="926" spans="1:44" s="16" customFormat="1" hidden="1" x14ac:dyDescent="0.5">
      <c r="A926" s="3">
        <f t="shared" si="174"/>
        <v>2026</v>
      </c>
      <c r="B926" s="8">
        <f t="shared" si="175"/>
        <v>2</v>
      </c>
      <c r="C926" s="6">
        <v>46077</v>
      </c>
      <c r="D926" s="15">
        <f t="shared" ca="1" si="176"/>
        <v>46097</v>
      </c>
      <c r="E926" s="15" t="str">
        <f t="shared" ca="1" si="177"/>
        <v>0-Months</v>
      </c>
      <c r="F926" s="8" t="str">
        <f>VLOOKUP(N926,Stock[#Data],5,FALSE)</f>
        <v>BE</v>
      </c>
      <c r="G926" s="82" t="s">
        <v>1547</v>
      </c>
      <c r="H926" s="15"/>
      <c r="I926" s="7" t="s">
        <v>562</v>
      </c>
      <c r="J926" s="8" t="str">
        <f>VLOOKUP(I926,Customers[#Data],2,FALSE)</f>
        <v>မ‌ေ၀-၂</v>
      </c>
      <c r="K926" s="15" t="str">
        <f>VLOOKUP(I926,Customers[#Data],4,FALSE)</f>
        <v>Mudon</v>
      </c>
      <c r="L926" s="15" t="str">
        <f>VLOOKUP(I926,Customers[#Data],5,FALSE)</f>
        <v>Van Sales</v>
      </c>
      <c r="M926" s="7" t="s">
        <v>6</v>
      </c>
      <c r="N926" s="7" t="s">
        <v>520</v>
      </c>
      <c r="O926" s="14" t="str">
        <f>VLOOKUP(N926,Stock[#Data],2,FALSE)</f>
        <v>ဇေယျဝတီ  Red(ပု)</v>
      </c>
      <c r="P926" s="44">
        <f>VLOOKUP(N926,Stock[#Data],3,FALSE)</f>
        <v>0.64</v>
      </c>
      <c r="Q926" s="3">
        <f>VLOOKUP(N926,Stock[#Data],4,FALSE)</f>
        <v>14</v>
      </c>
      <c r="R926" s="11"/>
      <c r="S926" s="45">
        <f>IFERROR(Table4[[#This Row],[Bottle]]/Table4[[#This Row],[ပါဝင်မှု]]+Table4[[#This Row],[SalesPK]],0)</f>
        <v>30</v>
      </c>
      <c r="T926" s="12">
        <v>30</v>
      </c>
      <c r="U926" s="10">
        <f>Table4[[#This Row],[ပါဝင်မှု]]*Table4[[#This Row],[SalesPK]]+Table4[[#This Row],[Bottle]]</f>
        <v>420</v>
      </c>
      <c r="V926" s="10">
        <f>Table4[[#This Row],[SalesBot]]*Table4[[#This Row],[ML]]</f>
        <v>268.8</v>
      </c>
      <c r="W926" s="1">
        <f>VLOOKUP(N926,Stock[#Data],6,FALSE)</f>
        <v>1800</v>
      </c>
      <c r="X926" s="8">
        <f>+Table4[[#This Row],[SalesBot]]*Table4[[#This Row],[နှုံး]]</f>
        <v>756000</v>
      </c>
      <c r="Y926" s="12"/>
      <c r="Z926" s="12"/>
      <c r="AA926" s="12"/>
      <c r="AB926" s="9"/>
      <c r="AC926" s="12"/>
      <c r="AD926" s="9"/>
      <c r="AE926" s="12"/>
      <c r="AF92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756000</v>
      </c>
      <c r="AG926" s="24"/>
      <c r="AH926" s="266"/>
      <c r="AI926" s="264"/>
      <c r="AJ926" s="264"/>
      <c r="AK926" s="270"/>
      <c r="AL926" s="270"/>
      <c r="AM926" s="271"/>
      <c r="AN926" s="272"/>
      <c r="AO926" s="273"/>
      <c r="AP926" s="268"/>
      <c r="AQ926" s="268"/>
      <c r="AR926" s="268"/>
    </row>
    <row r="927" spans="1:44" s="16" customFormat="1" hidden="1" x14ac:dyDescent="0.5">
      <c r="A927" s="3">
        <f t="shared" si="174"/>
        <v>2026</v>
      </c>
      <c r="B927" s="8">
        <f t="shared" si="175"/>
        <v>2</v>
      </c>
      <c r="C927" s="6">
        <v>46077</v>
      </c>
      <c r="D927" s="15">
        <f t="shared" ca="1" si="176"/>
        <v>46097</v>
      </c>
      <c r="E927" s="15" t="str">
        <f t="shared" ca="1" si="177"/>
        <v>0-Months</v>
      </c>
      <c r="F927" s="8" t="str">
        <f>VLOOKUP(N927,Stock[#Data],5,FALSE)</f>
        <v>BE</v>
      </c>
      <c r="G927" s="82" t="s">
        <v>1548</v>
      </c>
      <c r="H927" s="15"/>
      <c r="I927" s="7" t="s">
        <v>647</v>
      </c>
      <c r="J927" s="8" t="str">
        <f>VLOOKUP(I927,Customers[#Data],2,FALSE)</f>
        <v>အလင်းသစ်</v>
      </c>
      <c r="K927" s="15" t="str">
        <f>VLOOKUP(I927,Customers[#Data],4,FALSE)</f>
        <v>Mudon</v>
      </c>
      <c r="L927" s="15" t="str">
        <f>VLOOKUP(I927,Customers[#Data],5,FALSE)</f>
        <v>Van Sales</v>
      </c>
      <c r="M927" s="7" t="s">
        <v>6</v>
      </c>
      <c r="N927" s="7" t="s">
        <v>518</v>
      </c>
      <c r="O927" s="14" t="str">
        <f>VLOOKUP(N927,Stock[#Data],2,FALSE)</f>
        <v>"ဇေ" ကော်ဘူး (1 Liter)</v>
      </c>
      <c r="P927" s="44">
        <f>VLOOKUP(N927,Stock[#Data],3,FALSE)</f>
        <v>1</v>
      </c>
      <c r="Q927" s="3">
        <f>VLOOKUP(N927,Stock[#Data],4,FALSE)</f>
        <v>12</v>
      </c>
      <c r="R927" s="11"/>
      <c r="S927" s="45">
        <f>IFERROR(Table4[[#This Row],[Bottle]]/Table4[[#This Row],[ပါဝင်မှု]]+Table4[[#This Row],[SalesPK]],0)</f>
        <v>5</v>
      </c>
      <c r="T927" s="12">
        <v>5</v>
      </c>
      <c r="U927" s="10">
        <f>Table4[[#This Row],[ပါဝင်မှု]]*Table4[[#This Row],[SalesPK]]+Table4[[#This Row],[Bottle]]</f>
        <v>60</v>
      </c>
      <c r="V927" s="10">
        <f>Table4[[#This Row],[SalesBot]]*Table4[[#This Row],[ML]]</f>
        <v>60</v>
      </c>
      <c r="W927" s="1">
        <f>VLOOKUP(N927,Stock[#Data],6,FALSE)</f>
        <v>1675</v>
      </c>
      <c r="X927" s="8">
        <f>+Table4[[#This Row],[SalesBot]]*Table4[[#This Row],[နှုံး]]</f>
        <v>100500</v>
      </c>
      <c r="Y927" s="12"/>
      <c r="Z927" s="12"/>
      <c r="AA927" s="12"/>
      <c r="AB927" s="9"/>
      <c r="AC927" s="12"/>
      <c r="AD927" s="9"/>
      <c r="AE927" s="12"/>
      <c r="AF92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927" s="24"/>
      <c r="AH927" s="266"/>
      <c r="AI927" s="264"/>
      <c r="AJ927" s="264"/>
      <c r="AK927" s="270"/>
      <c r="AL927" s="270"/>
      <c r="AM927" s="271"/>
      <c r="AN927" s="272"/>
      <c r="AO927" s="273"/>
      <c r="AP927" s="268"/>
      <c r="AQ927" s="268"/>
      <c r="AR927" s="268"/>
    </row>
    <row r="928" spans="1:44" s="16" customFormat="1" hidden="1" x14ac:dyDescent="0.5">
      <c r="A928" s="3">
        <f t="shared" si="174"/>
        <v>2026</v>
      </c>
      <c r="B928" s="8">
        <f t="shared" si="175"/>
        <v>2</v>
      </c>
      <c r="C928" s="6">
        <v>46077</v>
      </c>
      <c r="D928" s="15">
        <f t="shared" ca="1" si="176"/>
        <v>46097</v>
      </c>
      <c r="E928" s="15" t="str">
        <f t="shared" ca="1" si="177"/>
        <v>0-Months</v>
      </c>
      <c r="F928" s="8" t="str">
        <f>VLOOKUP(N928,Stock[#Data],5,FALSE)</f>
        <v>BE</v>
      </c>
      <c r="G928" s="82" t="s">
        <v>1549</v>
      </c>
      <c r="H928" s="15"/>
      <c r="I928" s="7" t="s">
        <v>827</v>
      </c>
      <c r="J928" s="8" t="str">
        <f>VLOOKUP(I928,Customers[#Data],2,FALSE)</f>
        <v>မိုးဆန်းချာလီ</v>
      </c>
      <c r="K928" s="15" t="str">
        <f>VLOOKUP(I928,Customers[#Data],4,FALSE)</f>
        <v>Thein Zayet</v>
      </c>
      <c r="L928" s="15" t="str">
        <f>VLOOKUP(I928,Customers[#Data],5,FALSE)</f>
        <v>WholeSales</v>
      </c>
      <c r="M928" s="7" t="s">
        <v>6</v>
      </c>
      <c r="N928" s="7" t="s">
        <v>521</v>
      </c>
      <c r="O928" s="14" t="str">
        <f>VLOOKUP(N928,Stock[#Data],2,FALSE)</f>
        <v>ဒဂုံအရက်သန့်</v>
      </c>
      <c r="P928" s="44">
        <f>VLOOKUP(N928,Stock[#Data],3,FALSE)</f>
        <v>0.64</v>
      </c>
      <c r="Q928" s="3">
        <f>VLOOKUP(N928,Stock[#Data],4,FALSE)</f>
        <v>24</v>
      </c>
      <c r="R928" s="11"/>
      <c r="S928" s="45">
        <f>IFERROR(Table4[[#This Row],[Bottle]]/Table4[[#This Row],[ပါဝင်မှု]]+Table4[[#This Row],[SalesPK]],0)</f>
        <v>20</v>
      </c>
      <c r="T928" s="12">
        <v>20</v>
      </c>
      <c r="U928" s="10">
        <f>Table4[[#This Row],[ပါဝင်မှု]]*Table4[[#This Row],[SalesPK]]+Table4[[#This Row],[Bottle]]</f>
        <v>480</v>
      </c>
      <c r="V928" s="10">
        <f>Table4[[#This Row],[SalesBot]]*Table4[[#This Row],[ML]]</f>
        <v>307.2</v>
      </c>
      <c r="W928" s="1">
        <f>VLOOKUP(N928,Stock[#Data],6,FALSE)</f>
        <v>1350</v>
      </c>
      <c r="X928" s="8">
        <f>+Table4[[#This Row],[SalesBot]]*Table4[[#This Row],[နှုံး]]</f>
        <v>648000</v>
      </c>
      <c r="Y928" s="12"/>
      <c r="Z928" s="12"/>
      <c r="AA928" s="12"/>
      <c r="AB928" s="9"/>
      <c r="AC928" s="12"/>
      <c r="AD928" s="9"/>
      <c r="AE928" s="12"/>
      <c r="AF92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648000</v>
      </c>
      <c r="AG928" s="24"/>
      <c r="AH928" s="266"/>
      <c r="AI928" s="264"/>
      <c r="AJ928" s="264"/>
      <c r="AK928" s="270"/>
      <c r="AL928" s="270"/>
      <c r="AM928" s="271"/>
      <c r="AN928" s="272"/>
      <c r="AO928" s="273"/>
      <c r="AP928" s="268"/>
      <c r="AQ928" s="268"/>
      <c r="AR928" s="268"/>
    </row>
    <row r="929" spans="1:44" s="16" customFormat="1" hidden="1" x14ac:dyDescent="0.5">
      <c r="A929" s="3">
        <f t="shared" si="174"/>
        <v>2026</v>
      </c>
      <c r="B929" s="8">
        <f t="shared" si="175"/>
        <v>2</v>
      </c>
      <c r="C929" s="6">
        <v>46077</v>
      </c>
      <c r="D929" s="15">
        <f t="shared" ca="1" si="176"/>
        <v>46097</v>
      </c>
      <c r="E929" s="15" t="str">
        <f t="shared" ca="1" si="177"/>
        <v>0-Months</v>
      </c>
      <c r="F929" s="8" t="str">
        <f>VLOOKUP(N929,Stock[#Data],5,FALSE)</f>
        <v>BE</v>
      </c>
      <c r="G929" s="82" t="s">
        <v>1549</v>
      </c>
      <c r="H929" s="15"/>
      <c r="I929" s="7" t="s">
        <v>827</v>
      </c>
      <c r="J929" s="8" t="str">
        <f>VLOOKUP(I929,Customers[#Data],2,FALSE)</f>
        <v>မိုးဆန်းချာလီ</v>
      </c>
      <c r="K929" s="15" t="str">
        <f>VLOOKUP(I929,Customers[#Data],4,FALSE)</f>
        <v>Thein Zayet</v>
      </c>
      <c r="L929" s="15" t="str">
        <f>VLOOKUP(I929,Customers[#Data],5,FALSE)</f>
        <v>WholeSales</v>
      </c>
      <c r="M929" s="7" t="s">
        <v>6</v>
      </c>
      <c r="N929" s="7" t="s">
        <v>532</v>
      </c>
      <c r="O929" s="14" t="str">
        <f>VLOOKUP(N929,Stock[#Data],2,FALSE)</f>
        <v>ဇေယျဝတီ Red</v>
      </c>
      <c r="P929" s="44">
        <f>VLOOKUP(N929,Stock[#Data],3,FALSE)</f>
        <v>0.64</v>
      </c>
      <c r="Q929" s="3">
        <f>VLOOKUP(N929,Stock[#Data],4,FALSE)</f>
        <v>24</v>
      </c>
      <c r="R929" s="11"/>
      <c r="S929" s="45">
        <f>IFERROR(Table4[[#This Row],[Bottle]]/Table4[[#This Row],[ပါဝင်မှု]]+Table4[[#This Row],[SalesPK]],0)</f>
        <v>30</v>
      </c>
      <c r="T929" s="12">
        <v>30</v>
      </c>
      <c r="U929" s="10">
        <f>Table4[[#This Row],[ပါဝင်မှု]]*Table4[[#This Row],[SalesPK]]+Table4[[#This Row],[Bottle]]</f>
        <v>720</v>
      </c>
      <c r="V929" s="10">
        <f>Table4[[#This Row],[SalesBot]]*Table4[[#This Row],[ML]]</f>
        <v>460.8</v>
      </c>
      <c r="W929" s="1">
        <f>VLOOKUP(N929,Stock[#Data],6,FALSE)</f>
        <v>1350</v>
      </c>
      <c r="X929" s="8">
        <f>+Table4[[#This Row],[SalesBot]]*Table4[[#This Row],[နှုံး]]</f>
        <v>972000</v>
      </c>
      <c r="Y929" s="12"/>
      <c r="Z929" s="12"/>
      <c r="AA929" s="12"/>
      <c r="AB929" s="9"/>
      <c r="AC929" s="12"/>
      <c r="AD929" s="9"/>
      <c r="AE929" s="12"/>
      <c r="AF92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972000</v>
      </c>
      <c r="AG929" s="24"/>
      <c r="AH929" s="266"/>
      <c r="AI929" s="264"/>
      <c r="AJ929" s="264"/>
      <c r="AK929" s="270"/>
      <c r="AL929" s="270"/>
      <c r="AM929" s="271"/>
      <c r="AN929" s="272"/>
      <c r="AO929" s="273"/>
      <c r="AP929" s="268"/>
      <c r="AQ929" s="268"/>
      <c r="AR929" s="268"/>
    </row>
    <row r="930" spans="1:44" s="16" customFormat="1" hidden="1" x14ac:dyDescent="0.5">
      <c r="A930" s="3">
        <f t="shared" si="174"/>
        <v>2026</v>
      </c>
      <c r="B930" s="8">
        <f t="shared" si="175"/>
        <v>2</v>
      </c>
      <c r="C930" s="6">
        <v>46077</v>
      </c>
      <c r="D930" s="15">
        <f t="shared" ca="1" si="176"/>
        <v>46097</v>
      </c>
      <c r="E930" s="15" t="str">
        <f t="shared" ca="1" si="177"/>
        <v>0-Months</v>
      </c>
      <c r="F930" s="8" t="str">
        <f>VLOOKUP(N930,Stock[#Data],5,FALSE)</f>
        <v>BE</v>
      </c>
      <c r="G930" s="82" t="s">
        <v>1549</v>
      </c>
      <c r="H930" s="15"/>
      <c r="I930" s="7" t="s">
        <v>827</v>
      </c>
      <c r="J930" s="8" t="str">
        <f>VLOOKUP(I930,Customers[#Data],2,FALSE)</f>
        <v>မိုးဆန်းချာလီ</v>
      </c>
      <c r="K930" s="15" t="str">
        <f>VLOOKUP(I930,Customers[#Data],4,FALSE)</f>
        <v>Thein Zayet</v>
      </c>
      <c r="L930" s="15" t="str">
        <f>VLOOKUP(I930,Customers[#Data],5,FALSE)</f>
        <v>WholeSales</v>
      </c>
      <c r="M930" s="7" t="s">
        <v>6</v>
      </c>
      <c r="N930" s="7" t="s">
        <v>517</v>
      </c>
      <c r="O930" s="14" t="str">
        <f>VLOOKUP(N930,Stock[#Data],2,FALSE)</f>
        <v>ဇေယျဝတီ Red (1 Liter) 30%</v>
      </c>
      <c r="P930" s="44">
        <f>VLOOKUP(N930,Stock[#Data],3,FALSE)</f>
        <v>1</v>
      </c>
      <c r="Q930" s="3">
        <f>VLOOKUP(N930,Stock[#Data],4,FALSE)</f>
        <v>12</v>
      </c>
      <c r="R930" s="11"/>
      <c r="S930" s="45">
        <f>IFERROR(Table4[[#This Row],[Bottle]]/Table4[[#This Row],[ပါဝင်မှု]]+Table4[[#This Row],[SalesPK]],0)</f>
        <v>20</v>
      </c>
      <c r="T930" s="12">
        <v>20</v>
      </c>
      <c r="U930" s="10">
        <f>Table4[[#This Row],[ပါဝင်မှု]]*Table4[[#This Row],[SalesPK]]+Table4[[#This Row],[Bottle]]</f>
        <v>240</v>
      </c>
      <c r="V930" s="10">
        <f>Table4[[#This Row],[SalesBot]]*Table4[[#This Row],[ML]]</f>
        <v>240</v>
      </c>
      <c r="W930" s="1">
        <f>VLOOKUP(N930,Stock[#Data],6,FALSE)</f>
        <v>1710</v>
      </c>
      <c r="X930" s="8">
        <f>+Table4[[#This Row],[SalesBot]]*Table4[[#This Row],[နှုံး]]</f>
        <v>410400</v>
      </c>
      <c r="Y930" s="12"/>
      <c r="Z930" s="12"/>
      <c r="AA930" s="12"/>
      <c r="AB930" s="9"/>
      <c r="AC930" s="12"/>
      <c r="AD930" s="9"/>
      <c r="AE930" s="12"/>
      <c r="AF93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410400</v>
      </c>
      <c r="AG930" s="24"/>
      <c r="AH930" s="266"/>
      <c r="AI930" s="264"/>
      <c r="AJ930" s="264"/>
      <c r="AK930" s="270"/>
      <c r="AL930" s="270"/>
      <c r="AM930" s="271"/>
      <c r="AN930" s="272"/>
      <c r="AO930" s="273"/>
      <c r="AP930" s="268"/>
      <c r="AQ930" s="268"/>
      <c r="AR930" s="268"/>
    </row>
    <row r="931" spans="1:44" s="16" customFormat="1" hidden="1" x14ac:dyDescent="0.5">
      <c r="A931" s="3">
        <f t="shared" si="174"/>
        <v>2026</v>
      </c>
      <c r="B931" s="8">
        <f t="shared" si="175"/>
        <v>2</v>
      </c>
      <c r="C931" s="6">
        <v>46077</v>
      </c>
      <c r="D931" s="15">
        <f t="shared" ca="1" si="176"/>
        <v>46097</v>
      </c>
      <c r="E931" s="15" t="str">
        <f t="shared" ca="1" si="177"/>
        <v>0-Months</v>
      </c>
      <c r="F931" s="8" t="str">
        <f>VLOOKUP(N931,Stock[#Data],5,FALSE)</f>
        <v>BE</v>
      </c>
      <c r="G931" s="82" t="s">
        <v>1549</v>
      </c>
      <c r="H931" s="15"/>
      <c r="I931" s="7" t="s">
        <v>827</v>
      </c>
      <c r="J931" s="8" t="str">
        <f>VLOOKUP(I931,Customers[#Data],2,FALSE)</f>
        <v>မိုးဆန်းချာလီ</v>
      </c>
      <c r="K931" s="15" t="str">
        <f>VLOOKUP(I931,Customers[#Data],4,FALSE)</f>
        <v>Thein Zayet</v>
      </c>
      <c r="L931" s="15" t="str">
        <f>VLOOKUP(I931,Customers[#Data],5,FALSE)</f>
        <v>WholeSales</v>
      </c>
      <c r="M931" s="7" t="s">
        <v>6</v>
      </c>
      <c r="N931" s="7" t="s">
        <v>514</v>
      </c>
      <c r="O931" s="14" t="str">
        <f>VLOOKUP(N931,Stock[#Data],2,FALSE)</f>
        <v>ဇေယျဝတီ Red</v>
      </c>
      <c r="P931" s="44">
        <f>VLOOKUP(N931,Stock[#Data],3,FALSE)</f>
        <v>0.64</v>
      </c>
      <c r="Q931" s="3">
        <f>VLOOKUP(N931,Stock[#Data],4,FALSE)</f>
        <v>14</v>
      </c>
      <c r="R931" s="11"/>
      <c r="S931" s="45">
        <f>IFERROR(Table4[[#This Row],[Bottle]]/Table4[[#This Row],[ပါဝင်မှု]]+Table4[[#This Row],[SalesPK]],0)</f>
        <v>100</v>
      </c>
      <c r="T931" s="12">
        <v>100</v>
      </c>
      <c r="U931" s="10">
        <f>Table4[[#This Row],[ပါဝင်မှု]]*Table4[[#This Row],[SalesPK]]+Table4[[#This Row],[Bottle]]</f>
        <v>1400</v>
      </c>
      <c r="V931" s="10">
        <f>Table4[[#This Row],[SalesBot]]*Table4[[#This Row],[ML]]</f>
        <v>896</v>
      </c>
      <c r="W931" s="1">
        <f>VLOOKUP(N931,Stock[#Data],6,FALSE)</f>
        <v>1350</v>
      </c>
      <c r="X931" s="8">
        <f>+Table4[[#This Row],[SalesBot]]*Table4[[#This Row],[နှုံး]]</f>
        <v>1890000</v>
      </c>
      <c r="Y931" s="12"/>
      <c r="Z931" s="12"/>
      <c r="AA931" s="12"/>
      <c r="AB931" s="9"/>
      <c r="AC931" s="12"/>
      <c r="AD931" s="9"/>
      <c r="AE931" s="12"/>
      <c r="AF93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931" s="24"/>
      <c r="AH931" s="266"/>
      <c r="AI931" s="264"/>
      <c r="AJ931" s="264"/>
      <c r="AK931" s="270"/>
      <c r="AL931" s="270"/>
      <c r="AM931" s="271"/>
      <c r="AN931" s="272"/>
      <c r="AO931" s="273"/>
      <c r="AP931" s="268"/>
      <c r="AQ931" s="268"/>
      <c r="AR931" s="268"/>
    </row>
    <row r="932" spans="1:44" s="16" customFormat="1" hidden="1" x14ac:dyDescent="0.5">
      <c r="A932" s="3">
        <f t="shared" si="174"/>
        <v>2026</v>
      </c>
      <c r="B932" s="8">
        <f t="shared" si="175"/>
        <v>2</v>
      </c>
      <c r="C932" s="6">
        <v>46077</v>
      </c>
      <c r="D932" s="15">
        <f t="shared" ca="1" si="176"/>
        <v>46097</v>
      </c>
      <c r="E932" s="15" t="str">
        <f t="shared" ca="1" si="177"/>
        <v>0-Months</v>
      </c>
      <c r="F932" s="8" t="str">
        <f>VLOOKUP(N932,Stock[#Data],5,FALSE)</f>
        <v>BE</v>
      </c>
      <c r="G932" s="82" t="s">
        <v>1549</v>
      </c>
      <c r="H932" s="15"/>
      <c r="I932" s="7" t="s">
        <v>827</v>
      </c>
      <c r="J932" s="8" t="str">
        <f>VLOOKUP(I932,Customers[#Data],2,FALSE)</f>
        <v>မိုးဆန်းချာလီ</v>
      </c>
      <c r="K932" s="15" t="str">
        <f>VLOOKUP(I932,Customers[#Data],4,FALSE)</f>
        <v>Thein Zayet</v>
      </c>
      <c r="L932" s="15" t="str">
        <f>VLOOKUP(I932,Customers[#Data],5,FALSE)</f>
        <v>WholeSales</v>
      </c>
      <c r="M932" s="7" t="s">
        <v>9</v>
      </c>
      <c r="N932" s="7" t="s">
        <v>514</v>
      </c>
      <c r="O932" s="14" t="str">
        <f>VLOOKUP(N932,Stock[#Data],2,FALSE)</f>
        <v>ဇေယျဝတီ Red</v>
      </c>
      <c r="P932" s="44">
        <f>VLOOKUP(N932,Stock[#Data],3,FALSE)</f>
        <v>0.64</v>
      </c>
      <c r="Q932" s="3">
        <f>VLOOKUP(N932,Stock[#Data],4,FALSE)</f>
        <v>14</v>
      </c>
      <c r="R932" s="11">
        <v>5</v>
      </c>
      <c r="S932" s="45">
        <f>IFERROR(Table4[[#This Row],[Bottle]]/Table4[[#This Row],[ပါဝင်မှု]]+Table4[[#This Row],[SalesPK]],0)</f>
        <v>0.35714285714285715</v>
      </c>
      <c r="T932" s="12"/>
      <c r="U932" s="10">
        <f>Table4[[#This Row],[ပါဝင်မှု]]*Table4[[#This Row],[SalesPK]]+Table4[[#This Row],[Bottle]]</f>
        <v>5</v>
      </c>
      <c r="V932" s="10">
        <f>Table4[[#This Row],[SalesBot]]*Table4[[#This Row],[ML]]</f>
        <v>3.2</v>
      </c>
      <c r="W932" s="1">
        <f>VLOOKUP(N932,Stock[#Data],6,FALSE)</f>
        <v>1350</v>
      </c>
      <c r="X932" s="8">
        <f>+Table4[[#This Row],[SalesBot]]*Table4[[#This Row],[နှုံး]]</f>
        <v>6750</v>
      </c>
      <c r="Y932" s="12"/>
      <c r="Z932" s="12"/>
      <c r="AA932" s="12"/>
      <c r="AB932" s="9"/>
      <c r="AC932" s="12"/>
      <c r="AD932" s="9"/>
      <c r="AE932" s="12"/>
      <c r="AF93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6750</v>
      </c>
      <c r="AG932" s="24"/>
      <c r="AH932" s="266"/>
      <c r="AI932" s="264"/>
      <c r="AJ932" s="264"/>
      <c r="AK932" s="270"/>
      <c r="AL932" s="270"/>
      <c r="AM932" s="271"/>
      <c r="AN932" s="272"/>
      <c r="AO932" s="273"/>
      <c r="AP932" s="268"/>
      <c r="AQ932" s="268"/>
      <c r="AR932" s="268"/>
    </row>
    <row r="933" spans="1:44" s="16" customFormat="1" hidden="1" x14ac:dyDescent="0.5">
      <c r="A933" s="3">
        <f t="shared" si="174"/>
        <v>2026</v>
      </c>
      <c r="B933" s="8">
        <f t="shared" si="175"/>
        <v>2</v>
      </c>
      <c r="C933" s="6">
        <v>46077</v>
      </c>
      <c r="D933" s="15">
        <f t="shared" ca="1" si="176"/>
        <v>46097</v>
      </c>
      <c r="E933" s="15" t="str">
        <f t="shared" ca="1" si="177"/>
        <v>0-Months</v>
      </c>
      <c r="F933" s="8" t="str">
        <f>VLOOKUP(N933,Stock[#Data],5,FALSE)</f>
        <v>BE</v>
      </c>
      <c r="G933" s="82" t="s">
        <v>1550</v>
      </c>
      <c r="H933" s="15" t="s">
        <v>439</v>
      </c>
      <c r="I933" s="7" t="s">
        <v>560</v>
      </c>
      <c r="J933" s="8" t="str">
        <f>VLOOKUP(I933,Customers[#Data],2,FALSE)</f>
        <v>မသန္တာ</v>
      </c>
      <c r="K933" s="15" t="str">
        <f>VLOOKUP(I933,Customers[#Data],4,FALSE)</f>
        <v>Maw La Myaing</v>
      </c>
      <c r="L933" s="15" t="str">
        <f>VLOOKUP(I933,Customers[#Data],5,FALSE)</f>
        <v>Van Sales</v>
      </c>
      <c r="M933" s="7" t="s">
        <v>6</v>
      </c>
      <c r="N933" s="7" t="s">
        <v>518</v>
      </c>
      <c r="O933" s="14" t="str">
        <f>VLOOKUP(N933,Stock[#Data],2,FALSE)</f>
        <v>"ဇေ" ကော်ဘူး (1 Liter)</v>
      </c>
      <c r="P933" s="44">
        <f>VLOOKUP(N933,Stock[#Data],3,FALSE)</f>
        <v>1</v>
      </c>
      <c r="Q933" s="3">
        <f>VLOOKUP(N933,Stock[#Data],4,FALSE)</f>
        <v>12</v>
      </c>
      <c r="R933" s="11"/>
      <c r="S933" s="45">
        <f>IFERROR(Table4[[#This Row],[Bottle]]/Table4[[#This Row],[ပါဝင်မှု]]+Table4[[#This Row],[SalesPK]],0)</f>
        <v>3</v>
      </c>
      <c r="T933" s="12">
        <v>3</v>
      </c>
      <c r="U933" s="10">
        <f>Table4[[#This Row],[ပါဝင်မှု]]*Table4[[#This Row],[SalesPK]]+Table4[[#This Row],[Bottle]]</f>
        <v>36</v>
      </c>
      <c r="V933" s="10">
        <f>Table4[[#This Row],[SalesBot]]*Table4[[#This Row],[ML]]</f>
        <v>36</v>
      </c>
      <c r="W933" s="1">
        <f>VLOOKUP(N933,Stock[#Data],6,FALSE)</f>
        <v>1675</v>
      </c>
      <c r="X933" s="8">
        <f>+Table4[[#This Row],[SalesBot]]*Table4[[#This Row],[နှုံး]]</f>
        <v>60300</v>
      </c>
      <c r="Y933" s="12"/>
      <c r="Z933" s="12"/>
      <c r="AA933" s="12"/>
      <c r="AB933" s="9"/>
      <c r="AC933" s="12"/>
      <c r="AD933" s="9"/>
      <c r="AE933" s="12"/>
      <c r="AF93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60300</v>
      </c>
      <c r="AG933" s="24"/>
      <c r="AH933" s="266"/>
      <c r="AI933" s="264"/>
      <c r="AJ933" s="264"/>
      <c r="AK933" s="270"/>
      <c r="AL933" s="270"/>
      <c r="AM933" s="271"/>
      <c r="AN933" s="272"/>
      <c r="AO933" s="273"/>
      <c r="AP933" s="268"/>
      <c r="AQ933" s="268"/>
      <c r="AR933" s="268"/>
    </row>
    <row r="934" spans="1:44" s="16" customFormat="1" hidden="1" x14ac:dyDescent="0.5">
      <c r="A934" s="3">
        <f t="shared" si="174"/>
        <v>2026</v>
      </c>
      <c r="B934" s="8">
        <f t="shared" si="175"/>
        <v>2</v>
      </c>
      <c r="C934" s="6">
        <v>46077</v>
      </c>
      <c r="D934" s="15">
        <f t="shared" ca="1" si="176"/>
        <v>46097</v>
      </c>
      <c r="E934" s="15" t="str">
        <f t="shared" ca="1" si="177"/>
        <v>0-Months</v>
      </c>
      <c r="F934" s="8" t="str">
        <f>VLOOKUP(N934,Stock[#Data],5,FALSE)</f>
        <v>BE</v>
      </c>
      <c r="G934" s="82" t="s">
        <v>1551</v>
      </c>
      <c r="H934" s="15" t="s">
        <v>439</v>
      </c>
      <c r="I934" s="7" t="s">
        <v>584</v>
      </c>
      <c r="J934" s="8" t="str">
        <f>VLOOKUP(I934,Customers[#Data],2,FALSE)</f>
        <v>ယမုံနာ</v>
      </c>
      <c r="K934" s="15" t="str">
        <f>VLOOKUP(I934,Customers[#Data],4,FALSE)</f>
        <v>Maw La Myaing</v>
      </c>
      <c r="L934" s="15" t="str">
        <f>VLOOKUP(I934,Customers[#Data],5,FALSE)</f>
        <v>Van Sales</v>
      </c>
      <c r="M934" s="7" t="s">
        <v>6</v>
      </c>
      <c r="N934" s="7" t="s">
        <v>518</v>
      </c>
      <c r="O934" s="14" t="str">
        <f>VLOOKUP(N934,Stock[#Data],2,FALSE)</f>
        <v>"ဇေ" ကော်ဘူး (1 Liter)</v>
      </c>
      <c r="P934" s="44">
        <f>VLOOKUP(N934,Stock[#Data],3,FALSE)</f>
        <v>1</v>
      </c>
      <c r="Q934" s="3">
        <f>VLOOKUP(N934,Stock[#Data],4,FALSE)</f>
        <v>12</v>
      </c>
      <c r="R934" s="11"/>
      <c r="S934" s="45">
        <f>IFERROR(Table4[[#This Row],[Bottle]]/Table4[[#This Row],[ပါဝင်မှု]]+Table4[[#This Row],[SalesPK]],0)</f>
        <v>10</v>
      </c>
      <c r="T934" s="12">
        <v>10</v>
      </c>
      <c r="U934" s="10">
        <f>Table4[[#This Row],[ပါဝင်မှု]]*Table4[[#This Row],[SalesPK]]+Table4[[#This Row],[Bottle]]</f>
        <v>120</v>
      </c>
      <c r="V934" s="10">
        <f>Table4[[#This Row],[SalesBot]]*Table4[[#This Row],[ML]]</f>
        <v>120</v>
      </c>
      <c r="W934" s="1">
        <f>VLOOKUP(N934,Stock[#Data],6,FALSE)</f>
        <v>1675</v>
      </c>
      <c r="X934" s="8">
        <f>+Table4[[#This Row],[SalesBot]]*Table4[[#This Row],[နှုံး]]</f>
        <v>201000</v>
      </c>
      <c r="Y934" s="12"/>
      <c r="Z934" s="12"/>
      <c r="AA934" s="12"/>
      <c r="AB934" s="9"/>
      <c r="AC934" s="12"/>
      <c r="AD934" s="9"/>
      <c r="AE934" s="12"/>
      <c r="AF93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201000</v>
      </c>
      <c r="AG934" s="24"/>
      <c r="AH934" s="266"/>
      <c r="AI934" s="264"/>
      <c r="AJ934" s="264"/>
      <c r="AK934" s="270"/>
      <c r="AL934" s="270"/>
      <c r="AM934" s="271"/>
      <c r="AN934" s="272"/>
      <c r="AO934" s="273"/>
      <c r="AP934" s="268"/>
      <c r="AQ934" s="268"/>
      <c r="AR934" s="268"/>
    </row>
    <row r="935" spans="1:44" s="16" customFormat="1" hidden="1" x14ac:dyDescent="0.5">
      <c r="A935" s="3">
        <f t="shared" si="174"/>
        <v>2026</v>
      </c>
      <c r="B935" s="8">
        <f t="shared" si="175"/>
        <v>2</v>
      </c>
      <c r="C935" s="6">
        <v>46077</v>
      </c>
      <c r="D935" s="15">
        <f t="shared" ca="1" si="176"/>
        <v>46097</v>
      </c>
      <c r="E935" s="15" t="str">
        <f t="shared" ca="1" si="177"/>
        <v>0-Months</v>
      </c>
      <c r="F935" s="8" t="str">
        <f>VLOOKUP(N935,Stock[#Data],5,FALSE)</f>
        <v>BE</v>
      </c>
      <c r="G935" s="82" t="s">
        <v>1551</v>
      </c>
      <c r="H935" s="15" t="s">
        <v>439</v>
      </c>
      <c r="I935" s="7" t="s">
        <v>1552</v>
      </c>
      <c r="J935" s="8" t="str">
        <f>VLOOKUP(I935,Customers[#Data],2,FALSE)</f>
        <v>Tow Brother</v>
      </c>
      <c r="K935" s="15" t="str">
        <f>VLOOKUP(I935,Customers[#Data],4,FALSE)</f>
        <v>Maw La Myaing</v>
      </c>
      <c r="L935" s="15" t="str">
        <f>VLOOKUP(I935,Customers[#Data],5,FALSE)</f>
        <v>Van Sales</v>
      </c>
      <c r="M935" s="7" t="s">
        <v>6</v>
      </c>
      <c r="N935" s="7" t="s">
        <v>518</v>
      </c>
      <c r="O935" s="14" t="str">
        <f>VLOOKUP(N935,Stock[#Data],2,FALSE)</f>
        <v>"ဇေ" ကော်ဘူး (1 Liter)</v>
      </c>
      <c r="P935" s="44">
        <f>VLOOKUP(N935,Stock[#Data],3,FALSE)</f>
        <v>1</v>
      </c>
      <c r="Q935" s="3">
        <f>VLOOKUP(N935,Stock[#Data],4,FALSE)</f>
        <v>12</v>
      </c>
      <c r="R935" s="11"/>
      <c r="S935" s="45">
        <f>IFERROR(Table4[[#This Row],[Bottle]]/Table4[[#This Row],[ပါဝင်မှု]]+Table4[[#This Row],[SalesPK]],0)</f>
        <v>2</v>
      </c>
      <c r="T935" s="12">
        <v>2</v>
      </c>
      <c r="U935" s="10">
        <f>Table4[[#This Row],[ပါဝင်မှု]]*Table4[[#This Row],[SalesPK]]+Table4[[#This Row],[Bottle]]</f>
        <v>24</v>
      </c>
      <c r="V935" s="10">
        <f>Table4[[#This Row],[SalesBot]]*Table4[[#This Row],[ML]]</f>
        <v>24</v>
      </c>
      <c r="W935" s="1">
        <f>VLOOKUP(N935,Stock[#Data],6,FALSE)</f>
        <v>1675</v>
      </c>
      <c r="X935" s="8">
        <f>+Table4[[#This Row],[SalesBot]]*Table4[[#This Row],[နှုံး]]</f>
        <v>40200</v>
      </c>
      <c r="Y935" s="12"/>
      <c r="Z935" s="12"/>
      <c r="AA935" s="12"/>
      <c r="AB935" s="9"/>
      <c r="AC935" s="12"/>
      <c r="AD935" s="9"/>
      <c r="AE935" s="12"/>
      <c r="AF93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40200</v>
      </c>
      <c r="AG935" s="24"/>
      <c r="AH935" s="266"/>
      <c r="AI935" s="264"/>
      <c r="AJ935" s="264"/>
      <c r="AK935" s="270"/>
      <c r="AL935" s="270"/>
      <c r="AM935" s="271"/>
      <c r="AN935" s="272"/>
      <c r="AO935" s="273"/>
      <c r="AP935" s="268"/>
      <c r="AQ935" s="268"/>
      <c r="AR935" s="268"/>
    </row>
    <row r="936" spans="1:44" s="16" customFormat="1" hidden="1" x14ac:dyDescent="0.5">
      <c r="A936" s="3">
        <f t="shared" si="174"/>
        <v>2026</v>
      </c>
      <c r="B936" s="8">
        <f t="shared" si="175"/>
        <v>2</v>
      </c>
      <c r="C936" s="6">
        <v>46077</v>
      </c>
      <c r="D936" s="15">
        <f t="shared" ca="1" si="176"/>
        <v>46097</v>
      </c>
      <c r="E936" s="15" t="str">
        <f t="shared" ca="1" si="177"/>
        <v>0-Months</v>
      </c>
      <c r="F936" s="8" t="str">
        <f>VLOOKUP(N936,Stock[#Data],5,FALSE)</f>
        <v>BE</v>
      </c>
      <c r="G936" s="82" t="s">
        <v>1551</v>
      </c>
      <c r="H936" s="15" t="s">
        <v>439</v>
      </c>
      <c r="I936" s="7" t="s">
        <v>1552</v>
      </c>
      <c r="J936" s="8" t="str">
        <f>VLOOKUP(I936,Customers[#Data],2,FALSE)</f>
        <v>Tow Brother</v>
      </c>
      <c r="K936" s="15" t="str">
        <f>VLOOKUP(I936,Customers[#Data],4,FALSE)</f>
        <v>Maw La Myaing</v>
      </c>
      <c r="L936" s="15" t="str">
        <f>VLOOKUP(I936,Customers[#Data],5,FALSE)</f>
        <v>Van Sales</v>
      </c>
      <c r="M936" s="7" t="s">
        <v>6</v>
      </c>
      <c r="N936" s="7" t="s">
        <v>522</v>
      </c>
      <c r="O936" s="14" t="str">
        <f>VLOOKUP(N936,Stock[#Data],2,FALSE)</f>
        <v>ဒဂုံမန်ကျည်း ကော်ဘူး (1 Liter)</v>
      </c>
      <c r="P936" s="44">
        <f>VLOOKUP(N936,Stock[#Data],3,FALSE)</f>
        <v>1</v>
      </c>
      <c r="Q936" s="3">
        <f>VLOOKUP(N936,Stock[#Data],4,FALSE)</f>
        <v>12</v>
      </c>
      <c r="R936" s="11"/>
      <c r="S936" s="45">
        <f>IFERROR(Table4[[#This Row],[Bottle]]/Table4[[#This Row],[ပါဝင်မှု]]+Table4[[#This Row],[SalesPK]],0)</f>
        <v>1</v>
      </c>
      <c r="T936" s="12">
        <v>1</v>
      </c>
      <c r="U936" s="10">
        <f>Table4[[#This Row],[ပါဝင်မှု]]*Table4[[#This Row],[SalesPK]]+Table4[[#This Row],[Bottle]]</f>
        <v>12</v>
      </c>
      <c r="V936" s="10">
        <f>Table4[[#This Row],[SalesBot]]*Table4[[#This Row],[ML]]</f>
        <v>12</v>
      </c>
      <c r="W936" s="1">
        <f>VLOOKUP(N936,Stock[#Data],6,FALSE)</f>
        <v>1600</v>
      </c>
      <c r="X936" s="8">
        <f>+Table4[[#This Row],[SalesBot]]*Table4[[#This Row],[နှုံး]]</f>
        <v>19200</v>
      </c>
      <c r="Y936" s="12"/>
      <c r="Z936" s="12"/>
      <c r="AA936" s="12"/>
      <c r="AB936" s="9"/>
      <c r="AC936" s="12"/>
      <c r="AD936" s="9"/>
      <c r="AE936" s="12"/>
      <c r="AF93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936" s="24"/>
      <c r="AH936" s="266"/>
      <c r="AI936" s="264"/>
      <c r="AJ936" s="264"/>
      <c r="AK936" s="270"/>
      <c r="AL936" s="270"/>
      <c r="AM936" s="271"/>
      <c r="AN936" s="272"/>
      <c r="AO936" s="273"/>
      <c r="AP936" s="268"/>
      <c r="AQ936" s="268"/>
      <c r="AR936" s="268"/>
    </row>
    <row r="937" spans="1:44" s="16" customFormat="1" hidden="1" x14ac:dyDescent="0.5">
      <c r="A937" s="3">
        <f t="shared" si="174"/>
        <v>2026</v>
      </c>
      <c r="B937" s="8">
        <f t="shared" si="175"/>
        <v>2</v>
      </c>
      <c r="C937" s="6">
        <v>46077</v>
      </c>
      <c r="D937" s="15">
        <f t="shared" ca="1" si="176"/>
        <v>46097</v>
      </c>
      <c r="E937" s="15" t="str">
        <f t="shared" ca="1" si="177"/>
        <v>0-Months</v>
      </c>
      <c r="F937" s="8" t="str">
        <f>VLOOKUP(N937,Stock[#Data],5,FALSE)</f>
        <v>BE</v>
      </c>
      <c r="G937" s="82" t="s">
        <v>1551</v>
      </c>
      <c r="H937" s="15" t="s">
        <v>439</v>
      </c>
      <c r="I937" s="7" t="s">
        <v>1552</v>
      </c>
      <c r="J937" s="8" t="str">
        <f>VLOOKUP(I937,Customers[#Data],2,FALSE)</f>
        <v>Tow Brother</v>
      </c>
      <c r="K937" s="15" t="str">
        <f>VLOOKUP(I937,Customers[#Data],4,FALSE)</f>
        <v>Maw La Myaing</v>
      </c>
      <c r="L937" s="15" t="str">
        <f>VLOOKUP(I937,Customers[#Data],5,FALSE)</f>
        <v>Van Sales</v>
      </c>
      <c r="M937" s="7" t="s">
        <v>9</v>
      </c>
      <c r="N937" s="7" t="s">
        <v>522</v>
      </c>
      <c r="O937" s="14" t="str">
        <f>VLOOKUP(N937,Stock[#Data],2,FALSE)</f>
        <v>ဒဂုံမန်ကျည်း ကော်ဘူး (1 Liter)</v>
      </c>
      <c r="P937" s="44">
        <f>VLOOKUP(N937,Stock[#Data],3,FALSE)</f>
        <v>1</v>
      </c>
      <c r="Q937" s="3">
        <f>VLOOKUP(N937,Stock[#Data],4,FALSE)</f>
        <v>12</v>
      </c>
      <c r="R937" s="11">
        <v>1</v>
      </c>
      <c r="S937" s="45">
        <f>IFERROR(Table4[[#This Row],[Bottle]]/Table4[[#This Row],[ပါဝင်မှု]]+Table4[[#This Row],[SalesPK]],0)</f>
        <v>8.3333333333333329E-2</v>
      </c>
      <c r="T937" s="12"/>
      <c r="U937" s="10">
        <f>Table4[[#This Row],[ပါဝင်မှု]]*Table4[[#This Row],[SalesPK]]+Table4[[#This Row],[Bottle]]</f>
        <v>1</v>
      </c>
      <c r="V937" s="10">
        <f>Table4[[#This Row],[SalesBot]]*Table4[[#This Row],[ML]]</f>
        <v>1</v>
      </c>
      <c r="W937" s="1">
        <f>VLOOKUP(N937,Stock[#Data],6,FALSE)</f>
        <v>1600</v>
      </c>
      <c r="X937" s="8">
        <f>+Table4[[#This Row],[SalesBot]]*Table4[[#This Row],[နှုံး]]</f>
        <v>1600</v>
      </c>
      <c r="Y937" s="12"/>
      <c r="Z937" s="12"/>
      <c r="AA937" s="12"/>
      <c r="AB937" s="9"/>
      <c r="AC937" s="12"/>
      <c r="AD937" s="9"/>
      <c r="AE937" s="12"/>
      <c r="AF93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937" s="24"/>
      <c r="AH937" s="266"/>
      <c r="AI937" s="264"/>
      <c r="AJ937" s="264"/>
      <c r="AK937" s="270"/>
      <c r="AL937" s="270"/>
      <c r="AM937" s="271"/>
      <c r="AN937" s="272"/>
      <c r="AO937" s="273"/>
      <c r="AP937" s="268"/>
      <c r="AQ937" s="268"/>
      <c r="AR937" s="268"/>
    </row>
    <row r="938" spans="1:44" s="16" customFormat="1" hidden="1" x14ac:dyDescent="0.5">
      <c r="A938" s="3">
        <f t="shared" si="174"/>
        <v>2026</v>
      </c>
      <c r="B938" s="8">
        <f t="shared" si="175"/>
        <v>2</v>
      </c>
      <c r="C938" s="6">
        <v>46077</v>
      </c>
      <c r="D938" s="15">
        <f t="shared" ca="1" si="176"/>
        <v>46097</v>
      </c>
      <c r="E938" s="15" t="str">
        <f t="shared" ca="1" si="177"/>
        <v>0-Months</v>
      </c>
      <c r="F938" s="8" t="str">
        <f>VLOOKUP(N938,Stock[#Data],5,FALSE)</f>
        <v>BE</v>
      </c>
      <c r="G938" s="82" t="s">
        <v>1553</v>
      </c>
      <c r="H938" s="15" t="s">
        <v>439</v>
      </c>
      <c r="I938" s="7" t="s">
        <v>601</v>
      </c>
      <c r="J938" s="8" t="str">
        <f>VLOOKUP(I938,Customers[#Data],2,FALSE)</f>
        <v>၀ဿာန်နှင်း</v>
      </c>
      <c r="K938" s="15" t="str">
        <f>VLOOKUP(I938,Customers[#Data],4,FALSE)</f>
        <v>Maw La Myaing</v>
      </c>
      <c r="L938" s="15" t="str">
        <f>VLOOKUP(I938,Customers[#Data],5,FALSE)</f>
        <v>Van Sales</v>
      </c>
      <c r="M938" s="7" t="s">
        <v>6</v>
      </c>
      <c r="N938" s="7" t="s">
        <v>425</v>
      </c>
      <c r="O938" s="14" t="str">
        <f>VLOOKUP(N938,Stock[#Data],2,FALSE)</f>
        <v>ကောင်းကြည်-1Li</v>
      </c>
      <c r="P938" s="44">
        <f>VLOOKUP(N938,Stock[#Data],3,FALSE)</f>
        <v>1</v>
      </c>
      <c r="Q938" s="3">
        <f>VLOOKUP(N938,Stock[#Data],4,FALSE)</f>
        <v>12</v>
      </c>
      <c r="R938" s="11"/>
      <c r="S938" s="45">
        <f>IFERROR(Table4[[#This Row],[Bottle]]/Table4[[#This Row],[ပါဝင်မှု]]+Table4[[#This Row],[SalesPK]],0)</f>
        <v>1</v>
      </c>
      <c r="T938" s="12">
        <v>1</v>
      </c>
      <c r="U938" s="10">
        <f>Table4[[#This Row],[ပါဝင်မှု]]*Table4[[#This Row],[SalesPK]]+Table4[[#This Row],[Bottle]]</f>
        <v>12</v>
      </c>
      <c r="V938" s="10">
        <f>Table4[[#This Row],[SalesBot]]*Table4[[#This Row],[ML]]</f>
        <v>12</v>
      </c>
      <c r="W938" s="1">
        <f>VLOOKUP(N938,Stock[#Data],6,FALSE)</f>
        <v>1500</v>
      </c>
      <c r="X938" s="8">
        <f>+Table4[[#This Row],[SalesBot]]*Table4[[#This Row],[နှုံး]]</f>
        <v>18000</v>
      </c>
      <c r="Y938" s="12"/>
      <c r="Z938" s="12"/>
      <c r="AA938" s="12"/>
      <c r="AB938" s="9"/>
      <c r="AC938" s="12"/>
      <c r="AD938" s="9"/>
      <c r="AE938" s="12"/>
      <c r="AF93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938" s="24"/>
      <c r="AH938" s="266"/>
      <c r="AI938" s="264"/>
      <c r="AJ938" s="264"/>
      <c r="AK938" s="270"/>
      <c r="AL938" s="270"/>
      <c r="AM938" s="271"/>
      <c r="AN938" s="272"/>
      <c r="AO938" s="273"/>
      <c r="AP938" s="268"/>
      <c r="AQ938" s="268"/>
      <c r="AR938" s="268"/>
    </row>
    <row r="939" spans="1:44" s="16" customFormat="1" hidden="1" x14ac:dyDescent="0.5">
      <c r="A939" s="3">
        <f t="shared" si="174"/>
        <v>2026</v>
      </c>
      <c r="B939" s="8">
        <f t="shared" si="175"/>
        <v>2</v>
      </c>
      <c r="C939" s="6">
        <v>46077</v>
      </c>
      <c r="D939" s="15">
        <f t="shared" ca="1" si="176"/>
        <v>46097</v>
      </c>
      <c r="E939" s="15" t="str">
        <f t="shared" ca="1" si="177"/>
        <v>0-Months</v>
      </c>
      <c r="F939" s="8" t="str">
        <f>VLOOKUP(N939,Stock[#Data],5,FALSE)</f>
        <v>BE</v>
      </c>
      <c r="G939" s="82" t="s">
        <v>1554</v>
      </c>
      <c r="H939" s="15" t="s">
        <v>439</v>
      </c>
      <c r="I939" s="7" t="s">
        <v>1337</v>
      </c>
      <c r="J939" s="8" t="str">
        <f>VLOOKUP(I939,Customers[#Data],2,FALSE)</f>
        <v>ဒေါ်ခင်သန်းမြင့်</v>
      </c>
      <c r="K939" s="15" t="str">
        <f>VLOOKUP(I939,Customers[#Data],4,FALSE)</f>
        <v>Maw La Myaing</v>
      </c>
      <c r="L939" s="15" t="str">
        <f>VLOOKUP(I939,Customers[#Data],5,FALSE)</f>
        <v>Van Sales</v>
      </c>
      <c r="M939" s="7" t="s">
        <v>6</v>
      </c>
      <c r="N939" s="7" t="s">
        <v>425</v>
      </c>
      <c r="O939" s="14" t="str">
        <f>VLOOKUP(N939,Stock[#Data],2,FALSE)</f>
        <v>ကောင်းကြည်-1Li</v>
      </c>
      <c r="P939" s="44">
        <f>VLOOKUP(N939,Stock[#Data],3,FALSE)</f>
        <v>1</v>
      </c>
      <c r="Q939" s="3">
        <f>VLOOKUP(N939,Stock[#Data],4,FALSE)</f>
        <v>12</v>
      </c>
      <c r="R939" s="11"/>
      <c r="S939" s="45">
        <f>IFERROR(Table4[[#This Row],[Bottle]]/Table4[[#This Row],[ပါဝင်မှု]]+Table4[[#This Row],[SalesPK]],0)</f>
        <v>3</v>
      </c>
      <c r="T939" s="12">
        <v>3</v>
      </c>
      <c r="U939" s="10">
        <f>Table4[[#This Row],[ပါဝင်မှု]]*Table4[[#This Row],[SalesPK]]+Table4[[#This Row],[Bottle]]</f>
        <v>36</v>
      </c>
      <c r="V939" s="10">
        <f>Table4[[#This Row],[SalesBot]]*Table4[[#This Row],[ML]]</f>
        <v>36</v>
      </c>
      <c r="W939" s="1">
        <f>VLOOKUP(N939,Stock[#Data],6,FALSE)</f>
        <v>1500</v>
      </c>
      <c r="X939" s="8">
        <f>+Table4[[#This Row],[SalesBot]]*Table4[[#This Row],[နှုံး]]</f>
        <v>54000</v>
      </c>
      <c r="Y939" s="12"/>
      <c r="Z939" s="12"/>
      <c r="AA939" s="12"/>
      <c r="AB939" s="9"/>
      <c r="AC939" s="12"/>
      <c r="AD939" s="9"/>
      <c r="AE939" s="12"/>
      <c r="AF93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54000</v>
      </c>
      <c r="AG939" s="24"/>
      <c r="AH939" s="266"/>
      <c r="AI939" s="264"/>
      <c r="AJ939" s="264"/>
      <c r="AK939" s="270"/>
      <c r="AL939" s="270"/>
      <c r="AM939" s="271"/>
      <c r="AN939" s="272"/>
      <c r="AO939" s="273"/>
      <c r="AP939" s="268"/>
      <c r="AQ939" s="268"/>
      <c r="AR939" s="268"/>
    </row>
    <row r="940" spans="1:44" s="16" customFormat="1" hidden="1" x14ac:dyDescent="0.5">
      <c r="A940" s="3">
        <f t="shared" si="174"/>
        <v>2026</v>
      </c>
      <c r="B940" s="8">
        <f t="shared" si="175"/>
        <v>2</v>
      </c>
      <c r="C940" s="6">
        <v>46077</v>
      </c>
      <c r="D940" s="15">
        <f t="shared" ca="1" si="176"/>
        <v>46097</v>
      </c>
      <c r="E940" s="15" t="str">
        <f t="shared" ca="1" si="177"/>
        <v>0-Months</v>
      </c>
      <c r="F940" s="8" t="str">
        <f>VLOOKUP(N940,Stock[#Data],5,FALSE)</f>
        <v>BE</v>
      </c>
      <c r="G940" s="82" t="s">
        <v>1554</v>
      </c>
      <c r="H940" s="15" t="s">
        <v>439</v>
      </c>
      <c r="I940" s="7" t="s">
        <v>1337</v>
      </c>
      <c r="J940" s="8" t="str">
        <f>VLOOKUP(I940,Customers[#Data],2,FALSE)</f>
        <v>ဒေါ်ခင်သန်းမြင့်</v>
      </c>
      <c r="K940" s="15" t="str">
        <f>VLOOKUP(I940,Customers[#Data],4,FALSE)</f>
        <v>Maw La Myaing</v>
      </c>
      <c r="L940" s="15" t="str">
        <f>VLOOKUP(I940,Customers[#Data],5,FALSE)</f>
        <v>Van Sales</v>
      </c>
      <c r="M940" s="7" t="s">
        <v>9</v>
      </c>
      <c r="N940" s="7" t="s">
        <v>425</v>
      </c>
      <c r="O940" s="14" t="str">
        <f>VLOOKUP(N940,Stock[#Data],2,FALSE)</f>
        <v>ကောင်းကြည်-1Li</v>
      </c>
      <c r="P940" s="44">
        <f>VLOOKUP(N940,Stock[#Data],3,FALSE)</f>
        <v>1</v>
      </c>
      <c r="Q940" s="3">
        <f>VLOOKUP(N940,Stock[#Data],4,FALSE)</f>
        <v>12</v>
      </c>
      <c r="R940" s="11">
        <v>2</v>
      </c>
      <c r="S940" s="45">
        <f>IFERROR(Table4[[#This Row],[Bottle]]/Table4[[#This Row],[ပါဝင်မှု]]+Table4[[#This Row],[SalesPK]],0)</f>
        <v>0.16666666666666666</v>
      </c>
      <c r="T940" s="12"/>
      <c r="U940" s="10">
        <f>Table4[[#This Row],[ပါဝင်မှု]]*Table4[[#This Row],[SalesPK]]+Table4[[#This Row],[Bottle]]</f>
        <v>2</v>
      </c>
      <c r="V940" s="10">
        <f>Table4[[#This Row],[SalesBot]]*Table4[[#This Row],[ML]]</f>
        <v>2</v>
      </c>
      <c r="W940" s="1">
        <f>VLOOKUP(N940,Stock[#Data],6,FALSE)</f>
        <v>1500</v>
      </c>
      <c r="X940" s="8">
        <f>+Table4[[#This Row],[SalesBot]]*Table4[[#This Row],[နှုံး]]</f>
        <v>3000</v>
      </c>
      <c r="Y940" s="12"/>
      <c r="Z940" s="12"/>
      <c r="AA940" s="12"/>
      <c r="AB940" s="9"/>
      <c r="AC940" s="12"/>
      <c r="AD940" s="9"/>
      <c r="AE940" s="12"/>
      <c r="AF94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3000</v>
      </c>
      <c r="AG940" s="24"/>
      <c r="AH940" s="266"/>
      <c r="AI940" s="264"/>
      <c r="AJ940" s="264"/>
      <c r="AK940" s="270"/>
      <c r="AL940" s="270"/>
      <c r="AM940" s="271"/>
      <c r="AN940" s="272"/>
      <c r="AO940" s="273"/>
      <c r="AP940" s="268"/>
      <c r="AQ940" s="268"/>
      <c r="AR940" s="268"/>
    </row>
    <row r="941" spans="1:44" s="16" customFormat="1" hidden="1" x14ac:dyDescent="0.5">
      <c r="A941" s="3">
        <f t="shared" si="174"/>
        <v>2026</v>
      </c>
      <c r="B941" s="8">
        <f t="shared" si="175"/>
        <v>2</v>
      </c>
      <c r="C941" s="6">
        <v>46077</v>
      </c>
      <c r="D941" s="15">
        <f t="shared" ca="1" si="176"/>
        <v>46097</v>
      </c>
      <c r="E941" s="15" t="str">
        <f t="shared" ca="1" si="177"/>
        <v>0-Months</v>
      </c>
      <c r="F941" s="8" t="str">
        <f>VLOOKUP(N941,Stock[#Data],5,FALSE)</f>
        <v>BE</v>
      </c>
      <c r="G941" s="82" t="s">
        <v>1554</v>
      </c>
      <c r="H941" s="15" t="s">
        <v>439</v>
      </c>
      <c r="I941" s="7" t="s">
        <v>601</v>
      </c>
      <c r="J941" s="8" t="str">
        <f>VLOOKUP(I941,Customers[#Data],2,FALSE)</f>
        <v>၀ဿာန်နှင်း</v>
      </c>
      <c r="K941" s="15" t="str">
        <f>VLOOKUP(I941,Customers[#Data],4,FALSE)</f>
        <v>Maw La Myaing</v>
      </c>
      <c r="L941" s="15" t="str">
        <f>VLOOKUP(I941,Customers[#Data],5,FALSE)</f>
        <v>Van Sales</v>
      </c>
      <c r="M941" s="7" t="s">
        <v>9</v>
      </c>
      <c r="N941" s="7" t="s">
        <v>425</v>
      </c>
      <c r="O941" s="14" t="str">
        <f>VLOOKUP(N941,Stock[#Data],2,FALSE)</f>
        <v>ကောင်းကြည်-1Li</v>
      </c>
      <c r="P941" s="44">
        <f>VLOOKUP(N941,Stock[#Data],3,FALSE)</f>
        <v>1</v>
      </c>
      <c r="Q941" s="3">
        <f>VLOOKUP(N941,Stock[#Data],4,FALSE)</f>
        <v>12</v>
      </c>
      <c r="R941" s="11">
        <v>1</v>
      </c>
      <c r="S941" s="45">
        <f>IFERROR(Table4[[#This Row],[Bottle]]/Table4[[#This Row],[ပါဝင်မှု]]+Table4[[#This Row],[SalesPK]],0)</f>
        <v>8.3333333333333329E-2</v>
      </c>
      <c r="T941" s="12"/>
      <c r="U941" s="10">
        <f>Table4[[#This Row],[ပါဝင်မှု]]*Table4[[#This Row],[SalesPK]]+Table4[[#This Row],[Bottle]]</f>
        <v>1</v>
      </c>
      <c r="V941" s="10">
        <f>Table4[[#This Row],[SalesBot]]*Table4[[#This Row],[ML]]</f>
        <v>1</v>
      </c>
      <c r="W941" s="1">
        <f>VLOOKUP(N941,Stock[#Data],6,FALSE)</f>
        <v>1500</v>
      </c>
      <c r="X941" s="8">
        <f>+Table4[[#This Row],[SalesBot]]*Table4[[#This Row],[နှုံး]]</f>
        <v>1500</v>
      </c>
      <c r="Y941" s="12"/>
      <c r="Z941" s="12"/>
      <c r="AA941" s="12"/>
      <c r="AB941" s="9"/>
      <c r="AC941" s="12"/>
      <c r="AD941" s="9"/>
      <c r="AE941" s="12"/>
      <c r="AF94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941" s="24"/>
      <c r="AH941" s="266"/>
      <c r="AI941" s="264"/>
      <c r="AJ941" s="264"/>
      <c r="AK941" s="270"/>
      <c r="AL941" s="270"/>
      <c r="AM941" s="271"/>
      <c r="AN941" s="272"/>
      <c r="AO941" s="273"/>
      <c r="AP941" s="268"/>
      <c r="AQ941" s="268"/>
      <c r="AR941" s="268"/>
    </row>
    <row r="942" spans="1:44" s="16" customFormat="1" hidden="1" x14ac:dyDescent="0.5">
      <c r="A942" s="3">
        <f t="shared" si="174"/>
        <v>2026</v>
      </c>
      <c r="B942" s="8">
        <f t="shared" si="175"/>
        <v>2</v>
      </c>
      <c r="C942" s="6">
        <v>46078</v>
      </c>
      <c r="D942" s="15">
        <f t="shared" ca="1" si="176"/>
        <v>46097</v>
      </c>
      <c r="E942" s="15" t="str">
        <f t="shared" ca="1" si="177"/>
        <v>0-Months</v>
      </c>
      <c r="F942" s="8" t="str">
        <f>VLOOKUP(N942,Stock[#Data],5,FALSE)</f>
        <v>BE</v>
      </c>
      <c r="G942" s="82" t="s">
        <v>1555</v>
      </c>
      <c r="H942" s="15"/>
      <c r="I942" s="7" t="s">
        <v>145</v>
      </c>
      <c r="J942" s="8" t="str">
        <f>VLOOKUP(I942,Customers[#Data],2,FALSE)</f>
        <v>ကိုအာနိုး</v>
      </c>
      <c r="K942" s="15" t="str">
        <f>VLOOKUP(I942,Customers[#Data],4,FALSE)</f>
        <v>yaY</v>
      </c>
      <c r="L942" s="15" t="str">
        <f>VLOOKUP(I942,Customers[#Data],5,FALSE)</f>
        <v>Van Sales</v>
      </c>
      <c r="M942" s="7" t="s">
        <v>7</v>
      </c>
      <c r="N942" s="7" t="s">
        <v>517</v>
      </c>
      <c r="O942" s="14" t="str">
        <f>VLOOKUP(N942,Stock[#Data],2,FALSE)</f>
        <v>ဇေယျဝတီ Red (1 Liter) 30%</v>
      </c>
      <c r="P942" s="44">
        <f>VLOOKUP(N942,Stock[#Data],3,FALSE)</f>
        <v>1</v>
      </c>
      <c r="Q942" s="3">
        <f>VLOOKUP(N942,Stock[#Data],4,FALSE)</f>
        <v>12</v>
      </c>
      <c r="R942" s="11"/>
      <c r="S942" s="45">
        <f>IFERROR(Table4[[#This Row],[Bottle]]/Table4[[#This Row],[ပါဝင်မှု]]+Table4[[#This Row],[SalesPK]],0)</f>
        <v>30</v>
      </c>
      <c r="T942" s="12">
        <v>30</v>
      </c>
      <c r="U942" s="10">
        <f>Table4[[#This Row],[ပါဝင်မှု]]*Table4[[#This Row],[SalesPK]]+Table4[[#This Row],[Bottle]]</f>
        <v>360</v>
      </c>
      <c r="V942" s="10">
        <f>Table4[[#This Row],[SalesBot]]*Table4[[#This Row],[ML]]</f>
        <v>360</v>
      </c>
      <c r="W942" s="1">
        <f>VLOOKUP(N942,Stock[#Data],6,FALSE)</f>
        <v>1710</v>
      </c>
      <c r="X942" s="8">
        <f>+Table4[[#This Row],[SalesBot]]*Table4[[#This Row],[နှုံး]]</f>
        <v>615600</v>
      </c>
      <c r="Y942" s="12"/>
      <c r="Z942" s="12"/>
      <c r="AA942" s="12"/>
      <c r="AB942" s="9"/>
      <c r="AC942" s="12"/>
      <c r="AD942" s="9"/>
      <c r="AE942" s="12"/>
      <c r="AF94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615600</v>
      </c>
      <c r="AG942" s="24"/>
      <c r="AH942" s="266"/>
      <c r="AI942" s="264"/>
      <c r="AJ942" s="264"/>
      <c r="AK942" s="270"/>
      <c r="AL942" s="270"/>
      <c r="AM942" s="271"/>
      <c r="AN942" s="272"/>
      <c r="AO942" s="273"/>
      <c r="AP942" s="268"/>
      <c r="AQ942" s="268"/>
      <c r="AR942" s="268"/>
    </row>
    <row r="943" spans="1:44" s="16" customFormat="1" hidden="1" x14ac:dyDescent="0.5">
      <c r="A943" s="3">
        <f t="shared" si="174"/>
        <v>2026</v>
      </c>
      <c r="B943" s="8">
        <f t="shared" si="175"/>
        <v>2</v>
      </c>
      <c r="C943" s="6">
        <v>46078</v>
      </c>
      <c r="D943" s="15">
        <f t="shared" ca="1" si="176"/>
        <v>46097</v>
      </c>
      <c r="E943" s="15" t="str">
        <f t="shared" ca="1" si="177"/>
        <v>0-Months</v>
      </c>
      <c r="F943" s="8" t="str">
        <f>VLOOKUP(N943,Stock[#Data],5,FALSE)</f>
        <v>BE</v>
      </c>
      <c r="G943" s="82" t="s">
        <v>1555</v>
      </c>
      <c r="H943" s="15"/>
      <c r="I943" s="7" t="s">
        <v>145</v>
      </c>
      <c r="J943" s="8" t="str">
        <f>VLOOKUP(I943,Customers[#Data],2,FALSE)</f>
        <v>ကိုအာနိုး</v>
      </c>
      <c r="K943" s="15" t="str">
        <f>VLOOKUP(I943,Customers[#Data],4,FALSE)</f>
        <v>yaY</v>
      </c>
      <c r="L943" s="15" t="str">
        <f>VLOOKUP(I943,Customers[#Data],5,FALSE)</f>
        <v>Van Sales</v>
      </c>
      <c r="M943" s="7" t="s">
        <v>9</v>
      </c>
      <c r="N943" s="7" t="s">
        <v>425</v>
      </c>
      <c r="O943" s="14" t="str">
        <f>VLOOKUP(N943,Stock[#Data],2,FALSE)</f>
        <v>ကောင်းကြည်-1Li</v>
      </c>
      <c r="P943" s="44">
        <f>VLOOKUP(N943,Stock[#Data],3,FALSE)</f>
        <v>1</v>
      </c>
      <c r="Q943" s="3">
        <f>VLOOKUP(N943,Stock[#Data],4,FALSE)</f>
        <v>12</v>
      </c>
      <c r="R943" s="11">
        <v>6</v>
      </c>
      <c r="S943" s="45">
        <f>IFERROR(Table4[[#This Row],[Bottle]]/Table4[[#This Row],[ပါဝင်မှု]]+Table4[[#This Row],[SalesPK]],0)</f>
        <v>0.5</v>
      </c>
      <c r="T943" s="12"/>
      <c r="U943" s="10">
        <f>Table4[[#This Row],[ပါဝင်မှု]]*Table4[[#This Row],[SalesPK]]+Table4[[#This Row],[Bottle]]</f>
        <v>6</v>
      </c>
      <c r="V943" s="10">
        <f>Table4[[#This Row],[SalesBot]]*Table4[[#This Row],[ML]]</f>
        <v>6</v>
      </c>
      <c r="W943" s="1">
        <f>VLOOKUP(N943,Stock[#Data],6,FALSE)</f>
        <v>1500</v>
      </c>
      <c r="X943" s="8">
        <f>+Table4[[#This Row],[SalesBot]]*Table4[[#This Row],[နှုံး]]</f>
        <v>9000</v>
      </c>
      <c r="Y943" s="12"/>
      <c r="Z943" s="12"/>
      <c r="AA943" s="12"/>
      <c r="AB943" s="9"/>
      <c r="AC943" s="12"/>
      <c r="AD943" s="9"/>
      <c r="AE943" s="12"/>
      <c r="AF94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9000</v>
      </c>
      <c r="AG943" s="24"/>
      <c r="AH943" s="266"/>
      <c r="AI943" s="264"/>
      <c r="AJ943" s="264"/>
      <c r="AK943" s="270"/>
      <c r="AL943" s="270"/>
      <c r="AM943" s="271"/>
      <c r="AN943" s="272"/>
      <c r="AO943" s="273"/>
      <c r="AP943" s="268"/>
      <c r="AQ943" s="268"/>
      <c r="AR943" s="268"/>
    </row>
    <row r="944" spans="1:44" s="16" customFormat="1" hidden="1" x14ac:dyDescent="0.5">
      <c r="A944" s="3">
        <f t="shared" si="170"/>
        <v>2026</v>
      </c>
      <c r="B944" s="8">
        <f t="shared" si="171"/>
        <v>2</v>
      </c>
      <c r="C944" s="6">
        <v>46078</v>
      </c>
      <c r="D944" s="15">
        <f t="shared" ca="1" si="172"/>
        <v>46097</v>
      </c>
      <c r="E944" s="15" t="str">
        <f t="shared" ca="1" si="173"/>
        <v>0-Months</v>
      </c>
      <c r="F944" s="8" t="str">
        <f>VLOOKUP(N944,Stock[#Data],5,FALSE)</f>
        <v>BE</v>
      </c>
      <c r="G944" s="82" t="s">
        <v>1555</v>
      </c>
      <c r="H944" s="15"/>
      <c r="I944" s="7" t="s">
        <v>145</v>
      </c>
      <c r="J944" s="8" t="str">
        <f>VLOOKUP(I944,Customers[#Data],2,FALSE)</f>
        <v>ကိုအာနိုး</v>
      </c>
      <c r="K944" s="15" t="str">
        <f>VLOOKUP(I944,Customers[#Data],4,FALSE)</f>
        <v>yaY</v>
      </c>
      <c r="L944" s="15" t="str">
        <f>VLOOKUP(I944,Customers[#Data],5,FALSE)</f>
        <v>Van Sales</v>
      </c>
      <c r="M944" s="7" t="s">
        <v>9</v>
      </c>
      <c r="N944" s="7" t="s">
        <v>508</v>
      </c>
      <c r="O944" s="14" t="str">
        <f>VLOOKUP(N944,Stock[#Data],2,FALSE)</f>
        <v>ကောင်းကြည်-1Li</v>
      </c>
      <c r="P944" s="44">
        <f>VLOOKUP(N944,Stock[#Data],3,FALSE)</f>
        <v>1</v>
      </c>
      <c r="Q944" s="3">
        <f>VLOOKUP(N944,Stock[#Data],4,FALSE)</f>
        <v>12</v>
      </c>
      <c r="R944" s="11">
        <v>6</v>
      </c>
      <c r="S944" s="45">
        <f>IFERROR(Table4[[#This Row],[Bottle]]/Table4[[#This Row],[ပါဝင်မှု]]+Table4[[#This Row],[SalesPK]],0)</f>
        <v>0.5</v>
      </c>
      <c r="T944" s="12"/>
      <c r="U944" s="10">
        <f>Table4[[#This Row],[ပါဝင်မှု]]*Table4[[#This Row],[SalesPK]]+Table4[[#This Row],[Bottle]]</f>
        <v>6</v>
      </c>
      <c r="V944" s="10">
        <f>Table4[[#This Row],[SalesBot]]*Table4[[#This Row],[ML]]</f>
        <v>6</v>
      </c>
      <c r="W944" s="1">
        <f>VLOOKUP(N944,Stock[#Data],6,FALSE)</f>
        <v>1850</v>
      </c>
      <c r="X944" s="8">
        <f>+Table4[[#This Row],[SalesBot]]*Table4[[#This Row],[နှုံး]]</f>
        <v>11100</v>
      </c>
      <c r="Y944" s="12"/>
      <c r="Z944" s="12"/>
      <c r="AA944" s="12"/>
      <c r="AB944" s="9"/>
      <c r="AC944" s="12"/>
      <c r="AD944" s="9"/>
      <c r="AE944" s="12"/>
      <c r="AF94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11100</v>
      </c>
      <c r="AG944" s="24"/>
      <c r="AH944" s="266">
        <f>Table4[[#This Row],[Date]]</f>
        <v>46078</v>
      </c>
      <c r="AI944" s="264"/>
      <c r="AJ944" s="264"/>
      <c r="AK944" s="270"/>
      <c r="AL944" s="270"/>
      <c r="AM944" s="271"/>
      <c r="AN944" s="272"/>
      <c r="AO944" s="273"/>
      <c r="AP944" s="268"/>
      <c r="AQ944" s="268"/>
      <c r="AR944" s="268"/>
    </row>
    <row r="945" spans="1:44" s="16" customFormat="1" hidden="1" x14ac:dyDescent="0.5">
      <c r="A945" s="3">
        <f t="shared" si="170"/>
        <v>2026</v>
      </c>
      <c r="B945" s="8">
        <f t="shared" si="171"/>
        <v>2</v>
      </c>
      <c r="C945" s="6">
        <v>46078</v>
      </c>
      <c r="D945" s="15">
        <f t="shared" ca="1" si="172"/>
        <v>46097</v>
      </c>
      <c r="E945" s="15" t="str">
        <f t="shared" ca="1" si="173"/>
        <v>0-Months</v>
      </c>
      <c r="F945" s="8" t="str">
        <f>VLOOKUP(N945,Stock[#Data],5,FALSE)</f>
        <v>BE</v>
      </c>
      <c r="G945" s="82" t="s">
        <v>1556</v>
      </c>
      <c r="H945" s="15"/>
      <c r="I945" s="7" t="s">
        <v>101</v>
      </c>
      <c r="J945" s="8" t="str">
        <f>VLOOKUP(I945,Customers[#Data],2,FALSE)</f>
        <v>ကိုမောင်+မသူဇာ</v>
      </c>
      <c r="K945" s="15" t="str">
        <f>VLOOKUP(I945,Customers[#Data],4,FALSE)</f>
        <v>Yay</v>
      </c>
      <c r="L945" s="15" t="str">
        <f>VLOOKUP(I945,Customers[#Data],5,FALSE)</f>
        <v>WholeSales</v>
      </c>
      <c r="M945" s="7" t="s">
        <v>7</v>
      </c>
      <c r="N945" s="7" t="s">
        <v>517</v>
      </c>
      <c r="O945" s="14" t="str">
        <f>VLOOKUP(N945,Stock[#Data],2,FALSE)</f>
        <v>ဇေယျဝတီ Red (1 Liter) 30%</v>
      </c>
      <c r="P945" s="44">
        <f>VLOOKUP(N945,Stock[#Data],3,FALSE)</f>
        <v>1</v>
      </c>
      <c r="Q945" s="3">
        <f>VLOOKUP(N945,Stock[#Data],4,FALSE)</f>
        <v>12</v>
      </c>
      <c r="R945" s="11"/>
      <c r="S945" s="45">
        <f>IFERROR(Table4[[#This Row],[Bottle]]/Table4[[#This Row],[ပါဝင်မှု]]+Table4[[#This Row],[SalesPK]],0)</f>
        <v>70</v>
      </c>
      <c r="T945" s="12">
        <v>70</v>
      </c>
      <c r="U945" s="10">
        <f>Table4[[#This Row],[ပါဝင်မှု]]*Table4[[#This Row],[SalesPK]]+Table4[[#This Row],[Bottle]]</f>
        <v>840</v>
      </c>
      <c r="V945" s="10">
        <f>Table4[[#This Row],[SalesBot]]*Table4[[#This Row],[ML]]</f>
        <v>840</v>
      </c>
      <c r="W945" s="1">
        <f>VLOOKUP(N945,Stock[#Data],6,FALSE)</f>
        <v>1710</v>
      </c>
      <c r="X945" s="8">
        <f>+Table4[[#This Row],[SalesBot]]*Table4[[#This Row],[နှုံး]]</f>
        <v>1436400</v>
      </c>
      <c r="Y945" s="12"/>
      <c r="Z945" s="12"/>
      <c r="AA945" s="12"/>
      <c r="AB945" s="9"/>
      <c r="AC945" s="12"/>
      <c r="AD945" s="9"/>
      <c r="AE945" s="12"/>
      <c r="AF94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1436400</v>
      </c>
      <c r="AG945" s="24"/>
      <c r="AH945" s="266">
        <f>Table4[[#This Row],[Date]]</f>
        <v>46078</v>
      </c>
      <c r="AI945" s="264"/>
      <c r="AJ945" s="264"/>
      <c r="AK945" s="270"/>
      <c r="AL945" s="270"/>
      <c r="AM945" s="271"/>
      <c r="AN945" s="272"/>
      <c r="AO945" s="273"/>
      <c r="AP945" s="268"/>
      <c r="AQ945" s="268"/>
      <c r="AR945" s="268"/>
    </row>
    <row r="946" spans="1:44" s="16" customFormat="1" hidden="1" x14ac:dyDescent="0.5">
      <c r="A946" s="3">
        <f t="shared" si="170"/>
        <v>2026</v>
      </c>
      <c r="B946" s="8">
        <f t="shared" si="171"/>
        <v>2</v>
      </c>
      <c r="C946" s="6">
        <v>46078</v>
      </c>
      <c r="D946" s="15">
        <f t="shared" ca="1" si="172"/>
        <v>46097</v>
      </c>
      <c r="E946" s="15" t="str">
        <f t="shared" ca="1" si="173"/>
        <v>0-Months</v>
      </c>
      <c r="F946" s="8" t="str">
        <f>VLOOKUP(N946,Stock[#Data],5,FALSE)</f>
        <v>BE</v>
      </c>
      <c r="G946" s="82" t="s">
        <v>1557</v>
      </c>
      <c r="H946" s="15"/>
      <c r="I946" s="7" t="s">
        <v>95</v>
      </c>
      <c r="J946" s="8" t="str">
        <f>VLOOKUP(I946,Customers[#Data],2,FALSE)</f>
        <v>ကျော်စတား</v>
      </c>
      <c r="K946" s="15" t="str">
        <f>VLOOKUP(I946,Customers[#Data],4,FALSE)</f>
        <v>Yay</v>
      </c>
      <c r="L946" s="15" t="str">
        <f>VLOOKUP(I946,Customers[#Data],5,FALSE)</f>
        <v>WholeSales</v>
      </c>
      <c r="M946" s="7" t="s">
        <v>7</v>
      </c>
      <c r="N946" s="7" t="s">
        <v>514</v>
      </c>
      <c r="O946" s="14" t="str">
        <f>VLOOKUP(N946,Stock[#Data],2,FALSE)</f>
        <v>ဇေယျဝတီ Red</v>
      </c>
      <c r="P946" s="44">
        <f>VLOOKUP(N946,Stock[#Data],3,FALSE)</f>
        <v>0.64</v>
      </c>
      <c r="Q946" s="3">
        <f>VLOOKUP(N946,Stock[#Data],4,FALSE)</f>
        <v>14</v>
      </c>
      <c r="R946" s="11"/>
      <c r="S946" s="45">
        <f>IFERROR(Table4[[#This Row],[Bottle]]/Table4[[#This Row],[ပါဝင်မှု]]+Table4[[#This Row],[SalesPK]],0)</f>
        <v>100</v>
      </c>
      <c r="T946" s="12">
        <v>100</v>
      </c>
      <c r="U946" s="10">
        <f>Table4[[#This Row],[ပါဝင်မှု]]*Table4[[#This Row],[SalesPK]]+Table4[[#This Row],[Bottle]]</f>
        <v>1400</v>
      </c>
      <c r="V946" s="10">
        <f>Table4[[#This Row],[SalesBot]]*Table4[[#This Row],[ML]]</f>
        <v>896</v>
      </c>
      <c r="W946" s="1">
        <f>VLOOKUP(N946,Stock[#Data],6,FALSE)</f>
        <v>1350</v>
      </c>
      <c r="X946" s="8">
        <f>+Table4[[#This Row],[SalesBot]]*Table4[[#This Row],[နှုံး]]</f>
        <v>1890000</v>
      </c>
      <c r="Y946" s="12"/>
      <c r="Z946" s="12"/>
      <c r="AA946" s="12"/>
      <c r="AB946" s="9"/>
      <c r="AC946" s="12"/>
      <c r="AD946" s="9"/>
      <c r="AE946" s="12"/>
      <c r="AF94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946" s="24"/>
      <c r="AH946" s="266">
        <f>Table4[[#This Row],[Date]]</f>
        <v>46078</v>
      </c>
      <c r="AI946" s="264"/>
      <c r="AJ946" s="264"/>
      <c r="AK946" s="270"/>
      <c r="AL946" s="270"/>
      <c r="AM946" s="271"/>
      <c r="AN946" s="272"/>
      <c r="AO946" s="273"/>
      <c r="AP946" s="268"/>
      <c r="AQ946" s="268"/>
      <c r="AR946" s="268"/>
    </row>
    <row r="947" spans="1:44" s="16" customFormat="1" hidden="1" x14ac:dyDescent="0.5">
      <c r="A947" s="3">
        <f t="shared" si="170"/>
        <v>2026</v>
      </c>
      <c r="B947" s="8">
        <f t="shared" si="171"/>
        <v>2</v>
      </c>
      <c r="C947" s="6">
        <v>46078</v>
      </c>
      <c r="D947" s="15">
        <f t="shared" ca="1" si="172"/>
        <v>46097</v>
      </c>
      <c r="E947" s="15" t="str">
        <f t="shared" ca="1" si="173"/>
        <v>0-Months</v>
      </c>
      <c r="F947" s="8" t="str">
        <f>VLOOKUP(N947,Stock[#Data],5,FALSE)</f>
        <v>BE</v>
      </c>
      <c r="G947" s="82" t="s">
        <v>1557</v>
      </c>
      <c r="H947" s="15"/>
      <c r="I947" s="7" t="s">
        <v>95</v>
      </c>
      <c r="J947" s="8" t="str">
        <f>VLOOKUP(I947,Customers[#Data],2,FALSE)</f>
        <v>ကျော်စတား</v>
      </c>
      <c r="K947" s="15" t="str">
        <f>VLOOKUP(I947,Customers[#Data],4,FALSE)</f>
        <v>Yay</v>
      </c>
      <c r="L947" s="15" t="str">
        <f>VLOOKUP(I947,Customers[#Data],5,FALSE)</f>
        <v>WholeSales</v>
      </c>
      <c r="M947" s="7" t="s">
        <v>7</v>
      </c>
      <c r="N947" s="7" t="s">
        <v>517</v>
      </c>
      <c r="O947" s="14" t="str">
        <f>VLOOKUP(N947,Stock[#Data],2,FALSE)</f>
        <v>ဇေယျဝတီ Red (1 Liter) 30%</v>
      </c>
      <c r="P947" s="44">
        <f>VLOOKUP(N947,Stock[#Data],3,FALSE)</f>
        <v>1</v>
      </c>
      <c r="Q947" s="3">
        <f>VLOOKUP(N947,Stock[#Data],4,FALSE)</f>
        <v>12</v>
      </c>
      <c r="R947" s="11"/>
      <c r="S947" s="45">
        <f>IFERROR(Table4[[#This Row],[Bottle]]/Table4[[#This Row],[ပါဝင်မှု]]+Table4[[#This Row],[SalesPK]],0)</f>
        <v>100</v>
      </c>
      <c r="T947" s="12">
        <v>100</v>
      </c>
      <c r="U947" s="10">
        <f>Table4[[#This Row],[ပါဝင်မှု]]*Table4[[#This Row],[SalesPK]]+Table4[[#This Row],[Bottle]]</f>
        <v>1200</v>
      </c>
      <c r="V947" s="10">
        <f>Table4[[#This Row],[SalesBot]]*Table4[[#This Row],[ML]]</f>
        <v>1200</v>
      </c>
      <c r="W947" s="1">
        <f>VLOOKUP(N947,Stock[#Data],6,FALSE)</f>
        <v>1710</v>
      </c>
      <c r="X947" s="8">
        <f>+Table4[[#This Row],[SalesBot]]*Table4[[#This Row],[နှုံး]]</f>
        <v>2052000</v>
      </c>
      <c r="Y947" s="12"/>
      <c r="Z947" s="12"/>
      <c r="AA947" s="12"/>
      <c r="AB947" s="9"/>
      <c r="AC947" s="12"/>
      <c r="AD947" s="9"/>
      <c r="AE947" s="12"/>
      <c r="AF94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947" s="24"/>
      <c r="AH947" s="266">
        <f>Table4[[#This Row],[Date]]</f>
        <v>46078</v>
      </c>
      <c r="AI947" s="264"/>
      <c r="AJ947" s="264"/>
      <c r="AK947" s="270"/>
      <c r="AL947" s="270"/>
      <c r="AM947" s="271"/>
      <c r="AN947" s="272"/>
      <c r="AO947" s="273"/>
      <c r="AP947" s="268"/>
      <c r="AQ947" s="268"/>
      <c r="AR947" s="268"/>
    </row>
    <row r="948" spans="1:44" s="16" customFormat="1" hidden="1" x14ac:dyDescent="0.5">
      <c r="A948" s="3">
        <f t="shared" ref="A948:A966" si="178">YEAR(C948)</f>
        <v>2026</v>
      </c>
      <c r="B948" s="8">
        <f t="shared" ref="B948:B966" si="179">MONTH(C948)</f>
        <v>2</v>
      </c>
      <c r="C948" s="6">
        <v>46078</v>
      </c>
      <c r="D948" s="15">
        <f t="shared" ref="D948:D966" ca="1" si="180">TODAY()</f>
        <v>46097</v>
      </c>
      <c r="E948" s="15" t="str">
        <f t="shared" ref="E948:E966" ca="1" si="181">DATEDIF(C948,D948,"M")&amp;"-Months"</f>
        <v>0-Months</v>
      </c>
      <c r="F948" s="8" t="str">
        <f>VLOOKUP(N948,Stock[#Data],5,FALSE)</f>
        <v>BE</v>
      </c>
      <c r="G948" s="82" t="s">
        <v>1558</v>
      </c>
      <c r="H948" s="15"/>
      <c r="I948" s="7" t="s">
        <v>77</v>
      </c>
      <c r="J948" s="8" t="str">
        <f>VLOOKUP(I948,Customers[#Data],2,FALSE)</f>
        <v>KP</v>
      </c>
      <c r="K948" s="15" t="str">
        <f>VLOOKUP(I948,Customers[#Data],4,FALSE)</f>
        <v>Maw La Myaing</v>
      </c>
      <c r="L948" s="15" t="str">
        <f>VLOOKUP(I948,Customers[#Data],5,FALSE)</f>
        <v>SemiWholeSales</v>
      </c>
      <c r="M948" s="7" t="s">
        <v>6</v>
      </c>
      <c r="N948" s="7" t="s">
        <v>516</v>
      </c>
      <c r="O948" s="14" t="str">
        <f>VLOOKUP(N948,Stock[#Data],2,FALSE)</f>
        <v>ဇေ Vodka</v>
      </c>
      <c r="P948" s="44">
        <f>VLOOKUP(N948,Stock[#Data],3,FALSE)</f>
        <v>0.64</v>
      </c>
      <c r="Q948" s="3">
        <f>VLOOKUP(N948,Stock[#Data],4,FALSE)</f>
        <v>14</v>
      </c>
      <c r="R948" s="11"/>
      <c r="S948" s="45">
        <f>IFERROR(Table4[[#This Row],[Bottle]]/Table4[[#This Row],[ပါဝင်မှု]]+Table4[[#This Row],[SalesPK]],0)</f>
        <v>25</v>
      </c>
      <c r="T948" s="12">
        <v>25</v>
      </c>
      <c r="U948" s="10">
        <f>Table4[[#This Row],[ပါဝင်မှု]]*Table4[[#This Row],[SalesPK]]+Table4[[#This Row],[Bottle]]</f>
        <v>350</v>
      </c>
      <c r="V948" s="10">
        <f>Table4[[#This Row],[SalesBot]]*Table4[[#This Row],[ML]]</f>
        <v>224</v>
      </c>
      <c r="W948" s="1">
        <f>VLOOKUP(N948,Stock[#Data],6,FALSE)</f>
        <v>1400</v>
      </c>
      <c r="X948" s="8">
        <f>+Table4[[#This Row],[SalesBot]]*Table4[[#This Row],[နှုံး]]</f>
        <v>490000</v>
      </c>
      <c r="Y948" s="12"/>
      <c r="Z948" s="12"/>
      <c r="AA948" s="12"/>
      <c r="AB948" s="9"/>
      <c r="AC948" s="12"/>
      <c r="AD948" s="9"/>
      <c r="AE948" s="12"/>
      <c r="AF94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490000</v>
      </c>
      <c r="AG948" s="24"/>
      <c r="AH948" s="266"/>
      <c r="AI948" s="264"/>
      <c r="AJ948" s="264"/>
      <c r="AK948" s="270"/>
      <c r="AL948" s="270"/>
      <c r="AM948" s="271"/>
      <c r="AN948" s="272"/>
      <c r="AO948" s="273"/>
      <c r="AP948" s="268"/>
      <c r="AQ948" s="268"/>
      <c r="AR948" s="268"/>
    </row>
    <row r="949" spans="1:44" s="16" customFormat="1" hidden="1" x14ac:dyDescent="0.5">
      <c r="A949" s="3">
        <f t="shared" si="178"/>
        <v>2026</v>
      </c>
      <c r="B949" s="8">
        <f t="shared" si="179"/>
        <v>2</v>
      </c>
      <c r="C949" s="6">
        <v>46078</v>
      </c>
      <c r="D949" s="15">
        <f t="shared" ca="1" si="180"/>
        <v>46097</v>
      </c>
      <c r="E949" s="15" t="str">
        <f t="shared" ca="1" si="181"/>
        <v>0-Months</v>
      </c>
      <c r="F949" s="8" t="str">
        <f>VLOOKUP(N949,Stock[#Data],5,FALSE)</f>
        <v>BE</v>
      </c>
      <c r="G949" s="82" t="s">
        <v>1558</v>
      </c>
      <c r="H949" s="15"/>
      <c r="I949" s="7" t="s">
        <v>77</v>
      </c>
      <c r="J949" s="8" t="str">
        <f>VLOOKUP(I949,Customers[#Data],2,FALSE)</f>
        <v>KP</v>
      </c>
      <c r="K949" s="15" t="str">
        <f>VLOOKUP(I949,Customers[#Data],4,FALSE)</f>
        <v>Maw La Myaing</v>
      </c>
      <c r="L949" s="15" t="str">
        <f>VLOOKUP(I949,Customers[#Data],5,FALSE)</f>
        <v>SemiWholeSales</v>
      </c>
      <c r="M949" s="7" t="s">
        <v>6</v>
      </c>
      <c r="N949" s="7" t="s">
        <v>515</v>
      </c>
      <c r="O949" s="14" t="str">
        <f>VLOOKUP(N949,Stock[#Data],2,FALSE)</f>
        <v>ဇေ Vodka</v>
      </c>
      <c r="P949" s="44">
        <f>VLOOKUP(N949,Stock[#Data],3,FALSE)</f>
        <v>0.7</v>
      </c>
      <c r="Q949" s="3">
        <f>VLOOKUP(N949,Stock[#Data],4,FALSE)</f>
        <v>12</v>
      </c>
      <c r="R949" s="11"/>
      <c r="S949" s="45">
        <f>IFERROR(Table4[[#This Row],[Bottle]]/Table4[[#This Row],[ပါဝင်မှု]]+Table4[[#This Row],[SalesPK]],0)</f>
        <v>10</v>
      </c>
      <c r="T949" s="12">
        <v>10</v>
      </c>
      <c r="U949" s="10">
        <f>Table4[[#This Row],[ပါဝင်မှု]]*Table4[[#This Row],[SalesPK]]+Table4[[#This Row],[Bottle]]</f>
        <v>120</v>
      </c>
      <c r="V949" s="10">
        <f>Table4[[#This Row],[SalesBot]]*Table4[[#This Row],[ML]]</f>
        <v>84</v>
      </c>
      <c r="W949" s="1">
        <f>VLOOKUP(N949,Stock[#Data],6,FALSE)</f>
        <v>2020</v>
      </c>
      <c r="X949" s="8">
        <f>+Table4[[#This Row],[SalesBot]]*Table4[[#This Row],[နှုံး]]</f>
        <v>242400</v>
      </c>
      <c r="Y949" s="12"/>
      <c r="Z949" s="12"/>
      <c r="AA949" s="12"/>
      <c r="AB949" s="9"/>
      <c r="AC949" s="12"/>
      <c r="AD949" s="9"/>
      <c r="AE949" s="12"/>
      <c r="AF94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242400</v>
      </c>
      <c r="AG949" s="24"/>
      <c r="AH949" s="266"/>
      <c r="AI949" s="264"/>
      <c r="AJ949" s="264"/>
      <c r="AK949" s="270"/>
      <c r="AL949" s="270"/>
      <c r="AM949" s="271"/>
      <c r="AN949" s="272"/>
      <c r="AO949" s="273"/>
      <c r="AP949" s="268"/>
      <c r="AQ949" s="268"/>
      <c r="AR949" s="268"/>
    </row>
    <row r="950" spans="1:44" s="16" customFormat="1" hidden="1" x14ac:dyDescent="0.5">
      <c r="A950" s="3">
        <f t="shared" si="178"/>
        <v>2026</v>
      </c>
      <c r="B950" s="8">
        <f t="shared" si="179"/>
        <v>2</v>
      </c>
      <c r="C950" s="6">
        <v>46078</v>
      </c>
      <c r="D950" s="15">
        <f t="shared" ca="1" si="180"/>
        <v>46097</v>
      </c>
      <c r="E950" s="15" t="str">
        <f t="shared" ca="1" si="181"/>
        <v>0-Months</v>
      </c>
      <c r="F950" s="8" t="str">
        <f>VLOOKUP(N950,Stock[#Data],5,FALSE)</f>
        <v>BE</v>
      </c>
      <c r="G950" s="82" t="s">
        <v>1559</v>
      </c>
      <c r="H950" s="15"/>
      <c r="I950" s="7" t="s">
        <v>109</v>
      </c>
      <c r="J950" s="8" t="str">
        <f>VLOOKUP(I950,Customers[#Data],2,FALSE)</f>
        <v>ဦးမင်းလွင်</v>
      </c>
      <c r="K950" s="15" t="str">
        <f>VLOOKUP(I950,Customers[#Data],4,FALSE)</f>
        <v>Maw La Myaing</v>
      </c>
      <c r="L950" s="15" t="str">
        <f>VLOOKUP(I950,Customers[#Data],5,FALSE)</f>
        <v>WholeSales</v>
      </c>
      <c r="M950" s="7" t="s">
        <v>6</v>
      </c>
      <c r="N950" s="7" t="s">
        <v>514</v>
      </c>
      <c r="O950" s="14" t="str">
        <f>VLOOKUP(N950,Stock[#Data],2,FALSE)</f>
        <v>ဇေယျဝတီ Red</v>
      </c>
      <c r="P950" s="44">
        <f>VLOOKUP(N950,Stock[#Data],3,FALSE)</f>
        <v>0.64</v>
      </c>
      <c r="Q950" s="3">
        <f>VLOOKUP(N950,Stock[#Data],4,FALSE)</f>
        <v>14</v>
      </c>
      <c r="R950" s="11"/>
      <c r="S950" s="45">
        <f>IFERROR(Table4[[#This Row],[Bottle]]/Table4[[#This Row],[ပါဝင်မှု]]+Table4[[#This Row],[SalesPK]],0)</f>
        <v>49</v>
      </c>
      <c r="T950" s="12">
        <v>49</v>
      </c>
      <c r="U950" s="10">
        <f>Table4[[#This Row],[ပါဝင်မှု]]*Table4[[#This Row],[SalesPK]]+Table4[[#This Row],[Bottle]]</f>
        <v>686</v>
      </c>
      <c r="V950" s="10">
        <f>Table4[[#This Row],[SalesBot]]*Table4[[#This Row],[ML]]</f>
        <v>439.04</v>
      </c>
      <c r="W950" s="1">
        <f>VLOOKUP(N950,Stock[#Data],6,FALSE)</f>
        <v>1350</v>
      </c>
      <c r="X950" s="8">
        <f>+Table4[[#This Row],[SalesBot]]*Table4[[#This Row],[နှုံး]]</f>
        <v>926100</v>
      </c>
      <c r="Y950" s="12"/>
      <c r="Z950" s="12"/>
      <c r="AA950" s="12"/>
      <c r="AB950" s="9"/>
      <c r="AC950" s="12"/>
      <c r="AD950" s="9"/>
      <c r="AE950" s="12"/>
      <c r="AF95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926100</v>
      </c>
      <c r="AG950" s="24"/>
      <c r="AH950" s="266"/>
      <c r="AI950" s="264"/>
      <c r="AJ950" s="264"/>
      <c r="AK950" s="270"/>
      <c r="AL950" s="270"/>
      <c r="AM950" s="271"/>
      <c r="AN950" s="272"/>
      <c r="AO950" s="273"/>
      <c r="AP950" s="268"/>
      <c r="AQ950" s="268"/>
      <c r="AR950" s="268"/>
    </row>
    <row r="951" spans="1:44" s="16" customFormat="1" hidden="1" x14ac:dyDescent="0.5">
      <c r="A951" s="3">
        <f t="shared" si="178"/>
        <v>2026</v>
      </c>
      <c r="B951" s="8">
        <f t="shared" si="179"/>
        <v>2</v>
      </c>
      <c r="C951" s="6">
        <v>46078</v>
      </c>
      <c r="D951" s="15">
        <f t="shared" ca="1" si="180"/>
        <v>46097</v>
      </c>
      <c r="E951" s="15" t="str">
        <f t="shared" ca="1" si="181"/>
        <v>0-Months</v>
      </c>
      <c r="F951" s="8" t="str">
        <f>VLOOKUP(N951,Stock[#Data],5,FALSE)</f>
        <v>BE</v>
      </c>
      <c r="G951" s="82" t="s">
        <v>1559</v>
      </c>
      <c r="H951" s="15"/>
      <c r="I951" s="7" t="s">
        <v>109</v>
      </c>
      <c r="J951" s="8" t="str">
        <f>VLOOKUP(I951,Customers[#Data],2,FALSE)</f>
        <v>ဦးမင်းလွင်</v>
      </c>
      <c r="K951" s="15" t="str">
        <f>VLOOKUP(I951,Customers[#Data],4,FALSE)</f>
        <v>Maw La Myaing</v>
      </c>
      <c r="L951" s="15" t="str">
        <f>VLOOKUP(I951,Customers[#Data],5,FALSE)</f>
        <v>WholeSales</v>
      </c>
      <c r="M951" s="7" t="s">
        <v>8</v>
      </c>
      <c r="N951" s="7" t="s">
        <v>514</v>
      </c>
      <c r="O951" s="14" t="str">
        <f>VLOOKUP(N951,Stock[#Data],2,FALSE)</f>
        <v>ဇေယျဝတီ Red</v>
      </c>
      <c r="P951" s="44">
        <f>VLOOKUP(N951,Stock[#Data],3,FALSE)</f>
        <v>0.64</v>
      </c>
      <c r="Q951" s="3">
        <f>VLOOKUP(N951,Stock[#Data],4,FALSE)</f>
        <v>14</v>
      </c>
      <c r="R951" s="11">
        <v>3</v>
      </c>
      <c r="S951" s="45">
        <f>IFERROR(Table4[[#This Row],[Bottle]]/Table4[[#This Row],[ပါဝင်မှု]]+Table4[[#This Row],[SalesPK]],0)</f>
        <v>50.214285714285715</v>
      </c>
      <c r="T951" s="12">
        <v>50</v>
      </c>
      <c r="U951" s="10">
        <f>Table4[[#This Row],[ပါဝင်မှု]]*Table4[[#This Row],[SalesPK]]+Table4[[#This Row],[Bottle]]</f>
        <v>703</v>
      </c>
      <c r="V951" s="10">
        <f>Table4[[#This Row],[SalesBot]]*Table4[[#This Row],[ML]]</f>
        <v>449.92</v>
      </c>
      <c r="W951" s="1">
        <f>VLOOKUP(N951,Stock[#Data],6,FALSE)</f>
        <v>1350</v>
      </c>
      <c r="X951" s="8">
        <f>+Table4[[#This Row],[SalesBot]]*Table4[[#This Row],[နှုံး]]</f>
        <v>949050</v>
      </c>
      <c r="Y951" s="12"/>
      <c r="Z951" s="12"/>
      <c r="AA951" s="12"/>
      <c r="AB951" s="9"/>
      <c r="AC951" s="12"/>
      <c r="AD951" s="9"/>
      <c r="AE951" s="12"/>
      <c r="AF95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949050</v>
      </c>
      <c r="AG951" s="24"/>
      <c r="AH951" s="266"/>
      <c r="AI951" s="264"/>
      <c r="AJ951" s="264"/>
      <c r="AK951" s="270"/>
      <c r="AL951" s="270"/>
      <c r="AM951" s="271"/>
      <c r="AN951" s="272"/>
      <c r="AO951" s="273"/>
      <c r="AP951" s="268"/>
      <c r="AQ951" s="268"/>
      <c r="AR951" s="268"/>
    </row>
    <row r="952" spans="1:44" s="16" customFormat="1" hidden="1" x14ac:dyDescent="0.5">
      <c r="A952" s="3">
        <f t="shared" si="178"/>
        <v>2026</v>
      </c>
      <c r="B952" s="8">
        <f t="shared" si="179"/>
        <v>2</v>
      </c>
      <c r="C952" s="6">
        <v>46078</v>
      </c>
      <c r="D952" s="15">
        <f t="shared" ca="1" si="180"/>
        <v>46097</v>
      </c>
      <c r="E952" s="15" t="str">
        <f t="shared" ca="1" si="181"/>
        <v>0-Months</v>
      </c>
      <c r="F952" s="8" t="str">
        <f>VLOOKUP(N952,Stock[#Data],5,FALSE)</f>
        <v>BE</v>
      </c>
      <c r="G952" s="82" t="s">
        <v>1560</v>
      </c>
      <c r="H952" s="15"/>
      <c r="I952" s="7" t="s">
        <v>82</v>
      </c>
      <c r="J952" s="8" t="str">
        <f>VLOOKUP(I952,Customers[#Data],2,FALSE)</f>
        <v>ဒေါ်ထွန်းမေ</v>
      </c>
      <c r="K952" s="15" t="str">
        <f>VLOOKUP(I952,Customers[#Data],4,FALSE)</f>
        <v>Maw La Myaing</v>
      </c>
      <c r="L952" s="15" t="str">
        <f>VLOOKUP(I952,Customers[#Data],5,FALSE)</f>
        <v>WholeSales</v>
      </c>
      <c r="M952" s="7" t="s">
        <v>6</v>
      </c>
      <c r="N952" s="7" t="s">
        <v>514</v>
      </c>
      <c r="O952" s="14" t="str">
        <f>VLOOKUP(N952,Stock[#Data],2,FALSE)</f>
        <v>ဇေယျဝတီ Red</v>
      </c>
      <c r="P952" s="44">
        <f>VLOOKUP(N952,Stock[#Data],3,FALSE)</f>
        <v>0.64</v>
      </c>
      <c r="Q952" s="3">
        <f>VLOOKUP(N952,Stock[#Data],4,FALSE)</f>
        <v>14</v>
      </c>
      <c r="R952" s="11"/>
      <c r="S952" s="45">
        <f>IFERROR(Table4[[#This Row],[Bottle]]/Table4[[#This Row],[ပါဝင်မှု]]+Table4[[#This Row],[SalesPK]],0)</f>
        <v>50</v>
      </c>
      <c r="T952" s="12">
        <v>50</v>
      </c>
      <c r="U952" s="10">
        <f>Table4[[#This Row],[ပါဝင်မှု]]*Table4[[#This Row],[SalesPK]]+Table4[[#This Row],[Bottle]]</f>
        <v>700</v>
      </c>
      <c r="V952" s="10">
        <f>Table4[[#This Row],[SalesBot]]*Table4[[#This Row],[ML]]</f>
        <v>448</v>
      </c>
      <c r="W952" s="1">
        <f>VLOOKUP(N952,Stock[#Data],6,FALSE)</f>
        <v>1350</v>
      </c>
      <c r="X952" s="8">
        <f>+Table4[[#This Row],[SalesBot]]*Table4[[#This Row],[နှုံး]]</f>
        <v>945000</v>
      </c>
      <c r="Y952" s="12"/>
      <c r="Z952" s="12"/>
      <c r="AA952" s="12"/>
      <c r="AB952" s="9"/>
      <c r="AC952" s="12"/>
      <c r="AD952" s="9"/>
      <c r="AE952" s="12"/>
      <c r="AF95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952" s="24"/>
      <c r="AH952" s="266"/>
      <c r="AI952" s="264"/>
      <c r="AJ952" s="264"/>
      <c r="AK952" s="270"/>
      <c r="AL952" s="270"/>
      <c r="AM952" s="271"/>
      <c r="AN952" s="272"/>
      <c r="AO952" s="273"/>
      <c r="AP952" s="268"/>
      <c r="AQ952" s="268"/>
      <c r="AR952" s="268"/>
    </row>
    <row r="953" spans="1:44" s="16" customFormat="1" hidden="1" x14ac:dyDescent="0.5">
      <c r="A953" s="3">
        <f t="shared" si="178"/>
        <v>2026</v>
      </c>
      <c r="B953" s="8">
        <f t="shared" si="179"/>
        <v>2</v>
      </c>
      <c r="C953" s="6">
        <v>46078</v>
      </c>
      <c r="D953" s="15">
        <f t="shared" ca="1" si="180"/>
        <v>46097</v>
      </c>
      <c r="E953" s="15" t="str">
        <f t="shared" ca="1" si="181"/>
        <v>0-Months</v>
      </c>
      <c r="F953" s="8" t="str">
        <f>VLOOKUP(N953,Stock[#Data],5,FALSE)</f>
        <v>BE</v>
      </c>
      <c r="G953" s="82" t="s">
        <v>1560</v>
      </c>
      <c r="H953" s="15"/>
      <c r="I953" s="7" t="s">
        <v>562</v>
      </c>
      <c r="J953" s="8" t="str">
        <f>VLOOKUP(I953,Customers[#Data],2,FALSE)</f>
        <v>မ‌ေ၀-၂</v>
      </c>
      <c r="K953" s="15" t="str">
        <f>VLOOKUP(I953,Customers[#Data],4,FALSE)</f>
        <v>Mudon</v>
      </c>
      <c r="L953" s="15" t="str">
        <f>VLOOKUP(I953,Customers[#Data],5,FALSE)</f>
        <v>Van Sales</v>
      </c>
      <c r="M953" s="7" t="s">
        <v>6</v>
      </c>
      <c r="N953" s="7" t="s">
        <v>518</v>
      </c>
      <c r="O953" s="14" t="str">
        <f>VLOOKUP(N953,Stock[#Data],2,FALSE)</f>
        <v>"ဇေ" ကော်ဘူး (1 Liter)</v>
      </c>
      <c r="P953" s="44">
        <f>VLOOKUP(N953,Stock[#Data],3,FALSE)</f>
        <v>1</v>
      </c>
      <c r="Q953" s="3">
        <f>VLOOKUP(N953,Stock[#Data],4,FALSE)</f>
        <v>12</v>
      </c>
      <c r="R953" s="11"/>
      <c r="S953" s="45">
        <f>IFERROR(Table4[[#This Row],[Bottle]]/Table4[[#This Row],[ပါဝင်မှု]]+Table4[[#This Row],[SalesPK]],0)</f>
        <v>1</v>
      </c>
      <c r="T953" s="12">
        <v>1</v>
      </c>
      <c r="U953" s="10">
        <f>Table4[[#This Row],[ပါဝင်မှု]]*Table4[[#This Row],[SalesPK]]+Table4[[#This Row],[Bottle]]</f>
        <v>12</v>
      </c>
      <c r="V953" s="10">
        <f>Table4[[#This Row],[SalesBot]]*Table4[[#This Row],[ML]]</f>
        <v>12</v>
      </c>
      <c r="W953" s="1">
        <f>VLOOKUP(N953,Stock[#Data],6,FALSE)</f>
        <v>1675</v>
      </c>
      <c r="X953" s="8">
        <f>+Table4[[#This Row],[SalesBot]]*Table4[[#This Row],[နှုံး]]</f>
        <v>20100</v>
      </c>
      <c r="Y953" s="12"/>
      <c r="Z953" s="12"/>
      <c r="AA953" s="12"/>
      <c r="AB953" s="9"/>
      <c r="AC953" s="12"/>
      <c r="AD953" s="9"/>
      <c r="AE953" s="12"/>
      <c r="AF95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</v>
      </c>
      <c r="AG953" s="24"/>
      <c r="AH953" s="266"/>
      <c r="AI953" s="264"/>
      <c r="AJ953" s="264"/>
      <c r="AK953" s="270"/>
      <c r="AL953" s="270"/>
      <c r="AM953" s="271"/>
      <c r="AN953" s="272"/>
      <c r="AO953" s="273"/>
      <c r="AP953" s="268"/>
      <c r="AQ953" s="268"/>
      <c r="AR953" s="268"/>
    </row>
    <row r="954" spans="1:44" s="16" customFormat="1" hidden="1" x14ac:dyDescent="0.5">
      <c r="A954" s="3">
        <f t="shared" si="178"/>
        <v>2026</v>
      </c>
      <c r="B954" s="8">
        <f t="shared" si="179"/>
        <v>2</v>
      </c>
      <c r="C954" s="6">
        <v>46078</v>
      </c>
      <c r="D954" s="15">
        <f t="shared" ca="1" si="180"/>
        <v>46097</v>
      </c>
      <c r="E954" s="15" t="str">
        <f t="shared" ca="1" si="181"/>
        <v>0-Months</v>
      </c>
      <c r="F954" s="8" t="str">
        <f>VLOOKUP(N954,Stock[#Data],5,FALSE)</f>
        <v>BE</v>
      </c>
      <c r="G954" s="82" t="s">
        <v>1560</v>
      </c>
      <c r="H954" s="15"/>
      <c r="I954" s="7" t="s">
        <v>562</v>
      </c>
      <c r="J954" s="8" t="str">
        <f>VLOOKUP(I954,Customers[#Data],2,FALSE)</f>
        <v>မ‌ေ၀-၂</v>
      </c>
      <c r="K954" s="15" t="str">
        <f>VLOOKUP(I954,Customers[#Data],4,FALSE)</f>
        <v>Mudon</v>
      </c>
      <c r="L954" s="15" t="str">
        <f>VLOOKUP(I954,Customers[#Data],5,FALSE)</f>
        <v>Van Sales</v>
      </c>
      <c r="M954" s="7" t="s">
        <v>6</v>
      </c>
      <c r="N954" s="7" t="s">
        <v>425</v>
      </c>
      <c r="O954" s="14" t="str">
        <f>VLOOKUP(N954,Stock[#Data],2,FALSE)</f>
        <v>ကောင်းကြည်-1Li</v>
      </c>
      <c r="P954" s="44">
        <f>VLOOKUP(N954,Stock[#Data],3,FALSE)</f>
        <v>1</v>
      </c>
      <c r="Q954" s="3">
        <f>VLOOKUP(N954,Stock[#Data],4,FALSE)</f>
        <v>12</v>
      </c>
      <c r="R954" s="11"/>
      <c r="S954" s="45">
        <f>IFERROR(Table4[[#This Row],[Bottle]]/Table4[[#This Row],[ပါဝင်မှု]]+Table4[[#This Row],[SalesPK]],0)</f>
        <v>1</v>
      </c>
      <c r="T954" s="12">
        <v>1</v>
      </c>
      <c r="U954" s="10">
        <f>Table4[[#This Row],[ပါဝင်မှု]]*Table4[[#This Row],[SalesPK]]+Table4[[#This Row],[Bottle]]</f>
        <v>12</v>
      </c>
      <c r="V954" s="10">
        <f>Table4[[#This Row],[SalesBot]]*Table4[[#This Row],[ML]]</f>
        <v>12</v>
      </c>
      <c r="W954" s="1">
        <f>VLOOKUP(N954,Stock[#Data],6,FALSE)</f>
        <v>1500</v>
      </c>
      <c r="X954" s="8">
        <f>+Table4[[#This Row],[SalesBot]]*Table4[[#This Row],[နှုံး]]</f>
        <v>18000</v>
      </c>
      <c r="Y954" s="12"/>
      <c r="Z954" s="12"/>
      <c r="AA954" s="12"/>
      <c r="AB954" s="9"/>
      <c r="AC954" s="12"/>
      <c r="AD954" s="9"/>
      <c r="AE954" s="12"/>
      <c r="AF95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954" s="24"/>
      <c r="AH954" s="266"/>
      <c r="AI954" s="264"/>
      <c r="AJ954" s="264"/>
      <c r="AK954" s="270"/>
      <c r="AL954" s="270"/>
      <c r="AM954" s="271"/>
      <c r="AN954" s="272"/>
      <c r="AO954" s="273"/>
      <c r="AP954" s="268"/>
      <c r="AQ954" s="268"/>
      <c r="AR954" s="268"/>
    </row>
    <row r="955" spans="1:44" s="16" customFormat="1" hidden="1" x14ac:dyDescent="0.5">
      <c r="A955" s="3">
        <f t="shared" si="178"/>
        <v>2026</v>
      </c>
      <c r="B955" s="8">
        <f t="shared" si="179"/>
        <v>2</v>
      </c>
      <c r="C955" s="6">
        <v>46078</v>
      </c>
      <c r="D955" s="15">
        <f t="shared" ca="1" si="180"/>
        <v>46097</v>
      </c>
      <c r="E955" s="15" t="str">
        <f t="shared" ca="1" si="181"/>
        <v>0-Months</v>
      </c>
      <c r="F955" s="8" t="str">
        <f>VLOOKUP(N955,Stock[#Data],5,FALSE)</f>
        <v>BE</v>
      </c>
      <c r="G955" s="82" t="s">
        <v>1560</v>
      </c>
      <c r="H955" s="15"/>
      <c r="I955" s="7" t="s">
        <v>562</v>
      </c>
      <c r="J955" s="8" t="str">
        <f>VLOOKUP(I955,Customers[#Data],2,FALSE)</f>
        <v>မ‌ေ၀-၂</v>
      </c>
      <c r="K955" s="15" t="str">
        <f>VLOOKUP(I955,Customers[#Data],4,FALSE)</f>
        <v>Mudon</v>
      </c>
      <c r="L955" s="15" t="str">
        <f>VLOOKUP(I955,Customers[#Data],5,FALSE)</f>
        <v>Van Sales</v>
      </c>
      <c r="M955" s="7" t="s">
        <v>6</v>
      </c>
      <c r="N955" s="7" t="s">
        <v>508</v>
      </c>
      <c r="O955" s="14" t="str">
        <f>VLOOKUP(N955,Stock[#Data],2,FALSE)</f>
        <v>ကောင်းကြည်-1Li</v>
      </c>
      <c r="P955" s="44">
        <f>VLOOKUP(N955,Stock[#Data],3,FALSE)</f>
        <v>1</v>
      </c>
      <c r="Q955" s="3">
        <f>VLOOKUP(N955,Stock[#Data],4,FALSE)</f>
        <v>12</v>
      </c>
      <c r="R955" s="11"/>
      <c r="S955" s="45">
        <f>IFERROR(Table4[[#This Row],[Bottle]]/Table4[[#This Row],[ပါဝင်မှု]]+Table4[[#This Row],[SalesPK]],0)</f>
        <v>1</v>
      </c>
      <c r="T955" s="12">
        <v>1</v>
      </c>
      <c r="U955" s="10">
        <f>Table4[[#This Row],[ပါဝင်မှု]]*Table4[[#This Row],[SalesPK]]+Table4[[#This Row],[Bottle]]</f>
        <v>12</v>
      </c>
      <c r="V955" s="10">
        <f>Table4[[#This Row],[SalesBot]]*Table4[[#This Row],[ML]]</f>
        <v>12</v>
      </c>
      <c r="W955" s="1">
        <f>VLOOKUP(N955,Stock[#Data],6,FALSE)</f>
        <v>1850</v>
      </c>
      <c r="X955" s="8">
        <f>+Table4[[#This Row],[SalesBot]]*Table4[[#This Row],[နှုံး]]</f>
        <v>22200</v>
      </c>
      <c r="Y955" s="12"/>
      <c r="Z955" s="12"/>
      <c r="AA955" s="12"/>
      <c r="AB955" s="9"/>
      <c r="AC955" s="12"/>
      <c r="AD955" s="9"/>
      <c r="AE955" s="12"/>
      <c r="AF95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955" s="24"/>
      <c r="AH955" s="266"/>
      <c r="AI955" s="264"/>
      <c r="AJ955" s="264"/>
      <c r="AK955" s="270"/>
      <c r="AL955" s="270"/>
      <c r="AM955" s="271"/>
      <c r="AN955" s="272"/>
      <c r="AO955" s="273"/>
      <c r="AP955" s="268"/>
      <c r="AQ955" s="268"/>
      <c r="AR955" s="268"/>
    </row>
    <row r="956" spans="1:44" s="16" customFormat="1" hidden="1" x14ac:dyDescent="0.5">
      <c r="A956" s="3">
        <f t="shared" si="178"/>
        <v>2026</v>
      </c>
      <c r="B956" s="8">
        <f t="shared" si="179"/>
        <v>2</v>
      </c>
      <c r="C956" s="6">
        <v>46078</v>
      </c>
      <c r="D956" s="15">
        <f t="shared" ca="1" si="180"/>
        <v>46097</v>
      </c>
      <c r="E956" s="15" t="str">
        <f t="shared" ca="1" si="181"/>
        <v>0-Months</v>
      </c>
      <c r="F956" s="8" t="str">
        <f>VLOOKUP(N956,Stock[#Data],5,FALSE)</f>
        <v>BE</v>
      </c>
      <c r="G956" s="82" t="s">
        <v>1560</v>
      </c>
      <c r="H956" s="15"/>
      <c r="I956" s="7" t="s">
        <v>562</v>
      </c>
      <c r="J956" s="8" t="str">
        <f>VLOOKUP(I956,Customers[#Data],2,FALSE)</f>
        <v>မ‌ေ၀-၂</v>
      </c>
      <c r="K956" s="15" t="str">
        <f>VLOOKUP(I956,Customers[#Data],4,FALSE)</f>
        <v>Mudon</v>
      </c>
      <c r="L956" s="15" t="str">
        <f>VLOOKUP(I956,Customers[#Data],5,FALSE)</f>
        <v>Van Sales</v>
      </c>
      <c r="M956" s="7" t="s">
        <v>9</v>
      </c>
      <c r="N956" s="7" t="s">
        <v>508</v>
      </c>
      <c r="O956" s="14" t="str">
        <f>VLOOKUP(N956,Stock[#Data],2,FALSE)</f>
        <v>ကောင်းကြည်-1Li</v>
      </c>
      <c r="P956" s="44">
        <f>VLOOKUP(N956,Stock[#Data],3,FALSE)</f>
        <v>1</v>
      </c>
      <c r="Q956" s="3">
        <f>VLOOKUP(N956,Stock[#Data],4,FALSE)</f>
        <v>12</v>
      </c>
      <c r="R956" s="11">
        <v>1</v>
      </c>
      <c r="S956" s="45">
        <f>IFERROR(Table4[[#This Row],[Bottle]]/Table4[[#This Row],[ပါဝင်မှု]]+Table4[[#This Row],[SalesPK]],0)</f>
        <v>8.3333333333333329E-2</v>
      </c>
      <c r="T956" s="12"/>
      <c r="U956" s="10">
        <f>Table4[[#This Row],[ပါဝင်မှု]]*Table4[[#This Row],[SalesPK]]+Table4[[#This Row],[Bottle]]</f>
        <v>1</v>
      </c>
      <c r="V956" s="10">
        <f>Table4[[#This Row],[SalesBot]]*Table4[[#This Row],[ML]]</f>
        <v>1</v>
      </c>
      <c r="W956" s="1">
        <f>VLOOKUP(N956,Stock[#Data],6,FALSE)</f>
        <v>1850</v>
      </c>
      <c r="X956" s="8">
        <f>+Table4[[#This Row],[SalesBot]]*Table4[[#This Row],[နှုံး]]</f>
        <v>1850</v>
      </c>
      <c r="Y956" s="12"/>
      <c r="Z956" s="12"/>
      <c r="AA956" s="12"/>
      <c r="AB956" s="9"/>
      <c r="AC956" s="12"/>
      <c r="AD956" s="9"/>
      <c r="AE956" s="12"/>
      <c r="AF95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956" s="24"/>
      <c r="AH956" s="266"/>
      <c r="AI956" s="264"/>
      <c r="AJ956" s="264"/>
      <c r="AK956" s="270"/>
      <c r="AL956" s="270"/>
      <c r="AM956" s="271"/>
      <c r="AN956" s="272"/>
      <c r="AO956" s="273"/>
      <c r="AP956" s="268"/>
      <c r="AQ956" s="268"/>
      <c r="AR956" s="268"/>
    </row>
    <row r="957" spans="1:44" s="16" customFormat="1" hidden="1" x14ac:dyDescent="0.5">
      <c r="A957" s="3">
        <f t="shared" si="178"/>
        <v>2026</v>
      </c>
      <c r="B957" s="8">
        <f t="shared" si="179"/>
        <v>2</v>
      </c>
      <c r="C957" s="6">
        <v>46078</v>
      </c>
      <c r="D957" s="15">
        <f t="shared" ca="1" si="180"/>
        <v>46097</v>
      </c>
      <c r="E957" s="15" t="str">
        <f t="shared" ca="1" si="181"/>
        <v>0-Months</v>
      </c>
      <c r="F957" s="8" t="str">
        <f>VLOOKUP(N957,Stock[#Data],5,FALSE)</f>
        <v>BE</v>
      </c>
      <c r="G957" s="82" t="s">
        <v>1561</v>
      </c>
      <c r="H957" s="15"/>
      <c r="I957" s="7" t="s">
        <v>86</v>
      </c>
      <c r="J957" s="8" t="str">
        <f>VLOOKUP(I957,Customers[#Data],2,FALSE)</f>
        <v>ဒေါ်စိန်ယုံ</v>
      </c>
      <c r="K957" s="15" t="str">
        <f>VLOOKUP(I957,Customers[#Data],4,FALSE)</f>
        <v>Mudon</v>
      </c>
      <c r="L957" s="15" t="str">
        <f>VLOOKUP(I957,Customers[#Data],5,FALSE)</f>
        <v>Mini Whole Sales</v>
      </c>
      <c r="M957" s="7" t="s">
        <v>6</v>
      </c>
      <c r="N957" s="7" t="s">
        <v>518</v>
      </c>
      <c r="O957" s="14" t="str">
        <f>VLOOKUP(N957,Stock[#Data],2,FALSE)</f>
        <v>"ဇေ" ကော်ဘူး (1 Liter)</v>
      </c>
      <c r="P957" s="44">
        <f>VLOOKUP(N957,Stock[#Data],3,FALSE)</f>
        <v>1</v>
      </c>
      <c r="Q957" s="3">
        <f>VLOOKUP(N957,Stock[#Data],4,FALSE)</f>
        <v>12</v>
      </c>
      <c r="R957" s="11"/>
      <c r="S957" s="45">
        <f>IFERROR(Table4[[#This Row],[Bottle]]/Table4[[#This Row],[ပါဝင်မှု]]+Table4[[#This Row],[SalesPK]],0)</f>
        <v>1</v>
      </c>
      <c r="T957" s="12">
        <v>1</v>
      </c>
      <c r="U957" s="10">
        <f>Table4[[#This Row],[ပါဝင်မှု]]*Table4[[#This Row],[SalesPK]]+Table4[[#This Row],[Bottle]]</f>
        <v>12</v>
      </c>
      <c r="V957" s="10">
        <f>Table4[[#This Row],[SalesBot]]*Table4[[#This Row],[ML]]</f>
        <v>12</v>
      </c>
      <c r="W957" s="1">
        <f>VLOOKUP(N957,Stock[#Data],6,FALSE)</f>
        <v>1675</v>
      </c>
      <c r="X957" s="8">
        <f>+Table4[[#This Row],[SalesBot]]*Table4[[#This Row],[နှုံး]]</f>
        <v>20100</v>
      </c>
      <c r="Y957" s="12"/>
      <c r="Z957" s="12"/>
      <c r="AA957" s="12"/>
      <c r="AB957" s="9"/>
      <c r="AC957" s="12"/>
      <c r="AD957" s="9"/>
      <c r="AE957" s="12"/>
      <c r="AF95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</v>
      </c>
      <c r="AG957" s="24"/>
      <c r="AH957" s="266"/>
      <c r="AI957" s="264"/>
      <c r="AJ957" s="264"/>
      <c r="AK957" s="270"/>
      <c r="AL957" s="270"/>
      <c r="AM957" s="271"/>
      <c r="AN957" s="272"/>
      <c r="AO957" s="273"/>
      <c r="AP957" s="268"/>
      <c r="AQ957" s="268"/>
      <c r="AR957" s="268"/>
    </row>
    <row r="958" spans="1:44" s="16" customFormat="1" hidden="1" x14ac:dyDescent="0.5">
      <c r="A958" s="3">
        <f t="shared" si="178"/>
        <v>2026</v>
      </c>
      <c r="B958" s="8">
        <f t="shared" si="179"/>
        <v>2</v>
      </c>
      <c r="C958" s="6">
        <v>46078</v>
      </c>
      <c r="D958" s="15">
        <f t="shared" ca="1" si="180"/>
        <v>46097</v>
      </c>
      <c r="E958" s="15" t="str">
        <f t="shared" ca="1" si="181"/>
        <v>0-Months</v>
      </c>
      <c r="F958" s="8" t="str">
        <f>VLOOKUP(N958,Stock[#Data],5,FALSE)</f>
        <v>BE</v>
      </c>
      <c r="G958" s="82" t="s">
        <v>1561</v>
      </c>
      <c r="H958" s="15"/>
      <c r="I958" s="7" t="s">
        <v>86</v>
      </c>
      <c r="J958" s="8" t="str">
        <f>VLOOKUP(I958,Customers[#Data],2,FALSE)</f>
        <v>ဒေါ်စိန်ယုံ</v>
      </c>
      <c r="K958" s="15" t="str">
        <f>VLOOKUP(I958,Customers[#Data],4,FALSE)</f>
        <v>Mudon</v>
      </c>
      <c r="L958" s="15" t="str">
        <f>VLOOKUP(I958,Customers[#Data],5,FALSE)</f>
        <v>Mini Whole Sales</v>
      </c>
      <c r="M958" s="7" t="s">
        <v>6</v>
      </c>
      <c r="N958" s="7" t="s">
        <v>508</v>
      </c>
      <c r="O958" s="14" t="str">
        <f>VLOOKUP(N958,Stock[#Data],2,FALSE)</f>
        <v>ကောင်းကြည်-1Li</v>
      </c>
      <c r="P958" s="44">
        <f>VLOOKUP(N958,Stock[#Data],3,FALSE)</f>
        <v>1</v>
      </c>
      <c r="Q958" s="3">
        <f>VLOOKUP(N958,Stock[#Data],4,FALSE)</f>
        <v>12</v>
      </c>
      <c r="R958" s="11"/>
      <c r="S958" s="45">
        <f>IFERROR(Table4[[#This Row],[Bottle]]/Table4[[#This Row],[ပါဝင်မှု]]+Table4[[#This Row],[SalesPK]],0)</f>
        <v>1</v>
      </c>
      <c r="T958" s="12">
        <v>1</v>
      </c>
      <c r="U958" s="10">
        <f>Table4[[#This Row],[ပါဝင်မှု]]*Table4[[#This Row],[SalesPK]]+Table4[[#This Row],[Bottle]]</f>
        <v>12</v>
      </c>
      <c r="V958" s="10">
        <f>Table4[[#This Row],[SalesBot]]*Table4[[#This Row],[ML]]</f>
        <v>12</v>
      </c>
      <c r="W958" s="1">
        <f>VLOOKUP(N958,Stock[#Data],6,FALSE)</f>
        <v>1850</v>
      </c>
      <c r="X958" s="8">
        <f>+Table4[[#This Row],[SalesBot]]*Table4[[#This Row],[နှုံး]]</f>
        <v>22200</v>
      </c>
      <c r="Y958" s="12"/>
      <c r="Z958" s="12"/>
      <c r="AA958" s="12"/>
      <c r="AB958" s="9"/>
      <c r="AC958" s="12"/>
      <c r="AD958" s="9"/>
      <c r="AE958" s="12"/>
      <c r="AF95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958" s="24"/>
      <c r="AH958" s="266"/>
      <c r="AI958" s="264"/>
      <c r="AJ958" s="264"/>
      <c r="AK958" s="270"/>
      <c r="AL958" s="270"/>
      <c r="AM958" s="271"/>
      <c r="AN958" s="272"/>
      <c r="AO958" s="273"/>
      <c r="AP958" s="268"/>
      <c r="AQ958" s="268"/>
      <c r="AR958" s="268"/>
    </row>
    <row r="959" spans="1:44" s="16" customFormat="1" hidden="1" x14ac:dyDescent="0.5">
      <c r="A959" s="3">
        <f t="shared" si="178"/>
        <v>2026</v>
      </c>
      <c r="B959" s="8">
        <f t="shared" si="179"/>
        <v>2</v>
      </c>
      <c r="C959" s="6">
        <v>46078</v>
      </c>
      <c r="D959" s="15">
        <f t="shared" ca="1" si="180"/>
        <v>46097</v>
      </c>
      <c r="E959" s="15" t="str">
        <f t="shared" ca="1" si="181"/>
        <v>0-Months</v>
      </c>
      <c r="F959" s="8" t="str">
        <f>VLOOKUP(N959,Stock[#Data],5,FALSE)</f>
        <v>BE</v>
      </c>
      <c r="G959" s="82" t="s">
        <v>1562</v>
      </c>
      <c r="H959" s="15" t="s">
        <v>439</v>
      </c>
      <c r="I959" s="7" t="s">
        <v>582</v>
      </c>
      <c r="J959" s="8" t="str">
        <f>VLOOKUP(I959,Customers[#Data],2,FALSE)</f>
        <v>မနွယ်နီ</v>
      </c>
      <c r="K959" s="15" t="str">
        <f>VLOOKUP(I959,Customers[#Data],4,FALSE)</f>
        <v>Maw La Myaing</v>
      </c>
      <c r="L959" s="15" t="str">
        <f>VLOOKUP(I959,Customers[#Data],5,FALSE)</f>
        <v>Van Sales</v>
      </c>
      <c r="M959" s="7" t="s">
        <v>6</v>
      </c>
      <c r="N959" s="7" t="s">
        <v>516</v>
      </c>
      <c r="O959" s="14" t="str">
        <f>VLOOKUP(N959,Stock[#Data],2,FALSE)</f>
        <v>ဇေ Vodka</v>
      </c>
      <c r="P959" s="44">
        <f>VLOOKUP(N959,Stock[#Data],3,FALSE)</f>
        <v>0.64</v>
      </c>
      <c r="Q959" s="3">
        <f>VLOOKUP(N959,Stock[#Data],4,FALSE)</f>
        <v>14</v>
      </c>
      <c r="R959" s="11"/>
      <c r="S959" s="45">
        <f>IFERROR(Table4[[#This Row],[Bottle]]/Table4[[#This Row],[ပါဝင်မှု]]+Table4[[#This Row],[SalesPK]],0)</f>
        <v>1</v>
      </c>
      <c r="T959" s="12">
        <v>1</v>
      </c>
      <c r="U959" s="10">
        <f>Table4[[#This Row],[ပါဝင်မှု]]*Table4[[#This Row],[SalesPK]]+Table4[[#This Row],[Bottle]]</f>
        <v>14</v>
      </c>
      <c r="V959" s="10">
        <f>Table4[[#This Row],[SalesBot]]*Table4[[#This Row],[ML]]</f>
        <v>8.9600000000000009</v>
      </c>
      <c r="W959" s="1">
        <f>VLOOKUP(N959,Stock[#Data],6,FALSE)</f>
        <v>1400</v>
      </c>
      <c r="X959" s="8">
        <f>+Table4[[#This Row],[SalesBot]]*Table4[[#This Row],[နှုံး]]</f>
        <v>19600</v>
      </c>
      <c r="Y959" s="12"/>
      <c r="Z959" s="12"/>
      <c r="AA959" s="12"/>
      <c r="AB959" s="9"/>
      <c r="AC959" s="12"/>
      <c r="AD959" s="9"/>
      <c r="AE959" s="12"/>
      <c r="AF95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</v>
      </c>
      <c r="AG959" s="24"/>
      <c r="AH959" s="266"/>
      <c r="AI959" s="264"/>
      <c r="AJ959" s="264"/>
      <c r="AK959" s="270"/>
      <c r="AL959" s="270"/>
      <c r="AM959" s="271"/>
      <c r="AN959" s="272"/>
      <c r="AO959" s="273"/>
      <c r="AP959" s="268"/>
      <c r="AQ959" s="268"/>
      <c r="AR959" s="268"/>
    </row>
    <row r="960" spans="1:44" s="16" customFormat="1" hidden="1" x14ac:dyDescent="0.5">
      <c r="A960" s="3">
        <f t="shared" si="178"/>
        <v>2026</v>
      </c>
      <c r="B960" s="8">
        <f t="shared" si="179"/>
        <v>2</v>
      </c>
      <c r="C960" s="6">
        <v>46078</v>
      </c>
      <c r="D960" s="15">
        <f t="shared" ca="1" si="180"/>
        <v>46097</v>
      </c>
      <c r="E960" s="15" t="str">
        <f t="shared" ca="1" si="181"/>
        <v>0-Months</v>
      </c>
      <c r="F960" s="8" t="str">
        <f>VLOOKUP(N960,Stock[#Data],5,FALSE)</f>
        <v>BE</v>
      </c>
      <c r="G960" s="82" t="s">
        <v>1562</v>
      </c>
      <c r="H960" s="15" t="s">
        <v>439</v>
      </c>
      <c r="I960" s="7" t="s">
        <v>582</v>
      </c>
      <c r="J960" s="8" t="str">
        <f>VLOOKUP(I960,Customers[#Data],2,FALSE)</f>
        <v>မနွယ်နီ</v>
      </c>
      <c r="K960" s="15" t="str">
        <f>VLOOKUP(I960,Customers[#Data],4,FALSE)</f>
        <v>Maw La Myaing</v>
      </c>
      <c r="L960" s="15" t="str">
        <f>VLOOKUP(I960,Customers[#Data],5,FALSE)</f>
        <v>Van Sales</v>
      </c>
      <c r="M960" s="7" t="s">
        <v>6</v>
      </c>
      <c r="N960" s="7" t="s">
        <v>514</v>
      </c>
      <c r="O960" s="14" t="str">
        <f>VLOOKUP(N960,Stock[#Data],2,FALSE)</f>
        <v>ဇေယျဝတီ Red</v>
      </c>
      <c r="P960" s="44">
        <f>VLOOKUP(N960,Stock[#Data],3,FALSE)</f>
        <v>0.64</v>
      </c>
      <c r="Q960" s="3">
        <f>VLOOKUP(N960,Stock[#Data],4,FALSE)</f>
        <v>14</v>
      </c>
      <c r="R960" s="11"/>
      <c r="S960" s="45">
        <f>IFERROR(Table4[[#This Row],[Bottle]]/Table4[[#This Row],[ပါဝင်မှု]]+Table4[[#This Row],[SalesPK]],0)</f>
        <v>4</v>
      </c>
      <c r="T960" s="12">
        <v>4</v>
      </c>
      <c r="U960" s="10">
        <f>Table4[[#This Row],[ပါဝင်မှု]]*Table4[[#This Row],[SalesPK]]+Table4[[#This Row],[Bottle]]</f>
        <v>56</v>
      </c>
      <c r="V960" s="10">
        <f>Table4[[#This Row],[SalesBot]]*Table4[[#This Row],[ML]]</f>
        <v>35.840000000000003</v>
      </c>
      <c r="W960" s="1">
        <f>VLOOKUP(N960,Stock[#Data],6,FALSE)</f>
        <v>1350</v>
      </c>
      <c r="X960" s="8">
        <f>+Table4[[#This Row],[SalesBot]]*Table4[[#This Row],[နှုံး]]</f>
        <v>75600</v>
      </c>
      <c r="Y960" s="12"/>
      <c r="Z960" s="12"/>
      <c r="AA960" s="12"/>
      <c r="AB960" s="9"/>
      <c r="AC960" s="12"/>
      <c r="AD960" s="9"/>
      <c r="AE960" s="12"/>
      <c r="AF96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75600</v>
      </c>
      <c r="AG960" s="24"/>
      <c r="AH960" s="266"/>
      <c r="AI960" s="264"/>
      <c r="AJ960" s="264"/>
      <c r="AK960" s="270"/>
      <c r="AL960" s="270"/>
      <c r="AM960" s="271"/>
      <c r="AN960" s="272"/>
      <c r="AO960" s="273"/>
      <c r="AP960" s="268"/>
      <c r="AQ960" s="268"/>
      <c r="AR960" s="268"/>
    </row>
    <row r="961" spans="1:44" s="16" customFormat="1" hidden="1" x14ac:dyDescent="0.5">
      <c r="A961" s="3">
        <f t="shared" si="178"/>
        <v>2026</v>
      </c>
      <c r="B961" s="8">
        <f t="shared" si="179"/>
        <v>2</v>
      </c>
      <c r="C961" s="6">
        <v>46078</v>
      </c>
      <c r="D961" s="15">
        <f t="shared" ca="1" si="180"/>
        <v>46097</v>
      </c>
      <c r="E961" s="15" t="str">
        <f t="shared" ca="1" si="181"/>
        <v>0-Months</v>
      </c>
      <c r="F961" s="8" t="str">
        <f>VLOOKUP(N961,Stock[#Data],5,FALSE)</f>
        <v>BE</v>
      </c>
      <c r="G961" s="82" t="s">
        <v>1563</v>
      </c>
      <c r="H961" s="15" t="s">
        <v>439</v>
      </c>
      <c r="I961" s="7" t="s">
        <v>1361</v>
      </c>
      <c r="J961" s="8" t="str">
        <f>VLOOKUP(I961,Customers[#Data],2,FALSE)</f>
        <v>KS</v>
      </c>
      <c r="K961" s="15" t="str">
        <f>VLOOKUP(I961,Customers[#Data],4,FALSE)</f>
        <v>Maw La Myaing</v>
      </c>
      <c r="L961" s="15" t="str">
        <f>VLOOKUP(I961,Customers[#Data],5,FALSE)</f>
        <v>Van Sales</v>
      </c>
      <c r="M961" s="7" t="s">
        <v>6</v>
      </c>
      <c r="N961" s="7" t="s">
        <v>516</v>
      </c>
      <c r="O961" s="14" t="str">
        <f>VLOOKUP(N961,Stock[#Data],2,FALSE)</f>
        <v>ဇေ Vodka</v>
      </c>
      <c r="P961" s="44">
        <f>VLOOKUP(N961,Stock[#Data],3,FALSE)</f>
        <v>0.64</v>
      </c>
      <c r="Q961" s="3">
        <f>VLOOKUP(N961,Stock[#Data],4,FALSE)</f>
        <v>14</v>
      </c>
      <c r="R961" s="11"/>
      <c r="S961" s="45">
        <f>IFERROR(Table4[[#This Row],[Bottle]]/Table4[[#This Row],[ပါဝင်မှု]]+Table4[[#This Row],[SalesPK]],0)</f>
        <v>2</v>
      </c>
      <c r="T961" s="12">
        <v>2</v>
      </c>
      <c r="U961" s="10">
        <f>Table4[[#This Row],[ပါဝင်မှု]]*Table4[[#This Row],[SalesPK]]+Table4[[#This Row],[Bottle]]</f>
        <v>28</v>
      </c>
      <c r="V961" s="10">
        <f>Table4[[#This Row],[SalesBot]]*Table4[[#This Row],[ML]]</f>
        <v>17.920000000000002</v>
      </c>
      <c r="W961" s="1">
        <f>VLOOKUP(N961,Stock[#Data],6,FALSE)</f>
        <v>1400</v>
      </c>
      <c r="X961" s="8">
        <f>+Table4[[#This Row],[SalesBot]]*Table4[[#This Row],[နှုံး]]</f>
        <v>39200</v>
      </c>
      <c r="Y961" s="12"/>
      <c r="Z961" s="12"/>
      <c r="AA961" s="12"/>
      <c r="AB961" s="9"/>
      <c r="AC961" s="12"/>
      <c r="AD961" s="9"/>
      <c r="AE961" s="12"/>
      <c r="AF96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39200</v>
      </c>
      <c r="AG961" s="24"/>
      <c r="AH961" s="266"/>
      <c r="AI961" s="264"/>
      <c r="AJ961" s="264"/>
      <c r="AK961" s="270"/>
      <c r="AL961" s="270"/>
      <c r="AM961" s="271"/>
      <c r="AN961" s="272"/>
      <c r="AO961" s="273"/>
      <c r="AP961" s="268"/>
      <c r="AQ961" s="268"/>
      <c r="AR961" s="268"/>
    </row>
    <row r="962" spans="1:44" s="16" customFormat="1" hidden="1" x14ac:dyDescent="0.5">
      <c r="A962" s="3">
        <f t="shared" si="178"/>
        <v>2026</v>
      </c>
      <c r="B962" s="8">
        <f t="shared" si="179"/>
        <v>2</v>
      </c>
      <c r="C962" s="6">
        <v>46078</v>
      </c>
      <c r="D962" s="15">
        <f t="shared" ca="1" si="180"/>
        <v>46097</v>
      </c>
      <c r="E962" s="15" t="str">
        <f t="shared" ca="1" si="181"/>
        <v>0-Months</v>
      </c>
      <c r="F962" s="8" t="str">
        <f>VLOOKUP(N962,Stock[#Data],5,FALSE)</f>
        <v>BE</v>
      </c>
      <c r="G962" s="82" t="s">
        <v>1564</v>
      </c>
      <c r="H962" s="15" t="s">
        <v>439</v>
      </c>
      <c r="I962" s="7" t="s">
        <v>587</v>
      </c>
      <c r="J962" s="8" t="str">
        <f>VLOOKUP(I962,Customers[#Data],2,FALSE)</f>
        <v>သပြေ</v>
      </c>
      <c r="K962" s="15" t="str">
        <f>VLOOKUP(I962,Customers[#Data],4,FALSE)</f>
        <v>Maw La Myaing</v>
      </c>
      <c r="L962" s="15" t="str">
        <f>VLOOKUP(I962,Customers[#Data],5,FALSE)</f>
        <v>Van Sales</v>
      </c>
      <c r="M962" s="7" t="s">
        <v>6</v>
      </c>
      <c r="N962" s="7" t="s">
        <v>516</v>
      </c>
      <c r="O962" s="14" t="str">
        <f>VLOOKUP(N962,Stock[#Data],2,FALSE)</f>
        <v>ဇေ Vodka</v>
      </c>
      <c r="P962" s="44">
        <f>VLOOKUP(N962,Stock[#Data],3,FALSE)</f>
        <v>0.64</v>
      </c>
      <c r="Q962" s="3">
        <f>VLOOKUP(N962,Stock[#Data],4,FALSE)</f>
        <v>14</v>
      </c>
      <c r="R962" s="11"/>
      <c r="S962" s="45">
        <f>IFERROR(Table4[[#This Row],[Bottle]]/Table4[[#This Row],[ပါဝင်မှု]]+Table4[[#This Row],[SalesPK]],0)</f>
        <v>1</v>
      </c>
      <c r="T962" s="12">
        <v>1</v>
      </c>
      <c r="U962" s="10">
        <f>Table4[[#This Row],[ပါဝင်မှု]]*Table4[[#This Row],[SalesPK]]+Table4[[#This Row],[Bottle]]</f>
        <v>14</v>
      </c>
      <c r="V962" s="10">
        <f>Table4[[#This Row],[SalesBot]]*Table4[[#This Row],[ML]]</f>
        <v>8.9600000000000009</v>
      </c>
      <c r="W962" s="1">
        <f>VLOOKUP(N962,Stock[#Data],6,FALSE)</f>
        <v>1400</v>
      </c>
      <c r="X962" s="8">
        <f>+Table4[[#This Row],[SalesBot]]*Table4[[#This Row],[နှုံး]]</f>
        <v>19600</v>
      </c>
      <c r="Y962" s="12"/>
      <c r="Z962" s="12"/>
      <c r="AA962" s="12"/>
      <c r="AB962" s="9"/>
      <c r="AC962" s="12"/>
      <c r="AD962" s="9"/>
      <c r="AE962" s="12"/>
      <c r="AF96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</v>
      </c>
      <c r="AG962" s="24"/>
      <c r="AH962" s="266"/>
      <c r="AI962" s="264"/>
      <c r="AJ962" s="264"/>
      <c r="AK962" s="270"/>
      <c r="AL962" s="270"/>
      <c r="AM962" s="271"/>
      <c r="AN962" s="272"/>
      <c r="AO962" s="273"/>
      <c r="AP962" s="268"/>
      <c r="AQ962" s="268"/>
      <c r="AR962" s="268"/>
    </row>
    <row r="963" spans="1:44" s="16" customFormat="1" hidden="1" x14ac:dyDescent="0.5">
      <c r="A963" s="3">
        <f t="shared" si="178"/>
        <v>2026</v>
      </c>
      <c r="B963" s="8">
        <f t="shared" si="179"/>
        <v>2</v>
      </c>
      <c r="C963" s="6">
        <v>46078</v>
      </c>
      <c r="D963" s="15">
        <f t="shared" ca="1" si="180"/>
        <v>46097</v>
      </c>
      <c r="E963" s="15" t="str">
        <f t="shared" ca="1" si="181"/>
        <v>0-Months</v>
      </c>
      <c r="F963" s="8" t="str">
        <f>VLOOKUP(N963,Stock[#Data],5,FALSE)</f>
        <v>BE</v>
      </c>
      <c r="G963" s="82" t="s">
        <v>1564</v>
      </c>
      <c r="H963" s="15" t="s">
        <v>439</v>
      </c>
      <c r="I963" s="7" t="s">
        <v>587</v>
      </c>
      <c r="J963" s="8" t="str">
        <f>VLOOKUP(I963,Customers[#Data],2,FALSE)</f>
        <v>သပြေ</v>
      </c>
      <c r="K963" s="15" t="str">
        <f>VLOOKUP(I963,Customers[#Data],4,FALSE)</f>
        <v>Maw La Myaing</v>
      </c>
      <c r="L963" s="15" t="str">
        <f>VLOOKUP(I963,Customers[#Data],5,FALSE)</f>
        <v>Van Sales</v>
      </c>
      <c r="M963" s="7" t="s">
        <v>6</v>
      </c>
      <c r="N963" s="7" t="s">
        <v>518</v>
      </c>
      <c r="O963" s="14" t="str">
        <f>VLOOKUP(N963,Stock[#Data],2,FALSE)</f>
        <v>"ဇေ" ကော်ဘူး (1 Liter)</v>
      </c>
      <c r="P963" s="44">
        <f>VLOOKUP(N963,Stock[#Data],3,FALSE)</f>
        <v>1</v>
      </c>
      <c r="Q963" s="3">
        <f>VLOOKUP(N963,Stock[#Data],4,FALSE)</f>
        <v>12</v>
      </c>
      <c r="R963" s="11"/>
      <c r="S963" s="45">
        <f>IFERROR(Table4[[#This Row],[Bottle]]/Table4[[#This Row],[ပါဝင်မှု]]+Table4[[#This Row],[SalesPK]],0)</f>
        <v>1</v>
      </c>
      <c r="T963" s="12">
        <v>1</v>
      </c>
      <c r="U963" s="10">
        <f>Table4[[#This Row],[ပါဝင်မှု]]*Table4[[#This Row],[SalesPK]]+Table4[[#This Row],[Bottle]]</f>
        <v>12</v>
      </c>
      <c r="V963" s="10">
        <f>Table4[[#This Row],[SalesBot]]*Table4[[#This Row],[ML]]</f>
        <v>12</v>
      </c>
      <c r="W963" s="1">
        <f>VLOOKUP(N963,Stock[#Data],6,FALSE)</f>
        <v>1675</v>
      </c>
      <c r="X963" s="8">
        <f>+Table4[[#This Row],[SalesBot]]*Table4[[#This Row],[နှုံး]]</f>
        <v>20100</v>
      </c>
      <c r="Y963" s="12"/>
      <c r="Z963" s="12"/>
      <c r="AA963" s="12"/>
      <c r="AB963" s="9"/>
      <c r="AC963" s="12"/>
      <c r="AD963" s="9"/>
      <c r="AE963" s="12"/>
      <c r="AF96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</v>
      </c>
      <c r="AG963" s="24"/>
      <c r="AH963" s="266"/>
      <c r="AI963" s="264"/>
      <c r="AJ963" s="264"/>
      <c r="AK963" s="270"/>
      <c r="AL963" s="270"/>
      <c r="AM963" s="271"/>
      <c r="AN963" s="272"/>
      <c r="AO963" s="273"/>
      <c r="AP963" s="268"/>
      <c r="AQ963" s="268"/>
      <c r="AR963" s="268"/>
    </row>
    <row r="964" spans="1:44" s="16" customFormat="1" hidden="1" x14ac:dyDescent="0.5">
      <c r="A964" s="3">
        <f t="shared" si="178"/>
        <v>2026</v>
      </c>
      <c r="B964" s="8">
        <f t="shared" si="179"/>
        <v>2</v>
      </c>
      <c r="C964" s="6">
        <v>46078</v>
      </c>
      <c r="D964" s="15">
        <f t="shared" ca="1" si="180"/>
        <v>46097</v>
      </c>
      <c r="E964" s="15" t="str">
        <f t="shared" ca="1" si="181"/>
        <v>0-Months</v>
      </c>
      <c r="F964" s="8" t="str">
        <f>VLOOKUP(N964,Stock[#Data],5,FALSE)</f>
        <v>BE</v>
      </c>
      <c r="G964" s="82" t="s">
        <v>1565</v>
      </c>
      <c r="H964" s="15"/>
      <c r="I964" s="7" t="s">
        <v>541</v>
      </c>
      <c r="J964" s="8" t="str">
        <f>VLOOKUP(I964,Customers[#Data],2,FALSE)</f>
        <v>ကိုကျော်ရွှေ</v>
      </c>
      <c r="K964" s="15" t="str">
        <f>VLOOKUP(I964,Customers[#Data],4,FALSE)</f>
        <v>Mudon</v>
      </c>
      <c r="L964" s="15" t="str">
        <f>VLOOKUP(I964,Customers[#Data],5,FALSE)</f>
        <v>SemiWholeSales</v>
      </c>
      <c r="M964" s="7" t="s">
        <v>9</v>
      </c>
      <c r="N964" s="7" t="s">
        <v>518</v>
      </c>
      <c r="O964" s="14" t="str">
        <f>VLOOKUP(N964,Stock[#Data],2,FALSE)</f>
        <v>"ဇေ" ကော်ဘူး (1 Liter)</v>
      </c>
      <c r="P964" s="44">
        <f>VLOOKUP(N964,Stock[#Data],3,FALSE)</f>
        <v>1</v>
      </c>
      <c r="Q964" s="3">
        <f>VLOOKUP(N964,Stock[#Data],4,FALSE)</f>
        <v>12</v>
      </c>
      <c r="R964" s="11">
        <v>1</v>
      </c>
      <c r="S964" s="45">
        <f>IFERROR(Table4[[#This Row],[Bottle]]/Table4[[#This Row],[ပါဝင်မှု]]+Table4[[#This Row],[SalesPK]],0)</f>
        <v>8.3333333333333329E-2</v>
      </c>
      <c r="T964" s="12"/>
      <c r="U964" s="10">
        <f>Table4[[#This Row],[ပါဝင်မှု]]*Table4[[#This Row],[SalesPK]]+Table4[[#This Row],[Bottle]]</f>
        <v>1</v>
      </c>
      <c r="V964" s="10">
        <f>Table4[[#This Row],[SalesBot]]*Table4[[#This Row],[ML]]</f>
        <v>1</v>
      </c>
      <c r="W964" s="1">
        <f>VLOOKUP(N964,Stock[#Data],6,FALSE)</f>
        <v>1675</v>
      </c>
      <c r="X964" s="8">
        <f>+Table4[[#This Row],[SalesBot]]*Table4[[#This Row],[နှုံး]]</f>
        <v>1675</v>
      </c>
      <c r="Y964" s="12"/>
      <c r="Z964" s="12"/>
      <c r="AA964" s="12"/>
      <c r="AB964" s="9"/>
      <c r="AC964" s="12"/>
      <c r="AD964" s="9"/>
      <c r="AE964" s="12"/>
      <c r="AF96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1675</v>
      </c>
      <c r="AG964" s="24"/>
      <c r="AH964" s="266"/>
      <c r="AI964" s="264"/>
      <c r="AJ964" s="264"/>
      <c r="AK964" s="270"/>
      <c r="AL964" s="270"/>
      <c r="AM964" s="271"/>
      <c r="AN964" s="272"/>
      <c r="AO964" s="273"/>
      <c r="AP964" s="268"/>
      <c r="AQ964" s="268"/>
      <c r="AR964" s="268"/>
    </row>
    <row r="965" spans="1:44" s="16" customFormat="1" hidden="1" x14ac:dyDescent="0.5">
      <c r="A965" s="3">
        <f t="shared" si="178"/>
        <v>2026</v>
      </c>
      <c r="B965" s="8">
        <f t="shared" si="179"/>
        <v>2</v>
      </c>
      <c r="C965" s="6">
        <v>46078</v>
      </c>
      <c r="D965" s="15">
        <f t="shared" ca="1" si="180"/>
        <v>46097</v>
      </c>
      <c r="E965" s="15" t="str">
        <f t="shared" ca="1" si="181"/>
        <v>0-Months</v>
      </c>
      <c r="F965" s="8" t="str">
        <f>VLOOKUP(N965,Stock[#Data],5,FALSE)</f>
        <v>BE</v>
      </c>
      <c r="G965" s="82" t="s">
        <v>1565</v>
      </c>
      <c r="H965" s="15"/>
      <c r="I965" s="7" t="s">
        <v>541</v>
      </c>
      <c r="J965" s="8" t="str">
        <f>VLOOKUP(I965,Customers[#Data],2,FALSE)</f>
        <v>ကိုကျော်ရွှေ</v>
      </c>
      <c r="K965" s="15" t="str">
        <f>VLOOKUP(I965,Customers[#Data],4,FALSE)</f>
        <v>Mudon</v>
      </c>
      <c r="L965" s="15" t="str">
        <f>VLOOKUP(I965,Customers[#Data],5,FALSE)</f>
        <v>SemiWholeSales</v>
      </c>
      <c r="M965" s="7" t="s">
        <v>9</v>
      </c>
      <c r="N965" s="7" t="s">
        <v>508</v>
      </c>
      <c r="O965" s="14" t="str">
        <f>VLOOKUP(N965,Stock[#Data],2,FALSE)</f>
        <v>ကောင်းကြည်-1Li</v>
      </c>
      <c r="P965" s="44">
        <f>VLOOKUP(N965,Stock[#Data],3,FALSE)</f>
        <v>1</v>
      </c>
      <c r="Q965" s="3">
        <f>VLOOKUP(N965,Stock[#Data],4,FALSE)</f>
        <v>12</v>
      </c>
      <c r="R965" s="11">
        <v>1</v>
      </c>
      <c r="S965" s="45">
        <f>IFERROR(Table4[[#This Row],[Bottle]]/Table4[[#This Row],[ပါဝင်မှု]]+Table4[[#This Row],[SalesPK]],0)</f>
        <v>8.3333333333333329E-2</v>
      </c>
      <c r="T965" s="12"/>
      <c r="U965" s="10">
        <f>Table4[[#This Row],[ပါဝင်မှု]]*Table4[[#This Row],[SalesPK]]+Table4[[#This Row],[Bottle]]</f>
        <v>1</v>
      </c>
      <c r="V965" s="10">
        <f>Table4[[#This Row],[SalesBot]]*Table4[[#This Row],[ML]]</f>
        <v>1</v>
      </c>
      <c r="W965" s="1">
        <f>VLOOKUP(N965,Stock[#Data],6,FALSE)</f>
        <v>1850</v>
      </c>
      <c r="X965" s="8">
        <f>+Table4[[#This Row],[SalesBot]]*Table4[[#This Row],[နှုံး]]</f>
        <v>1850</v>
      </c>
      <c r="Y965" s="12"/>
      <c r="Z965" s="12"/>
      <c r="AA965" s="12"/>
      <c r="AB965" s="9"/>
      <c r="AC965" s="12"/>
      <c r="AD965" s="9"/>
      <c r="AE965" s="12"/>
      <c r="AF96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965" s="24"/>
      <c r="AH965" s="266"/>
      <c r="AI965" s="264"/>
      <c r="AJ965" s="264"/>
      <c r="AK965" s="270"/>
      <c r="AL965" s="270"/>
      <c r="AM965" s="271"/>
      <c r="AN965" s="272"/>
      <c r="AO965" s="273"/>
      <c r="AP965" s="268"/>
      <c r="AQ965" s="268"/>
      <c r="AR965" s="268"/>
    </row>
    <row r="966" spans="1:44" s="16" customFormat="1" hidden="1" x14ac:dyDescent="0.5">
      <c r="A966" s="3">
        <f t="shared" si="178"/>
        <v>2026</v>
      </c>
      <c r="B966" s="8">
        <f t="shared" si="179"/>
        <v>2</v>
      </c>
      <c r="C966" s="6">
        <v>46078</v>
      </c>
      <c r="D966" s="15">
        <f t="shared" ca="1" si="180"/>
        <v>46097</v>
      </c>
      <c r="E966" s="15" t="str">
        <f t="shared" ca="1" si="181"/>
        <v>0-Months</v>
      </c>
      <c r="F966" s="8" t="str">
        <f>VLOOKUP(N966,Stock[#Data],5,FALSE)</f>
        <v>BE</v>
      </c>
      <c r="G966" s="82" t="s">
        <v>1565</v>
      </c>
      <c r="H966" s="15"/>
      <c r="I966" s="7" t="s">
        <v>541</v>
      </c>
      <c r="J966" s="8" t="str">
        <f>VLOOKUP(I966,Customers[#Data],2,FALSE)</f>
        <v>ကိုကျော်ရွှေ</v>
      </c>
      <c r="K966" s="15" t="str">
        <f>VLOOKUP(I966,Customers[#Data],4,FALSE)</f>
        <v>Mudon</v>
      </c>
      <c r="L966" s="15" t="str">
        <f>VLOOKUP(I966,Customers[#Data],5,FALSE)</f>
        <v>SemiWholeSales</v>
      </c>
      <c r="M966" s="7" t="s">
        <v>9</v>
      </c>
      <c r="N966" s="7" t="s">
        <v>425</v>
      </c>
      <c r="O966" s="14" t="str">
        <f>VLOOKUP(N966,Stock[#Data],2,FALSE)</f>
        <v>ကောင်းကြည်-1Li</v>
      </c>
      <c r="P966" s="44">
        <f>VLOOKUP(N966,Stock[#Data],3,FALSE)</f>
        <v>1</v>
      </c>
      <c r="Q966" s="3">
        <f>VLOOKUP(N966,Stock[#Data],4,FALSE)</f>
        <v>12</v>
      </c>
      <c r="R966" s="11">
        <v>1</v>
      </c>
      <c r="S966" s="45">
        <f>IFERROR(Table4[[#This Row],[Bottle]]/Table4[[#This Row],[ပါဝင်မှု]]+Table4[[#This Row],[SalesPK]],0)</f>
        <v>8.3333333333333329E-2</v>
      </c>
      <c r="T966" s="12"/>
      <c r="U966" s="10">
        <f>Table4[[#This Row],[ပါဝင်မှု]]*Table4[[#This Row],[SalesPK]]+Table4[[#This Row],[Bottle]]</f>
        <v>1</v>
      </c>
      <c r="V966" s="10">
        <f>Table4[[#This Row],[SalesBot]]*Table4[[#This Row],[ML]]</f>
        <v>1</v>
      </c>
      <c r="W966" s="1">
        <f>VLOOKUP(N966,Stock[#Data],6,FALSE)</f>
        <v>1500</v>
      </c>
      <c r="X966" s="8">
        <f>+Table4[[#This Row],[SalesBot]]*Table4[[#This Row],[နှုံး]]</f>
        <v>1500</v>
      </c>
      <c r="Y966" s="12"/>
      <c r="Z966" s="12"/>
      <c r="AA966" s="12"/>
      <c r="AB966" s="9"/>
      <c r="AC966" s="12"/>
      <c r="AD966" s="9"/>
      <c r="AE966" s="12"/>
      <c r="AF96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966" s="24"/>
      <c r="AH966" s="266"/>
      <c r="AI966" s="264"/>
      <c r="AJ966" s="264"/>
      <c r="AK966" s="270"/>
      <c r="AL966" s="270"/>
      <c r="AM966" s="271"/>
      <c r="AN966" s="272"/>
      <c r="AO966" s="273"/>
      <c r="AP966" s="268"/>
      <c r="AQ966" s="268"/>
      <c r="AR966" s="268"/>
    </row>
    <row r="967" spans="1:44" s="16" customFormat="1" hidden="1" x14ac:dyDescent="0.5">
      <c r="A967" s="3">
        <f t="shared" si="170"/>
        <v>2026</v>
      </c>
      <c r="B967" s="8">
        <f t="shared" si="171"/>
        <v>2</v>
      </c>
      <c r="C967" s="6">
        <v>46078</v>
      </c>
      <c r="D967" s="15">
        <f t="shared" ca="1" si="172"/>
        <v>46097</v>
      </c>
      <c r="E967" s="15" t="str">
        <f t="shared" ca="1" si="173"/>
        <v>0-Months</v>
      </c>
      <c r="F967" s="8" t="str">
        <f>VLOOKUP(N967,Stock[#Data],5,FALSE)</f>
        <v>BE</v>
      </c>
      <c r="G967" s="82" t="s">
        <v>1565</v>
      </c>
      <c r="H967" s="15"/>
      <c r="I967" s="7" t="s">
        <v>541</v>
      </c>
      <c r="J967" s="8" t="str">
        <f>VLOOKUP(I967,Customers[#Data],2,FALSE)</f>
        <v>ကိုကျော်ရွှေ</v>
      </c>
      <c r="K967" s="15" t="str">
        <f>VLOOKUP(I967,Customers[#Data],4,FALSE)</f>
        <v>Mudon</v>
      </c>
      <c r="L967" s="15" t="str">
        <f>VLOOKUP(I967,Customers[#Data],5,FALSE)</f>
        <v>SemiWholeSales</v>
      </c>
      <c r="M967" s="7" t="s">
        <v>9</v>
      </c>
      <c r="N967" s="7" t="s">
        <v>508</v>
      </c>
      <c r="O967" s="14" t="str">
        <f>VLOOKUP(N967,Stock[#Data],2,FALSE)</f>
        <v>ကောင်းကြည်-1Li</v>
      </c>
      <c r="P967" s="44">
        <f>VLOOKUP(N967,Stock[#Data],3,FALSE)</f>
        <v>1</v>
      </c>
      <c r="Q967" s="3">
        <f>VLOOKUP(N967,Stock[#Data],4,FALSE)</f>
        <v>12</v>
      </c>
      <c r="R967" s="11">
        <v>1</v>
      </c>
      <c r="S967" s="45">
        <f>IFERROR(Table4[[#This Row],[Bottle]]/Table4[[#This Row],[ပါဝင်မှု]]+Table4[[#This Row],[SalesPK]],0)</f>
        <v>8.3333333333333329E-2</v>
      </c>
      <c r="T967" s="12"/>
      <c r="U967" s="10">
        <f>Table4[[#This Row],[ပါဝင်မှု]]*Table4[[#This Row],[SalesPK]]+Table4[[#This Row],[Bottle]]</f>
        <v>1</v>
      </c>
      <c r="V967" s="10">
        <f>Table4[[#This Row],[SalesBot]]*Table4[[#This Row],[ML]]</f>
        <v>1</v>
      </c>
      <c r="W967" s="1">
        <f>VLOOKUP(N967,Stock[#Data],6,FALSE)</f>
        <v>1850</v>
      </c>
      <c r="X967" s="8">
        <f>+Table4[[#This Row],[SalesBot]]*Table4[[#This Row],[နှုံး]]</f>
        <v>1850</v>
      </c>
      <c r="Y967" s="12"/>
      <c r="Z967" s="12"/>
      <c r="AA967" s="12"/>
      <c r="AB967" s="9"/>
      <c r="AC967" s="12"/>
      <c r="AD967" s="9"/>
      <c r="AE967" s="12"/>
      <c r="AF96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967" s="24"/>
      <c r="AH967" s="266">
        <f>Table4[[#This Row],[Date]]</f>
        <v>46078</v>
      </c>
      <c r="AI967" s="264"/>
      <c r="AJ967" s="264"/>
      <c r="AK967" s="270"/>
      <c r="AL967" s="270"/>
      <c r="AM967" s="271"/>
      <c r="AN967" s="272"/>
      <c r="AO967" s="273"/>
      <c r="AP967" s="268"/>
      <c r="AQ967" s="268"/>
      <c r="AR967" s="268"/>
    </row>
    <row r="968" spans="1:44" s="16" customFormat="1" hidden="1" x14ac:dyDescent="0.5">
      <c r="A968" s="3" t="s">
        <v>490</v>
      </c>
      <c r="B968" s="8">
        <f t="shared" si="171"/>
        <v>2</v>
      </c>
      <c r="C968" s="6">
        <v>46078</v>
      </c>
      <c r="D968" s="15">
        <f t="shared" ca="1" si="172"/>
        <v>46097</v>
      </c>
      <c r="E968" s="15" t="str">
        <f t="shared" ca="1" si="173"/>
        <v>0-Months</v>
      </c>
      <c r="F968" s="8" t="str">
        <f>VLOOKUP(N968,Stock[#Data],5,FALSE)</f>
        <v>BE</v>
      </c>
      <c r="G968" s="82" t="s">
        <v>1568</v>
      </c>
      <c r="H968" s="15" t="s">
        <v>439</v>
      </c>
      <c r="I968" s="7" t="s">
        <v>1566</v>
      </c>
      <c r="J968" s="8" t="str">
        <f>VLOOKUP(I968,Customers[#Data],2,FALSE)</f>
        <v>နှင်းလွင်လွင်</v>
      </c>
      <c r="K968" s="15" t="str">
        <f>VLOOKUP(I968,Customers[#Data],4,FALSE)</f>
        <v>Mudon</v>
      </c>
      <c r="L968" s="15" t="str">
        <f>VLOOKUP(I968,Customers[#Data],5,FALSE)</f>
        <v>Van Sales</v>
      </c>
      <c r="M968" s="7" t="s">
        <v>6</v>
      </c>
      <c r="N968" s="7" t="s">
        <v>518</v>
      </c>
      <c r="O968" s="14" t="str">
        <f>VLOOKUP(N968,Stock[#Data],2,FALSE)</f>
        <v>"ဇေ" ကော်ဘူး (1 Liter)</v>
      </c>
      <c r="P968" s="44">
        <f>VLOOKUP(N968,Stock[#Data],3,FALSE)</f>
        <v>1</v>
      </c>
      <c r="Q968" s="3">
        <f>VLOOKUP(N968,Stock[#Data],4,FALSE)</f>
        <v>12</v>
      </c>
      <c r="R968" s="11"/>
      <c r="S968" s="45">
        <f>IFERROR(Table4[[#This Row],[Bottle]]/Table4[[#This Row],[ပါဝင်မှု]]+Table4[[#This Row],[SalesPK]],0)</f>
        <v>1</v>
      </c>
      <c r="T968" s="12">
        <v>1</v>
      </c>
      <c r="U968" s="10">
        <f>Table4[[#This Row],[ပါဝင်မှု]]*Table4[[#This Row],[SalesPK]]+Table4[[#This Row],[Bottle]]</f>
        <v>12</v>
      </c>
      <c r="V968" s="10">
        <f>Table4[[#This Row],[SalesBot]]*Table4[[#This Row],[ML]]</f>
        <v>12</v>
      </c>
      <c r="W968" s="1">
        <f>VLOOKUP(N968,Stock[#Data],6,FALSE)</f>
        <v>1675</v>
      </c>
      <c r="X968" s="8">
        <f>+Table4[[#This Row],[SalesBot]]*Table4[[#This Row],[နှုံး]]</f>
        <v>20100</v>
      </c>
      <c r="Y968" s="12"/>
      <c r="Z968" s="12"/>
      <c r="AA968" s="12"/>
      <c r="AB968" s="9"/>
      <c r="AC968" s="12"/>
      <c r="AD968" s="9"/>
      <c r="AE968" s="12"/>
      <c r="AF96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</v>
      </c>
      <c r="AG968" s="24"/>
      <c r="AH968" s="266">
        <f>Table4[[#This Row],[Date]]</f>
        <v>46078</v>
      </c>
      <c r="AI968" s="264"/>
      <c r="AJ968" s="264"/>
      <c r="AK968" s="270"/>
      <c r="AL968" s="270"/>
      <c r="AM968" s="271"/>
      <c r="AN968" s="272"/>
      <c r="AO968" s="273"/>
      <c r="AP968" s="268"/>
      <c r="AQ968" s="268"/>
      <c r="AR968" s="268"/>
    </row>
    <row r="969" spans="1:44" s="16" customFormat="1" hidden="1" x14ac:dyDescent="0.5">
      <c r="A969" s="3">
        <f t="shared" ref="A969:A1034" si="182">YEAR(C969)</f>
        <v>2026</v>
      </c>
      <c r="B969" s="8">
        <f t="shared" ref="B969:B1034" si="183">MONTH(C969)</f>
        <v>2</v>
      </c>
      <c r="C969" s="6">
        <v>46079</v>
      </c>
      <c r="D969" s="15">
        <f t="shared" ref="D969:D1034" ca="1" si="184">TODAY()</f>
        <v>46097</v>
      </c>
      <c r="E969" s="15" t="str">
        <f t="shared" ref="E969:E1034" ca="1" si="185">DATEDIF(C969,D969,"M")&amp;"-Months"</f>
        <v>0-Months</v>
      </c>
      <c r="F969" s="8" t="str">
        <f>VLOOKUP(N969,Stock[#Data],5,FALSE)</f>
        <v>BE</v>
      </c>
      <c r="G969" s="82" t="s">
        <v>1569</v>
      </c>
      <c r="H969" s="15"/>
      <c r="I969" s="7" t="s">
        <v>101</v>
      </c>
      <c r="J969" s="8" t="str">
        <f>VLOOKUP(I969,Customers[#Data],2,FALSE)</f>
        <v>ကိုမောင်+မသူဇာ</v>
      </c>
      <c r="K969" s="15" t="str">
        <f>VLOOKUP(I969,Customers[#Data],4,FALSE)</f>
        <v>Yay</v>
      </c>
      <c r="L969" s="15" t="str">
        <f>VLOOKUP(I969,Customers[#Data],5,FALSE)</f>
        <v>WholeSales</v>
      </c>
      <c r="M969" s="7" t="s">
        <v>7</v>
      </c>
      <c r="N969" s="7" t="s">
        <v>517</v>
      </c>
      <c r="O969" s="14" t="str">
        <f>VLOOKUP(N969,Stock[#Data],2,FALSE)</f>
        <v>ဇေယျဝတီ Red (1 Liter) 30%</v>
      </c>
      <c r="P969" s="44">
        <f>VLOOKUP(N969,Stock[#Data],3,FALSE)</f>
        <v>1</v>
      </c>
      <c r="Q969" s="3">
        <f>VLOOKUP(N969,Stock[#Data],4,FALSE)</f>
        <v>12</v>
      </c>
      <c r="R969" s="11"/>
      <c r="S969" s="45">
        <f>IFERROR(Table4[[#This Row],[Bottle]]/Table4[[#This Row],[ပါဝင်မှု]]+Table4[[#This Row],[SalesPK]],0)</f>
        <v>70</v>
      </c>
      <c r="T969" s="12">
        <v>70</v>
      </c>
      <c r="U969" s="10">
        <f>Table4[[#This Row],[ပါဝင်မှု]]*Table4[[#This Row],[SalesPK]]+Table4[[#This Row],[Bottle]]</f>
        <v>840</v>
      </c>
      <c r="V969" s="10">
        <f>Table4[[#This Row],[SalesBot]]*Table4[[#This Row],[ML]]</f>
        <v>840</v>
      </c>
      <c r="W969" s="1">
        <f>VLOOKUP(N969,Stock[#Data],6,FALSE)</f>
        <v>1710</v>
      </c>
      <c r="X969" s="8">
        <f>+Table4[[#This Row],[SalesBot]]*Table4[[#This Row],[နှုံး]]</f>
        <v>1436400</v>
      </c>
      <c r="Y969" s="12"/>
      <c r="Z969" s="12"/>
      <c r="AA969" s="12"/>
      <c r="AB969" s="9"/>
      <c r="AC969" s="12"/>
      <c r="AD969" s="9"/>
      <c r="AE969" s="12"/>
      <c r="AF96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1436400</v>
      </c>
      <c r="AG969" s="24"/>
      <c r="AH969" s="266"/>
      <c r="AI969" s="264"/>
      <c r="AJ969" s="264"/>
      <c r="AK969" s="270"/>
      <c r="AL969" s="270"/>
      <c r="AM969" s="271"/>
      <c r="AN969" s="272"/>
      <c r="AO969" s="273"/>
      <c r="AP969" s="268"/>
      <c r="AQ969" s="268"/>
      <c r="AR969" s="268"/>
    </row>
    <row r="970" spans="1:44" s="16" customFormat="1" hidden="1" x14ac:dyDescent="0.5">
      <c r="A970" s="3">
        <f t="shared" si="182"/>
        <v>2026</v>
      </c>
      <c r="B970" s="8">
        <f t="shared" si="183"/>
        <v>2</v>
      </c>
      <c r="C970" s="6">
        <v>46079</v>
      </c>
      <c r="D970" s="15">
        <f t="shared" ca="1" si="184"/>
        <v>46097</v>
      </c>
      <c r="E970" s="15" t="str">
        <f t="shared" ca="1" si="185"/>
        <v>0-Months</v>
      </c>
      <c r="F970" s="8" t="str">
        <f>VLOOKUP(N970,Stock[#Data],5,FALSE)</f>
        <v>BE</v>
      </c>
      <c r="G970" s="82" t="s">
        <v>1570</v>
      </c>
      <c r="H970" s="15"/>
      <c r="I970" s="7" t="s">
        <v>99</v>
      </c>
      <c r="J970" s="8" t="str">
        <f>VLOOKUP(I970,Customers[#Data],2,FALSE)</f>
        <v>ကိုဇော်လင်းမြတ်</v>
      </c>
      <c r="K970" s="15" t="str">
        <f>VLOOKUP(I970,Customers[#Data],4,FALSE)</f>
        <v>Yay</v>
      </c>
      <c r="L970" s="15" t="str">
        <f>VLOOKUP(I970,Customers[#Data],5,FALSE)</f>
        <v>SemiWholeSales</v>
      </c>
      <c r="M970" s="7" t="s">
        <v>7</v>
      </c>
      <c r="N970" s="7" t="s">
        <v>514</v>
      </c>
      <c r="O970" s="14" t="str">
        <f>VLOOKUP(N970,Stock[#Data],2,FALSE)</f>
        <v>ဇေယျဝတီ Red</v>
      </c>
      <c r="P970" s="44">
        <f>VLOOKUP(N970,Stock[#Data],3,FALSE)</f>
        <v>0.64</v>
      </c>
      <c r="Q970" s="3">
        <f>VLOOKUP(N970,Stock[#Data],4,FALSE)</f>
        <v>14</v>
      </c>
      <c r="R970" s="11"/>
      <c r="S970" s="45">
        <f>IFERROR(Table4[[#This Row],[Bottle]]/Table4[[#This Row],[ပါဝင်မှု]]+Table4[[#This Row],[SalesPK]],0)</f>
        <v>50</v>
      </c>
      <c r="T970" s="12">
        <v>50</v>
      </c>
      <c r="U970" s="10">
        <f>Table4[[#This Row],[ပါဝင်မှု]]*Table4[[#This Row],[SalesPK]]+Table4[[#This Row],[Bottle]]</f>
        <v>700</v>
      </c>
      <c r="V970" s="10">
        <f>Table4[[#This Row],[SalesBot]]*Table4[[#This Row],[ML]]</f>
        <v>448</v>
      </c>
      <c r="W970" s="1">
        <f>VLOOKUP(N970,Stock[#Data],6,FALSE)</f>
        <v>1350</v>
      </c>
      <c r="X970" s="8">
        <f>+Table4[[#This Row],[SalesBot]]*Table4[[#This Row],[နှုံး]]</f>
        <v>945000</v>
      </c>
      <c r="Y970" s="12"/>
      <c r="Z970" s="12"/>
      <c r="AA970" s="12"/>
      <c r="AB970" s="9"/>
      <c r="AC970" s="12"/>
      <c r="AD970" s="9"/>
      <c r="AE970" s="12"/>
      <c r="AF97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970" s="24"/>
      <c r="AH970" s="266"/>
      <c r="AI970" s="264"/>
      <c r="AJ970" s="264"/>
      <c r="AK970" s="270"/>
      <c r="AL970" s="270"/>
      <c r="AM970" s="271"/>
      <c r="AN970" s="272"/>
      <c r="AO970" s="273"/>
      <c r="AP970" s="268"/>
      <c r="AQ970" s="268"/>
      <c r="AR970" s="268"/>
    </row>
    <row r="971" spans="1:44" s="16" customFormat="1" hidden="1" x14ac:dyDescent="0.5">
      <c r="A971" s="3">
        <f t="shared" si="182"/>
        <v>2026</v>
      </c>
      <c r="B971" s="8">
        <f t="shared" si="183"/>
        <v>2</v>
      </c>
      <c r="C971" s="6">
        <v>46079</v>
      </c>
      <c r="D971" s="15">
        <f t="shared" ca="1" si="184"/>
        <v>46097</v>
      </c>
      <c r="E971" s="15" t="str">
        <f t="shared" ca="1" si="185"/>
        <v>0-Months</v>
      </c>
      <c r="F971" s="8" t="str">
        <f>VLOOKUP(N971,Stock[#Data],5,FALSE)</f>
        <v>BE</v>
      </c>
      <c r="G971" s="82" t="s">
        <v>1570</v>
      </c>
      <c r="H971" s="15"/>
      <c r="I971" s="7" t="s">
        <v>99</v>
      </c>
      <c r="J971" s="8" t="str">
        <f>VLOOKUP(I971,Customers[#Data],2,FALSE)</f>
        <v>ကိုဇော်လင်းမြတ်</v>
      </c>
      <c r="K971" s="15" t="str">
        <f>VLOOKUP(I971,Customers[#Data],4,FALSE)</f>
        <v>Yay</v>
      </c>
      <c r="L971" s="15" t="str">
        <f>VLOOKUP(I971,Customers[#Data],5,FALSE)</f>
        <v>SemiWholeSales</v>
      </c>
      <c r="M971" s="7" t="s">
        <v>7</v>
      </c>
      <c r="N971" s="7" t="s">
        <v>517</v>
      </c>
      <c r="O971" s="14" t="str">
        <f>VLOOKUP(N971,Stock[#Data],2,FALSE)</f>
        <v>ဇေယျဝတီ Red (1 Liter) 30%</v>
      </c>
      <c r="P971" s="44">
        <f>VLOOKUP(N971,Stock[#Data],3,FALSE)</f>
        <v>1</v>
      </c>
      <c r="Q971" s="3">
        <f>VLOOKUP(N971,Stock[#Data],4,FALSE)</f>
        <v>12</v>
      </c>
      <c r="R971" s="11"/>
      <c r="S971" s="45">
        <f>IFERROR(Table4[[#This Row],[Bottle]]/Table4[[#This Row],[ပါဝင်မှု]]+Table4[[#This Row],[SalesPK]],0)</f>
        <v>100</v>
      </c>
      <c r="T971" s="12">
        <v>100</v>
      </c>
      <c r="U971" s="10">
        <f>Table4[[#This Row],[ပါဝင်မှု]]*Table4[[#This Row],[SalesPK]]+Table4[[#This Row],[Bottle]]</f>
        <v>1200</v>
      </c>
      <c r="V971" s="10">
        <f>Table4[[#This Row],[SalesBot]]*Table4[[#This Row],[ML]]</f>
        <v>1200</v>
      </c>
      <c r="W971" s="1">
        <f>VLOOKUP(N971,Stock[#Data],6,FALSE)</f>
        <v>1710</v>
      </c>
      <c r="X971" s="8">
        <f>+Table4[[#This Row],[SalesBot]]*Table4[[#This Row],[နှုံး]]</f>
        <v>2052000</v>
      </c>
      <c r="Y971" s="12"/>
      <c r="Z971" s="12"/>
      <c r="AA971" s="12"/>
      <c r="AB971" s="9"/>
      <c r="AC971" s="12"/>
      <c r="AD971" s="9"/>
      <c r="AE971" s="12"/>
      <c r="AF97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971" s="24"/>
      <c r="AH971" s="266"/>
      <c r="AI971" s="264"/>
      <c r="AJ971" s="264"/>
      <c r="AK971" s="270"/>
      <c r="AL971" s="270"/>
      <c r="AM971" s="271"/>
      <c r="AN971" s="272"/>
      <c r="AO971" s="273"/>
      <c r="AP971" s="268"/>
      <c r="AQ971" s="268"/>
      <c r="AR971" s="268"/>
    </row>
    <row r="972" spans="1:44" s="16" customFormat="1" hidden="1" x14ac:dyDescent="0.5">
      <c r="A972" s="3">
        <f t="shared" si="182"/>
        <v>2026</v>
      </c>
      <c r="B972" s="8">
        <f t="shared" si="183"/>
        <v>2</v>
      </c>
      <c r="C972" s="6">
        <v>46079</v>
      </c>
      <c r="D972" s="15">
        <f t="shared" ca="1" si="184"/>
        <v>46097</v>
      </c>
      <c r="E972" s="15" t="str">
        <f t="shared" ca="1" si="185"/>
        <v>0-Months</v>
      </c>
      <c r="F972" s="8" t="str">
        <f>VLOOKUP(N972,Stock[#Data],5,FALSE)</f>
        <v>BE</v>
      </c>
      <c r="G972" s="82" t="s">
        <v>1570</v>
      </c>
      <c r="H972" s="15"/>
      <c r="I972" s="7" t="s">
        <v>99</v>
      </c>
      <c r="J972" s="8" t="str">
        <f>VLOOKUP(I972,Customers[#Data],2,FALSE)</f>
        <v>ကိုဇော်လင်းမြတ်</v>
      </c>
      <c r="K972" s="15" t="str">
        <f>VLOOKUP(I972,Customers[#Data],4,FALSE)</f>
        <v>Yay</v>
      </c>
      <c r="L972" s="15" t="str">
        <f>VLOOKUP(I972,Customers[#Data],5,FALSE)</f>
        <v>SemiWholeSales</v>
      </c>
      <c r="M972" s="7" t="s">
        <v>9</v>
      </c>
      <c r="N972" s="7" t="s">
        <v>425</v>
      </c>
      <c r="O972" s="14" t="str">
        <f>VLOOKUP(N972,Stock[#Data],2,FALSE)</f>
        <v>ကောင်းကြည်-1Li</v>
      </c>
      <c r="P972" s="44">
        <f>VLOOKUP(N972,Stock[#Data],3,FALSE)</f>
        <v>1</v>
      </c>
      <c r="Q972" s="3">
        <f>VLOOKUP(N972,Stock[#Data],4,FALSE)</f>
        <v>12</v>
      </c>
      <c r="R972" s="11">
        <v>1</v>
      </c>
      <c r="S972" s="45">
        <f>IFERROR(Table4[[#This Row],[Bottle]]/Table4[[#This Row],[ပါဝင်မှု]]+Table4[[#This Row],[SalesPK]],0)</f>
        <v>8.3333333333333329E-2</v>
      </c>
      <c r="T972" s="12"/>
      <c r="U972" s="10">
        <f>Table4[[#This Row],[ပါဝင်မှု]]*Table4[[#This Row],[SalesPK]]+Table4[[#This Row],[Bottle]]</f>
        <v>1</v>
      </c>
      <c r="V972" s="10">
        <f>Table4[[#This Row],[SalesBot]]*Table4[[#This Row],[ML]]</f>
        <v>1</v>
      </c>
      <c r="W972" s="1">
        <f>VLOOKUP(N972,Stock[#Data],6,FALSE)</f>
        <v>1500</v>
      </c>
      <c r="X972" s="8">
        <f>+Table4[[#This Row],[SalesBot]]*Table4[[#This Row],[နှုံး]]</f>
        <v>1500</v>
      </c>
      <c r="Y972" s="12"/>
      <c r="Z972" s="12"/>
      <c r="AA972" s="12"/>
      <c r="AB972" s="9"/>
      <c r="AC972" s="12"/>
      <c r="AD972" s="9"/>
      <c r="AE972" s="12"/>
      <c r="AF97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1500</v>
      </c>
      <c r="AG972" s="24"/>
      <c r="AH972" s="266"/>
      <c r="AI972" s="264"/>
      <c r="AJ972" s="264"/>
      <c r="AK972" s="270"/>
      <c r="AL972" s="270"/>
      <c r="AM972" s="271"/>
      <c r="AN972" s="272"/>
      <c r="AO972" s="273"/>
      <c r="AP972" s="268"/>
      <c r="AQ972" s="268"/>
      <c r="AR972" s="268"/>
    </row>
    <row r="973" spans="1:44" s="16" customFormat="1" hidden="1" x14ac:dyDescent="0.5">
      <c r="A973" s="3">
        <f t="shared" si="182"/>
        <v>2026</v>
      </c>
      <c r="B973" s="8">
        <f t="shared" si="183"/>
        <v>2</v>
      </c>
      <c r="C973" s="6">
        <v>46079</v>
      </c>
      <c r="D973" s="15">
        <f t="shared" ca="1" si="184"/>
        <v>46097</v>
      </c>
      <c r="E973" s="15" t="str">
        <f t="shared" ca="1" si="185"/>
        <v>0-Months</v>
      </c>
      <c r="F973" s="8" t="str">
        <f>VLOOKUP(N973,Stock[#Data],5,FALSE)</f>
        <v>BE</v>
      </c>
      <c r="G973" s="82" t="s">
        <v>1570</v>
      </c>
      <c r="H973" s="15"/>
      <c r="I973" s="7" t="s">
        <v>99</v>
      </c>
      <c r="J973" s="8" t="str">
        <f>VLOOKUP(I973,Customers[#Data],2,FALSE)</f>
        <v>ကိုဇော်လင်းမြတ်</v>
      </c>
      <c r="K973" s="15" t="str">
        <f>VLOOKUP(I973,Customers[#Data],4,FALSE)</f>
        <v>Yay</v>
      </c>
      <c r="L973" s="15" t="str">
        <f>VLOOKUP(I973,Customers[#Data],5,FALSE)</f>
        <v>SemiWholeSales</v>
      </c>
      <c r="M973" s="7" t="s">
        <v>9</v>
      </c>
      <c r="N973" s="7" t="s">
        <v>508</v>
      </c>
      <c r="O973" s="14" t="str">
        <f>VLOOKUP(N973,Stock[#Data],2,FALSE)</f>
        <v>ကောင်းကြည်-1Li</v>
      </c>
      <c r="P973" s="44">
        <f>VLOOKUP(N973,Stock[#Data],3,FALSE)</f>
        <v>1</v>
      </c>
      <c r="Q973" s="3">
        <f>VLOOKUP(N973,Stock[#Data],4,FALSE)</f>
        <v>12</v>
      </c>
      <c r="R973" s="11">
        <v>1</v>
      </c>
      <c r="S973" s="45">
        <f>IFERROR(Table4[[#This Row],[Bottle]]/Table4[[#This Row],[ပါဝင်မှု]]+Table4[[#This Row],[SalesPK]],0)</f>
        <v>8.3333333333333329E-2</v>
      </c>
      <c r="T973" s="12"/>
      <c r="U973" s="10">
        <f>Table4[[#This Row],[ပါဝင်မှု]]*Table4[[#This Row],[SalesPK]]+Table4[[#This Row],[Bottle]]</f>
        <v>1</v>
      </c>
      <c r="V973" s="10">
        <f>Table4[[#This Row],[SalesBot]]*Table4[[#This Row],[ML]]</f>
        <v>1</v>
      </c>
      <c r="W973" s="1">
        <f>VLOOKUP(N973,Stock[#Data],6,FALSE)</f>
        <v>1850</v>
      </c>
      <c r="X973" s="8">
        <f>+Table4[[#This Row],[SalesBot]]*Table4[[#This Row],[နှုံး]]</f>
        <v>1850</v>
      </c>
      <c r="Y973" s="12"/>
      <c r="Z973" s="12"/>
      <c r="AA973" s="12"/>
      <c r="AB973" s="9"/>
      <c r="AC973" s="12"/>
      <c r="AD973" s="9"/>
      <c r="AE973" s="12"/>
      <c r="AF97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1850</v>
      </c>
      <c r="AG973" s="24"/>
      <c r="AH973" s="266"/>
      <c r="AI973" s="264"/>
      <c r="AJ973" s="264"/>
      <c r="AK973" s="270"/>
      <c r="AL973" s="270"/>
      <c r="AM973" s="271"/>
      <c r="AN973" s="272"/>
      <c r="AO973" s="273"/>
      <c r="AP973" s="268"/>
      <c r="AQ973" s="268"/>
      <c r="AR973" s="268"/>
    </row>
    <row r="974" spans="1:44" s="16" customFormat="1" hidden="1" x14ac:dyDescent="0.5">
      <c r="A974" s="3">
        <f t="shared" si="182"/>
        <v>2026</v>
      </c>
      <c r="B974" s="8">
        <f t="shared" si="183"/>
        <v>2</v>
      </c>
      <c r="C974" s="6">
        <v>46079</v>
      </c>
      <c r="D974" s="15">
        <f t="shared" ca="1" si="184"/>
        <v>46097</v>
      </c>
      <c r="E974" s="15" t="str">
        <f t="shared" ca="1" si="185"/>
        <v>0-Months</v>
      </c>
      <c r="F974" s="8" t="str">
        <f>VLOOKUP(N974,Stock[#Data],5,FALSE)</f>
        <v>BE</v>
      </c>
      <c r="G974" s="82" t="s">
        <v>1571</v>
      </c>
      <c r="H974" s="15"/>
      <c r="I974" s="7" t="s">
        <v>538</v>
      </c>
      <c r="J974" s="8" t="str">
        <f>VLOOKUP(I974,Customers[#Data],2,FALSE)</f>
        <v>ဒေါ်နွယ်နွယ်ရီ(ရွှေတောင်ကြား)</v>
      </c>
      <c r="K974" s="15" t="str">
        <f>VLOOKUP(I974,Customers[#Data],4,FALSE)</f>
        <v>Yay</v>
      </c>
      <c r="L974" s="15" t="str">
        <f>VLOOKUP(I974,Customers[#Data],5,FALSE)</f>
        <v>WholeSales</v>
      </c>
      <c r="M974" s="7" t="s">
        <v>7</v>
      </c>
      <c r="N974" s="7" t="s">
        <v>517</v>
      </c>
      <c r="O974" s="14" t="str">
        <f>VLOOKUP(N974,Stock[#Data],2,FALSE)</f>
        <v>ဇေယျဝတီ Red (1 Liter) 30%</v>
      </c>
      <c r="P974" s="44">
        <f>VLOOKUP(N974,Stock[#Data],3,FALSE)</f>
        <v>1</v>
      </c>
      <c r="Q974" s="3">
        <f>VLOOKUP(N974,Stock[#Data],4,FALSE)</f>
        <v>12</v>
      </c>
      <c r="R974" s="11"/>
      <c r="S974" s="45">
        <f>IFERROR(Table4[[#This Row],[Bottle]]/Table4[[#This Row],[ပါဝင်မှု]]+Table4[[#This Row],[SalesPK]],0)</f>
        <v>100</v>
      </c>
      <c r="T974" s="12">
        <v>100</v>
      </c>
      <c r="U974" s="10">
        <f>Table4[[#This Row],[ပါဝင်မှု]]*Table4[[#This Row],[SalesPK]]+Table4[[#This Row],[Bottle]]</f>
        <v>1200</v>
      </c>
      <c r="V974" s="10">
        <f>Table4[[#This Row],[SalesBot]]*Table4[[#This Row],[ML]]</f>
        <v>1200</v>
      </c>
      <c r="W974" s="1">
        <f>VLOOKUP(N974,Stock[#Data],6,FALSE)</f>
        <v>1710</v>
      </c>
      <c r="X974" s="8">
        <f>+Table4[[#This Row],[SalesBot]]*Table4[[#This Row],[နှုံး]]</f>
        <v>2052000</v>
      </c>
      <c r="Y974" s="12"/>
      <c r="Z974" s="12"/>
      <c r="AA974" s="12"/>
      <c r="AB974" s="9"/>
      <c r="AC974" s="12"/>
      <c r="AD974" s="9"/>
      <c r="AE974" s="12"/>
      <c r="AF97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974" s="24"/>
      <c r="AH974" s="266"/>
      <c r="AI974" s="264"/>
      <c r="AJ974" s="264"/>
      <c r="AK974" s="270"/>
      <c r="AL974" s="270"/>
      <c r="AM974" s="271"/>
      <c r="AN974" s="272"/>
      <c r="AO974" s="273"/>
      <c r="AP974" s="268"/>
      <c r="AQ974" s="268"/>
      <c r="AR974" s="268"/>
    </row>
    <row r="975" spans="1:44" s="16" customFormat="1" hidden="1" x14ac:dyDescent="0.5">
      <c r="A975" s="3">
        <f t="shared" si="182"/>
        <v>2026</v>
      </c>
      <c r="B975" s="8">
        <f t="shared" si="183"/>
        <v>2</v>
      </c>
      <c r="C975" s="6">
        <v>46079</v>
      </c>
      <c r="D975" s="15">
        <f t="shared" ca="1" si="184"/>
        <v>46097</v>
      </c>
      <c r="E975" s="15" t="str">
        <f t="shared" ca="1" si="185"/>
        <v>0-Months</v>
      </c>
      <c r="F975" s="8" t="str">
        <f>VLOOKUP(N975,Stock[#Data],5,FALSE)</f>
        <v>BE</v>
      </c>
      <c r="G975" s="82" t="s">
        <v>1572</v>
      </c>
      <c r="H975" s="15"/>
      <c r="I975" s="7" t="s">
        <v>95</v>
      </c>
      <c r="J975" s="8" t="str">
        <f>VLOOKUP(I975,Customers[#Data],2,FALSE)</f>
        <v>ကျော်စတား</v>
      </c>
      <c r="K975" s="15" t="str">
        <f>VLOOKUP(I975,Customers[#Data],4,FALSE)</f>
        <v>Yay</v>
      </c>
      <c r="L975" s="15" t="str">
        <f>VLOOKUP(I975,Customers[#Data],5,FALSE)</f>
        <v>WholeSales</v>
      </c>
      <c r="M975" s="7" t="s">
        <v>7</v>
      </c>
      <c r="N975" s="7" t="s">
        <v>514</v>
      </c>
      <c r="O975" s="14" t="str">
        <f>VLOOKUP(N975,Stock[#Data],2,FALSE)</f>
        <v>ဇေယျဝတီ Red</v>
      </c>
      <c r="P975" s="44">
        <f>VLOOKUP(N975,Stock[#Data],3,FALSE)</f>
        <v>0.64</v>
      </c>
      <c r="Q975" s="3">
        <f>VLOOKUP(N975,Stock[#Data],4,FALSE)</f>
        <v>14</v>
      </c>
      <c r="R975" s="11"/>
      <c r="S975" s="45">
        <f>IFERROR(Table4[[#This Row],[Bottle]]/Table4[[#This Row],[ပါဝင်မှု]]+Table4[[#This Row],[SalesPK]],0)</f>
        <v>130</v>
      </c>
      <c r="T975" s="12">
        <v>130</v>
      </c>
      <c r="U975" s="10">
        <f>Table4[[#This Row],[ပါဝင်မှု]]*Table4[[#This Row],[SalesPK]]+Table4[[#This Row],[Bottle]]</f>
        <v>1820</v>
      </c>
      <c r="V975" s="10">
        <f>Table4[[#This Row],[SalesBot]]*Table4[[#This Row],[ML]]</f>
        <v>1164.8</v>
      </c>
      <c r="W975" s="1">
        <f>VLOOKUP(N975,Stock[#Data],6,FALSE)</f>
        <v>1350</v>
      </c>
      <c r="X975" s="8">
        <f>+Table4[[#This Row],[SalesBot]]*Table4[[#This Row],[နှုံး]]</f>
        <v>2457000</v>
      </c>
      <c r="Y975" s="12"/>
      <c r="Z975" s="12"/>
      <c r="AA975" s="12"/>
      <c r="AB975" s="9"/>
      <c r="AC975" s="12"/>
      <c r="AD975" s="9"/>
      <c r="AE975" s="12"/>
      <c r="AF97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2457000</v>
      </c>
      <c r="AG975" s="24"/>
      <c r="AH975" s="266"/>
      <c r="AI975" s="264"/>
      <c r="AJ975" s="264"/>
      <c r="AK975" s="270"/>
      <c r="AL975" s="270"/>
      <c r="AM975" s="271"/>
      <c r="AN975" s="272"/>
      <c r="AO975" s="273"/>
      <c r="AP975" s="268"/>
      <c r="AQ975" s="268"/>
      <c r="AR975" s="268"/>
    </row>
    <row r="976" spans="1:44" s="16" customFormat="1" hidden="1" x14ac:dyDescent="0.5">
      <c r="A976" s="3">
        <f t="shared" si="182"/>
        <v>2026</v>
      </c>
      <c r="B976" s="8">
        <f t="shared" si="183"/>
        <v>2</v>
      </c>
      <c r="C976" s="6">
        <v>46079</v>
      </c>
      <c r="D976" s="15">
        <f t="shared" ca="1" si="184"/>
        <v>46097</v>
      </c>
      <c r="E976" s="15" t="str">
        <f t="shared" ca="1" si="185"/>
        <v>0-Months</v>
      </c>
      <c r="F976" s="8" t="str">
        <f>VLOOKUP(N976,Stock[#Data],5,FALSE)</f>
        <v>BE</v>
      </c>
      <c r="G976" s="82" t="s">
        <v>1572</v>
      </c>
      <c r="H976" s="15"/>
      <c r="I976" s="7" t="s">
        <v>95</v>
      </c>
      <c r="J976" s="8" t="str">
        <f>VLOOKUP(I976,Customers[#Data],2,FALSE)</f>
        <v>ကျော်စတား</v>
      </c>
      <c r="K976" s="15" t="str">
        <f>VLOOKUP(I976,Customers[#Data],4,FALSE)</f>
        <v>Yay</v>
      </c>
      <c r="L976" s="15" t="str">
        <f>VLOOKUP(I976,Customers[#Data],5,FALSE)</f>
        <v>WholeSales</v>
      </c>
      <c r="M976" s="7" t="s">
        <v>7</v>
      </c>
      <c r="N976" s="7" t="s">
        <v>517</v>
      </c>
      <c r="O976" s="14" t="str">
        <f>VLOOKUP(N976,Stock[#Data],2,FALSE)</f>
        <v>ဇေယျဝတီ Red (1 Liter) 30%</v>
      </c>
      <c r="P976" s="44">
        <f>VLOOKUP(N976,Stock[#Data],3,FALSE)</f>
        <v>1</v>
      </c>
      <c r="Q976" s="3">
        <f>VLOOKUP(N976,Stock[#Data],4,FALSE)</f>
        <v>12</v>
      </c>
      <c r="R976" s="11"/>
      <c r="S976" s="45">
        <f>IFERROR(Table4[[#This Row],[Bottle]]/Table4[[#This Row],[ပါဝင်မှု]]+Table4[[#This Row],[SalesPK]],0)</f>
        <v>100</v>
      </c>
      <c r="T976" s="12">
        <v>100</v>
      </c>
      <c r="U976" s="10">
        <f>Table4[[#This Row],[ပါဝင်မှု]]*Table4[[#This Row],[SalesPK]]+Table4[[#This Row],[Bottle]]</f>
        <v>1200</v>
      </c>
      <c r="V976" s="10">
        <f>Table4[[#This Row],[SalesBot]]*Table4[[#This Row],[ML]]</f>
        <v>1200</v>
      </c>
      <c r="W976" s="1">
        <f>VLOOKUP(N976,Stock[#Data],6,FALSE)</f>
        <v>1710</v>
      </c>
      <c r="X976" s="8">
        <f>+Table4[[#This Row],[SalesBot]]*Table4[[#This Row],[နှုံး]]</f>
        <v>2052000</v>
      </c>
      <c r="Y976" s="12"/>
      <c r="Z976" s="12"/>
      <c r="AA976" s="12"/>
      <c r="AB976" s="9"/>
      <c r="AC976" s="12"/>
      <c r="AD976" s="9"/>
      <c r="AE976" s="12"/>
      <c r="AF97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976" s="24"/>
      <c r="AH976" s="266"/>
      <c r="AI976" s="264"/>
      <c r="AJ976" s="264"/>
      <c r="AK976" s="270"/>
      <c r="AL976" s="270"/>
      <c r="AM976" s="271"/>
      <c r="AN976" s="272"/>
      <c r="AO976" s="273"/>
      <c r="AP976" s="268"/>
      <c r="AQ976" s="268"/>
      <c r="AR976" s="268"/>
    </row>
    <row r="977" spans="1:44" s="16" customFormat="1" hidden="1" x14ac:dyDescent="0.5">
      <c r="A977" s="3">
        <f t="shared" si="182"/>
        <v>2026</v>
      </c>
      <c r="B977" s="8">
        <f t="shared" si="183"/>
        <v>2</v>
      </c>
      <c r="C977" s="6">
        <v>46079</v>
      </c>
      <c r="D977" s="15">
        <f t="shared" ca="1" si="184"/>
        <v>46097</v>
      </c>
      <c r="E977" s="15" t="str">
        <f t="shared" ca="1" si="185"/>
        <v>0-Months</v>
      </c>
      <c r="F977" s="8" t="str">
        <f>VLOOKUP(N977,Stock[#Data],5,FALSE)</f>
        <v>BE</v>
      </c>
      <c r="G977" s="82"/>
      <c r="H977" s="15"/>
      <c r="I977" s="7" t="s">
        <v>100</v>
      </c>
      <c r="J977" s="8" t="str">
        <f>VLOOKUP(I977,Customers[#Data],2,FALSE)</f>
        <v>ကိုရှမ်း</v>
      </c>
      <c r="K977" s="15" t="str">
        <f>VLOOKUP(I977,Customers[#Data],4,FALSE)</f>
        <v>Yay</v>
      </c>
      <c r="L977" s="15" t="str">
        <f>VLOOKUP(I977,Customers[#Data],5,FALSE)</f>
        <v>SemiWholeSales</v>
      </c>
      <c r="M977" s="7" t="s">
        <v>8</v>
      </c>
      <c r="N977" s="7" t="s">
        <v>514</v>
      </c>
      <c r="O977" s="14" t="str">
        <f>VLOOKUP(N977,Stock[#Data],2,FALSE)</f>
        <v>ဇေယျဝတီ Red</v>
      </c>
      <c r="P977" s="44">
        <f>VLOOKUP(N977,Stock[#Data],3,FALSE)</f>
        <v>0.64</v>
      </c>
      <c r="Q977" s="3">
        <f>VLOOKUP(N977,Stock[#Data],4,FALSE)</f>
        <v>14</v>
      </c>
      <c r="R977" s="11">
        <v>2</v>
      </c>
      <c r="S977" s="45">
        <f>IFERROR(Table4[[#This Row],[Bottle]]/Table4[[#This Row],[ပါဝင်မှု]]+Table4[[#This Row],[SalesPK]],0)</f>
        <v>0.14285714285714285</v>
      </c>
      <c r="T977" s="12"/>
      <c r="U977" s="10">
        <f>Table4[[#This Row],[ပါဝင်မှု]]*Table4[[#This Row],[SalesPK]]+Table4[[#This Row],[Bottle]]</f>
        <v>2</v>
      </c>
      <c r="V977" s="10">
        <f>Table4[[#This Row],[SalesBot]]*Table4[[#This Row],[ML]]</f>
        <v>1.28</v>
      </c>
      <c r="W977" s="1">
        <f>VLOOKUP(N977,Stock[#Data],6,FALSE)</f>
        <v>1350</v>
      </c>
      <c r="X977" s="8">
        <f>+Table4[[#This Row],[SalesBot]]*Table4[[#This Row],[နှုံး]]</f>
        <v>2700</v>
      </c>
      <c r="Y977" s="12"/>
      <c r="Z977" s="12"/>
      <c r="AA977" s="12"/>
      <c r="AB977" s="9"/>
      <c r="AC977" s="12"/>
      <c r="AD977" s="9"/>
      <c r="AE977" s="12"/>
      <c r="AF97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2700</v>
      </c>
      <c r="AG977" s="24"/>
      <c r="AH977" s="266"/>
      <c r="AI977" s="264"/>
      <c r="AJ977" s="264"/>
      <c r="AK977" s="270"/>
      <c r="AL977" s="270"/>
      <c r="AM977" s="271"/>
      <c r="AN977" s="272"/>
      <c r="AO977" s="273"/>
      <c r="AP977" s="268"/>
      <c r="AQ977" s="268"/>
      <c r="AR977" s="268"/>
    </row>
    <row r="978" spans="1:44" s="16" customFormat="1" hidden="1" x14ac:dyDescent="0.5">
      <c r="A978" s="3">
        <f t="shared" si="182"/>
        <v>2026</v>
      </c>
      <c r="B978" s="8">
        <f t="shared" si="183"/>
        <v>2</v>
      </c>
      <c r="C978" s="6">
        <v>46079</v>
      </c>
      <c r="D978" s="15">
        <f t="shared" ca="1" si="184"/>
        <v>46097</v>
      </c>
      <c r="E978" s="15" t="str">
        <f t="shared" ca="1" si="185"/>
        <v>0-Months</v>
      </c>
      <c r="F978" s="8" t="str">
        <f>VLOOKUP(N978,Stock[#Data],5,FALSE)</f>
        <v>BE</v>
      </c>
      <c r="G978" s="82" t="s">
        <v>1573</v>
      </c>
      <c r="H978" s="15"/>
      <c r="I978" s="7" t="s">
        <v>108</v>
      </c>
      <c r="J978" s="8" t="str">
        <f>VLOOKUP(I978,Customers[#Data],2,FALSE)</f>
        <v>ကိုညီညီဆွေ</v>
      </c>
      <c r="K978" s="15" t="str">
        <f>VLOOKUP(I978,Customers[#Data],4,FALSE)</f>
        <v>Maw La Myaing</v>
      </c>
      <c r="L978" s="15" t="str">
        <f>VLOOKUP(I978,Customers[#Data],5,FALSE)</f>
        <v>WholeSales</v>
      </c>
      <c r="M978" s="7" t="s">
        <v>6</v>
      </c>
      <c r="N978" s="7" t="s">
        <v>514</v>
      </c>
      <c r="O978" s="14" t="str">
        <f>VLOOKUP(N978,Stock[#Data],2,FALSE)</f>
        <v>ဇေယျဝတီ Red</v>
      </c>
      <c r="P978" s="44">
        <f>VLOOKUP(N978,Stock[#Data],3,FALSE)</f>
        <v>0.64</v>
      </c>
      <c r="Q978" s="3">
        <f>VLOOKUP(N978,Stock[#Data],4,FALSE)</f>
        <v>14</v>
      </c>
      <c r="R978" s="11"/>
      <c r="S978" s="45">
        <f>IFERROR(Table4[[#This Row],[Bottle]]/Table4[[#This Row],[ပါဝင်မှု]]+Table4[[#This Row],[SalesPK]],0)</f>
        <v>30</v>
      </c>
      <c r="T978" s="12">
        <v>30</v>
      </c>
      <c r="U978" s="10">
        <f>Table4[[#This Row],[ပါဝင်မှု]]*Table4[[#This Row],[SalesPK]]+Table4[[#This Row],[Bottle]]</f>
        <v>420</v>
      </c>
      <c r="V978" s="10">
        <f>Table4[[#This Row],[SalesBot]]*Table4[[#This Row],[ML]]</f>
        <v>268.8</v>
      </c>
      <c r="W978" s="1">
        <f>VLOOKUP(N978,Stock[#Data],6,FALSE)</f>
        <v>1350</v>
      </c>
      <c r="X978" s="8">
        <f>+Table4[[#This Row],[SalesBot]]*Table4[[#This Row],[နှုံး]]</f>
        <v>567000</v>
      </c>
      <c r="Y978" s="12"/>
      <c r="Z978" s="12"/>
      <c r="AA978" s="12"/>
      <c r="AB978" s="9"/>
      <c r="AC978" s="12"/>
      <c r="AD978" s="9"/>
      <c r="AE978" s="12"/>
      <c r="AF97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567000</v>
      </c>
      <c r="AG978" s="24"/>
      <c r="AH978" s="266"/>
      <c r="AI978" s="264"/>
      <c r="AJ978" s="264"/>
      <c r="AK978" s="270"/>
      <c r="AL978" s="270"/>
      <c r="AM978" s="271"/>
      <c r="AN978" s="272"/>
      <c r="AO978" s="273"/>
      <c r="AP978" s="268"/>
      <c r="AQ978" s="268"/>
      <c r="AR978" s="268"/>
    </row>
    <row r="979" spans="1:44" s="16" customFormat="1" hidden="1" x14ac:dyDescent="0.5">
      <c r="A979" s="3">
        <f t="shared" si="182"/>
        <v>2026</v>
      </c>
      <c r="B979" s="8">
        <f t="shared" si="183"/>
        <v>2</v>
      </c>
      <c r="C979" s="6">
        <v>46079</v>
      </c>
      <c r="D979" s="15">
        <f t="shared" ca="1" si="184"/>
        <v>46097</v>
      </c>
      <c r="E979" s="15" t="str">
        <f t="shared" ca="1" si="185"/>
        <v>0-Months</v>
      </c>
      <c r="F979" s="8" t="str">
        <f>VLOOKUP(N979,Stock[#Data],5,FALSE)</f>
        <v>BE</v>
      </c>
      <c r="G979" s="82" t="s">
        <v>1573</v>
      </c>
      <c r="H979" s="15"/>
      <c r="I979" s="7" t="s">
        <v>108</v>
      </c>
      <c r="J979" s="8" t="str">
        <f>VLOOKUP(I979,Customers[#Data],2,FALSE)</f>
        <v>ကိုညီညီဆွေ</v>
      </c>
      <c r="K979" s="15" t="str">
        <f>VLOOKUP(I979,Customers[#Data],4,FALSE)</f>
        <v>Maw La Myaing</v>
      </c>
      <c r="L979" s="15" t="str">
        <f>VLOOKUP(I979,Customers[#Data],5,FALSE)</f>
        <v>WholeSales</v>
      </c>
      <c r="M979" s="7" t="s">
        <v>6</v>
      </c>
      <c r="N979" s="7" t="s">
        <v>517</v>
      </c>
      <c r="O979" s="14" t="str">
        <f>VLOOKUP(N979,Stock[#Data],2,FALSE)</f>
        <v>ဇေယျဝတီ Red (1 Liter) 30%</v>
      </c>
      <c r="P979" s="44">
        <f>VLOOKUP(N979,Stock[#Data],3,FALSE)</f>
        <v>1</v>
      </c>
      <c r="Q979" s="3">
        <f>VLOOKUP(N979,Stock[#Data],4,FALSE)</f>
        <v>12</v>
      </c>
      <c r="R979" s="11"/>
      <c r="S979" s="45">
        <f>IFERROR(Table4[[#This Row],[Bottle]]/Table4[[#This Row],[ပါဝင်မှု]]+Table4[[#This Row],[SalesPK]],0)</f>
        <v>100</v>
      </c>
      <c r="T979" s="12">
        <v>100</v>
      </c>
      <c r="U979" s="10">
        <f>Table4[[#This Row],[ပါဝင်မှု]]*Table4[[#This Row],[SalesPK]]+Table4[[#This Row],[Bottle]]</f>
        <v>1200</v>
      </c>
      <c r="V979" s="10">
        <f>Table4[[#This Row],[SalesBot]]*Table4[[#This Row],[ML]]</f>
        <v>1200</v>
      </c>
      <c r="W979" s="1">
        <f>VLOOKUP(N979,Stock[#Data],6,FALSE)</f>
        <v>1710</v>
      </c>
      <c r="X979" s="8">
        <f>+Table4[[#This Row],[SalesBot]]*Table4[[#This Row],[နှုံး]]</f>
        <v>2052000</v>
      </c>
      <c r="Y979" s="12"/>
      <c r="Z979" s="12"/>
      <c r="AA979" s="12"/>
      <c r="AB979" s="9"/>
      <c r="AC979" s="12"/>
      <c r="AD979" s="9"/>
      <c r="AE979" s="12"/>
      <c r="AF97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979" s="24"/>
      <c r="AH979" s="266"/>
      <c r="AI979" s="264"/>
      <c r="AJ979" s="264"/>
      <c r="AK979" s="270"/>
      <c r="AL979" s="270"/>
      <c r="AM979" s="271"/>
      <c r="AN979" s="272"/>
      <c r="AO979" s="273"/>
      <c r="AP979" s="268"/>
      <c r="AQ979" s="268"/>
      <c r="AR979" s="268"/>
    </row>
    <row r="980" spans="1:44" s="16" customFormat="1" hidden="1" x14ac:dyDescent="0.5">
      <c r="A980" s="3">
        <f t="shared" si="182"/>
        <v>2026</v>
      </c>
      <c r="B980" s="8">
        <f t="shared" si="183"/>
        <v>2</v>
      </c>
      <c r="C980" s="6">
        <v>46079</v>
      </c>
      <c r="D980" s="15">
        <f t="shared" ca="1" si="184"/>
        <v>46097</v>
      </c>
      <c r="E980" s="15" t="str">
        <f t="shared" ca="1" si="185"/>
        <v>0-Months</v>
      </c>
      <c r="F980" s="8" t="str">
        <f>VLOOKUP(N980,Stock[#Data],5,FALSE)</f>
        <v>BE</v>
      </c>
      <c r="G980" s="82" t="s">
        <v>1574</v>
      </c>
      <c r="H980" s="15"/>
      <c r="I980" s="7" t="s">
        <v>109</v>
      </c>
      <c r="J980" s="8" t="str">
        <f>VLOOKUP(I980,Customers[#Data],2,FALSE)</f>
        <v>ဦးမင်းလွင်</v>
      </c>
      <c r="K980" s="15" t="str">
        <f>VLOOKUP(I980,Customers[#Data],4,FALSE)</f>
        <v>Maw La Myaing</v>
      </c>
      <c r="L980" s="15" t="str">
        <f>VLOOKUP(I980,Customers[#Data],5,FALSE)</f>
        <v>WholeSales</v>
      </c>
      <c r="M980" s="7" t="s">
        <v>6</v>
      </c>
      <c r="N980" s="7" t="s">
        <v>521</v>
      </c>
      <c r="O980" s="14" t="str">
        <f>VLOOKUP(N980,Stock[#Data],2,FALSE)</f>
        <v>ဒဂုံအရက်သန့်</v>
      </c>
      <c r="P980" s="44">
        <f>VLOOKUP(N980,Stock[#Data],3,FALSE)</f>
        <v>0.64</v>
      </c>
      <c r="Q980" s="3">
        <f>VLOOKUP(N980,Stock[#Data],4,FALSE)</f>
        <v>24</v>
      </c>
      <c r="R980" s="11"/>
      <c r="S980" s="45">
        <f>IFERROR(Table4[[#This Row],[Bottle]]/Table4[[#This Row],[ပါဝင်မှု]]+Table4[[#This Row],[SalesPK]],0)</f>
        <v>29</v>
      </c>
      <c r="T980" s="12">
        <v>29</v>
      </c>
      <c r="U980" s="10">
        <f>Table4[[#This Row],[ပါဝင်မှု]]*Table4[[#This Row],[SalesPK]]+Table4[[#This Row],[Bottle]]</f>
        <v>696</v>
      </c>
      <c r="V980" s="10">
        <f>Table4[[#This Row],[SalesBot]]*Table4[[#This Row],[ML]]</f>
        <v>445.44</v>
      </c>
      <c r="W980" s="1">
        <f>VLOOKUP(N980,Stock[#Data],6,FALSE)</f>
        <v>1350</v>
      </c>
      <c r="X980" s="8">
        <f>+Table4[[#This Row],[SalesBot]]*Table4[[#This Row],[နှုံး]]</f>
        <v>939600</v>
      </c>
      <c r="Y980" s="12"/>
      <c r="Z980" s="12"/>
      <c r="AA980" s="12"/>
      <c r="AB980" s="9"/>
      <c r="AC980" s="12"/>
      <c r="AD980" s="9"/>
      <c r="AE980" s="12"/>
      <c r="AF98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939600</v>
      </c>
      <c r="AG980" s="24"/>
      <c r="AH980" s="266"/>
      <c r="AI980" s="264"/>
      <c r="AJ980" s="264"/>
      <c r="AK980" s="270"/>
      <c r="AL980" s="270"/>
      <c r="AM980" s="271"/>
      <c r="AN980" s="272"/>
      <c r="AO980" s="273"/>
      <c r="AP980" s="268"/>
      <c r="AQ980" s="268"/>
      <c r="AR980" s="268"/>
    </row>
    <row r="981" spans="1:44" s="16" customFormat="1" hidden="1" x14ac:dyDescent="0.5">
      <c r="A981" s="3">
        <f t="shared" si="182"/>
        <v>2026</v>
      </c>
      <c r="B981" s="8">
        <f t="shared" si="183"/>
        <v>2</v>
      </c>
      <c r="C981" s="6">
        <v>46079</v>
      </c>
      <c r="D981" s="15">
        <f t="shared" ca="1" si="184"/>
        <v>46097</v>
      </c>
      <c r="E981" s="15" t="str">
        <f t="shared" ca="1" si="185"/>
        <v>0-Months</v>
      </c>
      <c r="F981" s="8" t="str">
        <f>VLOOKUP(N981,Stock[#Data],5,FALSE)</f>
        <v>BE</v>
      </c>
      <c r="G981" s="82" t="s">
        <v>1574</v>
      </c>
      <c r="H981" s="15"/>
      <c r="I981" s="7" t="s">
        <v>109</v>
      </c>
      <c r="J981" s="8" t="str">
        <f>VLOOKUP(I981,Customers[#Data],2,FALSE)</f>
        <v>ဦးမင်းလွင်</v>
      </c>
      <c r="K981" s="15" t="str">
        <f>VLOOKUP(I981,Customers[#Data],4,FALSE)</f>
        <v>Maw La Myaing</v>
      </c>
      <c r="L981" s="15" t="str">
        <f>VLOOKUP(I981,Customers[#Data],5,FALSE)</f>
        <v>WholeSales</v>
      </c>
      <c r="M981" s="7" t="s">
        <v>8</v>
      </c>
      <c r="N981" s="7" t="s">
        <v>521</v>
      </c>
      <c r="O981" s="14" t="str">
        <f>VLOOKUP(N981,Stock[#Data],2,FALSE)</f>
        <v>ဒဂုံအရက်သန့်</v>
      </c>
      <c r="P981" s="44">
        <f>VLOOKUP(N981,Stock[#Data],3,FALSE)</f>
        <v>0.64</v>
      </c>
      <c r="Q981" s="3">
        <f>VLOOKUP(N981,Stock[#Data],4,FALSE)</f>
        <v>24</v>
      </c>
      <c r="R981" s="11">
        <v>3</v>
      </c>
      <c r="S981" s="45">
        <f>IFERROR(Table4[[#This Row],[Bottle]]/Table4[[#This Row],[ပါဝင်မှု]]+Table4[[#This Row],[SalesPK]],0)</f>
        <v>0.125</v>
      </c>
      <c r="T981" s="12"/>
      <c r="U981" s="10">
        <f>Table4[[#This Row],[ပါဝင်မှု]]*Table4[[#This Row],[SalesPK]]+Table4[[#This Row],[Bottle]]</f>
        <v>3</v>
      </c>
      <c r="V981" s="10">
        <f>Table4[[#This Row],[SalesBot]]*Table4[[#This Row],[ML]]</f>
        <v>1.92</v>
      </c>
      <c r="W981" s="1">
        <f>VLOOKUP(N981,Stock[#Data],6,FALSE)</f>
        <v>1350</v>
      </c>
      <c r="X981" s="8">
        <f>+Table4[[#This Row],[SalesBot]]*Table4[[#This Row],[နှုံး]]</f>
        <v>4050</v>
      </c>
      <c r="Y981" s="12"/>
      <c r="Z981" s="12"/>
      <c r="AA981" s="12"/>
      <c r="AB981" s="9"/>
      <c r="AC981" s="12"/>
      <c r="AD981" s="9"/>
      <c r="AE981" s="12"/>
      <c r="AF98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4050</v>
      </c>
      <c r="AG981" s="24"/>
      <c r="AH981" s="266"/>
      <c r="AI981" s="264"/>
      <c r="AJ981" s="264"/>
      <c r="AK981" s="270"/>
      <c r="AL981" s="270"/>
      <c r="AM981" s="271"/>
      <c r="AN981" s="272"/>
      <c r="AO981" s="273"/>
      <c r="AP981" s="268"/>
      <c r="AQ981" s="268"/>
      <c r="AR981" s="268"/>
    </row>
    <row r="982" spans="1:44" s="16" customFormat="1" hidden="1" x14ac:dyDescent="0.5">
      <c r="A982" s="3">
        <f t="shared" si="182"/>
        <v>2026</v>
      </c>
      <c r="B982" s="8">
        <f t="shared" si="183"/>
        <v>2</v>
      </c>
      <c r="C982" s="6">
        <v>46079</v>
      </c>
      <c r="D982" s="15">
        <f t="shared" ca="1" si="184"/>
        <v>46097</v>
      </c>
      <c r="E982" s="15" t="str">
        <f t="shared" ca="1" si="185"/>
        <v>0-Months</v>
      </c>
      <c r="F982" s="8" t="str">
        <f>VLOOKUP(N982,Stock[#Data],5,FALSE)</f>
        <v>BE</v>
      </c>
      <c r="G982" s="82" t="s">
        <v>1472</v>
      </c>
      <c r="H982" s="15"/>
      <c r="I982" s="7" t="s">
        <v>116</v>
      </c>
      <c r="J982" s="8" t="str">
        <f>VLOOKUP(I982,Customers[#Data],2,FALSE)</f>
        <v>စိတ်တိုင်းကျ</v>
      </c>
      <c r="K982" s="15" t="str">
        <f>VLOOKUP(I982,Customers[#Data],4,FALSE)</f>
        <v>Hpa-an</v>
      </c>
      <c r="L982" s="15" t="str">
        <f>VLOOKUP(I982,Customers[#Data],5,FALSE)</f>
        <v>SemiWholeSales</v>
      </c>
      <c r="M982" s="7" t="s">
        <v>6</v>
      </c>
      <c r="N982" s="7" t="s">
        <v>51</v>
      </c>
      <c r="O982" s="14" t="str">
        <f>VLOOKUP(N982,Stock[#Data],2,FALSE)</f>
        <v>ကောင်းကြည်</v>
      </c>
      <c r="P982" s="44">
        <f>VLOOKUP(N982,Stock[#Data],3,FALSE)</f>
        <v>0.64</v>
      </c>
      <c r="Q982" s="3">
        <f>VLOOKUP(N982,Stock[#Data],4,FALSE)</f>
        <v>14</v>
      </c>
      <c r="R982" s="11"/>
      <c r="S982" s="45">
        <f>IFERROR(Table4[[#This Row],[Bottle]]/Table4[[#This Row],[ပါဝင်မှု]]+Table4[[#This Row],[SalesPK]],0)</f>
        <v>200</v>
      </c>
      <c r="T982" s="12">
        <v>200</v>
      </c>
      <c r="U982" s="10">
        <f>Table4[[#This Row],[ပါဝင်မှု]]*Table4[[#This Row],[SalesPK]]+Table4[[#This Row],[Bottle]]</f>
        <v>2800</v>
      </c>
      <c r="V982" s="10">
        <f>Table4[[#This Row],[SalesBot]]*Table4[[#This Row],[ML]]</f>
        <v>1792</v>
      </c>
      <c r="W982" s="1">
        <f>VLOOKUP(N982,Stock[#Data],6,FALSE)</f>
        <v>1250</v>
      </c>
      <c r="X982" s="8">
        <f>+Table4[[#This Row],[SalesBot]]*Table4[[#This Row],[နှုံး]]</f>
        <v>3500000</v>
      </c>
      <c r="Y982" s="12"/>
      <c r="Z982" s="12"/>
      <c r="AA982" s="12"/>
      <c r="AB982" s="9"/>
      <c r="AC982" s="12"/>
      <c r="AD982" s="9"/>
      <c r="AE982" s="12"/>
      <c r="AF98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3500000</v>
      </c>
      <c r="AG982" s="24"/>
      <c r="AH982" s="266"/>
      <c r="AI982" s="264"/>
      <c r="AJ982" s="264"/>
      <c r="AK982" s="270"/>
      <c r="AL982" s="270"/>
      <c r="AM982" s="271"/>
      <c r="AN982" s="272"/>
      <c r="AO982" s="273"/>
      <c r="AP982" s="268"/>
      <c r="AQ982" s="268"/>
      <c r="AR982" s="268"/>
    </row>
    <row r="983" spans="1:44" s="16" customFormat="1" hidden="1" x14ac:dyDescent="0.5">
      <c r="A983" s="3">
        <f t="shared" si="182"/>
        <v>2026</v>
      </c>
      <c r="B983" s="8">
        <f t="shared" si="183"/>
        <v>2</v>
      </c>
      <c r="C983" s="6">
        <v>46079</v>
      </c>
      <c r="D983" s="15">
        <f t="shared" ca="1" si="184"/>
        <v>46097</v>
      </c>
      <c r="E983" s="15" t="str">
        <f t="shared" ca="1" si="185"/>
        <v>0-Months</v>
      </c>
      <c r="F983" s="8" t="str">
        <f>VLOOKUP(N983,Stock[#Data],5,FALSE)</f>
        <v>BE</v>
      </c>
      <c r="G983" s="82" t="s">
        <v>1472</v>
      </c>
      <c r="H983" s="15"/>
      <c r="I983" s="7" t="s">
        <v>116</v>
      </c>
      <c r="J983" s="8" t="str">
        <f>VLOOKUP(I983,Customers[#Data],2,FALSE)</f>
        <v>စိတ်တိုင်းကျ</v>
      </c>
      <c r="K983" s="15" t="str">
        <f>VLOOKUP(I983,Customers[#Data],4,FALSE)</f>
        <v>Hpa-an</v>
      </c>
      <c r="L983" s="15" t="str">
        <f>VLOOKUP(I983,Customers[#Data],5,FALSE)</f>
        <v>SemiWholeSales</v>
      </c>
      <c r="M983" s="7" t="s">
        <v>9</v>
      </c>
      <c r="N983" s="7" t="s">
        <v>514</v>
      </c>
      <c r="O983" s="14" t="str">
        <f>VLOOKUP(N983,Stock[#Data],2,FALSE)</f>
        <v>ဇေယျဝတီ Red</v>
      </c>
      <c r="P983" s="44">
        <f>VLOOKUP(N983,Stock[#Data],3,FALSE)</f>
        <v>0.64</v>
      </c>
      <c r="Q983" s="3">
        <f>VLOOKUP(N983,Stock[#Data],4,FALSE)</f>
        <v>14</v>
      </c>
      <c r="R983" s="11">
        <v>2</v>
      </c>
      <c r="S983" s="45">
        <f>IFERROR(Table4[[#This Row],[Bottle]]/Table4[[#This Row],[ပါဝင်မှု]]+Table4[[#This Row],[SalesPK]],0)</f>
        <v>0.14285714285714285</v>
      </c>
      <c r="T983" s="12"/>
      <c r="U983" s="10">
        <f>Table4[[#This Row],[ပါဝင်မှု]]*Table4[[#This Row],[SalesPK]]+Table4[[#This Row],[Bottle]]</f>
        <v>2</v>
      </c>
      <c r="V983" s="10">
        <f>Table4[[#This Row],[SalesBot]]*Table4[[#This Row],[ML]]</f>
        <v>1.28</v>
      </c>
      <c r="W983" s="1">
        <f>VLOOKUP(N983,Stock[#Data],6,FALSE)</f>
        <v>1350</v>
      </c>
      <c r="X983" s="8">
        <f>+Table4[[#This Row],[SalesBot]]*Table4[[#This Row],[နှုံး]]</f>
        <v>2700</v>
      </c>
      <c r="Y983" s="12"/>
      <c r="Z983" s="12"/>
      <c r="AA983" s="12"/>
      <c r="AB983" s="9"/>
      <c r="AC983" s="12"/>
      <c r="AD983" s="9"/>
      <c r="AE983" s="12"/>
      <c r="AF98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2700</v>
      </c>
      <c r="AG983" s="24"/>
      <c r="AH983" s="266"/>
      <c r="AI983" s="264"/>
      <c r="AJ983" s="264"/>
      <c r="AK983" s="270"/>
      <c r="AL983" s="270"/>
      <c r="AM983" s="271"/>
      <c r="AN983" s="272"/>
      <c r="AO983" s="273"/>
      <c r="AP983" s="268"/>
      <c r="AQ983" s="268"/>
      <c r="AR983" s="268"/>
    </row>
    <row r="984" spans="1:44" s="16" customFormat="1" hidden="1" x14ac:dyDescent="0.5">
      <c r="A984" s="3">
        <f t="shared" si="182"/>
        <v>2026</v>
      </c>
      <c r="B984" s="8">
        <f t="shared" si="183"/>
        <v>2</v>
      </c>
      <c r="C984" s="6">
        <v>46079</v>
      </c>
      <c r="D984" s="15">
        <f t="shared" ca="1" si="184"/>
        <v>46097</v>
      </c>
      <c r="E984" s="15" t="str">
        <f t="shared" ca="1" si="185"/>
        <v>0-Months</v>
      </c>
      <c r="F984" s="8" t="str">
        <f>VLOOKUP(N984,Stock[#Data],5,FALSE)</f>
        <v>BE</v>
      </c>
      <c r="G984" s="82" t="s">
        <v>1575</v>
      </c>
      <c r="H984" s="15" t="s">
        <v>439</v>
      </c>
      <c r="I984" s="7" t="s">
        <v>1131</v>
      </c>
      <c r="J984" s="8" t="str">
        <f>VLOOKUP(I984,Customers[#Data],2,FALSE)</f>
        <v>ရွှေကြိုးကြာ</v>
      </c>
      <c r="K984" s="15" t="str">
        <f>VLOOKUP(I984,Customers[#Data],4,FALSE)</f>
        <v>Maw La Myaing</v>
      </c>
      <c r="L984" s="15" t="str">
        <f>VLOOKUP(I984,Customers[#Data],5,FALSE)</f>
        <v>Van Sales</v>
      </c>
      <c r="M984" s="7" t="s">
        <v>6</v>
      </c>
      <c r="N984" s="7" t="s">
        <v>516</v>
      </c>
      <c r="O984" s="14" t="str">
        <f>VLOOKUP(N984,Stock[#Data],2,FALSE)</f>
        <v>ဇေ Vodka</v>
      </c>
      <c r="P984" s="44">
        <f>VLOOKUP(N984,Stock[#Data],3,FALSE)</f>
        <v>0.64</v>
      </c>
      <c r="Q984" s="3">
        <f>VLOOKUP(N984,Stock[#Data],4,FALSE)</f>
        <v>14</v>
      </c>
      <c r="R984" s="11"/>
      <c r="S984" s="45">
        <f>IFERROR(Table4[[#This Row],[Bottle]]/Table4[[#This Row],[ပါဝင်မှု]]+Table4[[#This Row],[SalesPK]],0)</f>
        <v>10</v>
      </c>
      <c r="T984" s="12">
        <v>10</v>
      </c>
      <c r="U984" s="10">
        <f>Table4[[#This Row],[ပါဝင်မှု]]*Table4[[#This Row],[SalesPK]]+Table4[[#This Row],[Bottle]]</f>
        <v>140</v>
      </c>
      <c r="V984" s="10">
        <f>Table4[[#This Row],[SalesBot]]*Table4[[#This Row],[ML]]</f>
        <v>89.600000000000009</v>
      </c>
      <c r="W984" s="1">
        <f>VLOOKUP(N984,Stock[#Data],6,FALSE)</f>
        <v>1400</v>
      </c>
      <c r="X984" s="8">
        <f>+Table4[[#This Row],[SalesBot]]*Table4[[#This Row],[နှုံး]]</f>
        <v>196000</v>
      </c>
      <c r="Y984" s="12"/>
      <c r="Z984" s="12"/>
      <c r="AA984" s="12"/>
      <c r="AB984" s="9"/>
      <c r="AC984" s="12"/>
      <c r="AD984" s="9"/>
      <c r="AE984" s="12"/>
      <c r="AF98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984" s="24"/>
      <c r="AH984" s="266"/>
      <c r="AI984" s="264"/>
      <c r="AJ984" s="264"/>
      <c r="AK984" s="270"/>
      <c r="AL984" s="270"/>
      <c r="AM984" s="271"/>
      <c r="AN984" s="272"/>
      <c r="AO984" s="273"/>
      <c r="AP984" s="268"/>
      <c r="AQ984" s="268"/>
      <c r="AR984" s="268"/>
    </row>
    <row r="985" spans="1:44" s="16" customFormat="1" hidden="1" x14ac:dyDescent="0.5">
      <c r="A985" s="3">
        <f t="shared" si="182"/>
        <v>2026</v>
      </c>
      <c r="B985" s="8">
        <f t="shared" si="183"/>
        <v>2</v>
      </c>
      <c r="C985" s="6">
        <v>46079</v>
      </c>
      <c r="D985" s="15">
        <f t="shared" ca="1" si="184"/>
        <v>46097</v>
      </c>
      <c r="E985" s="15" t="str">
        <f t="shared" ca="1" si="185"/>
        <v>0-Months</v>
      </c>
      <c r="F985" s="8" t="str">
        <f>VLOOKUP(N985,Stock[#Data],5,FALSE)</f>
        <v>BE</v>
      </c>
      <c r="G985" s="82" t="s">
        <v>1576</v>
      </c>
      <c r="H985" s="15" t="s">
        <v>439</v>
      </c>
      <c r="I985" s="7" t="s">
        <v>1384</v>
      </c>
      <c r="J985" s="8" t="str">
        <f>VLOOKUP(I985,Customers[#Data],2,FALSE)</f>
        <v>မာလာမြို်င</v>
      </c>
      <c r="K985" s="15" t="str">
        <f>VLOOKUP(I985,Customers[#Data],4,FALSE)</f>
        <v>Maw La Myaing</v>
      </c>
      <c r="L985" s="15" t="str">
        <f>VLOOKUP(I985,Customers[#Data],5,FALSE)</f>
        <v>Van Sales</v>
      </c>
      <c r="M985" s="7" t="s">
        <v>6</v>
      </c>
      <c r="N985" s="7" t="s">
        <v>518</v>
      </c>
      <c r="O985" s="14" t="str">
        <f>VLOOKUP(N985,Stock[#Data],2,FALSE)</f>
        <v>"ဇေ" ကော်ဘူး (1 Liter)</v>
      </c>
      <c r="P985" s="44">
        <f>VLOOKUP(N985,Stock[#Data],3,FALSE)</f>
        <v>1</v>
      </c>
      <c r="Q985" s="3">
        <f>VLOOKUP(N985,Stock[#Data],4,FALSE)</f>
        <v>12</v>
      </c>
      <c r="R985" s="11"/>
      <c r="S985" s="45">
        <f>IFERROR(Table4[[#This Row],[Bottle]]/Table4[[#This Row],[ပါဝင်မှု]]+Table4[[#This Row],[SalesPK]],0)</f>
        <v>2</v>
      </c>
      <c r="T985" s="12">
        <v>2</v>
      </c>
      <c r="U985" s="10">
        <f>Table4[[#This Row],[ပါဝင်မှု]]*Table4[[#This Row],[SalesPK]]+Table4[[#This Row],[Bottle]]</f>
        <v>24</v>
      </c>
      <c r="V985" s="10">
        <f>Table4[[#This Row],[SalesBot]]*Table4[[#This Row],[ML]]</f>
        <v>24</v>
      </c>
      <c r="W985" s="1">
        <f>VLOOKUP(N985,Stock[#Data],6,FALSE)</f>
        <v>1675</v>
      </c>
      <c r="X985" s="8">
        <f>+Table4[[#This Row],[SalesBot]]*Table4[[#This Row],[နှုံး]]</f>
        <v>40200</v>
      </c>
      <c r="Y985" s="12"/>
      <c r="Z985" s="12"/>
      <c r="AA985" s="12"/>
      <c r="AB985" s="9"/>
      <c r="AC985" s="12"/>
      <c r="AD985" s="9"/>
      <c r="AE985" s="12"/>
      <c r="AF98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40200</v>
      </c>
      <c r="AG985" s="24"/>
      <c r="AH985" s="266"/>
      <c r="AI985" s="264"/>
      <c r="AJ985" s="264"/>
      <c r="AK985" s="270"/>
      <c r="AL985" s="270"/>
      <c r="AM985" s="271"/>
      <c r="AN985" s="272"/>
      <c r="AO985" s="273"/>
      <c r="AP985" s="268"/>
      <c r="AQ985" s="268"/>
      <c r="AR985" s="268"/>
    </row>
    <row r="986" spans="1:44" s="16" customFormat="1" ht="21" hidden="1" customHeight="1" x14ac:dyDescent="0.5">
      <c r="A986" s="3">
        <f t="shared" si="182"/>
        <v>2026</v>
      </c>
      <c r="B986" s="8">
        <f t="shared" si="183"/>
        <v>2</v>
      </c>
      <c r="C986" s="6">
        <v>46079</v>
      </c>
      <c r="D986" s="15">
        <f t="shared" ca="1" si="184"/>
        <v>46097</v>
      </c>
      <c r="E986" s="15" t="str">
        <f t="shared" ca="1" si="185"/>
        <v>0-Months</v>
      </c>
      <c r="F986" s="8" t="str">
        <f>VLOOKUP(N986,Stock[#Data],5,FALSE)</f>
        <v>BE</v>
      </c>
      <c r="G986" s="82" t="s">
        <v>1577</v>
      </c>
      <c r="H986" s="15" t="s">
        <v>439</v>
      </c>
      <c r="I986" s="7" t="s">
        <v>1176</v>
      </c>
      <c r="J986" s="8" t="str">
        <f>VLOOKUP(I986,Customers[#Data],2,FALSE)</f>
        <v>သားကြီး</v>
      </c>
      <c r="K986" s="15" t="str">
        <f>VLOOKUP(I986,Customers[#Data],4,FALSE)</f>
        <v>Maw La Myaing</v>
      </c>
      <c r="L986" s="15" t="str">
        <f>VLOOKUP(I986,Customers[#Data],5,FALSE)</f>
        <v>Van Sales</v>
      </c>
      <c r="M986" s="7" t="s">
        <v>6</v>
      </c>
      <c r="N986" s="7" t="s">
        <v>518</v>
      </c>
      <c r="O986" s="14" t="str">
        <f>VLOOKUP(N986,Stock[#Data],2,FALSE)</f>
        <v>"ဇေ" ကော်ဘူး (1 Liter)</v>
      </c>
      <c r="P986" s="44">
        <f>VLOOKUP(N986,Stock[#Data],3,FALSE)</f>
        <v>1</v>
      </c>
      <c r="Q986" s="3">
        <f>VLOOKUP(N986,Stock[#Data],4,FALSE)</f>
        <v>12</v>
      </c>
      <c r="R986" s="11"/>
      <c r="S986" s="45">
        <f>IFERROR(Table4[[#This Row],[Bottle]]/Table4[[#This Row],[ပါဝင်မှု]]+Table4[[#This Row],[SalesPK]],0)</f>
        <v>2</v>
      </c>
      <c r="T986" s="12">
        <v>2</v>
      </c>
      <c r="U986" s="10">
        <f>Table4[[#This Row],[ပါဝင်မှု]]*Table4[[#This Row],[SalesPK]]+Table4[[#This Row],[Bottle]]</f>
        <v>24</v>
      </c>
      <c r="V986" s="10">
        <f>Table4[[#This Row],[SalesBot]]*Table4[[#This Row],[ML]]</f>
        <v>24</v>
      </c>
      <c r="W986" s="1">
        <f>VLOOKUP(N986,Stock[#Data],6,FALSE)</f>
        <v>1675</v>
      </c>
      <c r="X986" s="8">
        <f>+Table4[[#This Row],[SalesBot]]*Table4[[#This Row],[နှုံး]]</f>
        <v>40200</v>
      </c>
      <c r="Y986" s="12"/>
      <c r="Z986" s="12"/>
      <c r="AA986" s="12"/>
      <c r="AB986" s="9"/>
      <c r="AC986" s="12"/>
      <c r="AD986" s="9"/>
      <c r="AE986" s="12"/>
      <c r="AF98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40200</v>
      </c>
      <c r="AG986" s="24"/>
      <c r="AH986" s="266"/>
      <c r="AI986" s="264"/>
      <c r="AJ986" s="264"/>
      <c r="AK986" s="270"/>
      <c r="AL986" s="270"/>
      <c r="AM986" s="271"/>
      <c r="AN986" s="272"/>
      <c r="AO986" s="273"/>
      <c r="AP986" s="268"/>
      <c r="AQ986" s="268"/>
      <c r="AR986" s="268"/>
    </row>
    <row r="987" spans="1:44" s="16" customFormat="1" hidden="1" x14ac:dyDescent="0.5">
      <c r="A987" s="3">
        <f t="shared" si="182"/>
        <v>2026</v>
      </c>
      <c r="B987" s="8">
        <f t="shared" si="183"/>
        <v>2</v>
      </c>
      <c r="C987" s="6">
        <v>46079</v>
      </c>
      <c r="D987" s="15">
        <f t="shared" ca="1" si="184"/>
        <v>46097</v>
      </c>
      <c r="E987" s="15" t="str">
        <f t="shared" ca="1" si="185"/>
        <v>0-Months</v>
      </c>
      <c r="F987" s="8" t="str">
        <f>VLOOKUP(N987,Stock[#Data],5,FALSE)</f>
        <v>BE</v>
      </c>
      <c r="G987" s="82" t="s">
        <v>1578</v>
      </c>
      <c r="H987" s="15" t="s">
        <v>439</v>
      </c>
      <c r="I987" s="7" t="s">
        <v>1579</v>
      </c>
      <c r="J987" s="8" t="str">
        <f>VLOOKUP(I987,Customers[#Data],2,FALSE)</f>
        <v>AAK</v>
      </c>
      <c r="K987" s="15" t="str">
        <f>VLOOKUP(I987,Customers[#Data],4,FALSE)</f>
        <v>Maw La Myaing</v>
      </c>
      <c r="L987" s="15" t="str">
        <f>VLOOKUP(I987,Customers[#Data],5,FALSE)</f>
        <v>Van Sales</v>
      </c>
      <c r="M987" s="7" t="s">
        <v>6</v>
      </c>
      <c r="N987" s="7" t="s">
        <v>518</v>
      </c>
      <c r="O987" s="14" t="str">
        <f>VLOOKUP(N987,Stock[#Data],2,FALSE)</f>
        <v>"ဇေ" ကော်ဘူး (1 Liter)</v>
      </c>
      <c r="P987" s="44">
        <f>VLOOKUP(N987,Stock[#Data],3,FALSE)</f>
        <v>1</v>
      </c>
      <c r="Q987" s="3">
        <f>VLOOKUP(N987,Stock[#Data],4,FALSE)</f>
        <v>12</v>
      </c>
      <c r="R987" s="11"/>
      <c r="S987" s="45">
        <f>IFERROR(Table4[[#This Row],[Bottle]]/Table4[[#This Row],[ပါဝင်မှု]]+Table4[[#This Row],[SalesPK]],0)</f>
        <v>2</v>
      </c>
      <c r="T987" s="12">
        <v>2</v>
      </c>
      <c r="U987" s="10">
        <f>Table4[[#This Row],[ပါဝင်မှု]]*Table4[[#This Row],[SalesPK]]+Table4[[#This Row],[Bottle]]</f>
        <v>24</v>
      </c>
      <c r="V987" s="10">
        <f>Table4[[#This Row],[SalesBot]]*Table4[[#This Row],[ML]]</f>
        <v>24</v>
      </c>
      <c r="W987" s="1">
        <f>VLOOKUP(N987,Stock[#Data],6,FALSE)</f>
        <v>1675</v>
      </c>
      <c r="X987" s="8">
        <f>+Table4[[#This Row],[SalesBot]]*Table4[[#This Row],[နှုံး]]</f>
        <v>40200</v>
      </c>
      <c r="Y987" s="12"/>
      <c r="Z987" s="12"/>
      <c r="AA987" s="12"/>
      <c r="AB987" s="9"/>
      <c r="AC987" s="12"/>
      <c r="AD987" s="9"/>
      <c r="AE987" s="12"/>
      <c r="AF98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40200</v>
      </c>
      <c r="AG987" s="24"/>
      <c r="AH987" s="266"/>
      <c r="AI987" s="264"/>
      <c r="AJ987" s="264"/>
      <c r="AK987" s="270"/>
      <c r="AL987" s="270"/>
      <c r="AM987" s="271"/>
      <c r="AN987" s="272"/>
      <c r="AO987" s="273"/>
      <c r="AP987" s="268"/>
      <c r="AQ987" s="268"/>
      <c r="AR987" s="268"/>
    </row>
    <row r="988" spans="1:44" s="16" customFormat="1" hidden="1" x14ac:dyDescent="0.5">
      <c r="A988" s="3">
        <f t="shared" si="182"/>
        <v>2026</v>
      </c>
      <c r="B988" s="8">
        <f t="shared" si="183"/>
        <v>2</v>
      </c>
      <c r="C988" s="6">
        <v>46080</v>
      </c>
      <c r="D988" s="15">
        <f t="shared" ca="1" si="184"/>
        <v>46097</v>
      </c>
      <c r="E988" s="15" t="str">
        <f t="shared" ca="1" si="185"/>
        <v>0-Months</v>
      </c>
      <c r="F988" s="8" t="str">
        <f>VLOOKUP(N988,Stock[#Data],5,FALSE)</f>
        <v>BE</v>
      </c>
      <c r="G988" s="82" t="s">
        <v>1580</v>
      </c>
      <c r="H988" s="15"/>
      <c r="I988" s="7" t="s">
        <v>97</v>
      </c>
      <c r="J988" s="8" t="str">
        <f>VLOOKUP(I988,Customers[#Data],2,FALSE)</f>
        <v>ကိုဘာဘူ</v>
      </c>
      <c r="K988" s="15" t="str">
        <f>VLOOKUP(I988,Customers[#Data],4,FALSE)</f>
        <v>Hpa-an</v>
      </c>
      <c r="L988" s="15" t="str">
        <f>VLOOKUP(I988,Customers[#Data],5,FALSE)</f>
        <v>SemiWholeSales</v>
      </c>
      <c r="M988" s="7" t="s">
        <v>6</v>
      </c>
      <c r="N988" s="7" t="s">
        <v>514</v>
      </c>
      <c r="O988" s="14" t="str">
        <f>VLOOKUP(N988,Stock[#Data],2,FALSE)</f>
        <v>ဇေယျဝတီ Red</v>
      </c>
      <c r="P988" s="44">
        <f>VLOOKUP(N988,Stock[#Data],3,FALSE)</f>
        <v>0.64</v>
      </c>
      <c r="Q988" s="3">
        <f>VLOOKUP(N988,Stock[#Data],4,FALSE)</f>
        <v>14</v>
      </c>
      <c r="R988" s="11"/>
      <c r="S988" s="45">
        <f>IFERROR(Table4[[#This Row],[Bottle]]/Table4[[#This Row],[ပါဝင်မှု]]+Table4[[#This Row],[SalesPK]],0)</f>
        <v>75</v>
      </c>
      <c r="T988" s="12">
        <v>75</v>
      </c>
      <c r="U988" s="10">
        <f>Table4[[#This Row],[ပါဝင်မှု]]*Table4[[#This Row],[SalesPK]]+Table4[[#This Row],[Bottle]]</f>
        <v>1050</v>
      </c>
      <c r="V988" s="10">
        <f>Table4[[#This Row],[SalesBot]]*Table4[[#This Row],[ML]]</f>
        <v>672</v>
      </c>
      <c r="W988" s="1">
        <f>VLOOKUP(N988,Stock[#Data],6,FALSE)</f>
        <v>1350</v>
      </c>
      <c r="X988" s="8">
        <f>+Table4[[#This Row],[SalesBot]]*Table4[[#This Row],[နှုံး]]</f>
        <v>1417500</v>
      </c>
      <c r="Y988" s="12"/>
      <c r="Z988" s="12"/>
      <c r="AA988" s="12"/>
      <c r="AB988" s="9"/>
      <c r="AC988" s="12"/>
      <c r="AD988" s="9"/>
      <c r="AE988" s="12"/>
      <c r="AF98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1417500</v>
      </c>
      <c r="AG988" s="24"/>
      <c r="AH988" s="266"/>
      <c r="AI988" s="264"/>
      <c r="AJ988" s="264"/>
      <c r="AK988" s="270"/>
      <c r="AL988" s="270"/>
      <c r="AM988" s="271"/>
      <c r="AN988" s="272"/>
      <c r="AO988" s="273"/>
      <c r="AP988" s="268"/>
      <c r="AQ988" s="268"/>
      <c r="AR988" s="268"/>
    </row>
    <row r="989" spans="1:44" s="16" customFormat="1" hidden="1" x14ac:dyDescent="0.5">
      <c r="A989" s="3">
        <f t="shared" si="182"/>
        <v>2026</v>
      </c>
      <c r="B989" s="8">
        <f t="shared" si="183"/>
        <v>2</v>
      </c>
      <c r="C989" s="6">
        <v>46080</v>
      </c>
      <c r="D989" s="15">
        <f t="shared" ca="1" si="184"/>
        <v>46097</v>
      </c>
      <c r="E989" s="15" t="str">
        <f t="shared" ca="1" si="185"/>
        <v>0-Months</v>
      </c>
      <c r="F989" s="8" t="str">
        <f>VLOOKUP(N989,Stock[#Data],5,FALSE)</f>
        <v>BE</v>
      </c>
      <c r="G989" s="82" t="s">
        <v>1580</v>
      </c>
      <c r="H989" s="15"/>
      <c r="I989" s="7" t="s">
        <v>97</v>
      </c>
      <c r="J989" s="8" t="str">
        <f>VLOOKUP(I989,Customers[#Data],2,FALSE)</f>
        <v>ကိုဘာဘူ</v>
      </c>
      <c r="K989" s="15" t="str">
        <f>VLOOKUP(I989,Customers[#Data],4,FALSE)</f>
        <v>Hpa-an</v>
      </c>
      <c r="L989" s="15" t="str">
        <f>VLOOKUP(I989,Customers[#Data],5,FALSE)</f>
        <v>SemiWholeSales</v>
      </c>
      <c r="M989" s="7" t="s">
        <v>6</v>
      </c>
      <c r="N989" s="7" t="s">
        <v>517</v>
      </c>
      <c r="O989" s="14" t="str">
        <f>VLOOKUP(N989,Stock[#Data],2,FALSE)</f>
        <v>ဇေယျဝတီ Red (1 Liter) 30%</v>
      </c>
      <c r="P989" s="44">
        <f>VLOOKUP(N989,Stock[#Data],3,FALSE)</f>
        <v>1</v>
      </c>
      <c r="Q989" s="3">
        <f>VLOOKUP(N989,Stock[#Data],4,FALSE)</f>
        <v>12</v>
      </c>
      <c r="R989" s="11"/>
      <c r="S989" s="45">
        <f>IFERROR(Table4[[#This Row],[Bottle]]/Table4[[#This Row],[ပါဝင်မှု]]+Table4[[#This Row],[SalesPK]],0)</f>
        <v>75</v>
      </c>
      <c r="T989" s="12">
        <v>75</v>
      </c>
      <c r="U989" s="10">
        <f>Table4[[#This Row],[ပါဝင်မှု]]*Table4[[#This Row],[SalesPK]]+Table4[[#This Row],[Bottle]]</f>
        <v>900</v>
      </c>
      <c r="V989" s="10">
        <f>Table4[[#This Row],[SalesBot]]*Table4[[#This Row],[ML]]</f>
        <v>900</v>
      </c>
      <c r="W989" s="1">
        <f>VLOOKUP(N989,Stock[#Data],6,FALSE)</f>
        <v>1710</v>
      </c>
      <c r="X989" s="8">
        <f>+Table4[[#This Row],[SalesBot]]*Table4[[#This Row],[နှုံး]]</f>
        <v>1539000</v>
      </c>
      <c r="Y989" s="12"/>
      <c r="Z989" s="12"/>
      <c r="AA989" s="12"/>
      <c r="AB989" s="9"/>
      <c r="AC989" s="12"/>
      <c r="AD989" s="9"/>
      <c r="AE989" s="12"/>
      <c r="AF98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1539000</v>
      </c>
      <c r="AG989" s="24"/>
      <c r="AH989" s="266"/>
      <c r="AI989" s="264"/>
      <c r="AJ989" s="264"/>
      <c r="AK989" s="270"/>
      <c r="AL989" s="270"/>
      <c r="AM989" s="271"/>
      <c r="AN989" s="272"/>
      <c r="AO989" s="273"/>
      <c r="AP989" s="268"/>
      <c r="AQ989" s="268"/>
      <c r="AR989" s="268"/>
    </row>
    <row r="990" spans="1:44" s="16" customFormat="1" hidden="1" x14ac:dyDescent="0.5">
      <c r="A990" s="3">
        <f t="shared" si="182"/>
        <v>2026</v>
      </c>
      <c r="B990" s="8">
        <f t="shared" si="183"/>
        <v>2</v>
      </c>
      <c r="C990" s="6">
        <v>46080</v>
      </c>
      <c r="D990" s="15">
        <f t="shared" ca="1" si="184"/>
        <v>46097</v>
      </c>
      <c r="E990" s="15" t="str">
        <f t="shared" ca="1" si="185"/>
        <v>0-Months</v>
      </c>
      <c r="F990" s="8" t="str">
        <f>VLOOKUP(N990,Stock[#Data],5,FALSE)</f>
        <v>BE</v>
      </c>
      <c r="G990" s="82" t="s">
        <v>1580</v>
      </c>
      <c r="H990" s="15"/>
      <c r="I990" s="7" t="s">
        <v>97</v>
      </c>
      <c r="J990" s="8" t="str">
        <f>VLOOKUP(I990,Customers[#Data],2,FALSE)</f>
        <v>ကိုဘာဘူ</v>
      </c>
      <c r="K990" s="15" t="str">
        <f>VLOOKUP(I990,Customers[#Data],4,FALSE)</f>
        <v>Hpa-an</v>
      </c>
      <c r="L990" s="15" t="str">
        <f>VLOOKUP(I990,Customers[#Data],5,FALSE)</f>
        <v>SemiWholeSales</v>
      </c>
      <c r="M990" s="7" t="s">
        <v>6</v>
      </c>
      <c r="N990" s="7" t="s">
        <v>425</v>
      </c>
      <c r="O990" s="14" t="str">
        <f>VLOOKUP(N990,Stock[#Data],2,FALSE)</f>
        <v>ကောင်းကြည်-1Li</v>
      </c>
      <c r="P990" s="44">
        <f>VLOOKUP(N990,Stock[#Data],3,FALSE)</f>
        <v>1</v>
      </c>
      <c r="Q990" s="3">
        <f>VLOOKUP(N990,Stock[#Data],4,FALSE)</f>
        <v>12</v>
      </c>
      <c r="R990" s="11"/>
      <c r="S990" s="45">
        <f>IFERROR(Table4[[#This Row],[Bottle]]/Table4[[#This Row],[ပါဝင်မှု]]+Table4[[#This Row],[SalesPK]],0)</f>
        <v>1</v>
      </c>
      <c r="T990" s="12">
        <v>1</v>
      </c>
      <c r="U990" s="10">
        <f>Table4[[#This Row],[ပါဝင်မှု]]*Table4[[#This Row],[SalesPK]]+Table4[[#This Row],[Bottle]]</f>
        <v>12</v>
      </c>
      <c r="V990" s="10">
        <f>Table4[[#This Row],[SalesBot]]*Table4[[#This Row],[ML]]</f>
        <v>12</v>
      </c>
      <c r="W990" s="1">
        <f>VLOOKUP(N990,Stock[#Data],6,FALSE)</f>
        <v>1500</v>
      </c>
      <c r="X990" s="8">
        <f>+Table4[[#This Row],[SalesBot]]*Table4[[#This Row],[နှုံး]]</f>
        <v>18000</v>
      </c>
      <c r="Y990" s="12"/>
      <c r="Z990" s="12"/>
      <c r="AA990" s="12"/>
      <c r="AB990" s="9"/>
      <c r="AC990" s="12"/>
      <c r="AD990" s="9"/>
      <c r="AE990" s="12"/>
      <c r="AF99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990" s="24"/>
      <c r="AH990" s="266"/>
      <c r="AI990" s="264"/>
      <c r="AJ990" s="264"/>
      <c r="AK990" s="270"/>
      <c r="AL990" s="270"/>
      <c r="AM990" s="271"/>
      <c r="AN990" s="272"/>
      <c r="AO990" s="273"/>
      <c r="AP990" s="268"/>
      <c r="AQ990" s="268"/>
      <c r="AR990" s="268"/>
    </row>
    <row r="991" spans="1:44" s="16" customFormat="1" hidden="1" x14ac:dyDescent="0.5">
      <c r="A991" s="3">
        <f t="shared" si="182"/>
        <v>2026</v>
      </c>
      <c r="B991" s="8">
        <f t="shared" si="183"/>
        <v>2</v>
      </c>
      <c r="C991" s="6">
        <v>46080</v>
      </c>
      <c r="D991" s="15">
        <f t="shared" ca="1" si="184"/>
        <v>46097</v>
      </c>
      <c r="E991" s="15" t="str">
        <f t="shared" ca="1" si="185"/>
        <v>0-Months</v>
      </c>
      <c r="F991" s="8" t="str">
        <f>VLOOKUP(N991,Stock[#Data],5,FALSE)</f>
        <v>BE</v>
      </c>
      <c r="G991" s="82" t="s">
        <v>1580</v>
      </c>
      <c r="H991" s="15"/>
      <c r="I991" s="7" t="s">
        <v>97</v>
      </c>
      <c r="J991" s="8" t="str">
        <f>VLOOKUP(I991,Customers[#Data],2,FALSE)</f>
        <v>ကိုဘာဘူ</v>
      </c>
      <c r="K991" s="15" t="str">
        <f>VLOOKUP(I991,Customers[#Data],4,FALSE)</f>
        <v>Hpa-an</v>
      </c>
      <c r="L991" s="15" t="str">
        <f>VLOOKUP(I991,Customers[#Data],5,FALSE)</f>
        <v>SemiWholeSales</v>
      </c>
      <c r="M991" s="7" t="s">
        <v>6</v>
      </c>
      <c r="N991" s="7" t="s">
        <v>508</v>
      </c>
      <c r="O991" s="14" t="str">
        <f>VLOOKUP(N991,Stock[#Data],2,FALSE)</f>
        <v>ကောင်းကြည်-1Li</v>
      </c>
      <c r="P991" s="44">
        <f>VLOOKUP(N991,Stock[#Data],3,FALSE)</f>
        <v>1</v>
      </c>
      <c r="Q991" s="3">
        <f>VLOOKUP(N991,Stock[#Data],4,FALSE)</f>
        <v>12</v>
      </c>
      <c r="R991" s="11"/>
      <c r="S991" s="45">
        <f>IFERROR(Table4[[#This Row],[Bottle]]/Table4[[#This Row],[ပါဝင်မှု]]+Table4[[#This Row],[SalesPK]],0)</f>
        <v>2</v>
      </c>
      <c r="T991" s="12">
        <v>2</v>
      </c>
      <c r="U991" s="10">
        <f>Table4[[#This Row],[ပါဝင်မှု]]*Table4[[#This Row],[SalesPK]]+Table4[[#This Row],[Bottle]]</f>
        <v>24</v>
      </c>
      <c r="V991" s="10">
        <f>Table4[[#This Row],[SalesBot]]*Table4[[#This Row],[ML]]</f>
        <v>24</v>
      </c>
      <c r="W991" s="1">
        <f>VLOOKUP(N991,Stock[#Data],6,FALSE)</f>
        <v>1850</v>
      </c>
      <c r="X991" s="8">
        <f>+Table4[[#This Row],[SalesBot]]*Table4[[#This Row],[နှုံး]]</f>
        <v>44400</v>
      </c>
      <c r="Y991" s="12"/>
      <c r="Z991" s="12"/>
      <c r="AA991" s="12"/>
      <c r="AB991" s="9"/>
      <c r="AC991" s="12"/>
      <c r="AD991" s="9"/>
      <c r="AE991" s="12"/>
      <c r="AF99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44400</v>
      </c>
      <c r="AG991" s="24"/>
      <c r="AH991" s="266"/>
      <c r="AI991" s="264"/>
      <c r="AJ991" s="264"/>
      <c r="AK991" s="270"/>
      <c r="AL991" s="270"/>
      <c r="AM991" s="271"/>
      <c r="AN991" s="272"/>
      <c r="AO991" s="273"/>
      <c r="AP991" s="268"/>
      <c r="AQ991" s="268"/>
      <c r="AR991" s="268"/>
    </row>
    <row r="992" spans="1:44" s="16" customFormat="1" hidden="1" x14ac:dyDescent="0.5">
      <c r="A992" s="3">
        <f t="shared" si="182"/>
        <v>2026</v>
      </c>
      <c r="B992" s="8">
        <f t="shared" si="183"/>
        <v>2</v>
      </c>
      <c r="C992" s="6">
        <v>46080</v>
      </c>
      <c r="D992" s="15">
        <f t="shared" ca="1" si="184"/>
        <v>46097</v>
      </c>
      <c r="E992" s="15" t="str">
        <f t="shared" ca="1" si="185"/>
        <v>0-Months</v>
      </c>
      <c r="F992" s="8" t="str">
        <f>VLOOKUP(N992,Stock[#Data],5,FALSE)</f>
        <v>BE</v>
      </c>
      <c r="G992" s="82" t="s">
        <v>1581</v>
      </c>
      <c r="H992" s="15"/>
      <c r="I992" s="7" t="s">
        <v>844</v>
      </c>
      <c r="J992" s="8" t="str">
        <f>VLOOKUP(I992,Customers[#Data],2,FALSE)</f>
        <v>ဟန်သာ</v>
      </c>
      <c r="K992" s="15" t="str">
        <f>VLOOKUP(I992,Customers[#Data],4,FALSE)</f>
        <v>Maw La Myaing</v>
      </c>
      <c r="L992" s="15" t="str">
        <f>VLOOKUP(I992,Customers[#Data],5,FALSE)</f>
        <v>Van Sales</v>
      </c>
      <c r="M992" s="7" t="s">
        <v>6</v>
      </c>
      <c r="N992" s="7" t="s">
        <v>518</v>
      </c>
      <c r="O992" s="14" t="str">
        <f>VLOOKUP(N992,Stock[#Data],2,FALSE)</f>
        <v>"ဇေ" ကော်ဘူး (1 Liter)</v>
      </c>
      <c r="P992" s="44">
        <f>VLOOKUP(N992,Stock[#Data],3,FALSE)</f>
        <v>1</v>
      </c>
      <c r="Q992" s="3">
        <f>VLOOKUP(N992,Stock[#Data],4,FALSE)</f>
        <v>12</v>
      </c>
      <c r="R992" s="11"/>
      <c r="S992" s="45">
        <f>IFERROR(Table4[[#This Row],[Bottle]]/Table4[[#This Row],[ပါဝင်မှု]]+Table4[[#This Row],[SalesPK]],0)</f>
        <v>50</v>
      </c>
      <c r="T992" s="12">
        <v>50</v>
      </c>
      <c r="U992" s="10">
        <f>Table4[[#This Row],[ပါဝင်မှု]]*Table4[[#This Row],[SalesPK]]+Table4[[#This Row],[Bottle]]</f>
        <v>600</v>
      </c>
      <c r="V992" s="10">
        <f>Table4[[#This Row],[SalesBot]]*Table4[[#This Row],[ML]]</f>
        <v>600</v>
      </c>
      <c r="W992" s="1">
        <f>VLOOKUP(N992,Stock[#Data],6,FALSE)</f>
        <v>1675</v>
      </c>
      <c r="X992" s="8">
        <f>+Table4[[#This Row],[SalesBot]]*Table4[[#This Row],[နှုံး]]</f>
        <v>1005000</v>
      </c>
      <c r="Y992" s="12"/>
      <c r="Z992" s="12"/>
      <c r="AA992" s="12"/>
      <c r="AB992" s="9"/>
      <c r="AC992" s="12"/>
      <c r="AD992" s="9"/>
      <c r="AE992" s="12"/>
      <c r="AF99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1005000</v>
      </c>
      <c r="AG992" s="24"/>
      <c r="AH992" s="266"/>
      <c r="AI992" s="264"/>
      <c r="AJ992" s="264"/>
      <c r="AK992" s="270"/>
      <c r="AL992" s="270"/>
      <c r="AM992" s="271"/>
      <c r="AN992" s="272"/>
      <c r="AO992" s="273"/>
      <c r="AP992" s="268"/>
      <c r="AQ992" s="268"/>
      <c r="AR992" s="268"/>
    </row>
    <row r="993" spans="1:44" s="16" customFormat="1" hidden="1" x14ac:dyDescent="0.5">
      <c r="A993" s="3">
        <f t="shared" si="182"/>
        <v>2026</v>
      </c>
      <c r="B993" s="8">
        <f t="shared" si="183"/>
        <v>2</v>
      </c>
      <c r="C993" s="6">
        <v>46080</v>
      </c>
      <c r="D993" s="15">
        <f t="shared" ca="1" si="184"/>
        <v>46097</v>
      </c>
      <c r="E993" s="15" t="str">
        <f t="shared" ca="1" si="185"/>
        <v>0-Months</v>
      </c>
      <c r="F993" s="8" t="str">
        <f>VLOOKUP(N993,Stock[#Data],5,FALSE)</f>
        <v>BE</v>
      </c>
      <c r="G993" s="82" t="s">
        <v>1582</v>
      </c>
      <c r="H993" s="15"/>
      <c r="I993" s="7" t="s">
        <v>578</v>
      </c>
      <c r="J993" s="8" t="str">
        <f>VLOOKUP(I993,Customers[#Data],2,FALSE)</f>
        <v>ရှင်းသန့်</v>
      </c>
      <c r="K993" s="15" t="str">
        <f>VLOOKUP(I993,Customers[#Data],4,FALSE)</f>
        <v>Maw La Myaing</v>
      </c>
      <c r="L993" s="15" t="str">
        <f>VLOOKUP(I993,Customers[#Data],5,FALSE)</f>
        <v>Van Sales</v>
      </c>
      <c r="M993" s="7" t="s">
        <v>6</v>
      </c>
      <c r="N993" s="7" t="s">
        <v>518</v>
      </c>
      <c r="O993" s="14" t="str">
        <f>VLOOKUP(N993,Stock[#Data],2,FALSE)</f>
        <v>"ဇေ" ကော်ဘူး (1 Liter)</v>
      </c>
      <c r="P993" s="44">
        <f>VLOOKUP(N993,Stock[#Data],3,FALSE)</f>
        <v>1</v>
      </c>
      <c r="Q993" s="3">
        <f>VLOOKUP(N993,Stock[#Data],4,FALSE)</f>
        <v>12</v>
      </c>
      <c r="R993" s="11"/>
      <c r="S993" s="45">
        <f>IFERROR(Table4[[#This Row],[Bottle]]/Table4[[#This Row],[ပါဝင်မှု]]+Table4[[#This Row],[SalesPK]],0)</f>
        <v>25</v>
      </c>
      <c r="T993" s="12">
        <v>25</v>
      </c>
      <c r="U993" s="10">
        <f>Table4[[#This Row],[ပါဝင်မှု]]*Table4[[#This Row],[SalesPK]]+Table4[[#This Row],[Bottle]]</f>
        <v>300</v>
      </c>
      <c r="V993" s="10">
        <f>Table4[[#This Row],[SalesBot]]*Table4[[#This Row],[ML]]</f>
        <v>300</v>
      </c>
      <c r="W993" s="1">
        <f>VLOOKUP(N993,Stock[#Data],6,FALSE)</f>
        <v>1675</v>
      </c>
      <c r="X993" s="8">
        <f>+Table4[[#This Row],[SalesBot]]*Table4[[#This Row],[နှုံး]]</f>
        <v>502500</v>
      </c>
      <c r="Y993" s="12"/>
      <c r="Z993" s="12"/>
      <c r="AA993" s="12"/>
      <c r="AB993" s="9"/>
      <c r="AC993" s="12"/>
      <c r="AD993" s="9"/>
      <c r="AE993" s="12"/>
      <c r="AF99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502500</v>
      </c>
      <c r="AG993" s="24"/>
      <c r="AH993" s="266"/>
      <c r="AI993" s="264"/>
      <c r="AJ993" s="264"/>
      <c r="AK993" s="270"/>
      <c r="AL993" s="270"/>
      <c r="AM993" s="271"/>
      <c r="AN993" s="272"/>
      <c r="AO993" s="273"/>
      <c r="AP993" s="268"/>
      <c r="AQ993" s="268"/>
      <c r="AR993" s="268"/>
    </row>
    <row r="994" spans="1:44" s="16" customFormat="1" hidden="1" x14ac:dyDescent="0.5">
      <c r="A994" s="3">
        <f t="shared" si="182"/>
        <v>2026</v>
      </c>
      <c r="B994" s="8">
        <f t="shared" si="183"/>
        <v>2</v>
      </c>
      <c r="C994" s="6">
        <v>46080</v>
      </c>
      <c r="D994" s="15">
        <f t="shared" ca="1" si="184"/>
        <v>46097</v>
      </c>
      <c r="E994" s="15" t="str">
        <f t="shared" ca="1" si="185"/>
        <v>0-Months</v>
      </c>
      <c r="F994" s="8" t="str">
        <f>VLOOKUP(N994,Stock[#Data],5,FALSE)</f>
        <v>BE</v>
      </c>
      <c r="G994" s="82" t="s">
        <v>1583</v>
      </c>
      <c r="H994" s="15"/>
      <c r="I994" s="7" t="s">
        <v>553</v>
      </c>
      <c r="J994" s="8" t="str">
        <f>VLOOKUP(I994,Customers[#Data],2,FALSE)</f>
        <v>ကိုမောင်ဦး</v>
      </c>
      <c r="K994" s="15" t="str">
        <f>VLOOKUP(I994,Customers[#Data],4,FALSE)</f>
        <v>Maw La Myaing</v>
      </c>
      <c r="L994" s="15" t="str">
        <f>VLOOKUP(I994,Customers[#Data],5,FALSE)</f>
        <v>Mini Whole Sales</v>
      </c>
      <c r="M994" s="7" t="s">
        <v>6</v>
      </c>
      <c r="N994" s="7" t="s">
        <v>516</v>
      </c>
      <c r="O994" s="14" t="str">
        <f>VLOOKUP(N994,Stock[#Data],2,FALSE)</f>
        <v>ဇေ Vodka</v>
      </c>
      <c r="P994" s="44">
        <f>VLOOKUP(N994,Stock[#Data],3,FALSE)</f>
        <v>0.64</v>
      </c>
      <c r="Q994" s="3">
        <f>VLOOKUP(N994,Stock[#Data],4,FALSE)</f>
        <v>14</v>
      </c>
      <c r="R994" s="11"/>
      <c r="S994" s="45">
        <f>IFERROR(Table4[[#This Row],[Bottle]]/Table4[[#This Row],[ပါဝင်မှု]]+Table4[[#This Row],[SalesPK]],0)</f>
        <v>10</v>
      </c>
      <c r="T994" s="12">
        <v>10</v>
      </c>
      <c r="U994" s="10">
        <f>Table4[[#This Row],[ပါဝင်မှု]]*Table4[[#This Row],[SalesPK]]+Table4[[#This Row],[Bottle]]</f>
        <v>140</v>
      </c>
      <c r="V994" s="10">
        <f>Table4[[#This Row],[SalesBot]]*Table4[[#This Row],[ML]]</f>
        <v>89.600000000000009</v>
      </c>
      <c r="W994" s="1">
        <f>VLOOKUP(N994,Stock[#Data],6,FALSE)</f>
        <v>1400</v>
      </c>
      <c r="X994" s="8">
        <f>+Table4[[#This Row],[SalesBot]]*Table4[[#This Row],[နှုံး]]</f>
        <v>196000</v>
      </c>
      <c r="Y994" s="12"/>
      <c r="Z994" s="12"/>
      <c r="AA994" s="12"/>
      <c r="AB994" s="9"/>
      <c r="AC994" s="12"/>
      <c r="AD994" s="9"/>
      <c r="AE994" s="12"/>
      <c r="AF99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994" s="24"/>
      <c r="AH994" s="266"/>
      <c r="AI994" s="264"/>
      <c r="AJ994" s="264"/>
      <c r="AK994" s="270"/>
      <c r="AL994" s="270"/>
      <c r="AM994" s="271"/>
      <c r="AN994" s="272"/>
      <c r="AO994" s="273"/>
      <c r="AP994" s="268"/>
      <c r="AQ994" s="268"/>
      <c r="AR994" s="268"/>
    </row>
    <row r="995" spans="1:44" s="16" customFormat="1" hidden="1" x14ac:dyDescent="0.5">
      <c r="A995" s="3">
        <f t="shared" si="182"/>
        <v>2026</v>
      </c>
      <c r="B995" s="8">
        <f t="shared" si="183"/>
        <v>2</v>
      </c>
      <c r="C995" s="6">
        <v>46080</v>
      </c>
      <c r="D995" s="15">
        <f t="shared" ca="1" si="184"/>
        <v>46097</v>
      </c>
      <c r="E995" s="15" t="str">
        <f t="shared" ca="1" si="185"/>
        <v>0-Months</v>
      </c>
      <c r="F995" s="8" t="str">
        <f>VLOOKUP(N995,Stock[#Data],5,FALSE)</f>
        <v>BE</v>
      </c>
      <c r="G995" s="82" t="s">
        <v>1584</v>
      </c>
      <c r="H995" s="15"/>
      <c r="I995" s="7" t="s">
        <v>106</v>
      </c>
      <c r="J995" s="8" t="str">
        <f>VLOOKUP(I995,Customers[#Data],2,FALSE)</f>
        <v>ကိုမျိုးအောင်</v>
      </c>
      <c r="K995" s="15" t="str">
        <f>VLOOKUP(I995,Customers[#Data],4,FALSE)</f>
        <v>Maw La Myaing</v>
      </c>
      <c r="L995" s="15" t="str">
        <f>VLOOKUP(I995,Customers[#Data],5,FALSE)</f>
        <v>WholeSales</v>
      </c>
      <c r="M995" s="7" t="s">
        <v>6</v>
      </c>
      <c r="N995" s="7" t="s">
        <v>516</v>
      </c>
      <c r="O995" s="14" t="str">
        <f>VLOOKUP(N995,Stock[#Data],2,FALSE)</f>
        <v>ဇေ Vodka</v>
      </c>
      <c r="P995" s="44">
        <f>VLOOKUP(N995,Stock[#Data],3,FALSE)</f>
        <v>0.64</v>
      </c>
      <c r="Q995" s="3">
        <f>VLOOKUP(N995,Stock[#Data],4,FALSE)</f>
        <v>14</v>
      </c>
      <c r="R995" s="11"/>
      <c r="S995" s="45">
        <f>IFERROR(Table4[[#This Row],[Bottle]]/Table4[[#This Row],[ပါဝင်မှု]]+Table4[[#This Row],[SalesPK]],0)</f>
        <v>15</v>
      </c>
      <c r="T995" s="12">
        <v>15</v>
      </c>
      <c r="U995" s="10">
        <f>Table4[[#This Row],[ပါဝင်မှု]]*Table4[[#This Row],[SalesPK]]+Table4[[#This Row],[Bottle]]</f>
        <v>210</v>
      </c>
      <c r="V995" s="10">
        <f>Table4[[#This Row],[SalesBot]]*Table4[[#This Row],[ML]]</f>
        <v>134.4</v>
      </c>
      <c r="W995" s="1">
        <f>VLOOKUP(N995,Stock[#Data],6,FALSE)</f>
        <v>1400</v>
      </c>
      <c r="X995" s="8">
        <f>+Table4[[#This Row],[SalesBot]]*Table4[[#This Row],[နှုံး]]</f>
        <v>294000</v>
      </c>
      <c r="Y995" s="12"/>
      <c r="Z995" s="12"/>
      <c r="AA995" s="12"/>
      <c r="AB995" s="9"/>
      <c r="AC995" s="12"/>
      <c r="AD995" s="9"/>
      <c r="AE995" s="12"/>
      <c r="AF99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294000</v>
      </c>
      <c r="AG995" s="24"/>
      <c r="AH995" s="266"/>
      <c r="AI995" s="264"/>
      <c r="AJ995" s="264"/>
      <c r="AK995" s="270"/>
      <c r="AL995" s="270"/>
      <c r="AM995" s="271"/>
      <c r="AN995" s="272"/>
      <c r="AO995" s="273"/>
      <c r="AP995" s="268"/>
      <c r="AQ995" s="268"/>
      <c r="AR995" s="268"/>
    </row>
    <row r="996" spans="1:44" s="16" customFormat="1" hidden="1" x14ac:dyDescent="0.5">
      <c r="A996" s="3">
        <f t="shared" si="182"/>
        <v>2026</v>
      </c>
      <c r="B996" s="8">
        <f t="shared" si="183"/>
        <v>2</v>
      </c>
      <c r="C996" s="6">
        <v>46080</v>
      </c>
      <c r="D996" s="15">
        <f t="shared" ca="1" si="184"/>
        <v>46097</v>
      </c>
      <c r="E996" s="15" t="str">
        <f t="shared" ca="1" si="185"/>
        <v>0-Months</v>
      </c>
      <c r="F996" s="8" t="str">
        <f>VLOOKUP(N996,Stock[#Data],5,FALSE)</f>
        <v>BE</v>
      </c>
      <c r="G996" s="82" t="s">
        <v>1584</v>
      </c>
      <c r="H996" s="15"/>
      <c r="I996" s="7" t="s">
        <v>106</v>
      </c>
      <c r="J996" s="8" t="str">
        <f>VLOOKUP(I996,Customers[#Data],2,FALSE)</f>
        <v>ကိုမျိုးအောင်</v>
      </c>
      <c r="K996" s="15" t="str">
        <f>VLOOKUP(I996,Customers[#Data],4,FALSE)</f>
        <v>Maw La Myaing</v>
      </c>
      <c r="L996" s="15" t="str">
        <f>VLOOKUP(I996,Customers[#Data],5,FALSE)</f>
        <v>WholeSales</v>
      </c>
      <c r="M996" s="7" t="s">
        <v>6</v>
      </c>
      <c r="N996" s="7" t="s">
        <v>514</v>
      </c>
      <c r="O996" s="14" t="str">
        <f>VLOOKUP(N996,Stock[#Data],2,FALSE)</f>
        <v>ဇေယျဝတီ Red</v>
      </c>
      <c r="P996" s="44">
        <f>VLOOKUP(N996,Stock[#Data],3,FALSE)</f>
        <v>0.64</v>
      </c>
      <c r="Q996" s="3">
        <f>VLOOKUP(N996,Stock[#Data],4,FALSE)</f>
        <v>14</v>
      </c>
      <c r="R996" s="11"/>
      <c r="S996" s="45">
        <f>IFERROR(Table4[[#This Row],[Bottle]]/Table4[[#This Row],[ပါဝင်မှု]]+Table4[[#This Row],[SalesPK]],0)</f>
        <v>10</v>
      </c>
      <c r="T996" s="12">
        <v>10</v>
      </c>
      <c r="U996" s="10">
        <f>Table4[[#This Row],[ပါဝင်မှု]]*Table4[[#This Row],[SalesPK]]+Table4[[#This Row],[Bottle]]</f>
        <v>140</v>
      </c>
      <c r="V996" s="10">
        <f>Table4[[#This Row],[SalesBot]]*Table4[[#This Row],[ML]]</f>
        <v>89.600000000000009</v>
      </c>
      <c r="W996" s="1">
        <f>VLOOKUP(N996,Stock[#Data],6,FALSE)</f>
        <v>1350</v>
      </c>
      <c r="X996" s="8">
        <f>+Table4[[#This Row],[SalesBot]]*Table4[[#This Row],[နှုံး]]</f>
        <v>189000</v>
      </c>
      <c r="Y996" s="12"/>
      <c r="Z996" s="12"/>
      <c r="AA996" s="12"/>
      <c r="AB996" s="9"/>
      <c r="AC996" s="12"/>
      <c r="AD996" s="9"/>
      <c r="AE996" s="12"/>
      <c r="AF99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</v>
      </c>
      <c r="AG996" s="24"/>
      <c r="AH996" s="266"/>
      <c r="AI996" s="264"/>
      <c r="AJ996" s="264"/>
      <c r="AK996" s="270"/>
      <c r="AL996" s="270"/>
      <c r="AM996" s="271"/>
      <c r="AN996" s="272"/>
      <c r="AO996" s="273"/>
      <c r="AP996" s="268"/>
      <c r="AQ996" s="268"/>
      <c r="AR996" s="268"/>
    </row>
    <row r="997" spans="1:44" s="16" customFormat="1" hidden="1" x14ac:dyDescent="0.5">
      <c r="A997" s="3">
        <f t="shared" si="182"/>
        <v>2026</v>
      </c>
      <c r="B997" s="8">
        <f t="shared" si="183"/>
        <v>2</v>
      </c>
      <c r="C997" s="6">
        <v>46080</v>
      </c>
      <c r="D997" s="15">
        <f t="shared" ca="1" si="184"/>
        <v>46097</v>
      </c>
      <c r="E997" s="15" t="str">
        <f t="shared" ca="1" si="185"/>
        <v>0-Months</v>
      </c>
      <c r="F997" s="8" t="str">
        <f>VLOOKUP(N997,Stock[#Data],5,FALSE)</f>
        <v>BE</v>
      </c>
      <c r="G997" s="82" t="s">
        <v>1584</v>
      </c>
      <c r="H997" s="15"/>
      <c r="I997" s="7" t="s">
        <v>106</v>
      </c>
      <c r="J997" s="8" t="str">
        <f>VLOOKUP(I997,Customers[#Data],2,FALSE)</f>
        <v>ကိုမျိုးအောင်</v>
      </c>
      <c r="K997" s="15" t="str">
        <f>VLOOKUP(I997,Customers[#Data],4,FALSE)</f>
        <v>Maw La Myaing</v>
      </c>
      <c r="L997" s="15" t="str">
        <f>VLOOKUP(I997,Customers[#Data],5,FALSE)</f>
        <v>WholeSales</v>
      </c>
      <c r="M997" s="7" t="s">
        <v>6</v>
      </c>
      <c r="N997" s="7" t="s">
        <v>519</v>
      </c>
      <c r="O997" s="14" t="str">
        <f>VLOOKUP(N997,Stock[#Data],2,FALSE)</f>
        <v>ဇေယျဝတီ High 43%</v>
      </c>
      <c r="P997" s="44">
        <f>VLOOKUP(N997,Stock[#Data],3,FALSE)</f>
        <v>0.64</v>
      </c>
      <c r="Q997" s="3">
        <f>VLOOKUP(N997,Stock[#Data],4,FALSE)</f>
        <v>14</v>
      </c>
      <c r="R997" s="11"/>
      <c r="S997" s="45">
        <f>IFERROR(Table4[[#This Row],[Bottle]]/Table4[[#This Row],[ပါဝင်မှု]]+Table4[[#This Row],[SalesPK]],0)</f>
        <v>10</v>
      </c>
      <c r="T997" s="12">
        <v>10</v>
      </c>
      <c r="U997" s="10">
        <f>Table4[[#This Row],[ပါဝင်မှု]]*Table4[[#This Row],[SalesPK]]+Table4[[#This Row],[Bottle]]</f>
        <v>140</v>
      </c>
      <c r="V997" s="10">
        <f>Table4[[#This Row],[SalesBot]]*Table4[[#This Row],[ML]]</f>
        <v>89.600000000000009</v>
      </c>
      <c r="W997" s="1">
        <f>VLOOKUP(N997,Stock[#Data],6,FALSE)</f>
        <v>1500</v>
      </c>
      <c r="X997" s="8">
        <f>+Table4[[#This Row],[SalesBot]]*Table4[[#This Row],[နှုံး]]</f>
        <v>210000</v>
      </c>
      <c r="Y997" s="12"/>
      <c r="Z997" s="12"/>
      <c r="AA997" s="12"/>
      <c r="AB997" s="9"/>
      <c r="AC997" s="12"/>
      <c r="AD997" s="9"/>
      <c r="AE997" s="12"/>
      <c r="AF99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210000</v>
      </c>
      <c r="AG997" s="24"/>
      <c r="AH997" s="266"/>
      <c r="AI997" s="264"/>
      <c r="AJ997" s="264"/>
      <c r="AK997" s="270"/>
      <c r="AL997" s="270"/>
      <c r="AM997" s="271"/>
      <c r="AN997" s="272"/>
      <c r="AO997" s="273"/>
      <c r="AP997" s="268"/>
      <c r="AQ997" s="268"/>
      <c r="AR997" s="268"/>
    </row>
    <row r="998" spans="1:44" s="16" customFormat="1" hidden="1" x14ac:dyDescent="0.5">
      <c r="A998" s="3">
        <f t="shared" si="182"/>
        <v>2026</v>
      </c>
      <c r="B998" s="8">
        <f t="shared" si="183"/>
        <v>2</v>
      </c>
      <c r="C998" s="6">
        <v>46080</v>
      </c>
      <c r="D998" s="15">
        <f t="shared" ca="1" si="184"/>
        <v>46097</v>
      </c>
      <c r="E998" s="15" t="str">
        <f t="shared" ca="1" si="185"/>
        <v>0-Months</v>
      </c>
      <c r="F998" s="8" t="str">
        <f>VLOOKUP(N998,Stock[#Data],5,FALSE)</f>
        <v>BE</v>
      </c>
      <c r="G998" s="82" t="s">
        <v>1585</v>
      </c>
      <c r="H998" s="15"/>
      <c r="I998" s="7" t="s">
        <v>106</v>
      </c>
      <c r="J998" s="8" t="str">
        <f>VLOOKUP(I998,Customers[#Data],2,FALSE)</f>
        <v>ကိုမျိုးအောင်</v>
      </c>
      <c r="K998" s="15" t="str">
        <f>VLOOKUP(I998,Customers[#Data],4,FALSE)</f>
        <v>Maw La Myaing</v>
      </c>
      <c r="L998" s="15" t="str">
        <f>VLOOKUP(I998,Customers[#Data],5,FALSE)</f>
        <v>WholeSales</v>
      </c>
      <c r="M998" s="7" t="s">
        <v>6</v>
      </c>
      <c r="N998" s="7" t="s">
        <v>516</v>
      </c>
      <c r="O998" s="14" t="str">
        <f>VLOOKUP(N998,Stock[#Data],2,FALSE)</f>
        <v>ဇေ Vodka</v>
      </c>
      <c r="P998" s="44">
        <f>VLOOKUP(N998,Stock[#Data],3,FALSE)</f>
        <v>0.64</v>
      </c>
      <c r="Q998" s="3">
        <f>VLOOKUP(N998,Stock[#Data],4,FALSE)</f>
        <v>14</v>
      </c>
      <c r="R998" s="11"/>
      <c r="S998" s="45">
        <f>IFERROR(Table4[[#This Row],[Bottle]]/Table4[[#This Row],[ပါဝင်မှု]]+Table4[[#This Row],[SalesPK]],0)</f>
        <v>20</v>
      </c>
      <c r="T998" s="12">
        <v>20</v>
      </c>
      <c r="U998" s="10">
        <f>Table4[[#This Row],[ပါဝင်မှု]]*Table4[[#This Row],[SalesPK]]+Table4[[#This Row],[Bottle]]</f>
        <v>280</v>
      </c>
      <c r="V998" s="10">
        <f>Table4[[#This Row],[SalesBot]]*Table4[[#This Row],[ML]]</f>
        <v>179.20000000000002</v>
      </c>
      <c r="W998" s="1">
        <f>VLOOKUP(N998,Stock[#Data],6,FALSE)</f>
        <v>1400</v>
      </c>
      <c r="X998" s="8">
        <f>+Table4[[#This Row],[SalesBot]]*Table4[[#This Row],[နှုံး]]</f>
        <v>392000</v>
      </c>
      <c r="Y998" s="12"/>
      <c r="Z998" s="12"/>
      <c r="AA998" s="12"/>
      <c r="AB998" s="9"/>
      <c r="AC998" s="12"/>
      <c r="AD998" s="9"/>
      <c r="AE998" s="12"/>
      <c r="AF99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392000</v>
      </c>
      <c r="AG998" s="24"/>
      <c r="AH998" s="266"/>
      <c r="AI998" s="264"/>
      <c r="AJ998" s="264"/>
      <c r="AK998" s="270"/>
      <c r="AL998" s="270"/>
      <c r="AM998" s="271"/>
      <c r="AN998" s="272"/>
      <c r="AO998" s="273"/>
      <c r="AP998" s="268"/>
      <c r="AQ998" s="268"/>
      <c r="AR998" s="268"/>
    </row>
    <row r="999" spans="1:44" s="16" customFormat="1" hidden="1" x14ac:dyDescent="0.5">
      <c r="A999" s="3">
        <f t="shared" si="182"/>
        <v>2026</v>
      </c>
      <c r="B999" s="8">
        <f t="shared" si="183"/>
        <v>2</v>
      </c>
      <c r="C999" s="6">
        <v>46080</v>
      </c>
      <c r="D999" s="15">
        <f t="shared" ca="1" si="184"/>
        <v>46097</v>
      </c>
      <c r="E999" s="15" t="str">
        <f t="shared" ca="1" si="185"/>
        <v>0-Months</v>
      </c>
      <c r="F999" s="8" t="str">
        <f>VLOOKUP(N999,Stock[#Data],5,FALSE)</f>
        <v>BE</v>
      </c>
      <c r="G999" s="82" t="s">
        <v>1585</v>
      </c>
      <c r="H999" s="15"/>
      <c r="I999" s="7" t="s">
        <v>106</v>
      </c>
      <c r="J999" s="8" t="str">
        <f>VLOOKUP(I999,Customers[#Data],2,FALSE)</f>
        <v>ကိုမျိုးအောင်</v>
      </c>
      <c r="K999" s="15" t="str">
        <f>VLOOKUP(I999,Customers[#Data],4,FALSE)</f>
        <v>Maw La Myaing</v>
      </c>
      <c r="L999" s="15" t="str">
        <f>VLOOKUP(I999,Customers[#Data],5,FALSE)</f>
        <v>WholeSales</v>
      </c>
      <c r="M999" s="7" t="s">
        <v>6</v>
      </c>
      <c r="N999" s="7" t="s">
        <v>514</v>
      </c>
      <c r="O999" s="14" t="str">
        <f>VLOOKUP(N999,Stock[#Data],2,FALSE)</f>
        <v>ဇေယျဝတီ Red</v>
      </c>
      <c r="P999" s="44">
        <f>VLOOKUP(N999,Stock[#Data],3,FALSE)</f>
        <v>0.64</v>
      </c>
      <c r="Q999" s="3">
        <f>VLOOKUP(N999,Stock[#Data],4,FALSE)</f>
        <v>14</v>
      </c>
      <c r="R999" s="11"/>
      <c r="S999" s="45">
        <f>IFERROR(Table4[[#This Row],[Bottle]]/Table4[[#This Row],[ပါဝင်မှု]]+Table4[[#This Row],[SalesPK]],0)</f>
        <v>20</v>
      </c>
      <c r="T999" s="12">
        <v>20</v>
      </c>
      <c r="U999" s="10">
        <f>Table4[[#This Row],[ပါဝင်မှု]]*Table4[[#This Row],[SalesPK]]+Table4[[#This Row],[Bottle]]</f>
        <v>280</v>
      </c>
      <c r="V999" s="10">
        <f>Table4[[#This Row],[SalesBot]]*Table4[[#This Row],[ML]]</f>
        <v>179.20000000000002</v>
      </c>
      <c r="W999" s="1">
        <f>VLOOKUP(N999,Stock[#Data],6,FALSE)</f>
        <v>1350</v>
      </c>
      <c r="X999" s="8">
        <f>+Table4[[#This Row],[SalesBot]]*Table4[[#This Row],[နှုံး]]</f>
        <v>378000</v>
      </c>
      <c r="Y999" s="12"/>
      <c r="Z999" s="12"/>
      <c r="AA999" s="12"/>
      <c r="AB999" s="9"/>
      <c r="AC999" s="12"/>
      <c r="AD999" s="9"/>
      <c r="AE999" s="12"/>
      <c r="AF99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</v>
      </c>
      <c r="AG999" s="24"/>
      <c r="AH999" s="266"/>
      <c r="AI999" s="264"/>
      <c r="AJ999" s="264"/>
      <c r="AK999" s="270"/>
      <c r="AL999" s="270"/>
      <c r="AM999" s="271"/>
      <c r="AN999" s="272"/>
      <c r="AO999" s="273"/>
      <c r="AP999" s="268"/>
      <c r="AQ999" s="268"/>
      <c r="AR999" s="268"/>
    </row>
    <row r="1000" spans="1:44" s="16" customFormat="1" hidden="1" x14ac:dyDescent="0.5">
      <c r="A1000" s="3">
        <f t="shared" si="182"/>
        <v>2026</v>
      </c>
      <c r="B1000" s="8">
        <f t="shared" si="183"/>
        <v>2</v>
      </c>
      <c r="C1000" s="6">
        <v>46080</v>
      </c>
      <c r="D1000" s="15">
        <f t="shared" ca="1" si="184"/>
        <v>46097</v>
      </c>
      <c r="E1000" s="15" t="str">
        <f t="shared" ca="1" si="185"/>
        <v>0-Months</v>
      </c>
      <c r="F1000" s="8" t="str">
        <f>VLOOKUP(N1000,Stock[#Data],5,FALSE)</f>
        <v>BE</v>
      </c>
      <c r="G1000" s="82" t="s">
        <v>1585</v>
      </c>
      <c r="H1000" s="15"/>
      <c r="I1000" s="7" t="s">
        <v>106</v>
      </c>
      <c r="J1000" s="8" t="str">
        <f>VLOOKUP(I1000,Customers[#Data],2,FALSE)</f>
        <v>ကိုမျိုးအောင်</v>
      </c>
      <c r="K1000" s="15" t="str">
        <f>VLOOKUP(I1000,Customers[#Data],4,FALSE)</f>
        <v>Maw La Myaing</v>
      </c>
      <c r="L1000" s="15" t="str">
        <f>VLOOKUP(I1000,Customers[#Data],5,FALSE)</f>
        <v>WholeSales</v>
      </c>
      <c r="M1000" s="7" t="s">
        <v>6</v>
      </c>
      <c r="N1000" s="7" t="s">
        <v>517</v>
      </c>
      <c r="O1000" s="14" t="str">
        <f>VLOOKUP(N1000,Stock[#Data],2,FALSE)</f>
        <v>ဇေယျဝတီ Red (1 Liter) 30%</v>
      </c>
      <c r="P1000" s="44">
        <f>VLOOKUP(N1000,Stock[#Data],3,FALSE)</f>
        <v>1</v>
      </c>
      <c r="Q1000" s="3">
        <f>VLOOKUP(N1000,Stock[#Data],4,FALSE)</f>
        <v>12</v>
      </c>
      <c r="R1000" s="11"/>
      <c r="S1000" s="45">
        <f>IFERROR(Table4[[#This Row],[Bottle]]/Table4[[#This Row],[ပါဝင်မှု]]+Table4[[#This Row],[SalesPK]],0)</f>
        <v>30</v>
      </c>
      <c r="T1000" s="12">
        <v>30</v>
      </c>
      <c r="U1000" s="10">
        <f>Table4[[#This Row],[ပါဝင်မှု]]*Table4[[#This Row],[SalesPK]]+Table4[[#This Row],[Bottle]]</f>
        <v>360</v>
      </c>
      <c r="V1000" s="10">
        <f>Table4[[#This Row],[SalesBot]]*Table4[[#This Row],[ML]]</f>
        <v>360</v>
      </c>
      <c r="W1000" s="1">
        <f>VLOOKUP(N1000,Stock[#Data],6,FALSE)</f>
        <v>1710</v>
      </c>
      <c r="X1000" s="8">
        <f>+Table4[[#This Row],[SalesBot]]*Table4[[#This Row],[နှုံး]]</f>
        <v>615600</v>
      </c>
      <c r="Y1000" s="12"/>
      <c r="Z1000" s="12"/>
      <c r="AA1000" s="12"/>
      <c r="AB1000" s="9"/>
      <c r="AC1000" s="12"/>
      <c r="AD1000" s="9"/>
      <c r="AE1000" s="12"/>
      <c r="AF100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615600</v>
      </c>
      <c r="AG1000" s="24"/>
      <c r="AH1000" s="266"/>
      <c r="AI1000" s="264"/>
      <c r="AJ1000" s="264"/>
      <c r="AK1000" s="270"/>
      <c r="AL1000" s="270"/>
      <c r="AM1000" s="271"/>
      <c r="AN1000" s="272"/>
      <c r="AO1000" s="273"/>
      <c r="AP1000" s="268"/>
      <c r="AQ1000" s="268"/>
      <c r="AR1000" s="268"/>
    </row>
    <row r="1001" spans="1:44" s="16" customFormat="1" hidden="1" x14ac:dyDescent="0.5">
      <c r="A1001" s="3">
        <f t="shared" si="182"/>
        <v>2026</v>
      </c>
      <c r="B1001" s="8">
        <f t="shared" si="183"/>
        <v>2</v>
      </c>
      <c r="C1001" s="6">
        <v>46080</v>
      </c>
      <c r="D1001" s="15">
        <f t="shared" ca="1" si="184"/>
        <v>46097</v>
      </c>
      <c r="E1001" s="15" t="str">
        <f t="shared" ca="1" si="185"/>
        <v>0-Months</v>
      </c>
      <c r="F1001" s="8" t="str">
        <f>VLOOKUP(N1001,Stock[#Data],5,FALSE)</f>
        <v>BE</v>
      </c>
      <c r="G1001" s="82" t="s">
        <v>1586</v>
      </c>
      <c r="H1001" s="15"/>
      <c r="I1001" s="7" t="s">
        <v>109</v>
      </c>
      <c r="J1001" s="8" t="str">
        <f>VLOOKUP(I1001,Customers[#Data],2,FALSE)</f>
        <v>ဦးမင်းလွင်</v>
      </c>
      <c r="K1001" s="15" t="str">
        <f>VLOOKUP(I1001,Customers[#Data],4,FALSE)</f>
        <v>Maw La Myaing</v>
      </c>
      <c r="L1001" s="15" t="str">
        <f>VLOOKUP(I1001,Customers[#Data],5,FALSE)</f>
        <v>WholeSales</v>
      </c>
      <c r="M1001" s="7" t="s">
        <v>6</v>
      </c>
      <c r="N1001" s="7" t="s">
        <v>521</v>
      </c>
      <c r="O1001" s="14" t="str">
        <f>VLOOKUP(N1001,Stock[#Data],2,FALSE)</f>
        <v>ဒဂုံအရက်သန့်</v>
      </c>
      <c r="P1001" s="44">
        <f>VLOOKUP(N1001,Stock[#Data],3,FALSE)</f>
        <v>0.64</v>
      </c>
      <c r="Q1001" s="3">
        <f>VLOOKUP(N1001,Stock[#Data],4,FALSE)</f>
        <v>24</v>
      </c>
      <c r="R1001" s="11"/>
      <c r="S1001" s="45">
        <f>IFERROR(Table4[[#This Row],[Bottle]]/Table4[[#This Row],[ပါဝင်မှု]]+Table4[[#This Row],[SalesPK]],0)</f>
        <v>30</v>
      </c>
      <c r="T1001" s="12">
        <v>30</v>
      </c>
      <c r="U1001" s="10">
        <f>Table4[[#This Row],[ပါဝင်မှု]]*Table4[[#This Row],[SalesPK]]+Table4[[#This Row],[Bottle]]</f>
        <v>720</v>
      </c>
      <c r="V1001" s="10">
        <f>Table4[[#This Row],[SalesBot]]*Table4[[#This Row],[ML]]</f>
        <v>460.8</v>
      </c>
      <c r="W1001" s="1">
        <f>VLOOKUP(N1001,Stock[#Data],6,FALSE)</f>
        <v>1350</v>
      </c>
      <c r="X1001" s="8">
        <f>+Table4[[#This Row],[SalesBot]]*Table4[[#This Row],[နှုံး]]</f>
        <v>972000</v>
      </c>
      <c r="Y1001" s="12"/>
      <c r="Z1001" s="12"/>
      <c r="AA1001" s="12"/>
      <c r="AB1001" s="9"/>
      <c r="AC1001" s="12"/>
      <c r="AD1001" s="9"/>
      <c r="AE1001" s="12"/>
      <c r="AF100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972000</v>
      </c>
      <c r="AG1001" s="24"/>
      <c r="AH1001" s="266"/>
      <c r="AI1001" s="264"/>
      <c r="AJ1001" s="264"/>
      <c r="AK1001" s="270"/>
      <c r="AL1001" s="270"/>
      <c r="AM1001" s="271"/>
      <c r="AN1001" s="272"/>
      <c r="AO1001" s="273"/>
      <c r="AP1001" s="268"/>
      <c r="AQ1001" s="268"/>
      <c r="AR1001" s="268"/>
    </row>
    <row r="1002" spans="1:44" s="16" customFormat="1" hidden="1" x14ac:dyDescent="0.5">
      <c r="A1002" s="3">
        <f t="shared" si="182"/>
        <v>2026</v>
      </c>
      <c r="B1002" s="8">
        <f t="shared" si="183"/>
        <v>2</v>
      </c>
      <c r="C1002" s="6">
        <v>46080</v>
      </c>
      <c r="D1002" s="15">
        <f t="shared" ca="1" si="184"/>
        <v>46097</v>
      </c>
      <c r="E1002" s="15" t="str">
        <f t="shared" ca="1" si="185"/>
        <v>0-Months</v>
      </c>
      <c r="F1002" s="8" t="str">
        <f>VLOOKUP(N1002,Stock[#Data],5,FALSE)</f>
        <v>BE</v>
      </c>
      <c r="G1002" s="82" t="s">
        <v>1587</v>
      </c>
      <c r="H1002" s="15"/>
      <c r="I1002" s="7" t="s">
        <v>535</v>
      </c>
      <c r="J1002" s="8" t="str">
        <f>VLOOKUP(I1002,Customers[#Data],2,FALSE)</f>
        <v>ကိုရဲ</v>
      </c>
      <c r="K1002" s="15" t="str">
        <f>VLOOKUP(I1002,Customers[#Data],4,FALSE)</f>
        <v>Yay</v>
      </c>
      <c r="L1002" s="15" t="str">
        <f>VLOOKUP(I1002,Customers[#Data],5,FALSE)</f>
        <v>Van Sales</v>
      </c>
      <c r="M1002" s="7" t="s">
        <v>6</v>
      </c>
      <c r="N1002" s="7" t="s">
        <v>517</v>
      </c>
      <c r="O1002" s="14" t="str">
        <f>VLOOKUP(N1002,Stock[#Data],2,FALSE)</f>
        <v>ဇေယျဝတီ Red (1 Liter) 30%</v>
      </c>
      <c r="P1002" s="44">
        <f>VLOOKUP(N1002,Stock[#Data],3,FALSE)</f>
        <v>1</v>
      </c>
      <c r="Q1002" s="3">
        <f>VLOOKUP(N1002,Stock[#Data],4,FALSE)</f>
        <v>12</v>
      </c>
      <c r="R1002" s="11"/>
      <c r="S1002" s="45">
        <f>IFERROR(Table4[[#This Row],[Bottle]]/Table4[[#This Row],[ပါဝင်မှု]]+Table4[[#This Row],[SalesPK]],0)</f>
        <v>50</v>
      </c>
      <c r="T1002" s="12">
        <v>50</v>
      </c>
      <c r="U1002" s="10">
        <f>Table4[[#This Row],[ပါဝင်မှု]]*Table4[[#This Row],[SalesPK]]+Table4[[#This Row],[Bottle]]</f>
        <v>600</v>
      </c>
      <c r="V1002" s="10">
        <f>Table4[[#This Row],[SalesBot]]*Table4[[#This Row],[ML]]</f>
        <v>600</v>
      </c>
      <c r="W1002" s="1">
        <f>VLOOKUP(N1002,Stock[#Data],6,FALSE)</f>
        <v>1710</v>
      </c>
      <c r="X1002" s="8">
        <f>+Table4[[#This Row],[SalesBot]]*Table4[[#This Row],[နှုံး]]</f>
        <v>1026000</v>
      </c>
      <c r="Y1002" s="12"/>
      <c r="Z1002" s="12"/>
      <c r="AA1002" s="12"/>
      <c r="AB1002" s="9"/>
      <c r="AC1002" s="12"/>
      <c r="AD1002" s="9"/>
      <c r="AE1002" s="12"/>
      <c r="AF100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1002" s="24"/>
      <c r="AH1002" s="266"/>
      <c r="AI1002" s="264"/>
      <c r="AJ1002" s="264"/>
      <c r="AK1002" s="270"/>
      <c r="AL1002" s="270"/>
      <c r="AM1002" s="271"/>
      <c r="AN1002" s="272"/>
      <c r="AO1002" s="273"/>
      <c r="AP1002" s="268"/>
      <c r="AQ1002" s="268"/>
      <c r="AR1002" s="268"/>
    </row>
    <row r="1003" spans="1:44" s="16" customFormat="1" hidden="1" x14ac:dyDescent="0.5">
      <c r="A1003" s="3">
        <f t="shared" si="182"/>
        <v>2026</v>
      </c>
      <c r="B1003" s="8">
        <f t="shared" si="183"/>
        <v>2</v>
      </c>
      <c r="C1003" s="6">
        <v>46080</v>
      </c>
      <c r="D1003" s="15">
        <f t="shared" ca="1" si="184"/>
        <v>46097</v>
      </c>
      <c r="E1003" s="15" t="str">
        <f t="shared" ca="1" si="185"/>
        <v>0-Months</v>
      </c>
      <c r="F1003" s="8" t="str">
        <f>VLOOKUP(N1003,Stock[#Data],5,FALSE)</f>
        <v>BE</v>
      </c>
      <c r="G1003" s="82" t="s">
        <v>1588</v>
      </c>
      <c r="H1003" s="15"/>
      <c r="I1003" s="7" t="s">
        <v>77</v>
      </c>
      <c r="J1003" s="8" t="str">
        <f>VLOOKUP(I1003,Customers[#Data],2,FALSE)</f>
        <v>KP</v>
      </c>
      <c r="K1003" s="15" t="str">
        <f>VLOOKUP(I1003,Customers[#Data],4,FALSE)</f>
        <v>Maw La Myaing</v>
      </c>
      <c r="L1003" s="15" t="str">
        <f>VLOOKUP(I1003,Customers[#Data],5,FALSE)</f>
        <v>SemiWholeSales</v>
      </c>
      <c r="M1003" s="7" t="s">
        <v>6</v>
      </c>
      <c r="N1003" s="7" t="s">
        <v>516</v>
      </c>
      <c r="O1003" s="14" t="str">
        <f>VLOOKUP(N1003,Stock[#Data],2,FALSE)</f>
        <v>ဇေ Vodka</v>
      </c>
      <c r="P1003" s="44">
        <f>VLOOKUP(N1003,Stock[#Data],3,FALSE)</f>
        <v>0.64</v>
      </c>
      <c r="Q1003" s="3">
        <f>VLOOKUP(N1003,Stock[#Data],4,FALSE)</f>
        <v>14</v>
      </c>
      <c r="R1003" s="11"/>
      <c r="S1003" s="45">
        <f>IFERROR(Table4[[#This Row],[Bottle]]/Table4[[#This Row],[ပါဝင်မှု]]+Table4[[#This Row],[SalesPK]],0)</f>
        <v>175</v>
      </c>
      <c r="T1003" s="12">
        <v>175</v>
      </c>
      <c r="U1003" s="10">
        <f>Table4[[#This Row],[ပါဝင်မှု]]*Table4[[#This Row],[SalesPK]]+Table4[[#This Row],[Bottle]]</f>
        <v>2450</v>
      </c>
      <c r="V1003" s="10">
        <f>Table4[[#This Row],[SalesBot]]*Table4[[#This Row],[ML]]</f>
        <v>1568</v>
      </c>
      <c r="W1003" s="1">
        <f>VLOOKUP(N1003,Stock[#Data],6,FALSE)</f>
        <v>1400</v>
      </c>
      <c r="X1003" s="8">
        <f>+Table4[[#This Row],[SalesBot]]*Table4[[#This Row],[နှုံး]]</f>
        <v>3430000</v>
      </c>
      <c r="Y1003" s="12"/>
      <c r="Z1003" s="12"/>
      <c r="AA1003" s="12"/>
      <c r="AB1003" s="9"/>
      <c r="AC1003" s="12"/>
      <c r="AD1003" s="9"/>
      <c r="AE1003" s="12"/>
      <c r="AF100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3430000</v>
      </c>
      <c r="AG1003" s="24"/>
      <c r="AH1003" s="266"/>
      <c r="AI1003" s="264"/>
      <c r="AJ1003" s="264"/>
      <c r="AK1003" s="270"/>
      <c r="AL1003" s="270"/>
      <c r="AM1003" s="271"/>
      <c r="AN1003" s="272"/>
      <c r="AO1003" s="273"/>
      <c r="AP1003" s="268"/>
      <c r="AQ1003" s="268"/>
      <c r="AR1003" s="268"/>
    </row>
    <row r="1004" spans="1:44" s="16" customFormat="1" hidden="1" x14ac:dyDescent="0.5">
      <c r="A1004" s="3">
        <f t="shared" si="182"/>
        <v>2026</v>
      </c>
      <c r="B1004" s="8">
        <f t="shared" si="183"/>
        <v>2</v>
      </c>
      <c r="C1004" s="6">
        <v>46080</v>
      </c>
      <c r="D1004" s="15">
        <f t="shared" ca="1" si="184"/>
        <v>46097</v>
      </c>
      <c r="E1004" s="15" t="str">
        <f t="shared" ca="1" si="185"/>
        <v>0-Months</v>
      </c>
      <c r="F1004" s="8" t="str">
        <f>VLOOKUP(N1004,Stock[#Data],5,FALSE)</f>
        <v>BE</v>
      </c>
      <c r="G1004" s="82" t="s">
        <v>1589</v>
      </c>
      <c r="H1004" s="15"/>
      <c r="I1004" s="7" t="s">
        <v>538</v>
      </c>
      <c r="J1004" s="8" t="str">
        <f>VLOOKUP(I1004,Customers[#Data],2,FALSE)</f>
        <v>ဒေါ်နွယ်နွယ်ရီ(ရွှေတောင်ကြား)</v>
      </c>
      <c r="K1004" s="15" t="str">
        <f>VLOOKUP(I1004,Customers[#Data],4,FALSE)</f>
        <v>Yay</v>
      </c>
      <c r="L1004" s="15" t="str">
        <f>VLOOKUP(I1004,Customers[#Data],5,FALSE)</f>
        <v>WholeSales</v>
      </c>
      <c r="M1004" s="7" t="s">
        <v>7</v>
      </c>
      <c r="N1004" s="7" t="s">
        <v>514</v>
      </c>
      <c r="O1004" s="14" t="str">
        <f>VLOOKUP(N1004,Stock[#Data],2,FALSE)</f>
        <v>ဇေယျဝတီ Red</v>
      </c>
      <c r="P1004" s="44">
        <f>VLOOKUP(N1004,Stock[#Data],3,FALSE)</f>
        <v>0.64</v>
      </c>
      <c r="Q1004" s="3">
        <f>VLOOKUP(N1004,Stock[#Data],4,FALSE)</f>
        <v>14</v>
      </c>
      <c r="R1004" s="11"/>
      <c r="S1004" s="45">
        <f>IFERROR(Table4[[#This Row],[Bottle]]/Table4[[#This Row],[ပါဝင်မှု]]+Table4[[#This Row],[SalesPK]],0)</f>
        <v>100</v>
      </c>
      <c r="T1004" s="12">
        <v>100</v>
      </c>
      <c r="U1004" s="10">
        <f>Table4[[#This Row],[ပါဝင်မှု]]*Table4[[#This Row],[SalesPK]]+Table4[[#This Row],[Bottle]]</f>
        <v>1400</v>
      </c>
      <c r="V1004" s="10">
        <f>Table4[[#This Row],[SalesBot]]*Table4[[#This Row],[ML]]</f>
        <v>896</v>
      </c>
      <c r="W1004" s="1">
        <f>VLOOKUP(N1004,Stock[#Data],6,FALSE)</f>
        <v>1350</v>
      </c>
      <c r="X1004" s="8">
        <f>+Table4[[#This Row],[SalesBot]]*Table4[[#This Row],[နှုံး]]</f>
        <v>1890000</v>
      </c>
      <c r="Y1004" s="12"/>
      <c r="Z1004" s="12"/>
      <c r="AA1004" s="12"/>
      <c r="AB1004" s="9"/>
      <c r="AC1004" s="12"/>
      <c r="AD1004" s="9"/>
      <c r="AE1004" s="12"/>
      <c r="AF100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1004" s="24"/>
      <c r="AH1004" s="266"/>
      <c r="AI1004" s="264"/>
      <c r="AJ1004" s="264"/>
      <c r="AK1004" s="270"/>
      <c r="AL1004" s="270"/>
      <c r="AM1004" s="271"/>
      <c r="AN1004" s="272"/>
      <c r="AO1004" s="273"/>
      <c r="AP1004" s="268"/>
      <c r="AQ1004" s="268"/>
      <c r="AR1004" s="268"/>
    </row>
    <row r="1005" spans="1:44" s="16" customFormat="1" hidden="1" x14ac:dyDescent="0.5">
      <c r="A1005" s="3">
        <f t="shared" si="182"/>
        <v>2026</v>
      </c>
      <c r="B1005" s="8">
        <f t="shared" si="183"/>
        <v>2</v>
      </c>
      <c r="C1005" s="6">
        <v>46080</v>
      </c>
      <c r="D1005" s="15">
        <f t="shared" ca="1" si="184"/>
        <v>46097</v>
      </c>
      <c r="E1005" s="15" t="str">
        <f t="shared" ca="1" si="185"/>
        <v>0-Months</v>
      </c>
      <c r="F1005" s="8" t="str">
        <f>VLOOKUP(N1005,Stock[#Data],5,FALSE)</f>
        <v>BE</v>
      </c>
      <c r="G1005" s="82" t="s">
        <v>1590</v>
      </c>
      <c r="H1005" s="15" t="s">
        <v>439</v>
      </c>
      <c r="I1005" s="7" t="s">
        <v>314</v>
      </c>
      <c r="J1005" s="8" t="str">
        <f>VLOOKUP(I1005,Customers[#Data],2,FALSE)</f>
        <v>ကိုကျော်မြင့်</v>
      </c>
      <c r="K1005" s="15" t="str">
        <f>VLOOKUP(I1005,Customers[#Data],4,FALSE)</f>
        <v>Maw La Myaing</v>
      </c>
      <c r="L1005" s="15" t="str">
        <f>VLOOKUP(I1005,Customers[#Data],5,FALSE)</f>
        <v>Van Sales</v>
      </c>
      <c r="M1005" s="7" t="s">
        <v>6</v>
      </c>
      <c r="N1005" s="7" t="s">
        <v>516</v>
      </c>
      <c r="O1005" s="14" t="str">
        <f>VLOOKUP(N1005,Stock[#Data],2,FALSE)</f>
        <v>ဇေ Vodka</v>
      </c>
      <c r="P1005" s="44">
        <f>VLOOKUP(N1005,Stock[#Data],3,FALSE)</f>
        <v>0.64</v>
      </c>
      <c r="Q1005" s="3">
        <f>VLOOKUP(N1005,Stock[#Data],4,FALSE)</f>
        <v>14</v>
      </c>
      <c r="R1005" s="11"/>
      <c r="S1005" s="45">
        <f>IFERROR(Table4[[#This Row],[Bottle]]/Table4[[#This Row],[ပါဝင်မှု]]+Table4[[#This Row],[SalesPK]],0)</f>
        <v>3</v>
      </c>
      <c r="T1005" s="12">
        <v>3</v>
      </c>
      <c r="U1005" s="10">
        <f>Table4[[#This Row],[ပါဝင်မှု]]*Table4[[#This Row],[SalesPK]]+Table4[[#This Row],[Bottle]]</f>
        <v>42</v>
      </c>
      <c r="V1005" s="10">
        <f>Table4[[#This Row],[SalesBot]]*Table4[[#This Row],[ML]]</f>
        <v>26.88</v>
      </c>
      <c r="W1005" s="1">
        <f>VLOOKUP(N1005,Stock[#Data],6,FALSE)</f>
        <v>1400</v>
      </c>
      <c r="X1005" s="8">
        <f>+Table4[[#This Row],[SalesBot]]*Table4[[#This Row],[နှုံး]]</f>
        <v>58800</v>
      </c>
      <c r="Y1005" s="12"/>
      <c r="Z1005" s="12"/>
      <c r="AA1005" s="12"/>
      <c r="AB1005" s="9"/>
      <c r="AC1005" s="12"/>
      <c r="AD1005" s="9"/>
      <c r="AE1005" s="12"/>
      <c r="AF100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58800</v>
      </c>
      <c r="AG1005" s="24"/>
      <c r="AH1005" s="266"/>
      <c r="AI1005" s="264"/>
      <c r="AJ1005" s="264"/>
      <c r="AK1005" s="270"/>
      <c r="AL1005" s="270"/>
      <c r="AM1005" s="271"/>
      <c r="AN1005" s="272"/>
      <c r="AO1005" s="273"/>
      <c r="AP1005" s="268"/>
      <c r="AQ1005" s="268"/>
      <c r="AR1005" s="268"/>
    </row>
    <row r="1006" spans="1:44" s="16" customFormat="1" hidden="1" x14ac:dyDescent="0.5">
      <c r="A1006" s="3">
        <f t="shared" si="182"/>
        <v>2026</v>
      </c>
      <c r="B1006" s="8">
        <f t="shared" si="183"/>
        <v>2</v>
      </c>
      <c r="C1006" s="6">
        <v>46080</v>
      </c>
      <c r="D1006" s="15">
        <f t="shared" ca="1" si="184"/>
        <v>46097</v>
      </c>
      <c r="E1006" s="15" t="str">
        <f t="shared" ca="1" si="185"/>
        <v>0-Months</v>
      </c>
      <c r="F1006" s="8" t="str">
        <f>VLOOKUP(N1006,Stock[#Data],5,FALSE)</f>
        <v>BE</v>
      </c>
      <c r="G1006" s="82" t="s">
        <v>1591</v>
      </c>
      <c r="H1006" s="15" t="s">
        <v>439</v>
      </c>
      <c r="I1006" s="7" t="s">
        <v>577</v>
      </c>
      <c r="J1006" s="8" t="str">
        <f>VLOOKUP(I1006,Customers[#Data],2,FALSE)</f>
        <v>သရက်မြိုင်</v>
      </c>
      <c r="K1006" s="15" t="str">
        <f>VLOOKUP(I1006,Customers[#Data],4,FALSE)</f>
        <v>Maw La Myaing</v>
      </c>
      <c r="L1006" s="15" t="str">
        <f>VLOOKUP(I1006,Customers[#Data],5,FALSE)</f>
        <v>Van Sales</v>
      </c>
      <c r="M1006" s="7" t="s">
        <v>6</v>
      </c>
      <c r="N1006" s="7" t="s">
        <v>518</v>
      </c>
      <c r="O1006" s="14" t="str">
        <f>VLOOKUP(N1006,Stock[#Data],2,FALSE)</f>
        <v>"ဇေ" ကော်ဘူး (1 Liter)</v>
      </c>
      <c r="P1006" s="44">
        <f>VLOOKUP(N1006,Stock[#Data],3,FALSE)</f>
        <v>1</v>
      </c>
      <c r="Q1006" s="3">
        <f>VLOOKUP(N1006,Stock[#Data],4,FALSE)</f>
        <v>12</v>
      </c>
      <c r="R1006" s="11"/>
      <c r="S1006" s="45">
        <f>IFERROR(Table4[[#This Row],[Bottle]]/Table4[[#This Row],[ပါဝင်မှု]]+Table4[[#This Row],[SalesPK]],0)</f>
        <v>10</v>
      </c>
      <c r="T1006" s="12">
        <v>10</v>
      </c>
      <c r="U1006" s="10">
        <f>Table4[[#This Row],[ပါဝင်မှု]]*Table4[[#This Row],[SalesPK]]+Table4[[#This Row],[Bottle]]</f>
        <v>120</v>
      </c>
      <c r="V1006" s="10">
        <f>Table4[[#This Row],[SalesBot]]*Table4[[#This Row],[ML]]</f>
        <v>120</v>
      </c>
      <c r="W1006" s="1">
        <f>VLOOKUP(N1006,Stock[#Data],6,FALSE)</f>
        <v>1675</v>
      </c>
      <c r="X1006" s="8">
        <f>+Table4[[#This Row],[SalesBot]]*Table4[[#This Row],[နှုံး]]</f>
        <v>201000</v>
      </c>
      <c r="Y1006" s="12"/>
      <c r="Z1006" s="12"/>
      <c r="AA1006" s="12"/>
      <c r="AB1006" s="9"/>
      <c r="AC1006" s="12"/>
      <c r="AD1006" s="9"/>
      <c r="AE1006" s="12"/>
      <c r="AF100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201000</v>
      </c>
      <c r="AG1006" s="24"/>
      <c r="AH1006" s="266"/>
      <c r="AI1006" s="264"/>
      <c r="AJ1006" s="264"/>
      <c r="AK1006" s="270"/>
      <c r="AL1006" s="270"/>
      <c r="AM1006" s="271"/>
      <c r="AN1006" s="272"/>
      <c r="AO1006" s="273"/>
      <c r="AP1006" s="268"/>
      <c r="AQ1006" s="268"/>
      <c r="AR1006" s="268"/>
    </row>
    <row r="1007" spans="1:44" s="16" customFormat="1" hidden="1" x14ac:dyDescent="0.5">
      <c r="A1007" s="3">
        <f t="shared" si="182"/>
        <v>2026</v>
      </c>
      <c r="B1007" s="8">
        <f t="shared" si="183"/>
        <v>2</v>
      </c>
      <c r="C1007" s="6">
        <v>46080</v>
      </c>
      <c r="D1007" s="15">
        <f t="shared" ca="1" si="184"/>
        <v>46097</v>
      </c>
      <c r="E1007" s="15" t="str">
        <f t="shared" ca="1" si="185"/>
        <v>0-Months</v>
      </c>
      <c r="F1007" s="8" t="str">
        <f>VLOOKUP(N1007,Stock[#Data],5,FALSE)</f>
        <v>BE</v>
      </c>
      <c r="G1007" s="82" t="s">
        <v>1592</v>
      </c>
      <c r="H1007" s="15" t="s">
        <v>439</v>
      </c>
      <c r="I1007" s="7" t="s">
        <v>1384</v>
      </c>
      <c r="J1007" s="8" t="str">
        <f>VLOOKUP(I1007,Customers[#Data],2,FALSE)</f>
        <v>မာလာမြို်င</v>
      </c>
      <c r="K1007" s="15" t="str">
        <f>VLOOKUP(I1007,Customers[#Data],4,FALSE)</f>
        <v>Maw La Myaing</v>
      </c>
      <c r="L1007" s="15" t="str">
        <f>VLOOKUP(I1007,Customers[#Data],5,FALSE)</f>
        <v>Van Sales</v>
      </c>
      <c r="M1007" s="7" t="s">
        <v>6</v>
      </c>
      <c r="N1007" s="7" t="s">
        <v>522</v>
      </c>
      <c r="O1007" s="14" t="str">
        <f>VLOOKUP(N1007,Stock[#Data],2,FALSE)</f>
        <v>ဒဂုံမန်ကျည်း ကော်ဘူး (1 Liter)</v>
      </c>
      <c r="P1007" s="44">
        <f>VLOOKUP(N1007,Stock[#Data],3,FALSE)</f>
        <v>1</v>
      </c>
      <c r="Q1007" s="3">
        <f>VLOOKUP(N1007,Stock[#Data],4,FALSE)</f>
        <v>12</v>
      </c>
      <c r="R1007" s="11"/>
      <c r="S1007" s="45">
        <f>IFERROR(Table4[[#This Row],[Bottle]]/Table4[[#This Row],[ပါဝင်မှု]]+Table4[[#This Row],[SalesPK]],0)</f>
        <v>1</v>
      </c>
      <c r="T1007" s="12">
        <v>1</v>
      </c>
      <c r="U1007" s="10">
        <f>Table4[[#This Row],[ပါဝင်မှု]]*Table4[[#This Row],[SalesPK]]+Table4[[#This Row],[Bottle]]</f>
        <v>12</v>
      </c>
      <c r="V1007" s="10">
        <f>Table4[[#This Row],[SalesBot]]*Table4[[#This Row],[ML]]</f>
        <v>12</v>
      </c>
      <c r="W1007" s="1">
        <f>VLOOKUP(N1007,Stock[#Data],6,FALSE)</f>
        <v>1600</v>
      </c>
      <c r="X1007" s="8">
        <f>+Table4[[#This Row],[SalesBot]]*Table4[[#This Row],[နှုံး]]</f>
        <v>19200</v>
      </c>
      <c r="Y1007" s="12"/>
      <c r="Z1007" s="12"/>
      <c r="AA1007" s="12"/>
      <c r="AB1007" s="9"/>
      <c r="AC1007" s="12"/>
      <c r="AD1007" s="9"/>
      <c r="AE1007" s="12"/>
      <c r="AF100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007" s="24"/>
      <c r="AH1007" s="266"/>
      <c r="AI1007" s="264"/>
      <c r="AJ1007" s="264"/>
      <c r="AK1007" s="270"/>
      <c r="AL1007" s="270"/>
      <c r="AM1007" s="271"/>
      <c r="AN1007" s="272"/>
      <c r="AO1007" s="273"/>
      <c r="AP1007" s="268"/>
      <c r="AQ1007" s="268"/>
      <c r="AR1007" s="268"/>
    </row>
    <row r="1008" spans="1:44" s="16" customFormat="1" hidden="1" x14ac:dyDescent="0.5">
      <c r="A1008" s="3">
        <f t="shared" si="182"/>
        <v>2026</v>
      </c>
      <c r="B1008" s="8">
        <f t="shared" si="183"/>
        <v>2</v>
      </c>
      <c r="C1008" s="6">
        <v>46080</v>
      </c>
      <c r="D1008" s="15">
        <f t="shared" ca="1" si="184"/>
        <v>46097</v>
      </c>
      <c r="E1008" s="15" t="str">
        <f t="shared" ca="1" si="185"/>
        <v>0-Months</v>
      </c>
      <c r="F1008" s="8" t="str">
        <f>VLOOKUP(N1008,Stock[#Data],5,FALSE)</f>
        <v>BE</v>
      </c>
      <c r="G1008" s="82" t="s">
        <v>1592</v>
      </c>
      <c r="H1008" s="15"/>
      <c r="I1008" s="7" t="s">
        <v>1384</v>
      </c>
      <c r="J1008" s="8" t="str">
        <f>VLOOKUP(I1008,Customers[#Data],2,FALSE)</f>
        <v>မာလာမြို်င</v>
      </c>
      <c r="K1008" s="15" t="str">
        <f>VLOOKUP(I1008,Customers[#Data],4,FALSE)</f>
        <v>Maw La Myaing</v>
      </c>
      <c r="L1008" s="15" t="str">
        <f>VLOOKUP(I1008,Customers[#Data],5,FALSE)</f>
        <v>Van Sales</v>
      </c>
      <c r="M1008" s="7" t="s">
        <v>9</v>
      </c>
      <c r="N1008" s="7" t="s">
        <v>522</v>
      </c>
      <c r="O1008" s="14" t="str">
        <f>VLOOKUP(N1008,Stock[#Data],2,FALSE)</f>
        <v>ဒဂုံမန်ကျည်း ကော်ဘူး (1 Liter)</v>
      </c>
      <c r="P1008" s="44">
        <f>VLOOKUP(N1008,Stock[#Data],3,FALSE)</f>
        <v>1</v>
      </c>
      <c r="Q1008" s="3">
        <f>VLOOKUP(N1008,Stock[#Data],4,FALSE)</f>
        <v>12</v>
      </c>
      <c r="R1008" s="11">
        <v>1</v>
      </c>
      <c r="S1008" s="45">
        <f>IFERROR(Table4[[#This Row],[Bottle]]/Table4[[#This Row],[ပါဝင်မှု]]+Table4[[#This Row],[SalesPK]],0)</f>
        <v>8.3333333333333329E-2</v>
      </c>
      <c r="T1008" s="12"/>
      <c r="U1008" s="10">
        <f>Table4[[#This Row],[ပါဝင်မှု]]*Table4[[#This Row],[SalesPK]]+Table4[[#This Row],[Bottle]]</f>
        <v>1</v>
      </c>
      <c r="V1008" s="10">
        <f>Table4[[#This Row],[SalesBot]]*Table4[[#This Row],[ML]]</f>
        <v>1</v>
      </c>
      <c r="W1008" s="1">
        <f>VLOOKUP(N1008,Stock[#Data],6,FALSE)</f>
        <v>1600</v>
      </c>
      <c r="X1008" s="8">
        <f>+Table4[[#This Row],[SalesBot]]*Table4[[#This Row],[နှုံး]]</f>
        <v>1600</v>
      </c>
      <c r="Y1008" s="12"/>
      <c r="Z1008" s="12"/>
      <c r="AA1008" s="12"/>
      <c r="AB1008" s="9"/>
      <c r="AC1008" s="12"/>
      <c r="AD1008" s="9"/>
      <c r="AE1008" s="12"/>
      <c r="AF100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1600</v>
      </c>
      <c r="AG1008" s="24"/>
      <c r="AH1008" s="266"/>
      <c r="AI1008" s="264"/>
      <c r="AJ1008" s="264"/>
      <c r="AK1008" s="270"/>
      <c r="AL1008" s="270"/>
      <c r="AM1008" s="271"/>
      <c r="AN1008" s="272"/>
      <c r="AO1008" s="273"/>
      <c r="AP1008" s="268"/>
      <c r="AQ1008" s="268"/>
      <c r="AR1008" s="268"/>
    </row>
    <row r="1009" spans="1:44" s="16" customFormat="1" hidden="1" x14ac:dyDescent="0.5">
      <c r="A1009" s="3">
        <f t="shared" si="182"/>
        <v>2026</v>
      </c>
      <c r="B1009" s="8">
        <f t="shared" si="183"/>
        <v>2</v>
      </c>
      <c r="C1009" s="6">
        <v>46080</v>
      </c>
      <c r="D1009" s="15">
        <f t="shared" ca="1" si="184"/>
        <v>46097</v>
      </c>
      <c r="E1009" s="15" t="str">
        <f t="shared" ca="1" si="185"/>
        <v>0-Months</v>
      </c>
      <c r="F1009" s="8" t="str">
        <f>VLOOKUP(N1009,Stock[#Data],5,FALSE)</f>
        <v>BE</v>
      </c>
      <c r="G1009" s="82" t="s">
        <v>1593</v>
      </c>
      <c r="H1009" s="15" t="s">
        <v>439</v>
      </c>
      <c r="I1009" s="7" t="s">
        <v>1365</v>
      </c>
      <c r="J1009" s="8" t="str">
        <f>VLOOKUP(I1009,Customers[#Data],2,FALSE)</f>
        <v>ရွှေတော်ဝင်</v>
      </c>
      <c r="K1009" s="15" t="str">
        <f>VLOOKUP(I1009,Customers[#Data],4,FALSE)</f>
        <v>Maw La Myaing</v>
      </c>
      <c r="L1009" s="15" t="str">
        <f>VLOOKUP(I1009,Customers[#Data],5,FALSE)</f>
        <v>Van Sales</v>
      </c>
      <c r="M1009" s="7" t="s">
        <v>6</v>
      </c>
      <c r="N1009" s="7" t="s">
        <v>522</v>
      </c>
      <c r="O1009" s="14" t="str">
        <f>VLOOKUP(N1009,Stock[#Data],2,FALSE)</f>
        <v>ဒဂုံမန်ကျည်း ကော်ဘူး (1 Liter)</v>
      </c>
      <c r="P1009" s="44">
        <f>VLOOKUP(N1009,Stock[#Data],3,FALSE)</f>
        <v>1</v>
      </c>
      <c r="Q1009" s="3">
        <f>VLOOKUP(N1009,Stock[#Data],4,FALSE)</f>
        <v>12</v>
      </c>
      <c r="R1009" s="11"/>
      <c r="S1009" s="45">
        <f>IFERROR(Table4[[#This Row],[Bottle]]/Table4[[#This Row],[ပါဝင်မှု]]+Table4[[#This Row],[SalesPK]],0)</f>
        <v>5</v>
      </c>
      <c r="T1009" s="12">
        <v>5</v>
      </c>
      <c r="U1009" s="10">
        <f>Table4[[#This Row],[ပါဝင်မှု]]*Table4[[#This Row],[SalesPK]]+Table4[[#This Row],[Bottle]]</f>
        <v>60</v>
      </c>
      <c r="V1009" s="10">
        <f>Table4[[#This Row],[SalesBot]]*Table4[[#This Row],[ML]]</f>
        <v>60</v>
      </c>
      <c r="W1009" s="1">
        <f>VLOOKUP(N1009,Stock[#Data],6,FALSE)</f>
        <v>1600</v>
      </c>
      <c r="X1009" s="8">
        <f>+Table4[[#This Row],[SalesBot]]*Table4[[#This Row],[နှုံး]]</f>
        <v>96000</v>
      </c>
      <c r="Y1009" s="12"/>
      <c r="Z1009" s="12"/>
      <c r="AA1009" s="12"/>
      <c r="AB1009" s="9"/>
      <c r="AC1009" s="12"/>
      <c r="AD1009" s="9"/>
      <c r="AE1009" s="12"/>
      <c r="AF100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96000</v>
      </c>
      <c r="AG1009" s="24"/>
      <c r="AH1009" s="266"/>
      <c r="AI1009" s="264"/>
      <c r="AJ1009" s="264"/>
      <c r="AK1009" s="270"/>
      <c r="AL1009" s="270"/>
      <c r="AM1009" s="271"/>
      <c r="AN1009" s="272"/>
      <c r="AO1009" s="273"/>
      <c r="AP1009" s="268"/>
      <c r="AQ1009" s="268"/>
      <c r="AR1009" s="268"/>
    </row>
    <row r="1010" spans="1:44" s="16" customFormat="1" hidden="1" x14ac:dyDescent="0.5">
      <c r="A1010" s="3">
        <f t="shared" si="182"/>
        <v>2026</v>
      </c>
      <c r="B1010" s="8">
        <f t="shared" si="183"/>
        <v>2</v>
      </c>
      <c r="C1010" s="6">
        <v>46080</v>
      </c>
      <c r="D1010" s="15">
        <f t="shared" ca="1" si="184"/>
        <v>46097</v>
      </c>
      <c r="E1010" s="15" t="str">
        <f t="shared" ca="1" si="185"/>
        <v>0-Months</v>
      </c>
      <c r="F1010" s="8" t="str">
        <f>VLOOKUP(N1010,Stock[#Data],5,FALSE)</f>
        <v>BE</v>
      </c>
      <c r="G1010" s="82" t="s">
        <v>1593</v>
      </c>
      <c r="H1010" s="15"/>
      <c r="I1010" s="7" t="s">
        <v>1365</v>
      </c>
      <c r="J1010" s="8" t="str">
        <f>VLOOKUP(I1010,Customers[#Data],2,FALSE)</f>
        <v>ရွှေတော်ဝင်</v>
      </c>
      <c r="K1010" s="15" t="str">
        <f>VLOOKUP(I1010,Customers[#Data],4,FALSE)</f>
        <v>Maw La Myaing</v>
      </c>
      <c r="L1010" s="15" t="str">
        <f>VLOOKUP(I1010,Customers[#Data],5,FALSE)</f>
        <v>Van Sales</v>
      </c>
      <c r="M1010" s="7" t="s">
        <v>9</v>
      </c>
      <c r="N1010" s="7" t="s">
        <v>522</v>
      </c>
      <c r="O1010" s="14" t="str">
        <f>VLOOKUP(N1010,Stock[#Data],2,FALSE)</f>
        <v>ဒဂုံမန်ကျည်း ကော်ဘူး (1 Liter)</v>
      </c>
      <c r="P1010" s="44">
        <f>VLOOKUP(N1010,Stock[#Data],3,FALSE)</f>
        <v>1</v>
      </c>
      <c r="Q1010" s="3">
        <f>VLOOKUP(N1010,Stock[#Data],4,FALSE)</f>
        <v>12</v>
      </c>
      <c r="R1010" s="11">
        <v>3</v>
      </c>
      <c r="S1010" s="45">
        <f>IFERROR(Table4[[#This Row],[Bottle]]/Table4[[#This Row],[ပါဝင်မှု]]+Table4[[#This Row],[SalesPK]],0)</f>
        <v>0.25</v>
      </c>
      <c r="T1010" s="12"/>
      <c r="U1010" s="10">
        <f>Table4[[#This Row],[ပါဝင်မှု]]*Table4[[#This Row],[SalesPK]]+Table4[[#This Row],[Bottle]]</f>
        <v>3</v>
      </c>
      <c r="V1010" s="10">
        <f>Table4[[#This Row],[SalesBot]]*Table4[[#This Row],[ML]]</f>
        <v>3</v>
      </c>
      <c r="W1010" s="1">
        <f>VLOOKUP(N1010,Stock[#Data],6,FALSE)</f>
        <v>1600</v>
      </c>
      <c r="X1010" s="8">
        <f>+Table4[[#This Row],[SalesBot]]*Table4[[#This Row],[နှုံး]]</f>
        <v>4800</v>
      </c>
      <c r="Y1010" s="12"/>
      <c r="Z1010" s="12"/>
      <c r="AA1010" s="12"/>
      <c r="AB1010" s="9"/>
      <c r="AC1010" s="12"/>
      <c r="AD1010" s="9"/>
      <c r="AE1010" s="12"/>
      <c r="AF101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4800</v>
      </c>
      <c r="AG1010" s="24"/>
      <c r="AH1010" s="266"/>
      <c r="AI1010" s="264"/>
      <c r="AJ1010" s="264"/>
      <c r="AK1010" s="270"/>
      <c r="AL1010" s="270"/>
      <c r="AM1010" s="271"/>
      <c r="AN1010" s="272"/>
      <c r="AO1010" s="273"/>
      <c r="AP1010" s="268"/>
      <c r="AQ1010" s="268"/>
      <c r="AR1010" s="268"/>
    </row>
    <row r="1011" spans="1:44" s="16" customFormat="1" hidden="1" x14ac:dyDescent="0.5">
      <c r="A1011" s="3">
        <f t="shared" ref="A1011:A1031" si="186">YEAR(C1011)</f>
        <v>2026</v>
      </c>
      <c r="B1011" s="8">
        <f t="shared" ref="B1011:B1031" si="187">MONTH(C1011)</f>
        <v>2</v>
      </c>
      <c r="C1011" s="6">
        <v>46081</v>
      </c>
      <c r="D1011" s="15">
        <f t="shared" ref="D1011:D1031" ca="1" si="188">TODAY()</f>
        <v>46097</v>
      </c>
      <c r="E1011" s="15" t="str">
        <f t="shared" ref="E1011:E1031" ca="1" si="189">DATEDIF(C1011,D1011,"M")&amp;"-Months"</f>
        <v>0-Months</v>
      </c>
      <c r="F1011" s="8" t="str">
        <f>VLOOKUP(N1011,Stock[#Data],5,FALSE)</f>
        <v>BE</v>
      </c>
      <c r="G1011" s="82" t="s">
        <v>1594</v>
      </c>
      <c r="H1011" s="15"/>
      <c r="I1011" s="7" t="s">
        <v>93</v>
      </c>
      <c r="J1011" s="8" t="str">
        <f>VLOOKUP(I1011,Customers[#Data],2,FALSE)</f>
        <v>မဝင့်ဝါထိုက်(ရွှေပင်လယ်)</v>
      </c>
      <c r="K1011" s="15" t="str">
        <f>VLOOKUP(I1011,Customers[#Data],4,FALSE)</f>
        <v>Yay</v>
      </c>
      <c r="L1011" s="15" t="str">
        <f>VLOOKUP(I1011,Customers[#Data],5,FALSE)</f>
        <v>WholeSales</v>
      </c>
      <c r="M1011" s="7" t="s">
        <v>120</v>
      </c>
      <c r="N1011" s="7" t="s">
        <v>514</v>
      </c>
      <c r="O1011" s="14" t="str">
        <f>VLOOKUP(N1011,Stock[#Data],2,FALSE)</f>
        <v>ဇေယျဝတီ Red</v>
      </c>
      <c r="P1011" s="44">
        <f>VLOOKUP(N1011,Stock[#Data],3,FALSE)</f>
        <v>0.64</v>
      </c>
      <c r="Q1011" s="3">
        <f>VLOOKUP(N1011,Stock[#Data],4,FALSE)</f>
        <v>14</v>
      </c>
      <c r="R1011" s="11"/>
      <c r="S1011" s="45">
        <f>IFERROR(Table4[[#This Row],[Bottle]]/Table4[[#This Row],[ပါဝင်မှု]]+Table4[[#This Row],[SalesPK]],0)</f>
        <v>200</v>
      </c>
      <c r="T1011" s="12">
        <v>200</v>
      </c>
      <c r="U1011" s="10">
        <f>Table4[[#This Row],[ပါဝင်မှု]]*Table4[[#This Row],[SalesPK]]+Table4[[#This Row],[Bottle]]</f>
        <v>2800</v>
      </c>
      <c r="V1011" s="10">
        <f>Table4[[#This Row],[SalesBot]]*Table4[[#This Row],[ML]]</f>
        <v>1792</v>
      </c>
      <c r="W1011" s="1">
        <f>VLOOKUP(N1011,Stock[#Data],6,FALSE)</f>
        <v>1350</v>
      </c>
      <c r="X1011" s="8">
        <f>+Table4[[#This Row],[SalesBot]]*Table4[[#This Row],[နှုံး]]</f>
        <v>3780000</v>
      </c>
      <c r="Y1011" s="12"/>
      <c r="Z1011" s="12"/>
      <c r="AA1011" s="12"/>
      <c r="AB1011" s="9"/>
      <c r="AC1011" s="12"/>
      <c r="AD1011" s="9"/>
      <c r="AE1011" s="12"/>
      <c r="AF101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3780000</v>
      </c>
      <c r="AG1011" s="24"/>
      <c r="AH1011" s="266"/>
      <c r="AI1011" s="264"/>
      <c r="AJ1011" s="264"/>
      <c r="AK1011" s="270"/>
      <c r="AL1011" s="270"/>
      <c r="AM1011" s="271"/>
      <c r="AN1011" s="272"/>
      <c r="AO1011" s="273"/>
      <c r="AP1011" s="268"/>
      <c r="AQ1011" s="268"/>
      <c r="AR1011" s="268"/>
    </row>
    <row r="1012" spans="1:44" s="16" customFormat="1" hidden="1" x14ac:dyDescent="0.5">
      <c r="A1012" s="3">
        <f t="shared" si="186"/>
        <v>2026</v>
      </c>
      <c r="B1012" s="8">
        <f t="shared" si="187"/>
        <v>2</v>
      </c>
      <c r="C1012" s="6">
        <v>46081</v>
      </c>
      <c r="D1012" s="15">
        <f t="shared" ca="1" si="188"/>
        <v>46097</v>
      </c>
      <c r="E1012" s="15" t="str">
        <f t="shared" ca="1" si="189"/>
        <v>0-Months</v>
      </c>
      <c r="F1012" s="8" t="str">
        <f>VLOOKUP(N1012,Stock[#Data],5,FALSE)</f>
        <v>BE</v>
      </c>
      <c r="G1012" s="82" t="s">
        <v>1448</v>
      </c>
      <c r="H1012" s="15"/>
      <c r="I1012" s="7" t="s">
        <v>95</v>
      </c>
      <c r="J1012" s="8" t="str">
        <f>VLOOKUP(I1012,Customers[#Data],2,FALSE)</f>
        <v>ကျော်စတား</v>
      </c>
      <c r="K1012" s="15" t="str">
        <f>VLOOKUP(I1012,Customers[#Data],4,FALSE)</f>
        <v>Yay</v>
      </c>
      <c r="L1012" s="15" t="str">
        <f>VLOOKUP(I1012,Customers[#Data],5,FALSE)</f>
        <v>WholeSales</v>
      </c>
      <c r="M1012" s="7" t="s">
        <v>7</v>
      </c>
      <c r="N1012" s="7" t="s">
        <v>514</v>
      </c>
      <c r="O1012" s="14" t="str">
        <f>VLOOKUP(N1012,Stock[#Data],2,FALSE)</f>
        <v>ဇေယျဝတီ Red</v>
      </c>
      <c r="P1012" s="44">
        <f>VLOOKUP(N1012,Stock[#Data],3,FALSE)</f>
        <v>0.64</v>
      </c>
      <c r="Q1012" s="3">
        <f>VLOOKUP(N1012,Stock[#Data],4,FALSE)</f>
        <v>14</v>
      </c>
      <c r="R1012" s="11"/>
      <c r="S1012" s="45">
        <f>IFERROR(Table4[[#This Row],[Bottle]]/Table4[[#This Row],[ပါဝင်မှု]]+Table4[[#This Row],[SalesPK]],0)</f>
        <v>300</v>
      </c>
      <c r="T1012" s="12">
        <v>300</v>
      </c>
      <c r="U1012" s="10">
        <f>Table4[[#This Row],[ပါဝင်မှု]]*Table4[[#This Row],[SalesPK]]+Table4[[#This Row],[Bottle]]</f>
        <v>4200</v>
      </c>
      <c r="V1012" s="10">
        <f>Table4[[#This Row],[SalesBot]]*Table4[[#This Row],[ML]]</f>
        <v>2688</v>
      </c>
      <c r="W1012" s="1">
        <f>VLOOKUP(N1012,Stock[#Data],6,FALSE)</f>
        <v>1350</v>
      </c>
      <c r="X1012" s="8">
        <f>+Table4[[#This Row],[SalesBot]]*Table4[[#This Row],[နှုံး]]</f>
        <v>5670000</v>
      </c>
      <c r="Y1012" s="12"/>
      <c r="Z1012" s="12"/>
      <c r="AA1012" s="12"/>
      <c r="AB1012" s="9"/>
      <c r="AC1012" s="12"/>
      <c r="AD1012" s="9"/>
      <c r="AE1012" s="12"/>
      <c r="AF101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5670000</v>
      </c>
      <c r="AG1012" s="24"/>
      <c r="AH1012" s="266"/>
      <c r="AI1012" s="264"/>
      <c r="AJ1012" s="264"/>
      <c r="AK1012" s="270"/>
      <c r="AL1012" s="270"/>
      <c r="AM1012" s="271"/>
      <c r="AN1012" s="272"/>
      <c r="AO1012" s="273"/>
      <c r="AP1012" s="268"/>
      <c r="AQ1012" s="268"/>
      <c r="AR1012" s="268"/>
    </row>
    <row r="1013" spans="1:44" s="16" customFormat="1" hidden="1" x14ac:dyDescent="0.5">
      <c r="A1013" s="3">
        <f t="shared" si="186"/>
        <v>2026</v>
      </c>
      <c r="B1013" s="8">
        <f t="shared" si="187"/>
        <v>2</v>
      </c>
      <c r="C1013" s="6">
        <v>46081</v>
      </c>
      <c r="D1013" s="15">
        <f t="shared" ca="1" si="188"/>
        <v>46097</v>
      </c>
      <c r="E1013" s="15" t="str">
        <f t="shared" ca="1" si="189"/>
        <v>0-Months</v>
      </c>
      <c r="F1013" s="8" t="str">
        <f>VLOOKUP(N1013,Stock[#Data],5,FALSE)</f>
        <v>BE</v>
      </c>
      <c r="G1013" s="82" t="s">
        <v>1448</v>
      </c>
      <c r="H1013" s="15"/>
      <c r="I1013" s="7" t="s">
        <v>95</v>
      </c>
      <c r="J1013" s="8" t="str">
        <f>VLOOKUP(I1013,Customers[#Data],2,FALSE)</f>
        <v>ကျော်စတား</v>
      </c>
      <c r="K1013" s="15" t="str">
        <f>VLOOKUP(I1013,Customers[#Data],4,FALSE)</f>
        <v>Yay</v>
      </c>
      <c r="L1013" s="15" t="str">
        <f>VLOOKUP(I1013,Customers[#Data],5,FALSE)</f>
        <v>WholeSales</v>
      </c>
      <c r="M1013" s="7" t="s">
        <v>7</v>
      </c>
      <c r="N1013" s="7" t="s">
        <v>517</v>
      </c>
      <c r="O1013" s="14" t="str">
        <f>VLOOKUP(N1013,Stock[#Data],2,FALSE)</f>
        <v>ဇေယျဝတီ Red (1 Liter) 30%</v>
      </c>
      <c r="P1013" s="44">
        <f>VLOOKUP(N1013,Stock[#Data],3,FALSE)</f>
        <v>1</v>
      </c>
      <c r="Q1013" s="3">
        <f>VLOOKUP(N1013,Stock[#Data],4,FALSE)</f>
        <v>12</v>
      </c>
      <c r="R1013" s="11"/>
      <c r="S1013" s="45">
        <f>IFERROR(Table4[[#This Row],[Bottle]]/Table4[[#This Row],[ပါဝင်မှု]]+Table4[[#This Row],[SalesPK]],0)</f>
        <v>285</v>
      </c>
      <c r="T1013" s="12">
        <v>285</v>
      </c>
      <c r="U1013" s="10">
        <f>Table4[[#This Row],[ပါဝင်မှု]]*Table4[[#This Row],[SalesPK]]+Table4[[#This Row],[Bottle]]</f>
        <v>3420</v>
      </c>
      <c r="V1013" s="10">
        <f>Table4[[#This Row],[SalesBot]]*Table4[[#This Row],[ML]]</f>
        <v>3420</v>
      </c>
      <c r="W1013" s="1">
        <f>VLOOKUP(N1013,Stock[#Data],6,FALSE)</f>
        <v>1710</v>
      </c>
      <c r="X1013" s="8">
        <f>+Table4[[#This Row],[SalesBot]]*Table4[[#This Row],[နှုံး]]</f>
        <v>5848200</v>
      </c>
      <c r="Y1013" s="12"/>
      <c r="Z1013" s="12"/>
      <c r="AA1013" s="12"/>
      <c r="AB1013" s="9"/>
      <c r="AC1013" s="12"/>
      <c r="AD1013" s="9"/>
      <c r="AE1013" s="12"/>
      <c r="AF101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5848200</v>
      </c>
      <c r="AG1013" s="24"/>
      <c r="AH1013" s="266"/>
      <c r="AI1013" s="264"/>
      <c r="AJ1013" s="264"/>
      <c r="AK1013" s="270"/>
      <c r="AL1013" s="270"/>
      <c r="AM1013" s="271"/>
      <c r="AN1013" s="272"/>
      <c r="AO1013" s="273"/>
      <c r="AP1013" s="268"/>
      <c r="AQ1013" s="268"/>
      <c r="AR1013" s="268"/>
    </row>
    <row r="1014" spans="1:44" s="16" customFormat="1" hidden="1" x14ac:dyDescent="0.5">
      <c r="A1014" s="3">
        <f t="shared" si="186"/>
        <v>2026</v>
      </c>
      <c r="B1014" s="8">
        <f t="shared" si="187"/>
        <v>2</v>
      </c>
      <c r="C1014" s="6">
        <v>46081</v>
      </c>
      <c r="D1014" s="15">
        <f t="shared" ca="1" si="188"/>
        <v>46097</v>
      </c>
      <c r="E1014" s="15" t="str">
        <f t="shared" ca="1" si="189"/>
        <v>0-Months</v>
      </c>
      <c r="F1014" s="8" t="str">
        <f>VLOOKUP(N1014,Stock[#Data],5,FALSE)</f>
        <v>BE</v>
      </c>
      <c r="G1014" s="82" t="s">
        <v>1595</v>
      </c>
      <c r="H1014" s="15"/>
      <c r="I1014" s="7" t="s">
        <v>76</v>
      </c>
      <c r="J1014" s="8" t="str">
        <f>VLOOKUP(I1014,Customers[#Data],2,FALSE)</f>
        <v>Thailand</v>
      </c>
      <c r="K1014" s="15" t="str">
        <f>VLOOKUP(I1014,Customers[#Data],4,FALSE)</f>
        <v>Mudon</v>
      </c>
      <c r="L1014" s="15" t="str">
        <f>VLOOKUP(I1014,Customers[#Data],5,FALSE)</f>
        <v>SemiWholeSales</v>
      </c>
      <c r="M1014" s="7" t="s">
        <v>7</v>
      </c>
      <c r="N1014" s="7" t="s">
        <v>520</v>
      </c>
      <c r="O1014" s="14" t="str">
        <f>VLOOKUP(N1014,Stock[#Data],2,FALSE)</f>
        <v>ဇေယျဝတီ  Red(ပု)</v>
      </c>
      <c r="P1014" s="44">
        <f>VLOOKUP(N1014,Stock[#Data],3,FALSE)</f>
        <v>0.64</v>
      </c>
      <c r="Q1014" s="3">
        <f>VLOOKUP(N1014,Stock[#Data],4,FALSE)</f>
        <v>14</v>
      </c>
      <c r="R1014" s="11"/>
      <c r="S1014" s="45">
        <f>IFERROR(Table4[[#This Row],[Bottle]]/Table4[[#This Row],[ပါဝင်မှု]]+Table4[[#This Row],[SalesPK]],0)</f>
        <v>30</v>
      </c>
      <c r="T1014" s="12">
        <v>30</v>
      </c>
      <c r="U1014" s="10">
        <f>Table4[[#This Row],[ပါဝင်မှု]]*Table4[[#This Row],[SalesPK]]+Table4[[#This Row],[Bottle]]</f>
        <v>420</v>
      </c>
      <c r="V1014" s="10">
        <f>Table4[[#This Row],[SalesBot]]*Table4[[#This Row],[ML]]</f>
        <v>268.8</v>
      </c>
      <c r="W1014" s="1">
        <f>VLOOKUP(N1014,Stock[#Data],6,FALSE)</f>
        <v>1800</v>
      </c>
      <c r="X1014" s="8">
        <f>+Table4[[#This Row],[SalesBot]]*Table4[[#This Row],[နှုံး]]</f>
        <v>756000</v>
      </c>
      <c r="Y1014" s="12"/>
      <c r="Z1014" s="12"/>
      <c r="AA1014" s="12"/>
      <c r="AB1014" s="9"/>
      <c r="AC1014" s="12"/>
      <c r="AD1014" s="9"/>
      <c r="AE1014" s="12"/>
      <c r="AF101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756000</v>
      </c>
      <c r="AG1014" s="24"/>
      <c r="AH1014" s="266"/>
      <c r="AI1014" s="264"/>
      <c r="AJ1014" s="264"/>
      <c r="AK1014" s="270"/>
      <c r="AL1014" s="270"/>
      <c r="AM1014" s="271"/>
      <c r="AN1014" s="272"/>
      <c r="AO1014" s="273"/>
      <c r="AP1014" s="268"/>
      <c r="AQ1014" s="268"/>
      <c r="AR1014" s="268"/>
    </row>
    <row r="1015" spans="1:44" s="16" customFormat="1" hidden="1" x14ac:dyDescent="0.5">
      <c r="A1015" s="3">
        <f t="shared" si="186"/>
        <v>2026</v>
      </c>
      <c r="B1015" s="8">
        <f t="shared" si="187"/>
        <v>2</v>
      </c>
      <c r="C1015" s="6">
        <v>46081</v>
      </c>
      <c r="D1015" s="15">
        <f t="shared" ca="1" si="188"/>
        <v>46097</v>
      </c>
      <c r="E1015" s="15" t="str">
        <f t="shared" ca="1" si="189"/>
        <v>0-Months</v>
      </c>
      <c r="F1015" s="8" t="str">
        <f>VLOOKUP(N1015,Stock[#Data],5,FALSE)</f>
        <v>BE</v>
      </c>
      <c r="G1015" s="82" t="s">
        <v>1596</v>
      </c>
      <c r="H1015" s="15"/>
      <c r="I1015" s="7" t="s">
        <v>86</v>
      </c>
      <c r="J1015" s="8" t="str">
        <f>VLOOKUP(I1015,Customers[#Data],2,FALSE)</f>
        <v>ဒေါ်စိန်ယုံ</v>
      </c>
      <c r="K1015" s="15" t="str">
        <f>VLOOKUP(I1015,Customers[#Data],4,FALSE)</f>
        <v>Mudon</v>
      </c>
      <c r="L1015" s="15" t="str">
        <f>VLOOKUP(I1015,Customers[#Data],5,FALSE)</f>
        <v>Mini Whole Sales</v>
      </c>
      <c r="M1015" s="7" t="s">
        <v>7</v>
      </c>
      <c r="N1015" s="7" t="s">
        <v>520</v>
      </c>
      <c r="O1015" s="14" t="str">
        <f>VLOOKUP(N1015,Stock[#Data],2,FALSE)</f>
        <v>ဇေယျဝတီ  Red(ပု)</v>
      </c>
      <c r="P1015" s="44">
        <f>VLOOKUP(N1015,Stock[#Data],3,FALSE)</f>
        <v>0.64</v>
      </c>
      <c r="Q1015" s="3">
        <f>VLOOKUP(N1015,Stock[#Data],4,FALSE)</f>
        <v>14</v>
      </c>
      <c r="R1015" s="11"/>
      <c r="S1015" s="45">
        <f>IFERROR(Table4[[#This Row],[Bottle]]/Table4[[#This Row],[ပါဝင်မှု]]+Table4[[#This Row],[SalesPK]],0)</f>
        <v>30</v>
      </c>
      <c r="T1015" s="12">
        <v>30</v>
      </c>
      <c r="U1015" s="10">
        <f>Table4[[#This Row],[ပါဝင်မှု]]*Table4[[#This Row],[SalesPK]]+Table4[[#This Row],[Bottle]]</f>
        <v>420</v>
      </c>
      <c r="V1015" s="10">
        <f>Table4[[#This Row],[SalesBot]]*Table4[[#This Row],[ML]]</f>
        <v>268.8</v>
      </c>
      <c r="W1015" s="1">
        <f>VLOOKUP(N1015,Stock[#Data],6,FALSE)</f>
        <v>1800</v>
      </c>
      <c r="X1015" s="8">
        <f>+Table4[[#This Row],[SalesBot]]*Table4[[#This Row],[နှုံး]]</f>
        <v>756000</v>
      </c>
      <c r="Y1015" s="12"/>
      <c r="Z1015" s="12"/>
      <c r="AA1015" s="12"/>
      <c r="AB1015" s="9"/>
      <c r="AC1015" s="12"/>
      <c r="AD1015" s="9"/>
      <c r="AE1015" s="12"/>
      <c r="AF101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756000</v>
      </c>
      <c r="AG1015" s="24"/>
      <c r="AH1015" s="266"/>
      <c r="AI1015" s="264"/>
      <c r="AJ1015" s="264"/>
      <c r="AK1015" s="270"/>
      <c r="AL1015" s="270"/>
      <c r="AM1015" s="271"/>
      <c r="AN1015" s="272"/>
      <c r="AO1015" s="273"/>
      <c r="AP1015" s="268"/>
      <c r="AQ1015" s="268"/>
      <c r="AR1015" s="268"/>
    </row>
    <row r="1016" spans="1:44" s="16" customFormat="1" hidden="1" x14ac:dyDescent="0.5">
      <c r="A1016" s="3">
        <f t="shared" si="186"/>
        <v>2026</v>
      </c>
      <c r="B1016" s="8">
        <f t="shared" si="187"/>
        <v>2</v>
      </c>
      <c r="C1016" s="6">
        <v>46081</v>
      </c>
      <c r="D1016" s="15">
        <f t="shared" ca="1" si="188"/>
        <v>46097</v>
      </c>
      <c r="E1016" s="15" t="str">
        <f t="shared" ca="1" si="189"/>
        <v>0-Months</v>
      </c>
      <c r="F1016" s="8" t="str">
        <f>VLOOKUP(N1016,Stock[#Data],5,FALSE)</f>
        <v>BE</v>
      </c>
      <c r="G1016" s="82" t="s">
        <v>1452</v>
      </c>
      <c r="H1016" s="15"/>
      <c r="I1016" s="7" t="s">
        <v>95</v>
      </c>
      <c r="J1016" s="8" t="str">
        <f>VLOOKUP(I1016,Customers[#Data],2,FALSE)</f>
        <v>ကျော်စတား</v>
      </c>
      <c r="K1016" s="15" t="str">
        <f>VLOOKUP(I1016,Customers[#Data],4,FALSE)</f>
        <v>Yay</v>
      </c>
      <c r="L1016" s="15" t="str">
        <f>VLOOKUP(I1016,Customers[#Data],5,FALSE)</f>
        <v>WholeSales</v>
      </c>
      <c r="M1016" s="7" t="s">
        <v>7</v>
      </c>
      <c r="N1016" s="7" t="s">
        <v>514</v>
      </c>
      <c r="O1016" s="14" t="str">
        <f>VLOOKUP(N1016,Stock[#Data],2,FALSE)</f>
        <v>ဇေယျဝတီ Red</v>
      </c>
      <c r="P1016" s="44">
        <f>VLOOKUP(N1016,Stock[#Data],3,FALSE)</f>
        <v>0.64</v>
      </c>
      <c r="Q1016" s="3">
        <f>VLOOKUP(N1016,Stock[#Data],4,FALSE)</f>
        <v>14</v>
      </c>
      <c r="R1016" s="11"/>
      <c r="S1016" s="45">
        <f>IFERROR(Table4[[#This Row],[Bottle]]/Table4[[#This Row],[ပါဝင်မှု]]+Table4[[#This Row],[SalesPK]],0)</f>
        <v>100</v>
      </c>
      <c r="T1016" s="12">
        <v>100</v>
      </c>
      <c r="U1016" s="10">
        <f>Table4[[#This Row],[ပါဝင်မှု]]*Table4[[#This Row],[SalesPK]]+Table4[[#This Row],[Bottle]]</f>
        <v>1400</v>
      </c>
      <c r="V1016" s="10">
        <f>Table4[[#This Row],[SalesBot]]*Table4[[#This Row],[ML]]</f>
        <v>896</v>
      </c>
      <c r="W1016" s="1">
        <f>VLOOKUP(N1016,Stock[#Data],6,FALSE)</f>
        <v>1350</v>
      </c>
      <c r="X1016" s="8">
        <f>+Table4[[#This Row],[SalesBot]]*Table4[[#This Row],[နှုံး]]</f>
        <v>1890000</v>
      </c>
      <c r="Y1016" s="12"/>
      <c r="Z1016" s="12"/>
      <c r="AA1016" s="12"/>
      <c r="AB1016" s="9"/>
      <c r="AC1016" s="12"/>
      <c r="AD1016" s="9"/>
      <c r="AE1016" s="12"/>
      <c r="AF101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1016" s="24"/>
      <c r="AH1016" s="266"/>
      <c r="AI1016" s="264"/>
      <c r="AJ1016" s="264"/>
      <c r="AK1016" s="270"/>
      <c r="AL1016" s="270"/>
      <c r="AM1016" s="271"/>
      <c r="AN1016" s="272"/>
      <c r="AO1016" s="273"/>
      <c r="AP1016" s="268"/>
      <c r="AQ1016" s="268"/>
      <c r="AR1016" s="268"/>
    </row>
    <row r="1017" spans="1:44" s="16" customFormat="1" hidden="1" x14ac:dyDescent="0.5">
      <c r="A1017" s="3">
        <f t="shared" si="186"/>
        <v>2026</v>
      </c>
      <c r="B1017" s="8">
        <f t="shared" si="187"/>
        <v>2</v>
      </c>
      <c r="C1017" s="6">
        <v>46081</v>
      </c>
      <c r="D1017" s="15">
        <f t="shared" ca="1" si="188"/>
        <v>46097</v>
      </c>
      <c r="E1017" s="15" t="str">
        <f t="shared" ca="1" si="189"/>
        <v>0-Months</v>
      </c>
      <c r="F1017" s="8" t="str">
        <f>VLOOKUP(N1017,Stock[#Data],5,FALSE)</f>
        <v>BE</v>
      </c>
      <c r="G1017" s="82" t="s">
        <v>1452</v>
      </c>
      <c r="H1017" s="15"/>
      <c r="I1017" s="7" t="s">
        <v>95</v>
      </c>
      <c r="J1017" s="8" t="str">
        <f>VLOOKUP(I1017,Customers[#Data],2,FALSE)</f>
        <v>ကျော်စတား</v>
      </c>
      <c r="K1017" s="15" t="str">
        <f>VLOOKUP(I1017,Customers[#Data],4,FALSE)</f>
        <v>Yay</v>
      </c>
      <c r="L1017" s="15" t="str">
        <f>VLOOKUP(I1017,Customers[#Data],5,FALSE)</f>
        <v>WholeSales</v>
      </c>
      <c r="M1017" s="7" t="s">
        <v>7</v>
      </c>
      <c r="N1017" s="7" t="s">
        <v>517</v>
      </c>
      <c r="O1017" s="14" t="str">
        <f>VLOOKUP(N1017,Stock[#Data],2,FALSE)</f>
        <v>ဇေယျဝတီ Red (1 Liter) 30%</v>
      </c>
      <c r="P1017" s="44">
        <f>VLOOKUP(N1017,Stock[#Data],3,FALSE)</f>
        <v>1</v>
      </c>
      <c r="Q1017" s="3">
        <f>VLOOKUP(N1017,Stock[#Data],4,FALSE)</f>
        <v>12</v>
      </c>
      <c r="R1017" s="11"/>
      <c r="S1017" s="45">
        <f>IFERROR(Table4[[#This Row],[Bottle]]/Table4[[#This Row],[ပါဝင်မှု]]+Table4[[#This Row],[SalesPK]],0)</f>
        <v>100</v>
      </c>
      <c r="T1017" s="12">
        <v>100</v>
      </c>
      <c r="U1017" s="10">
        <f>Table4[[#This Row],[ပါဝင်မှု]]*Table4[[#This Row],[SalesPK]]+Table4[[#This Row],[Bottle]]</f>
        <v>1200</v>
      </c>
      <c r="V1017" s="10">
        <f>Table4[[#This Row],[SalesBot]]*Table4[[#This Row],[ML]]</f>
        <v>1200</v>
      </c>
      <c r="W1017" s="1">
        <f>VLOOKUP(N1017,Stock[#Data],6,FALSE)</f>
        <v>1710</v>
      </c>
      <c r="X1017" s="8">
        <f>+Table4[[#This Row],[SalesBot]]*Table4[[#This Row],[နှုံး]]</f>
        <v>2052000</v>
      </c>
      <c r="Y1017" s="12"/>
      <c r="Z1017" s="12"/>
      <c r="AA1017" s="12"/>
      <c r="AB1017" s="9"/>
      <c r="AC1017" s="12"/>
      <c r="AD1017" s="9"/>
      <c r="AE1017" s="12"/>
      <c r="AF101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017" s="24"/>
      <c r="AH1017" s="266"/>
      <c r="AI1017" s="264"/>
      <c r="AJ1017" s="264"/>
      <c r="AK1017" s="270"/>
      <c r="AL1017" s="270"/>
      <c r="AM1017" s="271"/>
      <c r="AN1017" s="272"/>
      <c r="AO1017" s="273"/>
      <c r="AP1017" s="268"/>
      <c r="AQ1017" s="268"/>
      <c r="AR1017" s="268"/>
    </row>
    <row r="1018" spans="1:44" s="16" customFormat="1" hidden="1" x14ac:dyDescent="0.5">
      <c r="A1018" s="3">
        <f t="shared" si="186"/>
        <v>2026</v>
      </c>
      <c r="B1018" s="8">
        <f t="shared" si="187"/>
        <v>2</v>
      </c>
      <c r="C1018" s="6">
        <v>46081</v>
      </c>
      <c r="D1018" s="15">
        <f t="shared" ca="1" si="188"/>
        <v>46097</v>
      </c>
      <c r="E1018" s="15" t="str">
        <f t="shared" ca="1" si="189"/>
        <v>0-Months</v>
      </c>
      <c r="F1018" s="8" t="str">
        <f>VLOOKUP(N1018,Stock[#Data],5,FALSE)</f>
        <v>BE</v>
      </c>
      <c r="G1018" s="82" t="s">
        <v>1597</v>
      </c>
      <c r="H1018" s="15"/>
      <c r="I1018" s="7" t="s">
        <v>538</v>
      </c>
      <c r="J1018" s="8" t="str">
        <f>VLOOKUP(I1018,Customers[#Data],2,FALSE)</f>
        <v>ဒေါ်နွယ်နွယ်ရီ(ရွှေတောင်ကြား)</v>
      </c>
      <c r="K1018" s="15" t="str">
        <f>VLOOKUP(I1018,Customers[#Data],4,FALSE)</f>
        <v>Yay</v>
      </c>
      <c r="L1018" s="15" t="str">
        <f>VLOOKUP(I1018,Customers[#Data],5,FALSE)</f>
        <v>WholeSales</v>
      </c>
      <c r="M1018" s="7" t="s">
        <v>7</v>
      </c>
      <c r="N1018" s="7" t="s">
        <v>514</v>
      </c>
      <c r="O1018" s="14" t="str">
        <f>VLOOKUP(N1018,Stock[#Data],2,FALSE)</f>
        <v>ဇေယျဝတီ Red</v>
      </c>
      <c r="P1018" s="44">
        <f>VLOOKUP(N1018,Stock[#Data],3,FALSE)</f>
        <v>0.64</v>
      </c>
      <c r="Q1018" s="3">
        <f>VLOOKUP(N1018,Stock[#Data],4,FALSE)</f>
        <v>14</v>
      </c>
      <c r="R1018" s="11"/>
      <c r="S1018" s="45">
        <f>IFERROR(Table4[[#This Row],[Bottle]]/Table4[[#This Row],[ပါဝင်မှု]]+Table4[[#This Row],[SalesPK]],0)</f>
        <v>400</v>
      </c>
      <c r="T1018" s="12">
        <v>400</v>
      </c>
      <c r="U1018" s="10">
        <f>Table4[[#This Row],[ပါဝင်မှု]]*Table4[[#This Row],[SalesPK]]+Table4[[#This Row],[Bottle]]</f>
        <v>5600</v>
      </c>
      <c r="V1018" s="10">
        <f>Table4[[#This Row],[SalesBot]]*Table4[[#This Row],[ML]]</f>
        <v>3584</v>
      </c>
      <c r="W1018" s="1">
        <f>VLOOKUP(N1018,Stock[#Data],6,FALSE)</f>
        <v>1350</v>
      </c>
      <c r="X1018" s="8">
        <f>+Table4[[#This Row],[SalesBot]]*Table4[[#This Row],[နှုံး]]</f>
        <v>7560000</v>
      </c>
      <c r="Y1018" s="12"/>
      <c r="Z1018" s="12"/>
      <c r="AA1018" s="12"/>
      <c r="AB1018" s="9"/>
      <c r="AC1018" s="12"/>
      <c r="AD1018" s="9"/>
      <c r="AE1018" s="12"/>
      <c r="AF101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7560000</v>
      </c>
      <c r="AG1018" s="24"/>
      <c r="AH1018" s="266"/>
      <c r="AI1018" s="264"/>
      <c r="AJ1018" s="264"/>
      <c r="AK1018" s="270"/>
      <c r="AL1018" s="270"/>
      <c r="AM1018" s="271"/>
      <c r="AN1018" s="272"/>
      <c r="AO1018" s="273"/>
      <c r="AP1018" s="268"/>
      <c r="AQ1018" s="268"/>
      <c r="AR1018" s="268"/>
    </row>
    <row r="1019" spans="1:44" s="16" customFormat="1" hidden="1" x14ac:dyDescent="0.5">
      <c r="A1019" s="3">
        <f t="shared" si="186"/>
        <v>2026</v>
      </c>
      <c r="B1019" s="8">
        <f t="shared" si="187"/>
        <v>2</v>
      </c>
      <c r="C1019" s="6">
        <v>46081</v>
      </c>
      <c r="D1019" s="15">
        <f t="shared" ca="1" si="188"/>
        <v>46097</v>
      </c>
      <c r="E1019" s="15" t="str">
        <f t="shared" ca="1" si="189"/>
        <v>0-Months</v>
      </c>
      <c r="F1019" s="8" t="str">
        <f>VLOOKUP(N1019,Stock[#Data],5,FALSE)</f>
        <v>BE</v>
      </c>
      <c r="G1019" s="82" t="s">
        <v>1598</v>
      </c>
      <c r="H1019" s="15"/>
      <c r="I1019" s="7" t="s">
        <v>538</v>
      </c>
      <c r="J1019" s="8" t="str">
        <f>VLOOKUP(I1019,Customers[#Data],2,FALSE)</f>
        <v>ဒေါ်နွယ်နွယ်ရီ(ရွှေတောင်ကြား)</v>
      </c>
      <c r="K1019" s="15" t="str">
        <f>VLOOKUP(I1019,Customers[#Data],4,FALSE)</f>
        <v>Yay</v>
      </c>
      <c r="L1019" s="15" t="str">
        <f>VLOOKUP(I1019,Customers[#Data],5,FALSE)</f>
        <v>WholeSales</v>
      </c>
      <c r="M1019" s="7" t="s">
        <v>7</v>
      </c>
      <c r="N1019" s="7" t="s">
        <v>517</v>
      </c>
      <c r="O1019" s="14" t="str">
        <f>VLOOKUP(N1019,Stock[#Data],2,FALSE)</f>
        <v>ဇေယျဝတီ Red (1 Liter) 30%</v>
      </c>
      <c r="P1019" s="44">
        <f>VLOOKUP(N1019,Stock[#Data],3,FALSE)</f>
        <v>1</v>
      </c>
      <c r="Q1019" s="3">
        <f>VLOOKUP(N1019,Stock[#Data],4,FALSE)</f>
        <v>12</v>
      </c>
      <c r="R1019" s="11"/>
      <c r="S1019" s="45">
        <f>IFERROR(Table4[[#This Row],[Bottle]]/Table4[[#This Row],[ပါဝင်မှု]]+Table4[[#This Row],[SalesPK]],0)</f>
        <v>100</v>
      </c>
      <c r="T1019" s="12">
        <v>100</v>
      </c>
      <c r="U1019" s="10">
        <f>Table4[[#This Row],[ပါဝင်မှု]]*Table4[[#This Row],[SalesPK]]+Table4[[#This Row],[Bottle]]</f>
        <v>1200</v>
      </c>
      <c r="V1019" s="10">
        <f>Table4[[#This Row],[SalesBot]]*Table4[[#This Row],[ML]]</f>
        <v>1200</v>
      </c>
      <c r="W1019" s="1">
        <f>VLOOKUP(N1019,Stock[#Data],6,FALSE)</f>
        <v>1710</v>
      </c>
      <c r="X1019" s="8">
        <f>+Table4[[#This Row],[SalesBot]]*Table4[[#This Row],[နှုံး]]</f>
        <v>2052000</v>
      </c>
      <c r="Y1019" s="12"/>
      <c r="Z1019" s="12"/>
      <c r="AA1019" s="12"/>
      <c r="AB1019" s="9"/>
      <c r="AC1019" s="12"/>
      <c r="AD1019" s="9"/>
      <c r="AE1019" s="12"/>
      <c r="AF101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019" s="24"/>
      <c r="AH1019" s="266"/>
      <c r="AI1019" s="264"/>
      <c r="AJ1019" s="264"/>
      <c r="AK1019" s="270"/>
      <c r="AL1019" s="270"/>
      <c r="AM1019" s="271"/>
      <c r="AN1019" s="272"/>
      <c r="AO1019" s="273"/>
      <c r="AP1019" s="268"/>
      <c r="AQ1019" s="268"/>
      <c r="AR1019" s="268"/>
    </row>
    <row r="1020" spans="1:44" s="16" customFormat="1" hidden="1" x14ac:dyDescent="0.5">
      <c r="A1020" s="3">
        <f t="shared" si="186"/>
        <v>2026</v>
      </c>
      <c r="B1020" s="8">
        <f t="shared" si="187"/>
        <v>2</v>
      </c>
      <c r="C1020" s="6">
        <v>46081</v>
      </c>
      <c r="D1020" s="15">
        <f t="shared" ca="1" si="188"/>
        <v>46097</v>
      </c>
      <c r="E1020" s="15" t="str">
        <f t="shared" ca="1" si="189"/>
        <v>0-Months</v>
      </c>
      <c r="F1020" s="8" t="str">
        <f>VLOOKUP(N1020,Stock[#Data],5,FALSE)</f>
        <v>BE</v>
      </c>
      <c r="G1020" s="82" t="s">
        <v>1599</v>
      </c>
      <c r="H1020" s="15"/>
      <c r="I1020" s="7" t="s">
        <v>296</v>
      </c>
      <c r="J1020" s="8" t="str">
        <f>VLOOKUP(I1020,Customers[#Data],2,FALSE)</f>
        <v>A1</v>
      </c>
      <c r="K1020" s="15" t="str">
        <f>VLOOKUP(I1020,Customers[#Data],4,FALSE)</f>
        <v>Maw La Myaing</v>
      </c>
      <c r="L1020" s="15" t="str">
        <f>VLOOKUP(I1020,Customers[#Data],5,FALSE)</f>
        <v>SemiWholeSales</v>
      </c>
      <c r="M1020" s="7" t="s">
        <v>6</v>
      </c>
      <c r="N1020" s="7" t="s">
        <v>516</v>
      </c>
      <c r="O1020" s="14" t="str">
        <f>VLOOKUP(N1020,Stock[#Data],2,FALSE)</f>
        <v>ဇေ Vodka</v>
      </c>
      <c r="P1020" s="44">
        <f>VLOOKUP(N1020,Stock[#Data],3,FALSE)</f>
        <v>0.64</v>
      </c>
      <c r="Q1020" s="3">
        <f>VLOOKUP(N1020,Stock[#Data],4,FALSE)</f>
        <v>14</v>
      </c>
      <c r="R1020" s="11"/>
      <c r="S1020" s="45">
        <f>IFERROR(Table4[[#This Row],[Bottle]]/Table4[[#This Row],[ပါဝင်မှု]]+Table4[[#This Row],[SalesPK]],0)</f>
        <v>5</v>
      </c>
      <c r="T1020" s="12">
        <v>5</v>
      </c>
      <c r="U1020" s="10">
        <f>Table4[[#This Row],[ပါဝင်မှု]]*Table4[[#This Row],[SalesPK]]+Table4[[#This Row],[Bottle]]</f>
        <v>70</v>
      </c>
      <c r="V1020" s="10">
        <f>Table4[[#This Row],[SalesBot]]*Table4[[#This Row],[ML]]</f>
        <v>44.800000000000004</v>
      </c>
      <c r="W1020" s="1">
        <f>VLOOKUP(N1020,Stock[#Data],6,FALSE)</f>
        <v>1400</v>
      </c>
      <c r="X1020" s="8">
        <f>+Table4[[#This Row],[SalesBot]]*Table4[[#This Row],[နှုံး]]</f>
        <v>98000</v>
      </c>
      <c r="Y1020" s="12"/>
      <c r="Z1020" s="12"/>
      <c r="AA1020" s="12"/>
      <c r="AB1020" s="9"/>
      <c r="AC1020" s="12"/>
      <c r="AD1020" s="9"/>
      <c r="AE1020" s="12"/>
      <c r="AF102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</v>
      </c>
      <c r="AG1020" s="24"/>
      <c r="AH1020" s="266"/>
      <c r="AI1020" s="264"/>
      <c r="AJ1020" s="264"/>
      <c r="AK1020" s="270"/>
      <c r="AL1020" s="270"/>
      <c r="AM1020" s="271"/>
      <c r="AN1020" s="272"/>
      <c r="AO1020" s="273"/>
      <c r="AP1020" s="268"/>
      <c r="AQ1020" s="268"/>
      <c r="AR1020" s="268"/>
    </row>
    <row r="1021" spans="1:44" s="16" customFormat="1" hidden="1" x14ac:dyDescent="0.5">
      <c r="A1021" s="3">
        <f t="shared" si="186"/>
        <v>2026</v>
      </c>
      <c r="B1021" s="8">
        <f t="shared" si="187"/>
        <v>2</v>
      </c>
      <c r="C1021" s="6">
        <v>46081</v>
      </c>
      <c r="D1021" s="15">
        <f t="shared" ca="1" si="188"/>
        <v>46097</v>
      </c>
      <c r="E1021" s="15" t="str">
        <f t="shared" ca="1" si="189"/>
        <v>0-Months</v>
      </c>
      <c r="F1021" s="8" t="str">
        <f>VLOOKUP(N1021,Stock[#Data],5,FALSE)</f>
        <v>BE</v>
      </c>
      <c r="G1021" s="82" t="s">
        <v>1599</v>
      </c>
      <c r="H1021" s="15"/>
      <c r="I1021" s="7" t="s">
        <v>296</v>
      </c>
      <c r="J1021" s="8" t="str">
        <f>VLOOKUP(I1021,Customers[#Data],2,FALSE)</f>
        <v>A1</v>
      </c>
      <c r="K1021" s="15" t="str">
        <f>VLOOKUP(I1021,Customers[#Data],4,FALSE)</f>
        <v>Maw La Myaing</v>
      </c>
      <c r="L1021" s="15" t="str">
        <f>VLOOKUP(I1021,Customers[#Data],5,FALSE)</f>
        <v>SemiWholeSales</v>
      </c>
      <c r="M1021" s="7" t="s">
        <v>6</v>
      </c>
      <c r="N1021" s="7" t="s">
        <v>518</v>
      </c>
      <c r="O1021" s="14" t="str">
        <f>VLOOKUP(N1021,Stock[#Data],2,FALSE)</f>
        <v>"ဇေ" ကော်ဘူး (1 Liter)</v>
      </c>
      <c r="P1021" s="44">
        <f>VLOOKUP(N1021,Stock[#Data],3,FALSE)</f>
        <v>1</v>
      </c>
      <c r="Q1021" s="3">
        <f>VLOOKUP(N1021,Stock[#Data],4,FALSE)</f>
        <v>12</v>
      </c>
      <c r="R1021" s="11"/>
      <c r="S1021" s="45">
        <f>IFERROR(Table4[[#This Row],[Bottle]]/Table4[[#This Row],[ပါဝင်မှု]]+Table4[[#This Row],[SalesPK]],0)</f>
        <v>15</v>
      </c>
      <c r="T1021" s="12">
        <v>15</v>
      </c>
      <c r="U1021" s="10">
        <f>Table4[[#This Row],[ပါဝင်မှု]]*Table4[[#This Row],[SalesPK]]+Table4[[#This Row],[Bottle]]</f>
        <v>180</v>
      </c>
      <c r="V1021" s="10">
        <f>Table4[[#This Row],[SalesBot]]*Table4[[#This Row],[ML]]</f>
        <v>180</v>
      </c>
      <c r="W1021" s="1">
        <f>VLOOKUP(N1021,Stock[#Data],6,FALSE)</f>
        <v>1675</v>
      </c>
      <c r="X1021" s="8">
        <f>+Table4[[#This Row],[SalesBot]]*Table4[[#This Row],[နှုံး]]</f>
        <v>301500</v>
      </c>
      <c r="Y1021" s="12"/>
      <c r="Z1021" s="12"/>
      <c r="AA1021" s="12"/>
      <c r="AB1021" s="9"/>
      <c r="AC1021" s="12"/>
      <c r="AD1021" s="9"/>
      <c r="AE1021" s="12"/>
      <c r="AF102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301500</v>
      </c>
      <c r="AG1021" s="24"/>
      <c r="AH1021" s="266"/>
      <c r="AI1021" s="264"/>
      <c r="AJ1021" s="264"/>
      <c r="AK1021" s="270"/>
      <c r="AL1021" s="270"/>
      <c r="AM1021" s="271"/>
      <c r="AN1021" s="272"/>
      <c r="AO1021" s="273"/>
      <c r="AP1021" s="268"/>
      <c r="AQ1021" s="268"/>
      <c r="AR1021" s="268"/>
    </row>
    <row r="1022" spans="1:44" s="16" customFormat="1" hidden="1" x14ac:dyDescent="0.5">
      <c r="A1022" s="3">
        <f t="shared" si="186"/>
        <v>2026</v>
      </c>
      <c r="B1022" s="8">
        <f t="shared" si="187"/>
        <v>2</v>
      </c>
      <c r="C1022" s="6">
        <v>46081</v>
      </c>
      <c r="D1022" s="15">
        <f t="shared" ca="1" si="188"/>
        <v>46097</v>
      </c>
      <c r="E1022" s="15" t="str">
        <f t="shared" ca="1" si="189"/>
        <v>0-Months</v>
      </c>
      <c r="F1022" s="8" t="str">
        <f>VLOOKUP(N1022,Stock[#Data],5,FALSE)</f>
        <v>BE</v>
      </c>
      <c r="G1022" s="82" t="s">
        <v>1600</v>
      </c>
      <c r="H1022" s="15"/>
      <c r="I1022" s="7" t="s">
        <v>586</v>
      </c>
      <c r="J1022" s="8" t="str">
        <f>VLOOKUP(I1022,Customers[#Data],2,FALSE)</f>
        <v>ကိုကြီး</v>
      </c>
      <c r="K1022" s="15" t="str">
        <f>VLOOKUP(I1022,Customers[#Data],4,FALSE)</f>
        <v>Maw La Myaing</v>
      </c>
      <c r="L1022" s="15" t="str">
        <f>VLOOKUP(I1022,Customers[#Data],5,FALSE)</f>
        <v>Van Sales</v>
      </c>
      <c r="M1022" s="7" t="s">
        <v>6</v>
      </c>
      <c r="N1022" s="7" t="s">
        <v>516</v>
      </c>
      <c r="O1022" s="14" t="str">
        <f>VLOOKUP(N1022,Stock[#Data],2,FALSE)</f>
        <v>ဇေ Vodka</v>
      </c>
      <c r="P1022" s="44">
        <f>VLOOKUP(N1022,Stock[#Data],3,FALSE)</f>
        <v>0.64</v>
      </c>
      <c r="Q1022" s="3">
        <f>VLOOKUP(N1022,Stock[#Data],4,FALSE)</f>
        <v>14</v>
      </c>
      <c r="R1022" s="11"/>
      <c r="S1022" s="45">
        <f>IFERROR(Table4[[#This Row],[Bottle]]/Table4[[#This Row],[ပါဝင်မှု]]+Table4[[#This Row],[SalesPK]],0)</f>
        <v>25</v>
      </c>
      <c r="T1022" s="12">
        <v>25</v>
      </c>
      <c r="U1022" s="10">
        <f>Table4[[#This Row],[ပါဝင်မှု]]*Table4[[#This Row],[SalesPK]]+Table4[[#This Row],[Bottle]]</f>
        <v>350</v>
      </c>
      <c r="V1022" s="10">
        <f>Table4[[#This Row],[SalesBot]]*Table4[[#This Row],[ML]]</f>
        <v>224</v>
      </c>
      <c r="W1022" s="1">
        <f>VLOOKUP(N1022,Stock[#Data],6,FALSE)</f>
        <v>1400</v>
      </c>
      <c r="X1022" s="8">
        <f>+Table4[[#This Row],[SalesBot]]*Table4[[#This Row],[နှုံး]]</f>
        <v>490000</v>
      </c>
      <c r="Y1022" s="12"/>
      <c r="Z1022" s="12"/>
      <c r="AA1022" s="12"/>
      <c r="AB1022" s="9"/>
      <c r="AC1022" s="12"/>
      <c r="AD1022" s="9"/>
      <c r="AE1022" s="12"/>
      <c r="AF102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490000</v>
      </c>
      <c r="AG1022" s="24"/>
      <c r="AH1022" s="266"/>
      <c r="AI1022" s="264"/>
      <c r="AJ1022" s="264"/>
      <c r="AK1022" s="270"/>
      <c r="AL1022" s="270"/>
      <c r="AM1022" s="271"/>
      <c r="AN1022" s="272"/>
      <c r="AO1022" s="273"/>
      <c r="AP1022" s="268"/>
      <c r="AQ1022" s="268"/>
      <c r="AR1022" s="268"/>
    </row>
    <row r="1023" spans="1:44" s="16" customFormat="1" hidden="1" x14ac:dyDescent="0.5">
      <c r="A1023" s="3">
        <f t="shared" si="186"/>
        <v>2026</v>
      </c>
      <c r="B1023" s="8">
        <f t="shared" si="187"/>
        <v>2</v>
      </c>
      <c r="C1023" s="6">
        <v>46081</v>
      </c>
      <c r="D1023" s="15">
        <f t="shared" ca="1" si="188"/>
        <v>46097</v>
      </c>
      <c r="E1023" s="15" t="str">
        <f t="shared" ca="1" si="189"/>
        <v>0-Months</v>
      </c>
      <c r="F1023" s="8" t="str">
        <f>VLOOKUP(N1023,Stock[#Data],5,FALSE)</f>
        <v>BE</v>
      </c>
      <c r="G1023" s="82" t="s">
        <v>1601</v>
      </c>
      <c r="H1023" s="15"/>
      <c r="I1023" s="7" t="s">
        <v>107</v>
      </c>
      <c r="J1023" s="8" t="str">
        <f>VLOOKUP(I1023,Customers[#Data],2,FALSE)</f>
        <v>မင်းမင်းထွန်း</v>
      </c>
      <c r="K1023" s="15" t="str">
        <f>VLOOKUP(I1023,Customers[#Data],4,FALSE)</f>
        <v>Paung</v>
      </c>
      <c r="L1023" s="15" t="str">
        <f>VLOOKUP(I1023,Customers[#Data],5,FALSE)</f>
        <v>Van Sales</v>
      </c>
      <c r="M1023" s="7" t="s">
        <v>6</v>
      </c>
      <c r="N1023" s="7" t="s">
        <v>516</v>
      </c>
      <c r="O1023" s="14" t="str">
        <f>VLOOKUP(N1023,Stock[#Data],2,FALSE)</f>
        <v>ဇေ Vodka</v>
      </c>
      <c r="P1023" s="44">
        <f>VLOOKUP(N1023,Stock[#Data],3,FALSE)</f>
        <v>0.64</v>
      </c>
      <c r="Q1023" s="3">
        <f>VLOOKUP(N1023,Stock[#Data],4,FALSE)</f>
        <v>14</v>
      </c>
      <c r="R1023" s="11"/>
      <c r="S1023" s="45">
        <f>IFERROR(Table4[[#This Row],[Bottle]]/Table4[[#This Row],[ပါဝင်မှု]]+Table4[[#This Row],[SalesPK]],0)</f>
        <v>10</v>
      </c>
      <c r="T1023" s="12">
        <v>10</v>
      </c>
      <c r="U1023" s="10">
        <f>Table4[[#This Row],[ပါဝင်မှု]]*Table4[[#This Row],[SalesPK]]+Table4[[#This Row],[Bottle]]</f>
        <v>140</v>
      </c>
      <c r="V1023" s="10">
        <f>Table4[[#This Row],[SalesBot]]*Table4[[#This Row],[ML]]</f>
        <v>89.600000000000009</v>
      </c>
      <c r="W1023" s="1">
        <f>VLOOKUP(N1023,Stock[#Data],6,FALSE)</f>
        <v>1400</v>
      </c>
      <c r="X1023" s="8">
        <f>+Table4[[#This Row],[SalesBot]]*Table4[[#This Row],[နှုံး]]</f>
        <v>196000</v>
      </c>
      <c r="Y1023" s="12"/>
      <c r="Z1023" s="12"/>
      <c r="AA1023" s="12"/>
      <c r="AB1023" s="9"/>
      <c r="AC1023" s="12"/>
      <c r="AD1023" s="9"/>
      <c r="AE1023" s="12"/>
      <c r="AF102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1023" s="24"/>
      <c r="AH1023" s="266"/>
      <c r="AI1023" s="264"/>
      <c r="AJ1023" s="264"/>
      <c r="AK1023" s="270"/>
      <c r="AL1023" s="270"/>
      <c r="AM1023" s="271"/>
      <c r="AN1023" s="272"/>
      <c r="AO1023" s="273"/>
      <c r="AP1023" s="268"/>
      <c r="AQ1023" s="268"/>
      <c r="AR1023" s="268"/>
    </row>
    <row r="1024" spans="1:44" s="16" customFormat="1" hidden="1" x14ac:dyDescent="0.5">
      <c r="A1024" s="3">
        <f t="shared" si="186"/>
        <v>2026</v>
      </c>
      <c r="B1024" s="8">
        <f t="shared" si="187"/>
        <v>2</v>
      </c>
      <c r="C1024" s="6">
        <v>46081</v>
      </c>
      <c r="D1024" s="15">
        <f t="shared" ca="1" si="188"/>
        <v>46097</v>
      </c>
      <c r="E1024" s="15" t="str">
        <f t="shared" ca="1" si="189"/>
        <v>0-Months</v>
      </c>
      <c r="F1024" s="8" t="str">
        <f>VLOOKUP(N1024,Stock[#Data],5,FALSE)</f>
        <v>BE</v>
      </c>
      <c r="G1024" s="82" t="s">
        <v>1601</v>
      </c>
      <c r="H1024" s="15"/>
      <c r="I1024" s="7" t="s">
        <v>107</v>
      </c>
      <c r="J1024" s="8" t="str">
        <f>VLOOKUP(I1024,Customers[#Data],2,FALSE)</f>
        <v>မင်းမင်းထွန်း</v>
      </c>
      <c r="K1024" s="15" t="str">
        <f>VLOOKUP(I1024,Customers[#Data],4,FALSE)</f>
        <v>Paung</v>
      </c>
      <c r="L1024" s="15" t="str">
        <f>VLOOKUP(I1024,Customers[#Data],5,FALSE)</f>
        <v>Van Sales</v>
      </c>
      <c r="M1024" s="7" t="s">
        <v>6</v>
      </c>
      <c r="N1024" s="7" t="s">
        <v>520</v>
      </c>
      <c r="O1024" s="14" t="str">
        <f>VLOOKUP(N1024,Stock[#Data],2,FALSE)</f>
        <v>ဇေယျဝတီ  Red(ပု)</v>
      </c>
      <c r="P1024" s="44">
        <f>VLOOKUP(N1024,Stock[#Data],3,FALSE)</f>
        <v>0.64</v>
      </c>
      <c r="Q1024" s="3">
        <f>VLOOKUP(N1024,Stock[#Data],4,FALSE)</f>
        <v>14</v>
      </c>
      <c r="R1024" s="11"/>
      <c r="S1024" s="45">
        <f>IFERROR(Table4[[#This Row],[Bottle]]/Table4[[#This Row],[ပါဝင်မှု]]+Table4[[#This Row],[SalesPK]],0)</f>
        <v>10</v>
      </c>
      <c r="T1024" s="12">
        <v>10</v>
      </c>
      <c r="U1024" s="10">
        <f>Table4[[#This Row],[ပါဝင်မှု]]*Table4[[#This Row],[SalesPK]]+Table4[[#This Row],[Bottle]]</f>
        <v>140</v>
      </c>
      <c r="V1024" s="10">
        <f>Table4[[#This Row],[SalesBot]]*Table4[[#This Row],[ML]]</f>
        <v>89.600000000000009</v>
      </c>
      <c r="W1024" s="1">
        <f>VLOOKUP(N1024,Stock[#Data],6,FALSE)</f>
        <v>1800</v>
      </c>
      <c r="X1024" s="8">
        <f>+Table4[[#This Row],[SalesBot]]*Table4[[#This Row],[နှုံး]]</f>
        <v>252000</v>
      </c>
      <c r="Y1024" s="12"/>
      <c r="Z1024" s="12"/>
      <c r="AA1024" s="12"/>
      <c r="AB1024" s="9"/>
      <c r="AC1024" s="12"/>
      <c r="AD1024" s="9"/>
      <c r="AE1024" s="12"/>
      <c r="AF102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252000</v>
      </c>
      <c r="AG1024" s="24"/>
      <c r="AH1024" s="266"/>
      <c r="AI1024" s="264"/>
      <c r="AJ1024" s="264"/>
      <c r="AK1024" s="270"/>
      <c r="AL1024" s="270"/>
      <c r="AM1024" s="271"/>
      <c r="AN1024" s="272"/>
      <c r="AO1024" s="273"/>
      <c r="AP1024" s="268"/>
      <c r="AQ1024" s="268"/>
      <c r="AR1024" s="268"/>
    </row>
    <row r="1025" spans="1:44" s="16" customFormat="1" hidden="1" x14ac:dyDescent="0.5">
      <c r="A1025" s="3">
        <f t="shared" si="186"/>
        <v>2026</v>
      </c>
      <c r="B1025" s="8">
        <f t="shared" si="187"/>
        <v>2</v>
      </c>
      <c r="C1025" s="6">
        <v>46081</v>
      </c>
      <c r="D1025" s="15">
        <f t="shared" ca="1" si="188"/>
        <v>46097</v>
      </c>
      <c r="E1025" s="15" t="str">
        <f t="shared" ca="1" si="189"/>
        <v>0-Months</v>
      </c>
      <c r="F1025" s="8" t="str">
        <f>VLOOKUP(N1025,Stock[#Data],5,FALSE)</f>
        <v>BE</v>
      </c>
      <c r="G1025" s="82" t="s">
        <v>1601</v>
      </c>
      <c r="H1025" s="15"/>
      <c r="I1025" s="7" t="s">
        <v>107</v>
      </c>
      <c r="J1025" s="8" t="str">
        <f>VLOOKUP(I1025,Customers[#Data],2,FALSE)</f>
        <v>မင်းမင်းထွန်း</v>
      </c>
      <c r="K1025" s="15" t="str">
        <f>VLOOKUP(I1025,Customers[#Data],4,FALSE)</f>
        <v>Paung</v>
      </c>
      <c r="L1025" s="15" t="str">
        <f>VLOOKUP(I1025,Customers[#Data],5,FALSE)</f>
        <v>Van Sales</v>
      </c>
      <c r="M1025" s="7" t="s">
        <v>6</v>
      </c>
      <c r="N1025" s="7" t="s">
        <v>526</v>
      </c>
      <c r="O1025" s="14" t="str">
        <f>VLOOKUP(N1025,Stock[#Data],2,FALSE)</f>
        <v>ဒဂုံနာနတ်ဝိုင်</v>
      </c>
      <c r="P1025" s="44">
        <f>VLOOKUP(N1025,Stock[#Data],3,FALSE)</f>
        <v>0.64</v>
      </c>
      <c r="Q1025" s="3">
        <f>VLOOKUP(N1025,Stock[#Data],4,FALSE)</f>
        <v>14</v>
      </c>
      <c r="R1025" s="11"/>
      <c r="S1025" s="45">
        <f>IFERROR(Table4[[#This Row],[Bottle]]/Table4[[#This Row],[ပါဝင်မှု]]+Table4[[#This Row],[SalesPK]],0)</f>
        <v>5</v>
      </c>
      <c r="T1025" s="12">
        <v>5</v>
      </c>
      <c r="U1025" s="10">
        <f>Table4[[#This Row],[ပါဝင်မှု]]*Table4[[#This Row],[SalesPK]]+Table4[[#This Row],[Bottle]]</f>
        <v>70</v>
      </c>
      <c r="V1025" s="10">
        <f>Table4[[#This Row],[SalesBot]]*Table4[[#This Row],[ML]]</f>
        <v>44.800000000000004</v>
      </c>
      <c r="W1025" s="1">
        <f>VLOOKUP(N1025,Stock[#Data],6,FALSE)</f>
        <v>1350</v>
      </c>
      <c r="X1025" s="8">
        <f>+Table4[[#This Row],[SalesBot]]*Table4[[#This Row],[နှုံး]]</f>
        <v>94500</v>
      </c>
      <c r="Y1025" s="12"/>
      <c r="Z1025" s="12"/>
      <c r="AA1025" s="12"/>
      <c r="AB1025" s="9"/>
      <c r="AC1025" s="12"/>
      <c r="AD1025" s="9"/>
      <c r="AE1025" s="12"/>
      <c r="AF102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</v>
      </c>
      <c r="AG1025" s="24"/>
      <c r="AH1025" s="266"/>
      <c r="AI1025" s="264"/>
      <c r="AJ1025" s="264"/>
      <c r="AK1025" s="270"/>
      <c r="AL1025" s="270"/>
      <c r="AM1025" s="271"/>
      <c r="AN1025" s="272"/>
      <c r="AO1025" s="273"/>
      <c r="AP1025" s="268"/>
      <c r="AQ1025" s="268"/>
      <c r="AR1025" s="268"/>
    </row>
    <row r="1026" spans="1:44" s="16" customFormat="1" hidden="1" x14ac:dyDescent="0.5">
      <c r="A1026" s="3">
        <f t="shared" si="186"/>
        <v>2026</v>
      </c>
      <c r="B1026" s="8">
        <f t="shared" si="187"/>
        <v>2</v>
      </c>
      <c r="C1026" s="6">
        <v>46081</v>
      </c>
      <c r="D1026" s="15">
        <f t="shared" ca="1" si="188"/>
        <v>46097</v>
      </c>
      <c r="E1026" s="15" t="str">
        <f t="shared" ca="1" si="189"/>
        <v>0-Months</v>
      </c>
      <c r="F1026" s="8" t="str">
        <f>VLOOKUP(N1026,Stock[#Data],5,FALSE)</f>
        <v>BE</v>
      </c>
      <c r="G1026" s="82" t="s">
        <v>1602</v>
      </c>
      <c r="H1026" s="15"/>
      <c r="I1026" s="7" t="s">
        <v>82</v>
      </c>
      <c r="J1026" s="8" t="str">
        <f>VLOOKUP(I1026,Customers[#Data],2,FALSE)</f>
        <v>ဒေါ်ထွန်းမေ</v>
      </c>
      <c r="K1026" s="15" t="str">
        <f>VLOOKUP(I1026,Customers[#Data],4,FALSE)</f>
        <v>Maw La Myaing</v>
      </c>
      <c r="L1026" s="15" t="str">
        <f>VLOOKUP(I1026,Customers[#Data],5,FALSE)</f>
        <v>WholeSales</v>
      </c>
      <c r="M1026" s="7" t="s">
        <v>6</v>
      </c>
      <c r="N1026" s="7" t="s">
        <v>514</v>
      </c>
      <c r="O1026" s="14" t="str">
        <f>VLOOKUP(N1026,Stock[#Data],2,FALSE)</f>
        <v>ဇေယျဝတီ Red</v>
      </c>
      <c r="P1026" s="44">
        <f>VLOOKUP(N1026,Stock[#Data],3,FALSE)</f>
        <v>0.64</v>
      </c>
      <c r="Q1026" s="3">
        <f>VLOOKUP(N1026,Stock[#Data],4,FALSE)</f>
        <v>14</v>
      </c>
      <c r="R1026" s="11"/>
      <c r="S1026" s="45">
        <f>IFERROR(Table4[[#This Row],[Bottle]]/Table4[[#This Row],[ပါဝင်မှု]]+Table4[[#This Row],[SalesPK]],0)</f>
        <v>50</v>
      </c>
      <c r="T1026" s="12">
        <v>50</v>
      </c>
      <c r="U1026" s="10">
        <f>Table4[[#This Row],[ပါဝင်မှု]]*Table4[[#This Row],[SalesPK]]+Table4[[#This Row],[Bottle]]</f>
        <v>700</v>
      </c>
      <c r="V1026" s="10">
        <f>Table4[[#This Row],[SalesBot]]*Table4[[#This Row],[ML]]</f>
        <v>448</v>
      </c>
      <c r="W1026" s="1">
        <f>VLOOKUP(N1026,Stock[#Data],6,FALSE)</f>
        <v>1350</v>
      </c>
      <c r="X1026" s="8">
        <f>+Table4[[#This Row],[SalesBot]]*Table4[[#This Row],[နှုံး]]</f>
        <v>945000</v>
      </c>
      <c r="Y1026" s="12"/>
      <c r="Z1026" s="12"/>
      <c r="AA1026" s="12"/>
      <c r="AB1026" s="9"/>
      <c r="AC1026" s="12"/>
      <c r="AD1026" s="9"/>
      <c r="AE1026" s="12"/>
      <c r="AF102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1026" s="24"/>
      <c r="AH1026" s="266"/>
      <c r="AI1026" s="264"/>
      <c r="AJ1026" s="264"/>
      <c r="AK1026" s="270"/>
      <c r="AL1026" s="270"/>
      <c r="AM1026" s="271"/>
      <c r="AN1026" s="272"/>
      <c r="AO1026" s="273"/>
      <c r="AP1026" s="268"/>
      <c r="AQ1026" s="268"/>
      <c r="AR1026" s="268"/>
    </row>
    <row r="1027" spans="1:44" s="16" customFormat="1" hidden="1" x14ac:dyDescent="0.5">
      <c r="A1027" s="3">
        <f t="shared" si="186"/>
        <v>2026</v>
      </c>
      <c r="B1027" s="8">
        <f t="shared" si="187"/>
        <v>2</v>
      </c>
      <c r="C1027" s="6">
        <v>46081</v>
      </c>
      <c r="D1027" s="15">
        <f t="shared" ca="1" si="188"/>
        <v>46097</v>
      </c>
      <c r="E1027" s="15" t="str">
        <f t="shared" ca="1" si="189"/>
        <v>0-Months</v>
      </c>
      <c r="F1027" s="8" t="str">
        <f>VLOOKUP(N1027,Stock[#Data],5,FALSE)</f>
        <v>BE</v>
      </c>
      <c r="G1027" s="82" t="s">
        <v>1602</v>
      </c>
      <c r="H1027" s="15"/>
      <c r="I1027" s="7" t="s">
        <v>82</v>
      </c>
      <c r="J1027" s="8" t="str">
        <f>VLOOKUP(I1027,Customers[#Data],2,FALSE)</f>
        <v>ဒေါ်ထွန်းမေ</v>
      </c>
      <c r="K1027" s="15" t="str">
        <f>VLOOKUP(I1027,Customers[#Data],4,FALSE)</f>
        <v>Maw La Myaing</v>
      </c>
      <c r="L1027" s="15" t="str">
        <f>VLOOKUP(I1027,Customers[#Data],5,FALSE)</f>
        <v>WholeSales</v>
      </c>
      <c r="M1027" s="7" t="s">
        <v>6</v>
      </c>
      <c r="N1027" s="7" t="s">
        <v>1140</v>
      </c>
      <c r="O1027" s="14" t="str">
        <f>VLOOKUP(N1027,Stock[#Data],2,FALSE)</f>
        <v>ဒဂုံအရက်သန့်</v>
      </c>
      <c r="P1027" s="44">
        <f>VLOOKUP(N1027,Stock[#Data],3,FALSE)</f>
        <v>1</v>
      </c>
      <c r="Q1027" s="3">
        <f>VLOOKUP(N1027,Stock[#Data],4,FALSE)</f>
        <v>12</v>
      </c>
      <c r="R1027" s="11"/>
      <c r="S1027" s="45">
        <f>IFERROR(Table4[[#This Row],[Bottle]]/Table4[[#This Row],[ပါဝင်မှု]]+Table4[[#This Row],[SalesPK]],0)</f>
        <v>50</v>
      </c>
      <c r="T1027" s="12">
        <v>50</v>
      </c>
      <c r="U1027" s="10">
        <f>Table4[[#This Row],[ပါဝင်မှု]]*Table4[[#This Row],[SalesPK]]+Table4[[#This Row],[Bottle]]</f>
        <v>600</v>
      </c>
      <c r="V1027" s="10">
        <f>Table4[[#This Row],[SalesBot]]*Table4[[#This Row],[ML]]</f>
        <v>600</v>
      </c>
      <c r="W1027" s="1">
        <f>VLOOKUP(N1027,Stock[#Data],6,FALSE)</f>
        <v>1675</v>
      </c>
      <c r="X1027" s="8">
        <f>+Table4[[#This Row],[SalesBot]]*Table4[[#This Row],[နှုံး]]</f>
        <v>1005000</v>
      </c>
      <c r="Y1027" s="12"/>
      <c r="Z1027" s="12"/>
      <c r="AA1027" s="12"/>
      <c r="AB1027" s="9"/>
      <c r="AC1027" s="12"/>
      <c r="AD1027" s="9"/>
      <c r="AE1027" s="12"/>
      <c r="AF102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1005000</v>
      </c>
      <c r="AG1027" s="24"/>
      <c r="AH1027" s="266"/>
      <c r="AI1027" s="264"/>
      <c r="AJ1027" s="264"/>
      <c r="AK1027" s="270"/>
      <c r="AL1027" s="270"/>
      <c r="AM1027" s="271"/>
      <c r="AN1027" s="272"/>
      <c r="AO1027" s="273"/>
      <c r="AP1027" s="268"/>
      <c r="AQ1027" s="268"/>
      <c r="AR1027" s="268"/>
    </row>
    <row r="1028" spans="1:44" s="16" customFormat="1" hidden="1" x14ac:dyDescent="0.5">
      <c r="A1028" s="3">
        <f t="shared" si="186"/>
        <v>2026</v>
      </c>
      <c r="B1028" s="8">
        <f t="shared" si="187"/>
        <v>2</v>
      </c>
      <c r="C1028" s="6">
        <v>46081</v>
      </c>
      <c r="D1028" s="15">
        <f t="shared" ca="1" si="188"/>
        <v>46097</v>
      </c>
      <c r="E1028" s="15" t="str">
        <f t="shared" ca="1" si="189"/>
        <v>0-Months</v>
      </c>
      <c r="F1028" s="8" t="str">
        <f>VLOOKUP(N1028,Stock[#Data],5,FALSE)</f>
        <v>BE</v>
      </c>
      <c r="G1028" s="82" t="s">
        <v>1603</v>
      </c>
      <c r="H1028" s="15"/>
      <c r="I1028" s="7" t="s">
        <v>535</v>
      </c>
      <c r="J1028" s="8" t="str">
        <f>VLOOKUP(I1028,Customers[#Data],2,FALSE)</f>
        <v>ကိုရဲ</v>
      </c>
      <c r="K1028" s="15" t="str">
        <f>VLOOKUP(I1028,Customers[#Data],4,FALSE)</f>
        <v>Yay</v>
      </c>
      <c r="L1028" s="15" t="str">
        <f>VLOOKUP(I1028,Customers[#Data],5,FALSE)</f>
        <v>Van Sales</v>
      </c>
      <c r="M1028" s="7" t="s">
        <v>6</v>
      </c>
      <c r="N1028" s="7" t="s">
        <v>517</v>
      </c>
      <c r="O1028" s="14" t="str">
        <f>VLOOKUP(N1028,Stock[#Data],2,FALSE)</f>
        <v>ဇေယျဝတီ Red (1 Liter) 30%</v>
      </c>
      <c r="P1028" s="44">
        <f>VLOOKUP(N1028,Stock[#Data],3,FALSE)</f>
        <v>1</v>
      </c>
      <c r="Q1028" s="3">
        <f>VLOOKUP(N1028,Stock[#Data],4,FALSE)</f>
        <v>12</v>
      </c>
      <c r="R1028" s="11"/>
      <c r="S1028" s="45">
        <f>IFERROR(Table4[[#This Row],[Bottle]]/Table4[[#This Row],[ပါဝင်မှု]]+Table4[[#This Row],[SalesPK]],0)</f>
        <v>50</v>
      </c>
      <c r="T1028" s="12">
        <v>50</v>
      </c>
      <c r="U1028" s="10">
        <f>Table4[[#This Row],[ပါဝင်မှု]]*Table4[[#This Row],[SalesPK]]+Table4[[#This Row],[Bottle]]</f>
        <v>600</v>
      </c>
      <c r="V1028" s="10">
        <f>Table4[[#This Row],[SalesBot]]*Table4[[#This Row],[ML]]</f>
        <v>600</v>
      </c>
      <c r="W1028" s="1">
        <f>VLOOKUP(N1028,Stock[#Data],6,FALSE)</f>
        <v>1710</v>
      </c>
      <c r="X1028" s="8">
        <f>+Table4[[#This Row],[SalesBot]]*Table4[[#This Row],[နှုံး]]</f>
        <v>1026000</v>
      </c>
      <c r="Y1028" s="12"/>
      <c r="Z1028" s="12"/>
      <c r="AA1028" s="12"/>
      <c r="AB1028" s="9"/>
      <c r="AC1028" s="12"/>
      <c r="AD1028" s="9"/>
      <c r="AE1028" s="12"/>
      <c r="AF102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1028" s="24"/>
      <c r="AH1028" s="266"/>
      <c r="AI1028" s="264"/>
      <c r="AJ1028" s="264"/>
      <c r="AK1028" s="270"/>
      <c r="AL1028" s="270"/>
      <c r="AM1028" s="271"/>
      <c r="AN1028" s="272"/>
      <c r="AO1028" s="273"/>
      <c r="AP1028" s="268"/>
      <c r="AQ1028" s="268"/>
      <c r="AR1028" s="268"/>
    </row>
    <row r="1029" spans="1:44" s="16" customFormat="1" hidden="1" x14ac:dyDescent="0.5">
      <c r="A1029" s="3">
        <f t="shared" si="186"/>
        <v>2026</v>
      </c>
      <c r="B1029" s="8">
        <f t="shared" si="187"/>
        <v>2</v>
      </c>
      <c r="C1029" s="6">
        <v>46081</v>
      </c>
      <c r="D1029" s="15">
        <f t="shared" ca="1" si="188"/>
        <v>46097</v>
      </c>
      <c r="E1029" s="15" t="str">
        <f t="shared" ca="1" si="189"/>
        <v>0-Months</v>
      </c>
      <c r="F1029" s="8" t="str">
        <f>VLOOKUP(N1029,Stock[#Data],5,FALSE)</f>
        <v>BE</v>
      </c>
      <c r="G1029" s="82" t="s">
        <v>1603</v>
      </c>
      <c r="H1029" s="15"/>
      <c r="I1029" s="7" t="s">
        <v>535</v>
      </c>
      <c r="J1029" s="8" t="str">
        <f>VLOOKUP(I1029,Customers[#Data],2,FALSE)</f>
        <v>ကိုရဲ</v>
      </c>
      <c r="K1029" s="15" t="str">
        <f>VLOOKUP(I1029,Customers[#Data],4,FALSE)</f>
        <v>Yay</v>
      </c>
      <c r="L1029" s="15" t="str">
        <f>VLOOKUP(I1029,Customers[#Data],5,FALSE)</f>
        <v>Van Sales</v>
      </c>
      <c r="M1029" s="7" t="s">
        <v>6</v>
      </c>
      <c r="N1029" s="7" t="s">
        <v>522</v>
      </c>
      <c r="O1029" s="14" t="str">
        <f>VLOOKUP(N1029,Stock[#Data],2,FALSE)</f>
        <v>ဒဂုံမန်ကျည်း ကော်ဘူး (1 Liter)</v>
      </c>
      <c r="P1029" s="44">
        <f>VLOOKUP(N1029,Stock[#Data],3,FALSE)</f>
        <v>1</v>
      </c>
      <c r="Q1029" s="3">
        <f>VLOOKUP(N1029,Stock[#Data],4,FALSE)</f>
        <v>12</v>
      </c>
      <c r="R1029" s="11"/>
      <c r="S1029" s="45">
        <f>IFERROR(Table4[[#This Row],[Bottle]]/Table4[[#This Row],[ပါဝင်မှု]]+Table4[[#This Row],[SalesPK]],0)</f>
        <v>15</v>
      </c>
      <c r="T1029" s="12">
        <v>15</v>
      </c>
      <c r="U1029" s="10">
        <f>Table4[[#This Row],[ပါဝင်မှု]]*Table4[[#This Row],[SalesPK]]+Table4[[#This Row],[Bottle]]</f>
        <v>180</v>
      </c>
      <c r="V1029" s="10">
        <f>Table4[[#This Row],[SalesBot]]*Table4[[#This Row],[ML]]</f>
        <v>180</v>
      </c>
      <c r="W1029" s="1">
        <f>VLOOKUP(N1029,Stock[#Data],6,FALSE)</f>
        <v>1600</v>
      </c>
      <c r="X1029" s="8">
        <f>+Table4[[#This Row],[SalesBot]]*Table4[[#This Row],[နှုံး]]</f>
        <v>288000</v>
      </c>
      <c r="Y1029" s="12"/>
      <c r="Z1029" s="12"/>
      <c r="AA1029" s="12"/>
      <c r="AB1029" s="9"/>
      <c r="AC1029" s="12"/>
      <c r="AD1029" s="9"/>
      <c r="AE1029" s="12"/>
      <c r="AF102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288000</v>
      </c>
      <c r="AG1029" s="24"/>
      <c r="AH1029" s="266"/>
      <c r="AI1029" s="264"/>
      <c r="AJ1029" s="264"/>
      <c r="AK1029" s="270"/>
      <c r="AL1029" s="270"/>
      <c r="AM1029" s="271"/>
      <c r="AN1029" s="272"/>
      <c r="AO1029" s="273"/>
      <c r="AP1029" s="268"/>
      <c r="AQ1029" s="268"/>
      <c r="AR1029" s="268"/>
    </row>
    <row r="1030" spans="1:44" s="16" customFormat="1" hidden="1" x14ac:dyDescent="0.5">
      <c r="A1030" s="3">
        <f t="shared" si="186"/>
        <v>2026</v>
      </c>
      <c r="B1030" s="8">
        <f t="shared" si="187"/>
        <v>2</v>
      </c>
      <c r="C1030" s="6">
        <v>46081</v>
      </c>
      <c r="D1030" s="15">
        <f t="shared" ca="1" si="188"/>
        <v>46097</v>
      </c>
      <c r="E1030" s="15" t="str">
        <f t="shared" ca="1" si="189"/>
        <v>0-Months</v>
      </c>
      <c r="F1030" s="8" t="str">
        <f>VLOOKUP(N1030,Stock[#Data],5,FALSE)</f>
        <v>BE</v>
      </c>
      <c r="G1030" s="82" t="s">
        <v>1603</v>
      </c>
      <c r="H1030" s="15"/>
      <c r="I1030" s="7" t="s">
        <v>535</v>
      </c>
      <c r="J1030" s="8" t="str">
        <f>VLOOKUP(I1030,Customers[#Data],2,FALSE)</f>
        <v>ကိုရဲ</v>
      </c>
      <c r="K1030" s="15" t="str">
        <f>VLOOKUP(I1030,Customers[#Data],4,FALSE)</f>
        <v>Yay</v>
      </c>
      <c r="L1030" s="15" t="str">
        <f>VLOOKUP(I1030,Customers[#Data],5,FALSE)</f>
        <v>Van Sales</v>
      </c>
      <c r="M1030" s="7" t="s">
        <v>6</v>
      </c>
      <c r="N1030" s="7" t="s">
        <v>425</v>
      </c>
      <c r="O1030" s="14" t="str">
        <f>VLOOKUP(N1030,Stock[#Data],2,FALSE)</f>
        <v>ကောင်းကြည်-1Li</v>
      </c>
      <c r="P1030" s="44">
        <f>VLOOKUP(N1030,Stock[#Data],3,FALSE)</f>
        <v>1</v>
      </c>
      <c r="Q1030" s="3">
        <f>VLOOKUP(N1030,Stock[#Data],4,FALSE)</f>
        <v>12</v>
      </c>
      <c r="R1030" s="11"/>
      <c r="S1030" s="45">
        <f>IFERROR(Table4[[#This Row],[Bottle]]/Table4[[#This Row],[ပါဝင်မှု]]+Table4[[#This Row],[SalesPK]],0)</f>
        <v>15</v>
      </c>
      <c r="T1030" s="12">
        <v>15</v>
      </c>
      <c r="U1030" s="10">
        <f>Table4[[#This Row],[ပါဝင်မှု]]*Table4[[#This Row],[SalesPK]]+Table4[[#This Row],[Bottle]]</f>
        <v>180</v>
      </c>
      <c r="V1030" s="10">
        <f>Table4[[#This Row],[SalesBot]]*Table4[[#This Row],[ML]]</f>
        <v>180</v>
      </c>
      <c r="W1030" s="1">
        <f>VLOOKUP(N1030,Stock[#Data],6,FALSE)</f>
        <v>1500</v>
      </c>
      <c r="X1030" s="8">
        <f>+Table4[[#This Row],[SalesBot]]*Table4[[#This Row],[နှုံး]]</f>
        <v>270000</v>
      </c>
      <c r="Y1030" s="12"/>
      <c r="Z1030" s="12"/>
      <c r="AA1030" s="12"/>
      <c r="AB1030" s="9"/>
      <c r="AC1030" s="12"/>
      <c r="AD1030" s="9"/>
      <c r="AE1030" s="12"/>
      <c r="AF103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270000</v>
      </c>
      <c r="AG1030" s="24"/>
      <c r="AH1030" s="266"/>
      <c r="AI1030" s="264"/>
      <c r="AJ1030" s="264"/>
      <c r="AK1030" s="270"/>
      <c r="AL1030" s="270"/>
      <c r="AM1030" s="271"/>
      <c r="AN1030" s="272"/>
      <c r="AO1030" s="273"/>
      <c r="AP1030" s="268"/>
      <c r="AQ1030" s="268"/>
      <c r="AR1030" s="268"/>
    </row>
    <row r="1031" spans="1:44" s="16" customFormat="1" hidden="1" x14ac:dyDescent="0.5">
      <c r="A1031" s="3">
        <f t="shared" si="186"/>
        <v>2026</v>
      </c>
      <c r="B1031" s="8">
        <f t="shared" si="187"/>
        <v>2</v>
      </c>
      <c r="C1031" s="6">
        <v>46081</v>
      </c>
      <c r="D1031" s="15">
        <f t="shared" ca="1" si="188"/>
        <v>46097</v>
      </c>
      <c r="E1031" s="15" t="str">
        <f t="shared" ca="1" si="189"/>
        <v>0-Months</v>
      </c>
      <c r="F1031" s="8" t="str">
        <f>VLOOKUP(N1031,Stock[#Data],5,FALSE)</f>
        <v>BE</v>
      </c>
      <c r="G1031" s="82" t="s">
        <v>1604</v>
      </c>
      <c r="H1031" s="15"/>
      <c r="I1031" s="7" t="s">
        <v>109</v>
      </c>
      <c r="J1031" s="8" t="str">
        <f>VLOOKUP(I1031,Customers[#Data],2,FALSE)</f>
        <v>ဦးမင်းလွင်</v>
      </c>
      <c r="K1031" s="15" t="str">
        <f>VLOOKUP(I1031,Customers[#Data],4,FALSE)</f>
        <v>Maw La Myaing</v>
      </c>
      <c r="L1031" s="15" t="str">
        <f>VLOOKUP(I1031,Customers[#Data],5,FALSE)</f>
        <v>WholeSales</v>
      </c>
      <c r="M1031" s="7" t="s">
        <v>6</v>
      </c>
      <c r="N1031" s="7" t="s">
        <v>521</v>
      </c>
      <c r="O1031" s="14" t="str">
        <f>VLOOKUP(N1031,Stock[#Data],2,FALSE)</f>
        <v>ဒဂုံအရက်သန့်</v>
      </c>
      <c r="P1031" s="44">
        <f>VLOOKUP(N1031,Stock[#Data],3,FALSE)</f>
        <v>0.64</v>
      </c>
      <c r="Q1031" s="3">
        <f>VLOOKUP(N1031,Stock[#Data],4,FALSE)</f>
        <v>24</v>
      </c>
      <c r="R1031" s="11"/>
      <c r="S1031" s="45">
        <f>IFERROR(Table4[[#This Row],[Bottle]]/Table4[[#This Row],[ပါဝင်မှု]]+Table4[[#This Row],[SalesPK]],0)</f>
        <v>20</v>
      </c>
      <c r="T1031" s="12">
        <v>20</v>
      </c>
      <c r="U1031" s="10">
        <f>Table4[[#This Row],[ပါဝင်မှု]]*Table4[[#This Row],[SalesPK]]+Table4[[#This Row],[Bottle]]</f>
        <v>480</v>
      </c>
      <c r="V1031" s="10">
        <f>Table4[[#This Row],[SalesBot]]*Table4[[#This Row],[ML]]</f>
        <v>307.2</v>
      </c>
      <c r="W1031" s="1">
        <f>VLOOKUP(N1031,Stock[#Data],6,FALSE)</f>
        <v>1350</v>
      </c>
      <c r="X1031" s="8">
        <f>+Table4[[#This Row],[SalesBot]]*Table4[[#This Row],[နှုံး]]</f>
        <v>648000</v>
      </c>
      <c r="Y1031" s="12"/>
      <c r="Z1031" s="12"/>
      <c r="AA1031" s="12"/>
      <c r="AB1031" s="9"/>
      <c r="AC1031" s="12"/>
      <c r="AD1031" s="9"/>
      <c r="AE1031" s="12"/>
      <c r="AF103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648000</v>
      </c>
      <c r="AG1031" s="24"/>
      <c r="AH1031" s="266"/>
      <c r="AI1031" s="264"/>
      <c r="AJ1031" s="264"/>
      <c r="AK1031" s="270"/>
      <c r="AL1031" s="270"/>
      <c r="AM1031" s="271"/>
      <c r="AN1031" s="272"/>
      <c r="AO1031" s="273"/>
      <c r="AP1031" s="268"/>
      <c r="AQ1031" s="268"/>
      <c r="AR1031" s="268"/>
    </row>
    <row r="1032" spans="1:44" s="16" customFormat="1" hidden="1" x14ac:dyDescent="0.5">
      <c r="A1032" s="3">
        <f t="shared" si="182"/>
        <v>2026</v>
      </c>
      <c r="B1032" s="8">
        <f t="shared" si="183"/>
        <v>2</v>
      </c>
      <c r="C1032" s="6">
        <v>46081</v>
      </c>
      <c r="D1032" s="15">
        <f t="shared" ca="1" si="184"/>
        <v>46097</v>
      </c>
      <c r="E1032" s="15" t="str">
        <f t="shared" ca="1" si="185"/>
        <v>0-Months</v>
      </c>
      <c r="F1032" s="8" t="str">
        <f>VLOOKUP(N1032,Stock[#Data],5,FALSE)</f>
        <v>BE</v>
      </c>
      <c r="G1032" s="82" t="s">
        <v>1604</v>
      </c>
      <c r="H1032" s="15"/>
      <c r="I1032" s="7" t="s">
        <v>109</v>
      </c>
      <c r="J1032" s="8" t="str">
        <f>VLOOKUP(I1032,Customers[#Data],2,FALSE)</f>
        <v>ဦးမင်းလွင်</v>
      </c>
      <c r="K1032" s="15" t="str">
        <f>VLOOKUP(I1032,Customers[#Data],4,FALSE)</f>
        <v>Maw La Myaing</v>
      </c>
      <c r="L1032" s="15" t="str">
        <f>VLOOKUP(I1032,Customers[#Data],5,FALSE)</f>
        <v>WholeSales</v>
      </c>
      <c r="M1032" s="7" t="s">
        <v>6</v>
      </c>
      <c r="N1032" s="7" t="s">
        <v>526</v>
      </c>
      <c r="O1032" s="14" t="str">
        <f>VLOOKUP(N1032,Stock[#Data],2,FALSE)</f>
        <v>ဒဂုံနာနတ်ဝိုင်</v>
      </c>
      <c r="P1032" s="44">
        <f>VLOOKUP(N1032,Stock[#Data],3,FALSE)</f>
        <v>0.64</v>
      </c>
      <c r="Q1032" s="3">
        <f>VLOOKUP(N1032,Stock[#Data],4,FALSE)</f>
        <v>14</v>
      </c>
      <c r="R1032" s="11"/>
      <c r="S1032" s="45">
        <f>IFERROR(Table4[[#This Row],[Bottle]]/Table4[[#This Row],[ပါဝင်မှု]]+Table4[[#This Row],[SalesPK]],0)</f>
        <v>10</v>
      </c>
      <c r="T1032" s="12">
        <v>10</v>
      </c>
      <c r="U1032" s="10">
        <f>Table4[[#This Row],[ပါဝင်မှု]]*Table4[[#This Row],[SalesPK]]+Table4[[#This Row],[Bottle]]</f>
        <v>140</v>
      </c>
      <c r="V1032" s="10">
        <f>Table4[[#This Row],[SalesBot]]*Table4[[#This Row],[ML]]</f>
        <v>89.600000000000009</v>
      </c>
      <c r="W1032" s="1">
        <f>VLOOKUP(N1032,Stock[#Data],6,FALSE)</f>
        <v>1350</v>
      </c>
      <c r="X1032" s="8">
        <f>+Table4[[#This Row],[SalesBot]]*Table4[[#This Row],[နှုံး]]</f>
        <v>189000</v>
      </c>
      <c r="Y1032" s="12"/>
      <c r="Z1032" s="12"/>
      <c r="AA1032" s="12"/>
      <c r="AB1032" s="9"/>
      <c r="AC1032" s="12"/>
      <c r="AD1032" s="9"/>
      <c r="AE1032" s="12"/>
      <c r="AF103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</v>
      </c>
      <c r="AG1032" s="24"/>
      <c r="AH1032" s="266"/>
      <c r="AI1032" s="264"/>
      <c r="AJ1032" s="264"/>
      <c r="AK1032" s="270"/>
      <c r="AL1032" s="270"/>
      <c r="AM1032" s="271"/>
      <c r="AN1032" s="272"/>
      <c r="AO1032" s="273"/>
      <c r="AP1032" s="268"/>
      <c r="AQ1032" s="268"/>
      <c r="AR1032" s="268"/>
    </row>
    <row r="1033" spans="1:44" s="16" customFormat="1" hidden="1" x14ac:dyDescent="0.5">
      <c r="A1033" s="3">
        <f t="shared" si="182"/>
        <v>2026</v>
      </c>
      <c r="B1033" s="8">
        <f t="shared" si="183"/>
        <v>2</v>
      </c>
      <c r="C1033" s="6">
        <v>46081</v>
      </c>
      <c r="D1033" s="15">
        <f t="shared" ca="1" si="184"/>
        <v>46097</v>
      </c>
      <c r="E1033" s="15" t="str">
        <f t="shared" ca="1" si="185"/>
        <v>0-Months</v>
      </c>
      <c r="F1033" s="8" t="str">
        <f>VLOOKUP(N1033,Stock[#Data],5,FALSE)</f>
        <v>BE</v>
      </c>
      <c r="G1033" s="82" t="s">
        <v>1605</v>
      </c>
      <c r="H1033" s="15"/>
      <c r="I1033" s="7" t="s">
        <v>541</v>
      </c>
      <c r="J1033" s="8" t="str">
        <f>VLOOKUP(I1033,Customers[#Data],2,FALSE)</f>
        <v>ကိုကျော်ရွှေ</v>
      </c>
      <c r="K1033" s="15" t="str">
        <f>VLOOKUP(I1033,Customers[#Data],4,FALSE)</f>
        <v>Mudon</v>
      </c>
      <c r="L1033" s="15" t="str">
        <f>VLOOKUP(I1033,Customers[#Data],5,FALSE)</f>
        <v>SemiWholeSales</v>
      </c>
      <c r="M1033" s="7" t="s">
        <v>6</v>
      </c>
      <c r="N1033" s="7" t="s">
        <v>520</v>
      </c>
      <c r="O1033" s="14" t="str">
        <f>VLOOKUP(N1033,Stock[#Data],2,FALSE)</f>
        <v>ဇေယျဝတီ  Red(ပု)</v>
      </c>
      <c r="P1033" s="44">
        <f>VLOOKUP(N1033,Stock[#Data],3,FALSE)</f>
        <v>0.64</v>
      </c>
      <c r="Q1033" s="3">
        <f>VLOOKUP(N1033,Stock[#Data],4,FALSE)</f>
        <v>14</v>
      </c>
      <c r="R1033" s="11"/>
      <c r="S1033" s="45">
        <f>IFERROR(Table4[[#This Row],[Bottle]]/Table4[[#This Row],[ပါဝင်မှု]]+Table4[[#This Row],[SalesPK]],0)</f>
        <v>50</v>
      </c>
      <c r="T1033" s="12">
        <v>50</v>
      </c>
      <c r="U1033" s="10">
        <f>Table4[[#This Row],[ပါဝင်မှု]]*Table4[[#This Row],[SalesPK]]+Table4[[#This Row],[Bottle]]</f>
        <v>700</v>
      </c>
      <c r="V1033" s="10">
        <f>Table4[[#This Row],[SalesBot]]*Table4[[#This Row],[ML]]</f>
        <v>448</v>
      </c>
      <c r="W1033" s="1">
        <f>VLOOKUP(N1033,Stock[#Data],6,FALSE)</f>
        <v>1800</v>
      </c>
      <c r="X1033" s="8">
        <f>+Table4[[#This Row],[SalesBot]]*Table4[[#This Row],[နှုံး]]</f>
        <v>1260000</v>
      </c>
      <c r="Y1033" s="12"/>
      <c r="Z1033" s="12"/>
      <c r="AA1033" s="12"/>
      <c r="AB1033" s="9"/>
      <c r="AC1033" s="12"/>
      <c r="AD1033" s="9"/>
      <c r="AE1033" s="12"/>
      <c r="AF103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1033" s="24"/>
      <c r="AH1033" s="266"/>
      <c r="AI1033" s="264"/>
      <c r="AJ1033" s="264"/>
      <c r="AK1033" s="270"/>
      <c r="AL1033" s="270"/>
      <c r="AM1033" s="271"/>
      <c r="AN1033" s="272"/>
      <c r="AO1033" s="273"/>
      <c r="AP1033" s="268"/>
      <c r="AQ1033" s="268"/>
      <c r="AR1033" s="268"/>
    </row>
    <row r="1034" spans="1:44" s="16" customFormat="1" hidden="1" x14ac:dyDescent="0.5">
      <c r="A1034" s="3">
        <f t="shared" si="182"/>
        <v>2026</v>
      </c>
      <c r="B1034" s="8">
        <f t="shared" si="183"/>
        <v>2</v>
      </c>
      <c r="C1034" s="6">
        <v>46081</v>
      </c>
      <c r="D1034" s="15">
        <f t="shared" ca="1" si="184"/>
        <v>46097</v>
      </c>
      <c r="E1034" s="15" t="str">
        <f t="shared" ca="1" si="185"/>
        <v>0-Months</v>
      </c>
      <c r="F1034" s="8" t="str">
        <f>VLOOKUP(N1034,Stock[#Data],5,FALSE)</f>
        <v>BE</v>
      </c>
      <c r="G1034" s="82" t="s">
        <v>1606</v>
      </c>
      <c r="H1034" s="15"/>
      <c r="I1034" s="7" t="s">
        <v>552</v>
      </c>
      <c r="J1034" s="8" t="str">
        <f>VLOOKUP(I1034,Customers[#Data],2,FALSE)</f>
        <v>၀မ်းဒေါ်လာ</v>
      </c>
      <c r="K1034" s="15" t="str">
        <f>VLOOKUP(I1034,Customers[#Data],4,FALSE)</f>
        <v>Mudon</v>
      </c>
      <c r="L1034" s="15" t="str">
        <f>VLOOKUP(I1034,Customers[#Data],5,FALSE)</f>
        <v>Mini Whole Sales</v>
      </c>
      <c r="M1034" s="7" t="s">
        <v>6</v>
      </c>
      <c r="N1034" s="7" t="s">
        <v>520</v>
      </c>
      <c r="O1034" s="14" t="str">
        <f>VLOOKUP(N1034,Stock[#Data],2,FALSE)</f>
        <v>ဇေယျဝတီ  Red(ပု)</v>
      </c>
      <c r="P1034" s="44">
        <f>VLOOKUP(N1034,Stock[#Data],3,FALSE)</f>
        <v>0.64</v>
      </c>
      <c r="Q1034" s="3">
        <f>VLOOKUP(N1034,Stock[#Data],4,FALSE)</f>
        <v>14</v>
      </c>
      <c r="R1034" s="11"/>
      <c r="S1034" s="45">
        <f>IFERROR(Table4[[#This Row],[Bottle]]/Table4[[#This Row],[ပါဝင်မှု]]+Table4[[#This Row],[SalesPK]],0)</f>
        <v>25</v>
      </c>
      <c r="T1034" s="12">
        <v>25</v>
      </c>
      <c r="U1034" s="10">
        <f>Table4[[#This Row],[ပါဝင်မှု]]*Table4[[#This Row],[SalesPK]]+Table4[[#This Row],[Bottle]]</f>
        <v>350</v>
      </c>
      <c r="V1034" s="10">
        <f>Table4[[#This Row],[SalesBot]]*Table4[[#This Row],[ML]]</f>
        <v>224</v>
      </c>
      <c r="W1034" s="1">
        <f>VLOOKUP(N1034,Stock[#Data],6,FALSE)</f>
        <v>1800</v>
      </c>
      <c r="X1034" s="8">
        <f>+Table4[[#This Row],[SalesBot]]*Table4[[#This Row],[နှုံး]]</f>
        <v>630000</v>
      </c>
      <c r="Y1034" s="12"/>
      <c r="Z1034" s="12"/>
      <c r="AA1034" s="12"/>
      <c r="AB1034" s="9"/>
      <c r="AC1034" s="12"/>
      <c r="AD1034" s="9"/>
      <c r="AE1034" s="12"/>
      <c r="AF103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630000</v>
      </c>
      <c r="AG1034" s="24"/>
      <c r="AH1034" s="266"/>
      <c r="AI1034" s="264"/>
      <c r="AJ1034" s="264"/>
      <c r="AK1034" s="270"/>
      <c r="AL1034" s="270"/>
      <c r="AM1034" s="271"/>
      <c r="AN1034" s="272"/>
      <c r="AO1034" s="273"/>
      <c r="AP1034" s="268"/>
      <c r="AQ1034" s="268"/>
      <c r="AR1034" s="268"/>
    </row>
    <row r="1035" spans="1:44" s="16" customFormat="1" hidden="1" x14ac:dyDescent="0.5">
      <c r="A1035" s="3">
        <f t="shared" ref="A1035:A1076" si="190">YEAR(C1035)</f>
        <v>2026</v>
      </c>
      <c r="B1035" s="8">
        <f t="shared" ref="B1035:B1076" si="191">MONTH(C1035)</f>
        <v>2</v>
      </c>
      <c r="C1035" s="6">
        <v>46081</v>
      </c>
      <c r="D1035" s="15">
        <f t="shared" ref="D1035:D1076" ca="1" si="192">TODAY()</f>
        <v>46097</v>
      </c>
      <c r="E1035" s="15" t="str">
        <f t="shared" ref="E1035:E1076" ca="1" si="193">DATEDIF(C1035,D1035,"M")&amp;"-Months"</f>
        <v>0-Months</v>
      </c>
      <c r="F1035" s="8" t="str">
        <f>VLOOKUP(N1035,Stock[#Data],5,FALSE)</f>
        <v>BE</v>
      </c>
      <c r="G1035" s="82" t="s">
        <v>1607</v>
      </c>
      <c r="H1035" s="15"/>
      <c r="I1035" s="7" t="s">
        <v>546</v>
      </c>
      <c r="J1035" s="8" t="str">
        <f>VLOOKUP(I1035,Customers[#Data],2,FALSE)</f>
        <v>မသီတာ၀င်း</v>
      </c>
      <c r="K1035" s="15" t="str">
        <f>VLOOKUP(I1035,Customers[#Data],4,FALSE)</f>
        <v>Mudon</v>
      </c>
      <c r="L1035" s="15" t="str">
        <f>VLOOKUP(I1035,Customers[#Data],5,FALSE)</f>
        <v>SemiWholeSales</v>
      </c>
      <c r="M1035" s="7" t="s">
        <v>6</v>
      </c>
      <c r="N1035" s="7" t="s">
        <v>520</v>
      </c>
      <c r="O1035" s="14" t="str">
        <f>VLOOKUP(N1035,Stock[#Data],2,FALSE)</f>
        <v>ဇေယျဝတီ  Red(ပု)</v>
      </c>
      <c r="P1035" s="44">
        <f>VLOOKUP(N1035,Stock[#Data],3,FALSE)</f>
        <v>0.64</v>
      </c>
      <c r="Q1035" s="3">
        <f>VLOOKUP(N1035,Stock[#Data],4,FALSE)</f>
        <v>14</v>
      </c>
      <c r="R1035" s="11"/>
      <c r="S1035" s="45">
        <f>IFERROR(Table4[[#This Row],[Bottle]]/Table4[[#This Row],[ပါဝင်မှု]]+Table4[[#This Row],[SalesPK]],0)</f>
        <v>25</v>
      </c>
      <c r="T1035" s="12">
        <v>25</v>
      </c>
      <c r="U1035" s="10">
        <f>Table4[[#This Row],[ပါဝင်မှု]]*Table4[[#This Row],[SalesPK]]+Table4[[#This Row],[Bottle]]</f>
        <v>350</v>
      </c>
      <c r="V1035" s="10">
        <f>Table4[[#This Row],[SalesBot]]*Table4[[#This Row],[ML]]</f>
        <v>224</v>
      </c>
      <c r="W1035" s="1">
        <f>VLOOKUP(N1035,Stock[#Data],6,FALSE)</f>
        <v>1800</v>
      </c>
      <c r="X1035" s="8">
        <f>+Table4[[#This Row],[SalesBot]]*Table4[[#This Row],[နှုံး]]</f>
        <v>630000</v>
      </c>
      <c r="Y1035" s="12"/>
      <c r="Z1035" s="12"/>
      <c r="AA1035" s="12"/>
      <c r="AB1035" s="9"/>
      <c r="AC1035" s="12"/>
      <c r="AD1035" s="9"/>
      <c r="AE1035" s="12"/>
      <c r="AF103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630000</v>
      </c>
      <c r="AG1035" s="24"/>
      <c r="AH1035" s="266"/>
      <c r="AI1035" s="264"/>
      <c r="AJ1035" s="264"/>
      <c r="AK1035" s="270"/>
      <c r="AL1035" s="270"/>
      <c r="AM1035" s="271"/>
      <c r="AN1035" s="272"/>
      <c r="AO1035" s="273"/>
      <c r="AP1035" s="268"/>
      <c r="AQ1035" s="268"/>
      <c r="AR1035" s="268"/>
    </row>
    <row r="1036" spans="1:44" s="16" customFormat="1" hidden="1" x14ac:dyDescent="0.5">
      <c r="A1036" s="3">
        <f t="shared" si="190"/>
        <v>2026</v>
      </c>
      <c r="B1036" s="8">
        <f t="shared" si="191"/>
        <v>2</v>
      </c>
      <c r="C1036" s="6">
        <v>46081</v>
      </c>
      <c r="D1036" s="15">
        <f t="shared" ca="1" si="192"/>
        <v>46097</v>
      </c>
      <c r="E1036" s="15" t="str">
        <f t="shared" ca="1" si="193"/>
        <v>0-Months</v>
      </c>
      <c r="F1036" s="8" t="str">
        <f>VLOOKUP(N1036,Stock[#Data],5,FALSE)</f>
        <v>BE</v>
      </c>
      <c r="G1036" s="82" t="s">
        <v>1608</v>
      </c>
      <c r="H1036" s="15"/>
      <c r="I1036" s="7" t="s">
        <v>829</v>
      </c>
      <c r="J1036" s="8" t="str">
        <f>VLOOKUP(I1036,Customers[#Data],2,FALSE)</f>
        <v>မ‌‌ေ</v>
      </c>
      <c r="K1036" s="15" t="str">
        <f>VLOOKUP(I1036,Customers[#Data],4,FALSE)</f>
        <v>Mudon</v>
      </c>
      <c r="L1036" s="15" t="str">
        <f>VLOOKUP(I1036,Customers[#Data],5,FALSE)</f>
        <v>Van Sales</v>
      </c>
      <c r="M1036" s="7" t="s">
        <v>6</v>
      </c>
      <c r="N1036" s="7" t="s">
        <v>520</v>
      </c>
      <c r="O1036" s="14" t="str">
        <f>VLOOKUP(N1036,Stock[#Data],2,FALSE)</f>
        <v>ဇေယျဝတီ  Red(ပု)</v>
      </c>
      <c r="P1036" s="44">
        <f>VLOOKUP(N1036,Stock[#Data],3,FALSE)</f>
        <v>0.64</v>
      </c>
      <c r="Q1036" s="3">
        <f>VLOOKUP(N1036,Stock[#Data],4,FALSE)</f>
        <v>14</v>
      </c>
      <c r="R1036" s="11"/>
      <c r="S1036" s="45">
        <f>IFERROR(Table4[[#This Row],[Bottle]]/Table4[[#This Row],[ပါဝင်မှု]]+Table4[[#This Row],[SalesPK]],0)</f>
        <v>10</v>
      </c>
      <c r="T1036" s="12">
        <v>10</v>
      </c>
      <c r="U1036" s="10">
        <f>Table4[[#This Row],[ပါဝင်မှု]]*Table4[[#This Row],[SalesPK]]+Table4[[#This Row],[Bottle]]</f>
        <v>140</v>
      </c>
      <c r="V1036" s="10">
        <f>Table4[[#This Row],[SalesBot]]*Table4[[#This Row],[ML]]</f>
        <v>89.600000000000009</v>
      </c>
      <c r="W1036" s="1">
        <f>VLOOKUP(N1036,Stock[#Data],6,FALSE)</f>
        <v>1800</v>
      </c>
      <c r="X1036" s="8">
        <f>+Table4[[#This Row],[SalesBot]]*Table4[[#This Row],[နှုံး]]</f>
        <v>252000</v>
      </c>
      <c r="Y1036" s="12"/>
      <c r="Z1036" s="12"/>
      <c r="AA1036" s="12"/>
      <c r="AB1036" s="9"/>
      <c r="AC1036" s="12"/>
      <c r="AD1036" s="9"/>
      <c r="AE1036" s="12"/>
      <c r="AF103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252000</v>
      </c>
      <c r="AG1036" s="24"/>
      <c r="AH1036" s="266"/>
      <c r="AI1036" s="264"/>
      <c r="AJ1036" s="264"/>
      <c r="AK1036" s="270"/>
      <c r="AL1036" s="270"/>
      <c r="AM1036" s="271"/>
      <c r="AN1036" s="272"/>
      <c r="AO1036" s="273"/>
      <c r="AP1036" s="268"/>
      <c r="AQ1036" s="268"/>
      <c r="AR1036" s="268"/>
    </row>
    <row r="1037" spans="1:44" s="16" customFormat="1" hidden="1" x14ac:dyDescent="0.5">
      <c r="A1037" s="3">
        <f t="shared" si="190"/>
        <v>2026</v>
      </c>
      <c r="B1037" s="8">
        <f t="shared" si="191"/>
        <v>2</v>
      </c>
      <c r="C1037" s="6">
        <v>46081</v>
      </c>
      <c r="D1037" s="15">
        <f t="shared" ca="1" si="192"/>
        <v>46097</v>
      </c>
      <c r="E1037" s="15" t="str">
        <f t="shared" ca="1" si="193"/>
        <v>0-Months</v>
      </c>
      <c r="F1037" s="8" t="str">
        <f>VLOOKUP(N1037,Stock[#Data],5,FALSE)</f>
        <v>BE</v>
      </c>
      <c r="G1037" s="82" t="s">
        <v>1609</v>
      </c>
      <c r="H1037" s="15"/>
      <c r="I1037" s="7" t="s">
        <v>1566</v>
      </c>
      <c r="J1037" s="8" t="str">
        <f>VLOOKUP(I1037,Customers[#Data],2,FALSE)</f>
        <v>နှင်းလွင်လွင်</v>
      </c>
      <c r="K1037" s="15" t="str">
        <f>VLOOKUP(I1037,Customers[#Data],4,FALSE)</f>
        <v>Mudon</v>
      </c>
      <c r="L1037" s="15" t="str">
        <f>VLOOKUP(I1037,Customers[#Data],5,FALSE)</f>
        <v>Van Sales</v>
      </c>
      <c r="M1037" s="7" t="s">
        <v>6</v>
      </c>
      <c r="N1037" s="7" t="s">
        <v>520</v>
      </c>
      <c r="O1037" s="14" t="str">
        <f>VLOOKUP(N1037,Stock[#Data],2,FALSE)</f>
        <v>ဇေယျဝတီ  Red(ပု)</v>
      </c>
      <c r="P1037" s="44">
        <f>VLOOKUP(N1037,Stock[#Data],3,FALSE)</f>
        <v>0.64</v>
      </c>
      <c r="Q1037" s="3">
        <f>VLOOKUP(N1037,Stock[#Data],4,FALSE)</f>
        <v>14</v>
      </c>
      <c r="R1037" s="11"/>
      <c r="S1037" s="45">
        <f>IFERROR(Table4[[#This Row],[Bottle]]/Table4[[#This Row],[ပါဝင်မှု]]+Table4[[#This Row],[SalesPK]],0)</f>
        <v>5</v>
      </c>
      <c r="T1037" s="12">
        <v>5</v>
      </c>
      <c r="U1037" s="10">
        <f>Table4[[#This Row],[ပါဝင်မှု]]*Table4[[#This Row],[SalesPK]]+Table4[[#This Row],[Bottle]]</f>
        <v>70</v>
      </c>
      <c r="V1037" s="10">
        <f>Table4[[#This Row],[SalesBot]]*Table4[[#This Row],[ML]]</f>
        <v>44.800000000000004</v>
      </c>
      <c r="W1037" s="1">
        <f>VLOOKUP(N1037,Stock[#Data],6,FALSE)</f>
        <v>1800</v>
      </c>
      <c r="X1037" s="8">
        <f>+Table4[[#This Row],[SalesBot]]*Table4[[#This Row],[နှုံး]]</f>
        <v>126000</v>
      </c>
      <c r="Y1037" s="12"/>
      <c r="Z1037" s="12"/>
      <c r="AA1037" s="12"/>
      <c r="AB1037" s="9"/>
      <c r="AC1037" s="12"/>
      <c r="AD1037" s="9"/>
      <c r="AE1037" s="12"/>
      <c r="AF103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</v>
      </c>
      <c r="AG1037" s="24"/>
      <c r="AH1037" s="266"/>
      <c r="AI1037" s="264"/>
      <c r="AJ1037" s="264"/>
      <c r="AK1037" s="270"/>
      <c r="AL1037" s="270"/>
      <c r="AM1037" s="271"/>
      <c r="AN1037" s="272"/>
      <c r="AO1037" s="273"/>
      <c r="AP1037" s="268"/>
      <c r="AQ1037" s="268"/>
      <c r="AR1037" s="268"/>
    </row>
    <row r="1038" spans="1:44" s="16" customFormat="1" hidden="1" x14ac:dyDescent="0.5">
      <c r="A1038" s="3">
        <f t="shared" si="190"/>
        <v>2026</v>
      </c>
      <c r="B1038" s="8">
        <f t="shared" si="191"/>
        <v>2</v>
      </c>
      <c r="C1038" s="6">
        <v>46081</v>
      </c>
      <c r="D1038" s="15">
        <f t="shared" ca="1" si="192"/>
        <v>46097</v>
      </c>
      <c r="E1038" s="15" t="str">
        <f t="shared" ca="1" si="193"/>
        <v>0-Months</v>
      </c>
      <c r="F1038" s="8" t="str">
        <f>VLOOKUP(N1038,Stock[#Data],5,FALSE)</f>
        <v>BE</v>
      </c>
      <c r="G1038" s="82" t="s">
        <v>1610</v>
      </c>
      <c r="H1038" s="15"/>
      <c r="I1038" s="7" t="s">
        <v>1611</v>
      </c>
      <c r="J1038" s="8" t="str">
        <f>VLOOKUP(I1038,Customers[#Data],2,FALSE)</f>
        <v>AK</v>
      </c>
      <c r="K1038" s="15" t="str">
        <f>VLOOKUP(I1038,Customers[#Data],4,FALSE)</f>
        <v>Mudon</v>
      </c>
      <c r="L1038" s="15" t="str">
        <f>VLOOKUP(I1038,Customers[#Data],5,FALSE)</f>
        <v>Van Sales</v>
      </c>
      <c r="M1038" s="7" t="s">
        <v>6</v>
      </c>
      <c r="N1038" s="7" t="s">
        <v>514</v>
      </c>
      <c r="O1038" s="14" t="str">
        <f>VLOOKUP(N1038,Stock[#Data],2,FALSE)</f>
        <v>ဇေယျဝတီ Red</v>
      </c>
      <c r="P1038" s="44">
        <f>VLOOKUP(N1038,Stock[#Data],3,FALSE)</f>
        <v>0.64</v>
      </c>
      <c r="Q1038" s="3">
        <f>VLOOKUP(N1038,Stock[#Data],4,FALSE)</f>
        <v>14</v>
      </c>
      <c r="R1038" s="11"/>
      <c r="S1038" s="45">
        <f>IFERROR(Table4[[#This Row],[Bottle]]/Table4[[#This Row],[ပါဝင်မှု]]+Table4[[#This Row],[SalesPK]],0)</f>
        <v>3</v>
      </c>
      <c r="T1038" s="12">
        <v>3</v>
      </c>
      <c r="U1038" s="10">
        <f>Table4[[#This Row],[ပါဝင်မှု]]*Table4[[#This Row],[SalesPK]]+Table4[[#This Row],[Bottle]]</f>
        <v>42</v>
      </c>
      <c r="V1038" s="10">
        <f>Table4[[#This Row],[SalesBot]]*Table4[[#This Row],[ML]]</f>
        <v>26.88</v>
      </c>
      <c r="W1038" s="1">
        <f>VLOOKUP(N1038,Stock[#Data],6,FALSE)</f>
        <v>1350</v>
      </c>
      <c r="X1038" s="8">
        <f>+Table4[[#This Row],[SalesBot]]*Table4[[#This Row],[နှုံး]]</f>
        <v>56700</v>
      </c>
      <c r="Y1038" s="12"/>
      <c r="Z1038" s="12"/>
      <c r="AA1038" s="12"/>
      <c r="AB1038" s="9"/>
      <c r="AC1038" s="12"/>
      <c r="AD1038" s="9"/>
      <c r="AE1038" s="12"/>
      <c r="AF103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56700</v>
      </c>
      <c r="AG1038" s="24"/>
      <c r="AH1038" s="266"/>
      <c r="AI1038" s="264"/>
      <c r="AJ1038" s="264"/>
      <c r="AK1038" s="270"/>
      <c r="AL1038" s="270"/>
      <c r="AM1038" s="271"/>
      <c r="AN1038" s="272"/>
      <c r="AO1038" s="273"/>
      <c r="AP1038" s="268"/>
      <c r="AQ1038" s="268"/>
      <c r="AR1038" s="268"/>
    </row>
    <row r="1039" spans="1:44" s="16" customFormat="1" hidden="1" x14ac:dyDescent="0.5">
      <c r="A1039" s="3">
        <f t="shared" si="190"/>
        <v>2026</v>
      </c>
      <c r="B1039" s="8">
        <f t="shared" si="191"/>
        <v>2</v>
      </c>
      <c r="C1039" s="6">
        <v>46081</v>
      </c>
      <c r="D1039" s="15">
        <f t="shared" ca="1" si="192"/>
        <v>46097</v>
      </c>
      <c r="E1039" s="15" t="str">
        <f t="shared" ca="1" si="193"/>
        <v>0-Months</v>
      </c>
      <c r="F1039" s="8" t="str">
        <f>VLOOKUP(N1039,Stock[#Data],5,FALSE)</f>
        <v>BE</v>
      </c>
      <c r="G1039" s="82" t="s">
        <v>1610</v>
      </c>
      <c r="H1039" s="15"/>
      <c r="I1039" s="7" t="s">
        <v>1611</v>
      </c>
      <c r="J1039" s="8" t="str">
        <f>VLOOKUP(I1039,Customers[#Data],2,FALSE)</f>
        <v>AK</v>
      </c>
      <c r="K1039" s="15" t="str">
        <f>VLOOKUP(I1039,Customers[#Data],4,FALSE)</f>
        <v>Mudon</v>
      </c>
      <c r="L1039" s="15" t="str">
        <f>VLOOKUP(I1039,Customers[#Data],5,FALSE)</f>
        <v>Van Sales</v>
      </c>
      <c r="M1039" s="7" t="s">
        <v>6</v>
      </c>
      <c r="N1039" s="7" t="s">
        <v>520</v>
      </c>
      <c r="O1039" s="14" t="str">
        <f>VLOOKUP(N1039,Stock[#Data],2,FALSE)</f>
        <v>ဇေယျဝတီ  Red(ပု)</v>
      </c>
      <c r="P1039" s="44">
        <f>VLOOKUP(N1039,Stock[#Data],3,FALSE)</f>
        <v>0.64</v>
      </c>
      <c r="Q1039" s="3">
        <f>VLOOKUP(N1039,Stock[#Data],4,FALSE)</f>
        <v>14</v>
      </c>
      <c r="R1039" s="11"/>
      <c r="S1039" s="45">
        <f>IFERROR(Table4[[#This Row],[Bottle]]/Table4[[#This Row],[ပါဝင်မှု]]+Table4[[#This Row],[SalesPK]],0)</f>
        <v>2</v>
      </c>
      <c r="T1039" s="12">
        <v>2</v>
      </c>
      <c r="U1039" s="10">
        <f>Table4[[#This Row],[ပါဝင်မှု]]*Table4[[#This Row],[SalesPK]]+Table4[[#This Row],[Bottle]]</f>
        <v>28</v>
      </c>
      <c r="V1039" s="10">
        <f>Table4[[#This Row],[SalesBot]]*Table4[[#This Row],[ML]]</f>
        <v>17.920000000000002</v>
      </c>
      <c r="W1039" s="1">
        <f>VLOOKUP(N1039,Stock[#Data],6,FALSE)</f>
        <v>1800</v>
      </c>
      <c r="X1039" s="8">
        <f>+Table4[[#This Row],[SalesBot]]*Table4[[#This Row],[နှုံး]]</f>
        <v>50400</v>
      </c>
      <c r="Y1039" s="12"/>
      <c r="Z1039" s="12"/>
      <c r="AA1039" s="12"/>
      <c r="AB1039" s="9"/>
      <c r="AC1039" s="12"/>
      <c r="AD1039" s="9"/>
      <c r="AE1039" s="12"/>
      <c r="AF103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50400</v>
      </c>
      <c r="AG1039" s="24"/>
      <c r="AH1039" s="266"/>
      <c r="AI1039" s="264"/>
      <c r="AJ1039" s="264"/>
      <c r="AK1039" s="270"/>
      <c r="AL1039" s="270"/>
      <c r="AM1039" s="271"/>
      <c r="AN1039" s="272"/>
      <c r="AO1039" s="273"/>
      <c r="AP1039" s="268"/>
      <c r="AQ1039" s="268"/>
      <c r="AR1039" s="268"/>
    </row>
    <row r="1040" spans="1:44" s="16" customFormat="1" hidden="1" x14ac:dyDescent="0.5">
      <c r="A1040" s="3">
        <f t="shared" si="190"/>
        <v>2026</v>
      </c>
      <c r="B1040" s="8">
        <f t="shared" si="191"/>
        <v>2</v>
      </c>
      <c r="C1040" s="6">
        <v>46081</v>
      </c>
      <c r="D1040" s="15">
        <f t="shared" ca="1" si="192"/>
        <v>46097</v>
      </c>
      <c r="E1040" s="15" t="str">
        <f t="shared" ca="1" si="193"/>
        <v>0-Months</v>
      </c>
      <c r="F1040" s="8" t="str">
        <f>VLOOKUP(N1040,Stock[#Data],5,FALSE)</f>
        <v>BE</v>
      </c>
      <c r="G1040" s="82" t="s">
        <v>1614</v>
      </c>
      <c r="H1040" s="15"/>
      <c r="I1040" s="7" t="s">
        <v>1612</v>
      </c>
      <c r="J1040" s="8" t="str">
        <f>VLOOKUP(I1040,Customers[#Data],2,FALSE)</f>
        <v>ဆောင်းနွေဦး</v>
      </c>
      <c r="K1040" s="15" t="str">
        <f>VLOOKUP(I1040,Customers[#Data],4,FALSE)</f>
        <v>Mudon</v>
      </c>
      <c r="L1040" s="15" t="str">
        <f>VLOOKUP(I1040,Customers[#Data],5,FALSE)</f>
        <v>Van Sales</v>
      </c>
      <c r="M1040" s="7" t="s">
        <v>6</v>
      </c>
      <c r="N1040" s="7" t="s">
        <v>520</v>
      </c>
      <c r="O1040" s="14" t="str">
        <f>VLOOKUP(N1040,Stock[#Data],2,FALSE)</f>
        <v>ဇေယျဝတီ  Red(ပု)</v>
      </c>
      <c r="P1040" s="44">
        <f>VLOOKUP(N1040,Stock[#Data],3,FALSE)</f>
        <v>0.64</v>
      </c>
      <c r="Q1040" s="3">
        <f>VLOOKUP(N1040,Stock[#Data],4,FALSE)</f>
        <v>14</v>
      </c>
      <c r="R1040" s="11"/>
      <c r="S1040" s="45">
        <f>IFERROR(Table4[[#This Row],[Bottle]]/Table4[[#This Row],[ပါဝင်မှု]]+Table4[[#This Row],[SalesPK]],0)</f>
        <v>3</v>
      </c>
      <c r="T1040" s="12">
        <v>3</v>
      </c>
      <c r="U1040" s="10">
        <f>Table4[[#This Row],[ပါဝင်မှု]]*Table4[[#This Row],[SalesPK]]+Table4[[#This Row],[Bottle]]</f>
        <v>42</v>
      </c>
      <c r="V1040" s="10">
        <f>Table4[[#This Row],[SalesBot]]*Table4[[#This Row],[ML]]</f>
        <v>26.88</v>
      </c>
      <c r="W1040" s="1">
        <f>VLOOKUP(N1040,Stock[#Data],6,FALSE)</f>
        <v>1800</v>
      </c>
      <c r="X1040" s="8">
        <f>+Table4[[#This Row],[SalesBot]]*Table4[[#This Row],[နှုံး]]</f>
        <v>75600</v>
      </c>
      <c r="Y1040" s="12"/>
      <c r="Z1040" s="12"/>
      <c r="AA1040" s="12"/>
      <c r="AB1040" s="9"/>
      <c r="AC1040" s="12"/>
      <c r="AD1040" s="9"/>
      <c r="AE1040" s="12"/>
      <c r="AF104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75600</v>
      </c>
      <c r="AG1040" s="24"/>
      <c r="AH1040" s="266"/>
      <c r="AI1040" s="264"/>
      <c r="AJ1040" s="264"/>
      <c r="AK1040" s="270"/>
      <c r="AL1040" s="270"/>
      <c r="AM1040" s="271"/>
      <c r="AN1040" s="272"/>
      <c r="AO1040" s="273"/>
      <c r="AP1040" s="268"/>
      <c r="AQ1040" s="268"/>
      <c r="AR1040" s="268"/>
    </row>
    <row r="1041" spans="1:44" s="16" customFormat="1" hidden="1" x14ac:dyDescent="0.5">
      <c r="A1041" s="3">
        <f t="shared" si="190"/>
        <v>2026</v>
      </c>
      <c r="B1041" s="8">
        <f t="shared" si="191"/>
        <v>2</v>
      </c>
      <c r="C1041" s="6">
        <v>46081</v>
      </c>
      <c r="D1041" s="15">
        <f t="shared" ca="1" si="192"/>
        <v>46097</v>
      </c>
      <c r="E1041" s="15" t="str">
        <f t="shared" ca="1" si="193"/>
        <v>0-Months</v>
      </c>
      <c r="F1041" s="8" t="str">
        <f>VLOOKUP(N1041,Stock[#Data],5,FALSE)</f>
        <v>BE</v>
      </c>
      <c r="G1041" s="82" t="s">
        <v>1615</v>
      </c>
      <c r="H1041" s="15"/>
      <c r="I1041" s="7" t="s">
        <v>321</v>
      </c>
      <c r="J1041" s="8" t="str">
        <f>VLOOKUP(I1041,Customers[#Data],2,FALSE)</f>
        <v>စူပါ</v>
      </c>
      <c r="K1041" s="15" t="str">
        <f>VLOOKUP(I1041,Customers[#Data],4,FALSE)</f>
        <v>Mudon</v>
      </c>
      <c r="L1041" s="15" t="str">
        <f>VLOOKUP(I1041,Customers[#Data],5,FALSE)</f>
        <v>Van Sales</v>
      </c>
      <c r="M1041" s="7" t="s">
        <v>6</v>
      </c>
      <c r="N1041" s="7" t="s">
        <v>517</v>
      </c>
      <c r="O1041" s="14" t="str">
        <f>VLOOKUP(N1041,Stock[#Data],2,FALSE)</f>
        <v>ဇေယျဝတီ Red (1 Liter) 30%</v>
      </c>
      <c r="P1041" s="44">
        <f>VLOOKUP(N1041,Stock[#Data],3,FALSE)</f>
        <v>1</v>
      </c>
      <c r="Q1041" s="3">
        <f>VLOOKUP(N1041,Stock[#Data],4,FALSE)</f>
        <v>12</v>
      </c>
      <c r="R1041" s="11"/>
      <c r="S1041" s="45">
        <f>IFERROR(Table4[[#This Row],[Bottle]]/Table4[[#This Row],[ပါဝင်မှု]]+Table4[[#This Row],[SalesPK]],0)</f>
        <v>50</v>
      </c>
      <c r="T1041" s="12">
        <v>50</v>
      </c>
      <c r="U1041" s="10">
        <f>Table4[[#This Row],[ပါဝင်မှု]]*Table4[[#This Row],[SalesPK]]+Table4[[#This Row],[Bottle]]</f>
        <v>600</v>
      </c>
      <c r="V1041" s="10">
        <f>Table4[[#This Row],[SalesBot]]*Table4[[#This Row],[ML]]</f>
        <v>600</v>
      </c>
      <c r="W1041" s="1">
        <f>VLOOKUP(N1041,Stock[#Data],6,FALSE)</f>
        <v>1710</v>
      </c>
      <c r="X1041" s="8">
        <f>+Table4[[#This Row],[SalesBot]]*Table4[[#This Row],[နှုံး]]</f>
        <v>1026000</v>
      </c>
      <c r="Y1041" s="12"/>
      <c r="Z1041" s="12"/>
      <c r="AA1041" s="12"/>
      <c r="AB1041" s="9"/>
      <c r="AC1041" s="12"/>
      <c r="AD1041" s="9"/>
      <c r="AE1041" s="12"/>
      <c r="AF104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1041" s="24"/>
      <c r="AH1041" s="266"/>
      <c r="AI1041" s="264"/>
      <c r="AJ1041" s="264"/>
      <c r="AK1041" s="270"/>
      <c r="AL1041" s="270"/>
      <c r="AM1041" s="271"/>
      <c r="AN1041" s="272"/>
      <c r="AO1041" s="273"/>
      <c r="AP1041" s="268"/>
      <c r="AQ1041" s="268"/>
      <c r="AR1041" s="268"/>
    </row>
    <row r="1042" spans="1:44" s="16" customFormat="1" hidden="1" x14ac:dyDescent="0.5">
      <c r="A1042" s="3">
        <f t="shared" si="190"/>
        <v>2026</v>
      </c>
      <c r="B1042" s="8">
        <f t="shared" si="191"/>
        <v>2</v>
      </c>
      <c r="C1042" s="6">
        <v>46081</v>
      </c>
      <c r="D1042" s="15">
        <f t="shared" ca="1" si="192"/>
        <v>46097</v>
      </c>
      <c r="E1042" s="15" t="str">
        <f t="shared" ca="1" si="193"/>
        <v>0-Months</v>
      </c>
      <c r="F1042" s="8" t="str">
        <f>VLOOKUP(N1042,Stock[#Data],5,FALSE)</f>
        <v>BE</v>
      </c>
      <c r="G1042" s="82" t="s">
        <v>1616</v>
      </c>
      <c r="H1042" s="15"/>
      <c r="I1042" s="7" t="s">
        <v>538</v>
      </c>
      <c r="J1042" s="8" t="str">
        <f>VLOOKUP(I1042,Customers[#Data],2,FALSE)</f>
        <v>ဒေါ်နွယ်နွယ်ရီ(ရွှေတောင်ကြား)</v>
      </c>
      <c r="K1042" s="15" t="str">
        <f>VLOOKUP(I1042,Customers[#Data],4,FALSE)</f>
        <v>Yay</v>
      </c>
      <c r="L1042" s="15" t="str">
        <f>VLOOKUP(I1042,Customers[#Data],5,FALSE)</f>
        <v>WholeSales</v>
      </c>
      <c r="M1042" s="7" t="s">
        <v>6</v>
      </c>
      <c r="N1042" s="7" t="s">
        <v>517</v>
      </c>
      <c r="O1042" s="14" t="str">
        <f>VLOOKUP(N1042,Stock[#Data],2,FALSE)</f>
        <v>ဇေယျဝတီ Red (1 Liter) 30%</v>
      </c>
      <c r="P1042" s="44">
        <f>VLOOKUP(N1042,Stock[#Data],3,FALSE)</f>
        <v>1</v>
      </c>
      <c r="Q1042" s="3">
        <f>VLOOKUP(N1042,Stock[#Data],4,FALSE)</f>
        <v>12</v>
      </c>
      <c r="R1042" s="11"/>
      <c r="S1042" s="45">
        <f>IFERROR(Table4[[#This Row],[Bottle]]/Table4[[#This Row],[ပါဝင်မှု]]+Table4[[#This Row],[SalesPK]],0)</f>
        <v>100</v>
      </c>
      <c r="T1042" s="12">
        <v>100</v>
      </c>
      <c r="U1042" s="10">
        <f>Table4[[#This Row],[ပါဝင်မှု]]*Table4[[#This Row],[SalesPK]]+Table4[[#This Row],[Bottle]]</f>
        <v>1200</v>
      </c>
      <c r="V1042" s="10">
        <f>Table4[[#This Row],[SalesBot]]*Table4[[#This Row],[ML]]</f>
        <v>1200</v>
      </c>
      <c r="W1042" s="1">
        <f>VLOOKUP(N1042,Stock[#Data],6,FALSE)</f>
        <v>1710</v>
      </c>
      <c r="X1042" s="8">
        <f>+Table4[[#This Row],[SalesBot]]*Table4[[#This Row],[နှုံး]]</f>
        <v>2052000</v>
      </c>
      <c r="Y1042" s="12"/>
      <c r="Z1042" s="12"/>
      <c r="AA1042" s="12"/>
      <c r="AB1042" s="9"/>
      <c r="AC1042" s="12"/>
      <c r="AD1042" s="9"/>
      <c r="AE1042" s="12"/>
      <c r="AF104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042" s="24"/>
      <c r="AH1042" s="266"/>
      <c r="AI1042" s="264"/>
      <c r="AJ1042" s="264"/>
      <c r="AK1042" s="270"/>
      <c r="AL1042" s="270"/>
      <c r="AM1042" s="271"/>
      <c r="AN1042" s="272"/>
      <c r="AO1042" s="273"/>
      <c r="AP1042" s="268"/>
      <c r="AQ1042" s="268"/>
      <c r="AR1042" s="268"/>
    </row>
    <row r="1043" spans="1:44" s="16" customFormat="1" hidden="1" x14ac:dyDescent="0.5">
      <c r="A1043" s="3">
        <f t="shared" si="190"/>
        <v>2026</v>
      </c>
      <c r="B1043" s="8">
        <f t="shared" si="191"/>
        <v>2</v>
      </c>
      <c r="C1043" s="6">
        <v>46081</v>
      </c>
      <c r="D1043" s="15">
        <f t="shared" ca="1" si="192"/>
        <v>46097</v>
      </c>
      <c r="E1043" s="15" t="str">
        <f t="shared" ca="1" si="193"/>
        <v>0-Months</v>
      </c>
      <c r="F1043" s="8" t="str">
        <f>VLOOKUP(N1043,Stock[#Data],5,FALSE)</f>
        <v>BE</v>
      </c>
      <c r="G1043" s="82" t="s">
        <v>1616</v>
      </c>
      <c r="H1043" s="15"/>
      <c r="I1043" s="7" t="s">
        <v>544</v>
      </c>
      <c r="J1043" s="8" t="str">
        <f>VLOOKUP(I1043,Customers[#Data],2,FALSE)</f>
        <v>မစန္ဒာ</v>
      </c>
      <c r="K1043" s="15" t="str">
        <f>VLOOKUP(I1043,Customers[#Data],4,FALSE)</f>
        <v>Hpa-an</v>
      </c>
      <c r="L1043" s="15" t="str">
        <f>VLOOKUP(I1043,Customers[#Data],5,FALSE)</f>
        <v>SemiWholeSales</v>
      </c>
      <c r="M1043" s="7" t="s">
        <v>6</v>
      </c>
      <c r="N1043" s="7" t="s">
        <v>514</v>
      </c>
      <c r="O1043" s="14" t="str">
        <f>VLOOKUP(N1043,Stock[#Data],2,FALSE)</f>
        <v>ဇေယျဝတီ Red</v>
      </c>
      <c r="P1043" s="44">
        <f>VLOOKUP(N1043,Stock[#Data],3,FALSE)</f>
        <v>0.64</v>
      </c>
      <c r="Q1043" s="3">
        <f>VLOOKUP(N1043,Stock[#Data],4,FALSE)</f>
        <v>14</v>
      </c>
      <c r="R1043" s="11"/>
      <c r="S1043" s="45">
        <f>IFERROR(Table4[[#This Row],[Bottle]]/Table4[[#This Row],[ပါဝင်မှု]]+Table4[[#This Row],[SalesPK]],0)</f>
        <v>100</v>
      </c>
      <c r="T1043" s="12">
        <v>100</v>
      </c>
      <c r="U1043" s="10">
        <f>Table4[[#This Row],[ပါဝင်မှု]]*Table4[[#This Row],[SalesPK]]+Table4[[#This Row],[Bottle]]</f>
        <v>1400</v>
      </c>
      <c r="V1043" s="10">
        <f>Table4[[#This Row],[SalesBot]]*Table4[[#This Row],[ML]]</f>
        <v>896</v>
      </c>
      <c r="W1043" s="1">
        <f>VLOOKUP(N1043,Stock[#Data],6,FALSE)</f>
        <v>1350</v>
      </c>
      <c r="X1043" s="8">
        <f>+Table4[[#This Row],[SalesBot]]*Table4[[#This Row],[နှုံး]]</f>
        <v>1890000</v>
      </c>
      <c r="Y1043" s="12"/>
      <c r="Z1043" s="12"/>
      <c r="AA1043" s="12"/>
      <c r="AB1043" s="9"/>
      <c r="AC1043" s="12"/>
      <c r="AD1043" s="9"/>
      <c r="AE1043" s="12"/>
      <c r="AF104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1043" s="24"/>
      <c r="AH1043" s="266"/>
      <c r="AI1043" s="264"/>
      <c r="AJ1043" s="264"/>
      <c r="AK1043" s="270"/>
      <c r="AL1043" s="270"/>
      <c r="AM1043" s="271"/>
      <c r="AN1043" s="272"/>
      <c r="AO1043" s="273"/>
      <c r="AP1043" s="268"/>
      <c r="AQ1043" s="268"/>
      <c r="AR1043" s="268"/>
    </row>
    <row r="1044" spans="1:44" s="16" customFormat="1" hidden="1" x14ac:dyDescent="0.5">
      <c r="A1044" s="3">
        <f t="shared" si="190"/>
        <v>2026</v>
      </c>
      <c r="B1044" s="8">
        <f t="shared" si="191"/>
        <v>2</v>
      </c>
      <c r="C1044" s="6">
        <v>46081</v>
      </c>
      <c r="D1044" s="15">
        <f t="shared" ca="1" si="192"/>
        <v>46097</v>
      </c>
      <c r="E1044" s="15" t="str">
        <f t="shared" ca="1" si="193"/>
        <v>0-Months</v>
      </c>
      <c r="F1044" s="8" t="str">
        <f>VLOOKUP(N1044,Stock[#Data],5,FALSE)</f>
        <v>BE</v>
      </c>
      <c r="G1044" s="82" t="s">
        <v>1616</v>
      </c>
      <c r="H1044" s="15"/>
      <c r="I1044" s="7" t="s">
        <v>544</v>
      </c>
      <c r="J1044" s="8" t="str">
        <f>VLOOKUP(I1044,Customers[#Data],2,FALSE)</f>
        <v>မစန္ဒာ</v>
      </c>
      <c r="K1044" s="15" t="str">
        <f>VLOOKUP(I1044,Customers[#Data],4,FALSE)</f>
        <v>Hpa-an</v>
      </c>
      <c r="L1044" s="15" t="str">
        <f>VLOOKUP(I1044,Customers[#Data],5,FALSE)</f>
        <v>SemiWholeSales</v>
      </c>
      <c r="M1044" s="7" t="s">
        <v>6</v>
      </c>
      <c r="N1044" s="7" t="s">
        <v>517</v>
      </c>
      <c r="O1044" s="14" t="str">
        <f>VLOOKUP(N1044,Stock[#Data],2,FALSE)</f>
        <v>ဇေယျဝတီ Red (1 Liter) 30%</v>
      </c>
      <c r="P1044" s="44">
        <f>VLOOKUP(N1044,Stock[#Data],3,FALSE)</f>
        <v>1</v>
      </c>
      <c r="Q1044" s="3">
        <f>VLOOKUP(N1044,Stock[#Data],4,FALSE)</f>
        <v>12</v>
      </c>
      <c r="R1044" s="11"/>
      <c r="S1044" s="45">
        <f>IFERROR(Table4[[#This Row],[Bottle]]/Table4[[#This Row],[ပါဝင်မှု]]+Table4[[#This Row],[SalesPK]],0)</f>
        <v>100</v>
      </c>
      <c r="T1044" s="12">
        <v>100</v>
      </c>
      <c r="U1044" s="10">
        <f>Table4[[#This Row],[ပါဝင်မှု]]*Table4[[#This Row],[SalesPK]]+Table4[[#This Row],[Bottle]]</f>
        <v>1200</v>
      </c>
      <c r="V1044" s="10">
        <f>Table4[[#This Row],[SalesBot]]*Table4[[#This Row],[ML]]</f>
        <v>1200</v>
      </c>
      <c r="W1044" s="1">
        <f>VLOOKUP(N1044,Stock[#Data],6,FALSE)</f>
        <v>1710</v>
      </c>
      <c r="X1044" s="8">
        <f>+Table4[[#This Row],[SalesBot]]*Table4[[#This Row],[နှုံး]]</f>
        <v>2052000</v>
      </c>
      <c r="Y1044" s="12"/>
      <c r="Z1044" s="12"/>
      <c r="AA1044" s="12"/>
      <c r="AB1044" s="9"/>
      <c r="AC1044" s="12"/>
      <c r="AD1044" s="9"/>
      <c r="AE1044" s="12"/>
      <c r="AF104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044" s="24"/>
      <c r="AH1044" s="266"/>
      <c r="AI1044" s="264"/>
      <c r="AJ1044" s="264"/>
      <c r="AK1044" s="270"/>
      <c r="AL1044" s="270"/>
      <c r="AM1044" s="271"/>
      <c r="AN1044" s="272"/>
      <c r="AO1044" s="273"/>
      <c r="AP1044" s="268"/>
      <c r="AQ1044" s="268"/>
      <c r="AR1044" s="268"/>
    </row>
    <row r="1045" spans="1:44" s="16" customFormat="1" hidden="1" x14ac:dyDescent="0.5">
      <c r="A1045" s="3">
        <f t="shared" si="190"/>
        <v>2026</v>
      </c>
      <c r="B1045" s="8">
        <f t="shared" si="191"/>
        <v>2</v>
      </c>
      <c r="C1045" s="6">
        <v>46081</v>
      </c>
      <c r="D1045" s="15">
        <f t="shared" ca="1" si="192"/>
        <v>46097</v>
      </c>
      <c r="E1045" s="15" t="str">
        <f t="shared" ca="1" si="193"/>
        <v>0-Months</v>
      </c>
      <c r="F1045" s="8" t="str">
        <f>VLOOKUP(N1045,Stock[#Data],5,FALSE)</f>
        <v>BE</v>
      </c>
      <c r="G1045" s="82" t="s">
        <v>1617</v>
      </c>
      <c r="H1045" s="15" t="s">
        <v>439</v>
      </c>
      <c r="I1045" s="7" t="s">
        <v>1432</v>
      </c>
      <c r="J1045" s="8" t="str">
        <f>VLOOKUP(I1045,Customers[#Data],2,FALSE)</f>
        <v>Sk</v>
      </c>
      <c r="K1045" s="15" t="str">
        <f>VLOOKUP(I1045,Customers[#Data],4,FALSE)</f>
        <v>Maw La Myaing</v>
      </c>
      <c r="L1045" s="15" t="str">
        <f>VLOOKUP(I1045,Customers[#Data],5,FALSE)</f>
        <v>Van Sales</v>
      </c>
      <c r="M1045" s="7" t="s">
        <v>6</v>
      </c>
      <c r="N1045" s="7" t="s">
        <v>516</v>
      </c>
      <c r="O1045" s="14" t="str">
        <f>VLOOKUP(N1045,Stock[#Data],2,FALSE)</f>
        <v>ဇေ Vodka</v>
      </c>
      <c r="P1045" s="44">
        <f>VLOOKUP(N1045,Stock[#Data],3,FALSE)</f>
        <v>0.64</v>
      </c>
      <c r="Q1045" s="3">
        <f>VLOOKUP(N1045,Stock[#Data],4,FALSE)</f>
        <v>14</v>
      </c>
      <c r="R1045" s="11"/>
      <c r="S1045" s="45">
        <f>IFERROR(Table4[[#This Row],[Bottle]]/Table4[[#This Row],[ပါဝင်မှု]]+Table4[[#This Row],[SalesPK]],0)</f>
        <v>2</v>
      </c>
      <c r="T1045" s="12">
        <v>2</v>
      </c>
      <c r="U1045" s="10">
        <f>Table4[[#This Row],[ပါဝင်မှု]]*Table4[[#This Row],[SalesPK]]+Table4[[#This Row],[Bottle]]</f>
        <v>28</v>
      </c>
      <c r="V1045" s="10">
        <f>Table4[[#This Row],[SalesBot]]*Table4[[#This Row],[ML]]</f>
        <v>17.920000000000002</v>
      </c>
      <c r="W1045" s="1">
        <f>VLOOKUP(N1045,Stock[#Data],6,FALSE)</f>
        <v>1400</v>
      </c>
      <c r="X1045" s="8">
        <f>+Table4[[#This Row],[SalesBot]]*Table4[[#This Row],[နှုံး]]</f>
        <v>39200</v>
      </c>
      <c r="Y1045" s="12"/>
      <c r="Z1045" s="12"/>
      <c r="AA1045" s="12"/>
      <c r="AB1045" s="9"/>
      <c r="AC1045" s="12"/>
      <c r="AD1045" s="9"/>
      <c r="AE1045" s="12"/>
      <c r="AF104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39200</v>
      </c>
      <c r="AG1045" s="24"/>
      <c r="AH1045" s="266"/>
      <c r="AI1045" s="264"/>
      <c r="AJ1045" s="264"/>
      <c r="AK1045" s="270"/>
      <c r="AL1045" s="270"/>
      <c r="AM1045" s="271"/>
      <c r="AN1045" s="272"/>
      <c r="AO1045" s="273"/>
      <c r="AP1045" s="268"/>
      <c r="AQ1045" s="268"/>
      <c r="AR1045" s="268"/>
    </row>
    <row r="1046" spans="1:44" s="16" customFormat="1" hidden="1" x14ac:dyDescent="0.5">
      <c r="A1046" s="3">
        <f t="shared" si="190"/>
        <v>2026</v>
      </c>
      <c r="B1046" s="8">
        <f t="shared" si="191"/>
        <v>2</v>
      </c>
      <c r="C1046" s="6">
        <v>46081</v>
      </c>
      <c r="D1046" s="15">
        <f t="shared" ca="1" si="192"/>
        <v>46097</v>
      </c>
      <c r="E1046" s="15" t="str">
        <f t="shared" ca="1" si="193"/>
        <v>0-Months</v>
      </c>
      <c r="F1046" s="8" t="str">
        <f>VLOOKUP(N1046,Stock[#Data],5,FALSE)</f>
        <v>BE</v>
      </c>
      <c r="G1046" s="82" t="s">
        <v>1618</v>
      </c>
      <c r="H1046" s="15" t="s">
        <v>439</v>
      </c>
      <c r="I1046" s="7">
        <v>1948</v>
      </c>
      <c r="J1046" s="8">
        <f>VLOOKUP(I1046,Customers[#Data],2,FALSE)</f>
        <v>1948</v>
      </c>
      <c r="K1046" s="15" t="str">
        <f>VLOOKUP(I1046,Customers[#Data],4,FALSE)</f>
        <v>Maw La Myaing</v>
      </c>
      <c r="L1046" s="15" t="str">
        <f>VLOOKUP(I1046,Customers[#Data],5,FALSE)</f>
        <v>Van Sales</v>
      </c>
      <c r="M1046" s="7" t="s">
        <v>6</v>
      </c>
      <c r="N1046" s="7" t="s">
        <v>516</v>
      </c>
      <c r="O1046" s="14" t="str">
        <f>VLOOKUP(N1046,Stock[#Data],2,FALSE)</f>
        <v>ဇေ Vodka</v>
      </c>
      <c r="P1046" s="44">
        <f>VLOOKUP(N1046,Stock[#Data],3,FALSE)</f>
        <v>0.64</v>
      </c>
      <c r="Q1046" s="3">
        <f>VLOOKUP(N1046,Stock[#Data],4,FALSE)</f>
        <v>14</v>
      </c>
      <c r="R1046" s="11"/>
      <c r="S1046" s="45">
        <f>IFERROR(Table4[[#This Row],[Bottle]]/Table4[[#This Row],[ပါဝင်မှု]]+Table4[[#This Row],[SalesPK]],0)</f>
        <v>3</v>
      </c>
      <c r="T1046" s="12">
        <v>3</v>
      </c>
      <c r="U1046" s="10">
        <f>Table4[[#This Row],[ပါဝင်မှု]]*Table4[[#This Row],[SalesPK]]+Table4[[#This Row],[Bottle]]</f>
        <v>42</v>
      </c>
      <c r="V1046" s="10">
        <f>Table4[[#This Row],[SalesBot]]*Table4[[#This Row],[ML]]</f>
        <v>26.88</v>
      </c>
      <c r="W1046" s="1">
        <f>VLOOKUP(N1046,Stock[#Data],6,FALSE)</f>
        <v>1400</v>
      </c>
      <c r="X1046" s="8">
        <f>+Table4[[#This Row],[SalesBot]]*Table4[[#This Row],[နှုံး]]</f>
        <v>58800</v>
      </c>
      <c r="Y1046" s="12"/>
      <c r="Z1046" s="12"/>
      <c r="AA1046" s="12"/>
      <c r="AB1046" s="9"/>
      <c r="AC1046" s="12"/>
      <c r="AD1046" s="9"/>
      <c r="AE1046" s="12"/>
      <c r="AF104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58800</v>
      </c>
      <c r="AG1046" s="24"/>
      <c r="AH1046" s="266"/>
      <c r="AI1046" s="264"/>
      <c r="AJ1046" s="264"/>
      <c r="AK1046" s="270"/>
      <c r="AL1046" s="270"/>
      <c r="AM1046" s="271"/>
      <c r="AN1046" s="272"/>
      <c r="AO1046" s="273"/>
      <c r="AP1046" s="268"/>
      <c r="AQ1046" s="268"/>
      <c r="AR1046" s="268"/>
    </row>
    <row r="1047" spans="1:44" s="16" customFormat="1" hidden="1" x14ac:dyDescent="0.5">
      <c r="A1047" s="3">
        <f t="shared" si="190"/>
        <v>2026</v>
      </c>
      <c r="B1047" s="8">
        <f t="shared" si="191"/>
        <v>2</v>
      </c>
      <c r="C1047" s="6">
        <v>46081</v>
      </c>
      <c r="D1047" s="15">
        <f t="shared" ca="1" si="192"/>
        <v>46097</v>
      </c>
      <c r="E1047" s="15" t="str">
        <f t="shared" ca="1" si="193"/>
        <v>0-Months</v>
      </c>
      <c r="F1047" s="8" t="str">
        <f>VLOOKUP(N1047,Stock[#Data],5,FALSE)</f>
        <v>BE</v>
      </c>
      <c r="G1047" s="82" t="s">
        <v>1619</v>
      </c>
      <c r="H1047" s="15" t="s">
        <v>439</v>
      </c>
      <c r="I1047" s="7" t="s">
        <v>725</v>
      </c>
      <c r="J1047" s="8" t="str">
        <f>VLOOKUP(I1047,Customers[#Data],2,FALSE)</f>
        <v>ရွှေနဂါး</v>
      </c>
      <c r="K1047" s="15" t="str">
        <f>VLOOKUP(I1047,Customers[#Data],4,FALSE)</f>
        <v>Maw La Myaing</v>
      </c>
      <c r="L1047" s="15" t="str">
        <f>VLOOKUP(I1047,Customers[#Data],5,FALSE)</f>
        <v>Van Sales</v>
      </c>
      <c r="M1047" s="7" t="s">
        <v>6</v>
      </c>
      <c r="N1047" s="7" t="s">
        <v>522</v>
      </c>
      <c r="O1047" s="14" t="str">
        <f>VLOOKUP(N1047,Stock[#Data],2,FALSE)</f>
        <v>ဒဂုံမန်ကျည်း ကော်ဘူး (1 Liter)</v>
      </c>
      <c r="P1047" s="44">
        <f>VLOOKUP(N1047,Stock[#Data],3,FALSE)</f>
        <v>1</v>
      </c>
      <c r="Q1047" s="3">
        <f>VLOOKUP(N1047,Stock[#Data],4,FALSE)</f>
        <v>12</v>
      </c>
      <c r="R1047" s="11"/>
      <c r="S1047" s="45">
        <f>IFERROR(Table4[[#This Row],[Bottle]]/Table4[[#This Row],[ပါဝင်မှု]]+Table4[[#This Row],[SalesPK]],0)</f>
        <v>2</v>
      </c>
      <c r="T1047" s="12">
        <v>2</v>
      </c>
      <c r="U1047" s="10">
        <f>Table4[[#This Row],[ပါဝင်မှု]]*Table4[[#This Row],[SalesPK]]+Table4[[#This Row],[Bottle]]</f>
        <v>24</v>
      </c>
      <c r="V1047" s="10">
        <f>Table4[[#This Row],[SalesBot]]*Table4[[#This Row],[ML]]</f>
        <v>24</v>
      </c>
      <c r="W1047" s="1">
        <f>VLOOKUP(N1047,Stock[#Data],6,FALSE)</f>
        <v>1600</v>
      </c>
      <c r="X1047" s="8">
        <f>+Table4[[#This Row],[SalesBot]]*Table4[[#This Row],[နှုံး]]</f>
        <v>38400</v>
      </c>
      <c r="Y1047" s="12"/>
      <c r="Z1047" s="12"/>
      <c r="AA1047" s="12"/>
      <c r="AB1047" s="9"/>
      <c r="AC1047" s="12"/>
      <c r="AD1047" s="9"/>
      <c r="AE1047" s="12"/>
      <c r="AF104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38400</v>
      </c>
      <c r="AG1047" s="24"/>
      <c r="AH1047" s="266"/>
      <c r="AI1047" s="264"/>
      <c r="AJ1047" s="264"/>
      <c r="AK1047" s="270"/>
      <c r="AL1047" s="270"/>
      <c r="AM1047" s="271"/>
      <c r="AN1047" s="272"/>
      <c r="AO1047" s="273"/>
      <c r="AP1047" s="268"/>
      <c r="AQ1047" s="268"/>
      <c r="AR1047" s="268"/>
    </row>
    <row r="1048" spans="1:44" s="16" customFormat="1" hidden="1" x14ac:dyDescent="0.5">
      <c r="A1048" s="3">
        <f t="shared" si="190"/>
        <v>2026</v>
      </c>
      <c r="B1048" s="8">
        <f t="shared" si="191"/>
        <v>2</v>
      </c>
      <c r="C1048" s="6">
        <v>46081</v>
      </c>
      <c r="D1048" s="15">
        <f t="shared" ca="1" si="192"/>
        <v>46097</v>
      </c>
      <c r="E1048" s="15" t="str">
        <f t="shared" ca="1" si="193"/>
        <v>0-Months</v>
      </c>
      <c r="F1048" s="8" t="str">
        <f>VLOOKUP(N1048,Stock[#Data],5,FALSE)</f>
        <v>BE</v>
      </c>
      <c r="G1048" s="82" t="s">
        <v>1620</v>
      </c>
      <c r="H1048" s="15" t="s">
        <v>439</v>
      </c>
      <c r="I1048" s="7" t="s">
        <v>1431</v>
      </c>
      <c r="J1048" s="8" t="str">
        <f>VLOOKUP(I1048,Customers[#Data],2,FALSE)</f>
        <v>ပန်းအိဖြူ</v>
      </c>
      <c r="K1048" s="15" t="str">
        <f>VLOOKUP(I1048,Customers[#Data],4,FALSE)</f>
        <v>Maw La Myaing</v>
      </c>
      <c r="L1048" s="15" t="str">
        <f>VLOOKUP(I1048,Customers[#Data],5,FALSE)</f>
        <v>Van Sales</v>
      </c>
      <c r="M1048" s="7" t="s">
        <v>6</v>
      </c>
      <c r="N1048" s="7" t="s">
        <v>1140</v>
      </c>
      <c r="O1048" s="14" t="str">
        <f>VLOOKUP(N1048,Stock[#Data],2,FALSE)</f>
        <v>ဒဂုံအရက်သန့်</v>
      </c>
      <c r="P1048" s="44">
        <f>VLOOKUP(N1048,Stock[#Data],3,FALSE)</f>
        <v>1</v>
      </c>
      <c r="Q1048" s="3">
        <f>VLOOKUP(N1048,Stock[#Data],4,FALSE)</f>
        <v>12</v>
      </c>
      <c r="R1048" s="11"/>
      <c r="S1048" s="45">
        <f>IFERROR(Table4[[#This Row],[Bottle]]/Table4[[#This Row],[ပါဝင်မှု]]+Table4[[#This Row],[SalesPK]],0)</f>
        <v>1</v>
      </c>
      <c r="T1048" s="12">
        <v>1</v>
      </c>
      <c r="U1048" s="10">
        <f>Table4[[#This Row],[ပါဝင်မှု]]*Table4[[#This Row],[SalesPK]]+Table4[[#This Row],[Bottle]]</f>
        <v>12</v>
      </c>
      <c r="V1048" s="10">
        <f>Table4[[#This Row],[SalesBot]]*Table4[[#This Row],[ML]]</f>
        <v>12</v>
      </c>
      <c r="W1048" s="1">
        <f>VLOOKUP(N1048,Stock[#Data],6,FALSE)</f>
        <v>1675</v>
      </c>
      <c r="X1048" s="8">
        <f>+Table4[[#This Row],[SalesBot]]*Table4[[#This Row],[နှုံး]]</f>
        <v>20100</v>
      </c>
      <c r="Y1048" s="12"/>
      <c r="Z1048" s="12"/>
      <c r="AA1048" s="12"/>
      <c r="AB1048" s="9"/>
      <c r="AC1048" s="12"/>
      <c r="AD1048" s="9"/>
      <c r="AE1048" s="12"/>
      <c r="AF104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</v>
      </c>
      <c r="AG1048" s="24"/>
      <c r="AH1048" s="266"/>
      <c r="AI1048" s="264"/>
      <c r="AJ1048" s="264"/>
      <c r="AK1048" s="270"/>
      <c r="AL1048" s="270"/>
      <c r="AM1048" s="271"/>
      <c r="AN1048" s="272"/>
      <c r="AO1048" s="273"/>
      <c r="AP1048" s="268"/>
      <c r="AQ1048" s="268"/>
      <c r="AR1048" s="268"/>
    </row>
    <row r="1049" spans="1:44" s="16" customFormat="1" x14ac:dyDescent="0.5">
      <c r="A1049" s="3">
        <f t="shared" ref="A1049:A1070" si="194">YEAR(C1049)</f>
        <v>2026</v>
      </c>
      <c r="B1049" s="8">
        <f t="shared" ref="B1049:B1070" si="195">MONTH(C1049)</f>
        <v>3</v>
      </c>
      <c r="C1049" s="6">
        <v>46084</v>
      </c>
      <c r="D1049" s="15">
        <f t="shared" ref="D1049:D1070" ca="1" si="196">TODAY()</f>
        <v>46097</v>
      </c>
      <c r="E1049" s="15" t="str">
        <f t="shared" ref="E1049:E1070" ca="1" si="197">DATEDIF(C1049,D1049,"M")&amp;"-Months"</f>
        <v>0-Months</v>
      </c>
      <c r="F1049" s="8" t="str">
        <f>VLOOKUP(N1049,Stock[#Data],5,FALSE)</f>
        <v>BE</v>
      </c>
      <c r="G1049" s="82" t="s">
        <v>1622</v>
      </c>
      <c r="H1049" s="15"/>
      <c r="I1049" s="7" t="s">
        <v>539</v>
      </c>
      <c r="J1049" s="8" t="str">
        <f>VLOOKUP(I1049,Customers[#Data],2,FALSE)</f>
        <v>၀င်းအောင်ရွှေ</v>
      </c>
      <c r="K1049" s="15" t="str">
        <f>VLOOKUP(I1049,Customers[#Data],4,FALSE)</f>
        <v>Hpa-an</v>
      </c>
      <c r="L1049" s="15" t="str">
        <f>VLOOKUP(I1049,Customers[#Data],5,FALSE)</f>
        <v>SemiWholeSales</v>
      </c>
      <c r="M1049" s="7" t="s">
        <v>6</v>
      </c>
      <c r="N1049" s="7" t="s">
        <v>514</v>
      </c>
      <c r="O1049" s="14" t="str">
        <f>VLOOKUP(N1049,Stock[#Data],2,FALSE)</f>
        <v>ဇေယျဝတီ Red</v>
      </c>
      <c r="P1049" s="44">
        <f>VLOOKUP(N1049,Stock[#Data],3,FALSE)</f>
        <v>0.64</v>
      </c>
      <c r="Q1049" s="3">
        <f>VLOOKUP(N1049,Stock[#Data],4,FALSE)</f>
        <v>14</v>
      </c>
      <c r="R1049" s="11"/>
      <c r="S1049" s="45">
        <f>IFERROR(Table4[[#This Row],[Bottle]]/Table4[[#This Row],[ပါဝင်မှု]]+Table4[[#This Row],[SalesPK]],0)</f>
        <v>150</v>
      </c>
      <c r="T1049" s="12">
        <v>150</v>
      </c>
      <c r="U1049" s="10">
        <f>Table4[[#This Row],[ပါဝင်မှု]]*Table4[[#This Row],[SalesPK]]+Table4[[#This Row],[Bottle]]</f>
        <v>2100</v>
      </c>
      <c r="V1049" s="10">
        <f>Table4[[#This Row],[SalesBot]]*Table4[[#This Row],[ML]]</f>
        <v>1344</v>
      </c>
      <c r="W1049" s="1">
        <f>VLOOKUP(N1049,Stock[#Data],6,FALSE)</f>
        <v>1350</v>
      </c>
      <c r="X1049" s="8">
        <f>+Table4[[#This Row],[SalesBot]]*Table4[[#This Row],[နှုံး]]</f>
        <v>2835000</v>
      </c>
      <c r="Y1049" s="12"/>
      <c r="Z1049" s="12"/>
      <c r="AA1049" s="12"/>
      <c r="AB1049" s="9"/>
      <c r="AC1049" s="12"/>
      <c r="AD1049" s="9"/>
      <c r="AE1049" s="12"/>
      <c r="AF104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2835000</v>
      </c>
      <c r="AG1049" s="24"/>
      <c r="AH1049" s="266"/>
      <c r="AI1049" s="264"/>
      <c r="AJ1049" s="264"/>
      <c r="AK1049" s="270"/>
      <c r="AL1049" s="270"/>
      <c r="AM1049" s="271"/>
      <c r="AN1049" s="272"/>
      <c r="AO1049" s="273"/>
      <c r="AP1049" s="268"/>
      <c r="AQ1049" s="268"/>
      <c r="AR1049" s="268"/>
    </row>
    <row r="1050" spans="1:44" s="16" customFormat="1" x14ac:dyDescent="0.5">
      <c r="A1050" s="3">
        <f t="shared" si="194"/>
        <v>2026</v>
      </c>
      <c r="B1050" s="8">
        <f t="shared" si="195"/>
        <v>3</v>
      </c>
      <c r="C1050" s="6">
        <v>46084</v>
      </c>
      <c r="D1050" s="15">
        <f t="shared" ca="1" si="196"/>
        <v>46097</v>
      </c>
      <c r="E1050" s="15" t="str">
        <f t="shared" ca="1" si="197"/>
        <v>0-Months</v>
      </c>
      <c r="F1050" s="8" t="str">
        <f>VLOOKUP(N1050,Stock[#Data],5,FALSE)</f>
        <v>BE</v>
      </c>
      <c r="G1050" s="82" t="s">
        <v>1622</v>
      </c>
      <c r="H1050" s="15"/>
      <c r="I1050" s="7" t="s">
        <v>539</v>
      </c>
      <c r="J1050" s="8" t="str">
        <f>VLOOKUP(I1050,Customers[#Data],2,FALSE)</f>
        <v>၀င်းအောင်ရွှေ</v>
      </c>
      <c r="K1050" s="15" t="str">
        <f>VLOOKUP(I1050,Customers[#Data],4,FALSE)</f>
        <v>Hpa-an</v>
      </c>
      <c r="L1050" s="15" t="str">
        <f>VLOOKUP(I1050,Customers[#Data],5,FALSE)</f>
        <v>SemiWholeSales</v>
      </c>
      <c r="M1050" s="7" t="s">
        <v>6</v>
      </c>
      <c r="N1050" s="7" t="s">
        <v>517</v>
      </c>
      <c r="O1050" s="14" t="str">
        <f>VLOOKUP(N1050,Stock[#Data],2,FALSE)</f>
        <v>ဇေယျဝတီ Red (1 Liter) 30%</v>
      </c>
      <c r="P1050" s="44">
        <f>VLOOKUP(N1050,Stock[#Data],3,FALSE)</f>
        <v>1</v>
      </c>
      <c r="Q1050" s="3">
        <f>VLOOKUP(N1050,Stock[#Data],4,FALSE)</f>
        <v>12</v>
      </c>
      <c r="R1050" s="11"/>
      <c r="S1050" s="45">
        <f>IFERROR(Table4[[#This Row],[Bottle]]/Table4[[#This Row],[ပါဝင်မှု]]+Table4[[#This Row],[SalesPK]],0)</f>
        <v>50</v>
      </c>
      <c r="T1050" s="12">
        <v>50</v>
      </c>
      <c r="U1050" s="10">
        <f>Table4[[#This Row],[ပါဝင်မှု]]*Table4[[#This Row],[SalesPK]]+Table4[[#This Row],[Bottle]]</f>
        <v>600</v>
      </c>
      <c r="V1050" s="10">
        <f>Table4[[#This Row],[SalesBot]]*Table4[[#This Row],[ML]]</f>
        <v>600</v>
      </c>
      <c r="W1050" s="1">
        <f>VLOOKUP(N1050,Stock[#Data],6,FALSE)</f>
        <v>1710</v>
      </c>
      <c r="X1050" s="8">
        <f>+Table4[[#This Row],[SalesBot]]*Table4[[#This Row],[နှုံး]]</f>
        <v>1026000</v>
      </c>
      <c r="Y1050" s="12"/>
      <c r="Z1050" s="12"/>
      <c r="AA1050" s="12"/>
      <c r="AB1050" s="9"/>
      <c r="AC1050" s="12"/>
      <c r="AD1050" s="9"/>
      <c r="AE1050" s="12"/>
      <c r="AF105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1050" s="24"/>
      <c r="AH1050" s="266"/>
      <c r="AI1050" s="264"/>
      <c r="AJ1050" s="264"/>
      <c r="AK1050" s="270"/>
      <c r="AL1050" s="270"/>
      <c r="AM1050" s="271"/>
      <c r="AN1050" s="272"/>
      <c r="AO1050" s="273"/>
      <c r="AP1050" s="268"/>
      <c r="AQ1050" s="268"/>
      <c r="AR1050" s="268"/>
    </row>
    <row r="1051" spans="1:44" s="16" customFormat="1" x14ac:dyDescent="0.5">
      <c r="A1051" s="3">
        <f t="shared" si="194"/>
        <v>2026</v>
      </c>
      <c r="B1051" s="8">
        <f t="shared" si="195"/>
        <v>3</v>
      </c>
      <c r="C1051" s="6">
        <v>46084</v>
      </c>
      <c r="D1051" s="15">
        <f t="shared" ca="1" si="196"/>
        <v>46097</v>
      </c>
      <c r="E1051" s="15" t="str">
        <f t="shared" ca="1" si="197"/>
        <v>0-Months</v>
      </c>
      <c r="F1051" s="8" t="str">
        <f>VLOOKUP(N1051,Stock[#Data],5,FALSE)</f>
        <v>BE</v>
      </c>
      <c r="G1051" s="82" t="s">
        <v>1622</v>
      </c>
      <c r="H1051" s="15"/>
      <c r="I1051" s="7" t="s">
        <v>539</v>
      </c>
      <c r="J1051" s="8" t="str">
        <f>VLOOKUP(I1051,Customers[#Data],2,FALSE)</f>
        <v>၀င်းအောင်ရွှေ</v>
      </c>
      <c r="K1051" s="15" t="str">
        <f>VLOOKUP(I1051,Customers[#Data],4,FALSE)</f>
        <v>Hpa-an</v>
      </c>
      <c r="L1051" s="15" t="str">
        <f>VLOOKUP(I1051,Customers[#Data],5,FALSE)</f>
        <v>SemiWholeSales</v>
      </c>
      <c r="M1051" s="7" t="s">
        <v>6</v>
      </c>
      <c r="N1051" s="7" t="s">
        <v>508</v>
      </c>
      <c r="O1051" s="14" t="str">
        <f>VLOOKUP(N1051,Stock[#Data],2,FALSE)</f>
        <v>ကောင်းကြည်-1Li</v>
      </c>
      <c r="P1051" s="44">
        <f>VLOOKUP(N1051,Stock[#Data],3,FALSE)</f>
        <v>1</v>
      </c>
      <c r="Q1051" s="3">
        <f>VLOOKUP(N1051,Stock[#Data],4,FALSE)</f>
        <v>12</v>
      </c>
      <c r="R1051" s="11"/>
      <c r="S1051" s="45">
        <f>IFERROR(Table4[[#This Row],[Bottle]]/Table4[[#This Row],[ပါဝင်မှု]]+Table4[[#This Row],[SalesPK]],0)</f>
        <v>10</v>
      </c>
      <c r="T1051" s="12">
        <v>10</v>
      </c>
      <c r="U1051" s="10">
        <f>Table4[[#This Row],[ပါဝင်မှု]]*Table4[[#This Row],[SalesPK]]+Table4[[#This Row],[Bottle]]</f>
        <v>120</v>
      </c>
      <c r="V1051" s="10">
        <f>Table4[[#This Row],[SalesBot]]*Table4[[#This Row],[ML]]</f>
        <v>120</v>
      </c>
      <c r="W1051" s="1">
        <f>VLOOKUP(N1051,Stock[#Data],6,FALSE)</f>
        <v>1850</v>
      </c>
      <c r="X1051" s="8">
        <f>+Table4[[#This Row],[SalesBot]]*Table4[[#This Row],[နှုံး]]</f>
        <v>222000</v>
      </c>
      <c r="Y1051" s="12"/>
      <c r="Z1051" s="12"/>
      <c r="AA1051" s="12"/>
      <c r="AB1051" s="9"/>
      <c r="AC1051" s="12"/>
      <c r="AD1051" s="9"/>
      <c r="AE1051" s="12"/>
      <c r="AF105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222000</v>
      </c>
      <c r="AG1051" s="24"/>
      <c r="AH1051" s="266"/>
      <c r="AI1051" s="264"/>
      <c r="AJ1051" s="264"/>
      <c r="AK1051" s="270"/>
      <c r="AL1051" s="270"/>
      <c r="AM1051" s="271"/>
      <c r="AN1051" s="272"/>
      <c r="AO1051" s="273"/>
      <c r="AP1051" s="268"/>
      <c r="AQ1051" s="268"/>
      <c r="AR1051" s="268"/>
    </row>
    <row r="1052" spans="1:44" s="16" customFormat="1" x14ac:dyDescent="0.5">
      <c r="A1052" s="3">
        <f t="shared" si="194"/>
        <v>2026</v>
      </c>
      <c r="B1052" s="8">
        <f t="shared" si="195"/>
        <v>3</v>
      </c>
      <c r="C1052" s="6">
        <v>46084</v>
      </c>
      <c r="D1052" s="15">
        <f t="shared" ca="1" si="196"/>
        <v>46097</v>
      </c>
      <c r="E1052" s="15" t="str">
        <f t="shared" ca="1" si="197"/>
        <v>0-Months</v>
      </c>
      <c r="F1052" s="8" t="str">
        <f>VLOOKUP(N1052,Stock[#Data],5,FALSE)</f>
        <v>BE</v>
      </c>
      <c r="G1052" s="82" t="s">
        <v>1623</v>
      </c>
      <c r="H1052" s="15"/>
      <c r="I1052" s="7" t="s">
        <v>1552</v>
      </c>
      <c r="J1052" s="8" t="str">
        <f>VLOOKUP(I1052,Customers[#Data],2,FALSE)</f>
        <v>Tow Brother</v>
      </c>
      <c r="K1052" s="15" t="str">
        <f>VLOOKUP(I1052,Customers[#Data],4,FALSE)</f>
        <v>Maw La Myaing</v>
      </c>
      <c r="L1052" s="15" t="str">
        <f>VLOOKUP(I1052,Customers[#Data],5,FALSE)</f>
        <v>Van Sales</v>
      </c>
      <c r="M1052" s="7" t="s">
        <v>6</v>
      </c>
      <c r="N1052" s="7" t="s">
        <v>516</v>
      </c>
      <c r="O1052" s="14" t="str">
        <f>VLOOKUP(N1052,Stock[#Data],2,FALSE)</f>
        <v>ဇေ Vodka</v>
      </c>
      <c r="P1052" s="44">
        <f>VLOOKUP(N1052,Stock[#Data],3,FALSE)</f>
        <v>0.64</v>
      </c>
      <c r="Q1052" s="3">
        <f>VLOOKUP(N1052,Stock[#Data],4,FALSE)</f>
        <v>14</v>
      </c>
      <c r="R1052" s="11"/>
      <c r="S1052" s="45">
        <f>IFERROR(Table4[[#This Row],[Bottle]]/Table4[[#This Row],[ပါဝင်မှု]]+Table4[[#This Row],[SalesPK]],0)</f>
        <v>5</v>
      </c>
      <c r="T1052" s="12">
        <v>5</v>
      </c>
      <c r="U1052" s="10">
        <f>Table4[[#This Row],[ပါဝင်မှု]]*Table4[[#This Row],[SalesPK]]+Table4[[#This Row],[Bottle]]</f>
        <v>70</v>
      </c>
      <c r="V1052" s="10">
        <f>Table4[[#This Row],[SalesBot]]*Table4[[#This Row],[ML]]</f>
        <v>44.800000000000004</v>
      </c>
      <c r="W1052" s="1">
        <f>VLOOKUP(N1052,Stock[#Data],6,FALSE)</f>
        <v>1400</v>
      </c>
      <c r="X1052" s="8">
        <f>+Table4[[#This Row],[SalesBot]]*Table4[[#This Row],[နှုံး]]</f>
        <v>98000</v>
      </c>
      <c r="Y1052" s="12"/>
      <c r="Z1052" s="12"/>
      <c r="AA1052" s="12"/>
      <c r="AB1052" s="9"/>
      <c r="AC1052" s="12"/>
      <c r="AD1052" s="9"/>
      <c r="AE1052" s="12"/>
      <c r="AF105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</v>
      </c>
      <c r="AG1052" s="24"/>
      <c r="AH1052" s="266"/>
      <c r="AI1052" s="264"/>
      <c r="AJ1052" s="264"/>
      <c r="AK1052" s="270"/>
      <c r="AL1052" s="270"/>
      <c r="AM1052" s="271"/>
      <c r="AN1052" s="272"/>
      <c r="AO1052" s="273"/>
      <c r="AP1052" s="268"/>
      <c r="AQ1052" s="268"/>
      <c r="AR1052" s="268"/>
    </row>
    <row r="1053" spans="1:44" s="16" customFormat="1" x14ac:dyDescent="0.5">
      <c r="A1053" s="3">
        <f t="shared" si="194"/>
        <v>2026</v>
      </c>
      <c r="B1053" s="8">
        <f t="shared" si="195"/>
        <v>3</v>
      </c>
      <c r="C1053" s="6">
        <v>46084</v>
      </c>
      <c r="D1053" s="15">
        <f t="shared" ca="1" si="196"/>
        <v>46097</v>
      </c>
      <c r="E1053" s="15" t="str">
        <f t="shared" ca="1" si="197"/>
        <v>0-Months</v>
      </c>
      <c r="F1053" s="8" t="str">
        <f>VLOOKUP(N1053,Stock[#Data],5,FALSE)</f>
        <v>BE</v>
      </c>
      <c r="G1053" s="82" t="s">
        <v>1624</v>
      </c>
      <c r="H1053" s="15"/>
      <c r="I1053" s="7" t="s">
        <v>1279</v>
      </c>
      <c r="J1053" s="8" t="str">
        <f>VLOOKUP(I1053,Customers[#Data],2,FALSE)</f>
        <v>ဟိန်း</v>
      </c>
      <c r="K1053" s="15" t="str">
        <f>VLOOKUP(I1053,Customers[#Data],4,FALSE)</f>
        <v>Maw La Myaing</v>
      </c>
      <c r="L1053" s="15" t="str">
        <f>VLOOKUP(I1053,Customers[#Data],5,FALSE)</f>
        <v>Van Sales</v>
      </c>
      <c r="M1053" s="7" t="s">
        <v>6</v>
      </c>
      <c r="N1053" s="7" t="s">
        <v>516</v>
      </c>
      <c r="O1053" s="14" t="str">
        <f>VLOOKUP(N1053,Stock[#Data],2,FALSE)</f>
        <v>ဇေ Vodka</v>
      </c>
      <c r="P1053" s="44">
        <f>VLOOKUP(N1053,Stock[#Data],3,FALSE)</f>
        <v>0.64</v>
      </c>
      <c r="Q1053" s="3">
        <f>VLOOKUP(N1053,Stock[#Data],4,FALSE)</f>
        <v>14</v>
      </c>
      <c r="R1053" s="11"/>
      <c r="S1053" s="45">
        <f>IFERROR(Table4[[#This Row],[Bottle]]/Table4[[#This Row],[ပါဝင်မှု]]+Table4[[#This Row],[SalesPK]],0)</f>
        <v>10</v>
      </c>
      <c r="T1053" s="12">
        <v>10</v>
      </c>
      <c r="U1053" s="10">
        <f>Table4[[#This Row],[ပါဝင်မှု]]*Table4[[#This Row],[SalesPK]]+Table4[[#This Row],[Bottle]]</f>
        <v>140</v>
      </c>
      <c r="V1053" s="10">
        <f>Table4[[#This Row],[SalesBot]]*Table4[[#This Row],[ML]]</f>
        <v>89.600000000000009</v>
      </c>
      <c r="W1053" s="1">
        <f>VLOOKUP(N1053,Stock[#Data],6,FALSE)</f>
        <v>1400</v>
      </c>
      <c r="X1053" s="8">
        <f>+Table4[[#This Row],[SalesBot]]*Table4[[#This Row],[နှုံး]]</f>
        <v>196000</v>
      </c>
      <c r="Y1053" s="12"/>
      <c r="Z1053" s="12"/>
      <c r="AA1053" s="12"/>
      <c r="AB1053" s="9"/>
      <c r="AC1053" s="12"/>
      <c r="AD1053" s="9"/>
      <c r="AE1053" s="12"/>
      <c r="AF105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1053" s="24"/>
      <c r="AH1053" s="266"/>
      <c r="AI1053" s="264"/>
      <c r="AJ1053" s="264"/>
      <c r="AK1053" s="270"/>
      <c r="AL1053" s="270"/>
      <c r="AM1053" s="271"/>
      <c r="AN1053" s="272"/>
      <c r="AO1053" s="273"/>
      <c r="AP1053" s="268"/>
      <c r="AQ1053" s="268"/>
      <c r="AR1053" s="268"/>
    </row>
    <row r="1054" spans="1:44" s="16" customFormat="1" x14ac:dyDescent="0.5">
      <c r="A1054" s="3">
        <f t="shared" si="194"/>
        <v>2026</v>
      </c>
      <c r="B1054" s="8">
        <f t="shared" si="195"/>
        <v>3</v>
      </c>
      <c r="C1054" s="6">
        <v>46084</v>
      </c>
      <c r="D1054" s="15">
        <f t="shared" ca="1" si="196"/>
        <v>46097</v>
      </c>
      <c r="E1054" s="15" t="str">
        <f t="shared" ca="1" si="197"/>
        <v>0-Months</v>
      </c>
      <c r="F1054" s="8" t="str">
        <f>VLOOKUP(N1054,Stock[#Data],5,FALSE)</f>
        <v>BE</v>
      </c>
      <c r="G1054" s="82" t="s">
        <v>1624</v>
      </c>
      <c r="H1054" s="15"/>
      <c r="I1054" s="7" t="s">
        <v>1279</v>
      </c>
      <c r="J1054" s="8" t="str">
        <f>VLOOKUP(I1054,Customers[#Data],2,FALSE)</f>
        <v>ဟိန်း</v>
      </c>
      <c r="K1054" s="15" t="str">
        <f>VLOOKUP(I1054,Customers[#Data],4,FALSE)</f>
        <v>Maw La Myaing</v>
      </c>
      <c r="L1054" s="15" t="str">
        <f>VLOOKUP(I1054,Customers[#Data],5,FALSE)</f>
        <v>Van Sales</v>
      </c>
      <c r="M1054" s="7" t="s">
        <v>6</v>
      </c>
      <c r="N1054" s="7" t="s">
        <v>518</v>
      </c>
      <c r="O1054" s="14" t="str">
        <f>VLOOKUP(N1054,Stock[#Data],2,FALSE)</f>
        <v>"ဇေ" ကော်ဘူး (1 Liter)</v>
      </c>
      <c r="P1054" s="44">
        <f>VLOOKUP(N1054,Stock[#Data],3,FALSE)</f>
        <v>1</v>
      </c>
      <c r="Q1054" s="3">
        <f>VLOOKUP(N1054,Stock[#Data],4,FALSE)</f>
        <v>12</v>
      </c>
      <c r="R1054" s="11"/>
      <c r="S1054" s="45">
        <f>IFERROR(Table4[[#This Row],[Bottle]]/Table4[[#This Row],[ပါဝင်မှု]]+Table4[[#This Row],[SalesPK]],0)</f>
        <v>5</v>
      </c>
      <c r="T1054" s="12">
        <v>5</v>
      </c>
      <c r="U1054" s="10">
        <f>Table4[[#This Row],[ပါဝင်မှု]]*Table4[[#This Row],[SalesPK]]+Table4[[#This Row],[Bottle]]</f>
        <v>60</v>
      </c>
      <c r="V1054" s="10">
        <f>Table4[[#This Row],[SalesBot]]*Table4[[#This Row],[ML]]</f>
        <v>60</v>
      </c>
      <c r="W1054" s="1">
        <f>VLOOKUP(N1054,Stock[#Data],6,FALSE)</f>
        <v>1675</v>
      </c>
      <c r="X1054" s="8">
        <f>+Table4[[#This Row],[SalesBot]]*Table4[[#This Row],[နှုံး]]</f>
        <v>100500</v>
      </c>
      <c r="Y1054" s="12"/>
      <c r="Z1054" s="12"/>
      <c r="AA1054" s="12"/>
      <c r="AB1054" s="9"/>
      <c r="AC1054" s="12"/>
      <c r="AD1054" s="9"/>
      <c r="AE1054" s="12"/>
      <c r="AF105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1054" s="24"/>
      <c r="AH1054" s="266"/>
      <c r="AI1054" s="264"/>
      <c r="AJ1054" s="264"/>
      <c r="AK1054" s="270"/>
      <c r="AL1054" s="270"/>
      <c r="AM1054" s="271"/>
      <c r="AN1054" s="272"/>
      <c r="AO1054" s="273"/>
      <c r="AP1054" s="268"/>
      <c r="AQ1054" s="268"/>
      <c r="AR1054" s="268"/>
    </row>
    <row r="1055" spans="1:44" s="16" customFormat="1" x14ac:dyDescent="0.5">
      <c r="A1055" s="3">
        <f t="shared" si="194"/>
        <v>2026</v>
      </c>
      <c r="B1055" s="8">
        <f t="shared" si="195"/>
        <v>3</v>
      </c>
      <c r="C1055" s="6">
        <v>46084</v>
      </c>
      <c r="D1055" s="15">
        <f t="shared" ca="1" si="196"/>
        <v>46097</v>
      </c>
      <c r="E1055" s="15" t="str">
        <f t="shared" ca="1" si="197"/>
        <v>0-Months</v>
      </c>
      <c r="F1055" s="8" t="str">
        <f>VLOOKUP(N1055,Stock[#Data],5,FALSE)</f>
        <v>BE</v>
      </c>
      <c r="G1055" s="82" t="s">
        <v>1625</v>
      </c>
      <c r="H1055" s="15"/>
      <c r="I1055" s="7" t="s">
        <v>763</v>
      </c>
      <c r="J1055" s="8" t="str">
        <f>VLOOKUP(I1055,Customers[#Data],2,FALSE)</f>
        <v>ဦးသိန်းဝင်း</v>
      </c>
      <c r="K1055" s="15" t="str">
        <f>VLOOKUP(I1055,Customers[#Data],4,FALSE)</f>
        <v>Maw La Myaing</v>
      </c>
      <c r="L1055" s="15" t="str">
        <f>VLOOKUP(I1055,Customers[#Data],5,FALSE)</f>
        <v>Van Sales</v>
      </c>
      <c r="M1055" s="7" t="s">
        <v>6</v>
      </c>
      <c r="N1055" s="7" t="s">
        <v>516</v>
      </c>
      <c r="O1055" s="14" t="str">
        <f>VLOOKUP(N1055,Stock[#Data],2,FALSE)</f>
        <v>ဇေ Vodka</v>
      </c>
      <c r="P1055" s="44">
        <f>VLOOKUP(N1055,Stock[#Data],3,FALSE)</f>
        <v>0.64</v>
      </c>
      <c r="Q1055" s="3">
        <f>VLOOKUP(N1055,Stock[#Data],4,FALSE)</f>
        <v>14</v>
      </c>
      <c r="R1055" s="11"/>
      <c r="S1055" s="45">
        <f>IFERROR(Table4[[#This Row],[Bottle]]/Table4[[#This Row],[ပါဝင်မှု]]+Table4[[#This Row],[SalesPK]],0)</f>
        <v>10</v>
      </c>
      <c r="T1055" s="12">
        <v>10</v>
      </c>
      <c r="U1055" s="10">
        <f>Table4[[#This Row],[ပါဝင်မှု]]*Table4[[#This Row],[SalesPK]]+Table4[[#This Row],[Bottle]]</f>
        <v>140</v>
      </c>
      <c r="V1055" s="10">
        <f>Table4[[#This Row],[SalesBot]]*Table4[[#This Row],[ML]]</f>
        <v>89.600000000000009</v>
      </c>
      <c r="W1055" s="1">
        <f>VLOOKUP(N1055,Stock[#Data],6,FALSE)</f>
        <v>1400</v>
      </c>
      <c r="X1055" s="8">
        <f>+Table4[[#This Row],[SalesBot]]*Table4[[#This Row],[နှုံး]]</f>
        <v>196000</v>
      </c>
      <c r="Y1055" s="12"/>
      <c r="Z1055" s="12"/>
      <c r="AA1055" s="12"/>
      <c r="AB1055" s="9"/>
      <c r="AC1055" s="12"/>
      <c r="AD1055" s="9"/>
      <c r="AE1055" s="12"/>
      <c r="AF105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1055" s="24"/>
      <c r="AH1055" s="266"/>
      <c r="AI1055" s="264"/>
      <c r="AJ1055" s="264"/>
      <c r="AK1055" s="270"/>
      <c r="AL1055" s="270"/>
      <c r="AM1055" s="271"/>
      <c r="AN1055" s="272"/>
      <c r="AO1055" s="273"/>
      <c r="AP1055" s="268"/>
      <c r="AQ1055" s="268"/>
      <c r="AR1055" s="268"/>
    </row>
    <row r="1056" spans="1:44" s="16" customFormat="1" x14ac:dyDescent="0.5">
      <c r="A1056" s="3">
        <f t="shared" si="194"/>
        <v>2026</v>
      </c>
      <c r="B1056" s="8">
        <f t="shared" si="195"/>
        <v>3</v>
      </c>
      <c r="C1056" s="6">
        <v>46084</v>
      </c>
      <c r="D1056" s="15">
        <f t="shared" ca="1" si="196"/>
        <v>46097</v>
      </c>
      <c r="E1056" s="15" t="str">
        <f t="shared" ca="1" si="197"/>
        <v>0-Months</v>
      </c>
      <c r="F1056" s="8" t="str">
        <f>VLOOKUP(N1056,Stock[#Data],5,FALSE)</f>
        <v>BE</v>
      </c>
      <c r="G1056" s="82" t="s">
        <v>1625</v>
      </c>
      <c r="H1056" s="15"/>
      <c r="I1056" s="7" t="s">
        <v>763</v>
      </c>
      <c r="J1056" s="8" t="str">
        <f>VLOOKUP(I1056,Customers[#Data],2,FALSE)</f>
        <v>ဦးသိန်းဝင်း</v>
      </c>
      <c r="K1056" s="15" t="str">
        <f>VLOOKUP(I1056,Customers[#Data],4,FALSE)</f>
        <v>Maw La Myaing</v>
      </c>
      <c r="L1056" s="15" t="str">
        <f>VLOOKUP(I1056,Customers[#Data],5,FALSE)</f>
        <v>Van Sales</v>
      </c>
      <c r="M1056" s="7" t="s">
        <v>6</v>
      </c>
      <c r="N1056" s="7" t="s">
        <v>518</v>
      </c>
      <c r="O1056" s="14" t="str">
        <f>VLOOKUP(N1056,Stock[#Data],2,FALSE)</f>
        <v>"ဇေ" ကော်ဘူး (1 Liter)</v>
      </c>
      <c r="P1056" s="44">
        <f>VLOOKUP(N1056,Stock[#Data],3,FALSE)</f>
        <v>1</v>
      </c>
      <c r="Q1056" s="3">
        <f>VLOOKUP(N1056,Stock[#Data],4,FALSE)</f>
        <v>12</v>
      </c>
      <c r="R1056" s="11"/>
      <c r="S1056" s="45">
        <f>IFERROR(Table4[[#This Row],[Bottle]]/Table4[[#This Row],[ပါဝင်မှု]]+Table4[[#This Row],[SalesPK]],0)</f>
        <v>5</v>
      </c>
      <c r="T1056" s="12">
        <v>5</v>
      </c>
      <c r="U1056" s="10">
        <f>Table4[[#This Row],[ပါဝင်မှု]]*Table4[[#This Row],[SalesPK]]+Table4[[#This Row],[Bottle]]</f>
        <v>60</v>
      </c>
      <c r="V1056" s="10">
        <f>Table4[[#This Row],[SalesBot]]*Table4[[#This Row],[ML]]</f>
        <v>60</v>
      </c>
      <c r="W1056" s="1">
        <f>VLOOKUP(N1056,Stock[#Data],6,FALSE)</f>
        <v>1675</v>
      </c>
      <c r="X1056" s="8">
        <f>+Table4[[#This Row],[SalesBot]]*Table4[[#This Row],[နှုံး]]</f>
        <v>100500</v>
      </c>
      <c r="Y1056" s="12"/>
      <c r="Z1056" s="12"/>
      <c r="AA1056" s="12"/>
      <c r="AB1056" s="9"/>
      <c r="AC1056" s="12"/>
      <c r="AD1056" s="9"/>
      <c r="AE1056" s="12"/>
      <c r="AF105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1056" s="24"/>
      <c r="AH1056" s="266"/>
      <c r="AI1056" s="264"/>
      <c r="AJ1056" s="264"/>
      <c r="AK1056" s="270"/>
      <c r="AL1056" s="270"/>
      <c r="AM1056" s="271"/>
      <c r="AN1056" s="272"/>
      <c r="AO1056" s="273"/>
      <c r="AP1056" s="268"/>
      <c r="AQ1056" s="268"/>
      <c r="AR1056" s="268"/>
    </row>
    <row r="1057" spans="1:44" s="16" customFormat="1" x14ac:dyDescent="0.5">
      <c r="A1057" s="3">
        <f t="shared" si="194"/>
        <v>2026</v>
      </c>
      <c r="B1057" s="8">
        <f t="shared" si="195"/>
        <v>3</v>
      </c>
      <c r="C1057" s="6">
        <v>46084</v>
      </c>
      <c r="D1057" s="15">
        <f t="shared" ca="1" si="196"/>
        <v>46097</v>
      </c>
      <c r="E1057" s="15" t="str">
        <f t="shared" ca="1" si="197"/>
        <v>0-Months</v>
      </c>
      <c r="F1057" s="8" t="str">
        <f>VLOOKUP(N1057,Stock[#Data],5,FALSE)</f>
        <v>BE</v>
      </c>
      <c r="G1057" s="82" t="s">
        <v>1626</v>
      </c>
      <c r="H1057" s="15"/>
      <c r="I1057" s="7" t="s">
        <v>731</v>
      </c>
      <c r="J1057" s="8" t="str">
        <f>VLOOKUP(I1057,Customers[#Data],2,FALSE)</f>
        <v>ဘီလျှံနာ</v>
      </c>
      <c r="K1057" s="15" t="str">
        <f>VLOOKUP(I1057,Customers[#Data],4,FALSE)</f>
        <v>Maw La Myaing</v>
      </c>
      <c r="L1057" s="15" t="str">
        <f>VLOOKUP(I1057,Customers[#Data],5,FALSE)</f>
        <v>Van Sales</v>
      </c>
      <c r="M1057" s="7" t="s">
        <v>6</v>
      </c>
      <c r="N1057" s="7" t="s">
        <v>518</v>
      </c>
      <c r="O1057" s="14" t="str">
        <f>VLOOKUP(N1057,Stock[#Data],2,FALSE)</f>
        <v>"ဇေ" ကော်ဘူး (1 Liter)</v>
      </c>
      <c r="P1057" s="44">
        <f>VLOOKUP(N1057,Stock[#Data],3,FALSE)</f>
        <v>1</v>
      </c>
      <c r="Q1057" s="3">
        <f>VLOOKUP(N1057,Stock[#Data],4,FALSE)</f>
        <v>12</v>
      </c>
      <c r="R1057" s="11"/>
      <c r="S1057" s="45">
        <f>IFERROR(Table4[[#This Row],[Bottle]]/Table4[[#This Row],[ပါဝင်မှု]]+Table4[[#This Row],[SalesPK]],0)</f>
        <v>1</v>
      </c>
      <c r="T1057" s="12">
        <v>1</v>
      </c>
      <c r="U1057" s="10">
        <f>Table4[[#This Row],[ပါဝင်မှု]]*Table4[[#This Row],[SalesPK]]+Table4[[#This Row],[Bottle]]</f>
        <v>12</v>
      </c>
      <c r="V1057" s="10">
        <f>Table4[[#This Row],[SalesBot]]*Table4[[#This Row],[ML]]</f>
        <v>12</v>
      </c>
      <c r="W1057" s="1">
        <f>VLOOKUP(N1057,Stock[#Data],6,FALSE)</f>
        <v>1675</v>
      </c>
      <c r="X1057" s="8">
        <f>+Table4[[#This Row],[SalesBot]]*Table4[[#This Row],[နှုံး]]</f>
        <v>20100</v>
      </c>
      <c r="Y1057" s="12"/>
      <c r="Z1057" s="12"/>
      <c r="AA1057" s="12"/>
      <c r="AB1057" s="9"/>
      <c r="AC1057" s="12"/>
      <c r="AD1057" s="9"/>
      <c r="AE1057" s="12"/>
      <c r="AF105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</v>
      </c>
      <c r="AG1057" s="24"/>
      <c r="AH1057" s="266"/>
      <c r="AI1057" s="264"/>
      <c r="AJ1057" s="264"/>
      <c r="AK1057" s="270"/>
      <c r="AL1057" s="270"/>
      <c r="AM1057" s="271"/>
      <c r="AN1057" s="272"/>
      <c r="AO1057" s="273"/>
      <c r="AP1057" s="268"/>
      <c r="AQ1057" s="268"/>
      <c r="AR1057" s="268"/>
    </row>
    <row r="1058" spans="1:44" s="16" customFormat="1" x14ac:dyDescent="0.5">
      <c r="A1058" s="3">
        <f t="shared" si="194"/>
        <v>2026</v>
      </c>
      <c r="B1058" s="8">
        <f t="shared" si="195"/>
        <v>3</v>
      </c>
      <c r="C1058" s="6">
        <v>46084</v>
      </c>
      <c r="D1058" s="15">
        <f t="shared" ca="1" si="196"/>
        <v>46097</v>
      </c>
      <c r="E1058" s="15" t="str">
        <f t="shared" ca="1" si="197"/>
        <v>0-Months</v>
      </c>
      <c r="F1058" s="8" t="str">
        <f>VLOOKUP(N1058,Stock[#Data],5,FALSE)</f>
        <v>BE</v>
      </c>
      <c r="G1058" s="82" t="s">
        <v>1626</v>
      </c>
      <c r="H1058" s="15"/>
      <c r="I1058" s="7" t="s">
        <v>731</v>
      </c>
      <c r="J1058" s="8" t="str">
        <f>VLOOKUP(I1058,Customers[#Data],2,FALSE)</f>
        <v>ဘီလျှံနာ</v>
      </c>
      <c r="K1058" s="15" t="str">
        <f>VLOOKUP(I1058,Customers[#Data],4,FALSE)</f>
        <v>Maw La Myaing</v>
      </c>
      <c r="L1058" s="15" t="str">
        <f>VLOOKUP(I1058,Customers[#Data],5,FALSE)</f>
        <v>Van Sales</v>
      </c>
      <c r="M1058" s="7" t="s">
        <v>6</v>
      </c>
      <c r="N1058" s="7" t="s">
        <v>522</v>
      </c>
      <c r="O1058" s="14" t="str">
        <f>VLOOKUP(N1058,Stock[#Data],2,FALSE)</f>
        <v>ဒဂုံမန်ကျည်း ကော်ဘူး (1 Liter)</v>
      </c>
      <c r="P1058" s="44">
        <f>VLOOKUP(N1058,Stock[#Data],3,FALSE)</f>
        <v>1</v>
      </c>
      <c r="Q1058" s="3">
        <f>VLOOKUP(N1058,Stock[#Data],4,FALSE)</f>
        <v>12</v>
      </c>
      <c r="R1058" s="11"/>
      <c r="S1058" s="45">
        <f>IFERROR(Table4[[#This Row],[Bottle]]/Table4[[#This Row],[ပါဝင်မှု]]+Table4[[#This Row],[SalesPK]],0)</f>
        <v>2</v>
      </c>
      <c r="T1058" s="12">
        <v>2</v>
      </c>
      <c r="U1058" s="10">
        <f>Table4[[#This Row],[ပါဝင်မှု]]*Table4[[#This Row],[SalesPK]]+Table4[[#This Row],[Bottle]]</f>
        <v>24</v>
      </c>
      <c r="V1058" s="10">
        <f>Table4[[#This Row],[SalesBot]]*Table4[[#This Row],[ML]]</f>
        <v>24</v>
      </c>
      <c r="W1058" s="1">
        <f>VLOOKUP(N1058,Stock[#Data],6,FALSE)</f>
        <v>1600</v>
      </c>
      <c r="X1058" s="8">
        <f>+Table4[[#This Row],[SalesBot]]*Table4[[#This Row],[နှုံး]]</f>
        <v>38400</v>
      </c>
      <c r="Y1058" s="12"/>
      <c r="Z1058" s="12"/>
      <c r="AA1058" s="12"/>
      <c r="AB1058" s="9"/>
      <c r="AC1058" s="12"/>
      <c r="AD1058" s="9"/>
      <c r="AE1058" s="12"/>
      <c r="AF105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38400</v>
      </c>
      <c r="AG1058" s="24"/>
      <c r="AH1058" s="266"/>
      <c r="AI1058" s="264"/>
      <c r="AJ1058" s="264"/>
      <c r="AK1058" s="270"/>
      <c r="AL1058" s="270"/>
      <c r="AM1058" s="271"/>
      <c r="AN1058" s="272"/>
      <c r="AO1058" s="273"/>
      <c r="AP1058" s="268"/>
      <c r="AQ1058" s="268"/>
      <c r="AR1058" s="268"/>
    </row>
    <row r="1059" spans="1:44" s="16" customFormat="1" x14ac:dyDescent="0.5">
      <c r="A1059" s="3">
        <f t="shared" si="194"/>
        <v>2026</v>
      </c>
      <c r="B1059" s="8">
        <f t="shared" si="195"/>
        <v>3</v>
      </c>
      <c r="C1059" s="6">
        <v>46084</v>
      </c>
      <c r="D1059" s="15">
        <f t="shared" ca="1" si="196"/>
        <v>46097</v>
      </c>
      <c r="E1059" s="15" t="str">
        <f t="shared" ca="1" si="197"/>
        <v>0-Months</v>
      </c>
      <c r="F1059" s="8" t="str">
        <f>VLOOKUP(N1059,Stock[#Data],5,FALSE)</f>
        <v>BE</v>
      </c>
      <c r="G1059" s="82" t="s">
        <v>1626</v>
      </c>
      <c r="H1059" s="15"/>
      <c r="I1059" s="7" t="s">
        <v>731</v>
      </c>
      <c r="J1059" s="8" t="str">
        <f>VLOOKUP(I1059,Customers[#Data],2,FALSE)</f>
        <v>ဘီလျှံနာ</v>
      </c>
      <c r="K1059" s="15" t="str">
        <f>VLOOKUP(I1059,Customers[#Data],4,FALSE)</f>
        <v>Maw La Myaing</v>
      </c>
      <c r="L1059" s="15" t="str">
        <f>VLOOKUP(I1059,Customers[#Data],5,FALSE)</f>
        <v>Van Sales</v>
      </c>
      <c r="M1059" s="7" t="s">
        <v>6</v>
      </c>
      <c r="N1059" s="7" t="s">
        <v>508</v>
      </c>
      <c r="O1059" s="14" t="str">
        <f>VLOOKUP(N1059,Stock[#Data],2,FALSE)</f>
        <v>ကောင်းကြည်-1Li</v>
      </c>
      <c r="P1059" s="44">
        <f>VLOOKUP(N1059,Stock[#Data],3,FALSE)</f>
        <v>1</v>
      </c>
      <c r="Q1059" s="3">
        <f>VLOOKUP(N1059,Stock[#Data],4,FALSE)</f>
        <v>12</v>
      </c>
      <c r="R1059" s="11"/>
      <c r="S1059" s="45">
        <f>IFERROR(Table4[[#This Row],[Bottle]]/Table4[[#This Row],[ပါဝင်မှု]]+Table4[[#This Row],[SalesPK]],0)</f>
        <v>2</v>
      </c>
      <c r="T1059" s="12">
        <v>2</v>
      </c>
      <c r="U1059" s="10">
        <f>Table4[[#This Row],[ပါဝင်မှု]]*Table4[[#This Row],[SalesPK]]+Table4[[#This Row],[Bottle]]</f>
        <v>24</v>
      </c>
      <c r="V1059" s="10">
        <f>Table4[[#This Row],[SalesBot]]*Table4[[#This Row],[ML]]</f>
        <v>24</v>
      </c>
      <c r="W1059" s="1">
        <f>VLOOKUP(N1059,Stock[#Data],6,FALSE)</f>
        <v>1850</v>
      </c>
      <c r="X1059" s="8">
        <f>+Table4[[#This Row],[SalesBot]]*Table4[[#This Row],[နှုံး]]</f>
        <v>44400</v>
      </c>
      <c r="Y1059" s="12"/>
      <c r="Z1059" s="12"/>
      <c r="AA1059" s="12"/>
      <c r="AB1059" s="9"/>
      <c r="AC1059" s="12"/>
      <c r="AD1059" s="9"/>
      <c r="AE1059" s="12"/>
      <c r="AF105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44400</v>
      </c>
      <c r="AG1059" s="24"/>
      <c r="AH1059" s="266"/>
      <c r="AI1059" s="264"/>
      <c r="AJ1059" s="264"/>
      <c r="AK1059" s="270"/>
      <c r="AL1059" s="270"/>
      <c r="AM1059" s="271"/>
      <c r="AN1059" s="272"/>
      <c r="AO1059" s="273"/>
      <c r="AP1059" s="268"/>
      <c r="AQ1059" s="268"/>
      <c r="AR1059" s="268"/>
    </row>
    <row r="1060" spans="1:44" s="16" customFormat="1" x14ac:dyDescent="0.5">
      <c r="A1060" s="3">
        <f t="shared" si="194"/>
        <v>2026</v>
      </c>
      <c r="B1060" s="8">
        <f t="shared" si="195"/>
        <v>3</v>
      </c>
      <c r="C1060" s="6">
        <v>46084</v>
      </c>
      <c r="D1060" s="15">
        <f t="shared" ca="1" si="196"/>
        <v>46097</v>
      </c>
      <c r="E1060" s="15" t="str">
        <f t="shared" ca="1" si="197"/>
        <v>0-Months</v>
      </c>
      <c r="F1060" s="8" t="str">
        <f>VLOOKUP(N1060,Stock[#Data],5,FALSE)</f>
        <v>BE</v>
      </c>
      <c r="G1060" s="82" t="s">
        <v>1627</v>
      </c>
      <c r="H1060" s="15"/>
      <c r="I1060" s="7" t="s">
        <v>1334</v>
      </c>
      <c r="J1060" s="8" t="str">
        <f>VLOOKUP(I1060,Customers[#Data],2,FALSE)</f>
        <v>Jocker</v>
      </c>
      <c r="K1060" s="15" t="str">
        <f>VLOOKUP(I1060,Customers[#Data],4,FALSE)</f>
        <v>Maw La Myaing</v>
      </c>
      <c r="L1060" s="15" t="str">
        <f>VLOOKUP(I1060,Customers[#Data],5,FALSE)</f>
        <v>Van Sales</v>
      </c>
      <c r="M1060" s="7" t="s">
        <v>6</v>
      </c>
      <c r="N1060" s="7" t="s">
        <v>425</v>
      </c>
      <c r="O1060" s="14" t="str">
        <f>VLOOKUP(N1060,Stock[#Data],2,FALSE)</f>
        <v>ကောင်းကြည်-1Li</v>
      </c>
      <c r="P1060" s="44">
        <f>VLOOKUP(N1060,Stock[#Data],3,FALSE)</f>
        <v>1</v>
      </c>
      <c r="Q1060" s="3">
        <f>VLOOKUP(N1060,Stock[#Data],4,FALSE)</f>
        <v>12</v>
      </c>
      <c r="R1060" s="11"/>
      <c r="S1060" s="45">
        <f>IFERROR(Table4[[#This Row],[Bottle]]/Table4[[#This Row],[ပါဝင်မှု]]+Table4[[#This Row],[SalesPK]],0)</f>
        <v>1</v>
      </c>
      <c r="T1060" s="12">
        <v>1</v>
      </c>
      <c r="U1060" s="10">
        <f>Table4[[#This Row],[ပါဝင်မှု]]*Table4[[#This Row],[SalesPK]]+Table4[[#This Row],[Bottle]]</f>
        <v>12</v>
      </c>
      <c r="V1060" s="10">
        <f>Table4[[#This Row],[SalesBot]]*Table4[[#This Row],[ML]]</f>
        <v>12</v>
      </c>
      <c r="W1060" s="1">
        <f>VLOOKUP(N1060,Stock[#Data],6,FALSE)</f>
        <v>1500</v>
      </c>
      <c r="X1060" s="8">
        <f>+Table4[[#This Row],[SalesBot]]*Table4[[#This Row],[နှုံး]]</f>
        <v>18000</v>
      </c>
      <c r="Y1060" s="12"/>
      <c r="Z1060" s="12"/>
      <c r="AA1060" s="12"/>
      <c r="AB1060" s="9"/>
      <c r="AC1060" s="12"/>
      <c r="AD1060" s="9"/>
      <c r="AE1060" s="12"/>
      <c r="AF106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1060" s="24"/>
      <c r="AH1060" s="266"/>
      <c r="AI1060" s="264"/>
      <c r="AJ1060" s="264"/>
      <c r="AK1060" s="270"/>
      <c r="AL1060" s="270"/>
      <c r="AM1060" s="271"/>
      <c r="AN1060" s="272"/>
      <c r="AO1060" s="273"/>
      <c r="AP1060" s="268"/>
      <c r="AQ1060" s="268"/>
      <c r="AR1060" s="268"/>
    </row>
    <row r="1061" spans="1:44" s="16" customFormat="1" x14ac:dyDescent="0.5">
      <c r="A1061" s="3">
        <f t="shared" si="194"/>
        <v>2026</v>
      </c>
      <c r="B1061" s="8">
        <f t="shared" si="195"/>
        <v>3</v>
      </c>
      <c r="C1061" s="6">
        <v>46084</v>
      </c>
      <c r="D1061" s="15">
        <f t="shared" ca="1" si="196"/>
        <v>46097</v>
      </c>
      <c r="E1061" s="15" t="str">
        <f t="shared" ca="1" si="197"/>
        <v>0-Months</v>
      </c>
      <c r="F1061" s="8" t="str">
        <f>VLOOKUP(N1061,Stock[#Data],5,FALSE)</f>
        <v>BE</v>
      </c>
      <c r="G1061" s="82" t="s">
        <v>1628</v>
      </c>
      <c r="H1061" s="15"/>
      <c r="I1061" s="7" t="s">
        <v>696</v>
      </c>
      <c r="J1061" s="8" t="str">
        <f>VLOOKUP(I1061,Customers[#Data],2,FALSE)</f>
        <v>Golden Bell</v>
      </c>
      <c r="K1061" s="15" t="str">
        <f>VLOOKUP(I1061,Customers[#Data],4,FALSE)</f>
        <v>Maw La Myaing</v>
      </c>
      <c r="L1061" s="15" t="str">
        <f>VLOOKUP(I1061,Customers[#Data],5,FALSE)</f>
        <v>Van Sales</v>
      </c>
      <c r="M1061" s="7" t="s">
        <v>6</v>
      </c>
      <c r="N1061" s="7" t="s">
        <v>522</v>
      </c>
      <c r="O1061" s="14" t="str">
        <f>VLOOKUP(N1061,Stock[#Data],2,FALSE)</f>
        <v>ဒဂုံမန်ကျည်း ကော်ဘူး (1 Liter)</v>
      </c>
      <c r="P1061" s="44">
        <f>VLOOKUP(N1061,Stock[#Data],3,FALSE)</f>
        <v>1</v>
      </c>
      <c r="Q1061" s="3">
        <f>VLOOKUP(N1061,Stock[#Data],4,FALSE)</f>
        <v>12</v>
      </c>
      <c r="R1061" s="11"/>
      <c r="S1061" s="45">
        <f>IFERROR(Table4[[#This Row],[Bottle]]/Table4[[#This Row],[ပါဝင်မှု]]+Table4[[#This Row],[SalesPK]],0)</f>
        <v>1</v>
      </c>
      <c r="T1061" s="12">
        <v>1</v>
      </c>
      <c r="U1061" s="10">
        <f>Table4[[#This Row],[ပါဝင်မှု]]*Table4[[#This Row],[SalesPK]]+Table4[[#This Row],[Bottle]]</f>
        <v>12</v>
      </c>
      <c r="V1061" s="10">
        <f>Table4[[#This Row],[SalesBot]]*Table4[[#This Row],[ML]]</f>
        <v>12</v>
      </c>
      <c r="W1061" s="1">
        <f>VLOOKUP(N1061,Stock[#Data],6,FALSE)</f>
        <v>1600</v>
      </c>
      <c r="X1061" s="8">
        <f>+Table4[[#This Row],[SalesBot]]*Table4[[#This Row],[နှုံး]]</f>
        <v>19200</v>
      </c>
      <c r="Y1061" s="12"/>
      <c r="Z1061" s="12"/>
      <c r="AA1061" s="12"/>
      <c r="AB1061" s="9"/>
      <c r="AC1061" s="12"/>
      <c r="AD1061" s="9"/>
      <c r="AE1061" s="12"/>
      <c r="AF106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061" s="24"/>
      <c r="AH1061" s="266"/>
      <c r="AI1061" s="264"/>
      <c r="AJ1061" s="264"/>
      <c r="AK1061" s="270"/>
      <c r="AL1061" s="270"/>
      <c r="AM1061" s="271"/>
      <c r="AN1061" s="272"/>
      <c r="AO1061" s="273"/>
      <c r="AP1061" s="268"/>
      <c r="AQ1061" s="268"/>
      <c r="AR1061" s="268"/>
    </row>
    <row r="1062" spans="1:44" s="16" customFormat="1" x14ac:dyDescent="0.5">
      <c r="A1062" s="3">
        <f t="shared" si="194"/>
        <v>2026</v>
      </c>
      <c r="B1062" s="8">
        <f t="shared" si="195"/>
        <v>3</v>
      </c>
      <c r="C1062" s="6">
        <v>46084</v>
      </c>
      <c r="D1062" s="15">
        <f t="shared" ca="1" si="196"/>
        <v>46097</v>
      </c>
      <c r="E1062" s="15" t="str">
        <f t="shared" ca="1" si="197"/>
        <v>0-Months</v>
      </c>
      <c r="F1062" s="8" t="str">
        <f>VLOOKUP(N1062,Stock[#Data],5,FALSE)</f>
        <v>BE</v>
      </c>
      <c r="G1062" s="82" t="s">
        <v>1628</v>
      </c>
      <c r="H1062" s="15"/>
      <c r="I1062" s="7" t="s">
        <v>696</v>
      </c>
      <c r="J1062" s="8" t="str">
        <f>VLOOKUP(I1062,Customers[#Data],2,FALSE)</f>
        <v>Golden Bell</v>
      </c>
      <c r="K1062" s="15" t="str">
        <f>VLOOKUP(I1062,Customers[#Data],4,FALSE)</f>
        <v>Maw La Myaing</v>
      </c>
      <c r="L1062" s="15" t="str">
        <f>VLOOKUP(I1062,Customers[#Data],5,FALSE)</f>
        <v>Van Sales</v>
      </c>
      <c r="M1062" s="7" t="s">
        <v>6</v>
      </c>
      <c r="N1062" s="7" t="s">
        <v>425</v>
      </c>
      <c r="O1062" s="14" t="str">
        <f>VLOOKUP(N1062,Stock[#Data],2,FALSE)</f>
        <v>ကောင်းကြည်-1Li</v>
      </c>
      <c r="P1062" s="44">
        <f>VLOOKUP(N1062,Stock[#Data],3,FALSE)</f>
        <v>1</v>
      </c>
      <c r="Q1062" s="3">
        <f>VLOOKUP(N1062,Stock[#Data],4,FALSE)</f>
        <v>12</v>
      </c>
      <c r="R1062" s="11"/>
      <c r="S1062" s="45">
        <f>IFERROR(Table4[[#This Row],[Bottle]]/Table4[[#This Row],[ပါဝင်မှု]]+Table4[[#This Row],[SalesPK]],0)</f>
        <v>1</v>
      </c>
      <c r="T1062" s="12">
        <v>1</v>
      </c>
      <c r="U1062" s="10">
        <f>Table4[[#This Row],[ပါဝင်မှု]]*Table4[[#This Row],[SalesPK]]+Table4[[#This Row],[Bottle]]</f>
        <v>12</v>
      </c>
      <c r="V1062" s="10">
        <f>Table4[[#This Row],[SalesBot]]*Table4[[#This Row],[ML]]</f>
        <v>12</v>
      </c>
      <c r="W1062" s="1">
        <f>VLOOKUP(N1062,Stock[#Data],6,FALSE)</f>
        <v>1500</v>
      </c>
      <c r="X1062" s="8">
        <f>+Table4[[#This Row],[SalesBot]]*Table4[[#This Row],[နှုံး]]</f>
        <v>18000</v>
      </c>
      <c r="Y1062" s="12"/>
      <c r="Z1062" s="12"/>
      <c r="AA1062" s="12"/>
      <c r="AB1062" s="9"/>
      <c r="AC1062" s="12"/>
      <c r="AD1062" s="9"/>
      <c r="AE1062" s="12"/>
      <c r="AF106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1062" s="24"/>
      <c r="AH1062" s="266"/>
      <c r="AI1062" s="264"/>
      <c r="AJ1062" s="264"/>
      <c r="AK1062" s="270"/>
      <c r="AL1062" s="270"/>
      <c r="AM1062" s="271"/>
      <c r="AN1062" s="272"/>
      <c r="AO1062" s="273"/>
      <c r="AP1062" s="268"/>
      <c r="AQ1062" s="268"/>
      <c r="AR1062" s="268"/>
    </row>
    <row r="1063" spans="1:44" s="16" customFormat="1" x14ac:dyDescent="0.5">
      <c r="A1063" s="3">
        <f t="shared" si="194"/>
        <v>2026</v>
      </c>
      <c r="B1063" s="8">
        <f t="shared" si="195"/>
        <v>3</v>
      </c>
      <c r="C1063" s="6">
        <v>46084</v>
      </c>
      <c r="D1063" s="15">
        <f t="shared" ca="1" si="196"/>
        <v>46097</v>
      </c>
      <c r="E1063" s="15" t="str">
        <f t="shared" ca="1" si="197"/>
        <v>0-Months</v>
      </c>
      <c r="F1063" s="8" t="str">
        <f>VLOOKUP(N1063,Stock[#Data],5,FALSE)</f>
        <v>BE</v>
      </c>
      <c r="G1063" s="82" t="s">
        <v>1629</v>
      </c>
      <c r="H1063" s="15"/>
      <c r="I1063" s="7" t="s">
        <v>553</v>
      </c>
      <c r="J1063" s="8" t="str">
        <f>VLOOKUP(I1063,Customers[#Data],2,FALSE)</f>
        <v>ကိုမောင်ဦး</v>
      </c>
      <c r="K1063" s="15" t="str">
        <f>VLOOKUP(I1063,Customers[#Data],4,FALSE)</f>
        <v>Maw La Myaing</v>
      </c>
      <c r="L1063" s="15" t="str">
        <f>VLOOKUP(I1063,Customers[#Data],5,FALSE)</f>
        <v>Mini Whole Sales</v>
      </c>
      <c r="M1063" s="7" t="s">
        <v>6</v>
      </c>
      <c r="N1063" s="7" t="s">
        <v>508</v>
      </c>
      <c r="O1063" s="14" t="str">
        <f>VLOOKUP(N1063,Stock[#Data],2,FALSE)</f>
        <v>ကောင်းကြည်-1Li</v>
      </c>
      <c r="P1063" s="44">
        <f>VLOOKUP(N1063,Stock[#Data],3,FALSE)</f>
        <v>1</v>
      </c>
      <c r="Q1063" s="3">
        <f>VLOOKUP(N1063,Stock[#Data],4,FALSE)</f>
        <v>12</v>
      </c>
      <c r="R1063" s="11"/>
      <c r="S1063" s="45">
        <f>IFERROR(Table4[[#This Row],[Bottle]]/Table4[[#This Row],[ပါဝင်မှု]]+Table4[[#This Row],[SalesPK]],0)</f>
        <v>1</v>
      </c>
      <c r="T1063" s="12">
        <v>1</v>
      </c>
      <c r="U1063" s="10">
        <f>Table4[[#This Row],[ပါဝင်မှု]]*Table4[[#This Row],[SalesPK]]+Table4[[#This Row],[Bottle]]</f>
        <v>12</v>
      </c>
      <c r="V1063" s="10">
        <f>Table4[[#This Row],[SalesBot]]*Table4[[#This Row],[ML]]</f>
        <v>12</v>
      </c>
      <c r="W1063" s="1">
        <f>VLOOKUP(N1063,Stock[#Data],6,FALSE)</f>
        <v>1850</v>
      </c>
      <c r="X1063" s="8">
        <f>+Table4[[#This Row],[SalesBot]]*Table4[[#This Row],[နှုံး]]</f>
        <v>22200</v>
      </c>
      <c r="Y1063" s="12"/>
      <c r="Z1063" s="12"/>
      <c r="AA1063" s="12"/>
      <c r="AB1063" s="9"/>
      <c r="AC1063" s="12"/>
      <c r="AD1063" s="9"/>
      <c r="AE1063" s="12"/>
      <c r="AF106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1063" s="24"/>
      <c r="AH1063" s="266"/>
      <c r="AI1063" s="264"/>
      <c r="AJ1063" s="264"/>
      <c r="AK1063" s="270"/>
      <c r="AL1063" s="270"/>
      <c r="AM1063" s="271"/>
      <c r="AN1063" s="272"/>
      <c r="AO1063" s="273"/>
      <c r="AP1063" s="268"/>
      <c r="AQ1063" s="268"/>
      <c r="AR1063" s="268"/>
    </row>
    <row r="1064" spans="1:44" s="16" customFormat="1" x14ac:dyDescent="0.5">
      <c r="A1064" s="3">
        <f t="shared" si="194"/>
        <v>2026</v>
      </c>
      <c r="B1064" s="8">
        <f t="shared" si="195"/>
        <v>3</v>
      </c>
      <c r="C1064" s="6">
        <v>46084</v>
      </c>
      <c r="D1064" s="15">
        <f t="shared" ca="1" si="196"/>
        <v>46097</v>
      </c>
      <c r="E1064" s="15" t="str">
        <f t="shared" ca="1" si="197"/>
        <v>0-Months</v>
      </c>
      <c r="F1064" s="8" t="str">
        <f>VLOOKUP(N1064,Stock[#Data],5,FALSE)</f>
        <v>BE</v>
      </c>
      <c r="G1064" s="82" t="s">
        <v>1630</v>
      </c>
      <c r="H1064" s="15"/>
      <c r="I1064" s="7" t="s">
        <v>549</v>
      </c>
      <c r="J1064" s="8" t="str">
        <f>VLOOKUP(I1064,Customers[#Data],2,FALSE)</f>
        <v>မွန်လေး</v>
      </c>
      <c r="K1064" s="15" t="str">
        <f>VLOOKUP(I1064,Customers[#Data],4,FALSE)</f>
        <v>Maw La Myaing</v>
      </c>
      <c r="L1064" s="15" t="str">
        <f>VLOOKUP(I1064,Customers[#Data],5,FALSE)</f>
        <v>Mini Whole Sales</v>
      </c>
      <c r="M1064" s="7" t="s">
        <v>6</v>
      </c>
      <c r="N1064" s="7" t="s">
        <v>522</v>
      </c>
      <c r="O1064" s="14" t="str">
        <f>VLOOKUP(N1064,Stock[#Data],2,FALSE)</f>
        <v>ဒဂုံမန်ကျည်း ကော်ဘူး (1 Liter)</v>
      </c>
      <c r="P1064" s="44">
        <f>VLOOKUP(N1064,Stock[#Data],3,FALSE)</f>
        <v>1</v>
      </c>
      <c r="Q1064" s="3">
        <f>VLOOKUP(N1064,Stock[#Data],4,FALSE)</f>
        <v>12</v>
      </c>
      <c r="R1064" s="11"/>
      <c r="S1064" s="45">
        <f>IFERROR(Table4[[#This Row],[Bottle]]/Table4[[#This Row],[ပါဝင်မှု]]+Table4[[#This Row],[SalesPK]],0)</f>
        <v>1</v>
      </c>
      <c r="T1064" s="12">
        <v>1</v>
      </c>
      <c r="U1064" s="10">
        <f>Table4[[#This Row],[ပါဝင်မှု]]*Table4[[#This Row],[SalesPK]]+Table4[[#This Row],[Bottle]]</f>
        <v>12</v>
      </c>
      <c r="V1064" s="10">
        <f>Table4[[#This Row],[SalesBot]]*Table4[[#This Row],[ML]]</f>
        <v>12</v>
      </c>
      <c r="W1064" s="1">
        <f>VLOOKUP(N1064,Stock[#Data],6,FALSE)</f>
        <v>1600</v>
      </c>
      <c r="X1064" s="8">
        <f>+Table4[[#This Row],[SalesBot]]*Table4[[#This Row],[နှုံး]]</f>
        <v>19200</v>
      </c>
      <c r="Y1064" s="12"/>
      <c r="Z1064" s="12"/>
      <c r="AA1064" s="12"/>
      <c r="AB1064" s="9"/>
      <c r="AC1064" s="12"/>
      <c r="AD1064" s="9"/>
      <c r="AE1064" s="12"/>
      <c r="AF106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064" s="24"/>
      <c r="AH1064" s="266"/>
      <c r="AI1064" s="264"/>
      <c r="AJ1064" s="264"/>
      <c r="AK1064" s="270"/>
      <c r="AL1064" s="270"/>
      <c r="AM1064" s="271"/>
      <c r="AN1064" s="272"/>
      <c r="AO1064" s="273"/>
      <c r="AP1064" s="268"/>
      <c r="AQ1064" s="268"/>
      <c r="AR1064" s="268"/>
    </row>
    <row r="1065" spans="1:44" s="16" customFormat="1" x14ac:dyDescent="0.5">
      <c r="A1065" s="3">
        <f t="shared" si="194"/>
        <v>2026</v>
      </c>
      <c r="B1065" s="8">
        <f t="shared" si="195"/>
        <v>3</v>
      </c>
      <c r="C1065" s="6">
        <v>46084</v>
      </c>
      <c r="D1065" s="15">
        <f t="shared" ca="1" si="196"/>
        <v>46097</v>
      </c>
      <c r="E1065" s="15" t="str">
        <f t="shared" ca="1" si="197"/>
        <v>0-Months</v>
      </c>
      <c r="F1065" s="8" t="str">
        <f>VLOOKUP(N1065,Stock[#Data],5,FALSE)</f>
        <v>BE</v>
      </c>
      <c r="G1065" s="82" t="s">
        <v>1631</v>
      </c>
      <c r="H1065" s="15"/>
      <c r="I1065" s="7" t="s">
        <v>790</v>
      </c>
      <c r="J1065" s="8" t="str">
        <f>VLOOKUP(I1065,Customers[#Data],2,FALSE)</f>
        <v>လရောင်ဝင်း</v>
      </c>
      <c r="K1065" s="15" t="str">
        <f>VLOOKUP(I1065,Customers[#Data],4,FALSE)</f>
        <v>Maw La Myaing</v>
      </c>
      <c r="L1065" s="15" t="str">
        <f>VLOOKUP(I1065,Customers[#Data],5,FALSE)</f>
        <v>Van Sales</v>
      </c>
      <c r="M1065" s="7" t="s">
        <v>6</v>
      </c>
      <c r="N1065" s="7" t="s">
        <v>522</v>
      </c>
      <c r="O1065" s="14" t="str">
        <f>VLOOKUP(N1065,Stock[#Data],2,FALSE)</f>
        <v>ဒဂုံမန်ကျည်း ကော်ဘူး (1 Liter)</v>
      </c>
      <c r="P1065" s="44">
        <f>VLOOKUP(N1065,Stock[#Data],3,FALSE)</f>
        <v>1</v>
      </c>
      <c r="Q1065" s="3">
        <f>VLOOKUP(N1065,Stock[#Data],4,FALSE)</f>
        <v>12</v>
      </c>
      <c r="R1065" s="11"/>
      <c r="S1065" s="45">
        <f>IFERROR(Table4[[#This Row],[Bottle]]/Table4[[#This Row],[ပါဝင်မှု]]+Table4[[#This Row],[SalesPK]],0)</f>
        <v>1</v>
      </c>
      <c r="T1065" s="12">
        <v>1</v>
      </c>
      <c r="U1065" s="10">
        <f>Table4[[#This Row],[ပါဝင်မှု]]*Table4[[#This Row],[SalesPK]]+Table4[[#This Row],[Bottle]]</f>
        <v>12</v>
      </c>
      <c r="V1065" s="10">
        <f>Table4[[#This Row],[SalesBot]]*Table4[[#This Row],[ML]]</f>
        <v>12</v>
      </c>
      <c r="W1065" s="1">
        <f>VLOOKUP(N1065,Stock[#Data],6,FALSE)</f>
        <v>1600</v>
      </c>
      <c r="X1065" s="8">
        <f>+Table4[[#This Row],[SalesBot]]*Table4[[#This Row],[နှုံး]]</f>
        <v>19200</v>
      </c>
      <c r="Y1065" s="12"/>
      <c r="Z1065" s="12"/>
      <c r="AA1065" s="12"/>
      <c r="AB1065" s="9"/>
      <c r="AC1065" s="12"/>
      <c r="AD1065" s="9"/>
      <c r="AE1065" s="12"/>
      <c r="AF106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065" s="24"/>
      <c r="AH1065" s="266"/>
      <c r="AI1065" s="264"/>
      <c r="AJ1065" s="264"/>
      <c r="AK1065" s="270"/>
      <c r="AL1065" s="270"/>
      <c r="AM1065" s="271"/>
      <c r="AN1065" s="272"/>
      <c r="AO1065" s="273"/>
      <c r="AP1065" s="268"/>
      <c r="AQ1065" s="268"/>
      <c r="AR1065" s="268"/>
    </row>
    <row r="1066" spans="1:44" s="16" customFormat="1" x14ac:dyDescent="0.5">
      <c r="A1066" s="3">
        <f t="shared" si="194"/>
        <v>2026</v>
      </c>
      <c r="B1066" s="8">
        <f t="shared" si="195"/>
        <v>3</v>
      </c>
      <c r="C1066" s="6">
        <v>46084</v>
      </c>
      <c r="D1066" s="15">
        <f t="shared" ca="1" si="196"/>
        <v>46097</v>
      </c>
      <c r="E1066" s="15" t="str">
        <f t="shared" ca="1" si="197"/>
        <v>0-Months</v>
      </c>
      <c r="F1066" s="8" t="str">
        <f>VLOOKUP(N1066,Stock[#Data],5,FALSE)</f>
        <v>BE</v>
      </c>
      <c r="G1066" s="82" t="s">
        <v>1632</v>
      </c>
      <c r="H1066" s="15"/>
      <c r="I1066" s="7" t="s">
        <v>799</v>
      </c>
      <c r="J1066" s="8" t="str">
        <f>VLOOKUP(I1066,Customers[#Data],2,FALSE)</f>
        <v>ဖြိုး</v>
      </c>
      <c r="K1066" s="15" t="str">
        <f>VLOOKUP(I1066,Customers[#Data],4,FALSE)</f>
        <v>Maw La Myaing</v>
      </c>
      <c r="L1066" s="15" t="str">
        <f>VLOOKUP(I1066,Customers[#Data],5,FALSE)</f>
        <v>Van Sales</v>
      </c>
      <c r="M1066" s="7" t="s">
        <v>6</v>
      </c>
      <c r="N1066" s="7" t="s">
        <v>522</v>
      </c>
      <c r="O1066" s="14" t="str">
        <f>VLOOKUP(N1066,Stock[#Data],2,FALSE)</f>
        <v>ဒဂုံမန်ကျည်း ကော်ဘူး (1 Liter)</v>
      </c>
      <c r="P1066" s="44">
        <f>VLOOKUP(N1066,Stock[#Data],3,FALSE)</f>
        <v>1</v>
      </c>
      <c r="Q1066" s="3">
        <f>VLOOKUP(N1066,Stock[#Data],4,FALSE)</f>
        <v>12</v>
      </c>
      <c r="R1066" s="11"/>
      <c r="S1066" s="45">
        <f>IFERROR(Table4[[#This Row],[Bottle]]/Table4[[#This Row],[ပါဝင်မှု]]+Table4[[#This Row],[SalesPK]],0)</f>
        <v>1</v>
      </c>
      <c r="T1066" s="12">
        <v>1</v>
      </c>
      <c r="U1066" s="10">
        <f>Table4[[#This Row],[ပါဝင်မှု]]*Table4[[#This Row],[SalesPK]]+Table4[[#This Row],[Bottle]]</f>
        <v>12</v>
      </c>
      <c r="V1066" s="10">
        <f>Table4[[#This Row],[SalesBot]]*Table4[[#This Row],[ML]]</f>
        <v>12</v>
      </c>
      <c r="W1066" s="1">
        <f>VLOOKUP(N1066,Stock[#Data],6,FALSE)</f>
        <v>1600</v>
      </c>
      <c r="X1066" s="8">
        <f>+Table4[[#This Row],[SalesBot]]*Table4[[#This Row],[နှုံး]]</f>
        <v>19200</v>
      </c>
      <c r="Y1066" s="12"/>
      <c r="Z1066" s="12"/>
      <c r="AA1066" s="12"/>
      <c r="AB1066" s="9"/>
      <c r="AC1066" s="12"/>
      <c r="AD1066" s="9"/>
      <c r="AE1066" s="12"/>
      <c r="AF106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066" s="24"/>
      <c r="AH1066" s="266"/>
      <c r="AI1066" s="264"/>
      <c r="AJ1066" s="264"/>
      <c r="AK1066" s="270"/>
      <c r="AL1066" s="270"/>
      <c r="AM1066" s="271"/>
      <c r="AN1066" s="272"/>
      <c r="AO1066" s="273"/>
      <c r="AP1066" s="268"/>
      <c r="AQ1066" s="268"/>
      <c r="AR1066" s="268"/>
    </row>
    <row r="1067" spans="1:44" s="16" customFormat="1" x14ac:dyDescent="0.5">
      <c r="A1067" s="3">
        <f t="shared" si="194"/>
        <v>2026</v>
      </c>
      <c r="B1067" s="8">
        <f t="shared" si="195"/>
        <v>3</v>
      </c>
      <c r="C1067" s="6">
        <v>46084</v>
      </c>
      <c r="D1067" s="15">
        <f t="shared" ca="1" si="196"/>
        <v>46097</v>
      </c>
      <c r="E1067" s="15" t="str">
        <f t="shared" ca="1" si="197"/>
        <v>0-Months</v>
      </c>
      <c r="F1067" s="8" t="str">
        <f>VLOOKUP(N1067,Stock[#Data],5,FALSE)</f>
        <v>BE</v>
      </c>
      <c r="G1067" s="82" t="s">
        <v>1633</v>
      </c>
      <c r="H1067" s="15"/>
      <c r="I1067" s="7" t="s">
        <v>111</v>
      </c>
      <c r="J1067" s="8" t="str">
        <f>VLOOKUP(I1067,Customers[#Data],2,FALSE)</f>
        <v>လင်းသစ်</v>
      </c>
      <c r="K1067" s="15" t="str">
        <f>VLOOKUP(I1067,Customers[#Data],4,FALSE)</f>
        <v>Yay</v>
      </c>
      <c r="L1067" s="15" t="str">
        <f>VLOOKUP(I1067,Customers[#Data],5,FALSE)</f>
        <v>WholeSales</v>
      </c>
      <c r="M1067" s="7" t="s">
        <v>6</v>
      </c>
      <c r="N1067" s="7" t="s">
        <v>514</v>
      </c>
      <c r="O1067" s="14" t="str">
        <f>VLOOKUP(N1067,Stock[#Data],2,FALSE)</f>
        <v>ဇေယျဝတီ Red</v>
      </c>
      <c r="P1067" s="44">
        <f>VLOOKUP(N1067,Stock[#Data],3,FALSE)</f>
        <v>0.64</v>
      </c>
      <c r="Q1067" s="3">
        <f>VLOOKUP(N1067,Stock[#Data],4,FALSE)</f>
        <v>14</v>
      </c>
      <c r="R1067" s="11"/>
      <c r="S1067" s="45">
        <f>IFERROR(Table4[[#This Row],[Bottle]]/Table4[[#This Row],[ပါဝင်မှု]]+Table4[[#This Row],[SalesPK]],0)</f>
        <v>30</v>
      </c>
      <c r="T1067" s="12">
        <v>30</v>
      </c>
      <c r="U1067" s="10">
        <f>Table4[[#This Row],[ပါဝင်မှု]]*Table4[[#This Row],[SalesPK]]+Table4[[#This Row],[Bottle]]</f>
        <v>420</v>
      </c>
      <c r="V1067" s="10">
        <f>Table4[[#This Row],[SalesBot]]*Table4[[#This Row],[ML]]</f>
        <v>268.8</v>
      </c>
      <c r="W1067" s="1">
        <f>VLOOKUP(N1067,Stock[#Data],6,FALSE)</f>
        <v>1350</v>
      </c>
      <c r="X1067" s="8">
        <f>+Table4[[#This Row],[SalesBot]]*Table4[[#This Row],[နှုံး]]</f>
        <v>567000</v>
      </c>
      <c r="Y1067" s="12"/>
      <c r="Z1067" s="12"/>
      <c r="AA1067" s="12"/>
      <c r="AB1067" s="9"/>
      <c r="AC1067" s="12"/>
      <c r="AD1067" s="9"/>
      <c r="AE1067" s="12"/>
      <c r="AF106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567000</v>
      </c>
      <c r="AG1067" s="24"/>
      <c r="AH1067" s="266"/>
      <c r="AI1067" s="264"/>
      <c r="AJ1067" s="264"/>
      <c r="AK1067" s="270"/>
      <c r="AL1067" s="270"/>
      <c r="AM1067" s="271"/>
      <c r="AN1067" s="272"/>
      <c r="AO1067" s="273"/>
      <c r="AP1067" s="268"/>
      <c r="AQ1067" s="268"/>
      <c r="AR1067" s="268"/>
    </row>
    <row r="1068" spans="1:44" s="16" customFormat="1" x14ac:dyDescent="0.5">
      <c r="A1068" s="3">
        <f t="shared" si="194"/>
        <v>2026</v>
      </c>
      <c r="B1068" s="8">
        <f t="shared" si="195"/>
        <v>3</v>
      </c>
      <c r="C1068" s="6">
        <v>46084</v>
      </c>
      <c r="D1068" s="15">
        <f t="shared" ca="1" si="196"/>
        <v>46097</v>
      </c>
      <c r="E1068" s="15" t="str">
        <f t="shared" ca="1" si="197"/>
        <v>0-Months</v>
      </c>
      <c r="F1068" s="8" t="str">
        <f>VLOOKUP(N1068,Stock[#Data],5,FALSE)</f>
        <v>BE</v>
      </c>
      <c r="G1068" s="82" t="s">
        <v>1634</v>
      </c>
      <c r="H1068" s="15"/>
      <c r="I1068" s="7" t="s">
        <v>111</v>
      </c>
      <c r="J1068" s="8" t="str">
        <f>VLOOKUP(I1068,Customers[#Data],2,FALSE)</f>
        <v>လင်းသစ်</v>
      </c>
      <c r="K1068" s="15" t="str">
        <f>VLOOKUP(I1068,Customers[#Data],4,FALSE)</f>
        <v>Yay</v>
      </c>
      <c r="L1068" s="15" t="str">
        <f>VLOOKUP(I1068,Customers[#Data],5,FALSE)</f>
        <v>WholeSales</v>
      </c>
      <c r="M1068" s="7" t="s">
        <v>6</v>
      </c>
      <c r="N1068" s="7" t="s">
        <v>517</v>
      </c>
      <c r="O1068" s="14" t="str">
        <f>VLOOKUP(N1068,Stock[#Data],2,FALSE)</f>
        <v>ဇေယျဝတီ Red (1 Liter) 30%</v>
      </c>
      <c r="P1068" s="44">
        <f>VLOOKUP(N1068,Stock[#Data],3,FALSE)</f>
        <v>1</v>
      </c>
      <c r="Q1068" s="3">
        <f>VLOOKUP(N1068,Stock[#Data],4,FALSE)</f>
        <v>12</v>
      </c>
      <c r="R1068" s="11"/>
      <c r="S1068" s="45">
        <f>IFERROR(Table4[[#This Row],[Bottle]]/Table4[[#This Row],[ပါဝင်မှု]]+Table4[[#This Row],[SalesPK]],0)</f>
        <v>70</v>
      </c>
      <c r="T1068" s="12">
        <v>70</v>
      </c>
      <c r="U1068" s="10">
        <f>Table4[[#This Row],[ပါဝင်မှု]]*Table4[[#This Row],[SalesPK]]+Table4[[#This Row],[Bottle]]</f>
        <v>840</v>
      </c>
      <c r="V1068" s="10">
        <f>Table4[[#This Row],[SalesBot]]*Table4[[#This Row],[ML]]</f>
        <v>840</v>
      </c>
      <c r="W1068" s="1">
        <f>VLOOKUP(N1068,Stock[#Data],6,FALSE)</f>
        <v>1710</v>
      </c>
      <c r="X1068" s="8">
        <f>+Table4[[#This Row],[SalesBot]]*Table4[[#This Row],[နှုံး]]</f>
        <v>1436400</v>
      </c>
      <c r="Y1068" s="12"/>
      <c r="Z1068" s="12"/>
      <c r="AA1068" s="12"/>
      <c r="AB1068" s="9"/>
      <c r="AC1068" s="12"/>
      <c r="AD1068" s="9"/>
      <c r="AE1068" s="12"/>
      <c r="AF106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1436400</v>
      </c>
      <c r="AG1068" s="24"/>
      <c r="AH1068" s="266"/>
      <c r="AI1068" s="264"/>
      <c r="AJ1068" s="264"/>
      <c r="AK1068" s="270"/>
      <c r="AL1068" s="270"/>
      <c r="AM1068" s="271"/>
      <c r="AN1068" s="272"/>
      <c r="AO1068" s="273"/>
      <c r="AP1068" s="268"/>
      <c r="AQ1068" s="268"/>
      <c r="AR1068" s="268"/>
    </row>
    <row r="1069" spans="1:44" s="16" customFormat="1" x14ac:dyDescent="0.5">
      <c r="A1069" s="3">
        <f t="shared" si="194"/>
        <v>2026</v>
      </c>
      <c r="B1069" s="8">
        <f t="shared" si="195"/>
        <v>3</v>
      </c>
      <c r="C1069" s="6">
        <v>46084</v>
      </c>
      <c r="D1069" s="15">
        <f t="shared" ca="1" si="196"/>
        <v>46097</v>
      </c>
      <c r="E1069" s="15" t="str">
        <f t="shared" ca="1" si="197"/>
        <v>0-Months</v>
      </c>
      <c r="F1069" s="8" t="str">
        <f>VLOOKUP(N1069,Stock[#Data],5,FALSE)</f>
        <v>BE</v>
      </c>
      <c r="G1069" s="82" t="s">
        <v>1634</v>
      </c>
      <c r="H1069" s="15"/>
      <c r="I1069" s="7" t="s">
        <v>111</v>
      </c>
      <c r="J1069" s="8" t="str">
        <f>VLOOKUP(I1069,Customers[#Data],2,FALSE)</f>
        <v>လင်းသစ်</v>
      </c>
      <c r="K1069" s="15" t="str">
        <f>VLOOKUP(I1069,Customers[#Data],4,FALSE)</f>
        <v>Yay</v>
      </c>
      <c r="L1069" s="15" t="str">
        <f>VLOOKUP(I1069,Customers[#Data],5,FALSE)</f>
        <v>WholeSales</v>
      </c>
      <c r="M1069" s="7" t="s">
        <v>6</v>
      </c>
      <c r="N1069" s="7" t="s">
        <v>522</v>
      </c>
      <c r="O1069" s="14" t="str">
        <f>VLOOKUP(N1069,Stock[#Data],2,FALSE)</f>
        <v>ဒဂုံမန်ကျည်း ကော်ဘူး (1 Liter)</v>
      </c>
      <c r="P1069" s="44">
        <f>VLOOKUP(N1069,Stock[#Data],3,FALSE)</f>
        <v>1</v>
      </c>
      <c r="Q1069" s="3">
        <f>VLOOKUP(N1069,Stock[#Data],4,FALSE)</f>
        <v>12</v>
      </c>
      <c r="R1069" s="11"/>
      <c r="S1069" s="45">
        <f>IFERROR(Table4[[#This Row],[Bottle]]/Table4[[#This Row],[ပါဝင်မှု]]+Table4[[#This Row],[SalesPK]],0)</f>
        <v>10</v>
      </c>
      <c r="T1069" s="12">
        <v>10</v>
      </c>
      <c r="U1069" s="10">
        <f>Table4[[#This Row],[ပါဝင်မှု]]*Table4[[#This Row],[SalesPK]]+Table4[[#This Row],[Bottle]]</f>
        <v>120</v>
      </c>
      <c r="V1069" s="10">
        <f>Table4[[#This Row],[SalesBot]]*Table4[[#This Row],[ML]]</f>
        <v>120</v>
      </c>
      <c r="W1069" s="1">
        <f>VLOOKUP(N1069,Stock[#Data],6,FALSE)</f>
        <v>1600</v>
      </c>
      <c r="X1069" s="8">
        <f>+Table4[[#This Row],[SalesBot]]*Table4[[#This Row],[နှုံး]]</f>
        <v>192000</v>
      </c>
      <c r="Y1069" s="12"/>
      <c r="Z1069" s="12"/>
      <c r="AA1069" s="12"/>
      <c r="AB1069" s="9"/>
      <c r="AC1069" s="12"/>
      <c r="AD1069" s="9"/>
      <c r="AE1069" s="12"/>
      <c r="AF106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192000</v>
      </c>
      <c r="AG1069" s="24"/>
      <c r="AH1069" s="266"/>
      <c r="AI1069" s="264"/>
      <c r="AJ1069" s="264"/>
      <c r="AK1069" s="270"/>
      <c r="AL1069" s="270"/>
      <c r="AM1069" s="271"/>
      <c r="AN1069" s="272"/>
      <c r="AO1069" s="273"/>
      <c r="AP1069" s="268"/>
      <c r="AQ1069" s="268"/>
      <c r="AR1069" s="268"/>
    </row>
    <row r="1070" spans="1:44" s="16" customFormat="1" x14ac:dyDescent="0.5">
      <c r="A1070" s="3">
        <f t="shared" si="194"/>
        <v>2026</v>
      </c>
      <c r="B1070" s="8">
        <f t="shared" si="195"/>
        <v>3</v>
      </c>
      <c r="C1070" s="6">
        <v>46084</v>
      </c>
      <c r="D1070" s="15">
        <f t="shared" ca="1" si="196"/>
        <v>46097</v>
      </c>
      <c r="E1070" s="15" t="str">
        <f t="shared" ca="1" si="197"/>
        <v>0-Months</v>
      </c>
      <c r="F1070" s="8" t="str">
        <f>VLOOKUP(N1070,Stock[#Data],5,FALSE)</f>
        <v>BE</v>
      </c>
      <c r="G1070" s="82" t="s">
        <v>1634</v>
      </c>
      <c r="H1070" s="15"/>
      <c r="I1070" s="7" t="s">
        <v>111</v>
      </c>
      <c r="J1070" s="8" t="str">
        <f>VLOOKUP(I1070,Customers[#Data],2,FALSE)</f>
        <v>လင်းသစ်</v>
      </c>
      <c r="K1070" s="15" t="str">
        <f>VLOOKUP(I1070,Customers[#Data],4,FALSE)</f>
        <v>Yay</v>
      </c>
      <c r="L1070" s="15" t="str">
        <f>VLOOKUP(I1070,Customers[#Data],5,FALSE)</f>
        <v>WholeSales</v>
      </c>
      <c r="M1070" s="7" t="s">
        <v>6</v>
      </c>
      <c r="N1070" s="7" t="s">
        <v>508</v>
      </c>
      <c r="O1070" s="14" t="str">
        <f>VLOOKUP(N1070,Stock[#Data],2,FALSE)</f>
        <v>ကောင်းကြည်-1Li</v>
      </c>
      <c r="P1070" s="44">
        <f>VLOOKUP(N1070,Stock[#Data],3,FALSE)</f>
        <v>1</v>
      </c>
      <c r="Q1070" s="3">
        <f>VLOOKUP(N1070,Stock[#Data],4,FALSE)</f>
        <v>12</v>
      </c>
      <c r="R1070" s="11"/>
      <c r="S1070" s="45">
        <f>IFERROR(Table4[[#This Row],[Bottle]]/Table4[[#This Row],[ပါဝင်မှု]]+Table4[[#This Row],[SalesPK]],0)</f>
        <v>5</v>
      </c>
      <c r="T1070" s="12">
        <v>5</v>
      </c>
      <c r="U1070" s="10">
        <f>Table4[[#This Row],[ပါဝင်မှု]]*Table4[[#This Row],[SalesPK]]+Table4[[#This Row],[Bottle]]</f>
        <v>60</v>
      </c>
      <c r="V1070" s="10">
        <f>Table4[[#This Row],[SalesBot]]*Table4[[#This Row],[ML]]</f>
        <v>60</v>
      </c>
      <c r="W1070" s="1">
        <f>VLOOKUP(N1070,Stock[#Data],6,FALSE)</f>
        <v>1850</v>
      </c>
      <c r="X1070" s="8">
        <f>+Table4[[#This Row],[SalesBot]]*Table4[[#This Row],[နှုံး]]</f>
        <v>111000</v>
      </c>
      <c r="Y1070" s="12"/>
      <c r="Z1070" s="12"/>
      <c r="AA1070" s="12"/>
      <c r="AB1070" s="9"/>
      <c r="AC1070" s="12"/>
      <c r="AD1070" s="9"/>
      <c r="AE1070" s="12"/>
      <c r="AF107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111000</v>
      </c>
      <c r="AG1070" s="24"/>
      <c r="AH1070" s="266"/>
      <c r="AI1070" s="264"/>
      <c r="AJ1070" s="264"/>
      <c r="AK1070" s="270"/>
      <c r="AL1070" s="270"/>
      <c r="AM1070" s="271"/>
      <c r="AN1070" s="272"/>
      <c r="AO1070" s="273"/>
      <c r="AP1070" s="268"/>
      <c r="AQ1070" s="268"/>
      <c r="AR1070" s="268"/>
    </row>
    <row r="1071" spans="1:44" s="16" customFormat="1" x14ac:dyDescent="0.5">
      <c r="A1071" s="3">
        <f t="shared" si="190"/>
        <v>2026</v>
      </c>
      <c r="B1071" s="8">
        <f t="shared" si="191"/>
        <v>3</v>
      </c>
      <c r="C1071" s="6">
        <v>46084</v>
      </c>
      <c r="D1071" s="15">
        <f t="shared" ca="1" si="192"/>
        <v>46097</v>
      </c>
      <c r="E1071" s="15" t="str">
        <f t="shared" ca="1" si="193"/>
        <v>0-Months</v>
      </c>
      <c r="F1071" s="8" t="str">
        <f>VLOOKUP(N1071,Stock[#Data],5,FALSE)</f>
        <v>BE</v>
      </c>
      <c r="G1071" s="82" t="s">
        <v>1634</v>
      </c>
      <c r="H1071" s="15"/>
      <c r="I1071" s="7" t="s">
        <v>540</v>
      </c>
      <c r="J1071" s="8" t="str">
        <f>VLOOKUP(I1071,Customers[#Data],2,FALSE)</f>
        <v>ကိုမွန်လေး</v>
      </c>
      <c r="K1071" s="15" t="str">
        <f>VLOOKUP(I1071,Customers[#Data],4,FALSE)</f>
        <v>Yay</v>
      </c>
      <c r="L1071" s="15" t="str">
        <f>VLOOKUP(I1071,Customers[#Data],5,FALSE)</f>
        <v>SemiWholeSales</v>
      </c>
      <c r="M1071" s="7" t="s">
        <v>6</v>
      </c>
      <c r="N1071" s="7" t="s">
        <v>514</v>
      </c>
      <c r="O1071" s="14" t="str">
        <f>VLOOKUP(N1071,Stock[#Data],2,FALSE)</f>
        <v>ဇေယျဝတီ Red</v>
      </c>
      <c r="P1071" s="44">
        <f>VLOOKUP(N1071,Stock[#Data],3,FALSE)</f>
        <v>0.64</v>
      </c>
      <c r="Q1071" s="3">
        <f>VLOOKUP(N1071,Stock[#Data],4,FALSE)</f>
        <v>14</v>
      </c>
      <c r="R1071" s="11"/>
      <c r="S1071" s="45">
        <f>IFERROR(Table4[[#This Row],[Bottle]]/Table4[[#This Row],[ပါဝင်မှု]]+Table4[[#This Row],[SalesPK]],0)</f>
        <v>100</v>
      </c>
      <c r="T1071" s="12">
        <v>100</v>
      </c>
      <c r="U1071" s="10">
        <f>Table4[[#This Row],[ပါဝင်မှု]]*Table4[[#This Row],[SalesPK]]+Table4[[#This Row],[Bottle]]</f>
        <v>1400</v>
      </c>
      <c r="V1071" s="10">
        <f>Table4[[#This Row],[SalesBot]]*Table4[[#This Row],[ML]]</f>
        <v>896</v>
      </c>
      <c r="W1071" s="1">
        <f>VLOOKUP(N1071,Stock[#Data],6,FALSE)</f>
        <v>1350</v>
      </c>
      <c r="X1071" s="8">
        <f>+Table4[[#This Row],[SalesBot]]*Table4[[#This Row],[နှုံး]]</f>
        <v>1890000</v>
      </c>
      <c r="Y1071" s="12"/>
      <c r="Z1071" s="12"/>
      <c r="AA1071" s="12"/>
      <c r="AB1071" s="9"/>
      <c r="AC1071" s="12"/>
      <c r="AD1071" s="9"/>
      <c r="AE1071" s="12"/>
      <c r="AF107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1071" s="24"/>
      <c r="AH1071" s="266"/>
      <c r="AI1071" s="264"/>
      <c r="AJ1071" s="264"/>
      <c r="AK1071" s="270"/>
      <c r="AL1071" s="270"/>
      <c r="AM1071" s="271"/>
      <c r="AN1071" s="272"/>
      <c r="AO1071" s="273"/>
      <c r="AP1071" s="268"/>
      <c r="AQ1071" s="268"/>
      <c r="AR1071" s="268"/>
    </row>
    <row r="1072" spans="1:44" s="16" customFormat="1" x14ac:dyDescent="0.5">
      <c r="A1072" s="3">
        <f t="shared" si="190"/>
        <v>2026</v>
      </c>
      <c r="B1072" s="8">
        <f t="shared" si="191"/>
        <v>3</v>
      </c>
      <c r="C1072" s="6">
        <v>46084</v>
      </c>
      <c r="D1072" s="15">
        <f t="shared" ca="1" si="192"/>
        <v>46097</v>
      </c>
      <c r="E1072" s="15" t="str">
        <f t="shared" ca="1" si="193"/>
        <v>0-Months</v>
      </c>
      <c r="F1072" s="8" t="str">
        <f>VLOOKUP(N1072,Stock[#Data],5,FALSE)</f>
        <v>BE</v>
      </c>
      <c r="G1072" s="82" t="s">
        <v>1634</v>
      </c>
      <c r="H1072" s="15"/>
      <c r="I1072" s="7" t="s">
        <v>540</v>
      </c>
      <c r="J1072" s="8" t="str">
        <f>VLOOKUP(I1072,Customers[#Data],2,FALSE)</f>
        <v>ကိုမွန်လေး</v>
      </c>
      <c r="K1072" s="15" t="str">
        <f>VLOOKUP(I1072,Customers[#Data],4,FALSE)</f>
        <v>Yay</v>
      </c>
      <c r="L1072" s="15" t="str">
        <f>VLOOKUP(I1072,Customers[#Data],5,FALSE)</f>
        <v>SemiWholeSales</v>
      </c>
      <c r="M1072" s="7" t="s">
        <v>6</v>
      </c>
      <c r="N1072" s="7" t="s">
        <v>522</v>
      </c>
      <c r="O1072" s="14" t="str">
        <f>VLOOKUP(N1072,Stock[#Data],2,FALSE)</f>
        <v>ဒဂုံမန်ကျည်း ကော်ဘူး (1 Liter)</v>
      </c>
      <c r="P1072" s="44">
        <f>VLOOKUP(N1072,Stock[#Data],3,FALSE)</f>
        <v>1</v>
      </c>
      <c r="Q1072" s="3">
        <f>VLOOKUP(N1072,Stock[#Data],4,FALSE)</f>
        <v>12</v>
      </c>
      <c r="R1072" s="11"/>
      <c r="S1072" s="45">
        <f>IFERROR(Table4[[#This Row],[Bottle]]/Table4[[#This Row],[ပါဝင်မှု]]+Table4[[#This Row],[SalesPK]],0)</f>
        <v>15</v>
      </c>
      <c r="T1072" s="12">
        <v>15</v>
      </c>
      <c r="U1072" s="10">
        <f>Table4[[#This Row],[ပါဝင်မှု]]*Table4[[#This Row],[SalesPK]]+Table4[[#This Row],[Bottle]]</f>
        <v>180</v>
      </c>
      <c r="V1072" s="10">
        <f>Table4[[#This Row],[SalesBot]]*Table4[[#This Row],[ML]]</f>
        <v>180</v>
      </c>
      <c r="W1072" s="1">
        <f>VLOOKUP(N1072,Stock[#Data],6,FALSE)</f>
        <v>1600</v>
      </c>
      <c r="X1072" s="8">
        <f>+Table4[[#This Row],[SalesBot]]*Table4[[#This Row],[နှုံး]]</f>
        <v>288000</v>
      </c>
      <c r="Y1072" s="12"/>
      <c r="Z1072" s="12"/>
      <c r="AA1072" s="12"/>
      <c r="AB1072" s="9"/>
      <c r="AC1072" s="12"/>
      <c r="AD1072" s="9"/>
      <c r="AE1072" s="12"/>
      <c r="AF107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288000</v>
      </c>
      <c r="AG1072" s="24"/>
      <c r="AH1072" s="266"/>
      <c r="AI1072" s="264"/>
      <c r="AJ1072" s="264"/>
      <c r="AK1072" s="270"/>
      <c r="AL1072" s="270"/>
      <c r="AM1072" s="271"/>
      <c r="AN1072" s="272"/>
      <c r="AO1072" s="273"/>
      <c r="AP1072" s="268"/>
      <c r="AQ1072" s="268"/>
      <c r="AR1072" s="268"/>
    </row>
    <row r="1073" spans="1:44" s="16" customFormat="1" x14ac:dyDescent="0.5">
      <c r="A1073" s="3">
        <f t="shared" si="190"/>
        <v>2026</v>
      </c>
      <c r="B1073" s="8">
        <f t="shared" si="191"/>
        <v>3</v>
      </c>
      <c r="C1073" s="6">
        <v>46084</v>
      </c>
      <c r="D1073" s="15">
        <f t="shared" ca="1" si="192"/>
        <v>46097</v>
      </c>
      <c r="E1073" s="15" t="str">
        <f t="shared" ca="1" si="193"/>
        <v>0-Months</v>
      </c>
      <c r="F1073" s="8" t="str">
        <f>VLOOKUP(N1073,Stock[#Data],5,FALSE)</f>
        <v>BE</v>
      </c>
      <c r="G1073" s="82" t="s">
        <v>1634</v>
      </c>
      <c r="H1073" s="15"/>
      <c r="I1073" s="7" t="s">
        <v>540</v>
      </c>
      <c r="J1073" s="8" t="str">
        <f>VLOOKUP(I1073,Customers[#Data],2,FALSE)</f>
        <v>ကိုမွန်လေး</v>
      </c>
      <c r="K1073" s="15" t="str">
        <f>VLOOKUP(I1073,Customers[#Data],4,FALSE)</f>
        <v>Yay</v>
      </c>
      <c r="L1073" s="15" t="str">
        <f>VLOOKUP(I1073,Customers[#Data],5,FALSE)</f>
        <v>SemiWholeSales</v>
      </c>
      <c r="M1073" s="7" t="s">
        <v>6</v>
      </c>
      <c r="N1073" s="7" t="s">
        <v>425</v>
      </c>
      <c r="O1073" s="14" t="str">
        <f>VLOOKUP(N1073,Stock[#Data],2,FALSE)</f>
        <v>ကောင်းကြည်-1Li</v>
      </c>
      <c r="P1073" s="44">
        <f>VLOOKUP(N1073,Stock[#Data],3,FALSE)</f>
        <v>1</v>
      </c>
      <c r="Q1073" s="3">
        <f>VLOOKUP(N1073,Stock[#Data],4,FALSE)</f>
        <v>12</v>
      </c>
      <c r="R1073" s="11"/>
      <c r="S1073" s="45">
        <f>IFERROR(Table4[[#This Row],[Bottle]]/Table4[[#This Row],[ပါဝင်မှု]]+Table4[[#This Row],[SalesPK]],0)</f>
        <v>15</v>
      </c>
      <c r="T1073" s="12">
        <v>15</v>
      </c>
      <c r="U1073" s="10">
        <f>Table4[[#This Row],[ပါဝင်မှု]]*Table4[[#This Row],[SalesPK]]+Table4[[#This Row],[Bottle]]</f>
        <v>180</v>
      </c>
      <c r="V1073" s="10">
        <f>Table4[[#This Row],[SalesBot]]*Table4[[#This Row],[ML]]</f>
        <v>180</v>
      </c>
      <c r="W1073" s="1">
        <f>VLOOKUP(N1073,Stock[#Data],6,FALSE)</f>
        <v>1500</v>
      </c>
      <c r="X1073" s="8">
        <f>+Table4[[#This Row],[SalesBot]]*Table4[[#This Row],[နှုံး]]</f>
        <v>270000</v>
      </c>
      <c r="Y1073" s="12"/>
      <c r="Z1073" s="12"/>
      <c r="AA1073" s="12"/>
      <c r="AB1073" s="9"/>
      <c r="AC1073" s="12"/>
      <c r="AD1073" s="9"/>
      <c r="AE1073" s="12"/>
      <c r="AF107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270000</v>
      </c>
      <c r="AG1073" s="24"/>
      <c r="AH1073" s="266"/>
      <c r="AI1073" s="264"/>
      <c r="AJ1073" s="264"/>
      <c r="AK1073" s="270"/>
      <c r="AL1073" s="270"/>
      <c r="AM1073" s="271"/>
      <c r="AN1073" s="272"/>
      <c r="AO1073" s="273"/>
      <c r="AP1073" s="268"/>
      <c r="AQ1073" s="268"/>
      <c r="AR1073" s="268"/>
    </row>
    <row r="1074" spans="1:44" s="16" customFormat="1" x14ac:dyDescent="0.5">
      <c r="A1074" s="3">
        <f t="shared" si="190"/>
        <v>2026</v>
      </c>
      <c r="B1074" s="8">
        <f t="shared" si="191"/>
        <v>3</v>
      </c>
      <c r="C1074" s="6">
        <v>46084</v>
      </c>
      <c r="D1074" s="15">
        <f t="shared" ca="1" si="192"/>
        <v>46097</v>
      </c>
      <c r="E1074" s="15" t="str">
        <f t="shared" ca="1" si="193"/>
        <v>0-Months</v>
      </c>
      <c r="F1074" s="8" t="str">
        <f>VLOOKUP(N1074,Stock[#Data],5,FALSE)</f>
        <v>BE</v>
      </c>
      <c r="G1074" s="82" t="s">
        <v>1634</v>
      </c>
      <c r="H1074" s="15"/>
      <c r="I1074" s="7" t="s">
        <v>540</v>
      </c>
      <c r="J1074" s="8" t="str">
        <f>VLOOKUP(I1074,Customers[#Data],2,FALSE)</f>
        <v>ကိုမွန်လေး</v>
      </c>
      <c r="K1074" s="15" t="str">
        <f>VLOOKUP(I1074,Customers[#Data],4,FALSE)</f>
        <v>Yay</v>
      </c>
      <c r="L1074" s="15" t="str">
        <f>VLOOKUP(I1074,Customers[#Data],5,FALSE)</f>
        <v>SemiWholeSales</v>
      </c>
      <c r="M1074" s="7" t="s">
        <v>6</v>
      </c>
      <c r="N1074" s="7" t="s">
        <v>508</v>
      </c>
      <c r="O1074" s="14" t="str">
        <f>VLOOKUP(N1074,Stock[#Data],2,FALSE)</f>
        <v>ကောင်းကြည်-1Li</v>
      </c>
      <c r="P1074" s="44">
        <f>VLOOKUP(N1074,Stock[#Data],3,FALSE)</f>
        <v>1</v>
      </c>
      <c r="Q1074" s="3">
        <f>VLOOKUP(N1074,Stock[#Data],4,FALSE)</f>
        <v>12</v>
      </c>
      <c r="R1074" s="11"/>
      <c r="S1074" s="45">
        <f>IFERROR(Table4[[#This Row],[Bottle]]/Table4[[#This Row],[ပါဝင်မှု]]+Table4[[#This Row],[SalesPK]],0)</f>
        <v>15</v>
      </c>
      <c r="T1074" s="12">
        <v>15</v>
      </c>
      <c r="U1074" s="10">
        <f>Table4[[#This Row],[ပါဝင်မှု]]*Table4[[#This Row],[SalesPK]]+Table4[[#This Row],[Bottle]]</f>
        <v>180</v>
      </c>
      <c r="V1074" s="10">
        <f>Table4[[#This Row],[SalesBot]]*Table4[[#This Row],[ML]]</f>
        <v>180</v>
      </c>
      <c r="W1074" s="1">
        <f>VLOOKUP(N1074,Stock[#Data],6,FALSE)</f>
        <v>1850</v>
      </c>
      <c r="X1074" s="8">
        <f>+Table4[[#This Row],[SalesBot]]*Table4[[#This Row],[နှုံး]]</f>
        <v>333000</v>
      </c>
      <c r="Y1074" s="12"/>
      <c r="Z1074" s="12"/>
      <c r="AA1074" s="12"/>
      <c r="AB1074" s="9"/>
      <c r="AC1074" s="12"/>
      <c r="AD1074" s="9"/>
      <c r="AE1074" s="12"/>
      <c r="AF107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333000</v>
      </c>
      <c r="AG1074" s="24"/>
      <c r="AH1074" s="266"/>
      <c r="AI1074" s="264"/>
      <c r="AJ1074" s="264"/>
      <c r="AK1074" s="270"/>
      <c r="AL1074" s="270"/>
      <c r="AM1074" s="271"/>
      <c r="AN1074" s="272"/>
      <c r="AO1074" s="273"/>
      <c r="AP1074" s="268"/>
      <c r="AQ1074" s="268"/>
      <c r="AR1074" s="268"/>
    </row>
    <row r="1075" spans="1:44" s="16" customFormat="1" x14ac:dyDescent="0.5">
      <c r="A1075" s="3">
        <f t="shared" si="190"/>
        <v>2026</v>
      </c>
      <c r="B1075" s="8">
        <f t="shared" si="191"/>
        <v>3</v>
      </c>
      <c r="C1075" s="6">
        <v>46084</v>
      </c>
      <c r="D1075" s="15">
        <f t="shared" ca="1" si="192"/>
        <v>46097</v>
      </c>
      <c r="E1075" s="15" t="str">
        <f t="shared" ca="1" si="193"/>
        <v>0-Months</v>
      </c>
      <c r="F1075" s="8" t="str">
        <f>VLOOKUP(N1075,Stock[#Data],5,FALSE)</f>
        <v>BE</v>
      </c>
      <c r="G1075" s="82" t="s">
        <v>1635</v>
      </c>
      <c r="H1075" s="15"/>
      <c r="I1075" s="7" t="s">
        <v>545</v>
      </c>
      <c r="J1075" s="8" t="str">
        <f>VLOOKUP(I1075,Customers[#Data],2,FALSE)</f>
        <v>ကိုအောင်နိုင်ဦး</v>
      </c>
      <c r="K1075" s="15" t="str">
        <f>VLOOKUP(I1075,Customers[#Data],4,FALSE)</f>
        <v>Mudon</v>
      </c>
      <c r="L1075" s="15" t="str">
        <f>VLOOKUP(I1075,Customers[#Data],5,FALSE)</f>
        <v>SemiWholeSales</v>
      </c>
      <c r="M1075" s="7" t="s">
        <v>6</v>
      </c>
      <c r="N1075" s="7" t="s">
        <v>520</v>
      </c>
      <c r="O1075" s="14" t="str">
        <f>VLOOKUP(N1075,Stock[#Data],2,FALSE)</f>
        <v>ဇေယျဝတီ  Red(ပု)</v>
      </c>
      <c r="P1075" s="44">
        <f>VLOOKUP(N1075,Stock[#Data],3,FALSE)</f>
        <v>0.64</v>
      </c>
      <c r="Q1075" s="3">
        <f>VLOOKUP(N1075,Stock[#Data],4,FALSE)</f>
        <v>14</v>
      </c>
      <c r="R1075" s="11"/>
      <c r="S1075" s="45">
        <f>IFERROR(Table4[[#This Row],[Bottle]]/Table4[[#This Row],[ပါဝင်မှု]]+Table4[[#This Row],[SalesPK]],0)</f>
        <v>100</v>
      </c>
      <c r="T1075" s="12">
        <v>100</v>
      </c>
      <c r="U1075" s="10">
        <f>Table4[[#This Row],[ပါဝင်မှု]]*Table4[[#This Row],[SalesPK]]+Table4[[#This Row],[Bottle]]</f>
        <v>1400</v>
      </c>
      <c r="V1075" s="10">
        <f>Table4[[#This Row],[SalesBot]]*Table4[[#This Row],[ML]]</f>
        <v>896</v>
      </c>
      <c r="W1075" s="1">
        <f>VLOOKUP(N1075,Stock[#Data],6,FALSE)</f>
        <v>1800</v>
      </c>
      <c r="X1075" s="8">
        <f>+Table4[[#This Row],[SalesBot]]*Table4[[#This Row],[နှုံး]]</f>
        <v>2520000</v>
      </c>
      <c r="Y1075" s="12"/>
      <c r="Z1075" s="12"/>
      <c r="AA1075" s="12"/>
      <c r="AB1075" s="9"/>
      <c r="AC1075" s="12"/>
      <c r="AD1075" s="9"/>
      <c r="AE1075" s="12"/>
      <c r="AF107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2520000</v>
      </c>
      <c r="AG1075" s="24"/>
      <c r="AH1075" s="266"/>
      <c r="AI1075" s="264"/>
      <c r="AJ1075" s="264"/>
      <c r="AK1075" s="270"/>
      <c r="AL1075" s="270"/>
      <c r="AM1075" s="271"/>
      <c r="AN1075" s="272"/>
      <c r="AO1075" s="273"/>
      <c r="AP1075" s="268"/>
      <c r="AQ1075" s="268"/>
      <c r="AR1075" s="268"/>
    </row>
    <row r="1076" spans="1:44" s="16" customFormat="1" x14ac:dyDescent="0.5">
      <c r="A1076" s="3">
        <f t="shared" si="190"/>
        <v>2026</v>
      </c>
      <c r="B1076" s="8">
        <f t="shared" si="191"/>
        <v>3</v>
      </c>
      <c r="C1076" s="6">
        <v>46084</v>
      </c>
      <c r="D1076" s="15">
        <f t="shared" ca="1" si="192"/>
        <v>46097</v>
      </c>
      <c r="E1076" s="15" t="str">
        <f t="shared" ca="1" si="193"/>
        <v>0-Months</v>
      </c>
      <c r="F1076" s="8" t="str">
        <f>VLOOKUP(N1076,Stock[#Data],5,FALSE)</f>
        <v>BE</v>
      </c>
      <c r="G1076" s="82" t="s">
        <v>1636</v>
      </c>
      <c r="H1076" s="15"/>
      <c r="I1076" s="7" t="s">
        <v>579</v>
      </c>
      <c r="J1076" s="8" t="str">
        <f>VLOOKUP(I1076,Customers[#Data],2,FALSE)</f>
        <v>ကောင်းခေတ်</v>
      </c>
      <c r="K1076" s="15" t="str">
        <f>VLOOKUP(I1076,Customers[#Data],4,FALSE)</f>
        <v>Maw La Myaing</v>
      </c>
      <c r="L1076" s="15" t="str">
        <f>VLOOKUP(I1076,Customers[#Data],5,FALSE)</f>
        <v>Van Sales</v>
      </c>
      <c r="M1076" s="7" t="s">
        <v>6</v>
      </c>
      <c r="N1076" s="7" t="s">
        <v>516</v>
      </c>
      <c r="O1076" s="14" t="str">
        <f>VLOOKUP(N1076,Stock[#Data],2,FALSE)</f>
        <v>ဇေ Vodka</v>
      </c>
      <c r="P1076" s="44">
        <f>VLOOKUP(N1076,Stock[#Data],3,FALSE)</f>
        <v>0.64</v>
      </c>
      <c r="Q1076" s="3">
        <f>VLOOKUP(N1076,Stock[#Data],4,FALSE)</f>
        <v>14</v>
      </c>
      <c r="R1076" s="11"/>
      <c r="S1076" s="45">
        <f>IFERROR(Table4[[#This Row],[Bottle]]/Table4[[#This Row],[ပါဝင်မှု]]+Table4[[#This Row],[SalesPK]],0)</f>
        <v>5</v>
      </c>
      <c r="T1076" s="12">
        <v>5</v>
      </c>
      <c r="U1076" s="10">
        <f>Table4[[#This Row],[ပါဝင်မှု]]*Table4[[#This Row],[SalesPK]]+Table4[[#This Row],[Bottle]]</f>
        <v>70</v>
      </c>
      <c r="V1076" s="10">
        <f>Table4[[#This Row],[SalesBot]]*Table4[[#This Row],[ML]]</f>
        <v>44.800000000000004</v>
      </c>
      <c r="W1076" s="1">
        <f>VLOOKUP(N1076,Stock[#Data],6,FALSE)</f>
        <v>1400</v>
      </c>
      <c r="X1076" s="8">
        <f>+Table4[[#This Row],[SalesBot]]*Table4[[#This Row],[နှုံး]]</f>
        <v>98000</v>
      </c>
      <c r="Y1076" s="12"/>
      <c r="Z1076" s="12"/>
      <c r="AA1076" s="12"/>
      <c r="AB1076" s="9"/>
      <c r="AC1076" s="12"/>
      <c r="AD1076" s="9"/>
      <c r="AE1076" s="12"/>
      <c r="AF107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</v>
      </c>
      <c r="AG1076" s="24"/>
      <c r="AH1076" s="266"/>
      <c r="AI1076" s="264"/>
      <c r="AJ1076" s="264"/>
      <c r="AK1076" s="270"/>
      <c r="AL1076" s="270"/>
      <c r="AM1076" s="271"/>
      <c r="AN1076" s="272"/>
      <c r="AO1076" s="273"/>
      <c r="AP1076" s="268"/>
      <c r="AQ1076" s="268"/>
      <c r="AR1076" s="268"/>
    </row>
    <row r="1077" spans="1:44" s="16" customFormat="1" x14ac:dyDescent="0.5">
      <c r="A1077" s="3">
        <f t="shared" si="170"/>
        <v>2026</v>
      </c>
      <c r="B1077" s="8">
        <f t="shared" si="171"/>
        <v>3</v>
      </c>
      <c r="C1077" s="6">
        <v>46084</v>
      </c>
      <c r="D1077" s="15">
        <f t="shared" ca="1" si="172"/>
        <v>46097</v>
      </c>
      <c r="E1077" s="15" t="str">
        <f t="shared" ca="1" si="173"/>
        <v>0-Months</v>
      </c>
      <c r="F1077" s="8" t="str">
        <f>VLOOKUP(N1077,Stock[#Data],5,FALSE)</f>
        <v>BE</v>
      </c>
      <c r="G1077" s="82" t="s">
        <v>1636</v>
      </c>
      <c r="H1077" s="15"/>
      <c r="I1077" s="7" t="s">
        <v>579</v>
      </c>
      <c r="J1077" s="8" t="str">
        <f>VLOOKUP(I1077,Customers[#Data],2,FALSE)</f>
        <v>ကောင်းခေတ်</v>
      </c>
      <c r="K1077" s="15" t="str">
        <f>VLOOKUP(I1077,Customers[#Data],4,FALSE)</f>
        <v>Maw La Myaing</v>
      </c>
      <c r="L1077" s="15" t="str">
        <f>VLOOKUP(I1077,Customers[#Data],5,FALSE)</f>
        <v>Van Sales</v>
      </c>
      <c r="M1077" s="7" t="s">
        <v>6</v>
      </c>
      <c r="N1077" s="7" t="s">
        <v>518</v>
      </c>
      <c r="O1077" s="14" t="str">
        <f>VLOOKUP(N1077,Stock[#Data],2,FALSE)</f>
        <v>"ဇေ" ကော်ဘူး (1 Liter)</v>
      </c>
      <c r="P1077" s="44">
        <f>VLOOKUP(N1077,Stock[#Data],3,FALSE)</f>
        <v>1</v>
      </c>
      <c r="Q1077" s="3">
        <f>VLOOKUP(N1077,Stock[#Data],4,FALSE)</f>
        <v>12</v>
      </c>
      <c r="R1077" s="11"/>
      <c r="S1077" s="45">
        <f>IFERROR(Table4[[#This Row],[Bottle]]/Table4[[#This Row],[ပါဝင်မှု]]+Table4[[#This Row],[SalesPK]],0)</f>
        <v>5</v>
      </c>
      <c r="T1077" s="12">
        <v>5</v>
      </c>
      <c r="U1077" s="10">
        <f>Table4[[#This Row],[ပါဝင်မှု]]*Table4[[#This Row],[SalesPK]]+Table4[[#This Row],[Bottle]]</f>
        <v>60</v>
      </c>
      <c r="V1077" s="10">
        <f>Table4[[#This Row],[SalesBot]]*Table4[[#This Row],[ML]]</f>
        <v>60</v>
      </c>
      <c r="W1077" s="1">
        <f>VLOOKUP(N1077,Stock[#Data],6,FALSE)</f>
        <v>1675</v>
      </c>
      <c r="X1077" s="8">
        <f>+Table4[[#This Row],[SalesBot]]*Table4[[#This Row],[နှုံး]]</f>
        <v>100500</v>
      </c>
      <c r="Y1077" s="12"/>
      <c r="Z1077" s="12"/>
      <c r="AA1077" s="12"/>
      <c r="AB1077" s="9"/>
      <c r="AC1077" s="12"/>
      <c r="AD1077" s="9"/>
      <c r="AE1077" s="12"/>
      <c r="AF107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1077" s="24"/>
      <c r="AH1077" s="266">
        <f>Table4[[#This Row],[Date]]</f>
        <v>46084</v>
      </c>
      <c r="AI1077" s="264"/>
      <c r="AJ1077" s="264"/>
      <c r="AK1077" s="270"/>
      <c r="AL1077" s="270"/>
      <c r="AM1077" s="271"/>
      <c r="AN1077" s="272"/>
      <c r="AO1077" s="273"/>
      <c r="AP1077" s="268"/>
      <c r="AQ1077" s="268"/>
      <c r="AR1077" s="268"/>
    </row>
    <row r="1078" spans="1:44" s="16" customFormat="1" x14ac:dyDescent="0.5">
      <c r="A1078" s="3">
        <f t="shared" si="170"/>
        <v>2026</v>
      </c>
      <c r="B1078" s="8">
        <f t="shared" si="171"/>
        <v>3</v>
      </c>
      <c r="C1078" s="6">
        <v>46084</v>
      </c>
      <c r="D1078" s="15">
        <f t="shared" ca="1" si="172"/>
        <v>46097</v>
      </c>
      <c r="E1078" s="15" t="str">
        <f t="shared" ca="1" si="173"/>
        <v>0-Months</v>
      </c>
      <c r="F1078" s="8" t="str">
        <f>VLOOKUP(N1078,Stock[#Data],5,FALSE)</f>
        <v>BE</v>
      </c>
      <c r="G1078" s="82"/>
      <c r="H1078" s="15"/>
      <c r="I1078" s="7" t="s">
        <v>76</v>
      </c>
      <c r="J1078" s="8" t="str">
        <f>VLOOKUP(I1078,Customers[#Data],2,FALSE)</f>
        <v>Thailand</v>
      </c>
      <c r="K1078" s="15" t="str">
        <f>VLOOKUP(I1078,Customers[#Data],4,FALSE)</f>
        <v>Mudon</v>
      </c>
      <c r="L1078" s="15" t="str">
        <f>VLOOKUP(I1078,Customers[#Data],5,FALSE)</f>
        <v>SemiWholeSales</v>
      </c>
      <c r="M1078" s="7" t="s">
        <v>6</v>
      </c>
      <c r="N1078" s="7" t="s">
        <v>518</v>
      </c>
      <c r="O1078" s="14" t="str">
        <f>VLOOKUP(N1078,Stock[#Data],2,FALSE)</f>
        <v>"ဇေ" ကော်ဘူး (1 Liter)</v>
      </c>
      <c r="P1078" s="44">
        <f>VLOOKUP(N1078,Stock[#Data],3,FALSE)</f>
        <v>1</v>
      </c>
      <c r="Q1078" s="3">
        <f>VLOOKUP(N1078,Stock[#Data],4,FALSE)</f>
        <v>12</v>
      </c>
      <c r="R1078" s="11"/>
      <c r="S1078" s="45">
        <f>IFERROR(Table4[[#This Row],[Bottle]]/Table4[[#This Row],[ပါဝင်မှု]]+Table4[[#This Row],[SalesPK]],0)</f>
        <v>5</v>
      </c>
      <c r="T1078" s="12">
        <v>5</v>
      </c>
      <c r="U1078" s="10">
        <f>Table4[[#This Row],[ပါဝင်မှု]]*Table4[[#This Row],[SalesPK]]+Table4[[#This Row],[Bottle]]</f>
        <v>60</v>
      </c>
      <c r="V1078" s="10">
        <f>Table4[[#This Row],[SalesBot]]*Table4[[#This Row],[ML]]</f>
        <v>60</v>
      </c>
      <c r="W1078" s="1">
        <f>VLOOKUP(N1078,Stock[#Data],6,FALSE)</f>
        <v>1675</v>
      </c>
      <c r="X1078" s="8">
        <f>+Table4[[#This Row],[SalesBot]]*Table4[[#This Row],[နှုံး]]</f>
        <v>100500</v>
      </c>
      <c r="Y1078" s="12"/>
      <c r="Z1078" s="12"/>
      <c r="AA1078" s="12"/>
      <c r="AB1078" s="9"/>
      <c r="AC1078" s="12"/>
      <c r="AD1078" s="9"/>
      <c r="AE1078" s="12"/>
      <c r="AF107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1078" s="24"/>
      <c r="AH1078" s="266">
        <f>Table4[[#This Row],[Date]]</f>
        <v>46084</v>
      </c>
      <c r="AI1078" s="264"/>
      <c r="AJ1078" s="264"/>
      <c r="AK1078" s="270"/>
      <c r="AL1078" s="270"/>
      <c r="AM1078" s="271"/>
      <c r="AN1078" s="272"/>
      <c r="AO1078" s="273"/>
      <c r="AP1078" s="268"/>
      <c r="AQ1078" s="268"/>
      <c r="AR1078" s="268"/>
    </row>
    <row r="1079" spans="1:44" s="16" customFormat="1" x14ac:dyDescent="0.5">
      <c r="A1079" s="3">
        <f t="shared" ref="A1079:A1110" si="198">YEAR(C1079)</f>
        <v>2026</v>
      </c>
      <c r="B1079" s="8">
        <f t="shared" ref="B1079:B1110" si="199">MONTH(C1079)</f>
        <v>3</v>
      </c>
      <c r="C1079" s="6">
        <v>46084</v>
      </c>
      <c r="D1079" s="15">
        <f t="shared" ref="D1079:D1110" ca="1" si="200">TODAY()</f>
        <v>46097</v>
      </c>
      <c r="E1079" s="15" t="str">
        <f t="shared" ref="E1079:E1110" ca="1" si="201">DATEDIF(C1079,D1079,"M")&amp;"-Months"</f>
        <v>0-Months</v>
      </c>
      <c r="F1079" s="8" t="str">
        <f>VLOOKUP(N1079,Stock[#Data],5,FALSE)</f>
        <v>BE</v>
      </c>
      <c r="G1079" s="82" t="s">
        <v>1586</v>
      </c>
      <c r="H1079" s="15"/>
      <c r="I1079" s="7" t="s">
        <v>95</v>
      </c>
      <c r="J1079" s="8" t="str">
        <f>VLOOKUP(I1079,Customers[#Data],2,FALSE)</f>
        <v>ကျော်စတား</v>
      </c>
      <c r="K1079" s="15" t="str">
        <f>VLOOKUP(I1079,Customers[#Data],4,FALSE)</f>
        <v>Yay</v>
      </c>
      <c r="L1079" s="15" t="str">
        <f>VLOOKUP(I1079,Customers[#Data],5,FALSE)</f>
        <v>WholeSales</v>
      </c>
      <c r="M1079" s="7" t="s">
        <v>7</v>
      </c>
      <c r="N1079" s="7" t="s">
        <v>517</v>
      </c>
      <c r="O1079" s="14" t="str">
        <f>VLOOKUP(N1079,Stock[#Data],2,FALSE)</f>
        <v>ဇေယျဝတီ Red (1 Liter) 30%</v>
      </c>
      <c r="P1079" s="44">
        <f>VLOOKUP(N1079,Stock[#Data],3,FALSE)</f>
        <v>1</v>
      </c>
      <c r="Q1079" s="3">
        <f>VLOOKUP(N1079,Stock[#Data],4,FALSE)</f>
        <v>12</v>
      </c>
      <c r="R1079" s="11"/>
      <c r="S1079" s="45">
        <f>IFERROR(Table4[[#This Row],[Bottle]]/Table4[[#This Row],[ပါဝင်မှု]]+Table4[[#This Row],[SalesPK]],0)</f>
        <v>100</v>
      </c>
      <c r="T1079" s="12">
        <v>100</v>
      </c>
      <c r="U1079" s="10">
        <f>Table4[[#This Row],[ပါဝင်မှု]]*Table4[[#This Row],[SalesPK]]+Table4[[#This Row],[Bottle]]</f>
        <v>1200</v>
      </c>
      <c r="V1079" s="10">
        <f>Table4[[#This Row],[SalesBot]]*Table4[[#This Row],[ML]]</f>
        <v>1200</v>
      </c>
      <c r="W1079" s="1">
        <f>VLOOKUP(N1079,Stock[#Data],6,FALSE)</f>
        <v>1710</v>
      </c>
      <c r="X1079" s="8">
        <f>+Table4[[#This Row],[SalesBot]]*Table4[[#This Row],[နှုံး]]</f>
        <v>2052000</v>
      </c>
      <c r="Y1079" s="12"/>
      <c r="Z1079" s="12"/>
      <c r="AA1079" s="12"/>
      <c r="AB1079" s="9"/>
      <c r="AC1079" s="12"/>
      <c r="AD1079" s="9"/>
      <c r="AE1079" s="12"/>
      <c r="AF107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079" s="24"/>
      <c r="AH1079" s="266"/>
      <c r="AI1079" s="264"/>
      <c r="AJ1079" s="264"/>
      <c r="AK1079" s="270"/>
      <c r="AL1079" s="270"/>
      <c r="AM1079" s="271"/>
      <c r="AN1079" s="272"/>
      <c r="AO1079" s="273"/>
      <c r="AP1079" s="268"/>
      <c r="AQ1079" s="268"/>
      <c r="AR1079" s="268"/>
    </row>
    <row r="1080" spans="1:44" s="16" customFormat="1" x14ac:dyDescent="0.5">
      <c r="A1080" s="3">
        <f t="shared" si="198"/>
        <v>2026</v>
      </c>
      <c r="B1080" s="8">
        <f t="shared" si="199"/>
        <v>3</v>
      </c>
      <c r="C1080" s="6">
        <v>46084</v>
      </c>
      <c r="D1080" s="15">
        <f t="shared" ca="1" si="200"/>
        <v>46097</v>
      </c>
      <c r="E1080" s="15" t="str">
        <f t="shared" ca="1" si="201"/>
        <v>0-Months</v>
      </c>
      <c r="F1080" s="8" t="str">
        <f>VLOOKUP(N1080,Stock[#Data],5,FALSE)</f>
        <v>BE</v>
      </c>
      <c r="G1080" s="82" t="s">
        <v>1637</v>
      </c>
      <c r="H1080" s="15"/>
      <c r="I1080" s="7" t="s">
        <v>95</v>
      </c>
      <c r="J1080" s="8" t="str">
        <f>VLOOKUP(I1080,Customers[#Data],2,FALSE)</f>
        <v>ကျော်စတား</v>
      </c>
      <c r="K1080" s="15" t="str">
        <f>VLOOKUP(I1080,Customers[#Data],4,FALSE)</f>
        <v>Yay</v>
      </c>
      <c r="L1080" s="15" t="str">
        <f>VLOOKUP(I1080,Customers[#Data],5,FALSE)</f>
        <v>WholeSales</v>
      </c>
      <c r="M1080" s="7" t="s">
        <v>7</v>
      </c>
      <c r="N1080" s="7" t="s">
        <v>514</v>
      </c>
      <c r="O1080" s="14" t="str">
        <f>VLOOKUP(N1080,Stock[#Data],2,FALSE)</f>
        <v>ဇေယျဝတီ Red</v>
      </c>
      <c r="P1080" s="44">
        <f>VLOOKUP(N1080,Stock[#Data],3,FALSE)</f>
        <v>0.64</v>
      </c>
      <c r="Q1080" s="3">
        <f>VLOOKUP(N1080,Stock[#Data],4,FALSE)</f>
        <v>14</v>
      </c>
      <c r="R1080" s="11"/>
      <c r="S1080" s="45">
        <f>IFERROR(Table4[[#This Row],[Bottle]]/Table4[[#This Row],[ပါဝင်မှု]]+Table4[[#This Row],[SalesPK]],0)</f>
        <v>100</v>
      </c>
      <c r="T1080" s="12">
        <v>100</v>
      </c>
      <c r="U1080" s="10">
        <f>Table4[[#This Row],[ပါဝင်မှု]]*Table4[[#This Row],[SalesPK]]+Table4[[#This Row],[Bottle]]</f>
        <v>1400</v>
      </c>
      <c r="V1080" s="10">
        <f>Table4[[#This Row],[SalesBot]]*Table4[[#This Row],[ML]]</f>
        <v>896</v>
      </c>
      <c r="W1080" s="1">
        <f>VLOOKUP(N1080,Stock[#Data],6,FALSE)</f>
        <v>1350</v>
      </c>
      <c r="X1080" s="8">
        <f>+Table4[[#This Row],[SalesBot]]*Table4[[#This Row],[နှုံး]]</f>
        <v>1890000</v>
      </c>
      <c r="Y1080" s="12"/>
      <c r="Z1080" s="12"/>
      <c r="AA1080" s="12"/>
      <c r="AB1080" s="9"/>
      <c r="AC1080" s="12"/>
      <c r="AD1080" s="9"/>
      <c r="AE1080" s="12"/>
      <c r="AF108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1080" s="24"/>
      <c r="AH1080" s="266"/>
      <c r="AI1080" s="264"/>
      <c r="AJ1080" s="264"/>
      <c r="AK1080" s="270"/>
      <c r="AL1080" s="270"/>
      <c r="AM1080" s="271"/>
      <c r="AN1080" s="272"/>
      <c r="AO1080" s="273"/>
      <c r="AP1080" s="268"/>
      <c r="AQ1080" s="268"/>
      <c r="AR1080" s="268"/>
    </row>
    <row r="1081" spans="1:44" s="16" customFormat="1" x14ac:dyDescent="0.5">
      <c r="A1081" s="3">
        <f t="shared" si="198"/>
        <v>2026</v>
      </c>
      <c r="B1081" s="8">
        <f t="shared" si="199"/>
        <v>3</v>
      </c>
      <c r="C1081" s="6">
        <v>46084</v>
      </c>
      <c r="D1081" s="15">
        <f t="shared" ca="1" si="200"/>
        <v>46097</v>
      </c>
      <c r="E1081" s="15" t="str">
        <f t="shared" ca="1" si="201"/>
        <v>0-Months</v>
      </c>
      <c r="F1081" s="8" t="str">
        <f>VLOOKUP(N1081,Stock[#Data],5,FALSE)</f>
        <v>BE</v>
      </c>
      <c r="G1081" s="82" t="s">
        <v>1637</v>
      </c>
      <c r="H1081" s="15"/>
      <c r="I1081" s="7" t="s">
        <v>95</v>
      </c>
      <c r="J1081" s="8" t="str">
        <f>VLOOKUP(I1081,Customers[#Data],2,FALSE)</f>
        <v>ကျော်စတား</v>
      </c>
      <c r="K1081" s="15" t="str">
        <f>VLOOKUP(I1081,Customers[#Data],4,FALSE)</f>
        <v>Yay</v>
      </c>
      <c r="L1081" s="15" t="str">
        <f>VLOOKUP(I1081,Customers[#Data],5,FALSE)</f>
        <v>WholeSales</v>
      </c>
      <c r="M1081" s="7" t="s">
        <v>7</v>
      </c>
      <c r="N1081" s="7" t="s">
        <v>517</v>
      </c>
      <c r="O1081" s="14" t="str">
        <f>VLOOKUP(N1081,Stock[#Data],2,FALSE)</f>
        <v>ဇေယျဝတီ Red (1 Liter) 30%</v>
      </c>
      <c r="P1081" s="44">
        <f>VLOOKUP(N1081,Stock[#Data],3,FALSE)</f>
        <v>1</v>
      </c>
      <c r="Q1081" s="3">
        <f>VLOOKUP(N1081,Stock[#Data],4,FALSE)</f>
        <v>12</v>
      </c>
      <c r="R1081" s="11"/>
      <c r="S1081" s="45">
        <f>IFERROR(Table4[[#This Row],[Bottle]]/Table4[[#This Row],[ပါဝင်မှု]]+Table4[[#This Row],[SalesPK]],0)</f>
        <v>100</v>
      </c>
      <c r="T1081" s="12">
        <v>100</v>
      </c>
      <c r="U1081" s="10">
        <f>Table4[[#This Row],[ပါဝင်မှု]]*Table4[[#This Row],[SalesPK]]+Table4[[#This Row],[Bottle]]</f>
        <v>1200</v>
      </c>
      <c r="V1081" s="10">
        <f>Table4[[#This Row],[SalesBot]]*Table4[[#This Row],[ML]]</f>
        <v>1200</v>
      </c>
      <c r="W1081" s="1">
        <f>VLOOKUP(N1081,Stock[#Data],6,FALSE)</f>
        <v>1710</v>
      </c>
      <c r="X1081" s="8">
        <f>+Table4[[#This Row],[SalesBot]]*Table4[[#This Row],[နှုံး]]</f>
        <v>2052000</v>
      </c>
      <c r="Y1081" s="12"/>
      <c r="Z1081" s="12"/>
      <c r="AA1081" s="12"/>
      <c r="AB1081" s="9"/>
      <c r="AC1081" s="12"/>
      <c r="AD1081" s="9"/>
      <c r="AE1081" s="12"/>
      <c r="AF108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081" s="24"/>
      <c r="AH1081" s="266"/>
      <c r="AI1081" s="264"/>
      <c r="AJ1081" s="264"/>
      <c r="AK1081" s="270"/>
      <c r="AL1081" s="270"/>
      <c r="AM1081" s="271"/>
      <c r="AN1081" s="272"/>
      <c r="AO1081" s="273"/>
      <c r="AP1081" s="268"/>
      <c r="AQ1081" s="268"/>
      <c r="AR1081" s="268"/>
    </row>
    <row r="1082" spans="1:44" s="16" customFormat="1" x14ac:dyDescent="0.5">
      <c r="A1082" s="3">
        <f t="shared" si="198"/>
        <v>2026</v>
      </c>
      <c r="B1082" s="8">
        <f t="shared" si="199"/>
        <v>3</v>
      </c>
      <c r="C1082" s="6">
        <v>46084</v>
      </c>
      <c r="D1082" s="15">
        <f t="shared" ca="1" si="200"/>
        <v>46097</v>
      </c>
      <c r="E1082" s="15" t="str">
        <f t="shared" ca="1" si="201"/>
        <v>0-Months</v>
      </c>
      <c r="F1082" s="8" t="str">
        <f>VLOOKUP(N1082,Stock[#Data],5,FALSE)</f>
        <v>BE</v>
      </c>
      <c r="G1082" s="82" t="s">
        <v>1638</v>
      </c>
      <c r="H1082" s="15"/>
      <c r="I1082" s="7" t="s">
        <v>538</v>
      </c>
      <c r="J1082" s="8" t="str">
        <f>VLOOKUP(I1082,Customers[#Data],2,FALSE)</f>
        <v>ဒေါ်နွယ်နွယ်ရီ(ရွှေတောင်ကြား)</v>
      </c>
      <c r="K1082" s="15" t="str">
        <f>VLOOKUP(I1082,Customers[#Data],4,FALSE)</f>
        <v>Yay</v>
      </c>
      <c r="L1082" s="15" t="str">
        <f>VLOOKUP(I1082,Customers[#Data],5,FALSE)</f>
        <v>WholeSales</v>
      </c>
      <c r="M1082" s="7" t="s">
        <v>7</v>
      </c>
      <c r="N1082" s="7" t="s">
        <v>517</v>
      </c>
      <c r="O1082" s="14" t="str">
        <f>VLOOKUP(N1082,Stock[#Data],2,FALSE)</f>
        <v>ဇေယျဝတီ Red (1 Liter) 30%</v>
      </c>
      <c r="P1082" s="44">
        <f>VLOOKUP(N1082,Stock[#Data],3,FALSE)</f>
        <v>1</v>
      </c>
      <c r="Q1082" s="3">
        <f>VLOOKUP(N1082,Stock[#Data],4,FALSE)</f>
        <v>12</v>
      </c>
      <c r="R1082" s="11"/>
      <c r="S1082" s="45">
        <f>IFERROR(Table4[[#This Row],[Bottle]]/Table4[[#This Row],[ပါဝင်မှု]]+Table4[[#This Row],[SalesPK]],0)</f>
        <v>100</v>
      </c>
      <c r="T1082" s="12">
        <v>100</v>
      </c>
      <c r="U1082" s="10">
        <f>Table4[[#This Row],[ပါဝင်မှု]]*Table4[[#This Row],[SalesPK]]+Table4[[#This Row],[Bottle]]</f>
        <v>1200</v>
      </c>
      <c r="V1082" s="10">
        <f>Table4[[#This Row],[SalesBot]]*Table4[[#This Row],[ML]]</f>
        <v>1200</v>
      </c>
      <c r="W1082" s="1">
        <f>VLOOKUP(N1082,Stock[#Data],6,FALSE)</f>
        <v>1710</v>
      </c>
      <c r="X1082" s="8">
        <f>+Table4[[#This Row],[SalesBot]]*Table4[[#This Row],[နှုံး]]</f>
        <v>2052000</v>
      </c>
      <c r="Y1082" s="12"/>
      <c r="Z1082" s="12"/>
      <c r="AA1082" s="12"/>
      <c r="AB1082" s="9">
        <v>46085</v>
      </c>
      <c r="AC1082" s="12">
        <v>2052000</v>
      </c>
      <c r="AD1082" s="9"/>
      <c r="AE1082" s="12"/>
      <c r="AF108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082" s="24"/>
      <c r="AH1082" s="266"/>
      <c r="AI1082" s="264"/>
      <c r="AJ1082" s="264"/>
      <c r="AK1082" s="270"/>
      <c r="AL1082" s="270"/>
      <c r="AM1082" s="271"/>
      <c r="AN1082" s="272"/>
      <c r="AO1082" s="273"/>
      <c r="AP1082" s="268"/>
      <c r="AQ1082" s="268"/>
      <c r="AR1082" s="268"/>
    </row>
    <row r="1083" spans="1:44" s="16" customFormat="1" x14ac:dyDescent="0.5">
      <c r="A1083" s="3">
        <f t="shared" si="198"/>
        <v>2026</v>
      </c>
      <c r="B1083" s="8">
        <f t="shared" si="199"/>
        <v>3</v>
      </c>
      <c r="C1083" s="6">
        <v>46084</v>
      </c>
      <c r="D1083" s="15">
        <f t="shared" ca="1" si="200"/>
        <v>46097</v>
      </c>
      <c r="E1083" s="15" t="str">
        <f t="shared" ca="1" si="201"/>
        <v>0-Months</v>
      </c>
      <c r="F1083" s="8" t="str">
        <f>VLOOKUP(N1083,Stock[#Data],5,FALSE)</f>
        <v>BE</v>
      </c>
      <c r="G1083" s="82" t="s">
        <v>1639</v>
      </c>
      <c r="H1083" s="15"/>
      <c r="I1083" s="7" t="s">
        <v>538</v>
      </c>
      <c r="J1083" s="8" t="str">
        <f>VLOOKUP(I1083,Customers[#Data],2,FALSE)</f>
        <v>ဒေါ်နွယ်နွယ်ရီ(ရွှေတောင်ကြား)</v>
      </c>
      <c r="K1083" s="15" t="str">
        <f>VLOOKUP(I1083,Customers[#Data],4,FALSE)</f>
        <v>Yay</v>
      </c>
      <c r="L1083" s="15" t="str">
        <f>VLOOKUP(I1083,Customers[#Data],5,FALSE)</f>
        <v>WholeSales</v>
      </c>
      <c r="M1083" s="7" t="s">
        <v>7</v>
      </c>
      <c r="N1083" s="7" t="s">
        <v>517</v>
      </c>
      <c r="O1083" s="14" t="str">
        <f>VLOOKUP(N1083,Stock[#Data],2,FALSE)</f>
        <v>ဇေယျဝတီ Red (1 Liter) 30%</v>
      </c>
      <c r="P1083" s="44">
        <f>VLOOKUP(N1083,Stock[#Data],3,FALSE)</f>
        <v>1</v>
      </c>
      <c r="Q1083" s="3">
        <f>VLOOKUP(N1083,Stock[#Data],4,FALSE)</f>
        <v>12</v>
      </c>
      <c r="R1083" s="11"/>
      <c r="S1083" s="45">
        <f>IFERROR(Table4[[#This Row],[Bottle]]/Table4[[#This Row],[ပါဝင်မှု]]+Table4[[#This Row],[SalesPK]],0)</f>
        <v>100</v>
      </c>
      <c r="T1083" s="12">
        <v>100</v>
      </c>
      <c r="U1083" s="10">
        <f>Table4[[#This Row],[ပါဝင်မှု]]*Table4[[#This Row],[SalesPK]]+Table4[[#This Row],[Bottle]]</f>
        <v>1200</v>
      </c>
      <c r="V1083" s="10">
        <f>Table4[[#This Row],[SalesBot]]*Table4[[#This Row],[ML]]</f>
        <v>1200</v>
      </c>
      <c r="W1083" s="1">
        <f>VLOOKUP(N1083,Stock[#Data],6,FALSE)</f>
        <v>1710</v>
      </c>
      <c r="X1083" s="8">
        <f>+Table4[[#This Row],[SalesBot]]*Table4[[#This Row],[နှုံး]]</f>
        <v>2052000</v>
      </c>
      <c r="Y1083" s="12"/>
      <c r="Z1083" s="12"/>
      <c r="AA1083" s="12"/>
      <c r="AB1083" s="9"/>
      <c r="AC1083" s="12">
        <v>2052000</v>
      </c>
      <c r="AD1083" s="9"/>
      <c r="AE1083" s="12"/>
      <c r="AF108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0</v>
      </c>
      <c r="AG1083" s="24"/>
      <c r="AH1083" s="266"/>
      <c r="AI1083" s="264"/>
      <c r="AJ1083" s="264"/>
      <c r="AK1083" s="270"/>
      <c r="AL1083" s="270"/>
      <c r="AM1083" s="271"/>
      <c r="AN1083" s="272"/>
      <c r="AO1083" s="273"/>
      <c r="AP1083" s="268"/>
      <c r="AQ1083" s="268"/>
      <c r="AR1083" s="268"/>
    </row>
    <row r="1084" spans="1:44" s="16" customFormat="1" x14ac:dyDescent="0.5">
      <c r="A1084" s="3">
        <f t="shared" si="198"/>
        <v>2026</v>
      </c>
      <c r="B1084" s="8">
        <f t="shared" si="199"/>
        <v>3</v>
      </c>
      <c r="C1084" s="6">
        <v>46085</v>
      </c>
      <c r="D1084" s="15">
        <f t="shared" ca="1" si="200"/>
        <v>46097</v>
      </c>
      <c r="E1084" s="15" t="str">
        <f t="shared" ca="1" si="201"/>
        <v>0-Months</v>
      </c>
      <c r="F1084" s="8" t="str">
        <f>VLOOKUP(N1084,Stock[#Data],5,FALSE)</f>
        <v>BE</v>
      </c>
      <c r="G1084" s="82" t="s">
        <v>1640</v>
      </c>
      <c r="H1084" s="15"/>
      <c r="I1084" s="7" t="s">
        <v>101</v>
      </c>
      <c r="J1084" s="8" t="str">
        <f>VLOOKUP(I1084,Customers[#Data],2,FALSE)</f>
        <v>ကိုမောင်+မသူဇာ</v>
      </c>
      <c r="K1084" s="15" t="str">
        <f>VLOOKUP(I1084,Customers[#Data],4,FALSE)</f>
        <v>Yay</v>
      </c>
      <c r="L1084" s="15" t="str">
        <f>VLOOKUP(I1084,Customers[#Data],5,FALSE)</f>
        <v>WholeSales</v>
      </c>
      <c r="M1084" s="7" t="s">
        <v>7</v>
      </c>
      <c r="N1084" s="7" t="s">
        <v>517</v>
      </c>
      <c r="O1084" s="14" t="str">
        <f>VLOOKUP(N1084,Stock[#Data],2,FALSE)</f>
        <v>ဇေယျဝတီ Red (1 Liter) 30%</v>
      </c>
      <c r="P1084" s="44">
        <f>VLOOKUP(N1084,Stock[#Data],3,FALSE)</f>
        <v>1</v>
      </c>
      <c r="Q1084" s="3">
        <f>VLOOKUP(N1084,Stock[#Data],4,FALSE)</f>
        <v>12</v>
      </c>
      <c r="R1084" s="11"/>
      <c r="S1084" s="45">
        <f>IFERROR(Table4[[#This Row],[Bottle]]/Table4[[#This Row],[ပါဝင်မှု]]+Table4[[#This Row],[SalesPK]],0)</f>
        <v>80</v>
      </c>
      <c r="T1084" s="12">
        <v>80</v>
      </c>
      <c r="U1084" s="10">
        <f>Table4[[#This Row],[ပါဝင်မှု]]*Table4[[#This Row],[SalesPK]]+Table4[[#This Row],[Bottle]]</f>
        <v>960</v>
      </c>
      <c r="V1084" s="10">
        <f>Table4[[#This Row],[SalesBot]]*Table4[[#This Row],[ML]]</f>
        <v>960</v>
      </c>
      <c r="W1084" s="1">
        <f>VLOOKUP(N1084,Stock[#Data],6,FALSE)</f>
        <v>1710</v>
      </c>
      <c r="X1084" s="8">
        <f>+Table4[[#This Row],[SalesBot]]*Table4[[#This Row],[နှုံး]]</f>
        <v>1641600</v>
      </c>
      <c r="Y1084" s="12"/>
      <c r="Z1084" s="12"/>
      <c r="AA1084" s="12"/>
      <c r="AB1084" s="9"/>
      <c r="AC1084" s="12"/>
      <c r="AD1084" s="9"/>
      <c r="AE1084" s="12"/>
      <c r="AF108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1641600</v>
      </c>
      <c r="AG1084" s="24"/>
      <c r="AH1084" s="266"/>
      <c r="AI1084" s="264"/>
      <c r="AJ1084" s="264"/>
      <c r="AK1084" s="270"/>
      <c r="AL1084" s="270"/>
      <c r="AM1084" s="271"/>
      <c r="AN1084" s="272"/>
      <c r="AO1084" s="273"/>
      <c r="AP1084" s="268"/>
      <c r="AQ1084" s="268"/>
      <c r="AR1084" s="268"/>
    </row>
    <row r="1085" spans="1:44" s="16" customFormat="1" x14ac:dyDescent="0.5">
      <c r="A1085" s="3">
        <f t="shared" si="198"/>
        <v>2026</v>
      </c>
      <c r="B1085" s="8">
        <f t="shared" si="199"/>
        <v>3</v>
      </c>
      <c r="C1085" s="6">
        <v>46085</v>
      </c>
      <c r="D1085" s="15">
        <f t="shared" ca="1" si="200"/>
        <v>46097</v>
      </c>
      <c r="E1085" s="15" t="str">
        <f t="shared" ca="1" si="201"/>
        <v>0-Months</v>
      </c>
      <c r="F1085" s="8" t="str">
        <f>VLOOKUP(N1085,Stock[#Data],5,FALSE)</f>
        <v>BE</v>
      </c>
      <c r="G1085" s="82" t="s">
        <v>1641</v>
      </c>
      <c r="H1085" s="15"/>
      <c r="I1085" s="7" t="s">
        <v>793</v>
      </c>
      <c r="J1085" s="8" t="str">
        <f>VLOOKUP(I1085,Customers[#Data],2,FALSE)</f>
        <v>ဖြိုးဝေဝင်း</v>
      </c>
      <c r="K1085" s="15" t="str">
        <f>VLOOKUP(I1085,Customers[#Data],4,FALSE)</f>
        <v>Maw La Myaing</v>
      </c>
      <c r="L1085" s="15" t="str">
        <f>VLOOKUP(I1085,Customers[#Data],5,FALSE)</f>
        <v>Van Sales</v>
      </c>
      <c r="M1085" s="7" t="s">
        <v>6</v>
      </c>
      <c r="N1085" s="7" t="s">
        <v>516</v>
      </c>
      <c r="O1085" s="14" t="str">
        <f>VLOOKUP(N1085,Stock[#Data],2,FALSE)</f>
        <v>ဇေ Vodka</v>
      </c>
      <c r="P1085" s="44">
        <f>VLOOKUP(N1085,Stock[#Data],3,FALSE)</f>
        <v>0.64</v>
      </c>
      <c r="Q1085" s="3">
        <f>VLOOKUP(N1085,Stock[#Data],4,FALSE)</f>
        <v>14</v>
      </c>
      <c r="R1085" s="11"/>
      <c r="S1085" s="45">
        <f>IFERROR(Table4[[#This Row],[Bottle]]/Table4[[#This Row],[ပါဝင်မှု]]+Table4[[#This Row],[SalesPK]],0)</f>
        <v>10</v>
      </c>
      <c r="T1085" s="12">
        <v>10</v>
      </c>
      <c r="U1085" s="10">
        <f>Table4[[#This Row],[ပါဝင်မှု]]*Table4[[#This Row],[SalesPK]]+Table4[[#This Row],[Bottle]]</f>
        <v>140</v>
      </c>
      <c r="V1085" s="10">
        <f>Table4[[#This Row],[SalesBot]]*Table4[[#This Row],[ML]]</f>
        <v>89.600000000000009</v>
      </c>
      <c r="W1085" s="1">
        <f>VLOOKUP(N1085,Stock[#Data],6,FALSE)</f>
        <v>1400</v>
      </c>
      <c r="X1085" s="8">
        <f>+Table4[[#This Row],[SalesBot]]*Table4[[#This Row],[နှုံး]]</f>
        <v>196000</v>
      </c>
      <c r="Y1085" s="12"/>
      <c r="Z1085" s="12"/>
      <c r="AA1085" s="12"/>
      <c r="AB1085" s="9"/>
      <c r="AC1085" s="12"/>
      <c r="AD1085" s="9"/>
      <c r="AE1085" s="12"/>
      <c r="AF108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1085" s="24"/>
      <c r="AH1085" s="266"/>
      <c r="AI1085" s="264"/>
      <c r="AJ1085" s="264"/>
      <c r="AK1085" s="270"/>
      <c r="AL1085" s="270"/>
      <c r="AM1085" s="271"/>
      <c r="AN1085" s="272"/>
      <c r="AO1085" s="273"/>
      <c r="AP1085" s="268"/>
      <c r="AQ1085" s="268"/>
      <c r="AR1085" s="268"/>
    </row>
    <row r="1086" spans="1:44" s="16" customFormat="1" x14ac:dyDescent="0.5">
      <c r="A1086" s="3">
        <f t="shared" si="198"/>
        <v>2026</v>
      </c>
      <c r="B1086" s="8">
        <f t="shared" si="199"/>
        <v>3</v>
      </c>
      <c r="C1086" s="6">
        <v>46085</v>
      </c>
      <c r="D1086" s="15">
        <f t="shared" ca="1" si="200"/>
        <v>46097</v>
      </c>
      <c r="E1086" s="15" t="str">
        <f t="shared" ca="1" si="201"/>
        <v>0-Months</v>
      </c>
      <c r="F1086" s="8" t="str">
        <f>VLOOKUP(N1086,Stock[#Data],5,FALSE)</f>
        <v>BE</v>
      </c>
      <c r="G1086" s="82" t="s">
        <v>1642</v>
      </c>
      <c r="H1086" s="15"/>
      <c r="I1086" s="7" t="s">
        <v>560</v>
      </c>
      <c r="J1086" s="8" t="str">
        <f>VLOOKUP(I1086,Customers[#Data],2,FALSE)</f>
        <v>မသန္တာ</v>
      </c>
      <c r="K1086" s="15" t="str">
        <f>VLOOKUP(I1086,Customers[#Data],4,FALSE)</f>
        <v>Maw La Myaing</v>
      </c>
      <c r="L1086" s="15" t="str">
        <f>VLOOKUP(I1086,Customers[#Data],5,FALSE)</f>
        <v>Van Sales</v>
      </c>
      <c r="M1086" s="7" t="s">
        <v>6</v>
      </c>
      <c r="N1086" s="7" t="s">
        <v>516</v>
      </c>
      <c r="O1086" s="14" t="str">
        <f>VLOOKUP(N1086,Stock[#Data],2,FALSE)</f>
        <v>ဇေ Vodka</v>
      </c>
      <c r="P1086" s="44">
        <f>VLOOKUP(N1086,Stock[#Data],3,FALSE)</f>
        <v>0.64</v>
      </c>
      <c r="Q1086" s="3">
        <f>VLOOKUP(N1086,Stock[#Data],4,FALSE)</f>
        <v>14</v>
      </c>
      <c r="R1086" s="11"/>
      <c r="S1086" s="45">
        <f>IFERROR(Table4[[#This Row],[Bottle]]/Table4[[#This Row],[ပါဝင်မှု]]+Table4[[#This Row],[SalesPK]],0)</f>
        <v>5</v>
      </c>
      <c r="T1086" s="12">
        <v>5</v>
      </c>
      <c r="U1086" s="10">
        <f>Table4[[#This Row],[ပါဝင်မှု]]*Table4[[#This Row],[SalesPK]]+Table4[[#This Row],[Bottle]]</f>
        <v>70</v>
      </c>
      <c r="V1086" s="10">
        <f>Table4[[#This Row],[SalesBot]]*Table4[[#This Row],[ML]]</f>
        <v>44.800000000000004</v>
      </c>
      <c r="W1086" s="1">
        <f>VLOOKUP(N1086,Stock[#Data],6,FALSE)</f>
        <v>1400</v>
      </c>
      <c r="X1086" s="8">
        <f>+Table4[[#This Row],[SalesBot]]*Table4[[#This Row],[နှုံး]]</f>
        <v>98000</v>
      </c>
      <c r="Y1086" s="12"/>
      <c r="Z1086" s="12"/>
      <c r="AA1086" s="12"/>
      <c r="AB1086" s="9"/>
      <c r="AC1086" s="12"/>
      <c r="AD1086" s="9"/>
      <c r="AE1086" s="12"/>
      <c r="AF108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</v>
      </c>
      <c r="AG1086" s="24"/>
      <c r="AH1086" s="266"/>
      <c r="AI1086" s="264"/>
      <c r="AJ1086" s="264"/>
      <c r="AK1086" s="270"/>
      <c r="AL1086" s="270"/>
      <c r="AM1086" s="271"/>
      <c r="AN1086" s="272"/>
      <c r="AO1086" s="273"/>
      <c r="AP1086" s="268"/>
      <c r="AQ1086" s="268"/>
      <c r="AR1086" s="268"/>
    </row>
    <row r="1087" spans="1:44" s="16" customFormat="1" x14ac:dyDescent="0.5">
      <c r="A1087" s="3">
        <f t="shared" si="198"/>
        <v>2026</v>
      </c>
      <c r="B1087" s="8">
        <f t="shared" si="199"/>
        <v>3</v>
      </c>
      <c r="C1087" s="6">
        <v>46085</v>
      </c>
      <c r="D1087" s="15">
        <f t="shared" ca="1" si="200"/>
        <v>46097</v>
      </c>
      <c r="E1087" s="15" t="str">
        <f t="shared" ca="1" si="201"/>
        <v>0-Months</v>
      </c>
      <c r="F1087" s="8" t="str">
        <f>VLOOKUP(N1087,Stock[#Data],5,FALSE)</f>
        <v>BE</v>
      </c>
      <c r="G1087" s="82" t="s">
        <v>1643</v>
      </c>
      <c r="H1087" s="15"/>
      <c r="I1087" s="7" t="s">
        <v>555</v>
      </c>
      <c r="J1087" s="8" t="str">
        <f>VLOOKUP(I1087,Customers[#Data],2,FALSE)</f>
        <v>အနဲကြီး</v>
      </c>
      <c r="K1087" s="15" t="str">
        <f>VLOOKUP(I1087,Customers[#Data],4,FALSE)</f>
        <v>Maw La Myaing</v>
      </c>
      <c r="L1087" s="15" t="str">
        <f>VLOOKUP(I1087,Customers[#Data],5,FALSE)</f>
        <v>Mini Whole Sales</v>
      </c>
      <c r="M1087" s="7" t="s">
        <v>6</v>
      </c>
      <c r="N1087" s="7" t="s">
        <v>516</v>
      </c>
      <c r="O1087" s="14" t="str">
        <f>VLOOKUP(N1087,Stock[#Data],2,FALSE)</f>
        <v>ဇေ Vodka</v>
      </c>
      <c r="P1087" s="44">
        <f>VLOOKUP(N1087,Stock[#Data],3,FALSE)</f>
        <v>0.64</v>
      </c>
      <c r="Q1087" s="3">
        <f>VLOOKUP(N1087,Stock[#Data],4,FALSE)</f>
        <v>14</v>
      </c>
      <c r="R1087" s="11"/>
      <c r="S1087" s="45">
        <f>IFERROR(Table4[[#This Row],[Bottle]]/Table4[[#This Row],[ပါဝင်မှု]]+Table4[[#This Row],[SalesPK]],0)</f>
        <v>10</v>
      </c>
      <c r="T1087" s="12">
        <v>10</v>
      </c>
      <c r="U1087" s="10">
        <f>Table4[[#This Row],[ပါဝင်မှု]]*Table4[[#This Row],[SalesPK]]+Table4[[#This Row],[Bottle]]</f>
        <v>140</v>
      </c>
      <c r="V1087" s="10">
        <f>Table4[[#This Row],[SalesBot]]*Table4[[#This Row],[ML]]</f>
        <v>89.600000000000009</v>
      </c>
      <c r="W1087" s="1">
        <f>VLOOKUP(N1087,Stock[#Data],6,FALSE)</f>
        <v>1400</v>
      </c>
      <c r="X1087" s="8">
        <f>+Table4[[#This Row],[SalesBot]]*Table4[[#This Row],[နှုံး]]</f>
        <v>196000</v>
      </c>
      <c r="Y1087" s="12"/>
      <c r="Z1087" s="12"/>
      <c r="AA1087" s="12"/>
      <c r="AB1087" s="9"/>
      <c r="AC1087" s="12"/>
      <c r="AD1087" s="9"/>
      <c r="AE1087" s="12"/>
      <c r="AF108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1087" s="24"/>
      <c r="AH1087" s="266"/>
      <c r="AI1087" s="264"/>
      <c r="AJ1087" s="264"/>
      <c r="AK1087" s="270"/>
      <c r="AL1087" s="270"/>
      <c r="AM1087" s="271"/>
      <c r="AN1087" s="272"/>
      <c r="AO1087" s="273"/>
      <c r="AP1087" s="268"/>
      <c r="AQ1087" s="268"/>
      <c r="AR1087" s="268"/>
    </row>
    <row r="1088" spans="1:44" s="16" customFormat="1" x14ac:dyDescent="0.5">
      <c r="A1088" s="3">
        <f t="shared" si="198"/>
        <v>2026</v>
      </c>
      <c r="B1088" s="8">
        <f t="shared" si="199"/>
        <v>3</v>
      </c>
      <c r="C1088" s="6">
        <v>46085</v>
      </c>
      <c r="D1088" s="15">
        <f t="shared" ca="1" si="200"/>
        <v>46097</v>
      </c>
      <c r="E1088" s="15" t="str">
        <f t="shared" ca="1" si="201"/>
        <v>0-Months</v>
      </c>
      <c r="F1088" s="8" t="str">
        <f>VLOOKUP(N1088,Stock[#Data],5,FALSE)</f>
        <v>BE</v>
      </c>
      <c r="G1088" s="82" t="s">
        <v>1644</v>
      </c>
      <c r="H1088" s="15"/>
      <c r="I1088" s="7" t="s">
        <v>109</v>
      </c>
      <c r="J1088" s="8" t="str">
        <f>VLOOKUP(I1088,Customers[#Data],2,FALSE)</f>
        <v>ဦးမင်းလွင်</v>
      </c>
      <c r="K1088" s="15" t="str">
        <f>VLOOKUP(I1088,Customers[#Data],4,FALSE)</f>
        <v>Maw La Myaing</v>
      </c>
      <c r="L1088" s="15" t="str">
        <f>VLOOKUP(I1088,Customers[#Data],5,FALSE)</f>
        <v>WholeSales</v>
      </c>
      <c r="M1088" s="7" t="s">
        <v>6</v>
      </c>
      <c r="N1088" s="7" t="s">
        <v>521</v>
      </c>
      <c r="O1088" s="14" t="str">
        <f>VLOOKUP(N1088,Stock[#Data],2,FALSE)</f>
        <v>ဒဂုံအရက်သန့်</v>
      </c>
      <c r="P1088" s="44">
        <f>VLOOKUP(N1088,Stock[#Data],3,FALSE)</f>
        <v>0.64</v>
      </c>
      <c r="Q1088" s="3">
        <f>VLOOKUP(N1088,Stock[#Data],4,FALSE)</f>
        <v>24</v>
      </c>
      <c r="R1088" s="11"/>
      <c r="S1088" s="45">
        <f>IFERROR(Table4[[#This Row],[Bottle]]/Table4[[#This Row],[ပါဝင်မှု]]+Table4[[#This Row],[SalesPK]],0)</f>
        <v>50</v>
      </c>
      <c r="T1088" s="12">
        <v>50</v>
      </c>
      <c r="U1088" s="10">
        <f>Table4[[#This Row],[ပါဝင်မှု]]*Table4[[#This Row],[SalesPK]]+Table4[[#This Row],[Bottle]]</f>
        <v>1200</v>
      </c>
      <c r="V1088" s="10">
        <f>Table4[[#This Row],[SalesBot]]*Table4[[#This Row],[ML]]</f>
        <v>768</v>
      </c>
      <c r="W1088" s="1">
        <f>VLOOKUP(N1088,Stock[#Data],6,FALSE)</f>
        <v>1350</v>
      </c>
      <c r="X1088" s="8">
        <f>+Table4[[#This Row],[SalesBot]]*Table4[[#This Row],[နှုံး]]</f>
        <v>1620000</v>
      </c>
      <c r="Y1088" s="12"/>
      <c r="Z1088" s="12"/>
      <c r="AA1088" s="12"/>
      <c r="AB1088" s="9"/>
      <c r="AC1088" s="12"/>
      <c r="AD1088" s="9"/>
      <c r="AE1088" s="12"/>
      <c r="AF108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1620000</v>
      </c>
      <c r="AG1088" s="24"/>
      <c r="AH1088" s="266"/>
      <c r="AI1088" s="264"/>
      <c r="AJ1088" s="264"/>
      <c r="AK1088" s="270"/>
      <c r="AL1088" s="270"/>
      <c r="AM1088" s="271"/>
      <c r="AN1088" s="272"/>
      <c r="AO1088" s="273"/>
      <c r="AP1088" s="268"/>
      <c r="AQ1088" s="268"/>
      <c r="AR1088" s="268"/>
    </row>
    <row r="1089" spans="1:44" s="16" customFormat="1" x14ac:dyDescent="0.5">
      <c r="A1089" s="3">
        <f t="shared" si="198"/>
        <v>2026</v>
      </c>
      <c r="B1089" s="8">
        <f t="shared" si="199"/>
        <v>3</v>
      </c>
      <c r="C1089" s="6">
        <v>46085</v>
      </c>
      <c r="D1089" s="15">
        <f t="shared" ca="1" si="200"/>
        <v>46097</v>
      </c>
      <c r="E1089" s="15" t="str">
        <f t="shared" ca="1" si="201"/>
        <v>0-Months</v>
      </c>
      <c r="F1089" s="8" t="str">
        <f>VLOOKUP(N1089,Stock[#Data],5,FALSE)</f>
        <v>BE</v>
      </c>
      <c r="G1089" s="82" t="s">
        <v>1645</v>
      </c>
      <c r="H1089" s="15"/>
      <c r="I1089" s="7" t="s">
        <v>110</v>
      </c>
      <c r="J1089" s="8" t="str">
        <f>VLOOKUP(I1089,Customers[#Data],2,FALSE)</f>
        <v>ပြည့်လျှံ</v>
      </c>
      <c r="K1089" s="15" t="str">
        <f>VLOOKUP(I1089,Customers[#Data],4,FALSE)</f>
        <v>Maw La Myaing</v>
      </c>
      <c r="L1089" s="15" t="str">
        <f>VLOOKUP(I1089,Customers[#Data],5,FALSE)</f>
        <v>WholeSales</v>
      </c>
      <c r="M1089" s="7" t="s">
        <v>6</v>
      </c>
      <c r="N1089" s="7" t="s">
        <v>517</v>
      </c>
      <c r="O1089" s="14" t="str">
        <f>VLOOKUP(N1089,Stock[#Data],2,FALSE)</f>
        <v>ဇေယျဝတီ Red (1 Liter) 30%</v>
      </c>
      <c r="P1089" s="44">
        <f>VLOOKUP(N1089,Stock[#Data],3,FALSE)</f>
        <v>1</v>
      </c>
      <c r="Q1089" s="3">
        <f>VLOOKUP(N1089,Stock[#Data],4,FALSE)</f>
        <v>12</v>
      </c>
      <c r="R1089" s="11"/>
      <c r="S1089" s="45">
        <f>IFERROR(Table4[[#This Row],[Bottle]]/Table4[[#This Row],[ပါဝင်မှု]]+Table4[[#This Row],[SalesPK]],0)</f>
        <v>200</v>
      </c>
      <c r="T1089" s="12">
        <v>200</v>
      </c>
      <c r="U1089" s="10">
        <f>Table4[[#This Row],[ပါဝင်မှု]]*Table4[[#This Row],[SalesPK]]+Table4[[#This Row],[Bottle]]</f>
        <v>2400</v>
      </c>
      <c r="V1089" s="10">
        <f>Table4[[#This Row],[SalesBot]]*Table4[[#This Row],[ML]]</f>
        <v>2400</v>
      </c>
      <c r="W1089" s="1">
        <f>VLOOKUP(N1089,Stock[#Data],6,FALSE)</f>
        <v>1710</v>
      </c>
      <c r="X1089" s="8">
        <f>+Table4[[#This Row],[SalesBot]]*Table4[[#This Row],[နှုံး]]</f>
        <v>4104000</v>
      </c>
      <c r="Y1089" s="12"/>
      <c r="Z1089" s="12"/>
      <c r="AA1089" s="12"/>
      <c r="AB1089" s="9"/>
      <c r="AC1089" s="12"/>
      <c r="AD1089" s="9"/>
      <c r="AE1089" s="12"/>
      <c r="AF108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4104000</v>
      </c>
      <c r="AG1089" s="24"/>
      <c r="AH1089" s="266"/>
      <c r="AI1089" s="264"/>
      <c r="AJ1089" s="264"/>
      <c r="AK1089" s="270"/>
      <c r="AL1089" s="270"/>
      <c r="AM1089" s="271"/>
      <c r="AN1089" s="272"/>
      <c r="AO1089" s="273"/>
      <c r="AP1089" s="268"/>
      <c r="AQ1089" s="268"/>
      <c r="AR1089" s="268"/>
    </row>
    <row r="1090" spans="1:44" s="16" customFormat="1" x14ac:dyDescent="0.5">
      <c r="A1090" s="3">
        <f t="shared" si="198"/>
        <v>2026</v>
      </c>
      <c r="B1090" s="8">
        <f t="shared" si="199"/>
        <v>3</v>
      </c>
      <c r="C1090" s="6">
        <v>46085</v>
      </c>
      <c r="D1090" s="15">
        <f t="shared" ca="1" si="200"/>
        <v>46097</v>
      </c>
      <c r="E1090" s="15" t="str">
        <f t="shared" ca="1" si="201"/>
        <v>0-Months</v>
      </c>
      <c r="F1090" s="8" t="str">
        <f>VLOOKUP(N1090,Stock[#Data],5,FALSE)</f>
        <v>BE</v>
      </c>
      <c r="G1090" s="82" t="s">
        <v>1646</v>
      </c>
      <c r="H1090" s="15"/>
      <c r="I1090" s="7" t="s">
        <v>104</v>
      </c>
      <c r="J1090" s="8" t="str">
        <f>VLOOKUP(I1090,Customers[#Data],2,FALSE)</f>
        <v>မမော်</v>
      </c>
      <c r="K1090" s="15" t="str">
        <f>VLOOKUP(I1090,Customers[#Data],4,FALSE)</f>
        <v>Hpa-an</v>
      </c>
      <c r="L1090" s="15" t="str">
        <f>VLOOKUP(I1090,Customers[#Data],5,FALSE)</f>
        <v>SemiWholeSales</v>
      </c>
      <c r="M1090" s="7" t="s">
        <v>7</v>
      </c>
      <c r="N1090" s="7" t="s">
        <v>524</v>
      </c>
      <c r="O1090" s="14" t="str">
        <f>VLOOKUP(N1090,Stock[#Data],2,FALSE)</f>
        <v>ဇေယျဝတီ High 43%</v>
      </c>
      <c r="P1090" s="44">
        <f>VLOOKUP(N1090,Stock[#Data],3,FALSE)</f>
        <v>0.64</v>
      </c>
      <c r="Q1090" s="3">
        <f>VLOOKUP(N1090,Stock[#Data],4,FALSE)</f>
        <v>14</v>
      </c>
      <c r="R1090" s="11"/>
      <c r="S1090" s="45">
        <f>IFERROR(Table4[[#This Row],[Bottle]]/Table4[[#This Row],[ပါဝင်မှု]]+Table4[[#This Row],[SalesPK]],0)</f>
        <v>200</v>
      </c>
      <c r="T1090" s="12">
        <v>200</v>
      </c>
      <c r="U1090" s="10">
        <f>Table4[[#This Row],[ပါဝင်မှု]]*Table4[[#This Row],[SalesPK]]+Table4[[#This Row],[Bottle]]</f>
        <v>2800</v>
      </c>
      <c r="V1090" s="10">
        <f>Table4[[#This Row],[SalesBot]]*Table4[[#This Row],[ML]]</f>
        <v>1792</v>
      </c>
      <c r="W1090" s="1">
        <f>VLOOKUP(N1090,Stock[#Data],6,FALSE)</f>
        <v>1550</v>
      </c>
      <c r="X1090" s="8">
        <f>+Table4[[#This Row],[SalesBot]]*Table4[[#This Row],[နှုံး]]</f>
        <v>4340000</v>
      </c>
      <c r="Y1090" s="12"/>
      <c r="Z1090" s="12"/>
      <c r="AA1090" s="12"/>
      <c r="AB1090" s="9"/>
      <c r="AC1090" s="12"/>
      <c r="AD1090" s="9"/>
      <c r="AE1090" s="12"/>
      <c r="AF109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4340000</v>
      </c>
      <c r="AG1090" s="24"/>
      <c r="AH1090" s="266"/>
      <c r="AI1090" s="264"/>
      <c r="AJ1090" s="264"/>
      <c r="AK1090" s="270"/>
      <c r="AL1090" s="270"/>
      <c r="AM1090" s="271"/>
      <c r="AN1090" s="272"/>
      <c r="AO1090" s="273"/>
      <c r="AP1090" s="268"/>
      <c r="AQ1090" s="268"/>
      <c r="AR1090" s="268"/>
    </row>
    <row r="1091" spans="1:44" s="16" customFormat="1" x14ac:dyDescent="0.5">
      <c r="A1091" s="3">
        <f t="shared" si="198"/>
        <v>2026</v>
      </c>
      <c r="B1091" s="8">
        <f t="shared" si="199"/>
        <v>3</v>
      </c>
      <c r="C1091" s="6">
        <v>46086</v>
      </c>
      <c r="D1091" s="15">
        <f t="shared" ca="1" si="200"/>
        <v>46097</v>
      </c>
      <c r="E1091" s="15" t="str">
        <f t="shared" ca="1" si="201"/>
        <v>0-Months</v>
      </c>
      <c r="F1091" s="8" t="str">
        <f>VLOOKUP(N1091,Stock[#Data],5,FALSE)</f>
        <v>BE</v>
      </c>
      <c r="G1091" s="82" t="s">
        <v>1647</v>
      </c>
      <c r="H1091" s="15"/>
      <c r="I1091" s="7" t="s">
        <v>101</v>
      </c>
      <c r="J1091" s="8" t="str">
        <f>VLOOKUP(I1091,Customers[#Data],2,FALSE)</f>
        <v>ကိုမောင်+မသူဇာ</v>
      </c>
      <c r="K1091" s="15" t="str">
        <f>VLOOKUP(I1091,Customers[#Data],4,FALSE)</f>
        <v>Yay</v>
      </c>
      <c r="L1091" s="15" t="str">
        <f>VLOOKUP(I1091,Customers[#Data],5,FALSE)</f>
        <v>WholeSales</v>
      </c>
      <c r="M1091" s="7" t="s">
        <v>7</v>
      </c>
      <c r="N1091" s="7" t="s">
        <v>517</v>
      </c>
      <c r="O1091" s="14" t="str">
        <f>VLOOKUP(N1091,Stock[#Data],2,FALSE)</f>
        <v>ဇေယျဝတီ Red (1 Liter) 30%</v>
      </c>
      <c r="P1091" s="44">
        <f>VLOOKUP(N1091,Stock[#Data],3,FALSE)</f>
        <v>1</v>
      </c>
      <c r="Q1091" s="3">
        <f>VLOOKUP(N1091,Stock[#Data],4,FALSE)</f>
        <v>12</v>
      </c>
      <c r="R1091" s="11"/>
      <c r="S1091" s="45">
        <f>IFERROR(Table4[[#This Row],[Bottle]]/Table4[[#This Row],[ပါဝင်မှု]]+Table4[[#This Row],[SalesPK]],0)</f>
        <v>600</v>
      </c>
      <c r="T1091" s="12">
        <v>600</v>
      </c>
      <c r="U1091" s="10">
        <f>Table4[[#This Row],[ပါဝင်မှု]]*Table4[[#This Row],[SalesPK]]+Table4[[#This Row],[Bottle]]</f>
        <v>7200</v>
      </c>
      <c r="V1091" s="10">
        <f>Table4[[#This Row],[SalesBot]]*Table4[[#This Row],[ML]]</f>
        <v>7200</v>
      </c>
      <c r="W1091" s="1">
        <f>VLOOKUP(N1091,Stock[#Data],6,FALSE)</f>
        <v>1710</v>
      </c>
      <c r="X1091" s="8">
        <f>+Table4[[#This Row],[SalesBot]]*Table4[[#This Row],[နှုံး]]</f>
        <v>12312000</v>
      </c>
      <c r="Y1091" s="12"/>
      <c r="Z1091" s="12"/>
      <c r="AA1091" s="12"/>
      <c r="AB1091" s="9"/>
      <c r="AC1091" s="12"/>
      <c r="AD1091" s="9"/>
      <c r="AE1091" s="12"/>
      <c r="AF109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12312000</v>
      </c>
      <c r="AG1091" s="24"/>
      <c r="AH1091" s="266"/>
      <c r="AI1091" s="264"/>
      <c r="AJ1091" s="264"/>
      <c r="AK1091" s="270"/>
      <c r="AL1091" s="270"/>
      <c r="AM1091" s="271"/>
      <c r="AN1091" s="272"/>
      <c r="AO1091" s="273"/>
      <c r="AP1091" s="268"/>
      <c r="AQ1091" s="268"/>
      <c r="AR1091" s="268"/>
    </row>
    <row r="1092" spans="1:44" s="16" customFormat="1" x14ac:dyDescent="0.5">
      <c r="A1092" s="3">
        <f t="shared" si="198"/>
        <v>2026</v>
      </c>
      <c r="B1092" s="8">
        <f t="shared" si="199"/>
        <v>3</v>
      </c>
      <c r="C1092" s="6">
        <v>46086</v>
      </c>
      <c r="D1092" s="15">
        <f t="shared" ca="1" si="200"/>
        <v>46097</v>
      </c>
      <c r="E1092" s="15" t="str">
        <f t="shared" ca="1" si="201"/>
        <v>0-Months</v>
      </c>
      <c r="F1092" s="8" t="str">
        <f>VLOOKUP(N1092,Stock[#Data],5,FALSE)</f>
        <v>BE</v>
      </c>
      <c r="G1092" s="82" t="s">
        <v>1648</v>
      </c>
      <c r="H1092" s="15"/>
      <c r="I1092" s="7" t="s">
        <v>95</v>
      </c>
      <c r="J1092" s="8" t="str">
        <f>VLOOKUP(I1092,Customers[#Data],2,FALSE)</f>
        <v>ကျော်စတား</v>
      </c>
      <c r="K1092" s="15" t="str">
        <f>VLOOKUP(I1092,Customers[#Data],4,FALSE)</f>
        <v>Yay</v>
      </c>
      <c r="L1092" s="15" t="str">
        <f>VLOOKUP(I1092,Customers[#Data],5,FALSE)</f>
        <v>WholeSales</v>
      </c>
      <c r="M1092" s="7" t="s">
        <v>7</v>
      </c>
      <c r="N1092" s="7" t="s">
        <v>514</v>
      </c>
      <c r="O1092" s="14" t="str">
        <f>VLOOKUP(N1092,Stock[#Data],2,FALSE)</f>
        <v>ဇေယျဝတီ Red</v>
      </c>
      <c r="P1092" s="44">
        <f>VLOOKUP(N1092,Stock[#Data],3,FALSE)</f>
        <v>0.64</v>
      </c>
      <c r="Q1092" s="3">
        <f>VLOOKUP(N1092,Stock[#Data],4,FALSE)</f>
        <v>14</v>
      </c>
      <c r="R1092" s="11"/>
      <c r="S1092" s="45">
        <f>IFERROR(Table4[[#This Row],[Bottle]]/Table4[[#This Row],[ပါဝင်မှု]]+Table4[[#This Row],[SalesPK]],0)</f>
        <v>100</v>
      </c>
      <c r="T1092" s="12">
        <v>100</v>
      </c>
      <c r="U1092" s="10">
        <f>Table4[[#This Row],[ပါဝင်မှု]]*Table4[[#This Row],[SalesPK]]+Table4[[#This Row],[Bottle]]</f>
        <v>1400</v>
      </c>
      <c r="V1092" s="10">
        <f>Table4[[#This Row],[SalesBot]]*Table4[[#This Row],[ML]]</f>
        <v>896</v>
      </c>
      <c r="W1092" s="1">
        <f>VLOOKUP(N1092,Stock[#Data],6,FALSE)</f>
        <v>1350</v>
      </c>
      <c r="X1092" s="8">
        <f>+Table4[[#This Row],[SalesBot]]*Table4[[#This Row],[နှုံး]]</f>
        <v>1890000</v>
      </c>
      <c r="Y1092" s="12"/>
      <c r="Z1092" s="12"/>
      <c r="AA1092" s="12"/>
      <c r="AB1092" s="9"/>
      <c r="AC1092" s="12"/>
      <c r="AD1092" s="9"/>
      <c r="AE1092" s="12"/>
      <c r="AF109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1092" s="24"/>
      <c r="AH1092" s="266"/>
      <c r="AI1092" s="264"/>
      <c r="AJ1092" s="264"/>
      <c r="AK1092" s="270"/>
      <c r="AL1092" s="270"/>
      <c r="AM1092" s="271"/>
      <c r="AN1092" s="272"/>
      <c r="AO1092" s="273"/>
      <c r="AP1092" s="268"/>
      <c r="AQ1092" s="268"/>
      <c r="AR1092" s="268"/>
    </row>
    <row r="1093" spans="1:44" s="16" customFormat="1" x14ac:dyDescent="0.5">
      <c r="A1093" s="3">
        <f t="shared" si="198"/>
        <v>2026</v>
      </c>
      <c r="B1093" s="8">
        <f t="shared" si="199"/>
        <v>3</v>
      </c>
      <c r="C1093" s="6">
        <v>46086</v>
      </c>
      <c r="D1093" s="15">
        <f t="shared" ca="1" si="200"/>
        <v>46097</v>
      </c>
      <c r="E1093" s="15" t="str">
        <f t="shared" ca="1" si="201"/>
        <v>0-Months</v>
      </c>
      <c r="F1093" s="8" t="str">
        <f>VLOOKUP(N1093,Stock[#Data],5,FALSE)</f>
        <v>BE</v>
      </c>
      <c r="G1093" s="82" t="s">
        <v>1648</v>
      </c>
      <c r="H1093" s="15"/>
      <c r="I1093" s="7" t="s">
        <v>95</v>
      </c>
      <c r="J1093" s="8" t="str">
        <f>VLOOKUP(I1093,Customers[#Data],2,FALSE)</f>
        <v>ကျော်စတား</v>
      </c>
      <c r="K1093" s="15" t="str">
        <f>VLOOKUP(I1093,Customers[#Data],4,FALSE)</f>
        <v>Yay</v>
      </c>
      <c r="L1093" s="15" t="str">
        <f>VLOOKUP(I1093,Customers[#Data],5,FALSE)</f>
        <v>WholeSales</v>
      </c>
      <c r="M1093" s="7" t="s">
        <v>7</v>
      </c>
      <c r="N1093" s="7" t="s">
        <v>517</v>
      </c>
      <c r="O1093" s="14" t="str">
        <f>VLOOKUP(N1093,Stock[#Data],2,FALSE)</f>
        <v>ဇေယျဝတီ Red (1 Liter) 30%</v>
      </c>
      <c r="P1093" s="44">
        <f>VLOOKUP(N1093,Stock[#Data],3,FALSE)</f>
        <v>1</v>
      </c>
      <c r="Q1093" s="3">
        <f>VLOOKUP(N1093,Stock[#Data],4,FALSE)</f>
        <v>12</v>
      </c>
      <c r="R1093" s="11"/>
      <c r="S1093" s="45">
        <f>IFERROR(Table4[[#This Row],[Bottle]]/Table4[[#This Row],[ပါဝင်မှု]]+Table4[[#This Row],[SalesPK]],0)</f>
        <v>50</v>
      </c>
      <c r="T1093" s="12">
        <v>50</v>
      </c>
      <c r="U1093" s="10">
        <f>Table4[[#This Row],[ပါဝင်မှု]]*Table4[[#This Row],[SalesPK]]+Table4[[#This Row],[Bottle]]</f>
        <v>600</v>
      </c>
      <c r="V1093" s="10">
        <f>Table4[[#This Row],[SalesBot]]*Table4[[#This Row],[ML]]</f>
        <v>600</v>
      </c>
      <c r="W1093" s="1">
        <f>VLOOKUP(N1093,Stock[#Data],6,FALSE)</f>
        <v>1710</v>
      </c>
      <c r="X1093" s="8">
        <f>+Table4[[#This Row],[SalesBot]]*Table4[[#This Row],[နှုံး]]</f>
        <v>1026000</v>
      </c>
      <c r="Y1093" s="12"/>
      <c r="Z1093" s="12"/>
      <c r="AA1093" s="12"/>
      <c r="AB1093" s="9"/>
      <c r="AC1093" s="12"/>
      <c r="AD1093" s="9"/>
      <c r="AE1093" s="12"/>
      <c r="AF109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1093" s="24"/>
      <c r="AH1093" s="266"/>
      <c r="AI1093" s="264"/>
      <c r="AJ1093" s="264"/>
      <c r="AK1093" s="270"/>
      <c r="AL1093" s="270"/>
      <c r="AM1093" s="271"/>
      <c r="AN1093" s="272"/>
      <c r="AO1093" s="273"/>
      <c r="AP1093" s="268"/>
      <c r="AQ1093" s="268"/>
      <c r="AR1093" s="268"/>
    </row>
    <row r="1094" spans="1:44" s="16" customFormat="1" x14ac:dyDescent="0.5">
      <c r="A1094" s="3">
        <f t="shared" si="198"/>
        <v>2026</v>
      </c>
      <c r="B1094" s="8">
        <f t="shared" si="199"/>
        <v>3</v>
      </c>
      <c r="C1094" s="6">
        <v>46086</v>
      </c>
      <c r="D1094" s="15">
        <f t="shared" ca="1" si="200"/>
        <v>46097</v>
      </c>
      <c r="E1094" s="15" t="str">
        <f t="shared" ca="1" si="201"/>
        <v>0-Months</v>
      </c>
      <c r="F1094" s="8" t="str">
        <f>VLOOKUP(N1094,Stock[#Data],5,FALSE)</f>
        <v>BE</v>
      </c>
      <c r="G1094" s="82" t="s">
        <v>1649</v>
      </c>
      <c r="H1094" s="15"/>
      <c r="I1094" s="7" t="s">
        <v>95</v>
      </c>
      <c r="J1094" s="8" t="str">
        <f>VLOOKUP(I1094,Customers[#Data],2,FALSE)</f>
        <v>ကျော်စတား</v>
      </c>
      <c r="K1094" s="15" t="str">
        <f>VLOOKUP(I1094,Customers[#Data],4,FALSE)</f>
        <v>Yay</v>
      </c>
      <c r="L1094" s="15" t="str">
        <f>VLOOKUP(I1094,Customers[#Data],5,FALSE)</f>
        <v>WholeSales</v>
      </c>
      <c r="M1094" s="7" t="s">
        <v>7</v>
      </c>
      <c r="N1094" s="7" t="s">
        <v>517</v>
      </c>
      <c r="O1094" s="14" t="str">
        <f>VLOOKUP(N1094,Stock[#Data],2,FALSE)</f>
        <v>ဇေယျဝတီ Red (1 Liter) 30%</v>
      </c>
      <c r="P1094" s="44">
        <f>VLOOKUP(N1094,Stock[#Data],3,FALSE)</f>
        <v>1</v>
      </c>
      <c r="Q1094" s="3">
        <f>VLOOKUP(N1094,Stock[#Data],4,FALSE)</f>
        <v>12</v>
      </c>
      <c r="R1094" s="11"/>
      <c r="S1094" s="45">
        <f>IFERROR(Table4[[#This Row],[Bottle]]/Table4[[#This Row],[ပါဝင်မှု]]+Table4[[#This Row],[SalesPK]],0)</f>
        <v>150</v>
      </c>
      <c r="T1094" s="12">
        <v>150</v>
      </c>
      <c r="U1094" s="10">
        <f>Table4[[#This Row],[ပါဝင်မှု]]*Table4[[#This Row],[SalesPK]]+Table4[[#This Row],[Bottle]]</f>
        <v>1800</v>
      </c>
      <c r="V1094" s="10">
        <f>Table4[[#This Row],[SalesBot]]*Table4[[#This Row],[ML]]</f>
        <v>1800</v>
      </c>
      <c r="W1094" s="1">
        <f>VLOOKUP(N1094,Stock[#Data],6,FALSE)</f>
        <v>1710</v>
      </c>
      <c r="X1094" s="8">
        <f>+Table4[[#This Row],[SalesBot]]*Table4[[#This Row],[နှုံး]]</f>
        <v>3078000</v>
      </c>
      <c r="Y1094" s="12"/>
      <c r="Z1094" s="12"/>
      <c r="AA1094" s="12"/>
      <c r="AB1094" s="9"/>
      <c r="AC1094" s="12"/>
      <c r="AD1094" s="9"/>
      <c r="AE1094" s="12"/>
      <c r="AF109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3078000</v>
      </c>
      <c r="AG1094" s="24"/>
      <c r="AH1094" s="266"/>
      <c r="AI1094" s="264"/>
      <c r="AJ1094" s="264"/>
      <c r="AK1094" s="270"/>
      <c r="AL1094" s="270"/>
      <c r="AM1094" s="271"/>
      <c r="AN1094" s="272"/>
      <c r="AO1094" s="273"/>
      <c r="AP1094" s="268"/>
      <c r="AQ1094" s="268"/>
      <c r="AR1094" s="268"/>
    </row>
    <row r="1095" spans="1:44" s="16" customFormat="1" x14ac:dyDescent="0.5">
      <c r="A1095" s="3">
        <f t="shared" si="198"/>
        <v>2026</v>
      </c>
      <c r="B1095" s="8">
        <f t="shared" si="199"/>
        <v>3</v>
      </c>
      <c r="C1095" s="6">
        <v>46086</v>
      </c>
      <c r="D1095" s="15">
        <f t="shared" ca="1" si="200"/>
        <v>46097</v>
      </c>
      <c r="E1095" s="15" t="str">
        <f t="shared" ca="1" si="201"/>
        <v>0-Months</v>
      </c>
      <c r="F1095" s="8" t="str">
        <f>VLOOKUP(N1095,Stock[#Data],5,FALSE)</f>
        <v>BE</v>
      </c>
      <c r="G1095" s="82" t="s">
        <v>1650</v>
      </c>
      <c r="H1095" s="15"/>
      <c r="I1095" s="7" t="s">
        <v>82</v>
      </c>
      <c r="J1095" s="8" t="str">
        <f>VLOOKUP(I1095,Customers[#Data],2,FALSE)</f>
        <v>ဒေါ်ထွန်းမေ</v>
      </c>
      <c r="K1095" s="15" t="str">
        <f>VLOOKUP(I1095,Customers[#Data],4,FALSE)</f>
        <v>Maw La Myaing</v>
      </c>
      <c r="L1095" s="15" t="str">
        <f>VLOOKUP(I1095,Customers[#Data],5,FALSE)</f>
        <v>WholeSales</v>
      </c>
      <c r="M1095" s="7" t="s">
        <v>7</v>
      </c>
      <c r="N1095" s="7" t="s">
        <v>521</v>
      </c>
      <c r="O1095" s="14" t="str">
        <f>VLOOKUP(N1095,Stock[#Data],2,FALSE)</f>
        <v>ဒဂုံအရက်သန့်</v>
      </c>
      <c r="P1095" s="44">
        <f>VLOOKUP(N1095,Stock[#Data],3,FALSE)</f>
        <v>0.64</v>
      </c>
      <c r="Q1095" s="3">
        <f>VLOOKUP(N1095,Stock[#Data],4,FALSE)</f>
        <v>24</v>
      </c>
      <c r="R1095" s="11"/>
      <c r="S1095" s="45">
        <f>IFERROR(Table4[[#This Row],[Bottle]]/Table4[[#This Row],[ပါဝင်မှု]]+Table4[[#This Row],[SalesPK]],0)</f>
        <v>60</v>
      </c>
      <c r="T1095" s="12">
        <v>60</v>
      </c>
      <c r="U1095" s="10">
        <f>Table4[[#This Row],[ပါဝင်မှု]]*Table4[[#This Row],[SalesPK]]+Table4[[#This Row],[Bottle]]</f>
        <v>1440</v>
      </c>
      <c r="V1095" s="10">
        <f>Table4[[#This Row],[SalesBot]]*Table4[[#This Row],[ML]]</f>
        <v>921.6</v>
      </c>
      <c r="W1095" s="1">
        <f>VLOOKUP(N1095,Stock[#Data],6,FALSE)</f>
        <v>1350</v>
      </c>
      <c r="X1095" s="8">
        <f>+Table4[[#This Row],[SalesBot]]*Table4[[#This Row],[နှုံး]]</f>
        <v>1944000</v>
      </c>
      <c r="Y1095" s="12"/>
      <c r="Z1095" s="12"/>
      <c r="AA1095" s="12"/>
      <c r="AB1095" s="9"/>
      <c r="AC1095" s="12"/>
      <c r="AD1095" s="9"/>
      <c r="AE1095" s="12"/>
      <c r="AF109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1944000</v>
      </c>
      <c r="AG1095" s="24"/>
      <c r="AH1095" s="266"/>
      <c r="AI1095" s="264"/>
      <c r="AJ1095" s="264"/>
      <c r="AK1095" s="270"/>
      <c r="AL1095" s="270"/>
      <c r="AM1095" s="271"/>
      <c r="AN1095" s="272"/>
      <c r="AO1095" s="273"/>
      <c r="AP1095" s="268"/>
      <c r="AQ1095" s="268"/>
      <c r="AR1095" s="268"/>
    </row>
    <row r="1096" spans="1:44" s="16" customFormat="1" x14ac:dyDescent="0.5">
      <c r="A1096" s="3">
        <f t="shared" si="198"/>
        <v>2026</v>
      </c>
      <c r="B1096" s="8">
        <f t="shared" si="199"/>
        <v>3</v>
      </c>
      <c r="C1096" s="6">
        <v>46086</v>
      </c>
      <c r="D1096" s="15">
        <f t="shared" ca="1" si="200"/>
        <v>46097</v>
      </c>
      <c r="E1096" s="15" t="str">
        <f t="shared" ca="1" si="201"/>
        <v>0-Months</v>
      </c>
      <c r="F1096" s="8" t="str">
        <f>VLOOKUP(N1096,Stock[#Data],5,FALSE)</f>
        <v>BE</v>
      </c>
      <c r="G1096" s="82" t="s">
        <v>1651</v>
      </c>
      <c r="H1096" s="15"/>
      <c r="I1096" s="7" t="s">
        <v>108</v>
      </c>
      <c r="J1096" s="8" t="str">
        <f>VLOOKUP(I1096,Customers[#Data],2,FALSE)</f>
        <v>ကိုညီညီဆွေ</v>
      </c>
      <c r="K1096" s="15" t="str">
        <f>VLOOKUP(I1096,Customers[#Data],4,FALSE)</f>
        <v>Maw La Myaing</v>
      </c>
      <c r="L1096" s="15" t="str">
        <f>VLOOKUP(I1096,Customers[#Data],5,FALSE)</f>
        <v>WholeSales</v>
      </c>
      <c r="M1096" s="7" t="s">
        <v>6</v>
      </c>
      <c r="N1096" s="7" t="s">
        <v>516</v>
      </c>
      <c r="O1096" s="14" t="str">
        <f>VLOOKUP(N1096,Stock[#Data],2,FALSE)</f>
        <v>ဇေ Vodka</v>
      </c>
      <c r="P1096" s="44">
        <f>VLOOKUP(N1096,Stock[#Data],3,FALSE)</f>
        <v>0.64</v>
      </c>
      <c r="Q1096" s="3">
        <f>VLOOKUP(N1096,Stock[#Data],4,FALSE)</f>
        <v>14</v>
      </c>
      <c r="R1096" s="11"/>
      <c r="S1096" s="45">
        <f>IFERROR(Table4[[#This Row],[Bottle]]/Table4[[#This Row],[ပါဝင်မှု]]+Table4[[#This Row],[SalesPK]],0)</f>
        <v>100</v>
      </c>
      <c r="T1096" s="12">
        <v>100</v>
      </c>
      <c r="U1096" s="10">
        <f>Table4[[#This Row],[ပါဝင်မှု]]*Table4[[#This Row],[SalesPK]]+Table4[[#This Row],[Bottle]]</f>
        <v>1400</v>
      </c>
      <c r="V1096" s="10">
        <f>Table4[[#This Row],[SalesBot]]*Table4[[#This Row],[ML]]</f>
        <v>896</v>
      </c>
      <c r="W1096" s="1">
        <f>VLOOKUP(N1096,Stock[#Data],6,FALSE)</f>
        <v>1400</v>
      </c>
      <c r="X1096" s="8">
        <f>+Table4[[#This Row],[SalesBot]]*Table4[[#This Row],[နှုံး]]</f>
        <v>1960000</v>
      </c>
      <c r="Y1096" s="12"/>
      <c r="Z1096" s="12"/>
      <c r="AA1096" s="12"/>
      <c r="AB1096" s="9"/>
      <c r="AC1096" s="12"/>
      <c r="AD1096" s="9"/>
      <c r="AE1096" s="12"/>
      <c r="AF109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1960000</v>
      </c>
      <c r="AG1096" s="24"/>
      <c r="AH1096" s="266"/>
      <c r="AI1096" s="264"/>
      <c r="AJ1096" s="264"/>
      <c r="AK1096" s="270"/>
      <c r="AL1096" s="270"/>
      <c r="AM1096" s="271"/>
      <c r="AN1096" s="272"/>
      <c r="AO1096" s="273"/>
      <c r="AP1096" s="268"/>
      <c r="AQ1096" s="268"/>
      <c r="AR1096" s="268"/>
    </row>
    <row r="1097" spans="1:44" s="16" customFormat="1" x14ac:dyDescent="0.5">
      <c r="A1097" s="3">
        <f t="shared" si="198"/>
        <v>2026</v>
      </c>
      <c r="B1097" s="8">
        <f t="shared" si="199"/>
        <v>3</v>
      </c>
      <c r="C1097" s="6">
        <v>46086</v>
      </c>
      <c r="D1097" s="15">
        <f t="shared" ca="1" si="200"/>
        <v>46097</v>
      </c>
      <c r="E1097" s="15" t="str">
        <f t="shared" ca="1" si="201"/>
        <v>0-Months</v>
      </c>
      <c r="F1097" s="8" t="str">
        <f>VLOOKUP(N1097,Stock[#Data],5,FALSE)</f>
        <v>BE</v>
      </c>
      <c r="G1097" s="82" t="s">
        <v>1652</v>
      </c>
      <c r="H1097" s="15"/>
      <c r="I1097" s="7" t="s">
        <v>106</v>
      </c>
      <c r="J1097" s="8" t="str">
        <f>VLOOKUP(I1097,Customers[#Data],2,FALSE)</f>
        <v>ကိုမျိုးအောင်</v>
      </c>
      <c r="K1097" s="15" t="str">
        <f>VLOOKUP(I1097,Customers[#Data],4,FALSE)</f>
        <v>Maw La Myaing</v>
      </c>
      <c r="L1097" s="15" t="str">
        <f>VLOOKUP(I1097,Customers[#Data],5,FALSE)</f>
        <v>WholeSales</v>
      </c>
      <c r="M1097" s="7" t="s">
        <v>6</v>
      </c>
      <c r="N1097" s="7" t="s">
        <v>516</v>
      </c>
      <c r="O1097" s="14" t="str">
        <f>VLOOKUP(N1097,Stock[#Data],2,FALSE)</f>
        <v>ဇေ Vodka</v>
      </c>
      <c r="P1097" s="44">
        <f>VLOOKUP(N1097,Stock[#Data],3,FALSE)</f>
        <v>0.64</v>
      </c>
      <c r="Q1097" s="3">
        <f>VLOOKUP(N1097,Stock[#Data],4,FALSE)</f>
        <v>14</v>
      </c>
      <c r="R1097" s="11"/>
      <c r="S1097" s="45">
        <f>IFERROR(Table4[[#This Row],[Bottle]]/Table4[[#This Row],[ပါဝင်မှု]]+Table4[[#This Row],[SalesPK]],0)</f>
        <v>30</v>
      </c>
      <c r="T1097" s="12">
        <v>30</v>
      </c>
      <c r="U1097" s="10">
        <f>Table4[[#This Row],[ပါဝင်မှု]]*Table4[[#This Row],[SalesPK]]+Table4[[#This Row],[Bottle]]</f>
        <v>420</v>
      </c>
      <c r="V1097" s="10">
        <f>Table4[[#This Row],[SalesBot]]*Table4[[#This Row],[ML]]</f>
        <v>268.8</v>
      </c>
      <c r="W1097" s="1">
        <f>VLOOKUP(N1097,Stock[#Data],6,FALSE)</f>
        <v>1400</v>
      </c>
      <c r="X1097" s="8">
        <f>+Table4[[#This Row],[SalesBot]]*Table4[[#This Row],[နှုံး]]</f>
        <v>588000</v>
      </c>
      <c r="Y1097" s="12"/>
      <c r="Z1097" s="12"/>
      <c r="AA1097" s="12"/>
      <c r="AB1097" s="9"/>
      <c r="AC1097" s="12"/>
      <c r="AD1097" s="9"/>
      <c r="AE1097" s="12"/>
      <c r="AF109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588000</v>
      </c>
      <c r="AG1097" s="24"/>
      <c r="AH1097" s="266"/>
      <c r="AI1097" s="264"/>
      <c r="AJ1097" s="264"/>
      <c r="AK1097" s="270"/>
      <c r="AL1097" s="270"/>
      <c r="AM1097" s="271"/>
      <c r="AN1097" s="272"/>
      <c r="AO1097" s="273"/>
      <c r="AP1097" s="268"/>
      <c r="AQ1097" s="268"/>
      <c r="AR1097" s="268"/>
    </row>
    <row r="1098" spans="1:44" s="16" customFormat="1" x14ac:dyDescent="0.5">
      <c r="A1098" s="3">
        <f t="shared" si="198"/>
        <v>2026</v>
      </c>
      <c r="B1098" s="8">
        <f t="shared" si="199"/>
        <v>3</v>
      </c>
      <c r="C1098" s="6">
        <v>46086</v>
      </c>
      <c r="D1098" s="15">
        <f t="shared" ca="1" si="200"/>
        <v>46097</v>
      </c>
      <c r="E1098" s="15" t="str">
        <f t="shared" ca="1" si="201"/>
        <v>0-Months</v>
      </c>
      <c r="F1098" s="8" t="str">
        <f>VLOOKUP(N1098,Stock[#Data],5,FALSE)</f>
        <v>BE</v>
      </c>
      <c r="G1098" s="82" t="s">
        <v>1652</v>
      </c>
      <c r="H1098" s="15"/>
      <c r="I1098" s="7" t="s">
        <v>106</v>
      </c>
      <c r="J1098" s="8" t="str">
        <f>VLOOKUP(I1098,Customers[#Data],2,FALSE)</f>
        <v>ကိုမျိုးအောင်</v>
      </c>
      <c r="K1098" s="15" t="str">
        <f>VLOOKUP(I1098,Customers[#Data],4,FALSE)</f>
        <v>Maw La Myaing</v>
      </c>
      <c r="L1098" s="15" t="str">
        <f>VLOOKUP(I1098,Customers[#Data],5,FALSE)</f>
        <v>WholeSales</v>
      </c>
      <c r="M1098" s="7" t="s">
        <v>6</v>
      </c>
      <c r="N1098" s="7" t="s">
        <v>514</v>
      </c>
      <c r="O1098" s="14" t="str">
        <f>VLOOKUP(N1098,Stock[#Data],2,FALSE)</f>
        <v>ဇေယျဝတီ Red</v>
      </c>
      <c r="P1098" s="44">
        <f>VLOOKUP(N1098,Stock[#Data],3,FALSE)</f>
        <v>0.64</v>
      </c>
      <c r="Q1098" s="3">
        <f>VLOOKUP(N1098,Stock[#Data],4,FALSE)</f>
        <v>14</v>
      </c>
      <c r="R1098" s="11"/>
      <c r="S1098" s="45">
        <f>IFERROR(Table4[[#This Row],[Bottle]]/Table4[[#This Row],[ပါဝင်မှု]]+Table4[[#This Row],[SalesPK]],0)</f>
        <v>15</v>
      </c>
      <c r="T1098" s="12">
        <v>15</v>
      </c>
      <c r="U1098" s="10">
        <f>Table4[[#This Row],[ပါဝင်မှု]]*Table4[[#This Row],[SalesPK]]+Table4[[#This Row],[Bottle]]</f>
        <v>210</v>
      </c>
      <c r="V1098" s="10">
        <f>Table4[[#This Row],[SalesBot]]*Table4[[#This Row],[ML]]</f>
        <v>134.4</v>
      </c>
      <c r="W1098" s="1">
        <f>VLOOKUP(N1098,Stock[#Data],6,FALSE)</f>
        <v>1350</v>
      </c>
      <c r="X1098" s="8">
        <f>+Table4[[#This Row],[SalesBot]]*Table4[[#This Row],[နှုံး]]</f>
        <v>283500</v>
      </c>
      <c r="Y1098" s="12"/>
      <c r="Z1098" s="12"/>
      <c r="AA1098" s="12"/>
      <c r="AB1098" s="9"/>
      <c r="AC1098" s="12"/>
      <c r="AD1098" s="9"/>
      <c r="AE1098" s="12"/>
      <c r="AF109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283500</v>
      </c>
      <c r="AG1098" s="24"/>
      <c r="AH1098" s="266"/>
      <c r="AI1098" s="264"/>
      <c r="AJ1098" s="264"/>
      <c r="AK1098" s="270"/>
      <c r="AL1098" s="270"/>
      <c r="AM1098" s="271"/>
      <c r="AN1098" s="272"/>
      <c r="AO1098" s="273"/>
      <c r="AP1098" s="268"/>
      <c r="AQ1098" s="268"/>
      <c r="AR1098" s="268"/>
    </row>
    <row r="1099" spans="1:44" s="16" customFormat="1" x14ac:dyDescent="0.5">
      <c r="A1099" s="3">
        <f t="shared" si="198"/>
        <v>2026</v>
      </c>
      <c r="B1099" s="8">
        <f t="shared" si="199"/>
        <v>3</v>
      </c>
      <c r="C1099" s="6">
        <v>46086</v>
      </c>
      <c r="D1099" s="15">
        <f t="shared" ca="1" si="200"/>
        <v>46097</v>
      </c>
      <c r="E1099" s="15" t="str">
        <f t="shared" ca="1" si="201"/>
        <v>0-Months</v>
      </c>
      <c r="F1099" s="8" t="str">
        <f>VLOOKUP(N1099,Stock[#Data],5,FALSE)</f>
        <v>BE</v>
      </c>
      <c r="G1099" s="82" t="s">
        <v>1652</v>
      </c>
      <c r="H1099" s="15"/>
      <c r="I1099" s="7" t="s">
        <v>106</v>
      </c>
      <c r="J1099" s="8" t="str">
        <f>VLOOKUP(I1099,Customers[#Data],2,FALSE)</f>
        <v>ကိုမျိုးအောင်</v>
      </c>
      <c r="K1099" s="15" t="str">
        <f>VLOOKUP(I1099,Customers[#Data],4,FALSE)</f>
        <v>Maw La Myaing</v>
      </c>
      <c r="L1099" s="15" t="str">
        <f>VLOOKUP(I1099,Customers[#Data],5,FALSE)</f>
        <v>WholeSales</v>
      </c>
      <c r="M1099" s="7" t="s">
        <v>6</v>
      </c>
      <c r="N1099" s="7" t="s">
        <v>519</v>
      </c>
      <c r="O1099" s="14" t="str">
        <f>VLOOKUP(N1099,Stock[#Data],2,FALSE)</f>
        <v>ဇေယျဝတီ High 43%</v>
      </c>
      <c r="P1099" s="44">
        <f>VLOOKUP(N1099,Stock[#Data],3,FALSE)</f>
        <v>0.64</v>
      </c>
      <c r="Q1099" s="3">
        <f>VLOOKUP(N1099,Stock[#Data],4,FALSE)</f>
        <v>14</v>
      </c>
      <c r="R1099" s="11"/>
      <c r="S1099" s="45">
        <f>IFERROR(Table4[[#This Row],[Bottle]]/Table4[[#This Row],[ပါဝင်မှု]]+Table4[[#This Row],[SalesPK]],0)</f>
        <v>49</v>
      </c>
      <c r="T1099" s="12">
        <v>49</v>
      </c>
      <c r="U1099" s="10">
        <f>Table4[[#This Row],[ပါဝင်မှု]]*Table4[[#This Row],[SalesPK]]+Table4[[#This Row],[Bottle]]</f>
        <v>686</v>
      </c>
      <c r="V1099" s="10">
        <f>Table4[[#This Row],[SalesBot]]*Table4[[#This Row],[ML]]</f>
        <v>439.04</v>
      </c>
      <c r="W1099" s="1">
        <f>VLOOKUP(N1099,Stock[#Data],6,FALSE)</f>
        <v>1500</v>
      </c>
      <c r="X1099" s="8">
        <f>+Table4[[#This Row],[SalesBot]]*Table4[[#This Row],[နှုံး]]</f>
        <v>1029000</v>
      </c>
      <c r="Y1099" s="12"/>
      <c r="Z1099" s="12"/>
      <c r="AA1099" s="12"/>
      <c r="AB1099" s="9"/>
      <c r="AC1099" s="12"/>
      <c r="AD1099" s="9"/>
      <c r="AE1099" s="12"/>
      <c r="AF109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1029000</v>
      </c>
      <c r="AG1099" s="24"/>
      <c r="AH1099" s="266"/>
      <c r="AI1099" s="264"/>
      <c r="AJ1099" s="264"/>
      <c r="AK1099" s="270"/>
      <c r="AL1099" s="270"/>
      <c r="AM1099" s="271"/>
      <c r="AN1099" s="272"/>
      <c r="AO1099" s="273"/>
      <c r="AP1099" s="268"/>
      <c r="AQ1099" s="268"/>
      <c r="AR1099" s="268"/>
    </row>
    <row r="1100" spans="1:44" s="16" customFormat="1" x14ac:dyDescent="0.5">
      <c r="A1100" s="3">
        <f t="shared" si="198"/>
        <v>2026</v>
      </c>
      <c r="B1100" s="8">
        <f t="shared" si="199"/>
        <v>3</v>
      </c>
      <c r="C1100" s="6">
        <v>46086</v>
      </c>
      <c r="D1100" s="15">
        <f t="shared" ca="1" si="200"/>
        <v>46097</v>
      </c>
      <c r="E1100" s="15" t="str">
        <f t="shared" ca="1" si="201"/>
        <v>0-Months</v>
      </c>
      <c r="F1100" s="8" t="str">
        <f>VLOOKUP(N1100,Stock[#Data],5,FALSE)</f>
        <v>BE</v>
      </c>
      <c r="G1100" s="82" t="s">
        <v>1652</v>
      </c>
      <c r="H1100" s="15"/>
      <c r="I1100" s="7" t="s">
        <v>82</v>
      </c>
      <c r="J1100" s="8" t="str">
        <f>VLOOKUP(I1100,Customers[#Data],2,FALSE)</f>
        <v>ဒေါ်ထွန်းမေ</v>
      </c>
      <c r="K1100" s="15" t="str">
        <f>VLOOKUP(I1100,Customers[#Data],4,FALSE)</f>
        <v>Maw La Myaing</v>
      </c>
      <c r="L1100" s="15" t="str">
        <f>VLOOKUP(I1100,Customers[#Data],5,FALSE)</f>
        <v>WholeSales</v>
      </c>
      <c r="M1100" s="7" t="s">
        <v>6</v>
      </c>
      <c r="N1100" s="7" t="s">
        <v>516</v>
      </c>
      <c r="O1100" s="14" t="str">
        <f>VLOOKUP(N1100,Stock[#Data],2,FALSE)</f>
        <v>ဇေ Vodka</v>
      </c>
      <c r="P1100" s="44">
        <f>VLOOKUP(N1100,Stock[#Data],3,FALSE)</f>
        <v>0.64</v>
      </c>
      <c r="Q1100" s="3">
        <f>VLOOKUP(N1100,Stock[#Data],4,FALSE)</f>
        <v>14</v>
      </c>
      <c r="R1100" s="11"/>
      <c r="S1100" s="45">
        <f>IFERROR(Table4[[#This Row],[Bottle]]/Table4[[#This Row],[ပါဝင်မှု]]+Table4[[#This Row],[SalesPK]],0)</f>
        <v>10</v>
      </c>
      <c r="T1100" s="12">
        <v>10</v>
      </c>
      <c r="U1100" s="10">
        <f>Table4[[#This Row],[ပါဝင်မှု]]*Table4[[#This Row],[SalesPK]]+Table4[[#This Row],[Bottle]]</f>
        <v>140</v>
      </c>
      <c r="V1100" s="10">
        <f>Table4[[#This Row],[SalesBot]]*Table4[[#This Row],[ML]]</f>
        <v>89.600000000000009</v>
      </c>
      <c r="W1100" s="1">
        <f>VLOOKUP(N1100,Stock[#Data],6,FALSE)</f>
        <v>1400</v>
      </c>
      <c r="X1100" s="8">
        <f>+Table4[[#This Row],[SalesBot]]*Table4[[#This Row],[နှုံး]]</f>
        <v>196000</v>
      </c>
      <c r="Y1100" s="12"/>
      <c r="Z1100" s="12"/>
      <c r="AA1100" s="12"/>
      <c r="AB1100" s="9"/>
      <c r="AC1100" s="12"/>
      <c r="AD1100" s="9"/>
      <c r="AE1100" s="12"/>
      <c r="AF110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1100" s="24"/>
      <c r="AH1100" s="266"/>
      <c r="AI1100" s="264"/>
      <c r="AJ1100" s="264"/>
      <c r="AK1100" s="270"/>
      <c r="AL1100" s="270"/>
      <c r="AM1100" s="271"/>
      <c r="AN1100" s="272"/>
      <c r="AO1100" s="273"/>
      <c r="AP1100" s="268"/>
      <c r="AQ1100" s="268"/>
      <c r="AR1100" s="268"/>
    </row>
    <row r="1101" spans="1:44" s="16" customFormat="1" x14ac:dyDescent="0.5">
      <c r="A1101" s="3">
        <f t="shared" si="198"/>
        <v>2026</v>
      </c>
      <c r="B1101" s="8">
        <f t="shared" si="199"/>
        <v>3</v>
      </c>
      <c r="C1101" s="6">
        <v>46086</v>
      </c>
      <c r="D1101" s="15">
        <f t="shared" ca="1" si="200"/>
        <v>46097</v>
      </c>
      <c r="E1101" s="15" t="str">
        <f t="shared" ca="1" si="201"/>
        <v>0-Months</v>
      </c>
      <c r="F1101" s="8" t="str">
        <f>VLOOKUP(N1101,Stock[#Data],5,FALSE)</f>
        <v>BE</v>
      </c>
      <c r="G1101" s="82" t="s">
        <v>1652</v>
      </c>
      <c r="H1101" s="15"/>
      <c r="I1101" s="7" t="s">
        <v>82</v>
      </c>
      <c r="J1101" s="8" t="str">
        <f>VLOOKUP(I1101,Customers[#Data],2,FALSE)</f>
        <v>ဒေါ်ထွန်းမေ</v>
      </c>
      <c r="K1101" s="15" t="str">
        <f>VLOOKUP(I1101,Customers[#Data],4,FALSE)</f>
        <v>Maw La Myaing</v>
      </c>
      <c r="L1101" s="15" t="str">
        <f>VLOOKUP(I1101,Customers[#Data],5,FALSE)</f>
        <v>WholeSales</v>
      </c>
      <c r="M1101" s="7" t="s">
        <v>6</v>
      </c>
      <c r="N1101" s="7" t="s">
        <v>1140</v>
      </c>
      <c r="O1101" s="14" t="str">
        <f>VLOOKUP(N1101,Stock[#Data],2,FALSE)</f>
        <v>ဒဂုံအရက်သန့်</v>
      </c>
      <c r="P1101" s="44">
        <f>VLOOKUP(N1101,Stock[#Data],3,FALSE)</f>
        <v>1</v>
      </c>
      <c r="Q1101" s="3">
        <f>VLOOKUP(N1101,Stock[#Data],4,FALSE)</f>
        <v>12</v>
      </c>
      <c r="R1101" s="11"/>
      <c r="S1101" s="45">
        <f>IFERROR(Table4[[#This Row],[Bottle]]/Table4[[#This Row],[ပါဝင်မှု]]+Table4[[#This Row],[SalesPK]],0)</f>
        <v>50</v>
      </c>
      <c r="T1101" s="12">
        <v>50</v>
      </c>
      <c r="U1101" s="10">
        <f>Table4[[#This Row],[ပါဝင်မှု]]*Table4[[#This Row],[SalesPK]]+Table4[[#This Row],[Bottle]]</f>
        <v>600</v>
      </c>
      <c r="V1101" s="10">
        <f>Table4[[#This Row],[SalesBot]]*Table4[[#This Row],[ML]]</f>
        <v>600</v>
      </c>
      <c r="W1101" s="1">
        <f>VLOOKUP(N1101,Stock[#Data],6,FALSE)</f>
        <v>1675</v>
      </c>
      <c r="X1101" s="8">
        <f>+Table4[[#This Row],[SalesBot]]*Table4[[#This Row],[နှုံး]]</f>
        <v>1005000</v>
      </c>
      <c r="Y1101" s="12"/>
      <c r="Z1101" s="12"/>
      <c r="AA1101" s="12"/>
      <c r="AB1101" s="9"/>
      <c r="AC1101" s="12"/>
      <c r="AD1101" s="9"/>
      <c r="AE1101" s="12"/>
      <c r="AF110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1005000</v>
      </c>
      <c r="AG1101" s="24"/>
      <c r="AH1101" s="266"/>
      <c r="AI1101" s="264"/>
      <c r="AJ1101" s="264"/>
      <c r="AK1101" s="270"/>
      <c r="AL1101" s="270"/>
      <c r="AM1101" s="271"/>
      <c r="AN1101" s="272"/>
      <c r="AO1101" s="273"/>
      <c r="AP1101" s="268"/>
      <c r="AQ1101" s="268"/>
      <c r="AR1101" s="268"/>
    </row>
    <row r="1102" spans="1:44" s="16" customFormat="1" x14ac:dyDescent="0.5">
      <c r="A1102" s="3">
        <f t="shared" si="198"/>
        <v>2026</v>
      </c>
      <c r="B1102" s="8">
        <f t="shared" si="199"/>
        <v>3</v>
      </c>
      <c r="C1102" s="6">
        <v>46086</v>
      </c>
      <c r="D1102" s="15">
        <f t="shared" ca="1" si="200"/>
        <v>46097</v>
      </c>
      <c r="E1102" s="15" t="str">
        <f t="shared" ca="1" si="201"/>
        <v>0-Months</v>
      </c>
      <c r="F1102" s="8" t="str">
        <f>VLOOKUP(N1102,Stock[#Data],5,FALSE)</f>
        <v>BE</v>
      </c>
      <c r="G1102" s="82" t="s">
        <v>1653</v>
      </c>
      <c r="H1102" s="15"/>
      <c r="I1102" s="7" t="s">
        <v>106</v>
      </c>
      <c r="J1102" s="8" t="str">
        <f>VLOOKUP(I1102,Customers[#Data],2,FALSE)</f>
        <v>ကိုမျိုးအောင်</v>
      </c>
      <c r="K1102" s="15" t="str">
        <f>VLOOKUP(I1102,Customers[#Data],4,FALSE)</f>
        <v>Maw La Myaing</v>
      </c>
      <c r="L1102" s="15" t="str">
        <f>VLOOKUP(I1102,Customers[#Data],5,FALSE)</f>
        <v>WholeSales</v>
      </c>
      <c r="M1102" s="7" t="s">
        <v>6</v>
      </c>
      <c r="N1102" s="7" t="s">
        <v>516</v>
      </c>
      <c r="O1102" s="14" t="str">
        <f>VLOOKUP(N1102,Stock[#Data],2,FALSE)</f>
        <v>ဇေ Vodka</v>
      </c>
      <c r="P1102" s="44">
        <f>VLOOKUP(N1102,Stock[#Data],3,FALSE)</f>
        <v>0.64</v>
      </c>
      <c r="Q1102" s="3">
        <f>VLOOKUP(N1102,Stock[#Data],4,FALSE)</f>
        <v>14</v>
      </c>
      <c r="R1102" s="11"/>
      <c r="S1102" s="45">
        <f>IFERROR(Table4[[#This Row],[Bottle]]/Table4[[#This Row],[ပါဝင်မှု]]+Table4[[#This Row],[SalesPK]],0)</f>
        <v>50</v>
      </c>
      <c r="T1102" s="12">
        <v>50</v>
      </c>
      <c r="U1102" s="10">
        <f>Table4[[#This Row],[ပါဝင်မှု]]*Table4[[#This Row],[SalesPK]]+Table4[[#This Row],[Bottle]]</f>
        <v>700</v>
      </c>
      <c r="V1102" s="10">
        <f>Table4[[#This Row],[SalesBot]]*Table4[[#This Row],[ML]]</f>
        <v>448</v>
      </c>
      <c r="W1102" s="1">
        <f>VLOOKUP(N1102,Stock[#Data],6,FALSE)</f>
        <v>1400</v>
      </c>
      <c r="X1102" s="8">
        <f>+Table4[[#This Row],[SalesBot]]*Table4[[#This Row],[နှုံး]]</f>
        <v>980000</v>
      </c>
      <c r="Y1102" s="12"/>
      <c r="Z1102" s="12"/>
      <c r="AA1102" s="12"/>
      <c r="AB1102" s="9"/>
      <c r="AC1102" s="12"/>
      <c r="AD1102" s="9"/>
      <c r="AE1102" s="12"/>
      <c r="AF110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980000</v>
      </c>
      <c r="AG1102" s="24"/>
      <c r="AH1102" s="266"/>
      <c r="AI1102" s="264"/>
      <c r="AJ1102" s="264"/>
      <c r="AK1102" s="270"/>
      <c r="AL1102" s="270"/>
      <c r="AM1102" s="271"/>
      <c r="AN1102" s="272"/>
      <c r="AO1102" s="273"/>
      <c r="AP1102" s="268"/>
      <c r="AQ1102" s="268"/>
      <c r="AR1102" s="268"/>
    </row>
    <row r="1103" spans="1:44" s="16" customFormat="1" x14ac:dyDescent="0.5">
      <c r="A1103" s="3">
        <f t="shared" si="198"/>
        <v>2026</v>
      </c>
      <c r="B1103" s="8">
        <f t="shared" si="199"/>
        <v>3</v>
      </c>
      <c r="C1103" s="6">
        <v>46086</v>
      </c>
      <c r="D1103" s="15">
        <f t="shared" ca="1" si="200"/>
        <v>46097</v>
      </c>
      <c r="E1103" s="15" t="str">
        <f t="shared" ca="1" si="201"/>
        <v>0-Months</v>
      </c>
      <c r="F1103" s="8" t="str">
        <f>VLOOKUP(N1103,Stock[#Data],5,FALSE)</f>
        <v>BE</v>
      </c>
      <c r="G1103" s="82" t="s">
        <v>1653</v>
      </c>
      <c r="H1103" s="15"/>
      <c r="I1103" s="7" t="s">
        <v>106</v>
      </c>
      <c r="J1103" s="8" t="str">
        <f>VLOOKUP(I1103,Customers[#Data],2,FALSE)</f>
        <v>ကိုမျိုးအောင်</v>
      </c>
      <c r="K1103" s="15" t="str">
        <f>VLOOKUP(I1103,Customers[#Data],4,FALSE)</f>
        <v>Maw La Myaing</v>
      </c>
      <c r="L1103" s="15" t="str">
        <f>VLOOKUP(I1103,Customers[#Data],5,FALSE)</f>
        <v>WholeSales</v>
      </c>
      <c r="M1103" s="7" t="s">
        <v>6</v>
      </c>
      <c r="N1103" s="7" t="s">
        <v>517</v>
      </c>
      <c r="O1103" s="14" t="str">
        <f>VLOOKUP(N1103,Stock[#Data],2,FALSE)</f>
        <v>ဇေယျဝတီ Red (1 Liter) 30%</v>
      </c>
      <c r="P1103" s="44">
        <f>VLOOKUP(N1103,Stock[#Data],3,FALSE)</f>
        <v>1</v>
      </c>
      <c r="Q1103" s="3">
        <f>VLOOKUP(N1103,Stock[#Data],4,FALSE)</f>
        <v>12</v>
      </c>
      <c r="R1103" s="11"/>
      <c r="S1103" s="45">
        <f>IFERROR(Table4[[#This Row],[Bottle]]/Table4[[#This Row],[ပါဝင်မှု]]+Table4[[#This Row],[SalesPK]],0)</f>
        <v>50</v>
      </c>
      <c r="T1103" s="12">
        <v>50</v>
      </c>
      <c r="U1103" s="10">
        <f>Table4[[#This Row],[ပါဝင်မှု]]*Table4[[#This Row],[SalesPK]]+Table4[[#This Row],[Bottle]]</f>
        <v>600</v>
      </c>
      <c r="V1103" s="10">
        <f>Table4[[#This Row],[SalesBot]]*Table4[[#This Row],[ML]]</f>
        <v>600</v>
      </c>
      <c r="W1103" s="1">
        <f>VLOOKUP(N1103,Stock[#Data],6,FALSE)</f>
        <v>1710</v>
      </c>
      <c r="X1103" s="8">
        <f>+Table4[[#This Row],[SalesBot]]*Table4[[#This Row],[နှုံး]]</f>
        <v>1026000</v>
      </c>
      <c r="Y1103" s="12"/>
      <c r="Z1103" s="12"/>
      <c r="AA1103" s="12"/>
      <c r="AB1103" s="9"/>
      <c r="AC1103" s="12"/>
      <c r="AD1103" s="9"/>
      <c r="AE1103" s="12"/>
      <c r="AF110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1103" s="24"/>
      <c r="AH1103" s="266"/>
      <c r="AI1103" s="264"/>
      <c r="AJ1103" s="264"/>
      <c r="AK1103" s="270"/>
      <c r="AL1103" s="270"/>
      <c r="AM1103" s="271"/>
      <c r="AN1103" s="272"/>
      <c r="AO1103" s="273"/>
      <c r="AP1103" s="268"/>
      <c r="AQ1103" s="268"/>
      <c r="AR1103" s="268"/>
    </row>
    <row r="1104" spans="1:44" s="16" customFormat="1" x14ac:dyDescent="0.5">
      <c r="A1104" s="3">
        <f t="shared" si="198"/>
        <v>2026</v>
      </c>
      <c r="B1104" s="8">
        <f t="shared" si="199"/>
        <v>3</v>
      </c>
      <c r="C1104" s="6">
        <v>46086</v>
      </c>
      <c r="D1104" s="15">
        <f t="shared" ca="1" si="200"/>
        <v>46097</v>
      </c>
      <c r="E1104" s="15" t="str">
        <f t="shared" ca="1" si="201"/>
        <v>0-Months</v>
      </c>
      <c r="F1104" s="8" t="str">
        <f>VLOOKUP(N1104,Stock[#Data],5,FALSE)</f>
        <v>BE</v>
      </c>
      <c r="G1104" s="82" t="s">
        <v>1654</v>
      </c>
      <c r="H1104" s="15"/>
      <c r="I1104" s="7" t="s">
        <v>145</v>
      </c>
      <c r="J1104" s="8" t="str">
        <f>VLOOKUP(I1104,Customers[#Data],2,FALSE)</f>
        <v>ကိုအာနိုး</v>
      </c>
      <c r="K1104" s="15" t="str">
        <f>VLOOKUP(I1104,Customers[#Data],4,FALSE)</f>
        <v>yaY</v>
      </c>
      <c r="L1104" s="15" t="str">
        <f>VLOOKUP(I1104,Customers[#Data],5,FALSE)</f>
        <v>Van Sales</v>
      </c>
      <c r="M1104" s="7" t="s">
        <v>6</v>
      </c>
      <c r="N1104" s="7" t="s">
        <v>517</v>
      </c>
      <c r="O1104" s="14" t="str">
        <f>VLOOKUP(N1104,Stock[#Data],2,FALSE)</f>
        <v>ဇေယျဝတီ Red (1 Liter) 30%</v>
      </c>
      <c r="P1104" s="44">
        <f>VLOOKUP(N1104,Stock[#Data],3,FALSE)</f>
        <v>1</v>
      </c>
      <c r="Q1104" s="3">
        <f>VLOOKUP(N1104,Stock[#Data],4,FALSE)</f>
        <v>12</v>
      </c>
      <c r="R1104" s="11"/>
      <c r="S1104" s="45">
        <f>IFERROR(Table4[[#This Row],[Bottle]]/Table4[[#This Row],[ပါဝင်မှု]]+Table4[[#This Row],[SalesPK]],0)</f>
        <v>20</v>
      </c>
      <c r="T1104" s="12">
        <v>20</v>
      </c>
      <c r="U1104" s="10">
        <f>Table4[[#This Row],[ပါဝင်မှု]]*Table4[[#This Row],[SalesPK]]+Table4[[#This Row],[Bottle]]</f>
        <v>240</v>
      </c>
      <c r="V1104" s="10">
        <f>Table4[[#This Row],[SalesBot]]*Table4[[#This Row],[ML]]</f>
        <v>240</v>
      </c>
      <c r="W1104" s="1">
        <f>VLOOKUP(N1104,Stock[#Data],6,FALSE)</f>
        <v>1710</v>
      </c>
      <c r="X1104" s="8">
        <f>+Table4[[#This Row],[SalesBot]]*Table4[[#This Row],[နှုံး]]</f>
        <v>410400</v>
      </c>
      <c r="Y1104" s="12"/>
      <c r="Z1104" s="12"/>
      <c r="AA1104" s="12"/>
      <c r="AB1104" s="9"/>
      <c r="AC1104" s="12"/>
      <c r="AD1104" s="9"/>
      <c r="AE1104" s="12"/>
      <c r="AF110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410400</v>
      </c>
      <c r="AG1104" s="24"/>
      <c r="AH1104" s="266"/>
      <c r="AI1104" s="264"/>
      <c r="AJ1104" s="264"/>
      <c r="AK1104" s="270"/>
      <c r="AL1104" s="270"/>
      <c r="AM1104" s="271"/>
      <c r="AN1104" s="272"/>
      <c r="AO1104" s="273"/>
      <c r="AP1104" s="268"/>
      <c r="AQ1104" s="268"/>
      <c r="AR1104" s="268"/>
    </row>
    <row r="1105" spans="1:44" s="16" customFormat="1" x14ac:dyDescent="0.5">
      <c r="A1105" s="3">
        <f t="shared" si="198"/>
        <v>2026</v>
      </c>
      <c r="B1105" s="8">
        <f t="shared" si="199"/>
        <v>3</v>
      </c>
      <c r="C1105" s="6">
        <v>46086</v>
      </c>
      <c r="D1105" s="15">
        <f t="shared" ca="1" si="200"/>
        <v>46097</v>
      </c>
      <c r="E1105" s="15" t="str">
        <f t="shared" ca="1" si="201"/>
        <v>0-Months</v>
      </c>
      <c r="F1105" s="8" t="str">
        <f>VLOOKUP(N1105,Stock[#Data],5,FALSE)</f>
        <v>BE</v>
      </c>
      <c r="G1105" s="82" t="s">
        <v>1655</v>
      </c>
      <c r="H1105" s="15"/>
      <c r="I1105" s="7" t="s">
        <v>107</v>
      </c>
      <c r="J1105" s="8" t="str">
        <f>VLOOKUP(I1105,Customers[#Data],2,FALSE)</f>
        <v>မင်းမင်းထွန်း</v>
      </c>
      <c r="K1105" s="15" t="str">
        <f>VLOOKUP(I1105,Customers[#Data],4,FALSE)</f>
        <v>Paung</v>
      </c>
      <c r="L1105" s="15" t="str">
        <f>VLOOKUP(I1105,Customers[#Data],5,FALSE)</f>
        <v>Van Sales</v>
      </c>
      <c r="M1105" s="7" t="s">
        <v>6</v>
      </c>
      <c r="N1105" s="7" t="s">
        <v>521</v>
      </c>
      <c r="O1105" s="14" t="str">
        <f>VLOOKUP(N1105,Stock[#Data],2,FALSE)</f>
        <v>ဒဂုံအရက်သန့်</v>
      </c>
      <c r="P1105" s="44">
        <f>VLOOKUP(N1105,Stock[#Data],3,FALSE)</f>
        <v>0.64</v>
      </c>
      <c r="Q1105" s="3">
        <f>VLOOKUP(N1105,Stock[#Data],4,FALSE)</f>
        <v>24</v>
      </c>
      <c r="R1105" s="11"/>
      <c r="S1105" s="45">
        <f>IFERROR(Table4[[#This Row],[Bottle]]/Table4[[#This Row],[ပါဝင်မှု]]+Table4[[#This Row],[SalesPK]],0)</f>
        <v>5</v>
      </c>
      <c r="T1105" s="12">
        <v>5</v>
      </c>
      <c r="U1105" s="10">
        <f>Table4[[#This Row],[ပါဝင်မှု]]*Table4[[#This Row],[SalesPK]]+Table4[[#This Row],[Bottle]]</f>
        <v>120</v>
      </c>
      <c r="V1105" s="10">
        <f>Table4[[#This Row],[SalesBot]]*Table4[[#This Row],[ML]]</f>
        <v>76.8</v>
      </c>
      <c r="W1105" s="1">
        <f>VLOOKUP(N1105,Stock[#Data],6,FALSE)</f>
        <v>1350</v>
      </c>
      <c r="X1105" s="8">
        <f>+Table4[[#This Row],[SalesBot]]*Table4[[#This Row],[နှုံး]]</f>
        <v>162000</v>
      </c>
      <c r="Y1105" s="12"/>
      <c r="Z1105" s="12"/>
      <c r="AA1105" s="12"/>
      <c r="AB1105" s="9"/>
      <c r="AC1105" s="12"/>
      <c r="AD1105" s="9"/>
      <c r="AE1105" s="12"/>
      <c r="AF110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162000</v>
      </c>
      <c r="AG1105" s="24"/>
      <c r="AH1105" s="266"/>
      <c r="AI1105" s="264"/>
      <c r="AJ1105" s="264"/>
      <c r="AK1105" s="270"/>
      <c r="AL1105" s="270"/>
      <c r="AM1105" s="271"/>
      <c r="AN1105" s="272"/>
      <c r="AO1105" s="273"/>
      <c r="AP1105" s="268"/>
      <c r="AQ1105" s="268"/>
      <c r="AR1105" s="268"/>
    </row>
    <row r="1106" spans="1:44" s="16" customFormat="1" x14ac:dyDescent="0.5">
      <c r="A1106" s="3">
        <f t="shared" si="198"/>
        <v>2026</v>
      </c>
      <c r="B1106" s="8">
        <f t="shared" si="199"/>
        <v>3</v>
      </c>
      <c r="C1106" s="6">
        <v>46086</v>
      </c>
      <c r="D1106" s="15">
        <f t="shared" ca="1" si="200"/>
        <v>46097</v>
      </c>
      <c r="E1106" s="15" t="str">
        <f t="shared" ca="1" si="201"/>
        <v>0-Months</v>
      </c>
      <c r="F1106" s="8" t="str">
        <f>VLOOKUP(N1106,Stock[#Data],5,FALSE)</f>
        <v>BE</v>
      </c>
      <c r="G1106" s="82" t="s">
        <v>1656</v>
      </c>
      <c r="H1106" s="15"/>
      <c r="I1106" s="7" t="s">
        <v>559</v>
      </c>
      <c r="J1106" s="8" t="str">
        <f>VLOOKUP(I1106,Customers[#Data],2,FALSE)</f>
        <v>ငွေလှိုင်းသံ</v>
      </c>
      <c r="K1106" s="15" t="str">
        <f>VLOOKUP(I1106,Customers[#Data],4,FALSE)</f>
        <v>Chang Sone</v>
      </c>
      <c r="L1106" s="15" t="str">
        <f>VLOOKUP(I1106,Customers[#Data],5,FALSE)</f>
        <v>Van Sales</v>
      </c>
      <c r="M1106" s="7" t="s">
        <v>6</v>
      </c>
      <c r="N1106" s="7" t="s">
        <v>519</v>
      </c>
      <c r="O1106" s="14" t="str">
        <f>VLOOKUP(N1106,Stock[#Data],2,FALSE)</f>
        <v>ဇေယျဝတီ High 43%</v>
      </c>
      <c r="P1106" s="44">
        <f>VLOOKUP(N1106,Stock[#Data],3,FALSE)</f>
        <v>0.64</v>
      </c>
      <c r="Q1106" s="3">
        <f>VLOOKUP(N1106,Stock[#Data],4,FALSE)</f>
        <v>14</v>
      </c>
      <c r="R1106" s="11"/>
      <c r="S1106" s="45">
        <f>IFERROR(Table4[[#This Row],[Bottle]]/Table4[[#This Row],[ပါဝင်မှု]]+Table4[[#This Row],[SalesPK]],0)</f>
        <v>25</v>
      </c>
      <c r="T1106" s="12">
        <v>25</v>
      </c>
      <c r="U1106" s="10">
        <f>Table4[[#This Row],[ပါဝင်မှု]]*Table4[[#This Row],[SalesPK]]+Table4[[#This Row],[Bottle]]</f>
        <v>350</v>
      </c>
      <c r="V1106" s="10">
        <f>Table4[[#This Row],[SalesBot]]*Table4[[#This Row],[ML]]</f>
        <v>224</v>
      </c>
      <c r="W1106" s="1">
        <f>VLOOKUP(N1106,Stock[#Data],6,FALSE)</f>
        <v>1500</v>
      </c>
      <c r="X1106" s="8">
        <f>+Table4[[#This Row],[SalesBot]]*Table4[[#This Row],[နှုံး]]</f>
        <v>525000</v>
      </c>
      <c r="Y1106" s="12"/>
      <c r="Z1106" s="12"/>
      <c r="AA1106" s="12"/>
      <c r="AB1106" s="9"/>
      <c r="AC1106" s="12"/>
      <c r="AD1106" s="9"/>
      <c r="AE1106" s="12"/>
      <c r="AF110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525000</v>
      </c>
      <c r="AG1106" s="24"/>
      <c r="AH1106" s="266"/>
      <c r="AI1106" s="264"/>
      <c r="AJ1106" s="264"/>
      <c r="AK1106" s="270"/>
      <c r="AL1106" s="270"/>
      <c r="AM1106" s="271"/>
      <c r="AN1106" s="272"/>
      <c r="AO1106" s="273"/>
      <c r="AP1106" s="268"/>
      <c r="AQ1106" s="268"/>
      <c r="AR1106" s="268"/>
    </row>
    <row r="1107" spans="1:44" s="16" customFormat="1" x14ac:dyDescent="0.5">
      <c r="A1107" s="3">
        <f t="shared" si="198"/>
        <v>2026</v>
      </c>
      <c r="B1107" s="8">
        <f t="shared" si="199"/>
        <v>3</v>
      </c>
      <c r="C1107" s="6">
        <v>46086</v>
      </c>
      <c r="D1107" s="15">
        <f t="shared" ca="1" si="200"/>
        <v>46097</v>
      </c>
      <c r="E1107" s="15" t="str">
        <f t="shared" ca="1" si="201"/>
        <v>0-Months</v>
      </c>
      <c r="F1107" s="8" t="str">
        <f>VLOOKUP(N1107,Stock[#Data],5,FALSE)</f>
        <v>BE</v>
      </c>
      <c r="G1107" s="82" t="s">
        <v>1656</v>
      </c>
      <c r="H1107" s="15"/>
      <c r="I1107" s="7" t="s">
        <v>592</v>
      </c>
      <c r="J1107" s="8" t="str">
        <f>VLOOKUP(I1107,Customers[#Data],2,FALSE)</f>
        <v>မင်းထွန်းသိန်း</v>
      </c>
      <c r="K1107" s="15" t="str">
        <f>VLOOKUP(I1107,Customers[#Data],4,FALSE)</f>
        <v>Chang Sone</v>
      </c>
      <c r="L1107" s="15" t="str">
        <f>VLOOKUP(I1107,Customers[#Data],5,FALSE)</f>
        <v>Van Sales</v>
      </c>
      <c r="M1107" s="7" t="s">
        <v>6</v>
      </c>
      <c r="N1107" s="7" t="s">
        <v>519</v>
      </c>
      <c r="O1107" s="14" t="str">
        <f>VLOOKUP(N1107,Stock[#Data],2,FALSE)</f>
        <v>ဇေယျဝတီ High 43%</v>
      </c>
      <c r="P1107" s="44">
        <f>VLOOKUP(N1107,Stock[#Data],3,FALSE)</f>
        <v>0.64</v>
      </c>
      <c r="Q1107" s="3">
        <f>VLOOKUP(N1107,Stock[#Data],4,FALSE)</f>
        <v>14</v>
      </c>
      <c r="R1107" s="11"/>
      <c r="S1107" s="45">
        <f>IFERROR(Table4[[#This Row],[Bottle]]/Table4[[#This Row],[ပါဝင်မှု]]+Table4[[#This Row],[SalesPK]],0)</f>
        <v>25</v>
      </c>
      <c r="T1107" s="12">
        <v>25</v>
      </c>
      <c r="U1107" s="10">
        <f>Table4[[#This Row],[ပါဝင်မှု]]*Table4[[#This Row],[SalesPK]]+Table4[[#This Row],[Bottle]]</f>
        <v>350</v>
      </c>
      <c r="V1107" s="10">
        <f>Table4[[#This Row],[SalesBot]]*Table4[[#This Row],[ML]]</f>
        <v>224</v>
      </c>
      <c r="W1107" s="1">
        <f>VLOOKUP(N1107,Stock[#Data],6,FALSE)</f>
        <v>1500</v>
      </c>
      <c r="X1107" s="8">
        <f>+Table4[[#This Row],[SalesBot]]*Table4[[#This Row],[နှုံး]]</f>
        <v>525000</v>
      </c>
      <c r="Y1107" s="12"/>
      <c r="Z1107" s="12"/>
      <c r="AA1107" s="12"/>
      <c r="AB1107" s="9"/>
      <c r="AC1107" s="12"/>
      <c r="AD1107" s="9"/>
      <c r="AE1107" s="12"/>
      <c r="AF110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525000</v>
      </c>
      <c r="AG1107" s="24"/>
      <c r="AH1107" s="266"/>
      <c r="AI1107" s="264"/>
      <c r="AJ1107" s="264"/>
      <c r="AK1107" s="270"/>
      <c r="AL1107" s="270"/>
      <c r="AM1107" s="271"/>
      <c r="AN1107" s="272"/>
      <c r="AO1107" s="273"/>
      <c r="AP1107" s="268"/>
      <c r="AQ1107" s="268"/>
      <c r="AR1107" s="268"/>
    </row>
    <row r="1108" spans="1:44" s="16" customFormat="1" x14ac:dyDescent="0.5">
      <c r="A1108" s="3">
        <f t="shared" si="198"/>
        <v>2026</v>
      </c>
      <c r="B1108" s="8">
        <f t="shared" si="199"/>
        <v>3</v>
      </c>
      <c r="C1108" s="6">
        <v>46086</v>
      </c>
      <c r="D1108" s="15">
        <f t="shared" ca="1" si="200"/>
        <v>46097</v>
      </c>
      <c r="E1108" s="15" t="str">
        <f t="shared" ca="1" si="201"/>
        <v>0-Months</v>
      </c>
      <c r="F1108" s="8" t="str">
        <f>VLOOKUP(N1108,Stock[#Data],5,FALSE)</f>
        <v>BE</v>
      </c>
      <c r="G1108" s="82" t="s">
        <v>1657</v>
      </c>
      <c r="H1108" s="15"/>
      <c r="I1108" s="7" t="s">
        <v>567</v>
      </c>
      <c r="J1108" s="8" t="str">
        <f>VLOOKUP(I1108,Customers[#Data],2,FALSE)</f>
        <v>အမိရင်ခွင်</v>
      </c>
      <c r="K1108" s="15" t="str">
        <f>VLOOKUP(I1108,Customers[#Data],4,FALSE)</f>
        <v>Chang Sone</v>
      </c>
      <c r="L1108" s="15" t="str">
        <f>VLOOKUP(I1108,Customers[#Data],5,FALSE)</f>
        <v>Van Sales</v>
      </c>
      <c r="M1108" s="7" t="s">
        <v>6</v>
      </c>
      <c r="N1108" s="7" t="s">
        <v>519</v>
      </c>
      <c r="O1108" s="14" t="str">
        <f>VLOOKUP(N1108,Stock[#Data],2,FALSE)</f>
        <v>ဇေယျဝတီ High 43%</v>
      </c>
      <c r="P1108" s="44">
        <f>VLOOKUP(N1108,Stock[#Data],3,FALSE)</f>
        <v>0.64</v>
      </c>
      <c r="Q1108" s="3">
        <f>VLOOKUP(N1108,Stock[#Data],4,FALSE)</f>
        <v>14</v>
      </c>
      <c r="R1108" s="11"/>
      <c r="S1108" s="45">
        <f>IFERROR(Table4[[#This Row],[Bottle]]/Table4[[#This Row],[ပါဝင်မှု]]+Table4[[#This Row],[SalesPK]],0)</f>
        <v>15</v>
      </c>
      <c r="T1108" s="12">
        <v>15</v>
      </c>
      <c r="U1108" s="10">
        <f>Table4[[#This Row],[ပါဝင်မှု]]*Table4[[#This Row],[SalesPK]]+Table4[[#This Row],[Bottle]]</f>
        <v>210</v>
      </c>
      <c r="V1108" s="10">
        <f>Table4[[#This Row],[SalesBot]]*Table4[[#This Row],[ML]]</f>
        <v>134.4</v>
      </c>
      <c r="W1108" s="1">
        <f>VLOOKUP(N1108,Stock[#Data],6,FALSE)</f>
        <v>1500</v>
      </c>
      <c r="X1108" s="8">
        <f>+Table4[[#This Row],[SalesBot]]*Table4[[#This Row],[နှုံး]]</f>
        <v>315000</v>
      </c>
      <c r="Y1108" s="12"/>
      <c r="Z1108" s="12"/>
      <c r="AA1108" s="12"/>
      <c r="AB1108" s="9"/>
      <c r="AC1108" s="12"/>
      <c r="AD1108" s="9"/>
      <c r="AE1108" s="12"/>
      <c r="AF110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315000</v>
      </c>
      <c r="AG1108" s="24"/>
      <c r="AH1108" s="266"/>
      <c r="AI1108" s="264"/>
      <c r="AJ1108" s="264"/>
      <c r="AK1108" s="270"/>
      <c r="AL1108" s="270"/>
      <c r="AM1108" s="271"/>
      <c r="AN1108" s="272"/>
      <c r="AO1108" s="273"/>
      <c r="AP1108" s="268"/>
      <c r="AQ1108" s="268"/>
      <c r="AR1108" s="268"/>
    </row>
    <row r="1109" spans="1:44" s="16" customFormat="1" x14ac:dyDescent="0.5">
      <c r="A1109" s="3">
        <f t="shared" si="198"/>
        <v>2026</v>
      </c>
      <c r="B1109" s="8">
        <f t="shared" si="199"/>
        <v>3</v>
      </c>
      <c r="C1109" s="6">
        <v>46086</v>
      </c>
      <c r="D1109" s="15">
        <f t="shared" ca="1" si="200"/>
        <v>46097</v>
      </c>
      <c r="E1109" s="15" t="str">
        <f t="shared" ca="1" si="201"/>
        <v>0-Months</v>
      </c>
      <c r="F1109" s="8" t="str">
        <f>VLOOKUP(N1109,Stock[#Data],5,FALSE)</f>
        <v>BE</v>
      </c>
      <c r="G1109" s="82" t="s">
        <v>1658</v>
      </c>
      <c r="H1109" s="15"/>
      <c r="I1109" s="7" t="s">
        <v>1579</v>
      </c>
      <c r="J1109" s="8" t="str">
        <f>VLOOKUP(I1109,Customers[#Data],2,FALSE)</f>
        <v>AAK</v>
      </c>
      <c r="K1109" s="15" t="str">
        <f>VLOOKUP(I1109,Customers[#Data],4,FALSE)</f>
        <v>Maw La Myaing</v>
      </c>
      <c r="L1109" s="15" t="str">
        <f>VLOOKUP(I1109,Customers[#Data],5,FALSE)</f>
        <v>Van Sales</v>
      </c>
      <c r="M1109" s="7" t="s">
        <v>6</v>
      </c>
      <c r="N1109" s="7" t="s">
        <v>518</v>
      </c>
      <c r="O1109" s="14" t="str">
        <f>VLOOKUP(N1109,Stock[#Data],2,FALSE)</f>
        <v>"ဇေ" ကော်ဘူး (1 Liter)</v>
      </c>
      <c r="P1109" s="44">
        <f>VLOOKUP(N1109,Stock[#Data],3,FALSE)</f>
        <v>1</v>
      </c>
      <c r="Q1109" s="3">
        <f>VLOOKUP(N1109,Stock[#Data],4,FALSE)</f>
        <v>12</v>
      </c>
      <c r="R1109" s="11"/>
      <c r="S1109" s="45">
        <f>IFERROR(Table4[[#This Row],[Bottle]]/Table4[[#This Row],[ပါဝင်မှု]]+Table4[[#This Row],[SalesPK]],0)</f>
        <v>2</v>
      </c>
      <c r="T1109" s="12">
        <v>2</v>
      </c>
      <c r="U1109" s="10">
        <f>Table4[[#This Row],[ပါဝင်မှု]]*Table4[[#This Row],[SalesPK]]+Table4[[#This Row],[Bottle]]</f>
        <v>24</v>
      </c>
      <c r="V1109" s="10">
        <f>Table4[[#This Row],[SalesBot]]*Table4[[#This Row],[ML]]</f>
        <v>24</v>
      </c>
      <c r="W1109" s="1">
        <f>VLOOKUP(N1109,Stock[#Data],6,FALSE)</f>
        <v>1675</v>
      </c>
      <c r="X1109" s="8">
        <f>+Table4[[#This Row],[SalesBot]]*Table4[[#This Row],[နှုံး]]</f>
        <v>40200</v>
      </c>
      <c r="Y1109" s="12"/>
      <c r="Z1109" s="12"/>
      <c r="AA1109" s="12"/>
      <c r="AB1109" s="9"/>
      <c r="AC1109" s="12"/>
      <c r="AD1109" s="9"/>
      <c r="AE1109" s="12"/>
      <c r="AF110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40200</v>
      </c>
      <c r="AG1109" s="24"/>
      <c r="AH1109" s="266"/>
      <c r="AI1109" s="264"/>
      <c r="AJ1109" s="264"/>
      <c r="AK1109" s="270"/>
      <c r="AL1109" s="270"/>
      <c r="AM1109" s="271"/>
      <c r="AN1109" s="272"/>
      <c r="AO1109" s="273"/>
      <c r="AP1109" s="268"/>
      <c r="AQ1109" s="268"/>
      <c r="AR1109" s="268"/>
    </row>
    <row r="1110" spans="1:44" s="16" customFormat="1" x14ac:dyDescent="0.5">
      <c r="A1110" s="3">
        <f t="shared" si="198"/>
        <v>2026</v>
      </c>
      <c r="B1110" s="8">
        <f t="shared" si="199"/>
        <v>3</v>
      </c>
      <c r="C1110" s="6">
        <v>46086</v>
      </c>
      <c r="D1110" s="15">
        <f t="shared" ca="1" si="200"/>
        <v>46097</v>
      </c>
      <c r="E1110" s="15" t="str">
        <f t="shared" ca="1" si="201"/>
        <v>0-Months</v>
      </c>
      <c r="F1110" s="8" t="str">
        <f>VLOOKUP(N1110,Stock[#Data],5,FALSE)</f>
        <v>BE</v>
      </c>
      <c r="G1110" s="82" t="s">
        <v>1659</v>
      </c>
      <c r="H1110" s="15"/>
      <c r="I1110" s="7" t="s">
        <v>79</v>
      </c>
      <c r="J1110" s="8" t="str">
        <f>VLOOKUP(I1110,Customers[#Data],2,FALSE)</f>
        <v>My-2</v>
      </c>
      <c r="K1110" s="15" t="str">
        <f>VLOOKUP(I1110,Customers[#Data],4,FALSE)</f>
        <v>Maw La Myaing</v>
      </c>
      <c r="L1110" s="15" t="str">
        <f>VLOOKUP(I1110,Customers[#Data],5,FALSE)</f>
        <v>Van Sales</v>
      </c>
      <c r="M1110" s="7" t="s">
        <v>6</v>
      </c>
      <c r="N1110" s="7" t="s">
        <v>518</v>
      </c>
      <c r="O1110" s="14" t="str">
        <f>VLOOKUP(N1110,Stock[#Data],2,FALSE)</f>
        <v>"ဇေ" ကော်ဘူး (1 Liter)</v>
      </c>
      <c r="P1110" s="44">
        <f>VLOOKUP(N1110,Stock[#Data],3,FALSE)</f>
        <v>1</v>
      </c>
      <c r="Q1110" s="3">
        <f>VLOOKUP(N1110,Stock[#Data],4,FALSE)</f>
        <v>12</v>
      </c>
      <c r="R1110" s="11"/>
      <c r="S1110" s="45">
        <f>IFERROR(Table4[[#This Row],[Bottle]]/Table4[[#This Row],[ပါဝင်မှု]]+Table4[[#This Row],[SalesPK]],0)</f>
        <v>10</v>
      </c>
      <c r="T1110" s="12">
        <v>10</v>
      </c>
      <c r="U1110" s="10">
        <f>Table4[[#This Row],[ပါဝင်မှု]]*Table4[[#This Row],[SalesPK]]+Table4[[#This Row],[Bottle]]</f>
        <v>120</v>
      </c>
      <c r="V1110" s="10">
        <f>Table4[[#This Row],[SalesBot]]*Table4[[#This Row],[ML]]</f>
        <v>120</v>
      </c>
      <c r="W1110" s="1">
        <f>VLOOKUP(N1110,Stock[#Data],6,FALSE)</f>
        <v>1675</v>
      </c>
      <c r="X1110" s="8">
        <f>+Table4[[#This Row],[SalesBot]]*Table4[[#This Row],[နှုံး]]</f>
        <v>201000</v>
      </c>
      <c r="Y1110" s="12"/>
      <c r="Z1110" s="12"/>
      <c r="AA1110" s="12"/>
      <c r="AB1110" s="9"/>
      <c r="AC1110" s="12"/>
      <c r="AD1110" s="9"/>
      <c r="AE1110" s="12"/>
      <c r="AF111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201000</v>
      </c>
      <c r="AG1110" s="24"/>
      <c r="AH1110" s="266"/>
      <c r="AI1110" s="264"/>
      <c r="AJ1110" s="264"/>
      <c r="AK1110" s="270"/>
      <c r="AL1110" s="270"/>
      <c r="AM1110" s="271"/>
      <c r="AN1110" s="272"/>
      <c r="AO1110" s="273"/>
      <c r="AP1110" s="268"/>
      <c r="AQ1110" s="268"/>
      <c r="AR1110" s="268"/>
    </row>
    <row r="1111" spans="1:44" s="16" customFormat="1" x14ac:dyDescent="0.5">
      <c r="A1111" s="3">
        <f t="shared" ref="A1111:A1142" si="202">YEAR(C1111)</f>
        <v>2026</v>
      </c>
      <c r="B1111" s="8">
        <f t="shared" ref="B1111:B1142" si="203">MONTH(C1111)</f>
        <v>3</v>
      </c>
      <c r="C1111" s="6">
        <v>46086</v>
      </c>
      <c r="D1111" s="15">
        <f t="shared" ref="D1111:D1142" ca="1" si="204">TODAY()</f>
        <v>46097</v>
      </c>
      <c r="E1111" s="15" t="str">
        <f t="shared" ref="E1111:E1142" ca="1" si="205">DATEDIF(C1111,D1111,"M")&amp;"-Months"</f>
        <v>0-Months</v>
      </c>
      <c r="F1111" s="8" t="str">
        <f>VLOOKUP(N1111,Stock[#Data],5,FALSE)</f>
        <v>BE</v>
      </c>
      <c r="G1111" s="82" t="s">
        <v>1660</v>
      </c>
      <c r="H1111" s="15"/>
      <c r="I1111" s="7" t="s">
        <v>1384</v>
      </c>
      <c r="J1111" s="8" t="str">
        <f>VLOOKUP(I1111,Customers[#Data],2,FALSE)</f>
        <v>မာလာမြို်င</v>
      </c>
      <c r="K1111" s="15" t="str">
        <f>VLOOKUP(I1111,Customers[#Data],4,FALSE)</f>
        <v>Maw La Myaing</v>
      </c>
      <c r="L1111" s="15" t="str">
        <f>VLOOKUP(I1111,Customers[#Data],5,FALSE)</f>
        <v>Van Sales</v>
      </c>
      <c r="M1111" s="7" t="s">
        <v>6</v>
      </c>
      <c r="N1111" s="7" t="s">
        <v>522</v>
      </c>
      <c r="O1111" s="14" t="str">
        <f>VLOOKUP(N1111,Stock[#Data],2,FALSE)</f>
        <v>ဒဂုံမန်ကျည်း ကော်ဘူး (1 Liter)</v>
      </c>
      <c r="P1111" s="44">
        <f>VLOOKUP(N1111,Stock[#Data],3,FALSE)</f>
        <v>1</v>
      </c>
      <c r="Q1111" s="3">
        <f>VLOOKUP(N1111,Stock[#Data],4,FALSE)</f>
        <v>12</v>
      </c>
      <c r="R1111" s="11"/>
      <c r="S1111" s="45">
        <f>IFERROR(Table4[[#This Row],[Bottle]]/Table4[[#This Row],[ပါဝင်မှု]]+Table4[[#This Row],[SalesPK]],0)</f>
        <v>1</v>
      </c>
      <c r="T1111" s="12">
        <v>1</v>
      </c>
      <c r="U1111" s="10">
        <f>Table4[[#This Row],[ပါဝင်မှု]]*Table4[[#This Row],[SalesPK]]+Table4[[#This Row],[Bottle]]</f>
        <v>12</v>
      </c>
      <c r="V1111" s="10">
        <f>Table4[[#This Row],[SalesBot]]*Table4[[#This Row],[ML]]</f>
        <v>12</v>
      </c>
      <c r="W1111" s="1">
        <f>VLOOKUP(N1111,Stock[#Data],6,FALSE)</f>
        <v>1600</v>
      </c>
      <c r="X1111" s="8">
        <f>+Table4[[#This Row],[SalesBot]]*Table4[[#This Row],[နှုံး]]</f>
        <v>19200</v>
      </c>
      <c r="Y1111" s="12"/>
      <c r="Z1111" s="12"/>
      <c r="AA1111" s="12"/>
      <c r="AB1111" s="9"/>
      <c r="AC1111" s="12"/>
      <c r="AD1111" s="9"/>
      <c r="AE1111" s="12"/>
      <c r="AF111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111" s="24"/>
      <c r="AH1111" s="266"/>
      <c r="AI1111" s="264"/>
      <c r="AJ1111" s="264"/>
      <c r="AK1111" s="270"/>
      <c r="AL1111" s="270"/>
      <c r="AM1111" s="271"/>
      <c r="AN1111" s="272"/>
      <c r="AO1111" s="273"/>
      <c r="AP1111" s="268"/>
      <c r="AQ1111" s="268"/>
      <c r="AR1111" s="268"/>
    </row>
    <row r="1112" spans="1:44" s="16" customFormat="1" x14ac:dyDescent="0.5">
      <c r="A1112" s="3">
        <f t="shared" si="202"/>
        <v>2026</v>
      </c>
      <c r="B1112" s="8">
        <f t="shared" si="203"/>
        <v>3</v>
      </c>
      <c r="C1112" s="6">
        <v>46086</v>
      </c>
      <c r="D1112" s="15">
        <f t="shared" ca="1" si="204"/>
        <v>46097</v>
      </c>
      <c r="E1112" s="15" t="str">
        <f t="shared" ca="1" si="205"/>
        <v>0-Months</v>
      </c>
      <c r="F1112" s="8" t="str">
        <f>VLOOKUP(N1112,Stock[#Data],5,FALSE)</f>
        <v>BE</v>
      </c>
      <c r="G1112" s="82" t="s">
        <v>1661</v>
      </c>
      <c r="H1112" s="15"/>
      <c r="I1112" s="7" t="s">
        <v>1176</v>
      </c>
      <c r="J1112" s="8" t="str">
        <f>VLOOKUP(I1112,Customers[#Data],2,FALSE)</f>
        <v>သားကြီး</v>
      </c>
      <c r="K1112" s="15" t="str">
        <f>VLOOKUP(I1112,Customers[#Data],4,FALSE)</f>
        <v>Maw La Myaing</v>
      </c>
      <c r="L1112" s="15" t="str">
        <f>VLOOKUP(I1112,Customers[#Data],5,FALSE)</f>
        <v>Van Sales</v>
      </c>
      <c r="M1112" s="7" t="s">
        <v>6</v>
      </c>
      <c r="N1112" s="7" t="s">
        <v>522</v>
      </c>
      <c r="O1112" s="14" t="str">
        <f>VLOOKUP(N1112,Stock[#Data],2,FALSE)</f>
        <v>ဒဂုံမန်ကျည်း ကော်ဘူး (1 Liter)</v>
      </c>
      <c r="P1112" s="44">
        <f>VLOOKUP(N1112,Stock[#Data],3,FALSE)</f>
        <v>1</v>
      </c>
      <c r="Q1112" s="3">
        <f>VLOOKUP(N1112,Stock[#Data],4,FALSE)</f>
        <v>12</v>
      </c>
      <c r="R1112" s="11"/>
      <c r="S1112" s="45">
        <f>IFERROR(Table4[[#This Row],[Bottle]]/Table4[[#This Row],[ပါဝင်မှု]]+Table4[[#This Row],[SalesPK]],0)</f>
        <v>3</v>
      </c>
      <c r="T1112" s="12">
        <v>3</v>
      </c>
      <c r="U1112" s="10">
        <f>Table4[[#This Row],[ပါဝင်မှု]]*Table4[[#This Row],[SalesPK]]+Table4[[#This Row],[Bottle]]</f>
        <v>36</v>
      </c>
      <c r="V1112" s="10">
        <f>Table4[[#This Row],[SalesBot]]*Table4[[#This Row],[ML]]</f>
        <v>36</v>
      </c>
      <c r="W1112" s="1">
        <f>VLOOKUP(N1112,Stock[#Data],6,FALSE)</f>
        <v>1600</v>
      </c>
      <c r="X1112" s="8">
        <f>+Table4[[#This Row],[SalesBot]]*Table4[[#This Row],[နှုံး]]</f>
        <v>57600</v>
      </c>
      <c r="Y1112" s="12"/>
      <c r="Z1112" s="12"/>
      <c r="AA1112" s="12"/>
      <c r="AB1112" s="9"/>
      <c r="AC1112" s="12"/>
      <c r="AD1112" s="9"/>
      <c r="AE1112" s="12"/>
      <c r="AF111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57600</v>
      </c>
      <c r="AG1112" s="24"/>
      <c r="AH1112" s="266"/>
      <c r="AI1112" s="264"/>
      <c r="AJ1112" s="264"/>
      <c r="AK1112" s="270"/>
      <c r="AL1112" s="270"/>
      <c r="AM1112" s="271"/>
      <c r="AN1112" s="272"/>
      <c r="AO1112" s="273"/>
      <c r="AP1112" s="268"/>
      <c r="AQ1112" s="268"/>
      <c r="AR1112" s="268"/>
    </row>
    <row r="1113" spans="1:44" s="16" customFormat="1" x14ac:dyDescent="0.5">
      <c r="A1113" s="3">
        <f t="shared" si="202"/>
        <v>2026</v>
      </c>
      <c r="B1113" s="8">
        <f t="shared" si="203"/>
        <v>3</v>
      </c>
      <c r="C1113" s="6">
        <v>46086</v>
      </c>
      <c r="D1113" s="15">
        <f t="shared" ca="1" si="204"/>
        <v>46097</v>
      </c>
      <c r="E1113" s="15" t="str">
        <f t="shared" ca="1" si="205"/>
        <v>0-Months</v>
      </c>
      <c r="F1113" s="8" t="str">
        <f>VLOOKUP(N1113,Stock[#Data],5,FALSE)</f>
        <v>BE</v>
      </c>
      <c r="G1113" s="82" t="s">
        <v>1662</v>
      </c>
      <c r="H1113" s="15"/>
      <c r="I1113" s="7" t="s">
        <v>588</v>
      </c>
      <c r="J1113" s="8" t="str">
        <f>VLOOKUP(I1113,Customers[#Data],2,FALSE)</f>
        <v>ပြုံးပန်း‌ေ</v>
      </c>
      <c r="K1113" s="15" t="str">
        <f>VLOOKUP(I1113,Customers[#Data],4,FALSE)</f>
        <v>Maw La Myaing</v>
      </c>
      <c r="L1113" s="15" t="str">
        <f>VLOOKUP(I1113,Customers[#Data],5,FALSE)</f>
        <v>Van Sales</v>
      </c>
      <c r="M1113" s="7" t="s">
        <v>6</v>
      </c>
      <c r="N1113" s="7" t="s">
        <v>522</v>
      </c>
      <c r="O1113" s="14" t="str">
        <f>VLOOKUP(N1113,Stock[#Data],2,FALSE)</f>
        <v>ဒဂုံမန်ကျည်း ကော်ဘူး (1 Liter)</v>
      </c>
      <c r="P1113" s="44">
        <f>VLOOKUP(N1113,Stock[#Data],3,FALSE)</f>
        <v>1</v>
      </c>
      <c r="Q1113" s="3">
        <f>VLOOKUP(N1113,Stock[#Data],4,FALSE)</f>
        <v>12</v>
      </c>
      <c r="R1113" s="11"/>
      <c r="S1113" s="45">
        <f>IFERROR(Table4[[#This Row],[Bottle]]/Table4[[#This Row],[ပါဝင်မှု]]+Table4[[#This Row],[SalesPK]],0)</f>
        <v>2</v>
      </c>
      <c r="T1113" s="12">
        <v>2</v>
      </c>
      <c r="U1113" s="10">
        <f>Table4[[#This Row],[ပါဝင်မှု]]*Table4[[#This Row],[SalesPK]]+Table4[[#This Row],[Bottle]]</f>
        <v>24</v>
      </c>
      <c r="V1113" s="10">
        <f>Table4[[#This Row],[SalesBot]]*Table4[[#This Row],[ML]]</f>
        <v>24</v>
      </c>
      <c r="W1113" s="1">
        <f>VLOOKUP(N1113,Stock[#Data],6,FALSE)</f>
        <v>1600</v>
      </c>
      <c r="X1113" s="8">
        <f>+Table4[[#This Row],[SalesBot]]*Table4[[#This Row],[နှုံး]]</f>
        <v>38400</v>
      </c>
      <c r="Y1113" s="12"/>
      <c r="Z1113" s="12"/>
      <c r="AA1113" s="12"/>
      <c r="AB1113" s="9"/>
      <c r="AC1113" s="12"/>
      <c r="AD1113" s="9"/>
      <c r="AE1113" s="12"/>
      <c r="AF111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38400</v>
      </c>
      <c r="AG1113" s="24"/>
      <c r="AH1113" s="266"/>
      <c r="AI1113" s="264"/>
      <c r="AJ1113" s="264"/>
      <c r="AK1113" s="270"/>
      <c r="AL1113" s="270"/>
      <c r="AM1113" s="271"/>
      <c r="AN1113" s="272"/>
      <c r="AO1113" s="273"/>
      <c r="AP1113" s="268"/>
      <c r="AQ1113" s="268"/>
      <c r="AR1113" s="268"/>
    </row>
    <row r="1114" spans="1:44" s="16" customFormat="1" x14ac:dyDescent="0.5">
      <c r="A1114" s="3">
        <f t="shared" si="202"/>
        <v>2026</v>
      </c>
      <c r="B1114" s="8">
        <f t="shared" si="203"/>
        <v>3</v>
      </c>
      <c r="C1114" s="6">
        <v>46087</v>
      </c>
      <c r="D1114" s="15">
        <f t="shared" ca="1" si="204"/>
        <v>46097</v>
      </c>
      <c r="E1114" s="15" t="str">
        <f t="shared" ca="1" si="205"/>
        <v>0-Months</v>
      </c>
      <c r="F1114" s="8" t="str">
        <f>VLOOKUP(N1114,Stock[#Data],5,FALSE)</f>
        <v>BE</v>
      </c>
      <c r="G1114" s="82" t="s">
        <v>1663</v>
      </c>
      <c r="H1114" s="15"/>
      <c r="I1114" s="7" t="s">
        <v>187</v>
      </c>
      <c r="J1114" s="8" t="str">
        <f>VLOOKUP(I1114,Customers[#Data],2,FALSE)</f>
        <v>ဦးအေးမြင့်</v>
      </c>
      <c r="K1114" s="15" t="str">
        <f>VLOOKUP(I1114,Customers[#Data],4,FALSE)</f>
        <v>Thein Zayet</v>
      </c>
      <c r="L1114" s="15" t="str">
        <f>VLOOKUP(I1114,Customers[#Data],5,FALSE)</f>
        <v>SemiWholeSales</v>
      </c>
      <c r="M1114" s="7" t="s">
        <v>6</v>
      </c>
      <c r="N1114" s="7" t="s">
        <v>514</v>
      </c>
      <c r="O1114" s="14" t="str">
        <f>VLOOKUP(N1114,Stock[#Data],2,FALSE)</f>
        <v>ဇေယျဝတီ Red</v>
      </c>
      <c r="P1114" s="44">
        <f>VLOOKUP(N1114,Stock[#Data],3,FALSE)</f>
        <v>0.64</v>
      </c>
      <c r="Q1114" s="3">
        <f>VLOOKUP(N1114,Stock[#Data],4,FALSE)</f>
        <v>14</v>
      </c>
      <c r="R1114" s="11"/>
      <c r="S1114" s="45">
        <f>IFERROR(Table4[[#This Row],[Bottle]]/Table4[[#This Row],[ပါဝင်မှု]]+Table4[[#This Row],[SalesPK]],0)</f>
        <v>200</v>
      </c>
      <c r="T1114" s="12">
        <v>200</v>
      </c>
      <c r="U1114" s="10">
        <f>Table4[[#This Row],[ပါဝင်မှု]]*Table4[[#This Row],[SalesPK]]+Table4[[#This Row],[Bottle]]</f>
        <v>2800</v>
      </c>
      <c r="V1114" s="10">
        <f>Table4[[#This Row],[SalesBot]]*Table4[[#This Row],[ML]]</f>
        <v>1792</v>
      </c>
      <c r="W1114" s="1">
        <f>VLOOKUP(N1114,Stock[#Data],6,FALSE)</f>
        <v>1350</v>
      </c>
      <c r="X1114" s="8">
        <f>+Table4[[#This Row],[SalesBot]]*Table4[[#This Row],[နှုံး]]</f>
        <v>3780000</v>
      </c>
      <c r="Y1114" s="12"/>
      <c r="Z1114" s="12"/>
      <c r="AA1114" s="12"/>
      <c r="AB1114" s="9"/>
      <c r="AC1114" s="12"/>
      <c r="AD1114" s="9"/>
      <c r="AE1114" s="12"/>
      <c r="AF111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3780000</v>
      </c>
      <c r="AG1114" s="24"/>
      <c r="AH1114" s="266"/>
      <c r="AI1114" s="264"/>
      <c r="AJ1114" s="264"/>
      <c r="AK1114" s="270"/>
      <c r="AL1114" s="270"/>
      <c r="AM1114" s="271"/>
      <c r="AN1114" s="272"/>
      <c r="AO1114" s="273"/>
      <c r="AP1114" s="268"/>
      <c r="AQ1114" s="268"/>
      <c r="AR1114" s="268"/>
    </row>
    <row r="1115" spans="1:44" s="16" customFormat="1" x14ac:dyDescent="0.5">
      <c r="A1115" s="3">
        <f t="shared" si="202"/>
        <v>2026</v>
      </c>
      <c r="B1115" s="8">
        <f t="shared" si="203"/>
        <v>3</v>
      </c>
      <c r="C1115" s="6">
        <v>46087</v>
      </c>
      <c r="D1115" s="15">
        <f t="shared" ca="1" si="204"/>
        <v>46097</v>
      </c>
      <c r="E1115" s="15" t="str">
        <f t="shared" ca="1" si="205"/>
        <v>0-Months</v>
      </c>
      <c r="F1115" s="8" t="str">
        <f>VLOOKUP(N1115,Stock[#Data],5,FALSE)</f>
        <v>BE</v>
      </c>
      <c r="G1115" s="82" t="s">
        <v>1663</v>
      </c>
      <c r="H1115" s="15"/>
      <c r="I1115" s="7" t="s">
        <v>187</v>
      </c>
      <c r="J1115" s="8" t="str">
        <f>VLOOKUP(I1115,Customers[#Data],2,FALSE)</f>
        <v>ဦးအေးမြင့်</v>
      </c>
      <c r="K1115" s="15" t="str">
        <f>VLOOKUP(I1115,Customers[#Data],4,FALSE)</f>
        <v>Thein Zayet</v>
      </c>
      <c r="L1115" s="15" t="str">
        <f>VLOOKUP(I1115,Customers[#Data],5,FALSE)</f>
        <v>SemiWholeSales</v>
      </c>
      <c r="M1115" s="7" t="s">
        <v>6</v>
      </c>
      <c r="N1115" s="7" t="s">
        <v>517</v>
      </c>
      <c r="O1115" s="14" t="str">
        <f>VLOOKUP(N1115,Stock[#Data],2,FALSE)</f>
        <v>ဇေယျဝတီ Red (1 Liter) 30%</v>
      </c>
      <c r="P1115" s="44">
        <f>VLOOKUP(N1115,Stock[#Data],3,FALSE)</f>
        <v>1</v>
      </c>
      <c r="Q1115" s="3">
        <f>VLOOKUP(N1115,Stock[#Data],4,FALSE)</f>
        <v>12</v>
      </c>
      <c r="R1115" s="11"/>
      <c r="S1115" s="45">
        <f>IFERROR(Table4[[#This Row],[Bottle]]/Table4[[#This Row],[ပါဝင်မှု]]+Table4[[#This Row],[SalesPK]],0)</f>
        <v>30</v>
      </c>
      <c r="T1115" s="12">
        <v>30</v>
      </c>
      <c r="U1115" s="10">
        <f>Table4[[#This Row],[ပါဝင်မှု]]*Table4[[#This Row],[SalesPK]]+Table4[[#This Row],[Bottle]]</f>
        <v>360</v>
      </c>
      <c r="V1115" s="10">
        <f>Table4[[#This Row],[SalesBot]]*Table4[[#This Row],[ML]]</f>
        <v>360</v>
      </c>
      <c r="W1115" s="1">
        <f>VLOOKUP(N1115,Stock[#Data],6,FALSE)</f>
        <v>1710</v>
      </c>
      <c r="X1115" s="8">
        <f>+Table4[[#This Row],[SalesBot]]*Table4[[#This Row],[နှုံး]]</f>
        <v>615600</v>
      </c>
      <c r="Y1115" s="12"/>
      <c r="Z1115" s="12"/>
      <c r="AA1115" s="12"/>
      <c r="AB1115" s="9"/>
      <c r="AC1115" s="12"/>
      <c r="AD1115" s="9"/>
      <c r="AE1115" s="12"/>
      <c r="AF111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615600</v>
      </c>
      <c r="AG1115" s="24"/>
      <c r="AH1115" s="266"/>
      <c r="AI1115" s="264"/>
      <c r="AJ1115" s="264"/>
      <c r="AK1115" s="270"/>
      <c r="AL1115" s="270"/>
      <c r="AM1115" s="271"/>
      <c r="AN1115" s="272"/>
      <c r="AO1115" s="273"/>
      <c r="AP1115" s="268"/>
      <c r="AQ1115" s="268"/>
      <c r="AR1115" s="268"/>
    </row>
    <row r="1116" spans="1:44" s="16" customFormat="1" x14ac:dyDescent="0.5">
      <c r="A1116" s="3">
        <f t="shared" si="202"/>
        <v>2026</v>
      </c>
      <c r="B1116" s="8">
        <f t="shared" si="203"/>
        <v>3</v>
      </c>
      <c r="C1116" s="6">
        <v>46087</v>
      </c>
      <c r="D1116" s="15">
        <f t="shared" ca="1" si="204"/>
        <v>46097</v>
      </c>
      <c r="E1116" s="15" t="str">
        <f t="shared" ca="1" si="205"/>
        <v>0-Months</v>
      </c>
      <c r="F1116" s="8" t="str">
        <f>VLOOKUP(N1116,Stock[#Data],5,FALSE)</f>
        <v>BE</v>
      </c>
      <c r="G1116" s="82" t="s">
        <v>1664</v>
      </c>
      <c r="H1116" s="15"/>
      <c r="I1116" s="7" t="s">
        <v>485</v>
      </c>
      <c r="J1116" s="8" t="str">
        <f>VLOOKUP(I1116,Customers[#Data],2,FALSE)</f>
        <v>ဇာနည်လွင်</v>
      </c>
      <c r="K1116" s="15" t="str">
        <f>VLOOKUP(I1116,Customers[#Data],4,FALSE)</f>
        <v>Maw La Myaing</v>
      </c>
      <c r="L1116" s="15" t="str">
        <f>VLOOKUP(I1116,Customers[#Data],5,FALSE)</f>
        <v>Van Sales</v>
      </c>
      <c r="M1116" s="7" t="s">
        <v>6</v>
      </c>
      <c r="N1116" s="7" t="s">
        <v>516</v>
      </c>
      <c r="O1116" s="14" t="str">
        <f>VLOOKUP(N1116,Stock[#Data],2,FALSE)</f>
        <v>ဇေ Vodka</v>
      </c>
      <c r="P1116" s="44">
        <f>VLOOKUP(N1116,Stock[#Data],3,FALSE)</f>
        <v>0.64</v>
      </c>
      <c r="Q1116" s="3">
        <f>VLOOKUP(N1116,Stock[#Data],4,FALSE)</f>
        <v>14</v>
      </c>
      <c r="R1116" s="11"/>
      <c r="S1116" s="45">
        <f>IFERROR(Table4[[#This Row],[Bottle]]/Table4[[#This Row],[ပါဝင်မှု]]+Table4[[#This Row],[SalesPK]],0)</f>
        <v>10</v>
      </c>
      <c r="T1116" s="12">
        <v>10</v>
      </c>
      <c r="U1116" s="10">
        <f>Table4[[#This Row],[ပါဝင်မှု]]*Table4[[#This Row],[SalesPK]]+Table4[[#This Row],[Bottle]]</f>
        <v>140</v>
      </c>
      <c r="V1116" s="10">
        <f>Table4[[#This Row],[SalesBot]]*Table4[[#This Row],[ML]]</f>
        <v>89.600000000000009</v>
      </c>
      <c r="W1116" s="1">
        <f>VLOOKUP(N1116,Stock[#Data],6,FALSE)</f>
        <v>1400</v>
      </c>
      <c r="X1116" s="8">
        <f>+Table4[[#This Row],[SalesBot]]*Table4[[#This Row],[နှုံး]]</f>
        <v>196000</v>
      </c>
      <c r="Y1116" s="12"/>
      <c r="Z1116" s="12"/>
      <c r="AA1116" s="12"/>
      <c r="AB1116" s="9"/>
      <c r="AC1116" s="12"/>
      <c r="AD1116" s="9"/>
      <c r="AE1116" s="12"/>
      <c r="AF111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1116" s="24"/>
      <c r="AH1116" s="266"/>
      <c r="AI1116" s="264"/>
      <c r="AJ1116" s="264"/>
      <c r="AK1116" s="270"/>
      <c r="AL1116" s="270"/>
      <c r="AM1116" s="271"/>
      <c r="AN1116" s="272"/>
      <c r="AO1116" s="273"/>
      <c r="AP1116" s="268"/>
      <c r="AQ1116" s="268"/>
      <c r="AR1116" s="268"/>
    </row>
    <row r="1117" spans="1:44" s="16" customFormat="1" x14ac:dyDescent="0.5">
      <c r="A1117" s="3">
        <f t="shared" si="202"/>
        <v>2026</v>
      </c>
      <c r="B1117" s="8">
        <f t="shared" si="203"/>
        <v>3</v>
      </c>
      <c r="C1117" s="6">
        <v>46087</v>
      </c>
      <c r="D1117" s="15">
        <f t="shared" ca="1" si="204"/>
        <v>46097</v>
      </c>
      <c r="E1117" s="15" t="str">
        <f t="shared" ca="1" si="205"/>
        <v>0-Months</v>
      </c>
      <c r="F1117" s="8" t="str">
        <f>VLOOKUP(N1117,Stock[#Data],5,FALSE)</f>
        <v>BE</v>
      </c>
      <c r="G1117" s="82" t="s">
        <v>1665</v>
      </c>
      <c r="H1117" s="15"/>
      <c r="I1117" s="7" t="s">
        <v>108</v>
      </c>
      <c r="J1117" s="8" t="str">
        <f>VLOOKUP(I1117,Customers[#Data],2,FALSE)</f>
        <v>ကိုညီညီဆွေ</v>
      </c>
      <c r="K1117" s="15" t="str">
        <f>VLOOKUP(I1117,Customers[#Data],4,FALSE)</f>
        <v>Maw La Myaing</v>
      </c>
      <c r="L1117" s="15" t="str">
        <f>VLOOKUP(I1117,Customers[#Data],5,FALSE)</f>
        <v>WholeSales</v>
      </c>
      <c r="M1117" s="7" t="s">
        <v>6</v>
      </c>
      <c r="N1117" s="7" t="s">
        <v>517</v>
      </c>
      <c r="O1117" s="14" t="str">
        <f>VLOOKUP(N1117,Stock[#Data],2,FALSE)</f>
        <v>ဇေယျဝတီ Red (1 Liter) 30%</v>
      </c>
      <c r="P1117" s="44">
        <f>VLOOKUP(N1117,Stock[#Data],3,FALSE)</f>
        <v>1</v>
      </c>
      <c r="Q1117" s="3">
        <f>VLOOKUP(N1117,Stock[#Data],4,FALSE)</f>
        <v>12</v>
      </c>
      <c r="R1117" s="11"/>
      <c r="S1117" s="45">
        <f>IFERROR(Table4[[#This Row],[Bottle]]/Table4[[#This Row],[ပါဝင်မှု]]+Table4[[#This Row],[SalesPK]],0)</f>
        <v>125</v>
      </c>
      <c r="T1117" s="12">
        <v>125</v>
      </c>
      <c r="U1117" s="10">
        <f>Table4[[#This Row],[ပါဝင်မှု]]*Table4[[#This Row],[SalesPK]]+Table4[[#This Row],[Bottle]]</f>
        <v>1500</v>
      </c>
      <c r="V1117" s="10">
        <f>Table4[[#This Row],[SalesBot]]*Table4[[#This Row],[ML]]</f>
        <v>1500</v>
      </c>
      <c r="W1117" s="1">
        <f>VLOOKUP(N1117,Stock[#Data],6,FALSE)</f>
        <v>1710</v>
      </c>
      <c r="X1117" s="8">
        <f>+Table4[[#This Row],[SalesBot]]*Table4[[#This Row],[နှုံး]]</f>
        <v>2565000</v>
      </c>
      <c r="Y1117" s="12"/>
      <c r="Z1117" s="12"/>
      <c r="AA1117" s="12"/>
      <c r="AB1117" s="9"/>
      <c r="AC1117" s="12"/>
      <c r="AD1117" s="9"/>
      <c r="AE1117" s="12"/>
      <c r="AF111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2565000</v>
      </c>
      <c r="AG1117" s="24"/>
      <c r="AH1117" s="266"/>
      <c r="AI1117" s="264"/>
      <c r="AJ1117" s="264"/>
      <c r="AK1117" s="270"/>
      <c r="AL1117" s="270"/>
      <c r="AM1117" s="271"/>
      <c r="AN1117" s="272"/>
      <c r="AO1117" s="273"/>
      <c r="AP1117" s="268"/>
      <c r="AQ1117" s="268"/>
      <c r="AR1117" s="268"/>
    </row>
    <row r="1118" spans="1:44" s="16" customFormat="1" x14ac:dyDescent="0.5">
      <c r="A1118" s="3">
        <f t="shared" si="202"/>
        <v>2026</v>
      </c>
      <c r="B1118" s="8">
        <f t="shared" si="203"/>
        <v>3</v>
      </c>
      <c r="C1118" s="6">
        <v>46087</v>
      </c>
      <c r="D1118" s="15">
        <f t="shared" ca="1" si="204"/>
        <v>46097</v>
      </c>
      <c r="E1118" s="15" t="str">
        <f t="shared" ca="1" si="205"/>
        <v>0-Months</v>
      </c>
      <c r="F1118" s="8" t="str">
        <f>VLOOKUP(N1118,Stock[#Data],5,FALSE)</f>
        <v>BE</v>
      </c>
      <c r="G1118" s="82" t="s">
        <v>1665</v>
      </c>
      <c r="H1118" s="15"/>
      <c r="I1118" s="7" t="s">
        <v>108</v>
      </c>
      <c r="J1118" s="8" t="str">
        <f>VLOOKUP(I1118,Customers[#Data],2,FALSE)</f>
        <v>ကိုညီညီဆွေ</v>
      </c>
      <c r="K1118" s="15" t="str">
        <f>VLOOKUP(I1118,Customers[#Data],4,FALSE)</f>
        <v>Maw La Myaing</v>
      </c>
      <c r="L1118" s="15" t="str">
        <f>VLOOKUP(I1118,Customers[#Data],5,FALSE)</f>
        <v>WholeSales</v>
      </c>
      <c r="M1118" s="7" t="s">
        <v>6</v>
      </c>
      <c r="N1118" s="7" t="s">
        <v>516</v>
      </c>
      <c r="O1118" s="14" t="str">
        <f>VLOOKUP(N1118,Stock[#Data],2,FALSE)</f>
        <v>ဇေ Vodka</v>
      </c>
      <c r="P1118" s="44">
        <f>VLOOKUP(N1118,Stock[#Data],3,FALSE)</f>
        <v>0.64</v>
      </c>
      <c r="Q1118" s="3">
        <f>VLOOKUP(N1118,Stock[#Data],4,FALSE)</f>
        <v>14</v>
      </c>
      <c r="R1118" s="11"/>
      <c r="S1118" s="45">
        <f>IFERROR(Table4[[#This Row],[Bottle]]/Table4[[#This Row],[ပါဝင်မှု]]+Table4[[#This Row],[SalesPK]],0)</f>
        <v>50</v>
      </c>
      <c r="T1118" s="12">
        <v>50</v>
      </c>
      <c r="U1118" s="10">
        <f>Table4[[#This Row],[ပါဝင်မှု]]*Table4[[#This Row],[SalesPK]]+Table4[[#This Row],[Bottle]]</f>
        <v>700</v>
      </c>
      <c r="V1118" s="10">
        <f>Table4[[#This Row],[SalesBot]]*Table4[[#This Row],[ML]]</f>
        <v>448</v>
      </c>
      <c r="W1118" s="1">
        <f>VLOOKUP(N1118,Stock[#Data],6,FALSE)</f>
        <v>1400</v>
      </c>
      <c r="X1118" s="8">
        <f>+Table4[[#This Row],[SalesBot]]*Table4[[#This Row],[နှုံး]]</f>
        <v>980000</v>
      </c>
      <c r="Y1118" s="12"/>
      <c r="Z1118" s="12"/>
      <c r="AA1118" s="12"/>
      <c r="AB1118" s="9"/>
      <c r="AC1118" s="12"/>
      <c r="AD1118" s="9"/>
      <c r="AE1118" s="12"/>
      <c r="AF111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980000</v>
      </c>
      <c r="AG1118" s="24"/>
      <c r="AH1118" s="266"/>
      <c r="AI1118" s="264"/>
      <c r="AJ1118" s="264"/>
      <c r="AK1118" s="270"/>
      <c r="AL1118" s="270"/>
      <c r="AM1118" s="271"/>
      <c r="AN1118" s="272"/>
      <c r="AO1118" s="273"/>
      <c r="AP1118" s="268"/>
      <c r="AQ1118" s="268"/>
      <c r="AR1118" s="268"/>
    </row>
    <row r="1119" spans="1:44" s="16" customFormat="1" x14ac:dyDescent="0.5">
      <c r="A1119" s="3">
        <f t="shared" si="202"/>
        <v>2026</v>
      </c>
      <c r="B1119" s="8">
        <f t="shared" si="203"/>
        <v>3</v>
      </c>
      <c r="C1119" s="6">
        <v>46087</v>
      </c>
      <c r="D1119" s="15">
        <f t="shared" ca="1" si="204"/>
        <v>46097</v>
      </c>
      <c r="E1119" s="15" t="str">
        <f t="shared" ca="1" si="205"/>
        <v>0-Months</v>
      </c>
      <c r="F1119" s="8" t="str">
        <f>VLOOKUP(N1119,Stock[#Data],5,FALSE)</f>
        <v>BE</v>
      </c>
      <c r="G1119" s="82" t="s">
        <v>1666</v>
      </c>
      <c r="H1119" s="15"/>
      <c r="I1119" s="7" t="s">
        <v>296</v>
      </c>
      <c r="J1119" s="8" t="str">
        <f>VLOOKUP(I1119,Customers[#Data],2,FALSE)</f>
        <v>A1</v>
      </c>
      <c r="K1119" s="15" t="str">
        <f>VLOOKUP(I1119,Customers[#Data],4,FALSE)</f>
        <v>Maw La Myaing</v>
      </c>
      <c r="L1119" s="15" t="str">
        <f>VLOOKUP(I1119,Customers[#Data],5,FALSE)</f>
        <v>SemiWholeSales</v>
      </c>
      <c r="M1119" s="7" t="s">
        <v>6</v>
      </c>
      <c r="N1119" s="7" t="s">
        <v>522</v>
      </c>
      <c r="O1119" s="14" t="str">
        <f>VLOOKUP(N1119,Stock[#Data],2,FALSE)</f>
        <v>ဒဂုံမန်ကျည်း ကော်ဘူး (1 Liter)</v>
      </c>
      <c r="P1119" s="44">
        <f>VLOOKUP(N1119,Stock[#Data],3,FALSE)</f>
        <v>1</v>
      </c>
      <c r="Q1119" s="3">
        <f>VLOOKUP(N1119,Stock[#Data],4,FALSE)</f>
        <v>12</v>
      </c>
      <c r="R1119" s="11"/>
      <c r="S1119" s="45">
        <f>IFERROR(Table4[[#This Row],[Bottle]]/Table4[[#This Row],[ပါဝင်မှု]]+Table4[[#This Row],[SalesPK]],0)</f>
        <v>1</v>
      </c>
      <c r="T1119" s="12">
        <v>1</v>
      </c>
      <c r="U1119" s="10">
        <f>Table4[[#This Row],[ပါဝင်မှု]]*Table4[[#This Row],[SalesPK]]+Table4[[#This Row],[Bottle]]</f>
        <v>12</v>
      </c>
      <c r="V1119" s="10">
        <f>Table4[[#This Row],[SalesBot]]*Table4[[#This Row],[ML]]</f>
        <v>12</v>
      </c>
      <c r="W1119" s="1">
        <f>VLOOKUP(N1119,Stock[#Data],6,FALSE)</f>
        <v>1600</v>
      </c>
      <c r="X1119" s="8">
        <f>+Table4[[#This Row],[SalesBot]]*Table4[[#This Row],[နှုံး]]</f>
        <v>19200</v>
      </c>
      <c r="Y1119" s="12"/>
      <c r="Z1119" s="12"/>
      <c r="AA1119" s="12"/>
      <c r="AB1119" s="9"/>
      <c r="AC1119" s="12"/>
      <c r="AD1119" s="9"/>
      <c r="AE1119" s="12"/>
      <c r="AF111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119" s="24"/>
      <c r="AH1119" s="266"/>
      <c r="AI1119" s="264"/>
      <c r="AJ1119" s="264"/>
      <c r="AK1119" s="270"/>
      <c r="AL1119" s="270"/>
      <c r="AM1119" s="271"/>
      <c r="AN1119" s="272"/>
      <c r="AO1119" s="273"/>
      <c r="AP1119" s="268"/>
      <c r="AQ1119" s="268"/>
      <c r="AR1119" s="268"/>
    </row>
    <row r="1120" spans="1:44" s="16" customFormat="1" x14ac:dyDescent="0.5">
      <c r="A1120" s="3">
        <f t="shared" si="202"/>
        <v>2026</v>
      </c>
      <c r="B1120" s="8">
        <f t="shared" si="203"/>
        <v>3</v>
      </c>
      <c r="C1120" s="6">
        <v>46087</v>
      </c>
      <c r="D1120" s="15">
        <f t="shared" ca="1" si="204"/>
        <v>46097</v>
      </c>
      <c r="E1120" s="15" t="str">
        <f t="shared" ca="1" si="205"/>
        <v>0-Months</v>
      </c>
      <c r="F1120" s="8" t="str">
        <f>VLOOKUP(N1120,Stock[#Data],5,FALSE)</f>
        <v>BE</v>
      </c>
      <c r="G1120" s="82" t="s">
        <v>1666</v>
      </c>
      <c r="H1120" s="15"/>
      <c r="I1120" s="7" t="s">
        <v>296</v>
      </c>
      <c r="J1120" s="8" t="str">
        <f>VLOOKUP(I1120,Customers[#Data],2,FALSE)</f>
        <v>A1</v>
      </c>
      <c r="K1120" s="15" t="str">
        <f>VLOOKUP(I1120,Customers[#Data],4,FALSE)</f>
        <v>Maw La Myaing</v>
      </c>
      <c r="L1120" s="15" t="str">
        <f>VLOOKUP(I1120,Customers[#Data],5,FALSE)</f>
        <v>SemiWholeSales</v>
      </c>
      <c r="M1120" s="7" t="s">
        <v>6</v>
      </c>
      <c r="N1120" s="7" t="s">
        <v>516</v>
      </c>
      <c r="O1120" s="14" t="str">
        <f>VLOOKUP(N1120,Stock[#Data],2,FALSE)</f>
        <v>ဇေ Vodka</v>
      </c>
      <c r="P1120" s="44">
        <f>VLOOKUP(N1120,Stock[#Data],3,FALSE)</f>
        <v>0.64</v>
      </c>
      <c r="Q1120" s="3">
        <f>VLOOKUP(N1120,Stock[#Data],4,FALSE)</f>
        <v>14</v>
      </c>
      <c r="R1120" s="11"/>
      <c r="S1120" s="45">
        <f>IFERROR(Table4[[#This Row],[Bottle]]/Table4[[#This Row],[ပါဝင်မှု]]+Table4[[#This Row],[SalesPK]],0)</f>
        <v>23</v>
      </c>
      <c r="T1120" s="12">
        <v>23</v>
      </c>
      <c r="U1120" s="10">
        <f>Table4[[#This Row],[ပါဝင်မှု]]*Table4[[#This Row],[SalesPK]]+Table4[[#This Row],[Bottle]]</f>
        <v>322</v>
      </c>
      <c r="V1120" s="10">
        <f>Table4[[#This Row],[SalesBot]]*Table4[[#This Row],[ML]]</f>
        <v>206.08</v>
      </c>
      <c r="W1120" s="1">
        <f>VLOOKUP(N1120,Stock[#Data],6,FALSE)</f>
        <v>1400</v>
      </c>
      <c r="X1120" s="8">
        <f>+Table4[[#This Row],[SalesBot]]*Table4[[#This Row],[နှုံး]]</f>
        <v>450800</v>
      </c>
      <c r="Y1120" s="12"/>
      <c r="Z1120" s="12"/>
      <c r="AA1120" s="12"/>
      <c r="AB1120" s="9"/>
      <c r="AC1120" s="12"/>
      <c r="AD1120" s="9"/>
      <c r="AE1120" s="12"/>
      <c r="AF112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450800</v>
      </c>
      <c r="AG1120" s="24"/>
      <c r="AH1120" s="266"/>
      <c r="AI1120" s="264"/>
      <c r="AJ1120" s="264"/>
      <c r="AK1120" s="270"/>
      <c r="AL1120" s="270"/>
      <c r="AM1120" s="271"/>
      <c r="AN1120" s="272"/>
      <c r="AO1120" s="273"/>
      <c r="AP1120" s="268"/>
      <c r="AQ1120" s="268"/>
      <c r="AR1120" s="268"/>
    </row>
    <row r="1121" spans="1:44" s="16" customFormat="1" x14ac:dyDescent="0.5">
      <c r="A1121" s="3">
        <f t="shared" si="202"/>
        <v>2026</v>
      </c>
      <c r="B1121" s="8">
        <f t="shared" si="203"/>
        <v>3</v>
      </c>
      <c r="C1121" s="6">
        <v>46087</v>
      </c>
      <c r="D1121" s="15">
        <f t="shared" ca="1" si="204"/>
        <v>46097</v>
      </c>
      <c r="E1121" s="15" t="str">
        <f t="shared" ca="1" si="205"/>
        <v>0-Months</v>
      </c>
      <c r="F1121" s="8" t="str">
        <f>VLOOKUP(N1121,Stock[#Data],5,FALSE)</f>
        <v>BE</v>
      </c>
      <c r="G1121" s="82" t="s">
        <v>1667</v>
      </c>
      <c r="H1121" s="15"/>
      <c r="I1121" s="7" t="s">
        <v>547</v>
      </c>
      <c r="J1121" s="8" t="str">
        <f>VLOOKUP(I1121,Customers[#Data],2,FALSE)</f>
        <v>ကံ့ကော်စတိုး</v>
      </c>
      <c r="K1121" s="15" t="str">
        <f>VLOOKUP(I1121,Customers[#Data],4,FALSE)</f>
        <v>Yay</v>
      </c>
      <c r="L1121" s="15" t="str">
        <f>VLOOKUP(I1121,Customers[#Data],5,FALSE)</f>
        <v>Mini Whole Sales</v>
      </c>
      <c r="M1121" s="7" t="s">
        <v>6</v>
      </c>
      <c r="N1121" s="7" t="s">
        <v>514</v>
      </c>
      <c r="O1121" s="14" t="str">
        <f>VLOOKUP(N1121,Stock[#Data],2,FALSE)</f>
        <v>ဇေယျဝတီ Red</v>
      </c>
      <c r="P1121" s="44">
        <f>VLOOKUP(N1121,Stock[#Data],3,FALSE)</f>
        <v>0.64</v>
      </c>
      <c r="Q1121" s="3">
        <f>VLOOKUP(N1121,Stock[#Data],4,FALSE)</f>
        <v>14</v>
      </c>
      <c r="R1121" s="11"/>
      <c r="S1121" s="45">
        <f>IFERROR(Table4[[#This Row],[Bottle]]/Table4[[#This Row],[ပါဝင်မှု]]+Table4[[#This Row],[SalesPK]],0)</f>
        <v>30</v>
      </c>
      <c r="T1121" s="12">
        <v>30</v>
      </c>
      <c r="U1121" s="10">
        <f>Table4[[#This Row],[ပါဝင်မှု]]*Table4[[#This Row],[SalesPK]]+Table4[[#This Row],[Bottle]]</f>
        <v>420</v>
      </c>
      <c r="V1121" s="10">
        <f>Table4[[#This Row],[SalesBot]]*Table4[[#This Row],[ML]]</f>
        <v>268.8</v>
      </c>
      <c r="W1121" s="1">
        <f>VLOOKUP(N1121,Stock[#Data],6,FALSE)</f>
        <v>1350</v>
      </c>
      <c r="X1121" s="8">
        <f>+Table4[[#This Row],[SalesBot]]*Table4[[#This Row],[နှုံး]]</f>
        <v>567000</v>
      </c>
      <c r="Y1121" s="12"/>
      <c r="Z1121" s="12"/>
      <c r="AA1121" s="12"/>
      <c r="AB1121" s="9"/>
      <c r="AC1121" s="12"/>
      <c r="AD1121" s="9"/>
      <c r="AE1121" s="12"/>
      <c r="AF112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567000</v>
      </c>
      <c r="AG1121" s="24"/>
      <c r="AH1121" s="266"/>
      <c r="AI1121" s="264"/>
      <c r="AJ1121" s="264"/>
      <c r="AK1121" s="270"/>
      <c r="AL1121" s="270"/>
      <c r="AM1121" s="271"/>
      <c r="AN1121" s="272"/>
      <c r="AO1121" s="273"/>
      <c r="AP1121" s="268"/>
      <c r="AQ1121" s="268"/>
      <c r="AR1121" s="268"/>
    </row>
    <row r="1122" spans="1:44" s="16" customFormat="1" x14ac:dyDescent="0.5">
      <c r="A1122" s="3">
        <f t="shared" si="202"/>
        <v>2026</v>
      </c>
      <c r="B1122" s="8">
        <f t="shared" si="203"/>
        <v>3</v>
      </c>
      <c r="C1122" s="6">
        <v>46087</v>
      </c>
      <c r="D1122" s="15">
        <f t="shared" ca="1" si="204"/>
        <v>46097</v>
      </c>
      <c r="E1122" s="15" t="str">
        <f t="shared" ca="1" si="205"/>
        <v>0-Months</v>
      </c>
      <c r="F1122" s="8" t="str">
        <f>VLOOKUP(N1122,Stock[#Data],5,FALSE)</f>
        <v>BE</v>
      </c>
      <c r="G1122" s="82" t="s">
        <v>1667</v>
      </c>
      <c r="H1122" s="15"/>
      <c r="I1122" s="7" t="s">
        <v>547</v>
      </c>
      <c r="J1122" s="8" t="str">
        <f>VLOOKUP(I1122,Customers[#Data],2,FALSE)</f>
        <v>ကံ့ကော်စတိုး</v>
      </c>
      <c r="K1122" s="15" t="str">
        <f>VLOOKUP(I1122,Customers[#Data],4,FALSE)</f>
        <v>Yay</v>
      </c>
      <c r="L1122" s="15" t="str">
        <f>VLOOKUP(I1122,Customers[#Data],5,FALSE)</f>
        <v>Mini Whole Sales</v>
      </c>
      <c r="M1122" s="7" t="s">
        <v>6</v>
      </c>
      <c r="N1122" s="7" t="s">
        <v>517</v>
      </c>
      <c r="O1122" s="14" t="str">
        <f>VLOOKUP(N1122,Stock[#Data],2,FALSE)</f>
        <v>ဇေယျဝတီ Red (1 Liter) 30%</v>
      </c>
      <c r="P1122" s="44">
        <f>VLOOKUP(N1122,Stock[#Data],3,FALSE)</f>
        <v>1</v>
      </c>
      <c r="Q1122" s="3">
        <f>VLOOKUP(N1122,Stock[#Data],4,FALSE)</f>
        <v>12</v>
      </c>
      <c r="R1122" s="11"/>
      <c r="S1122" s="45">
        <f>IFERROR(Table4[[#This Row],[Bottle]]/Table4[[#This Row],[ပါဝင်မှု]]+Table4[[#This Row],[SalesPK]],0)</f>
        <v>70</v>
      </c>
      <c r="T1122" s="12">
        <v>70</v>
      </c>
      <c r="U1122" s="10">
        <f>Table4[[#This Row],[ပါဝင်မှု]]*Table4[[#This Row],[SalesPK]]+Table4[[#This Row],[Bottle]]</f>
        <v>840</v>
      </c>
      <c r="V1122" s="10">
        <f>Table4[[#This Row],[SalesBot]]*Table4[[#This Row],[ML]]</f>
        <v>840</v>
      </c>
      <c r="W1122" s="1">
        <f>VLOOKUP(N1122,Stock[#Data],6,FALSE)</f>
        <v>1710</v>
      </c>
      <c r="X1122" s="8">
        <f>+Table4[[#This Row],[SalesBot]]*Table4[[#This Row],[နှုံး]]</f>
        <v>1436400</v>
      </c>
      <c r="Y1122" s="12"/>
      <c r="Z1122" s="12"/>
      <c r="AA1122" s="12"/>
      <c r="AB1122" s="9"/>
      <c r="AC1122" s="12"/>
      <c r="AD1122" s="9"/>
      <c r="AE1122" s="12"/>
      <c r="AF112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1436400</v>
      </c>
      <c r="AG1122" s="24"/>
      <c r="AH1122" s="266"/>
      <c r="AI1122" s="264"/>
      <c r="AJ1122" s="264"/>
      <c r="AK1122" s="270"/>
      <c r="AL1122" s="270"/>
      <c r="AM1122" s="271"/>
      <c r="AN1122" s="272"/>
      <c r="AO1122" s="273"/>
      <c r="AP1122" s="268"/>
      <c r="AQ1122" s="268"/>
      <c r="AR1122" s="268"/>
    </row>
    <row r="1123" spans="1:44" s="16" customFormat="1" x14ac:dyDescent="0.5">
      <c r="A1123" s="3">
        <f t="shared" si="202"/>
        <v>2026</v>
      </c>
      <c r="B1123" s="8">
        <f t="shared" si="203"/>
        <v>3</v>
      </c>
      <c r="C1123" s="6">
        <v>46087</v>
      </c>
      <c r="D1123" s="15">
        <f t="shared" ca="1" si="204"/>
        <v>46097</v>
      </c>
      <c r="E1123" s="15" t="str">
        <f t="shared" ca="1" si="205"/>
        <v>0-Months</v>
      </c>
      <c r="F1123" s="8" t="str">
        <f>VLOOKUP(N1123,Stock[#Data],5,FALSE)</f>
        <v>BE</v>
      </c>
      <c r="G1123" s="82" t="s">
        <v>1668</v>
      </c>
      <c r="H1123" s="15"/>
      <c r="I1123" s="7" t="s">
        <v>546</v>
      </c>
      <c r="J1123" s="8" t="str">
        <f>VLOOKUP(I1123,Customers[#Data],2,FALSE)</f>
        <v>မသီတာ၀င်း</v>
      </c>
      <c r="K1123" s="15" t="str">
        <f>VLOOKUP(I1123,Customers[#Data],4,FALSE)</f>
        <v>Mudon</v>
      </c>
      <c r="L1123" s="15" t="str">
        <f>VLOOKUP(I1123,Customers[#Data],5,FALSE)</f>
        <v>SemiWholeSales</v>
      </c>
      <c r="M1123" s="7" t="s">
        <v>6</v>
      </c>
      <c r="N1123" s="7" t="s">
        <v>520</v>
      </c>
      <c r="O1123" s="14" t="str">
        <f>VLOOKUP(N1123,Stock[#Data],2,FALSE)</f>
        <v>ဇေယျဝတီ  Red(ပု)</v>
      </c>
      <c r="P1123" s="44">
        <f>VLOOKUP(N1123,Stock[#Data],3,FALSE)</f>
        <v>0.64</v>
      </c>
      <c r="Q1123" s="3">
        <f>VLOOKUP(N1123,Stock[#Data],4,FALSE)</f>
        <v>14</v>
      </c>
      <c r="R1123" s="11"/>
      <c r="S1123" s="45">
        <f>IFERROR(Table4[[#This Row],[Bottle]]/Table4[[#This Row],[ပါဝင်မှု]]+Table4[[#This Row],[SalesPK]],0)</f>
        <v>50</v>
      </c>
      <c r="T1123" s="12">
        <v>50</v>
      </c>
      <c r="U1123" s="10">
        <f>Table4[[#This Row],[ပါဝင်မှု]]*Table4[[#This Row],[SalesPK]]+Table4[[#This Row],[Bottle]]</f>
        <v>700</v>
      </c>
      <c r="V1123" s="10">
        <f>Table4[[#This Row],[SalesBot]]*Table4[[#This Row],[ML]]</f>
        <v>448</v>
      </c>
      <c r="W1123" s="1">
        <f>VLOOKUP(N1123,Stock[#Data],6,FALSE)</f>
        <v>1800</v>
      </c>
      <c r="X1123" s="8">
        <f>+Table4[[#This Row],[SalesBot]]*Table4[[#This Row],[နှုံး]]</f>
        <v>1260000</v>
      </c>
      <c r="Y1123" s="12"/>
      <c r="Z1123" s="12"/>
      <c r="AA1123" s="12"/>
      <c r="AB1123" s="9"/>
      <c r="AC1123" s="12"/>
      <c r="AD1123" s="9"/>
      <c r="AE1123" s="12"/>
      <c r="AF112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1123" s="24"/>
      <c r="AH1123" s="266"/>
      <c r="AI1123" s="264"/>
      <c r="AJ1123" s="264"/>
      <c r="AK1123" s="270"/>
      <c r="AL1123" s="270"/>
      <c r="AM1123" s="271"/>
      <c r="AN1123" s="272"/>
      <c r="AO1123" s="273"/>
      <c r="AP1123" s="268"/>
      <c r="AQ1123" s="268"/>
      <c r="AR1123" s="268"/>
    </row>
    <row r="1124" spans="1:44" s="16" customFormat="1" x14ac:dyDescent="0.5">
      <c r="A1124" s="3">
        <f t="shared" si="202"/>
        <v>2026</v>
      </c>
      <c r="B1124" s="8">
        <f t="shared" si="203"/>
        <v>3</v>
      </c>
      <c r="C1124" s="6">
        <v>46087</v>
      </c>
      <c r="D1124" s="15">
        <f t="shared" ca="1" si="204"/>
        <v>46097</v>
      </c>
      <c r="E1124" s="15" t="str">
        <f t="shared" ca="1" si="205"/>
        <v>0-Months</v>
      </c>
      <c r="F1124" s="8" t="str">
        <f>VLOOKUP(N1124,Stock[#Data],5,FALSE)</f>
        <v>BE</v>
      </c>
      <c r="G1124" s="82" t="s">
        <v>1669</v>
      </c>
      <c r="H1124" s="15"/>
      <c r="I1124" s="7" t="s">
        <v>541</v>
      </c>
      <c r="J1124" s="8" t="str">
        <f>VLOOKUP(I1124,Customers[#Data],2,FALSE)</f>
        <v>ကိုကျော်ရွှေ</v>
      </c>
      <c r="K1124" s="15" t="str">
        <f>VLOOKUP(I1124,Customers[#Data],4,FALSE)</f>
        <v>Mudon</v>
      </c>
      <c r="L1124" s="15" t="str">
        <f>VLOOKUP(I1124,Customers[#Data],5,FALSE)</f>
        <v>SemiWholeSales</v>
      </c>
      <c r="M1124" s="7" t="s">
        <v>6</v>
      </c>
      <c r="N1124" s="7" t="s">
        <v>520</v>
      </c>
      <c r="O1124" s="14" t="str">
        <f>VLOOKUP(N1124,Stock[#Data],2,FALSE)</f>
        <v>ဇေယျဝတီ  Red(ပု)</v>
      </c>
      <c r="P1124" s="44">
        <f>VLOOKUP(N1124,Stock[#Data],3,FALSE)</f>
        <v>0.64</v>
      </c>
      <c r="Q1124" s="3">
        <f>VLOOKUP(N1124,Stock[#Data],4,FALSE)</f>
        <v>14</v>
      </c>
      <c r="R1124" s="11"/>
      <c r="S1124" s="45">
        <f>IFERROR(Table4[[#This Row],[Bottle]]/Table4[[#This Row],[ပါဝင်မှု]]+Table4[[#This Row],[SalesPK]],0)</f>
        <v>50</v>
      </c>
      <c r="T1124" s="12">
        <v>50</v>
      </c>
      <c r="U1124" s="10">
        <f>Table4[[#This Row],[ပါဝင်မှု]]*Table4[[#This Row],[SalesPK]]+Table4[[#This Row],[Bottle]]</f>
        <v>700</v>
      </c>
      <c r="V1124" s="10">
        <f>Table4[[#This Row],[SalesBot]]*Table4[[#This Row],[ML]]</f>
        <v>448</v>
      </c>
      <c r="W1124" s="1">
        <f>VLOOKUP(N1124,Stock[#Data],6,FALSE)</f>
        <v>1800</v>
      </c>
      <c r="X1124" s="8">
        <f>+Table4[[#This Row],[SalesBot]]*Table4[[#This Row],[နှုံး]]</f>
        <v>1260000</v>
      </c>
      <c r="Y1124" s="12"/>
      <c r="Z1124" s="12"/>
      <c r="AA1124" s="12"/>
      <c r="AB1124" s="9"/>
      <c r="AC1124" s="12"/>
      <c r="AD1124" s="9"/>
      <c r="AE1124" s="12"/>
      <c r="AF112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1124" s="24"/>
      <c r="AH1124" s="266"/>
      <c r="AI1124" s="264"/>
      <c r="AJ1124" s="264"/>
      <c r="AK1124" s="270"/>
      <c r="AL1124" s="270"/>
      <c r="AM1124" s="271"/>
      <c r="AN1124" s="272"/>
      <c r="AO1124" s="273"/>
      <c r="AP1124" s="268"/>
      <c r="AQ1124" s="268"/>
      <c r="AR1124" s="268"/>
    </row>
    <row r="1125" spans="1:44" s="16" customFormat="1" x14ac:dyDescent="0.5">
      <c r="A1125" s="3">
        <f t="shared" si="202"/>
        <v>2026</v>
      </c>
      <c r="B1125" s="8">
        <f t="shared" si="203"/>
        <v>3</v>
      </c>
      <c r="C1125" s="6">
        <v>46087</v>
      </c>
      <c r="D1125" s="15">
        <f t="shared" ca="1" si="204"/>
        <v>46097</v>
      </c>
      <c r="E1125" s="15" t="str">
        <f t="shared" ca="1" si="205"/>
        <v>0-Months</v>
      </c>
      <c r="F1125" s="8" t="str">
        <f>VLOOKUP(N1125,Stock[#Data],5,FALSE)</f>
        <v>BE</v>
      </c>
      <c r="G1125" s="82" t="s">
        <v>1670</v>
      </c>
      <c r="H1125" s="15"/>
      <c r="I1125" s="7" t="s">
        <v>1671</v>
      </c>
      <c r="J1125" s="8" t="str">
        <f>VLOOKUP(I1125,Customers[#Data],2,FALSE)</f>
        <v>ကိုသံချောင်း</v>
      </c>
      <c r="K1125" s="15" t="str">
        <f>VLOOKUP(I1125,Customers[#Data],4,FALSE)</f>
        <v>Mudon</v>
      </c>
      <c r="L1125" s="15" t="str">
        <f>VLOOKUP(I1125,Customers[#Data],5,FALSE)</f>
        <v>Van Sales</v>
      </c>
      <c r="M1125" s="7" t="s">
        <v>6</v>
      </c>
      <c r="N1125" s="7" t="s">
        <v>520</v>
      </c>
      <c r="O1125" s="14" t="str">
        <f>VLOOKUP(N1125,Stock[#Data],2,FALSE)</f>
        <v>ဇေယျဝတီ  Red(ပု)</v>
      </c>
      <c r="P1125" s="44">
        <f>VLOOKUP(N1125,Stock[#Data],3,FALSE)</f>
        <v>0.64</v>
      </c>
      <c r="Q1125" s="3">
        <f>VLOOKUP(N1125,Stock[#Data],4,FALSE)</f>
        <v>14</v>
      </c>
      <c r="R1125" s="11"/>
      <c r="S1125" s="45">
        <f>IFERROR(Table4[[#This Row],[Bottle]]/Table4[[#This Row],[ပါဝင်မှု]]+Table4[[#This Row],[SalesPK]],0)</f>
        <v>20</v>
      </c>
      <c r="T1125" s="12">
        <v>20</v>
      </c>
      <c r="U1125" s="10">
        <f>Table4[[#This Row],[ပါဝင်မှု]]*Table4[[#This Row],[SalesPK]]+Table4[[#This Row],[Bottle]]</f>
        <v>280</v>
      </c>
      <c r="V1125" s="10">
        <f>Table4[[#This Row],[SalesBot]]*Table4[[#This Row],[ML]]</f>
        <v>179.20000000000002</v>
      </c>
      <c r="W1125" s="1">
        <f>VLOOKUP(N1125,Stock[#Data],6,FALSE)</f>
        <v>1800</v>
      </c>
      <c r="X1125" s="8">
        <f>+Table4[[#This Row],[SalesBot]]*Table4[[#This Row],[နှုံး]]</f>
        <v>504000</v>
      </c>
      <c r="Y1125" s="12"/>
      <c r="Z1125" s="12"/>
      <c r="AA1125" s="12"/>
      <c r="AB1125" s="9"/>
      <c r="AC1125" s="12"/>
      <c r="AD1125" s="9"/>
      <c r="AE1125" s="12"/>
      <c r="AF112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504000</v>
      </c>
      <c r="AG1125" s="24"/>
      <c r="AH1125" s="266"/>
      <c r="AI1125" s="264"/>
      <c r="AJ1125" s="264"/>
      <c r="AK1125" s="270"/>
      <c r="AL1125" s="270"/>
      <c r="AM1125" s="271"/>
      <c r="AN1125" s="272"/>
      <c r="AO1125" s="273"/>
      <c r="AP1125" s="268"/>
      <c r="AQ1125" s="268"/>
      <c r="AR1125" s="268"/>
    </row>
    <row r="1126" spans="1:44" s="16" customFormat="1" x14ac:dyDescent="0.5">
      <c r="A1126" s="3">
        <f t="shared" si="202"/>
        <v>2026</v>
      </c>
      <c r="B1126" s="8">
        <f t="shared" si="203"/>
        <v>3</v>
      </c>
      <c r="C1126" s="6">
        <v>46087</v>
      </c>
      <c r="D1126" s="15">
        <f t="shared" ca="1" si="204"/>
        <v>46097</v>
      </c>
      <c r="E1126" s="15" t="str">
        <f t="shared" ca="1" si="205"/>
        <v>0-Months</v>
      </c>
      <c r="F1126" s="8" t="str">
        <f>VLOOKUP(N1126,Stock[#Data],5,FALSE)</f>
        <v>BE</v>
      </c>
      <c r="G1126" s="82" t="s">
        <v>1670</v>
      </c>
      <c r="H1126" s="15"/>
      <c r="I1126" s="7" t="s">
        <v>1671</v>
      </c>
      <c r="J1126" s="8" t="str">
        <f>VLOOKUP(I1126,Customers[#Data],2,FALSE)</f>
        <v>ကိုသံချောင်း</v>
      </c>
      <c r="K1126" s="15" t="str">
        <f>VLOOKUP(I1126,Customers[#Data],4,FALSE)</f>
        <v>Mudon</v>
      </c>
      <c r="L1126" s="15" t="str">
        <f>VLOOKUP(I1126,Customers[#Data],5,FALSE)</f>
        <v>Van Sales</v>
      </c>
      <c r="M1126" s="7" t="s">
        <v>6</v>
      </c>
      <c r="N1126" s="7" t="s">
        <v>518</v>
      </c>
      <c r="O1126" s="14" t="str">
        <f>VLOOKUP(N1126,Stock[#Data],2,FALSE)</f>
        <v>"ဇေ" ကော်ဘူး (1 Liter)</v>
      </c>
      <c r="P1126" s="44">
        <f>VLOOKUP(N1126,Stock[#Data],3,FALSE)</f>
        <v>1</v>
      </c>
      <c r="Q1126" s="3">
        <f>VLOOKUP(N1126,Stock[#Data],4,FALSE)</f>
        <v>12</v>
      </c>
      <c r="R1126" s="11"/>
      <c r="S1126" s="45">
        <f>IFERROR(Table4[[#This Row],[Bottle]]/Table4[[#This Row],[ပါဝင်မှု]]+Table4[[#This Row],[SalesPK]],0)</f>
        <v>3</v>
      </c>
      <c r="T1126" s="12">
        <v>3</v>
      </c>
      <c r="U1126" s="10">
        <f>Table4[[#This Row],[ပါဝင်မှု]]*Table4[[#This Row],[SalesPK]]+Table4[[#This Row],[Bottle]]</f>
        <v>36</v>
      </c>
      <c r="V1126" s="10">
        <f>Table4[[#This Row],[SalesBot]]*Table4[[#This Row],[ML]]</f>
        <v>36</v>
      </c>
      <c r="W1126" s="1">
        <f>VLOOKUP(N1126,Stock[#Data],6,FALSE)</f>
        <v>1675</v>
      </c>
      <c r="X1126" s="8">
        <f>+Table4[[#This Row],[SalesBot]]*Table4[[#This Row],[နှုံး]]</f>
        <v>60300</v>
      </c>
      <c r="Y1126" s="12"/>
      <c r="Z1126" s="12"/>
      <c r="AA1126" s="12"/>
      <c r="AB1126" s="9"/>
      <c r="AC1126" s="12"/>
      <c r="AD1126" s="9"/>
      <c r="AE1126" s="12"/>
      <c r="AF112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60300</v>
      </c>
      <c r="AG1126" s="24"/>
      <c r="AH1126" s="266"/>
      <c r="AI1126" s="264"/>
      <c r="AJ1126" s="264"/>
      <c r="AK1126" s="270"/>
      <c r="AL1126" s="270"/>
      <c r="AM1126" s="271"/>
      <c r="AN1126" s="272"/>
      <c r="AO1126" s="273"/>
      <c r="AP1126" s="268"/>
      <c r="AQ1126" s="268"/>
      <c r="AR1126" s="268"/>
    </row>
    <row r="1127" spans="1:44" s="16" customFormat="1" x14ac:dyDescent="0.5">
      <c r="A1127" s="3">
        <f t="shared" si="202"/>
        <v>2026</v>
      </c>
      <c r="B1127" s="8">
        <f t="shared" si="203"/>
        <v>3</v>
      </c>
      <c r="C1127" s="6">
        <v>46087</v>
      </c>
      <c r="D1127" s="15">
        <f t="shared" ca="1" si="204"/>
        <v>46097</v>
      </c>
      <c r="E1127" s="15" t="str">
        <f t="shared" ca="1" si="205"/>
        <v>0-Months</v>
      </c>
      <c r="F1127" s="8" t="str">
        <f>VLOOKUP(N1127,Stock[#Data],5,FALSE)</f>
        <v>BE</v>
      </c>
      <c r="G1127" s="82" t="s">
        <v>1670</v>
      </c>
      <c r="H1127" s="15"/>
      <c r="I1127" s="7" t="s">
        <v>1671</v>
      </c>
      <c r="J1127" s="8" t="str">
        <f>VLOOKUP(I1127,Customers[#Data],2,FALSE)</f>
        <v>ကိုသံချောင်း</v>
      </c>
      <c r="K1127" s="15" t="str">
        <f>VLOOKUP(I1127,Customers[#Data],4,FALSE)</f>
        <v>Mudon</v>
      </c>
      <c r="L1127" s="15" t="str">
        <f>VLOOKUP(I1127,Customers[#Data],5,FALSE)</f>
        <v>Van Sales</v>
      </c>
      <c r="M1127" s="7" t="s">
        <v>6</v>
      </c>
      <c r="N1127" s="7" t="s">
        <v>425</v>
      </c>
      <c r="O1127" s="14" t="str">
        <f>VLOOKUP(N1127,Stock[#Data],2,FALSE)</f>
        <v>ကောင်းကြည်-1Li</v>
      </c>
      <c r="P1127" s="44">
        <f>VLOOKUP(N1127,Stock[#Data],3,FALSE)</f>
        <v>1</v>
      </c>
      <c r="Q1127" s="3">
        <f>VLOOKUP(N1127,Stock[#Data],4,FALSE)</f>
        <v>12</v>
      </c>
      <c r="R1127" s="11"/>
      <c r="S1127" s="45">
        <f>IFERROR(Table4[[#This Row],[Bottle]]/Table4[[#This Row],[ပါဝင်မှု]]+Table4[[#This Row],[SalesPK]],0)</f>
        <v>2</v>
      </c>
      <c r="T1127" s="12">
        <v>2</v>
      </c>
      <c r="U1127" s="10">
        <f>Table4[[#This Row],[ပါဝင်မှု]]*Table4[[#This Row],[SalesPK]]+Table4[[#This Row],[Bottle]]</f>
        <v>24</v>
      </c>
      <c r="V1127" s="10">
        <f>Table4[[#This Row],[SalesBot]]*Table4[[#This Row],[ML]]</f>
        <v>24</v>
      </c>
      <c r="W1127" s="1">
        <f>VLOOKUP(N1127,Stock[#Data],6,FALSE)</f>
        <v>1500</v>
      </c>
      <c r="X1127" s="8">
        <f>+Table4[[#This Row],[SalesBot]]*Table4[[#This Row],[နှုံး]]</f>
        <v>36000</v>
      </c>
      <c r="Y1127" s="12"/>
      <c r="Z1127" s="12"/>
      <c r="AA1127" s="12"/>
      <c r="AB1127" s="9"/>
      <c r="AC1127" s="12"/>
      <c r="AD1127" s="9"/>
      <c r="AE1127" s="12"/>
      <c r="AF112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36000</v>
      </c>
      <c r="AG1127" s="24"/>
      <c r="AH1127" s="266"/>
      <c r="AI1127" s="264"/>
      <c r="AJ1127" s="264"/>
      <c r="AK1127" s="270"/>
      <c r="AL1127" s="270"/>
      <c r="AM1127" s="271"/>
      <c r="AN1127" s="272"/>
      <c r="AO1127" s="273"/>
      <c r="AP1127" s="268"/>
      <c r="AQ1127" s="268"/>
      <c r="AR1127" s="268"/>
    </row>
    <row r="1128" spans="1:44" s="16" customFormat="1" x14ac:dyDescent="0.5">
      <c r="A1128" s="3">
        <f t="shared" si="202"/>
        <v>2026</v>
      </c>
      <c r="B1128" s="8">
        <f t="shared" si="203"/>
        <v>3</v>
      </c>
      <c r="C1128" s="6">
        <v>46087</v>
      </c>
      <c r="D1128" s="15">
        <f t="shared" ca="1" si="204"/>
        <v>46097</v>
      </c>
      <c r="E1128" s="15" t="str">
        <f t="shared" ca="1" si="205"/>
        <v>0-Months</v>
      </c>
      <c r="F1128" s="8" t="str">
        <f>VLOOKUP(N1128,Stock[#Data],5,FALSE)</f>
        <v>BE</v>
      </c>
      <c r="G1128" s="82" t="s">
        <v>1673</v>
      </c>
      <c r="H1128" s="15"/>
      <c r="I1128" s="7" t="s">
        <v>543</v>
      </c>
      <c r="J1128" s="8" t="str">
        <f>VLOOKUP(I1128,Customers[#Data],2,FALSE)</f>
        <v>ဒေါ်မိစိန်</v>
      </c>
      <c r="K1128" s="15" t="str">
        <f>VLOOKUP(I1128,Customers[#Data],4,FALSE)</f>
        <v>Yay</v>
      </c>
      <c r="L1128" s="15" t="str">
        <f>VLOOKUP(I1128,Customers[#Data],5,FALSE)</f>
        <v>SemiWholeSales</v>
      </c>
      <c r="M1128" s="7" t="s">
        <v>6</v>
      </c>
      <c r="N1128" s="7" t="s">
        <v>517</v>
      </c>
      <c r="O1128" s="14" t="str">
        <f>VLOOKUP(N1128,Stock[#Data],2,FALSE)</f>
        <v>ဇေယျဝတီ Red (1 Liter) 30%</v>
      </c>
      <c r="P1128" s="44">
        <f>VLOOKUP(N1128,Stock[#Data],3,FALSE)</f>
        <v>1</v>
      </c>
      <c r="Q1128" s="3">
        <f>VLOOKUP(N1128,Stock[#Data],4,FALSE)</f>
        <v>12</v>
      </c>
      <c r="R1128" s="11"/>
      <c r="S1128" s="45">
        <f>IFERROR(Table4[[#This Row],[Bottle]]/Table4[[#This Row],[ပါဝင်မှု]]+Table4[[#This Row],[SalesPK]],0)</f>
        <v>30</v>
      </c>
      <c r="T1128" s="12">
        <v>30</v>
      </c>
      <c r="U1128" s="10">
        <f>Table4[[#This Row],[ပါဝင်မှု]]*Table4[[#This Row],[SalesPK]]+Table4[[#This Row],[Bottle]]</f>
        <v>360</v>
      </c>
      <c r="V1128" s="10">
        <f>Table4[[#This Row],[SalesBot]]*Table4[[#This Row],[ML]]</f>
        <v>360</v>
      </c>
      <c r="W1128" s="1">
        <f>VLOOKUP(N1128,Stock[#Data],6,FALSE)</f>
        <v>1710</v>
      </c>
      <c r="X1128" s="8">
        <f>+Table4[[#This Row],[SalesBot]]*Table4[[#This Row],[နှုံး]]</f>
        <v>615600</v>
      </c>
      <c r="Y1128" s="12"/>
      <c r="Z1128" s="12"/>
      <c r="AA1128" s="12"/>
      <c r="AB1128" s="9"/>
      <c r="AC1128" s="12"/>
      <c r="AD1128" s="9"/>
      <c r="AE1128" s="12"/>
      <c r="AF112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615600</v>
      </c>
      <c r="AG1128" s="24"/>
      <c r="AH1128" s="266"/>
      <c r="AI1128" s="264"/>
      <c r="AJ1128" s="264"/>
      <c r="AK1128" s="270"/>
      <c r="AL1128" s="270"/>
      <c r="AM1128" s="271"/>
      <c r="AN1128" s="272"/>
      <c r="AO1128" s="273"/>
      <c r="AP1128" s="268"/>
      <c r="AQ1128" s="268"/>
      <c r="AR1128" s="268"/>
    </row>
    <row r="1129" spans="1:44" s="16" customFormat="1" x14ac:dyDescent="0.5">
      <c r="A1129" s="3">
        <f t="shared" si="202"/>
        <v>2026</v>
      </c>
      <c r="B1129" s="8">
        <f t="shared" si="203"/>
        <v>3</v>
      </c>
      <c r="C1129" s="6">
        <v>46087</v>
      </c>
      <c r="D1129" s="15">
        <f t="shared" ca="1" si="204"/>
        <v>46097</v>
      </c>
      <c r="E1129" s="15" t="str">
        <f t="shared" ca="1" si="205"/>
        <v>0-Months</v>
      </c>
      <c r="F1129" s="8" t="str">
        <f>VLOOKUP(N1129,Stock[#Data],5,FALSE)</f>
        <v>BE</v>
      </c>
      <c r="G1129" s="82" t="s">
        <v>1673</v>
      </c>
      <c r="H1129" s="15"/>
      <c r="I1129" s="7" t="s">
        <v>543</v>
      </c>
      <c r="J1129" s="8" t="str">
        <f>VLOOKUP(I1129,Customers[#Data],2,FALSE)</f>
        <v>ဒေါ်မိစိန်</v>
      </c>
      <c r="K1129" s="15" t="str">
        <f>VLOOKUP(I1129,Customers[#Data],4,FALSE)</f>
        <v>Yay</v>
      </c>
      <c r="L1129" s="15" t="str">
        <f>VLOOKUP(I1129,Customers[#Data],5,FALSE)</f>
        <v>SemiWholeSales</v>
      </c>
      <c r="M1129" s="7" t="s">
        <v>6</v>
      </c>
      <c r="N1129" s="7" t="s">
        <v>522</v>
      </c>
      <c r="O1129" s="14" t="str">
        <f>VLOOKUP(N1129,Stock[#Data],2,FALSE)</f>
        <v>ဒဂုံမန်ကျည်း ကော်ဘူး (1 Liter)</v>
      </c>
      <c r="P1129" s="44">
        <f>VLOOKUP(N1129,Stock[#Data],3,FALSE)</f>
        <v>1</v>
      </c>
      <c r="Q1129" s="3">
        <f>VLOOKUP(N1129,Stock[#Data],4,FALSE)</f>
        <v>12</v>
      </c>
      <c r="R1129" s="11"/>
      <c r="S1129" s="45">
        <f>IFERROR(Table4[[#This Row],[Bottle]]/Table4[[#This Row],[ပါဝင်မှု]]+Table4[[#This Row],[SalesPK]],0)</f>
        <v>1</v>
      </c>
      <c r="T1129" s="12">
        <v>1</v>
      </c>
      <c r="U1129" s="10">
        <f>Table4[[#This Row],[ပါဝင်မှု]]*Table4[[#This Row],[SalesPK]]+Table4[[#This Row],[Bottle]]</f>
        <v>12</v>
      </c>
      <c r="V1129" s="10">
        <f>Table4[[#This Row],[SalesBot]]*Table4[[#This Row],[ML]]</f>
        <v>12</v>
      </c>
      <c r="W1129" s="1">
        <f>VLOOKUP(N1129,Stock[#Data],6,FALSE)</f>
        <v>1600</v>
      </c>
      <c r="X1129" s="8">
        <f>+Table4[[#This Row],[SalesBot]]*Table4[[#This Row],[နှုံး]]</f>
        <v>19200</v>
      </c>
      <c r="Y1129" s="12"/>
      <c r="Z1129" s="12"/>
      <c r="AA1129" s="12"/>
      <c r="AB1129" s="9"/>
      <c r="AC1129" s="12"/>
      <c r="AD1129" s="9"/>
      <c r="AE1129" s="12"/>
      <c r="AF112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129" s="24"/>
      <c r="AH1129" s="266"/>
      <c r="AI1129" s="264"/>
      <c r="AJ1129" s="264"/>
      <c r="AK1129" s="270"/>
      <c r="AL1129" s="270"/>
      <c r="AM1129" s="271"/>
      <c r="AN1129" s="272"/>
      <c r="AO1129" s="273"/>
      <c r="AP1129" s="268"/>
      <c r="AQ1129" s="268"/>
      <c r="AR1129" s="268"/>
    </row>
    <row r="1130" spans="1:44" s="16" customFormat="1" x14ac:dyDescent="0.5">
      <c r="A1130" s="3">
        <f t="shared" si="202"/>
        <v>2026</v>
      </c>
      <c r="B1130" s="8">
        <f t="shared" si="203"/>
        <v>3</v>
      </c>
      <c r="C1130" s="6">
        <v>46087</v>
      </c>
      <c r="D1130" s="15">
        <f t="shared" ca="1" si="204"/>
        <v>46097</v>
      </c>
      <c r="E1130" s="15" t="str">
        <f t="shared" ca="1" si="205"/>
        <v>0-Months</v>
      </c>
      <c r="F1130" s="8" t="str">
        <f>VLOOKUP(N1130,Stock[#Data],5,FALSE)</f>
        <v>BE</v>
      </c>
      <c r="G1130" s="82" t="s">
        <v>1674</v>
      </c>
      <c r="H1130" s="15"/>
      <c r="I1130" s="7" t="s">
        <v>145</v>
      </c>
      <c r="J1130" s="8" t="str">
        <f>VLOOKUP(I1130,Customers[#Data],2,FALSE)</f>
        <v>ကိုအာနိုး</v>
      </c>
      <c r="K1130" s="15" t="str">
        <f>VLOOKUP(I1130,Customers[#Data],4,FALSE)</f>
        <v>yaY</v>
      </c>
      <c r="L1130" s="15" t="str">
        <f>VLOOKUP(I1130,Customers[#Data],5,FALSE)</f>
        <v>Van Sales</v>
      </c>
      <c r="M1130" s="7" t="s">
        <v>6</v>
      </c>
      <c r="N1130" s="7" t="s">
        <v>517</v>
      </c>
      <c r="O1130" s="14" t="str">
        <f>VLOOKUP(N1130,Stock[#Data],2,FALSE)</f>
        <v>ဇေယျဝတီ Red (1 Liter) 30%</v>
      </c>
      <c r="P1130" s="44">
        <f>VLOOKUP(N1130,Stock[#Data],3,FALSE)</f>
        <v>1</v>
      </c>
      <c r="Q1130" s="3">
        <f>VLOOKUP(N1130,Stock[#Data],4,FALSE)</f>
        <v>12</v>
      </c>
      <c r="R1130" s="11"/>
      <c r="S1130" s="45">
        <f>IFERROR(Table4[[#This Row],[Bottle]]/Table4[[#This Row],[ပါဝင်မှု]]+Table4[[#This Row],[SalesPK]],0)</f>
        <v>5</v>
      </c>
      <c r="T1130" s="12">
        <v>5</v>
      </c>
      <c r="U1130" s="10">
        <f>Table4[[#This Row],[ပါဝင်မှု]]*Table4[[#This Row],[SalesPK]]+Table4[[#This Row],[Bottle]]</f>
        <v>60</v>
      </c>
      <c r="V1130" s="10">
        <f>Table4[[#This Row],[SalesBot]]*Table4[[#This Row],[ML]]</f>
        <v>60</v>
      </c>
      <c r="W1130" s="1">
        <f>VLOOKUP(N1130,Stock[#Data],6,FALSE)</f>
        <v>1710</v>
      </c>
      <c r="X1130" s="8">
        <f>+Table4[[#This Row],[SalesBot]]*Table4[[#This Row],[နှုံး]]</f>
        <v>102600</v>
      </c>
      <c r="Y1130" s="12"/>
      <c r="Z1130" s="12"/>
      <c r="AA1130" s="12"/>
      <c r="AB1130" s="9"/>
      <c r="AC1130" s="12"/>
      <c r="AD1130" s="9"/>
      <c r="AE1130" s="12"/>
      <c r="AF113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</v>
      </c>
      <c r="AG1130" s="24"/>
      <c r="AH1130" s="266"/>
      <c r="AI1130" s="264"/>
      <c r="AJ1130" s="264"/>
      <c r="AK1130" s="270"/>
      <c r="AL1130" s="270"/>
      <c r="AM1130" s="271"/>
      <c r="AN1130" s="272"/>
      <c r="AO1130" s="273"/>
      <c r="AP1130" s="268"/>
      <c r="AQ1130" s="268"/>
      <c r="AR1130" s="268"/>
    </row>
    <row r="1131" spans="1:44" s="16" customFormat="1" x14ac:dyDescent="0.5">
      <c r="A1131" s="3">
        <f t="shared" si="202"/>
        <v>2026</v>
      </c>
      <c r="B1131" s="8">
        <f t="shared" si="203"/>
        <v>3</v>
      </c>
      <c r="C1131" s="6">
        <v>46087</v>
      </c>
      <c r="D1131" s="15">
        <f t="shared" ca="1" si="204"/>
        <v>46097</v>
      </c>
      <c r="E1131" s="15" t="str">
        <f t="shared" ca="1" si="205"/>
        <v>0-Months</v>
      </c>
      <c r="F1131" s="8" t="str">
        <f>VLOOKUP(N1131,Stock[#Data],5,FALSE)</f>
        <v>Formula</v>
      </c>
      <c r="G1131" s="82" t="s">
        <v>1675</v>
      </c>
      <c r="H1131" s="15"/>
      <c r="I1131" s="7" t="s">
        <v>141</v>
      </c>
      <c r="J1131" s="8" t="str">
        <f>VLOOKUP(I1131,Customers[#Data],2,FALSE)</f>
        <v>Outlet</v>
      </c>
      <c r="K1131" s="15" t="str">
        <f>VLOOKUP(I1131,Customers[#Data],4,FALSE)</f>
        <v>Maw La Myaing</v>
      </c>
      <c r="L1131" s="15" t="str">
        <f>VLOOKUP(I1131,Customers[#Data],5,FALSE)</f>
        <v>Van Sales</v>
      </c>
      <c r="M1131" s="7" t="s">
        <v>6</v>
      </c>
      <c r="N1131" s="7" t="s">
        <v>530</v>
      </c>
      <c r="O1131" s="14" t="str">
        <f>VLOOKUP(N1131,Stock[#Data],2,FALSE)</f>
        <v>Formula Rum 350ml</v>
      </c>
      <c r="P1131" s="44">
        <f>VLOOKUP(N1131,Stock[#Data],3,FALSE)</f>
        <v>0.35</v>
      </c>
      <c r="Q1131" s="3">
        <f>VLOOKUP(N1131,Stock[#Data],4,FALSE)</f>
        <v>24</v>
      </c>
      <c r="R1131" s="11">
        <v>7</v>
      </c>
      <c r="S1131" s="45">
        <f>IFERROR(Table4[[#This Row],[Bottle]]/Table4[[#This Row],[ပါဝင်မှု]]+Table4[[#This Row],[SalesPK]],0)</f>
        <v>2.2916666666666665</v>
      </c>
      <c r="T1131" s="12">
        <v>2</v>
      </c>
      <c r="U1131" s="10">
        <f>Table4[[#This Row],[ပါဝင်မှု]]*Table4[[#This Row],[SalesPK]]+Table4[[#This Row],[Bottle]]</f>
        <v>55</v>
      </c>
      <c r="V1131" s="10">
        <f>Table4[[#This Row],[SalesBot]]*Table4[[#This Row],[ML]]</f>
        <v>19.25</v>
      </c>
      <c r="W1131" s="1">
        <f>VLOOKUP(N1131,Stock[#Data],6,FALSE)</f>
        <v>2100</v>
      </c>
      <c r="X1131" s="8">
        <f>+Table4[[#This Row],[SalesBot]]*Table4[[#This Row],[နှုံး]]</f>
        <v>115500</v>
      </c>
      <c r="Y1131" s="12"/>
      <c r="Z1131" s="12"/>
      <c r="AA1131" s="12"/>
      <c r="AB1131" s="9"/>
      <c r="AC1131" s="12"/>
      <c r="AD1131" s="9"/>
      <c r="AE1131" s="12"/>
      <c r="AF113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115500</v>
      </c>
      <c r="AG1131" s="24"/>
      <c r="AH1131" s="266"/>
      <c r="AI1131" s="264"/>
      <c r="AJ1131" s="264"/>
      <c r="AK1131" s="270"/>
      <c r="AL1131" s="270"/>
      <c r="AM1131" s="271"/>
      <c r="AN1131" s="272"/>
      <c r="AO1131" s="273"/>
      <c r="AP1131" s="268"/>
      <c r="AQ1131" s="268"/>
      <c r="AR1131" s="268"/>
    </row>
    <row r="1132" spans="1:44" s="16" customFormat="1" x14ac:dyDescent="0.5">
      <c r="A1132" s="3">
        <f t="shared" si="202"/>
        <v>2026</v>
      </c>
      <c r="B1132" s="8">
        <f t="shared" si="203"/>
        <v>3</v>
      </c>
      <c r="C1132" s="6">
        <v>46087</v>
      </c>
      <c r="D1132" s="15">
        <f t="shared" ca="1" si="204"/>
        <v>46097</v>
      </c>
      <c r="E1132" s="15" t="str">
        <f t="shared" ca="1" si="205"/>
        <v>0-Months</v>
      </c>
      <c r="F1132" s="8" t="str">
        <f>VLOOKUP(N1132,Stock[#Data],5,FALSE)</f>
        <v>BE</v>
      </c>
      <c r="G1132" s="82" t="s">
        <v>1676</v>
      </c>
      <c r="H1132" s="15"/>
      <c r="I1132" s="7" t="s">
        <v>535</v>
      </c>
      <c r="J1132" s="8" t="str">
        <f>VLOOKUP(I1132,Customers[#Data],2,FALSE)</f>
        <v>ကိုရဲ</v>
      </c>
      <c r="K1132" s="15" t="str">
        <f>VLOOKUP(I1132,Customers[#Data],4,FALSE)</f>
        <v>Yay</v>
      </c>
      <c r="L1132" s="15" t="str">
        <f>VLOOKUP(I1132,Customers[#Data],5,FALSE)</f>
        <v>Van Sales</v>
      </c>
      <c r="M1132" s="7" t="s">
        <v>6</v>
      </c>
      <c r="N1132" s="7" t="s">
        <v>517</v>
      </c>
      <c r="O1132" s="14" t="str">
        <f>VLOOKUP(N1132,Stock[#Data],2,FALSE)</f>
        <v>ဇေယျဝတီ Red (1 Liter) 30%</v>
      </c>
      <c r="P1132" s="44">
        <f>VLOOKUP(N1132,Stock[#Data],3,FALSE)</f>
        <v>1</v>
      </c>
      <c r="Q1132" s="3">
        <f>VLOOKUP(N1132,Stock[#Data],4,FALSE)</f>
        <v>12</v>
      </c>
      <c r="R1132" s="11"/>
      <c r="S1132" s="45">
        <f>IFERROR(Table4[[#This Row],[Bottle]]/Table4[[#This Row],[ပါဝင်မှု]]+Table4[[#This Row],[SalesPK]],0)</f>
        <v>100</v>
      </c>
      <c r="T1132" s="12">
        <v>100</v>
      </c>
      <c r="U1132" s="10">
        <f>Table4[[#This Row],[ပါဝင်မှု]]*Table4[[#This Row],[SalesPK]]+Table4[[#This Row],[Bottle]]</f>
        <v>1200</v>
      </c>
      <c r="V1132" s="10">
        <f>Table4[[#This Row],[SalesBot]]*Table4[[#This Row],[ML]]</f>
        <v>1200</v>
      </c>
      <c r="W1132" s="1">
        <f>VLOOKUP(N1132,Stock[#Data],6,FALSE)</f>
        <v>1710</v>
      </c>
      <c r="X1132" s="8">
        <f>+Table4[[#This Row],[SalesBot]]*Table4[[#This Row],[နှုံး]]</f>
        <v>2052000</v>
      </c>
      <c r="Y1132" s="12"/>
      <c r="Z1132" s="12"/>
      <c r="AA1132" s="12"/>
      <c r="AB1132" s="9"/>
      <c r="AC1132" s="12"/>
      <c r="AD1132" s="9"/>
      <c r="AE1132" s="12"/>
      <c r="AF113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132" s="24"/>
      <c r="AH1132" s="266"/>
      <c r="AI1132" s="264"/>
      <c r="AJ1132" s="264"/>
      <c r="AK1132" s="270"/>
      <c r="AL1132" s="270"/>
      <c r="AM1132" s="271"/>
      <c r="AN1132" s="272"/>
      <c r="AO1132" s="273"/>
      <c r="AP1132" s="268"/>
      <c r="AQ1132" s="268"/>
      <c r="AR1132" s="268"/>
    </row>
    <row r="1133" spans="1:44" s="16" customFormat="1" x14ac:dyDescent="0.5">
      <c r="A1133" s="3">
        <f t="shared" si="202"/>
        <v>2026</v>
      </c>
      <c r="B1133" s="8">
        <f t="shared" si="203"/>
        <v>3</v>
      </c>
      <c r="C1133" s="6">
        <v>46087</v>
      </c>
      <c r="D1133" s="15">
        <f t="shared" ca="1" si="204"/>
        <v>46097</v>
      </c>
      <c r="E1133" s="15" t="str">
        <f t="shared" ca="1" si="205"/>
        <v>0-Months</v>
      </c>
      <c r="F1133" s="8" t="str">
        <f>VLOOKUP(N1133,Stock[#Data],5,FALSE)</f>
        <v>BE</v>
      </c>
      <c r="G1133" s="82" t="s">
        <v>1677</v>
      </c>
      <c r="H1133" s="15"/>
      <c r="I1133" s="7" t="s">
        <v>538</v>
      </c>
      <c r="J1133" s="8" t="str">
        <f>VLOOKUP(I1133,Customers[#Data],2,FALSE)</f>
        <v>ဒေါ်နွယ်နွယ်ရီ(ရွှေတောင်ကြား)</v>
      </c>
      <c r="K1133" s="15" t="str">
        <f>VLOOKUP(I1133,Customers[#Data],4,FALSE)</f>
        <v>Yay</v>
      </c>
      <c r="L1133" s="15" t="str">
        <f>VLOOKUP(I1133,Customers[#Data],5,FALSE)</f>
        <v>WholeSales</v>
      </c>
      <c r="M1133" s="7" t="s">
        <v>7</v>
      </c>
      <c r="N1133" s="7" t="s">
        <v>517</v>
      </c>
      <c r="O1133" s="14" t="str">
        <f>VLOOKUP(N1133,Stock[#Data],2,FALSE)</f>
        <v>ဇေယျဝတီ Red (1 Liter) 30%</v>
      </c>
      <c r="P1133" s="44">
        <f>VLOOKUP(N1133,Stock[#Data],3,FALSE)</f>
        <v>1</v>
      </c>
      <c r="Q1133" s="3">
        <f>VLOOKUP(N1133,Stock[#Data],4,FALSE)</f>
        <v>12</v>
      </c>
      <c r="R1133" s="11"/>
      <c r="S1133" s="45">
        <f>IFERROR(Table4[[#This Row],[Bottle]]/Table4[[#This Row],[ပါဝင်မှု]]+Table4[[#This Row],[SalesPK]],0)</f>
        <v>100</v>
      </c>
      <c r="T1133" s="12">
        <v>100</v>
      </c>
      <c r="U1133" s="10">
        <f>Table4[[#This Row],[ပါဝင်မှု]]*Table4[[#This Row],[SalesPK]]+Table4[[#This Row],[Bottle]]</f>
        <v>1200</v>
      </c>
      <c r="V1133" s="10">
        <f>Table4[[#This Row],[SalesBot]]*Table4[[#This Row],[ML]]</f>
        <v>1200</v>
      </c>
      <c r="W1133" s="1">
        <f>VLOOKUP(N1133,Stock[#Data],6,FALSE)</f>
        <v>1710</v>
      </c>
      <c r="X1133" s="8">
        <f>+Table4[[#This Row],[SalesBot]]*Table4[[#This Row],[နှုံး]]</f>
        <v>2052000</v>
      </c>
      <c r="Y1133" s="12"/>
      <c r="Z1133" s="12"/>
      <c r="AA1133" s="12"/>
      <c r="AB1133" s="9"/>
      <c r="AC1133" s="12"/>
      <c r="AD1133" s="9"/>
      <c r="AE1133" s="12"/>
      <c r="AF113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133" s="24"/>
      <c r="AH1133" s="266"/>
      <c r="AI1133" s="264"/>
      <c r="AJ1133" s="264"/>
      <c r="AK1133" s="270"/>
      <c r="AL1133" s="270"/>
      <c r="AM1133" s="271"/>
      <c r="AN1133" s="272"/>
      <c r="AO1133" s="273"/>
      <c r="AP1133" s="268"/>
      <c r="AQ1133" s="268"/>
      <c r="AR1133" s="268"/>
    </row>
    <row r="1134" spans="1:44" s="16" customFormat="1" x14ac:dyDescent="0.5">
      <c r="A1134" s="3">
        <f t="shared" si="202"/>
        <v>2026</v>
      </c>
      <c r="B1134" s="8">
        <f t="shared" si="203"/>
        <v>3</v>
      </c>
      <c r="C1134" s="6">
        <v>46087</v>
      </c>
      <c r="D1134" s="15">
        <f t="shared" ca="1" si="204"/>
        <v>46097</v>
      </c>
      <c r="E1134" s="15" t="str">
        <f t="shared" ca="1" si="205"/>
        <v>0-Months</v>
      </c>
      <c r="F1134" s="8" t="str">
        <f>VLOOKUP(N1134,Stock[#Data],5,FALSE)</f>
        <v>BE</v>
      </c>
      <c r="G1134" s="82" t="s">
        <v>1678</v>
      </c>
      <c r="H1134" s="15"/>
      <c r="I1134" s="7" t="s">
        <v>95</v>
      </c>
      <c r="J1134" s="8" t="str">
        <f>VLOOKUP(I1134,Customers[#Data],2,FALSE)</f>
        <v>ကျော်စတား</v>
      </c>
      <c r="K1134" s="15" t="str">
        <f>VLOOKUP(I1134,Customers[#Data],4,FALSE)</f>
        <v>Yay</v>
      </c>
      <c r="L1134" s="15" t="str">
        <f>VLOOKUP(I1134,Customers[#Data],5,FALSE)</f>
        <v>WholeSales</v>
      </c>
      <c r="M1134" s="7" t="s">
        <v>7</v>
      </c>
      <c r="N1134" s="7" t="s">
        <v>514</v>
      </c>
      <c r="O1134" s="14" t="str">
        <f>VLOOKUP(N1134,Stock[#Data],2,FALSE)</f>
        <v>ဇေယျဝတီ Red</v>
      </c>
      <c r="P1134" s="44">
        <f>VLOOKUP(N1134,Stock[#Data],3,FALSE)</f>
        <v>0.64</v>
      </c>
      <c r="Q1134" s="3">
        <f>VLOOKUP(N1134,Stock[#Data],4,FALSE)</f>
        <v>14</v>
      </c>
      <c r="R1134" s="11"/>
      <c r="S1134" s="45">
        <f>IFERROR(Table4[[#This Row],[Bottle]]/Table4[[#This Row],[ပါဝင်မှု]]+Table4[[#This Row],[SalesPK]],0)</f>
        <v>185</v>
      </c>
      <c r="T1134" s="12">
        <v>185</v>
      </c>
      <c r="U1134" s="10">
        <f>Table4[[#This Row],[ပါဝင်မှု]]*Table4[[#This Row],[SalesPK]]+Table4[[#This Row],[Bottle]]</f>
        <v>2590</v>
      </c>
      <c r="V1134" s="10">
        <f>Table4[[#This Row],[SalesBot]]*Table4[[#This Row],[ML]]</f>
        <v>1657.6000000000001</v>
      </c>
      <c r="W1134" s="1">
        <f>VLOOKUP(N1134,Stock[#Data],6,FALSE)</f>
        <v>1350</v>
      </c>
      <c r="X1134" s="8">
        <f>+Table4[[#This Row],[SalesBot]]*Table4[[#This Row],[နှုံး]]</f>
        <v>3496500</v>
      </c>
      <c r="Y1134" s="12"/>
      <c r="Z1134" s="12"/>
      <c r="AA1134" s="12"/>
      <c r="AB1134" s="9"/>
      <c r="AC1134" s="12"/>
      <c r="AD1134" s="9"/>
      <c r="AE1134" s="12"/>
      <c r="AF113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3496500</v>
      </c>
      <c r="AG1134" s="24"/>
      <c r="AH1134" s="266"/>
      <c r="AI1134" s="264"/>
      <c r="AJ1134" s="264"/>
      <c r="AK1134" s="270"/>
      <c r="AL1134" s="270"/>
      <c r="AM1134" s="271"/>
      <c r="AN1134" s="272"/>
      <c r="AO1134" s="273"/>
      <c r="AP1134" s="268"/>
      <c r="AQ1134" s="268"/>
      <c r="AR1134" s="268"/>
    </row>
    <row r="1135" spans="1:44" s="16" customFormat="1" x14ac:dyDescent="0.5">
      <c r="A1135" s="3">
        <f t="shared" si="202"/>
        <v>2026</v>
      </c>
      <c r="B1135" s="8">
        <f t="shared" si="203"/>
        <v>3</v>
      </c>
      <c r="C1135" s="6">
        <v>46087</v>
      </c>
      <c r="D1135" s="15">
        <f t="shared" ca="1" si="204"/>
        <v>46097</v>
      </c>
      <c r="E1135" s="15" t="str">
        <f t="shared" ca="1" si="205"/>
        <v>0-Months</v>
      </c>
      <c r="F1135" s="8" t="str">
        <f>VLOOKUP(N1135,Stock[#Data],5,FALSE)</f>
        <v>BE</v>
      </c>
      <c r="G1135" s="82" t="s">
        <v>1678</v>
      </c>
      <c r="H1135" s="15"/>
      <c r="I1135" s="7" t="s">
        <v>95</v>
      </c>
      <c r="J1135" s="8" t="str">
        <f>VLOOKUP(I1135,Customers[#Data],2,FALSE)</f>
        <v>ကျော်စတား</v>
      </c>
      <c r="K1135" s="15" t="str">
        <f>VLOOKUP(I1135,Customers[#Data],4,FALSE)</f>
        <v>Yay</v>
      </c>
      <c r="L1135" s="15" t="str">
        <f>VLOOKUP(I1135,Customers[#Data],5,FALSE)</f>
        <v>WholeSales</v>
      </c>
      <c r="M1135" s="7" t="s">
        <v>7</v>
      </c>
      <c r="N1135" s="7" t="s">
        <v>517</v>
      </c>
      <c r="O1135" s="14" t="str">
        <f>VLOOKUP(N1135,Stock[#Data],2,FALSE)</f>
        <v>ဇေယျဝတီ Red (1 Liter) 30%</v>
      </c>
      <c r="P1135" s="44">
        <f>VLOOKUP(N1135,Stock[#Data],3,FALSE)</f>
        <v>1</v>
      </c>
      <c r="Q1135" s="3">
        <f>VLOOKUP(N1135,Stock[#Data],4,FALSE)</f>
        <v>12</v>
      </c>
      <c r="R1135" s="11"/>
      <c r="S1135" s="45">
        <f>IFERROR(Table4[[#This Row],[Bottle]]/Table4[[#This Row],[ပါဝင်မှု]]+Table4[[#This Row],[SalesPK]],0)</f>
        <v>330</v>
      </c>
      <c r="T1135" s="12">
        <v>330</v>
      </c>
      <c r="U1135" s="10">
        <f>Table4[[#This Row],[ပါဝင်မှု]]*Table4[[#This Row],[SalesPK]]+Table4[[#This Row],[Bottle]]</f>
        <v>3960</v>
      </c>
      <c r="V1135" s="10">
        <f>Table4[[#This Row],[SalesBot]]*Table4[[#This Row],[ML]]</f>
        <v>3960</v>
      </c>
      <c r="W1135" s="1">
        <f>VLOOKUP(N1135,Stock[#Data],6,FALSE)</f>
        <v>1710</v>
      </c>
      <c r="X1135" s="8">
        <f>+Table4[[#This Row],[SalesBot]]*Table4[[#This Row],[နှုံး]]</f>
        <v>6771600</v>
      </c>
      <c r="Y1135" s="12"/>
      <c r="Z1135" s="12"/>
      <c r="AA1135" s="12"/>
      <c r="AB1135" s="9"/>
      <c r="AC1135" s="12"/>
      <c r="AD1135" s="9"/>
      <c r="AE1135" s="12"/>
      <c r="AF113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6771600</v>
      </c>
      <c r="AG1135" s="24"/>
      <c r="AH1135" s="266"/>
      <c r="AI1135" s="264"/>
      <c r="AJ1135" s="264"/>
      <c r="AK1135" s="270"/>
      <c r="AL1135" s="270"/>
      <c r="AM1135" s="271"/>
      <c r="AN1135" s="272"/>
      <c r="AO1135" s="273"/>
      <c r="AP1135" s="268"/>
      <c r="AQ1135" s="268"/>
      <c r="AR1135" s="268"/>
    </row>
    <row r="1136" spans="1:44" s="16" customFormat="1" x14ac:dyDescent="0.5">
      <c r="A1136" s="3">
        <f t="shared" si="202"/>
        <v>2026</v>
      </c>
      <c r="B1136" s="8">
        <f t="shared" si="203"/>
        <v>3</v>
      </c>
      <c r="C1136" s="6">
        <v>46087</v>
      </c>
      <c r="D1136" s="15">
        <f t="shared" ca="1" si="204"/>
        <v>46097</v>
      </c>
      <c r="E1136" s="15" t="str">
        <f t="shared" ca="1" si="205"/>
        <v>0-Months</v>
      </c>
      <c r="F1136" s="8" t="str">
        <f>VLOOKUP(N1136,Stock[#Data],5,FALSE)</f>
        <v>BE</v>
      </c>
      <c r="G1136" s="82" t="s">
        <v>1678</v>
      </c>
      <c r="H1136" s="15"/>
      <c r="I1136" s="7" t="s">
        <v>95</v>
      </c>
      <c r="J1136" s="8" t="str">
        <f>VLOOKUP(I1136,Customers[#Data],2,FALSE)</f>
        <v>ကျော်စတား</v>
      </c>
      <c r="K1136" s="15" t="str">
        <f>VLOOKUP(I1136,Customers[#Data],4,FALSE)</f>
        <v>Yay</v>
      </c>
      <c r="L1136" s="15" t="str">
        <f>VLOOKUP(I1136,Customers[#Data],5,FALSE)</f>
        <v>WholeSales</v>
      </c>
      <c r="M1136" s="7" t="s">
        <v>7</v>
      </c>
      <c r="N1136" s="7" t="s">
        <v>514</v>
      </c>
      <c r="O1136" s="14" t="str">
        <f>VLOOKUP(N1136,Stock[#Data],2,FALSE)</f>
        <v>ဇေယျဝတီ Red</v>
      </c>
      <c r="P1136" s="44">
        <f>VLOOKUP(N1136,Stock[#Data],3,FALSE)</f>
        <v>0.64</v>
      </c>
      <c r="Q1136" s="3">
        <f>VLOOKUP(N1136,Stock[#Data],4,FALSE)</f>
        <v>14</v>
      </c>
      <c r="R1136" s="11"/>
      <c r="S1136" s="45">
        <f>IFERROR(Table4[[#This Row],[Bottle]]/Table4[[#This Row],[ပါဝင်မှု]]+Table4[[#This Row],[SalesPK]],0)</f>
        <v>200</v>
      </c>
      <c r="T1136" s="12">
        <v>200</v>
      </c>
      <c r="U1136" s="10">
        <f>Table4[[#This Row],[ပါဝင်မှု]]*Table4[[#This Row],[SalesPK]]+Table4[[#This Row],[Bottle]]</f>
        <v>2800</v>
      </c>
      <c r="V1136" s="10">
        <f>Table4[[#This Row],[SalesBot]]*Table4[[#This Row],[ML]]</f>
        <v>1792</v>
      </c>
      <c r="W1136" s="1">
        <f>VLOOKUP(N1136,Stock[#Data],6,FALSE)</f>
        <v>1350</v>
      </c>
      <c r="X1136" s="8">
        <f>+Table4[[#This Row],[SalesBot]]*Table4[[#This Row],[နှုံး]]</f>
        <v>3780000</v>
      </c>
      <c r="Y1136" s="12"/>
      <c r="Z1136" s="12"/>
      <c r="AA1136" s="12"/>
      <c r="AB1136" s="9"/>
      <c r="AC1136" s="12"/>
      <c r="AD1136" s="9"/>
      <c r="AE1136" s="12"/>
      <c r="AF113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3780000</v>
      </c>
      <c r="AG1136" s="24"/>
      <c r="AH1136" s="266"/>
      <c r="AI1136" s="264"/>
      <c r="AJ1136" s="264"/>
      <c r="AK1136" s="270"/>
      <c r="AL1136" s="270"/>
      <c r="AM1136" s="271"/>
      <c r="AN1136" s="272"/>
      <c r="AO1136" s="273"/>
      <c r="AP1136" s="268"/>
      <c r="AQ1136" s="268"/>
      <c r="AR1136" s="268"/>
    </row>
    <row r="1137" spans="1:44" s="16" customFormat="1" x14ac:dyDescent="0.5">
      <c r="A1137" s="3">
        <f t="shared" si="202"/>
        <v>2026</v>
      </c>
      <c r="B1137" s="8">
        <f t="shared" si="203"/>
        <v>3</v>
      </c>
      <c r="C1137" s="6">
        <v>46088</v>
      </c>
      <c r="D1137" s="15">
        <f t="shared" ca="1" si="204"/>
        <v>46097</v>
      </c>
      <c r="E1137" s="15" t="str">
        <f t="shared" ca="1" si="205"/>
        <v>0-Months</v>
      </c>
      <c r="F1137" s="8" t="str">
        <f>VLOOKUP(N1137,Stock[#Data],5,FALSE)</f>
        <v>BE</v>
      </c>
      <c r="G1137" s="82" t="s">
        <v>1679</v>
      </c>
      <c r="H1137" s="15"/>
      <c r="I1137" s="7" t="s">
        <v>83</v>
      </c>
      <c r="J1137" s="8" t="str">
        <f>VLOOKUP(I1137,Customers[#Data],2,FALSE)</f>
        <v>ကိုစိုးနိုင်</v>
      </c>
      <c r="K1137" s="15" t="str">
        <f>VLOOKUP(I1137,Customers[#Data],4,FALSE)</f>
        <v>Paung</v>
      </c>
      <c r="L1137" s="15" t="str">
        <f>VLOOKUP(I1137,Customers[#Data],5,FALSE)</f>
        <v>Van Sales</v>
      </c>
      <c r="M1137" s="7" t="s">
        <v>7</v>
      </c>
      <c r="N1137" s="7" t="s">
        <v>516</v>
      </c>
      <c r="O1137" s="14" t="str">
        <f>VLOOKUP(N1137,Stock[#Data],2,FALSE)</f>
        <v>ဇေ Vodka</v>
      </c>
      <c r="P1137" s="44">
        <f>VLOOKUP(N1137,Stock[#Data],3,FALSE)</f>
        <v>0.64</v>
      </c>
      <c r="Q1137" s="3">
        <f>VLOOKUP(N1137,Stock[#Data],4,FALSE)</f>
        <v>14</v>
      </c>
      <c r="R1137" s="11"/>
      <c r="S1137" s="45">
        <f>IFERROR(Table4[[#This Row],[Bottle]]/Table4[[#This Row],[ပါဝင်မှု]]+Table4[[#This Row],[SalesPK]],0)</f>
        <v>30</v>
      </c>
      <c r="T1137" s="12">
        <v>30</v>
      </c>
      <c r="U1137" s="10">
        <f>Table4[[#This Row],[ပါဝင်မှု]]*Table4[[#This Row],[SalesPK]]+Table4[[#This Row],[Bottle]]</f>
        <v>420</v>
      </c>
      <c r="V1137" s="10">
        <f>Table4[[#This Row],[SalesBot]]*Table4[[#This Row],[ML]]</f>
        <v>268.8</v>
      </c>
      <c r="W1137" s="1">
        <f>VLOOKUP(N1137,Stock[#Data],6,FALSE)</f>
        <v>1400</v>
      </c>
      <c r="X1137" s="8">
        <f>+Table4[[#This Row],[SalesBot]]*Table4[[#This Row],[နှုံး]]</f>
        <v>588000</v>
      </c>
      <c r="Y1137" s="12"/>
      <c r="Z1137" s="12"/>
      <c r="AA1137" s="12"/>
      <c r="AB1137" s="9"/>
      <c r="AC1137" s="12"/>
      <c r="AD1137" s="9"/>
      <c r="AE1137" s="12"/>
      <c r="AF113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588000</v>
      </c>
      <c r="AG1137" s="24"/>
      <c r="AH1137" s="266"/>
      <c r="AI1137" s="264"/>
      <c r="AJ1137" s="264"/>
      <c r="AK1137" s="270"/>
      <c r="AL1137" s="270"/>
      <c r="AM1137" s="271"/>
      <c r="AN1137" s="272"/>
      <c r="AO1137" s="273"/>
      <c r="AP1137" s="268"/>
      <c r="AQ1137" s="268"/>
      <c r="AR1137" s="268"/>
    </row>
    <row r="1138" spans="1:44" s="16" customFormat="1" x14ac:dyDescent="0.5">
      <c r="A1138" s="3">
        <f t="shared" si="202"/>
        <v>2026</v>
      </c>
      <c r="B1138" s="8">
        <f t="shared" si="203"/>
        <v>3</v>
      </c>
      <c r="C1138" s="6">
        <v>46088</v>
      </c>
      <c r="D1138" s="15">
        <f t="shared" ca="1" si="204"/>
        <v>46097</v>
      </c>
      <c r="E1138" s="15" t="str">
        <f t="shared" ca="1" si="205"/>
        <v>0-Months</v>
      </c>
      <c r="F1138" s="8" t="str">
        <f>VLOOKUP(N1138,Stock[#Data],5,FALSE)</f>
        <v>BE</v>
      </c>
      <c r="G1138" s="82" t="s">
        <v>1679</v>
      </c>
      <c r="H1138" s="15"/>
      <c r="I1138" s="7" t="s">
        <v>83</v>
      </c>
      <c r="J1138" s="8" t="str">
        <f>VLOOKUP(I1138,Customers[#Data],2,FALSE)</f>
        <v>ကိုစိုးနိုင်</v>
      </c>
      <c r="K1138" s="15" t="str">
        <f>VLOOKUP(I1138,Customers[#Data],4,FALSE)</f>
        <v>Paung</v>
      </c>
      <c r="L1138" s="15" t="str">
        <f>VLOOKUP(I1138,Customers[#Data],5,FALSE)</f>
        <v>Van Sales</v>
      </c>
      <c r="M1138" s="7" t="s">
        <v>7</v>
      </c>
      <c r="N1138" s="7" t="s">
        <v>521</v>
      </c>
      <c r="O1138" s="14" t="str">
        <f>VLOOKUP(N1138,Stock[#Data],2,FALSE)</f>
        <v>ဒဂုံအရက်သန့်</v>
      </c>
      <c r="P1138" s="44">
        <f>VLOOKUP(N1138,Stock[#Data],3,FALSE)</f>
        <v>0.64</v>
      </c>
      <c r="Q1138" s="3">
        <f>VLOOKUP(N1138,Stock[#Data],4,FALSE)</f>
        <v>24</v>
      </c>
      <c r="R1138" s="11"/>
      <c r="S1138" s="45">
        <f>IFERROR(Table4[[#This Row],[Bottle]]/Table4[[#This Row],[ပါဝင်မှု]]+Table4[[#This Row],[SalesPK]],0)</f>
        <v>10</v>
      </c>
      <c r="T1138" s="12">
        <v>10</v>
      </c>
      <c r="U1138" s="10">
        <f>Table4[[#This Row],[ပါဝင်မှု]]*Table4[[#This Row],[SalesPK]]+Table4[[#This Row],[Bottle]]</f>
        <v>240</v>
      </c>
      <c r="V1138" s="10">
        <f>Table4[[#This Row],[SalesBot]]*Table4[[#This Row],[ML]]</f>
        <v>153.6</v>
      </c>
      <c r="W1138" s="1">
        <f>VLOOKUP(N1138,Stock[#Data],6,FALSE)</f>
        <v>1350</v>
      </c>
      <c r="X1138" s="8">
        <f>+Table4[[#This Row],[SalesBot]]*Table4[[#This Row],[နှုံး]]</f>
        <v>324000</v>
      </c>
      <c r="Y1138" s="12"/>
      <c r="Z1138" s="12"/>
      <c r="AA1138" s="12"/>
      <c r="AB1138" s="9"/>
      <c r="AC1138" s="12"/>
      <c r="AD1138" s="9"/>
      <c r="AE1138" s="12"/>
      <c r="AF113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324000</v>
      </c>
      <c r="AG1138" s="24"/>
      <c r="AH1138" s="266"/>
      <c r="AI1138" s="264"/>
      <c r="AJ1138" s="264"/>
      <c r="AK1138" s="270"/>
      <c r="AL1138" s="270"/>
      <c r="AM1138" s="271"/>
      <c r="AN1138" s="272"/>
      <c r="AO1138" s="273"/>
      <c r="AP1138" s="268"/>
      <c r="AQ1138" s="268"/>
      <c r="AR1138" s="268"/>
    </row>
    <row r="1139" spans="1:44" s="16" customFormat="1" x14ac:dyDescent="0.5">
      <c r="A1139" s="3">
        <f t="shared" si="202"/>
        <v>2026</v>
      </c>
      <c r="B1139" s="8">
        <f t="shared" si="203"/>
        <v>3</v>
      </c>
      <c r="C1139" s="6">
        <v>46088</v>
      </c>
      <c r="D1139" s="15">
        <f t="shared" ca="1" si="204"/>
        <v>46097</v>
      </c>
      <c r="E1139" s="15" t="str">
        <f t="shared" ca="1" si="205"/>
        <v>0-Months</v>
      </c>
      <c r="F1139" s="8" t="str">
        <f>VLOOKUP(N1139,Stock[#Data],5,FALSE)</f>
        <v>BE</v>
      </c>
      <c r="G1139" s="82" t="s">
        <v>1680</v>
      </c>
      <c r="H1139" s="15"/>
      <c r="I1139" s="7" t="s">
        <v>95</v>
      </c>
      <c r="J1139" s="8" t="str">
        <f>VLOOKUP(I1139,Customers[#Data],2,FALSE)</f>
        <v>ကျော်စတား</v>
      </c>
      <c r="K1139" s="15" t="str">
        <f>VLOOKUP(I1139,Customers[#Data],4,FALSE)</f>
        <v>Yay</v>
      </c>
      <c r="L1139" s="15" t="str">
        <f>VLOOKUP(I1139,Customers[#Data],5,FALSE)</f>
        <v>WholeSales</v>
      </c>
      <c r="M1139" s="7" t="s">
        <v>7</v>
      </c>
      <c r="N1139" s="7" t="s">
        <v>514</v>
      </c>
      <c r="O1139" s="14" t="str">
        <f>VLOOKUP(N1139,Stock[#Data],2,FALSE)</f>
        <v>ဇေယျဝတီ Red</v>
      </c>
      <c r="P1139" s="44">
        <f>VLOOKUP(N1139,Stock[#Data],3,FALSE)</f>
        <v>0.64</v>
      </c>
      <c r="Q1139" s="3">
        <f>VLOOKUP(N1139,Stock[#Data],4,FALSE)</f>
        <v>14</v>
      </c>
      <c r="R1139" s="11"/>
      <c r="S1139" s="45">
        <f>IFERROR(Table4[[#This Row],[Bottle]]/Table4[[#This Row],[ပါဝင်မှု]]+Table4[[#This Row],[SalesPK]],0)</f>
        <v>130</v>
      </c>
      <c r="T1139" s="12">
        <v>130</v>
      </c>
      <c r="U1139" s="10">
        <f>Table4[[#This Row],[ပါဝင်မှု]]*Table4[[#This Row],[SalesPK]]+Table4[[#This Row],[Bottle]]</f>
        <v>1820</v>
      </c>
      <c r="V1139" s="10">
        <f>Table4[[#This Row],[SalesBot]]*Table4[[#This Row],[ML]]</f>
        <v>1164.8</v>
      </c>
      <c r="W1139" s="1">
        <f>VLOOKUP(N1139,Stock[#Data],6,FALSE)</f>
        <v>1350</v>
      </c>
      <c r="X1139" s="8">
        <f>+Table4[[#This Row],[SalesBot]]*Table4[[#This Row],[နှုံး]]</f>
        <v>2457000</v>
      </c>
      <c r="Y1139" s="12"/>
      <c r="Z1139" s="12"/>
      <c r="AA1139" s="12"/>
      <c r="AB1139" s="9"/>
      <c r="AC1139" s="12"/>
      <c r="AD1139" s="9"/>
      <c r="AE1139" s="12"/>
      <c r="AF113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2457000</v>
      </c>
      <c r="AG1139" s="24"/>
      <c r="AH1139" s="266"/>
      <c r="AI1139" s="264"/>
      <c r="AJ1139" s="264"/>
      <c r="AK1139" s="270"/>
      <c r="AL1139" s="270"/>
      <c r="AM1139" s="271"/>
      <c r="AN1139" s="272"/>
      <c r="AO1139" s="273"/>
      <c r="AP1139" s="268"/>
      <c r="AQ1139" s="268"/>
      <c r="AR1139" s="268"/>
    </row>
    <row r="1140" spans="1:44" s="16" customFormat="1" x14ac:dyDescent="0.5">
      <c r="A1140" s="3">
        <f t="shared" si="202"/>
        <v>2026</v>
      </c>
      <c r="B1140" s="8">
        <f t="shared" si="203"/>
        <v>3</v>
      </c>
      <c r="C1140" s="6">
        <v>46088</v>
      </c>
      <c r="D1140" s="15">
        <f t="shared" ca="1" si="204"/>
        <v>46097</v>
      </c>
      <c r="E1140" s="15" t="str">
        <f t="shared" ca="1" si="205"/>
        <v>0-Months</v>
      </c>
      <c r="F1140" s="8" t="str">
        <f>VLOOKUP(N1140,Stock[#Data],5,FALSE)</f>
        <v>BE</v>
      </c>
      <c r="G1140" s="82" t="s">
        <v>1680</v>
      </c>
      <c r="H1140" s="15"/>
      <c r="I1140" s="7" t="s">
        <v>95</v>
      </c>
      <c r="J1140" s="8" t="str">
        <f>VLOOKUP(I1140,Customers[#Data],2,FALSE)</f>
        <v>ကျော်စတား</v>
      </c>
      <c r="K1140" s="15" t="str">
        <f>VLOOKUP(I1140,Customers[#Data],4,FALSE)</f>
        <v>Yay</v>
      </c>
      <c r="L1140" s="15" t="str">
        <f>VLOOKUP(I1140,Customers[#Data],5,FALSE)</f>
        <v>WholeSales</v>
      </c>
      <c r="M1140" s="7" t="s">
        <v>7</v>
      </c>
      <c r="N1140" s="7" t="s">
        <v>517</v>
      </c>
      <c r="O1140" s="14" t="str">
        <f>VLOOKUP(N1140,Stock[#Data],2,FALSE)</f>
        <v>ဇေယျဝတီ Red (1 Liter) 30%</v>
      </c>
      <c r="P1140" s="44">
        <f>VLOOKUP(N1140,Stock[#Data],3,FALSE)</f>
        <v>1</v>
      </c>
      <c r="Q1140" s="3">
        <f>VLOOKUP(N1140,Stock[#Data],4,FALSE)</f>
        <v>12</v>
      </c>
      <c r="R1140" s="11"/>
      <c r="S1140" s="45">
        <f>IFERROR(Table4[[#This Row],[Bottle]]/Table4[[#This Row],[ပါဝင်မှု]]+Table4[[#This Row],[SalesPK]],0)</f>
        <v>50</v>
      </c>
      <c r="T1140" s="12">
        <v>50</v>
      </c>
      <c r="U1140" s="10">
        <f>Table4[[#This Row],[ပါဝင်မှု]]*Table4[[#This Row],[SalesPK]]+Table4[[#This Row],[Bottle]]</f>
        <v>600</v>
      </c>
      <c r="V1140" s="10">
        <f>Table4[[#This Row],[SalesBot]]*Table4[[#This Row],[ML]]</f>
        <v>600</v>
      </c>
      <c r="W1140" s="1">
        <f>VLOOKUP(N1140,Stock[#Data],6,FALSE)</f>
        <v>1710</v>
      </c>
      <c r="X1140" s="8">
        <f>+Table4[[#This Row],[SalesBot]]*Table4[[#This Row],[နှုံး]]</f>
        <v>1026000</v>
      </c>
      <c r="Y1140" s="12"/>
      <c r="Z1140" s="12"/>
      <c r="AA1140" s="12"/>
      <c r="AB1140" s="9"/>
      <c r="AC1140" s="12"/>
      <c r="AD1140" s="9"/>
      <c r="AE1140" s="12"/>
      <c r="AF114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1140" s="24"/>
      <c r="AH1140" s="266"/>
      <c r="AI1140" s="264"/>
      <c r="AJ1140" s="264"/>
      <c r="AK1140" s="270"/>
      <c r="AL1140" s="270"/>
      <c r="AM1140" s="271"/>
      <c r="AN1140" s="272"/>
      <c r="AO1140" s="273"/>
      <c r="AP1140" s="268"/>
      <c r="AQ1140" s="268"/>
      <c r="AR1140" s="268"/>
    </row>
    <row r="1141" spans="1:44" s="16" customFormat="1" x14ac:dyDescent="0.5">
      <c r="A1141" s="3">
        <f t="shared" si="202"/>
        <v>2026</v>
      </c>
      <c r="B1141" s="8">
        <f t="shared" si="203"/>
        <v>3</v>
      </c>
      <c r="C1141" s="6">
        <v>46088</v>
      </c>
      <c r="D1141" s="15">
        <f t="shared" ca="1" si="204"/>
        <v>46097</v>
      </c>
      <c r="E1141" s="15" t="str">
        <f t="shared" ca="1" si="205"/>
        <v>0-Months</v>
      </c>
      <c r="F1141" s="8" t="str">
        <f>VLOOKUP(N1141,Stock[#Data],5,FALSE)</f>
        <v>BE</v>
      </c>
      <c r="G1141" s="82" t="s">
        <v>1681</v>
      </c>
      <c r="H1141" s="15"/>
      <c r="I1141" s="7" t="s">
        <v>538</v>
      </c>
      <c r="J1141" s="8" t="str">
        <f>VLOOKUP(I1141,Customers[#Data],2,FALSE)</f>
        <v>ဒေါ်နွယ်နွယ်ရီ(ရွှေတောင်ကြား)</v>
      </c>
      <c r="K1141" s="15" t="str">
        <f>VLOOKUP(I1141,Customers[#Data],4,FALSE)</f>
        <v>Yay</v>
      </c>
      <c r="L1141" s="15" t="str">
        <f>VLOOKUP(I1141,Customers[#Data],5,FALSE)</f>
        <v>WholeSales</v>
      </c>
      <c r="M1141" s="7" t="s">
        <v>7</v>
      </c>
      <c r="N1141" s="7" t="s">
        <v>514</v>
      </c>
      <c r="O1141" s="14" t="str">
        <f>VLOOKUP(N1141,Stock[#Data],2,FALSE)</f>
        <v>ဇေယျဝတီ Red</v>
      </c>
      <c r="P1141" s="44">
        <f>VLOOKUP(N1141,Stock[#Data],3,FALSE)</f>
        <v>0.64</v>
      </c>
      <c r="Q1141" s="3">
        <f>VLOOKUP(N1141,Stock[#Data],4,FALSE)</f>
        <v>14</v>
      </c>
      <c r="R1141" s="11"/>
      <c r="S1141" s="45">
        <f>IFERROR(Table4[[#This Row],[Bottle]]/Table4[[#This Row],[ပါဝင်မှု]]+Table4[[#This Row],[SalesPK]],0)</f>
        <v>500</v>
      </c>
      <c r="T1141" s="12">
        <v>500</v>
      </c>
      <c r="U1141" s="10">
        <f>Table4[[#This Row],[ပါဝင်မှု]]*Table4[[#This Row],[SalesPK]]+Table4[[#This Row],[Bottle]]</f>
        <v>7000</v>
      </c>
      <c r="V1141" s="10">
        <f>Table4[[#This Row],[SalesBot]]*Table4[[#This Row],[ML]]</f>
        <v>4480</v>
      </c>
      <c r="W1141" s="1">
        <f>VLOOKUP(N1141,Stock[#Data],6,FALSE)</f>
        <v>1350</v>
      </c>
      <c r="X1141" s="8">
        <f>+Table4[[#This Row],[SalesBot]]*Table4[[#This Row],[နှုံး]]</f>
        <v>9450000</v>
      </c>
      <c r="Y1141" s="12"/>
      <c r="Z1141" s="12"/>
      <c r="AA1141" s="12"/>
      <c r="AB1141" s="9"/>
      <c r="AC1141" s="12"/>
      <c r="AD1141" s="9"/>
      <c r="AE1141" s="12"/>
      <c r="AF114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9450000</v>
      </c>
      <c r="AG1141" s="24"/>
      <c r="AH1141" s="266"/>
      <c r="AI1141" s="264"/>
      <c r="AJ1141" s="264"/>
      <c r="AK1141" s="270"/>
      <c r="AL1141" s="270"/>
      <c r="AM1141" s="271"/>
      <c r="AN1141" s="272"/>
      <c r="AO1141" s="273"/>
      <c r="AP1141" s="268"/>
      <c r="AQ1141" s="268"/>
      <c r="AR1141" s="268"/>
    </row>
    <row r="1142" spans="1:44" s="16" customFormat="1" x14ac:dyDescent="0.5">
      <c r="A1142" s="3">
        <f t="shared" si="202"/>
        <v>2026</v>
      </c>
      <c r="B1142" s="8">
        <f t="shared" si="203"/>
        <v>3</v>
      </c>
      <c r="C1142" s="6">
        <v>46088</v>
      </c>
      <c r="D1142" s="15">
        <f t="shared" ca="1" si="204"/>
        <v>46097</v>
      </c>
      <c r="E1142" s="15" t="str">
        <f t="shared" ca="1" si="205"/>
        <v>0-Months</v>
      </c>
      <c r="F1142" s="8" t="str">
        <f>VLOOKUP(N1142,Stock[#Data],5,FALSE)</f>
        <v>BE</v>
      </c>
      <c r="G1142" s="82" t="s">
        <v>1682</v>
      </c>
      <c r="H1142" s="15"/>
      <c r="I1142" s="7" t="s">
        <v>95</v>
      </c>
      <c r="J1142" s="8" t="str">
        <f>VLOOKUP(I1142,Customers[#Data],2,FALSE)</f>
        <v>ကျော်စတား</v>
      </c>
      <c r="K1142" s="15" t="str">
        <f>VLOOKUP(I1142,Customers[#Data],4,FALSE)</f>
        <v>Yay</v>
      </c>
      <c r="L1142" s="15" t="str">
        <f>VLOOKUP(I1142,Customers[#Data],5,FALSE)</f>
        <v>WholeSales</v>
      </c>
      <c r="M1142" s="7" t="s">
        <v>7</v>
      </c>
      <c r="N1142" s="7" t="s">
        <v>514</v>
      </c>
      <c r="O1142" s="14" t="str">
        <f>VLOOKUP(N1142,Stock[#Data],2,FALSE)</f>
        <v>ဇေယျဝတီ Red</v>
      </c>
      <c r="P1142" s="44">
        <f>VLOOKUP(N1142,Stock[#Data],3,FALSE)</f>
        <v>0.64</v>
      </c>
      <c r="Q1142" s="3">
        <f>VLOOKUP(N1142,Stock[#Data],4,FALSE)</f>
        <v>14</v>
      </c>
      <c r="R1142" s="11"/>
      <c r="S1142" s="45">
        <f>IFERROR(Table4[[#This Row],[Bottle]]/Table4[[#This Row],[ပါဝင်မှု]]+Table4[[#This Row],[SalesPK]],0)</f>
        <v>100</v>
      </c>
      <c r="T1142" s="12">
        <v>100</v>
      </c>
      <c r="U1142" s="10">
        <f>Table4[[#This Row],[ပါဝင်မှု]]*Table4[[#This Row],[SalesPK]]+Table4[[#This Row],[Bottle]]</f>
        <v>1400</v>
      </c>
      <c r="V1142" s="10">
        <f>Table4[[#This Row],[SalesBot]]*Table4[[#This Row],[ML]]</f>
        <v>896</v>
      </c>
      <c r="W1142" s="1">
        <f>VLOOKUP(N1142,Stock[#Data],6,FALSE)</f>
        <v>1350</v>
      </c>
      <c r="X1142" s="8">
        <f>+Table4[[#This Row],[SalesBot]]*Table4[[#This Row],[နှုံး]]</f>
        <v>1890000</v>
      </c>
      <c r="Y1142" s="12"/>
      <c r="Z1142" s="12"/>
      <c r="AA1142" s="12"/>
      <c r="AB1142" s="9"/>
      <c r="AC1142" s="12"/>
      <c r="AD1142" s="9"/>
      <c r="AE1142" s="12"/>
      <c r="AF114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1142" s="24"/>
      <c r="AH1142" s="266"/>
      <c r="AI1142" s="264"/>
      <c r="AJ1142" s="264"/>
      <c r="AK1142" s="270"/>
      <c r="AL1142" s="270"/>
      <c r="AM1142" s="271"/>
      <c r="AN1142" s="272"/>
      <c r="AO1142" s="273"/>
      <c r="AP1142" s="268"/>
      <c r="AQ1142" s="268"/>
      <c r="AR1142" s="268"/>
    </row>
    <row r="1143" spans="1:44" s="16" customFormat="1" x14ac:dyDescent="0.5">
      <c r="A1143" s="3">
        <f t="shared" ref="A1143:A1174" si="206">YEAR(C1143)</f>
        <v>2026</v>
      </c>
      <c r="B1143" s="8">
        <f t="shared" ref="B1143:B1174" si="207">MONTH(C1143)</f>
        <v>3</v>
      </c>
      <c r="C1143" s="6">
        <v>46088</v>
      </c>
      <c r="D1143" s="15">
        <f t="shared" ref="D1143:D1174" ca="1" si="208">TODAY()</f>
        <v>46097</v>
      </c>
      <c r="E1143" s="15" t="str">
        <f t="shared" ref="E1143:E1174" ca="1" si="209">DATEDIF(C1143,D1143,"M")&amp;"-Months"</f>
        <v>0-Months</v>
      </c>
      <c r="F1143" s="8" t="str">
        <f>VLOOKUP(N1143,Stock[#Data],5,FALSE)</f>
        <v>BE</v>
      </c>
      <c r="G1143" s="82" t="s">
        <v>1682</v>
      </c>
      <c r="H1143" s="15"/>
      <c r="I1143" s="7" t="s">
        <v>95</v>
      </c>
      <c r="J1143" s="8" t="str">
        <f>VLOOKUP(I1143,Customers[#Data],2,FALSE)</f>
        <v>ကျော်စတား</v>
      </c>
      <c r="K1143" s="15" t="str">
        <f>VLOOKUP(I1143,Customers[#Data],4,FALSE)</f>
        <v>Yay</v>
      </c>
      <c r="L1143" s="15" t="str">
        <f>VLOOKUP(I1143,Customers[#Data],5,FALSE)</f>
        <v>WholeSales</v>
      </c>
      <c r="M1143" s="7" t="s">
        <v>7</v>
      </c>
      <c r="N1143" s="7" t="s">
        <v>517</v>
      </c>
      <c r="O1143" s="14" t="str">
        <f>VLOOKUP(N1143,Stock[#Data],2,FALSE)</f>
        <v>ဇေယျဝတီ Red (1 Liter) 30%</v>
      </c>
      <c r="P1143" s="44">
        <f>VLOOKUP(N1143,Stock[#Data],3,FALSE)</f>
        <v>1</v>
      </c>
      <c r="Q1143" s="3">
        <f>VLOOKUP(N1143,Stock[#Data],4,FALSE)</f>
        <v>12</v>
      </c>
      <c r="R1143" s="11"/>
      <c r="S1143" s="45">
        <f>IFERROR(Table4[[#This Row],[Bottle]]/Table4[[#This Row],[ပါဝင်မှု]]+Table4[[#This Row],[SalesPK]],0)</f>
        <v>100</v>
      </c>
      <c r="T1143" s="12">
        <v>100</v>
      </c>
      <c r="U1143" s="10">
        <f>Table4[[#This Row],[ပါဝင်မှု]]*Table4[[#This Row],[SalesPK]]+Table4[[#This Row],[Bottle]]</f>
        <v>1200</v>
      </c>
      <c r="V1143" s="10">
        <f>Table4[[#This Row],[SalesBot]]*Table4[[#This Row],[ML]]</f>
        <v>1200</v>
      </c>
      <c r="W1143" s="1">
        <f>VLOOKUP(N1143,Stock[#Data],6,FALSE)</f>
        <v>1710</v>
      </c>
      <c r="X1143" s="8">
        <f>+Table4[[#This Row],[SalesBot]]*Table4[[#This Row],[နှုံး]]</f>
        <v>2052000</v>
      </c>
      <c r="Y1143" s="12"/>
      <c r="Z1143" s="12"/>
      <c r="AA1143" s="12"/>
      <c r="AB1143" s="9"/>
      <c r="AC1143" s="12"/>
      <c r="AD1143" s="9"/>
      <c r="AE1143" s="12"/>
      <c r="AF114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143" s="24"/>
      <c r="AH1143" s="266"/>
      <c r="AI1143" s="264"/>
      <c r="AJ1143" s="264"/>
      <c r="AK1143" s="270"/>
      <c r="AL1143" s="270"/>
      <c r="AM1143" s="271"/>
      <c r="AN1143" s="272"/>
      <c r="AO1143" s="273"/>
      <c r="AP1143" s="268"/>
      <c r="AQ1143" s="268"/>
      <c r="AR1143" s="268"/>
    </row>
    <row r="1144" spans="1:44" s="16" customFormat="1" x14ac:dyDescent="0.5">
      <c r="A1144" s="3">
        <f t="shared" si="206"/>
        <v>2026</v>
      </c>
      <c r="B1144" s="8">
        <f t="shared" si="207"/>
        <v>3</v>
      </c>
      <c r="C1144" s="6">
        <v>46088</v>
      </c>
      <c r="D1144" s="15">
        <f t="shared" ca="1" si="208"/>
        <v>46097</v>
      </c>
      <c r="E1144" s="15" t="str">
        <f t="shared" ca="1" si="209"/>
        <v>0-Months</v>
      </c>
      <c r="F1144" s="8" t="str">
        <f>VLOOKUP(N1144,Stock[#Data],5,FALSE)</f>
        <v>BE</v>
      </c>
      <c r="G1144" s="82" t="s">
        <v>1683</v>
      </c>
      <c r="H1144" s="15"/>
      <c r="I1144" s="7" t="s">
        <v>102</v>
      </c>
      <c r="J1144" s="8" t="str">
        <f>VLOOKUP(I1144,Customers[#Data],2,FALSE)</f>
        <v>ဦးပြည်အေး</v>
      </c>
      <c r="K1144" s="15" t="str">
        <f>VLOOKUP(I1144,Customers[#Data],4,FALSE)</f>
        <v>Paung</v>
      </c>
      <c r="L1144" s="15" t="str">
        <f>VLOOKUP(I1144,Customers[#Data],5,FALSE)</f>
        <v>SemiWholeSales</v>
      </c>
      <c r="M1144" s="7" t="s">
        <v>6</v>
      </c>
      <c r="N1144" s="7" t="s">
        <v>516</v>
      </c>
      <c r="O1144" s="14" t="str">
        <f>VLOOKUP(N1144,Stock[#Data],2,FALSE)</f>
        <v>ဇေ Vodka</v>
      </c>
      <c r="P1144" s="44">
        <f>VLOOKUP(N1144,Stock[#Data],3,FALSE)</f>
        <v>0.64</v>
      </c>
      <c r="Q1144" s="3">
        <f>VLOOKUP(N1144,Stock[#Data],4,FALSE)</f>
        <v>14</v>
      </c>
      <c r="R1144" s="11"/>
      <c r="S1144" s="45">
        <f>IFERROR(Table4[[#This Row],[Bottle]]/Table4[[#This Row],[ပါဝင်မှု]]+Table4[[#This Row],[SalesPK]],0)</f>
        <v>50</v>
      </c>
      <c r="T1144" s="12">
        <v>50</v>
      </c>
      <c r="U1144" s="10">
        <f>Table4[[#This Row],[ပါဝင်မှု]]*Table4[[#This Row],[SalesPK]]+Table4[[#This Row],[Bottle]]</f>
        <v>700</v>
      </c>
      <c r="V1144" s="10">
        <f>Table4[[#This Row],[SalesBot]]*Table4[[#This Row],[ML]]</f>
        <v>448</v>
      </c>
      <c r="W1144" s="1">
        <f>VLOOKUP(N1144,Stock[#Data],6,FALSE)</f>
        <v>1400</v>
      </c>
      <c r="X1144" s="8">
        <f>+Table4[[#This Row],[SalesBot]]*Table4[[#This Row],[နှုံး]]</f>
        <v>980000</v>
      </c>
      <c r="Y1144" s="12"/>
      <c r="Z1144" s="12"/>
      <c r="AA1144" s="12"/>
      <c r="AB1144" s="9"/>
      <c r="AC1144" s="12"/>
      <c r="AD1144" s="9"/>
      <c r="AE1144" s="12"/>
      <c r="AF114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980000</v>
      </c>
      <c r="AG1144" s="24"/>
      <c r="AH1144" s="266"/>
      <c r="AI1144" s="264"/>
      <c r="AJ1144" s="264"/>
      <c r="AK1144" s="270"/>
      <c r="AL1144" s="270"/>
      <c r="AM1144" s="271"/>
      <c r="AN1144" s="272"/>
      <c r="AO1144" s="273"/>
      <c r="AP1144" s="268"/>
      <c r="AQ1144" s="268"/>
      <c r="AR1144" s="268"/>
    </row>
    <row r="1145" spans="1:44" s="16" customFormat="1" x14ac:dyDescent="0.5">
      <c r="A1145" s="3">
        <f t="shared" si="206"/>
        <v>2026</v>
      </c>
      <c r="B1145" s="8">
        <f t="shared" si="207"/>
        <v>3</v>
      </c>
      <c r="C1145" s="6">
        <v>46088</v>
      </c>
      <c r="D1145" s="15">
        <f t="shared" ca="1" si="208"/>
        <v>46097</v>
      </c>
      <c r="E1145" s="15" t="str">
        <f t="shared" ca="1" si="209"/>
        <v>0-Months</v>
      </c>
      <c r="F1145" s="8" t="str">
        <f>VLOOKUP(N1145,Stock[#Data],5,FALSE)</f>
        <v>BE</v>
      </c>
      <c r="G1145" s="82" t="s">
        <v>1684</v>
      </c>
      <c r="H1145" s="15"/>
      <c r="I1145" s="7" t="s">
        <v>556</v>
      </c>
      <c r="J1145" s="8" t="str">
        <f>VLOOKUP(I1145,Customers[#Data],2,FALSE)</f>
        <v>ဒေါ်ကော</v>
      </c>
      <c r="K1145" s="15" t="str">
        <f>VLOOKUP(I1145,Customers[#Data],4,FALSE)</f>
        <v>Paung</v>
      </c>
      <c r="L1145" s="15" t="str">
        <f>VLOOKUP(I1145,Customers[#Data],5,FALSE)</f>
        <v>Van Sales</v>
      </c>
      <c r="M1145" s="7" t="s">
        <v>6</v>
      </c>
      <c r="N1145" s="7" t="s">
        <v>516</v>
      </c>
      <c r="O1145" s="14" t="str">
        <f>VLOOKUP(N1145,Stock[#Data],2,FALSE)</f>
        <v>ဇေ Vodka</v>
      </c>
      <c r="P1145" s="44">
        <f>VLOOKUP(N1145,Stock[#Data],3,FALSE)</f>
        <v>0.64</v>
      </c>
      <c r="Q1145" s="3">
        <f>VLOOKUP(N1145,Stock[#Data],4,FALSE)</f>
        <v>14</v>
      </c>
      <c r="R1145" s="11"/>
      <c r="S1145" s="45">
        <f>IFERROR(Table4[[#This Row],[Bottle]]/Table4[[#This Row],[ပါဝင်မှု]]+Table4[[#This Row],[SalesPK]],0)</f>
        <v>100</v>
      </c>
      <c r="T1145" s="12">
        <v>100</v>
      </c>
      <c r="U1145" s="10">
        <f>Table4[[#This Row],[ပါဝင်မှု]]*Table4[[#This Row],[SalesPK]]+Table4[[#This Row],[Bottle]]</f>
        <v>1400</v>
      </c>
      <c r="V1145" s="10">
        <f>Table4[[#This Row],[SalesBot]]*Table4[[#This Row],[ML]]</f>
        <v>896</v>
      </c>
      <c r="W1145" s="1">
        <f>VLOOKUP(N1145,Stock[#Data],6,FALSE)</f>
        <v>1400</v>
      </c>
      <c r="X1145" s="8">
        <f>+Table4[[#This Row],[SalesBot]]*Table4[[#This Row],[နှုံး]]</f>
        <v>1960000</v>
      </c>
      <c r="Y1145" s="12"/>
      <c r="Z1145" s="12"/>
      <c r="AA1145" s="12"/>
      <c r="AB1145" s="9"/>
      <c r="AC1145" s="12"/>
      <c r="AD1145" s="9"/>
      <c r="AE1145" s="12"/>
      <c r="AF114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1960000</v>
      </c>
      <c r="AG1145" s="24"/>
      <c r="AH1145" s="266"/>
      <c r="AI1145" s="264"/>
      <c r="AJ1145" s="264"/>
      <c r="AK1145" s="270"/>
      <c r="AL1145" s="270"/>
      <c r="AM1145" s="271"/>
      <c r="AN1145" s="272"/>
      <c r="AO1145" s="273"/>
      <c r="AP1145" s="268"/>
      <c r="AQ1145" s="268"/>
      <c r="AR1145" s="268"/>
    </row>
    <row r="1146" spans="1:44" s="16" customFormat="1" x14ac:dyDescent="0.5">
      <c r="A1146" s="3">
        <f t="shared" si="206"/>
        <v>2026</v>
      </c>
      <c r="B1146" s="8">
        <f t="shared" si="207"/>
        <v>3</v>
      </c>
      <c r="C1146" s="6">
        <v>46088</v>
      </c>
      <c r="D1146" s="15">
        <f t="shared" ca="1" si="208"/>
        <v>46097</v>
      </c>
      <c r="E1146" s="15" t="str">
        <f t="shared" ca="1" si="209"/>
        <v>0-Months</v>
      </c>
      <c r="F1146" s="8" t="str">
        <f>VLOOKUP(N1146,Stock[#Data],5,FALSE)</f>
        <v>BE</v>
      </c>
      <c r="G1146" s="82" t="s">
        <v>1685</v>
      </c>
      <c r="H1146" s="15"/>
      <c r="I1146" s="7" t="s">
        <v>487</v>
      </c>
      <c r="J1146" s="8" t="str">
        <f>VLOOKUP(I1146,Customers[#Data],2,FALSE)</f>
        <v>ချယ်ရီမြိုင်</v>
      </c>
      <c r="K1146" s="15" t="str">
        <f>VLOOKUP(I1146,Customers[#Data],4,FALSE)</f>
        <v>Maw La Myaing</v>
      </c>
      <c r="L1146" s="15" t="str">
        <f>VLOOKUP(I1146,Customers[#Data],5,FALSE)</f>
        <v>Van Sales</v>
      </c>
      <c r="M1146" s="7" t="s">
        <v>6</v>
      </c>
      <c r="N1146" s="7" t="s">
        <v>516</v>
      </c>
      <c r="O1146" s="14" t="str">
        <f>VLOOKUP(N1146,Stock[#Data],2,FALSE)</f>
        <v>ဇေ Vodka</v>
      </c>
      <c r="P1146" s="44">
        <f>VLOOKUP(N1146,Stock[#Data],3,FALSE)</f>
        <v>0.64</v>
      </c>
      <c r="Q1146" s="3">
        <f>VLOOKUP(N1146,Stock[#Data],4,FALSE)</f>
        <v>14</v>
      </c>
      <c r="R1146" s="11"/>
      <c r="S1146" s="45">
        <f>IFERROR(Table4[[#This Row],[Bottle]]/Table4[[#This Row],[ပါဝင်မှု]]+Table4[[#This Row],[SalesPK]],0)</f>
        <v>10</v>
      </c>
      <c r="T1146" s="12">
        <v>10</v>
      </c>
      <c r="U1146" s="10">
        <f>Table4[[#This Row],[ပါဝင်မှု]]*Table4[[#This Row],[SalesPK]]+Table4[[#This Row],[Bottle]]</f>
        <v>140</v>
      </c>
      <c r="V1146" s="10">
        <f>Table4[[#This Row],[SalesBot]]*Table4[[#This Row],[ML]]</f>
        <v>89.600000000000009</v>
      </c>
      <c r="W1146" s="1">
        <f>VLOOKUP(N1146,Stock[#Data],6,FALSE)</f>
        <v>1400</v>
      </c>
      <c r="X1146" s="8">
        <f>+Table4[[#This Row],[SalesBot]]*Table4[[#This Row],[နှုံး]]</f>
        <v>196000</v>
      </c>
      <c r="Y1146" s="12"/>
      <c r="Z1146" s="12"/>
      <c r="AA1146" s="12"/>
      <c r="AB1146" s="9"/>
      <c r="AC1146" s="12"/>
      <c r="AD1146" s="9"/>
      <c r="AE1146" s="12"/>
      <c r="AF114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1146" s="24"/>
      <c r="AH1146" s="266"/>
      <c r="AI1146" s="264"/>
      <c r="AJ1146" s="264"/>
      <c r="AK1146" s="270"/>
      <c r="AL1146" s="270"/>
      <c r="AM1146" s="271"/>
      <c r="AN1146" s="272"/>
      <c r="AO1146" s="273"/>
      <c r="AP1146" s="268"/>
      <c r="AQ1146" s="268"/>
      <c r="AR1146" s="268"/>
    </row>
    <row r="1147" spans="1:44" s="16" customFormat="1" x14ac:dyDescent="0.5">
      <c r="A1147" s="3">
        <f t="shared" si="206"/>
        <v>2026</v>
      </c>
      <c r="B1147" s="8">
        <f t="shared" si="207"/>
        <v>3</v>
      </c>
      <c r="C1147" s="6">
        <v>46088</v>
      </c>
      <c r="D1147" s="15">
        <f t="shared" ca="1" si="208"/>
        <v>46097</v>
      </c>
      <c r="E1147" s="15" t="str">
        <f t="shared" ca="1" si="209"/>
        <v>0-Months</v>
      </c>
      <c r="F1147" s="8" t="str">
        <f>VLOOKUP(N1147,Stock[#Data],5,FALSE)</f>
        <v>BE</v>
      </c>
      <c r="G1147" s="82" t="s">
        <v>1686</v>
      </c>
      <c r="H1147" s="15"/>
      <c r="I1147" s="7" t="s">
        <v>553</v>
      </c>
      <c r="J1147" s="8" t="str">
        <f>VLOOKUP(I1147,Customers[#Data],2,FALSE)</f>
        <v>ကိုမောင်ဦး</v>
      </c>
      <c r="K1147" s="15" t="str">
        <f>VLOOKUP(I1147,Customers[#Data],4,FALSE)</f>
        <v>Maw La Myaing</v>
      </c>
      <c r="L1147" s="15" t="str">
        <f>VLOOKUP(I1147,Customers[#Data],5,FALSE)</f>
        <v>Mini Whole Sales</v>
      </c>
      <c r="M1147" s="7" t="s">
        <v>6</v>
      </c>
      <c r="N1147" s="7" t="s">
        <v>516</v>
      </c>
      <c r="O1147" s="14" t="str">
        <f>VLOOKUP(N1147,Stock[#Data],2,FALSE)</f>
        <v>ဇေ Vodka</v>
      </c>
      <c r="P1147" s="44">
        <f>VLOOKUP(N1147,Stock[#Data],3,FALSE)</f>
        <v>0.64</v>
      </c>
      <c r="Q1147" s="3">
        <f>VLOOKUP(N1147,Stock[#Data],4,FALSE)</f>
        <v>14</v>
      </c>
      <c r="R1147" s="11"/>
      <c r="S1147" s="45">
        <f>IFERROR(Table4[[#This Row],[Bottle]]/Table4[[#This Row],[ပါဝင်မှု]]+Table4[[#This Row],[SalesPK]],0)</f>
        <v>10</v>
      </c>
      <c r="T1147" s="12">
        <v>10</v>
      </c>
      <c r="U1147" s="10">
        <f>Table4[[#This Row],[ပါဝင်မှု]]*Table4[[#This Row],[SalesPK]]+Table4[[#This Row],[Bottle]]</f>
        <v>140</v>
      </c>
      <c r="V1147" s="10">
        <f>Table4[[#This Row],[SalesBot]]*Table4[[#This Row],[ML]]</f>
        <v>89.600000000000009</v>
      </c>
      <c r="W1147" s="1">
        <f>VLOOKUP(N1147,Stock[#Data],6,FALSE)</f>
        <v>1400</v>
      </c>
      <c r="X1147" s="8">
        <f>+Table4[[#This Row],[SalesBot]]*Table4[[#This Row],[နှုံး]]</f>
        <v>196000</v>
      </c>
      <c r="Y1147" s="12"/>
      <c r="Z1147" s="12"/>
      <c r="AA1147" s="12"/>
      <c r="AB1147" s="9"/>
      <c r="AC1147" s="12"/>
      <c r="AD1147" s="9"/>
      <c r="AE1147" s="12"/>
      <c r="AF114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1147" s="24"/>
      <c r="AH1147" s="266"/>
      <c r="AI1147" s="264"/>
      <c r="AJ1147" s="264"/>
      <c r="AK1147" s="270"/>
      <c r="AL1147" s="270"/>
      <c r="AM1147" s="271"/>
      <c r="AN1147" s="272"/>
      <c r="AO1147" s="273"/>
      <c r="AP1147" s="268"/>
      <c r="AQ1147" s="268"/>
      <c r="AR1147" s="268"/>
    </row>
    <row r="1148" spans="1:44" s="16" customFormat="1" x14ac:dyDescent="0.5">
      <c r="A1148" s="3">
        <f t="shared" si="206"/>
        <v>2026</v>
      </c>
      <c r="B1148" s="8">
        <f t="shared" si="207"/>
        <v>3</v>
      </c>
      <c r="C1148" s="6">
        <v>46088</v>
      </c>
      <c r="D1148" s="15">
        <f t="shared" ca="1" si="208"/>
        <v>46097</v>
      </c>
      <c r="E1148" s="15" t="str">
        <f t="shared" ca="1" si="209"/>
        <v>0-Months</v>
      </c>
      <c r="F1148" s="8" t="str">
        <f>VLOOKUP(N1148,Stock[#Data],5,FALSE)</f>
        <v>BE</v>
      </c>
      <c r="G1148" s="82" t="s">
        <v>1687</v>
      </c>
      <c r="H1148" s="15"/>
      <c r="I1148" s="7" t="s">
        <v>550</v>
      </c>
      <c r="J1148" s="8" t="str">
        <f>VLOOKUP(I1148,Customers[#Data],2,FALSE)</f>
        <v>ဆေးသစ္စာ</v>
      </c>
      <c r="K1148" s="15" t="str">
        <f>VLOOKUP(I1148,Customers[#Data],4,FALSE)</f>
        <v>Maw La Myaing</v>
      </c>
      <c r="L1148" s="15" t="str">
        <f>VLOOKUP(I1148,Customers[#Data],5,FALSE)</f>
        <v>Mini Whole Sales</v>
      </c>
      <c r="M1148" s="7" t="s">
        <v>6</v>
      </c>
      <c r="N1148" s="7" t="s">
        <v>516</v>
      </c>
      <c r="O1148" s="14" t="str">
        <f>VLOOKUP(N1148,Stock[#Data],2,FALSE)</f>
        <v>ဇေ Vodka</v>
      </c>
      <c r="P1148" s="44">
        <f>VLOOKUP(N1148,Stock[#Data],3,FALSE)</f>
        <v>0.64</v>
      </c>
      <c r="Q1148" s="3">
        <f>VLOOKUP(N1148,Stock[#Data],4,FALSE)</f>
        <v>14</v>
      </c>
      <c r="R1148" s="11"/>
      <c r="S1148" s="45">
        <f>IFERROR(Table4[[#This Row],[Bottle]]/Table4[[#This Row],[ပါဝင်မှု]]+Table4[[#This Row],[SalesPK]],0)</f>
        <v>50</v>
      </c>
      <c r="T1148" s="12">
        <v>50</v>
      </c>
      <c r="U1148" s="10">
        <f>Table4[[#This Row],[ပါဝင်မှု]]*Table4[[#This Row],[SalesPK]]+Table4[[#This Row],[Bottle]]</f>
        <v>700</v>
      </c>
      <c r="V1148" s="10">
        <f>Table4[[#This Row],[SalesBot]]*Table4[[#This Row],[ML]]</f>
        <v>448</v>
      </c>
      <c r="W1148" s="1">
        <f>VLOOKUP(N1148,Stock[#Data],6,FALSE)</f>
        <v>1400</v>
      </c>
      <c r="X1148" s="8">
        <f>+Table4[[#This Row],[SalesBot]]*Table4[[#This Row],[နှုံး]]</f>
        <v>980000</v>
      </c>
      <c r="Y1148" s="12"/>
      <c r="Z1148" s="12"/>
      <c r="AA1148" s="12"/>
      <c r="AB1148" s="9"/>
      <c r="AC1148" s="12"/>
      <c r="AD1148" s="9"/>
      <c r="AE1148" s="12"/>
      <c r="AF114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980000</v>
      </c>
      <c r="AG1148" s="24"/>
      <c r="AH1148" s="266"/>
      <c r="AI1148" s="264"/>
      <c r="AJ1148" s="264"/>
      <c r="AK1148" s="270"/>
      <c r="AL1148" s="270"/>
      <c r="AM1148" s="271"/>
      <c r="AN1148" s="272"/>
      <c r="AO1148" s="273"/>
      <c r="AP1148" s="268"/>
      <c r="AQ1148" s="268"/>
      <c r="AR1148" s="268"/>
    </row>
    <row r="1149" spans="1:44" s="16" customFormat="1" x14ac:dyDescent="0.5">
      <c r="A1149" s="3">
        <f t="shared" si="206"/>
        <v>2026</v>
      </c>
      <c r="B1149" s="8">
        <f t="shared" si="207"/>
        <v>3</v>
      </c>
      <c r="C1149" s="6">
        <v>46088</v>
      </c>
      <c r="D1149" s="15">
        <f t="shared" ca="1" si="208"/>
        <v>46097</v>
      </c>
      <c r="E1149" s="15" t="str">
        <f t="shared" ca="1" si="209"/>
        <v>0-Months</v>
      </c>
      <c r="F1149" s="8" t="str">
        <f>VLOOKUP(N1149,Stock[#Data],5,FALSE)</f>
        <v>BE</v>
      </c>
      <c r="G1149" s="82" t="s">
        <v>1688</v>
      </c>
      <c r="H1149" s="15"/>
      <c r="I1149" s="7" t="s">
        <v>1689</v>
      </c>
      <c r="J1149" s="8" t="str">
        <f>VLOOKUP(I1149,Customers[#Data],2,FALSE)</f>
        <v>ရွေမင်္ဂလာ</v>
      </c>
      <c r="K1149" s="15" t="str">
        <f>VLOOKUP(I1149,Customers[#Data],4,FALSE)</f>
        <v>Maw La Myaing</v>
      </c>
      <c r="L1149" s="15" t="str">
        <f>VLOOKUP(I1149,Customers[#Data],5,FALSE)</f>
        <v>Van Sales</v>
      </c>
      <c r="M1149" s="7" t="s">
        <v>6</v>
      </c>
      <c r="N1149" s="7" t="s">
        <v>516</v>
      </c>
      <c r="O1149" s="14" t="str">
        <f>VLOOKUP(N1149,Stock[#Data],2,FALSE)</f>
        <v>ဇေ Vodka</v>
      </c>
      <c r="P1149" s="44">
        <f>VLOOKUP(N1149,Stock[#Data],3,FALSE)</f>
        <v>0.64</v>
      </c>
      <c r="Q1149" s="3">
        <f>VLOOKUP(N1149,Stock[#Data],4,FALSE)</f>
        <v>14</v>
      </c>
      <c r="R1149" s="11"/>
      <c r="S1149" s="45">
        <f>IFERROR(Table4[[#This Row],[Bottle]]/Table4[[#This Row],[ပါဝင်မှု]]+Table4[[#This Row],[SalesPK]],0)</f>
        <v>50</v>
      </c>
      <c r="T1149" s="12">
        <v>50</v>
      </c>
      <c r="U1149" s="10">
        <f>Table4[[#This Row],[ပါဝင်မှု]]*Table4[[#This Row],[SalesPK]]+Table4[[#This Row],[Bottle]]</f>
        <v>700</v>
      </c>
      <c r="V1149" s="10">
        <f>Table4[[#This Row],[SalesBot]]*Table4[[#This Row],[ML]]</f>
        <v>448</v>
      </c>
      <c r="W1149" s="1">
        <f>VLOOKUP(N1149,Stock[#Data],6,FALSE)</f>
        <v>1400</v>
      </c>
      <c r="X1149" s="8">
        <f>+Table4[[#This Row],[SalesBot]]*Table4[[#This Row],[နှုံး]]</f>
        <v>980000</v>
      </c>
      <c r="Y1149" s="12"/>
      <c r="Z1149" s="12"/>
      <c r="AA1149" s="12"/>
      <c r="AB1149" s="9"/>
      <c r="AC1149" s="12"/>
      <c r="AD1149" s="9"/>
      <c r="AE1149" s="12"/>
      <c r="AF114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980000</v>
      </c>
      <c r="AG1149" s="24"/>
      <c r="AH1149" s="266"/>
      <c r="AI1149" s="264"/>
      <c r="AJ1149" s="264"/>
      <c r="AK1149" s="270"/>
      <c r="AL1149" s="270"/>
      <c r="AM1149" s="271"/>
      <c r="AN1149" s="272"/>
      <c r="AO1149" s="273"/>
      <c r="AP1149" s="268"/>
      <c r="AQ1149" s="268"/>
      <c r="AR1149" s="268"/>
    </row>
    <row r="1150" spans="1:44" s="16" customFormat="1" x14ac:dyDescent="0.5">
      <c r="A1150" s="3">
        <f t="shared" si="206"/>
        <v>2026</v>
      </c>
      <c r="B1150" s="8">
        <f t="shared" si="207"/>
        <v>3</v>
      </c>
      <c r="C1150" s="6">
        <v>46088</v>
      </c>
      <c r="D1150" s="15">
        <f t="shared" ca="1" si="208"/>
        <v>46097</v>
      </c>
      <c r="E1150" s="15" t="str">
        <f t="shared" ca="1" si="209"/>
        <v>0-Months</v>
      </c>
      <c r="F1150" s="8" t="str">
        <f>VLOOKUP(N1150,Stock[#Data],5,FALSE)</f>
        <v>BE</v>
      </c>
      <c r="G1150" s="82" t="s">
        <v>1688</v>
      </c>
      <c r="H1150" s="15"/>
      <c r="I1150" s="7" t="s">
        <v>1689</v>
      </c>
      <c r="J1150" s="8" t="str">
        <f>VLOOKUP(I1150,Customers[#Data],2,FALSE)</f>
        <v>ရွေမင်္ဂလာ</v>
      </c>
      <c r="K1150" s="15" t="str">
        <f>VLOOKUP(I1150,Customers[#Data],4,FALSE)</f>
        <v>Maw La Myaing</v>
      </c>
      <c r="L1150" s="15" t="str">
        <f>VLOOKUP(I1150,Customers[#Data],5,FALSE)</f>
        <v>Van Sales</v>
      </c>
      <c r="M1150" s="7" t="s">
        <v>6</v>
      </c>
      <c r="N1150" s="7" t="s">
        <v>518</v>
      </c>
      <c r="O1150" s="14" t="str">
        <f>VLOOKUP(N1150,Stock[#Data],2,FALSE)</f>
        <v>"ဇေ" ကော်ဘူး (1 Liter)</v>
      </c>
      <c r="P1150" s="44">
        <f>VLOOKUP(N1150,Stock[#Data],3,FALSE)</f>
        <v>1</v>
      </c>
      <c r="Q1150" s="3">
        <f>VLOOKUP(N1150,Stock[#Data],4,FALSE)</f>
        <v>12</v>
      </c>
      <c r="R1150" s="11"/>
      <c r="S1150" s="45">
        <f>IFERROR(Table4[[#This Row],[Bottle]]/Table4[[#This Row],[ပါဝင်မှု]]+Table4[[#This Row],[SalesPK]],0)</f>
        <v>2</v>
      </c>
      <c r="T1150" s="12">
        <v>2</v>
      </c>
      <c r="U1150" s="10">
        <f>Table4[[#This Row],[ပါဝင်မှု]]*Table4[[#This Row],[SalesPK]]+Table4[[#This Row],[Bottle]]</f>
        <v>24</v>
      </c>
      <c r="V1150" s="10">
        <f>Table4[[#This Row],[SalesBot]]*Table4[[#This Row],[ML]]</f>
        <v>24</v>
      </c>
      <c r="W1150" s="1">
        <f>VLOOKUP(N1150,Stock[#Data],6,FALSE)</f>
        <v>1675</v>
      </c>
      <c r="X1150" s="8">
        <f>+Table4[[#This Row],[SalesBot]]*Table4[[#This Row],[နှုံး]]</f>
        <v>40200</v>
      </c>
      <c r="Y1150" s="12"/>
      <c r="Z1150" s="12"/>
      <c r="AA1150" s="12"/>
      <c r="AB1150" s="9"/>
      <c r="AC1150" s="12"/>
      <c r="AD1150" s="9"/>
      <c r="AE1150" s="12"/>
      <c r="AF115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40200</v>
      </c>
      <c r="AG1150" s="24"/>
      <c r="AH1150" s="266"/>
      <c r="AI1150" s="264"/>
      <c r="AJ1150" s="264"/>
      <c r="AK1150" s="270"/>
      <c r="AL1150" s="270"/>
      <c r="AM1150" s="271"/>
      <c r="AN1150" s="272"/>
      <c r="AO1150" s="273"/>
      <c r="AP1150" s="268"/>
      <c r="AQ1150" s="268"/>
      <c r="AR1150" s="268"/>
    </row>
    <row r="1151" spans="1:44" s="16" customFormat="1" x14ac:dyDescent="0.5">
      <c r="A1151" s="3">
        <f t="shared" si="206"/>
        <v>2026</v>
      </c>
      <c r="B1151" s="8">
        <f t="shared" si="207"/>
        <v>3</v>
      </c>
      <c r="C1151" s="6">
        <v>46088</v>
      </c>
      <c r="D1151" s="15">
        <f t="shared" ca="1" si="208"/>
        <v>46097</v>
      </c>
      <c r="E1151" s="15" t="str">
        <f t="shared" ca="1" si="209"/>
        <v>0-Months</v>
      </c>
      <c r="F1151" s="8" t="str">
        <f>VLOOKUP(N1151,Stock[#Data],5,FALSE)</f>
        <v>BE</v>
      </c>
      <c r="G1151" s="82" t="s">
        <v>1692</v>
      </c>
      <c r="H1151" s="15"/>
      <c r="I1151" s="7" t="s">
        <v>109</v>
      </c>
      <c r="J1151" s="8" t="str">
        <f>VLOOKUP(I1151,Customers[#Data],2,FALSE)</f>
        <v>ဦးမင်းလွင်</v>
      </c>
      <c r="K1151" s="15" t="str">
        <f>VLOOKUP(I1151,Customers[#Data],4,FALSE)</f>
        <v>Maw La Myaing</v>
      </c>
      <c r="L1151" s="15" t="str">
        <f>VLOOKUP(I1151,Customers[#Data],5,FALSE)</f>
        <v>WholeSales</v>
      </c>
      <c r="M1151" s="7" t="s">
        <v>6</v>
      </c>
      <c r="N1151" s="7" t="s">
        <v>521</v>
      </c>
      <c r="O1151" s="14" t="str">
        <f>VLOOKUP(N1151,Stock[#Data],2,FALSE)</f>
        <v>ဒဂုံအရက်သန့်</v>
      </c>
      <c r="P1151" s="44">
        <f>VLOOKUP(N1151,Stock[#Data],3,FALSE)</f>
        <v>0.64</v>
      </c>
      <c r="Q1151" s="3">
        <f>VLOOKUP(N1151,Stock[#Data],4,FALSE)</f>
        <v>24</v>
      </c>
      <c r="R1151" s="11"/>
      <c r="S1151" s="45">
        <f>IFERROR(Table4[[#This Row],[Bottle]]/Table4[[#This Row],[ပါဝင်မှု]]+Table4[[#This Row],[SalesPK]],0)</f>
        <v>60</v>
      </c>
      <c r="T1151" s="12">
        <v>60</v>
      </c>
      <c r="U1151" s="10">
        <f>Table4[[#This Row],[ပါဝင်မှု]]*Table4[[#This Row],[SalesPK]]+Table4[[#This Row],[Bottle]]</f>
        <v>1440</v>
      </c>
      <c r="V1151" s="10">
        <f>Table4[[#This Row],[SalesBot]]*Table4[[#This Row],[ML]]</f>
        <v>921.6</v>
      </c>
      <c r="W1151" s="1">
        <f>VLOOKUP(N1151,Stock[#Data],6,FALSE)</f>
        <v>1350</v>
      </c>
      <c r="X1151" s="8">
        <f>+Table4[[#This Row],[SalesBot]]*Table4[[#This Row],[နှုံး]]</f>
        <v>1944000</v>
      </c>
      <c r="Y1151" s="12"/>
      <c r="Z1151" s="12"/>
      <c r="AA1151" s="12"/>
      <c r="AB1151" s="9"/>
      <c r="AC1151" s="12"/>
      <c r="AD1151" s="9"/>
      <c r="AE1151" s="12"/>
      <c r="AF115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1944000</v>
      </c>
      <c r="AG1151" s="24"/>
      <c r="AH1151" s="266"/>
      <c r="AI1151" s="264"/>
      <c r="AJ1151" s="264"/>
      <c r="AK1151" s="270"/>
      <c r="AL1151" s="270"/>
      <c r="AM1151" s="271"/>
      <c r="AN1151" s="272"/>
      <c r="AO1151" s="273"/>
      <c r="AP1151" s="268"/>
      <c r="AQ1151" s="268"/>
      <c r="AR1151" s="268"/>
    </row>
    <row r="1152" spans="1:44" s="16" customFormat="1" x14ac:dyDescent="0.5">
      <c r="A1152" s="3">
        <f t="shared" si="206"/>
        <v>2026</v>
      </c>
      <c r="B1152" s="8">
        <f t="shared" si="207"/>
        <v>3</v>
      </c>
      <c r="C1152" s="6">
        <v>46088</v>
      </c>
      <c r="D1152" s="15">
        <f t="shared" ca="1" si="208"/>
        <v>46097</v>
      </c>
      <c r="E1152" s="15" t="str">
        <f t="shared" ca="1" si="209"/>
        <v>0-Months</v>
      </c>
      <c r="F1152" s="8" t="str">
        <f>VLOOKUP(N1152,Stock[#Data],5,FALSE)</f>
        <v>BE</v>
      </c>
      <c r="G1152" s="82" t="s">
        <v>1693</v>
      </c>
      <c r="H1152" s="15"/>
      <c r="I1152" s="7" t="s">
        <v>535</v>
      </c>
      <c r="J1152" s="8" t="str">
        <f>VLOOKUP(I1152,Customers[#Data],2,FALSE)</f>
        <v>ကိုရဲ</v>
      </c>
      <c r="K1152" s="15" t="str">
        <f>VLOOKUP(I1152,Customers[#Data],4,FALSE)</f>
        <v>Yay</v>
      </c>
      <c r="L1152" s="15" t="str">
        <f>VLOOKUP(I1152,Customers[#Data],5,FALSE)</f>
        <v>Van Sales</v>
      </c>
      <c r="M1152" s="7" t="s">
        <v>6</v>
      </c>
      <c r="N1152" s="7" t="s">
        <v>517</v>
      </c>
      <c r="O1152" s="14" t="str">
        <f>VLOOKUP(N1152,Stock[#Data],2,FALSE)</f>
        <v>ဇေယျဝတီ Red (1 Liter) 30%</v>
      </c>
      <c r="P1152" s="44">
        <f>VLOOKUP(N1152,Stock[#Data],3,FALSE)</f>
        <v>1</v>
      </c>
      <c r="Q1152" s="3">
        <f>VLOOKUP(N1152,Stock[#Data],4,FALSE)</f>
        <v>12</v>
      </c>
      <c r="R1152" s="11"/>
      <c r="S1152" s="45">
        <f>IFERROR(Table4[[#This Row],[Bottle]]/Table4[[#This Row],[ပါဝင်မှု]]+Table4[[#This Row],[SalesPK]],0)</f>
        <v>100</v>
      </c>
      <c r="T1152" s="12">
        <v>100</v>
      </c>
      <c r="U1152" s="10">
        <f>Table4[[#This Row],[ပါဝင်မှု]]*Table4[[#This Row],[SalesPK]]+Table4[[#This Row],[Bottle]]</f>
        <v>1200</v>
      </c>
      <c r="V1152" s="10">
        <f>Table4[[#This Row],[SalesBot]]*Table4[[#This Row],[ML]]</f>
        <v>1200</v>
      </c>
      <c r="W1152" s="1">
        <f>VLOOKUP(N1152,Stock[#Data],6,FALSE)</f>
        <v>1710</v>
      </c>
      <c r="X1152" s="8">
        <f>+Table4[[#This Row],[SalesBot]]*Table4[[#This Row],[နှုံး]]</f>
        <v>2052000</v>
      </c>
      <c r="Y1152" s="12"/>
      <c r="Z1152" s="12"/>
      <c r="AA1152" s="12"/>
      <c r="AB1152" s="9"/>
      <c r="AC1152" s="12"/>
      <c r="AD1152" s="9"/>
      <c r="AE1152" s="12"/>
      <c r="AF115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152" s="24"/>
      <c r="AH1152" s="266"/>
      <c r="AI1152" s="264"/>
      <c r="AJ1152" s="264"/>
      <c r="AK1152" s="270"/>
      <c r="AL1152" s="270"/>
      <c r="AM1152" s="271"/>
      <c r="AN1152" s="272"/>
      <c r="AO1152" s="273"/>
      <c r="AP1152" s="268"/>
      <c r="AQ1152" s="268"/>
      <c r="AR1152" s="268"/>
    </row>
    <row r="1153" spans="1:44" s="16" customFormat="1" x14ac:dyDescent="0.5">
      <c r="A1153" s="3">
        <f t="shared" si="206"/>
        <v>2026</v>
      </c>
      <c r="B1153" s="8">
        <f t="shared" si="207"/>
        <v>3</v>
      </c>
      <c r="C1153" s="6">
        <v>46088</v>
      </c>
      <c r="D1153" s="15">
        <f t="shared" ca="1" si="208"/>
        <v>46097</v>
      </c>
      <c r="E1153" s="15" t="str">
        <f t="shared" ca="1" si="209"/>
        <v>0-Months</v>
      </c>
      <c r="F1153" s="8" t="str">
        <f>VLOOKUP(N1153,Stock[#Data],5,FALSE)</f>
        <v>BE</v>
      </c>
      <c r="G1153" s="82" t="s">
        <v>1694</v>
      </c>
      <c r="H1153" s="15"/>
      <c r="I1153" s="7" t="s">
        <v>111</v>
      </c>
      <c r="J1153" s="8" t="str">
        <f>VLOOKUP(I1153,Customers[#Data],2,FALSE)</f>
        <v>လင်းသစ်</v>
      </c>
      <c r="K1153" s="15" t="str">
        <f>VLOOKUP(I1153,Customers[#Data],4,FALSE)</f>
        <v>Yay</v>
      </c>
      <c r="L1153" s="15" t="str">
        <f>VLOOKUP(I1153,Customers[#Data],5,FALSE)</f>
        <v>WholeSales</v>
      </c>
      <c r="M1153" s="7" t="s">
        <v>6</v>
      </c>
      <c r="N1153" s="7" t="s">
        <v>514</v>
      </c>
      <c r="O1153" s="14" t="str">
        <f>VLOOKUP(N1153,Stock[#Data],2,FALSE)</f>
        <v>ဇေယျဝတီ Red</v>
      </c>
      <c r="P1153" s="44">
        <f>VLOOKUP(N1153,Stock[#Data],3,FALSE)</f>
        <v>0.64</v>
      </c>
      <c r="Q1153" s="3">
        <f>VLOOKUP(N1153,Stock[#Data],4,FALSE)</f>
        <v>14</v>
      </c>
      <c r="R1153" s="11"/>
      <c r="S1153" s="45">
        <f>IFERROR(Table4[[#This Row],[Bottle]]/Table4[[#This Row],[ပါဝင်မှု]]+Table4[[#This Row],[SalesPK]],0)</f>
        <v>100</v>
      </c>
      <c r="T1153" s="12">
        <v>100</v>
      </c>
      <c r="U1153" s="10">
        <f>Table4[[#This Row],[ပါဝင်မှု]]*Table4[[#This Row],[SalesPK]]+Table4[[#This Row],[Bottle]]</f>
        <v>1400</v>
      </c>
      <c r="V1153" s="10">
        <f>Table4[[#This Row],[SalesBot]]*Table4[[#This Row],[ML]]</f>
        <v>896</v>
      </c>
      <c r="W1153" s="1">
        <f>VLOOKUP(N1153,Stock[#Data],6,FALSE)</f>
        <v>1350</v>
      </c>
      <c r="X1153" s="8">
        <f>+Table4[[#This Row],[SalesBot]]*Table4[[#This Row],[နှုံး]]</f>
        <v>1890000</v>
      </c>
      <c r="Y1153" s="12"/>
      <c r="Z1153" s="12"/>
      <c r="AA1153" s="12"/>
      <c r="AB1153" s="9"/>
      <c r="AC1153" s="12"/>
      <c r="AD1153" s="9"/>
      <c r="AE1153" s="12"/>
      <c r="AF115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1153" s="24"/>
      <c r="AH1153" s="266"/>
      <c r="AI1153" s="264"/>
      <c r="AJ1153" s="264"/>
      <c r="AK1153" s="270"/>
      <c r="AL1153" s="270"/>
      <c r="AM1153" s="271"/>
      <c r="AN1153" s="272"/>
      <c r="AO1153" s="273"/>
      <c r="AP1153" s="268"/>
      <c r="AQ1153" s="268"/>
      <c r="AR1153" s="268"/>
    </row>
    <row r="1154" spans="1:44" s="16" customFormat="1" x14ac:dyDescent="0.5">
      <c r="A1154" s="3">
        <f t="shared" si="206"/>
        <v>2026</v>
      </c>
      <c r="B1154" s="8">
        <f t="shared" si="207"/>
        <v>3</v>
      </c>
      <c r="C1154" s="6">
        <v>46088</v>
      </c>
      <c r="D1154" s="15">
        <f t="shared" ca="1" si="208"/>
        <v>46097</v>
      </c>
      <c r="E1154" s="15" t="str">
        <f t="shared" ca="1" si="209"/>
        <v>0-Months</v>
      </c>
      <c r="F1154" s="8" t="str">
        <f>VLOOKUP(N1154,Stock[#Data],5,FALSE)</f>
        <v>BE</v>
      </c>
      <c r="G1154" s="82" t="s">
        <v>1694</v>
      </c>
      <c r="H1154" s="15"/>
      <c r="I1154" s="7" t="s">
        <v>111</v>
      </c>
      <c r="J1154" s="8" t="str">
        <f>VLOOKUP(I1154,Customers[#Data],2,FALSE)</f>
        <v>လင်းသစ်</v>
      </c>
      <c r="K1154" s="15" t="str">
        <f>VLOOKUP(I1154,Customers[#Data],4,FALSE)</f>
        <v>Yay</v>
      </c>
      <c r="L1154" s="15" t="str">
        <f>VLOOKUP(I1154,Customers[#Data],5,FALSE)</f>
        <v>WholeSales</v>
      </c>
      <c r="M1154" s="7" t="s">
        <v>6</v>
      </c>
      <c r="N1154" s="7" t="s">
        <v>517</v>
      </c>
      <c r="O1154" s="14" t="str">
        <f>VLOOKUP(N1154,Stock[#Data],2,FALSE)</f>
        <v>ဇေယျဝတီ Red (1 Liter) 30%</v>
      </c>
      <c r="P1154" s="44">
        <f>VLOOKUP(N1154,Stock[#Data],3,FALSE)</f>
        <v>1</v>
      </c>
      <c r="Q1154" s="3">
        <f>VLOOKUP(N1154,Stock[#Data],4,FALSE)</f>
        <v>12</v>
      </c>
      <c r="R1154" s="11"/>
      <c r="S1154" s="45">
        <f>IFERROR(Table4[[#This Row],[Bottle]]/Table4[[#This Row],[ပါဝင်မှု]]+Table4[[#This Row],[SalesPK]],0)</f>
        <v>100</v>
      </c>
      <c r="T1154" s="12">
        <v>100</v>
      </c>
      <c r="U1154" s="10">
        <f>Table4[[#This Row],[ပါဝင်မှု]]*Table4[[#This Row],[SalesPK]]+Table4[[#This Row],[Bottle]]</f>
        <v>1200</v>
      </c>
      <c r="V1154" s="10">
        <f>Table4[[#This Row],[SalesBot]]*Table4[[#This Row],[ML]]</f>
        <v>1200</v>
      </c>
      <c r="W1154" s="1">
        <f>VLOOKUP(N1154,Stock[#Data],6,FALSE)</f>
        <v>1710</v>
      </c>
      <c r="X1154" s="8">
        <f>+Table4[[#This Row],[SalesBot]]*Table4[[#This Row],[နှုံး]]</f>
        <v>2052000</v>
      </c>
      <c r="Y1154" s="12"/>
      <c r="Z1154" s="12"/>
      <c r="AA1154" s="12"/>
      <c r="AB1154" s="9"/>
      <c r="AC1154" s="12"/>
      <c r="AD1154" s="9"/>
      <c r="AE1154" s="12"/>
      <c r="AF115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154" s="24"/>
      <c r="AH1154" s="266"/>
      <c r="AI1154" s="264"/>
      <c r="AJ1154" s="264"/>
      <c r="AK1154" s="270"/>
      <c r="AL1154" s="270"/>
      <c r="AM1154" s="271"/>
      <c r="AN1154" s="272"/>
      <c r="AO1154" s="273"/>
      <c r="AP1154" s="268"/>
      <c r="AQ1154" s="268"/>
      <c r="AR1154" s="268"/>
    </row>
    <row r="1155" spans="1:44" s="16" customFormat="1" x14ac:dyDescent="0.5">
      <c r="A1155" s="3">
        <f t="shared" si="206"/>
        <v>2026</v>
      </c>
      <c r="B1155" s="8">
        <f t="shared" si="207"/>
        <v>3</v>
      </c>
      <c r="C1155" s="6">
        <v>46088</v>
      </c>
      <c r="D1155" s="15">
        <f t="shared" ca="1" si="208"/>
        <v>46097</v>
      </c>
      <c r="E1155" s="15" t="str">
        <f t="shared" ca="1" si="209"/>
        <v>0-Months</v>
      </c>
      <c r="F1155" s="8" t="str">
        <f>VLOOKUP(N1155,Stock[#Data],5,FALSE)</f>
        <v>BE</v>
      </c>
      <c r="G1155" s="82" t="s">
        <v>1695</v>
      </c>
      <c r="H1155" s="15"/>
      <c r="I1155" s="7" t="s">
        <v>600</v>
      </c>
      <c r="J1155" s="8" t="str">
        <f>VLOOKUP(I1155,Customers[#Data],2,FALSE)</f>
        <v>ဆုံဆည်းရာ</v>
      </c>
      <c r="K1155" s="15" t="str">
        <f>VLOOKUP(I1155,Customers[#Data],4,FALSE)</f>
        <v>Maw La Myaing</v>
      </c>
      <c r="L1155" s="15" t="str">
        <f>VLOOKUP(I1155,Customers[#Data],5,FALSE)</f>
        <v>Van Sales</v>
      </c>
      <c r="M1155" s="7" t="s">
        <v>6</v>
      </c>
      <c r="N1155" s="7" t="s">
        <v>514</v>
      </c>
      <c r="O1155" s="14" t="str">
        <f>VLOOKUP(N1155,Stock[#Data],2,FALSE)</f>
        <v>ဇေယျဝတီ Red</v>
      </c>
      <c r="P1155" s="44">
        <f>VLOOKUP(N1155,Stock[#Data],3,FALSE)</f>
        <v>0.64</v>
      </c>
      <c r="Q1155" s="3">
        <f>VLOOKUP(N1155,Stock[#Data],4,FALSE)</f>
        <v>14</v>
      </c>
      <c r="R1155" s="11"/>
      <c r="S1155" s="45">
        <f>IFERROR(Table4[[#This Row],[Bottle]]/Table4[[#This Row],[ပါဝင်မှု]]+Table4[[#This Row],[SalesPK]],0)</f>
        <v>2</v>
      </c>
      <c r="T1155" s="12">
        <v>2</v>
      </c>
      <c r="U1155" s="10">
        <f>Table4[[#This Row],[ပါဝင်မှု]]*Table4[[#This Row],[SalesPK]]+Table4[[#This Row],[Bottle]]</f>
        <v>28</v>
      </c>
      <c r="V1155" s="10">
        <f>Table4[[#This Row],[SalesBot]]*Table4[[#This Row],[ML]]</f>
        <v>17.920000000000002</v>
      </c>
      <c r="W1155" s="1">
        <f>VLOOKUP(N1155,Stock[#Data],6,FALSE)</f>
        <v>1350</v>
      </c>
      <c r="X1155" s="8">
        <f>+Table4[[#This Row],[SalesBot]]*Table4[[#This Row],[နှုံး]]</f>
        <v>37800</v>
      </c>
      <c r="Y1155" s="12"/>
      <c r="Z1155" s="12"/>
      <c r="AA1155" s="12"/>
      <c r="AB1155" s="9"/>
      <c r="AC1155" s="12"/>
      <c r="AD1155" s="9"/>
      <c r="AE1155" s="12"/>
      <c r="AF115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</v>
      </c>
      <c r="AG1155" s="24"/>
      <c r="AH1155" s="266"/>
      <c r="AI1155" s="264"/>
      <c r="AJ1155" s="264"/>
      <c r="AK1155" s="270"/>
      <c r="AL1155" s="270"/>
      <c r="AM1155" s="271"/>
      <c r="AN1155" s="272"/>
      <c r="AO1155" s="273"/>
      <c r="AP1155" s="268"/>
      <c r="AQ1155" s="268"/>
      <c r="AR1155" s="268"/>
    </row>
    <row r="1156" spans="1:44" s="16" customFormat="1" x14ac:dyDescent="0.5">
      <c r="A1156" s="3">
        <f t="shared" si="206"/>
        <v>2026</v>
      </c>
      <c r="B1156" s="8">
        <f t="shared" si="207"/>
        <v>3</v>
      </c>
      <c r="C1156" s="6">
        <v>46088</v>
      </c>
      <c r="D1156" s="15">
        <f t="shared" ca="1" si="208"/>
        <v>46097</v>
      </c>
      <c r="E1156" s="15" t="str">
        <f t="shared" ca="1" si="209"/>
        <v>0-Months</v>
      </c>
      <c r="F1156" s="8" t="str">
        <f>VLOOKUP(N1156,Stock[#Data],5,FALSE)</f>
        <v>BE</v>
      </c>
      <c r="G1156" s="82" t="s">
        <v>1696</v>
      </c>
      <c r="H1156" s="15"/>
      <c r="I1156" s="7" t="s">
        <v>1689</v>
      </c>
      <c r="J1156" s="8" t="str">
        <f>VLOOKUP(I1156,Customers[#Data],2,FALSE)</f>
        <v>ရွေမင်္ဂလာ</v>
      </c>
      <c r="K1156" s="15" t="str">
        <f>VLOOKUP(I1156,Customers[#Data],4,FALSE)</f>
        <v>Maw La Myaing</v>
      </c>
      <c r="L1156" s="15" t="str">
        <f>VLOOKUP(I1156,Customers[#Data],5,FALSE)</f>
        <v>Van Sales</v>
      </c>
      <c r="M1156" s="7" t="s">
        <v>6</v>
      </c>
      <c r="N1156" s="7" t="s">
        <v>514</v>
      </c>
      <c r="O1156" s="14" t="str">
        <f>VLOOKUP(N1156,Stock[#Data],2,FALSE)</f>
        <v>ဇေယျဝတီ Red</v>
      </c>
      <c r="P1156" s="44">
        <f>VLOOKUP(N1156,Stock[#Data],3,FALSE)</f>
        <v>0.64</v>
      </c>
      <c r="Q1156" s="3">
        <f>VLOOKUP(N1156,Stock[#Data],4,FALSE)</f>
        <v>14</v>
      </c>
      <c r="R1156" s="11"/>
      <c r="S1156" s="45">
        <f>IFERROR(Table4[[#This Row],[Bottle]]/Table4[[#This Row],[ပါဝင်မှု]]+Table4[[#This Row],[SalesPK]],0)</f>
        <v>5</v>
      </c>
      <c r="T1156" s="12">
        <v>5</v>
      </c>
      <c r="U1156" s="10">
        <f>Table4[[#This Row],[ပါဝင်မှု]]*Table4[[#This Row],[SalesPK]]+Table4[[#This Row],[Bottle]]</f>
        <v>70</v>
      </c>
      <c r="V1156" s="10">
        <f>Table4[[#This Row],[SalesBot]]*Table4[[#This Row],[ML]]</f>
        <v>44.800000000000004</v>
      </c>
      <c r="W1156" s="1">
        <f>VLOOKUP(N1156,Stock[#Data],6,FALSE)</f>
        <v>1350</v>
      </c>
      <c r="X1156" s="8">
        <f>+Table4[[#This Row],[SalesBot]]*Table4[[#This Row],[နှုံး]]</f>
        <v>94500</v>
      </c>
      <c r="Y1156" s="12"/>
      <c r="Z1156" s="12"/>
      <c r="AA1156" s="12"/>
      <c r="AB1156" s="9"/>
      <c r="AC1156" s="12"/>
      <c r="AD1156" s="9"/>
      <c r="AE1156" s="12"/>
      <c r="AF115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</v>
      </c>
      <c r="AG1156" s="24"/>
      <c r="AH1156" s="266"/>
      <c r="AI1156" s="264"/>
      <c r="AJ1156" s="264"/>
      <c r="AK1156" s="270"/>
      <c r="AL1156" s="270"/>
      <c r="AM1156" s="271"/>
      <c r="AN1156" s="272"/>
      <c r="AO1156" s="273"/>
      <c r="AP1156" s="268"/>
      <c r="AQ1156" s="268"/>
      <c r="AR1156" s="268"/>
    </row>
    <row r="1157" spans="1:44" s="16" customFormat="1" x14ac:dyDescent="0.5">
      <c r="A1157" s="3">
        <f t="shared" si="206"/>
        <v>2026</v>
      </c>
      <c r="B1157" s="8">
        <f t="shared" si="207"/>
        <v>3</v>
      </c>
      <c r="C1157" s="6">
        <v>46088</v>
      </c>
      <c r="D1157" s="15">
        <f t="shared" ca="1" si="208"/>
        <v>46097</v>
      </c>
      <c r="E1157" s="15" t="str">
        <f t="shared" ca="1" si="209"/>
        <v>0-Months</v>
      </c>
      <c r="F1157" s="8" t="str">
        <f>VLOOKUP(N1157,Stock[#Data],5,FALSE)</f>
        <v>BE</v>
      </c>
      <c r="G1157" s="82" t="s">
        <v>1697</v>
      </c>
      <c r="H1157" s="15"/>
      <c r="I1157" s="7" t="s">
        <v>583</v>
      </c>
      <c r="J1157" s="8" t="str">
        <f>VLOOKUP(I1157,Customers[#Data],2,FALSE)</f>
        <v>မင်းဆန်းသစ်</v>
      </c>
      <c r="K1157" s="15" t="str">
        <f>VLOOKUP(I1157,Customers[#Data],4,FALSE)</f>
        <v>Maw La Myaing</v>
      </c>
      <c r="L1157" s="15" t="str">
        <f>VLOOKUP(I1157,Customers[#Data],5,FALSE)</f>
        <v>Van Sales</v>
      </c>
      <c r="M1157" s="7" t="s">
        <v>6</v>
      </c>
      <c r="N1157" s="7" t="s">
        <v>518</v>
      </c>
      <c r="O1157" s="14" t="str">
        <f>VLOOKUP(N1157,Stock[#Data],2,FALSE)</f>
        <v>"ဇေ" ကော်ဘူး (1 Liter)</v>
      </c>
      <c r="P1157" s="44">
        <f>VLOOKUP(N1157,Stock[#Data],3,FALSE)</f>
        <v>1</v>
      </c>
      <c r="Q1157" s="3">
        <f>VLOOKUP(N1157,Stock[#Data],4,FALSE)</f>
        <v>12</v>
      </c>
      <c r="R1157" s="11"/>
      <c r="S1157" s="45">
        <f>IFERROR(Table4[[#This Row],[Bottle]]/Table4[[#This Row],[ပါဝင်မှု]]+Table4[[#This Row],[SalesPK]],0)</f>
        <v>10</v>
      </c>
      <c r="T1157" s="12">
        <v>10</v>
      </c>
      <c r="U1157" s="10">
        <f>Table4[[#This Row],[ပါဝင်မှု]]*Table4[[#This Row],[SalesPK]]+Table4[[#This Row],[Bottle]]</f>
        <v>120</v>
      </c>
      <c r="V1157" s="10">
        <f>Table4[[#This Row],[SalesBot]]*Table4[[#This Row],[ML]]</f>
        <v>120</v>
      </c>
      <c r="W1157" s="1">
        <f>VLOOKUP(N1157,Stock[#Data],6,FALSE)</f>
        <v>1675</v>
      </c>
      <c r="X1157" s="8">
        <f>+Table4[[#This Row],[SalesBot]]*Table4[[#This Row],[နှုံး]]</f>
        <v>201000</v>
      </c>
      <c r="Y1157" s="12"/>
      <c r="Z1157" s="12"/>
      <c r="AA1157" s="12"/>
      <c r="AB1157" s="9"/>
      <c r="AC1157" s="12"/>
      <c r="AD1157" s="9"/>
      <c r="AE1157" s="12"/>
      <c r="AF115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201000</v>
      </c>
      <c r="AG1157" s="24"/>
      <c r="AH1157" s="266"/>
      <c r="AI1157" s="264"/>
      <c r="AJ1157" s="264"/>
      <c r="AK1157" s="270"/>
      <c r="AL1157" s="270"/>
      <c r="AM1157" s="271"/>
      <c r="AN1157" s="272"/>
      <c r="AO1157" s="273"/>
      <c r="AP1157" s="268"/>
      <c r="AQ1157" s="268"/>
      <c r="AR1157" s="268"/>
    </row>
    <row r="1158" spans="1:44" s="16" customFormat="1" x14ac:dyDescent="0.5">
      <c r="A1158" s="3">
        <f t="shared" si="206"/>
        <v>2026</v>
      </c>
      <c r="B1158" s="8">
        <f t="shared" si="207"/>
        <v>3</v>
      </c>
      <c r="C1158" s="6">
        <v>46088</v>
      </c>
      <c r="D1158" s="15">
        <f t="shared" ca="1" si="208"/>
        <v>46097</v>
      </c>
      <c r="E1158" s="15" t="str">
        <f t="shared" ca="1" si="209"/>
        <v>0-Months</v>
      </c>
      <c r="F1158" s="8" t="str">
        <f>VLOOKUP(N1158,Stock[#Data],5,FALSE)</f>
        <v>BE</v>
      </c>
      <c r="G1158" s="82" t="s">
        <v>1698</v>
      </c>
      <c r="H1158" s="15"/>
      <c r="I1158" s="7" t="s">
        <v>565</v>
      </c>
      <c r="J1158" s="8" t="str">
        <f>VLOOKUP(I1158,Customers[#Data],2,FALSE)</f>
        <v>မဇာဇာ</v>
      </c>
      <c r="K1158" s="15" t="str">
        <f>VLOOKUP(I1158,Customers[#Data],4,FALSE)</f>
        <v>Maw La Myaing</v>
      </c>
      <c r="L1158" s="15" t="str">
        <f>VLOOKUP(I1158,Customers[#Data],5,FALSE)</f>
        <v>Van Sales</v>
      </c>
      <c r="M1158" s="7" t="s">
        <v>6</v>
      </c>
      <c r="N1158" s="7" t="s">
        <v>518</v>
      </c>
      <c r="O1158" s="14" t="str">
        <f>VLOOKUP(N1158,Stock[#Data],2,FALSE)</f>
        <v>"ဇေ" ကော်ဘူး (1 Liter)</v>
      </c>
      <c r="P1158" s="44">
        <f>VLOOKUP(N1158,Stock[#Data],3,FALSE)</f>
        <v>1</v>
      </c>
      <c r="Q1158" s="3">
        <f>VLOOKUP(N1158,Stock[#Data],4,FALSE)</f>
        <v>12</v>
      </c>
      <c r="R1158" s="11"/>
      <c r="S1158" s="45">
        <f>IFERROR(Table4[[#This Row],[Bottle]]/Table4[[#This Row],[ပါဝင်မှု]]+Table4[[#This Row],[SalesPK]],0)</f>
        <v>5</v>
      </c>
      <c r="T1158" s="12">
        <v>5</v>
      </c>
      <c r="U1158" s="10">
        <f>Table4[[#This Row],[ပါဝင်မှု]]*Table4[[#This Row],[SalesPK]]+Table4[[#This Row],[Bottle]]</f>
        <v>60</v>
      </c>
      <c r="V1158" s="10">
        <f>Table4[[#This Row],[SalesBot]]*Table4[[#This Row],[ML]]</f>
        <v>60</v>
      </c>
      <c r="W1158" s="1">
        <f>VLOOKUP(N1158,Stock[#Data],6,FALSE)</f>
        <v>1675</v>
      </c>
      <c r="X1158" s="8">
        <f>+Table4[[#This Row],[SalesBot]]*Table4[[#This Row],[နှုံး]]</f>
        <v>100500</v>
      </c>
      <c r="Y1158" s="12"/>
      <c r="Z1158" s="12"/>
      <c r="AA1158" s="12"/>
      <c r="AB1158" s="9"/>
      <c r="AC1158" s="12"/>
      <c r="AD1158" s="9"/>
      <c r="AE1158" s="12"/>
      <c r="AF115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1158" s="24"/>
      <c r="AH1158" s="266"/>
      <c r="AI1158" s="264"/>
      <c r="AJ1158" s="264"/>
      <c r="AK1158" s="270"/>
      <c r="AL1158" s="270"/>
      <c r="AM1158" s="271"/>
      <c r="AN1158" s="272"/>
      <c r="AO1158" s="273"/>
      <c r="AP1158" s="268"/>
      <c r="AQ1158" s="268"/>
      <c r="AR1158" s="268"/>
    </row>
    <row r="1159" spans="1:44" s="16" customFormat="1" x14ac:dyDescent="0.5">
      <c r="A1159" s="3">
        <f t="shared" si="206"/>
        <v>2026</v>
      </c>
      <c r="B1159" s="8">
        <f t="shared" si="207"/>
        <v>3</v>
      </c>
      <c r="C1159" s="6">
        <v>46088</v>
      </c>
      <c r="D1159" s="15">
        <f t="shared" ca="1" si="208"/>
        <v>46097</v>
      </c>
      <c r="E1159" s="15" t="str">
        <f t="shared" ca="1" si="209"/>
        <v>0-Months</v>
      </c>
      <c r="F1159" s="8" t="str">
        <f>VLOOKUP(N1159,Stock[#Data],5,FALSE)</f>
        <v>BE</v>
      </c>
      <c r="G1159" s="82" t="s">
        <v>1699</v>
      </c>
      <c r="H1159" s="15"/>
      <c r="I1159" s="7" t="s">
        <v>1377</v>
      </c>
      <c r="J1159" s="8" t="str">
        <f>VLOOKUP(I1159,Customers[#Data],2,FALSE)</f>
        <v>ရွှေနန်းထက်</v>
      </c>
      <c r="K1159" s="15" t="str">
        <f>VLOOKUP(I1159,Customers[#Data],4,FALSE)</f>
        <v>Maw La Myaing</v>
      </c>
      <c r="L1159" s="15" t="str">
        <f>VLOOKUP(I1159,Customers[#Data],5,FALSE)</f>
        <v>Van Sales</v>
      </c>
      <c r="M1159" s="7" t="s">
        <v>6</v>
      </c>
      <c r="N1159" s="7" t="s">
        <v>518</v>
      </c>
      <c r="O1159" s="14" t="str">
        <f>VLOOKUP(N1159,Stock[#Data],2,FALSE)</f>
        <v>"ဇေ" ကော်ဘူး (1 Liter)</v>
      </c>
      <c r="P1159" s="44">
        <f>VLOOKUP(N1159,Stock[#Data],3,FALSE)</f>
        <v>1</v>
      </c>
      <c r="Q1159" s="3">
        <f>VLOOKUP(N1159,Stock[#Data],4,FALSE)</f>
        <v>12</v>
      </c>
      <c r="R1159" s="11"/>
      <c r="S1159" s="45">
        <f>IFERROR(Table4[[#This Row],[Bottle]]/Table4[[#This Row],[ပါဝင်မှု]]+Table4[[#This Row],[SalesPK]],0)</f>
        <v>3</v>
      </c>
      <c r="T1159" s="12">
        <v>3</v>
      </c>
      <c r="U1159" s="10">
        <f>Table4[[#This Row],[ပါဝင်မှု]]*Table4[[#This Row],[SalesPK]]+Table4[[#This Row],[Bottle]]</f>
        <v>36</v>
      </c>
      <c r="V1159" s="10">
        <f>Table4[[#This Row],[SalesBot]]*Table4[[#This Row],[ML]]</f>
        <v>36</v>
      </c>
      <c r="W1159" s="1">
        <f>VLOOKUP(N1159,Stock[#Data],6,FALSE)</f>
        <v>1675</v>
      </c>
      <c r="X1159" s="8">
        <f>+Table4[[#This Row],[SalesBot]]*Table4[[#This Row],[နှုံး]]</f>
        <v>60300</v>
      </c>
      <c r="Y1159" s="12"/>
      <c r="Z1159" s="12"/>
      <c r="AA1159" s="12"/>
      <c r="AB1159" s="9"/>
      <c r="AC1159" s="12"/>
      <c r="AD1159" s="9"/>
      <c r="AE1159" s="12"/>
      <c r="AF115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60300</v>
      </c>
      <c r="AG1159" s="24"/>
      <c r="AH1159" s="266"/>
      <c r="AI1159" s="264"/>
      <c r="AJ1159" s="264"/>
      <c r="AK1159" s="270"/>
      <c r="AL1159" s="270"/>
      <c r="AM1159" s="271"/>
      <c r="AN1159" s="272"/>
      <c r="AO1159" s="273"/>
      <c r="AP1159" s="268"/>
      <c r="AQ1159" s="268"/>
      <c r="AR1159" s="268"/>
    </row>
    <row r="1160" spans="1:44" s="16" customFormat="1" x14ac:dyDescent="0.5">
      <c r="A1160" s="3">
        <f t="shared" si="206"/>
        <v>2026</v>
      </c>
      <c r="B1160" s="8">
        <f t="shared" si="207"/>
        <v>3</v>
      </c>
      <c r="C1160" s="6">
        <v>46088</v>
      </c>
      <c r="D1160" s="15">
        <f t="shared" ca="1" si="208"/>
        <v>46097</v>
      </c>
      <c r="E1160" s="15" t="str">
        <f t="shared" ca="1" si="209"/>
        <v>0-Months</v>
      </c>
      <c r="F1160" s="8" t="str">
        <f>VLOOKUP(N1160,Stock[#Data],5,FALSE)</f>
        <v>BE</v>
      </c>
      <c r="G1160" s="82" t="s">
        <v>1700</v>
      </c>
      <c r="H1160" s="15"/>
      <c r="I1160" s="7" t="s">
        <v>745</v>
      </c>
      <c r="J1160" s="8" t="str">
        <f>VLOOKUP(I1160,Customers[#Data],2,FALSE)</f>
        <v>ဘော်ဒါကြီး</v>
      </c>
      <c r="K1160" s="15" t="str">
        <f>VLOOKUP(I1160,Customers[#Data],4,FALSE)</f>
        <v>Maw La Myaing</v>
      </c>
      <c r="L1160" s="15" t="str">
        <f>VLOOKUP(I1160,Customers[#Data],5,FALSE)</f>
        <v>Van Sales</v>
      </c>
      <c r="M1160" s="7" t="s">
        <v>6</v>
      </c>
      <c r="N1160" s="7" t="s">
        <v>522</v>
      </c>
      <c r="O1160" s="14" t="str">
        <f>VLOOKUP(N1160,Stock[#Data],2,FALSE)</f>
        <v>ဒဂုံမန်ကျည်း ကော်ဘူး (1 Liter)</v>
      </c>
      <c r="P1160" s="44">
        <f>VLOOKUP(N1160,Stock[#Data],3,FALSE)</f>
        <v>1</v>
      </c>
      <c r="Q1160" s="3">
        <f>VLOOKUP(N1160,Stock[#Data],4,FALSE)</f>
        <v>12</v>
      </c>
      <c r="R1160" s="11"/>
      <c r="S1160" s="45">
        <f>IFERROR(Table4[[#This Row],[Bottle]]/Table4[[#This Row],[ပါဝင်မှု]]+Table4[[#This Row],[SalesPK]],0)</f>
        <v>1</v>
      </c>
      <c r="T1160" s="12">
        <v>1</v>
      </c>
      <c r="U1160" s="10">
        <f>Table4[[#This Row],[ပါဝင်မှု]]*Table4[[#This Row],[SalesPK]]+Table4[[#This Row],[Bottle]]</f>
        <v>12</v>
      </c>
      <c r="V1160" s="10">
        <f>Table4[[#This Row],[SalesBot]]*Table4[[#This Row],[ML]]</f>
        <v>12</v>
      </c>
      <c r="W1160" s="1">
        <f>VLOOKUP(N1160,Stock[#Data],6,FALSE)</f>
        <v>1600</v>
      </c>
      <c r="X1160" s="8">
        <f>+Table4[[#This Row],[SalesBot]]*Table4[[#This Row],[နှုံး]]</f>
        <v>19200</v>
      </c>
      <c r="Y1160" s="12"/>
      <c r="Z1160" s="12"/>
      <c r="AA1160" s="12"/>
      <c r="AB1160" s="9"/>
      <c r="AC1160" s="12"/>
      <c r="AD1160" s="9"/>
      <c r="AE1160" s="12"/>
      <c r="AF116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160" s="24"/>
      <c r="AH1160" s="266"/>
      <c r="AI1160" s="264"/>
      <c r="AJ1160" s="264"/>
      <c r="AK1160" s="270"/>
      <c r="AL1160" s="270"/>
      <c r="AM1160" s="271"/>
      <c r="AN1160" s="272"/>
      <c r="AO1160" s="273"/>
      <c r="AP1160" s="268"/>
      <c r="AQ1160" s="268"/>
      <c r="AR1160" s="268"/>
    </row>
    <row r="1161" spans="1:44" s="16" customFormat="1" x14ac:dyDescent="0.5">
      <c r="A1161" s="3">
        <f t="shared" si="206"/>
        <v>2026</v>
      </c>
      <c r="B1161" s="8">
        <f t="shared" si="207"/>
        <v>3</v>
      </c>
      <c r="C1161" s="6">
        <v>46088</v>
      </c>
      <c r="D1161" s="15">
        <f t="shared" ca="1" si="208"/>
        <v>46097</v>
      </c>
      <c r="E1161" s="15" t="str">
        <f t="shared" ca="1" si="209"/>
        <v>0-Months</v>
      </c>
      <c r="F1161" s="8" t="str">
        <f>VLOOKUP(N1161,Stock[#Data],5,FALSE)</f>
        <v>BE</v>
      </c>
      <c r="G1161" s="82" t="s">
        <v>1701</v>
      </c>
      <c r="H1161" s="15"/>
      <c r="I1161" s="7" t="s">
        <v>748</v>
      </c>
      <c r="J1161" s="8" t="str">
        <f>VLOOKUP(I1161,Customers[#Data],2,FALSE)</f>
        <v>KKK</v>
      </c>
      <c r="K1161" s="15" t="str">
        <f>VLOOKUP(I1161,Customers[#Data],4,FALSE)</f>
        <v>Maw La Myaing</v>
      </c>
      <c r="L1161" s="15" t="str">
        <f>VLOOKUP(I1161,Customers[#Data],5,FALSE)</f>
        <v>Van Sales</v>
      </c>
      <c r="M1161" s="7" t="s">
        <v>6</v>
      </c>
      <c r="N1161" s="7" t="s">
        <v>522</v>
      </c>
      <c r="O1161" s="14" t="str">
        <f>VLOOKUP(N1161,Stock[#Data],2,FALSE)</f>
        <v>ဒဂုံမန်ကျည်း ကော်ဘူး (1 Liter)</v>
      </c>
      <c r="P1161" s="44">
        <f>VLOOKUP(N1161,Stock[#Data],3,FALSE)</f>
        <v>1</v>
      </c>
      <c r="Q1161" s="3">
        <f>VLOOKUP(N1161,Stock[#Data],4,FALSE)</f>
        <v>12</v>
      </c>
      <c r="R1161" s="11"/>
      <c r="S1161" s="45">
        <f>IFERROR(Table4[[#This Row],[Bottle]]/Table4[[#This Row],[ပါဝင်မှု]]+Table4[[#This Row],[SalesPK]],0)</f>
        <v>1</v>
      </c>
      <c r="T1161" s="12">
        <v>1</v>
      </c>
      <c r="U1161" s="10">
        <f>Table4[[#This Row],[ပါဝင်မှု]]*Table4[[#This Row],[SalesPK]]+Table4[[#This Row],[Bottle]]</f>
        <v>12</v>
      </c>
      <c r="V1161" s="10">
        <f>Table4[[#This Row],[SalesBot]]*Table4[[#This Row],[ML]]</f>
        <v>12</v>
      </c>
      <c r="W1161" s="1">
        <f>VLOOKUP(N1161,Stock[#Data],6,FALSE)</f>
        <v>1600</v>
      </c>
      <c r="X1161" s="8">
        <f>+Table4[[#This Row],[SalesBot]]*Table4[[#This Row],[နှုံး]]</f>
        <v>19200</v>
      </c>
      <c r="Y1161" s="12"/>
      <c r="Z1161" s="12"/>
      <c r="AA1161" s="12"/>
      <c r="AB1161" s="9"/>
      <c r="AC1161" s="12"/>
      <c r="AD1161" s="9"/>
      <c r="AE1161" s="12"/>
      <c r="AF116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161" s="24"/>
      <c r="AH1161" s="266"/>
      <c r="AI1161" s="264"/>
      <c r="AJ1161" s="264"/>
      <c r="AK1161" s="270"/>
      <c r="AL1161" s="270"/>
      <c r="AM1161" s="271"/>
      <c r="AN1161" s="272"/>
      <c r="AO1161" s="273"/>
      <c r="AP1161" s="268"/>
      <c r="AQ1161" s="268"/>
      <c r="AR1161" s="268"/>
    </row>
    <row r="1162" spans="1:44" s="16" customFormat="1" x14ac:dyDescent="0.5">
      <c r="A1162" s="3">
        <f t="shared" si="206"/>
        <v>2026</v>
      </c>
      <c r="B1162" s="8">
        <f t="shared" si="207"/>
        <v>3</v>
      </c>
      <c r="C1162" s="6">
        <v>46088</v>
      </c>
      <c r="D1162" s="15">
        <f t="shared" ca="1" si="208"/>
        <v>46097</v>
      </c>
      <c r="E1162" s="15" t="str">
        <f t="shared" ca="1" si="209"/>
        <v>0-Months</v>
      </c>
      <c r="F1162" s="8" t="str">
        <f>VLOOKUP(N1162,Stock[#Data],5,FALSE)</f>
        <v>BE</v>
      </c>
      <c r="G1162" s="82" t="s">
        <v>1702</v>
      </c>
      <c r="H1162" s="15"/>
      <c r="I1162" s="7" t="s">
        <v>555</v>
      </c>
      <c r="J1162" s="8" t="str">
        <f>VLOOKUP(I1162,Customers[#Data],2,FALSE)</f>
        <v>အနဲကြီး</v>
      </c>
      <c r="K1162" s="15" t="str">
        <f>VLOOKUP(I1162,Customers[#Data],4,FALSE)</f>
        <v>Maw La Myaing</v>
      </c>
      <c r="L1162" s="15" t="str">
        <f>VLOOKUP(I1162,Customers[#Data],5,FALSE)</f>
        <v>Mini Whole Sales</v>
      </c>
      <c r="M1162" s="7" t="s">
        <v>6</v>
      </c>
      <c r="N1162" s="7" t="s">
        <v>522</v>
      </c>
      <c r="O1162" s="14" t="str">
        <f>VLOOKUP(N1162,Stock[#Data],2,FALSE)</f>
        <v>ဒဂုံမန်ကျည်း ကော်ဘူး (1 Liter)</v>
      </c>
      <c r="P1162" s="44">
        <f>VLOOKUP(N1162,Stock[#Data],3,FALSE)</f>
        <v>1</v>
      </c>
      <c r="Q1162" s="3">
        <f>VLOOKUP(N1162,Stock[#Data],4,FALSE)</f>
        <v>12</v>
      </c>
      <c r="R1162" s="11"/>
      <c r="S1162" s="45">
        <f>IFERROR(Table4[[#This Row],[Bottle]]/Table4[[#This Row],[ပါဝင်မှု]]+Table4[[#This Row],[SalesPK]],0)</f>
        <v>1</v>
      </c>
      <c r="T1162" s="12">
        <v>1</v>
      </c>
      <c r="U1162" s="10">
        <f>Table4[[#This Row],[ပါဝင်မှု]]*Table4[[#This Row],[SalesPK]]+Table4[[#This Row],[Bottle]]</f>
        <v>12</v>
      </c>
      <c r="V1162" s="10">
        <f>Table4[[#This Row],[SalesBot]]*Table4[[#This Row],[ML]]</f>
        <v>12</v>
      </c>
      <c r="W1162" s="1">
        <f>VLOOKUP(N1162,Stock[#Data],6,FALSE)</f>
        <v>1600</v>
      </c>
      <c r="X1162" s="8">
        <f>+Table4[[#This Row],[SalesBot]]*Table4[[#This Row],[နှုံး]]</f>
        <v>19200</v>
      </c>
      <c r="Y1162" s="12"/>
      <c r="Z1162" s="12"/>
      <c r="AA1162" s="12"/>
      <c r="AB1162" s="9"/>
      <c r="AC1162" s="12"/>
      <c r="AD1162" s="9"/>
      <c r="AE1162" s="12"/>
      <c r="AF116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162" s="24"/>
      <c r="AH1162" s="266"/>
      <c r="AI1162" s="264"/>
      <c r="AJ1162" s="264"/>
      <c r="AK1162" s="270"/>
      <c r="AL1162" s="270"/>
      <c r="AM1162" s="271"/>
      <c r="AN1162" s="272"/>
      <c r="AO1162" s="273"/>
      <c r="AP1162" s="268"/>
      <c r="AQ1162" s="268"/>
      <c r="AR1162" s="268"/>
    </row>
    <row r="1163" spans="1:44" s="16" customFormat="1" x14ac:dyDescent="0.5">
      <c r="A1163" s="3">
        <f t="shared" si="206"/>
        <v>2026</v>
      </c>
      <c r="B1163" s="8">
        <f t="shared" si="207"/>
        <v>3</v>
      </c>
      <c r="C1163" s="6">
        <v>46090</v>
      </c>
      <c r="D1163" s="15">
        <f t="shared" ca="1" si="208"/>
        <v>46097</v>
      </c>
      <c r="E1163" s="15" t="str">
        <f t="shared" ca="1" si="209"/>
        <v>0-Months</v>
      </c>
      <c r="F1163" s="8" t="str">
        <f>VLOOKUP(N1163,Stock[#Data],5,FALSE)</f>
        <v>BE</v>
      </c>
      <c r="G1163" s="82" t="s">
        <v>1703</v>
      </c>
      <c r="H1163" s="15"/>
      <c r="I1163" s="7" t="s">
        <v>564</v>
      </c>
      <c r="J1163" s="8" t="str">
        <f>VLOOKUP(I1163,Customers[#Data],2,FALSE)</f>
        <v>ဒေါ်မိမိနိုင်</v>
      </c>
      <c r="K1163" s="15" t="str">
        <f>VLOOKUP(I1163,Customers[#Data],4,FALSE)</f>
        <v>Mudon</v>
      </c>
      <c r="L1163" s="15" t="str">
        <f>VLOOKUP(I1163,Customers[#Data],5,FALSE)</f>
        <v>Van Sales</v>
      </c>
      <c r="M1163" s="7" t="s">
        <v>6</v>
      </c>
      <c r="N1163" s="7" t="s">
        <v>520</v>
      </c>
      <c r="O1163" s="14" t="str">
        <f>VLOOKUP(N1163,Stock[#Data],2,FALSE)</f>
        <v>ဇေယျဝတီ  Red(ပု)</v>
      </c>
      <c r="P1163" s="44">
        <f>VLOOKUP(N1163,Stock[#Data],3,FALSE)</f>
        <v>0.64</v>
      </c>
      <c r="Q1163" s="3">
        <f>VLOOKUP(N1163,Stock[#Data],4,FALSE)</f>
        <v>14</v>
      </c>
      <c r="R1163" s="11"/>
      <c r="S1163" s="45">
        <f>IFERROR(Table4[[#This Row],[Bottle]]/Table4[[#This Row],[ပါဝင်မှု]]+Table4[[#This Row],[SalesPK]],0)</f>
        <v>25</v>
      </c>
      <c r="T1163" s="12">
        <v>25</v>
      </c>
      <c r="U1163" s="10">
        <f>Table4[[#This Row],[ပါဝင်မှု]]*Table4[[#This Row],[SalesPK]]+Table4[[#This Row],[Bottle]]</f>
        <v>350</v>
      </c>
      <c r="V1163" s="10">
        <f>Table4[[#This Row],[SalesBot]]*Table4[[#This Row],[ML]]</f>
        <v>224</v>
      </c>
      <c r="W1163" s="1">
        <f>VLOOKUP(N1163,Stock[#Data],6,FALSE)</f>
        <v>1800</v>
      </c>
      <c r="X1163" s="8">
        <f>+Table4[[#This Row],[SalesBot]]*Table4[[#This Row],[နှုံး]]</f>
        <v>630000</v>
      </c>
      <c r="Y1163" s="12"/>
      <c r="Z1163" s="12"/>
      <c r="AA1163" s="12"/>
      <c r="AB1163" s="9"/>
      <c r="AC1163" s="12"/>
      <c r="AD1163" s="9"/>
      <c r="AE1163" s="12"/>
      <c r="AF116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630000</v>
      </c>
      <c r="AG1163" s="24"/>
      <c r="AH1163" s="266"/>
      <c r="AI1163" s="264"/>
      <c r="AJ1163" s="264"/>
      <c r="AK1163" s="270"/>
      <c r="AL1163" s="270"/>
      <c r="AM1163" s="271"/>
      <c r="AN1163" s="272"/>
      <c r="AO1163" s="273"/>
      <c r="AP1163" s="268"/>
      <c r="AQ1163" s="268"/>
      <c r="AR1163" s="268"/>
    </row>
    <row r="1164" spans="1:44" s="16" customFormat="1" x14ac:dyDescent="0.5">
      <c r="A1164" s="3">
        <f t="shared" si="206"/>
        <v>2026</v>
      </c>
      <c r="B1164" s="8">
        <f t="shared" si="207"/>
        <v>3</v>
      </c>
      <c r="C1164" s="6">
        <v>46090</v>
      </c>
      <c r="D1164" s="15">
        <f t="shared" ca="1" si="208"/>
        <v>46097</v>
      </c>
      <c r="E1164" s="15" t="str">
        <f t="shared" ca="1" si="209"/>
        <v>0-Months</v>
      </c>
      <c r="F1164" s="8" t="str">
        <f>VLOOKUP(N1164,Stock[#Data],5,FALSE)</f>
        <v>BE</v>
      </c>
      <c r="G1164" s="82" t="s">
        <v>1704</v>
      </c>
      <c r="H1164" s="15"/>
      <c r="I1164" s="7" t="s">
        <v>114</v>
      </c>
      <c r="J1164" s="8" t="str">
        <f>VLOOKUP(I1164,Customers[#Data],2,FALSE)</f>
        <v>ကိုမောင်လေး</v>
      </c>
      <c r="K1164" s="15" t="str">
        <f>VLOOKUP(I1164,Customers[#Data],4,FALSE)</f>
        <v>Than Phyu ZaYat</v>
      </c>
      <c r="L1164" s="15" t="str">
        <f>VLOOKUP(I1164,Customers[#Data],5,FALSE)</f>
        <v>Van Sales</v>
      </c>
      <c r="M1164" s="7" t="s">
        <v>6</v>
      </c>
      <c r="N1164" s="7" t="s">
        <v>520</v>
      </c>
      <c r="O1164" s="14" t="str">
        <f>VLOOKUP(N1164,Stock[#Data],2,FALSE)</f>
        <v>ဇေယျဝတီ  Red(ပု)</v>
      </c>
      <c r="P1164" s="44">
        <f>VLOOKUP(N1164,Stock[#Data],3,FALSE)</f>
        <v>0.64</v>
      </c>
      <c r="Q1164" s="3">
        <f>VLOOKUP(N1164,Stock[#Data],4,FALSE)</f>
        <v>14</v>
      </c>
      <c r="R1164" s="11"/>
      <c r="S1164" s="45">
        <f>IFERROR(Table4[[#This Row],[Bottle]]/Table4[[#This Row],[ပါဝင်မှု]]+Table4[[#This Row],[SalesPK]],0)</f>
        <v>50</v>
      </c>
      <c r="T1164" s="12">
        <v>50</v>
      </c>
      <c r="U1164" s="10">
        <f>Table4[[#This Row],[ပါဝင်မှု]]*Table4[[#This Row],[SalesPK]]+Table4[[#This Row],[Bottle]]</f>
        <v>700</v>
      </c>
      <c r="V1164" s="10">
        <f>Table4[[#This Row],[SalesBot]]*Table4[[#This Row],[ML]]</f>
        <v>448</v>
      </c>
      <c r="W1164" s="1">
        <f>VLOOKUP(N1164,Stock[#Data],6,FALSE)</f>
        <v>1800</v>
      </c>
      <c r="X1164" s="8">
        <f>+Table4[[#This Row],[SalesBot]]*Table4[[#This Row],[နှုံး]]</f>
        <v>1260000</v>
      </c>
      <c r="Y1164" s="12"/>
      <c r="Z1164" s="12"/>
      <c r="AA1164" s="12"/>
      <c r="AB1164" s="9"/>
      <c r="AC1164" s="12"/>
      <c r="AD1164" s="9"/>
      <c r="AE1164" s="12"/>
      <c r="AF116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1164" s="24"/>
      <c r="AH1164" s="266"/>
      <c r="AI1164" s="264"/>
      <c r="AJ1164" s="264"/>
      <c r="AK1164" s="270"/>
      <c r="AL1164" s="270"/>
      <c r="AM1164" s="271"/>
      <c r="AN1164" s="272"/>
      <c r="AO1164" s="273"/>
      <c r="AP1164" s="268"/>
      <c r="AQ1164" s="268"/>
      <c r="AR1164" s="268"/>
    </row>
    <row r="1165" spans="1:44" s="16" customFormat="1" x14ac:dyDescent="0.5">
      <c r="A1165" s="3">
        <f t="shared" si="206"/>
        <v>2026</v>
      </c>
      <c r="B1165" s="8">
        <f t="shared" si="207"/>
        <v>3</v>
      </c>
      <c r="C1165" s="6">
        <v>46090</v>
      </c>
      <c r="D1165" s="15">
        <f t="shared" ca="1" si="208"/>
        <v>46097</v>
      </c>
      <c r="E1165" s="15" t="str">
        <f t="shared" ca="1" si="209"/>
        <v>0-Months</v>
      </c>
      <c r="F1165" s="8" t="str">
        <f>VLOOKUP(N1165,Stock[#Data],5,FALSE)</f>
        <v>BE</v>
      </c>
      <c r="G1165" s="82" t="s">
        <v>1705</v>
      </c>
      <c r="H1165" s="15"/>
      <c r="I1165" s="7" t="s">
        <v>85</v>
      </c>
      <c r="J1165" s="8" t="str">
        <f>VLOOKUP(I1165,Customers[#Data],2,FALSE)</f>
        <v>ဒေါ်မိုးမိုးမြင့်</v>
      </c>
      <c r="K1165" s="15" t="str">
        <f>VLOOKUP(I1165,Customers[#Data],4,FALSE)</f>
        <v>Mudon</v>
      </c>
      <c r="L1165" s="15" t="str">
        <f>VLOOKUP(I1165,Customers[#Data],5,FALSE)</f>
        <v>Van Sales</v>
      </c>
      <c r="M1165" s="7" t="s">
        <v>7</v>
      </c>
      <c r="N1165" s="7" t="s">
        <v>520</v>
      </c>
      <c r="O1165" s="14" t="str">
        <f>VLOOKUP(N1165,Stock[#Data],2,FALSE)</f>
        <v>ဇေယျဝတီ  Red(ပု)</v>
      </c>
      <c r="P1165" s="44">
        <f>VLOOKUP(N1165,Stock[#Data],3,FALSE)</f>
        <v>0.64</v>
      </c>
      <c r="Q1165" s="3">
        <f>VLOOKUP(N1165,Stock[#Data],4,FALSE)</f>
        <v>14</v>
      </c>
      <c r="R1165" s="11"/>
      <c r="S1165" s="45">
        <f>IFERROR(Table4[[#This Row],[Bottle]]/Table4[[#This Row],[ပါဝင်မှု]]+Table4[[#This Row],[SalesPK]],0)</f>
        <v>20</v>
      </c>
      <c r="T1165" s="12">
        <v>20</v>
      </c>
      <c r="U1165" s="10">
        <f>Table4[[#This Row],[ပါဝင်မှု]]*Table4[[#This Row],[SalesPK]]+Table4[[#This Row],[Bottle]]</f>
        <v>280</v>
      </c>
      <c r="V1165" s="10">
        <f>Table4[[#This Row],[SalesBot]]*Table4[[#This Row],[ML]]</f>
        <v>179.20000000000002</v>
      </c>
      <c r="W1165" s="1">
        <f>VLOOKUP(N1165,Stock[#Data],6,FALSE)</f>
        <v>1800</v>
      </c>
      <c r="X1165" s="8">
        <f>+Table4[[#This Row],[SalesBot]]*Table4[[#This Row],[နှုံး]]</f>
        <v>504000</v>
      </c>
      <c r="Y1165" s="12"/>
      <c r="Z1165" s="12"/>
      <c r="AA1165" s="12"/>
      <c r="AB1165" s="9"/>
      <c r="AC1165" s="12"/>
      <c r="AD1165" s="9"/>
      <c r="AE1165" s="12"/>
      <c r="AF116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504000</v>
      </c>
      <c r="AG1165" s="24"/>
      <c r="AH1165" s="266"/>
      <c r="AI1165" s="264"/>
      <c r="AJ1165" s="264"/>
      <c r="AK1165" s="270"/>
      <c r="AL1165" s="270"/>
      <c r="AM1165" s="271"/>
      <c r="AN1165" s="272"/>
      <c r="AO1165" s="273"/>
      <c r="AP1165" s="268"/>
      <c r="AQ1165" s="268"/>
      <c r="AR1165" s="268"/>
    </row>
    <row r="1166" spans="1:44" s="16" customFormat="1" x14ac:dyDescent="0.5">
      <c r="A1166" s="3">
        <f t="shared" si="206"/>
        <v>2026</v>
      </c>
      <c r="B1166" s="8">
        <f t="shared" si="207"/>
        <v>3</v>
      </c>
      <c r="C1166" s="6">
        <v>46090</v>
      </c>
      <c r="D1166" s="15">
        <f t="shared" ca="1" si="208"/>
        <v>46097</v>
      </c>
      <c r="E1166" s="15" t="str">
        <f t="shared" ca="1" si="209"/>
        <v>0-Months</v>
      </c>
      <c r="F1166" s="8" t="str">
        <f>VLOOKUP(N1166,Stock[#Data],5,FALSE)</f>
        <v>BE</v>
      </c>
      <c r="G1166" s="82" t="s">
        <v>1706</v>
      </c>
      <c r="H1166" s="15"/>
      <c r="I1166" s="7" t="s">
        <v>114</v>
      </c>
      <c r="J1166" s="8" t="str">
        <f>VLOOKUP(I1166,Customers[#Data],2,FALSE)</f>
        <v>ကိုမောင်လေး</v>
      </c>
      <c r="K1166" s="15" t="str">
        <f>VLOOKUP(I1166,Customers[#Data],4,FALSE)</f>
        <v>Than Phyu ZaYat</v>
      </c>
      <c r="L1166" s="15" t="str">
        <f>VLOOKUP(I1166,Customers[#Data],5,FALSE)</f>
        <v>Van Sales</v>
      </c>
      <c r="M1166" s="7" t="s">
        <v>7</v>
      </c>
      <c r="N1166" s="7" t="s">
        <v>522</v>
      </c>
      <c r="O1166" s="14" t="str">
        <f>VLOOKUP(N1166,Stock[#Data],2,FALSE)</f>
        <v>ဒဂုံမန်ကျည်း ကော်ဘူး (1 Liter)</v>
      </c>
      <c r="P1166" s="44">
        <f>VLOOKUP(N1166,Stock[#Data],3,FALSE)</f>
        <v>1</v>
      </c>
      <c r="Q1166" s="3">
        <f>VLOOKUP(N1166,Stock[#Data],4,FALSE)</f>
        <v>12</v>
      </c>
      <c r="R1166" s="11"/>
      <c r="S1166" s="45">
        <f>IFERROR(Table4[[#This Row],[Bottle]]/Table4[[#This Row],[ပါဝင်မှု]]+Table4[[#This Row],[SalesPK]],0)</f>
        <v>1</v>
      </c>
      <c r="T1166" s="12">
        <v>1</v>
      </c>
      <c r="U1166" s="10">
        <f>Table4[[#This Row],[ပါဝင်မှု]]*Table4[[#This Row],[SalesPK]]+Table4[[#This Row],[Bottle]]</f>
        <v>12</v>
      </c>
      <c r="V1166" s="10">
        <f>Table4[[#This Row],[SalesBot]]*Table4[[#This Row],[ML]]</f>
        <v>12</v>
      </c>
      <c r="W1166" s="1">
        <f>VLOOKUP(N1166,Stock[#Data],6,FALSE)</f>
        <v>1600</v>
      </c>
      <c r="X1166" s="8">
        <f>+Table4[[#This Row],[SalesBot]]*Table4[[#This Row],[နှုံး]]</f>
        <v>19200</v>
      </c>
      <c r="Y1166" s="12"/>
      <c r="Z1166" s="12"/>
      <c r="AA1166" s="12"/>
      <c r="AB1166" s="9"/>
      <c r="AC1166" s="12"/>
      <c r="AD1166" s="9"/>
      <c r="AE1166" s="12"/>
      <c r="AF116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166" s="24"/>
      <c r="AH1166" s="266"/>
      <c r="AI1166" s="264"/>
      <c r="AJ1166" s="264"/>
      <c r="AK1166" s="270"/>
      <c r="AL1166" s="270"/>
      <c r="AM1166" s="271"/>
      <c r="AN1166" s="272"/>
      <c r="AO1166" s="273"/>
      <c r="AP1166" s="268"/>
      <c r="AQ1166" s="268"/>
      <c r="AR1166" s="268"/>
    </row>
    <row r="1167" spans="1:44" s="16" customFormat="1" x14ac:dyDescent="0.5">
      <c r="A1167" s="3">
        <f t="shared" si="206"/>
        <v>2026</v>
      </c>
      <c r="B1167" s="8">
        <f t="shared" si="207"/>
        <v>3</v>
      </c>
      <c r="C1167" s="6">
        <v>46090</v>
      </c>
      <c r="D1167" s="15">
        <f t="shared" ca="1" si="208"/>
        <v>46097</v>
      </c>
      <c r="E1167" s="15" t="str">
        <f t="shared" ca="1" si="209"/>
        <v>0-Months</v>
      </c>
      <c r="F1167" s="8" t="str">
        <f>VLOOKUP(N1167,Stock[#Data],5,FALSE)</f>
        <v>BE</v>
      </c>
      <c r="G1167" s="82" t="s">
        <v>1706</v>
      </c>
      <c r="H1167" s="15"/>
      <c r="I1167" s="7" t="s">
        <v>114</v>
      </c>
      <c r="J1167" s="8" t="str">
        <f>VLOOKUP(I1167,Customers[#Data],2,FALSE)</f>
        <v>ကိုမောင်လေး</v>
      </c>
      <c r="K1167" s="15" t="str">
        <f>VLOOKUP(I1167,Customers[#Data],4,FALSE)</f>
        <v>Than Phyu ZaYat</v>
      </c>
      <c r="L1167" s="15" t="str">
        <f>VLOOKUP(I1167,Customers[#Data],5,FALSE)</f>
        <v>Van Sales</v>
      </c>
      <c r="M1167" s="7" t="s">
        <v>7</v>
      </c>
      <c r="N1167" s="7" t="s">
        <v>425</v>
      </c>
      <c r="O1167" s="14" t="str">
        <f>VLOOKUP(N1167,Stock[#Data],2,FALSE)</f>
        <v>ကောင်းကြည်-1Li</v>
      </c>
      <c r="P1167" s="44">
        <f>VLOOKUP(N1167,Stock[#Data],3,FALSE)</f>
        <v>1</v>
      </c>
      <c r="Q1167" s="3">
        <f>VLOOKUP(N1167,Stock[#Data],4,FALSE)</f>
        <v>12</v>
      </c>
      <c r="R1167" s="11"/>
      <c r="S1167" s="45">
        <f>IFERROR(Table4[[#This Row],[Bottle]]/Table4[[#This Row],[ပါဝင်မှု]]+Table4[[#This Row],[SalesPK]],0)</f>
        <v>1</v>
      </c>
      <c r="T1167" s="12">
        <v>1</v>
      </c>
      <c r="U1167" s="10">
        <f>Table4[[#This Row],[ပါဝင်မှု]]*Table4[[#This Row],[SalesPK]]+Table4[[#This Row],[Bottle]]</f>
        <v>12</v>
      </c>
      <c r="V1167" s="10">
        <f>Table4[[#This Row],[SalesBot]]*Table4[[#This Row],[ML]]</f>
        <v>12</v>
      </c>
      <c r="W1167" s="1">
        <f>VLOOKUP(N1167,Stock[#Data],6,FALSE)</f>
        <v>1500</v>
      </c>
      <c r="X1167" s="8">
        <f>+Table4[[#This Row],[SalesBot]]*Table4[[#This Row],[နှုံး]]</f>
        <v>18000</v>
      </c>
      <c r="Y1167" s="12"/>
      <c r="Z1167" s="12"/>
      <c r="AA1167" s="12"/>
      <c r="AB1167" s="9"/>
      <c r="AC1167" s="12"/>
      <c r="AD1167" s="9"/>
      <c r="AE1167" s="12"/>
      <c r="AF116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18000</v>
      </c>
      <c r="AG1167" s="24"/>
      <c r="AH1167" s="266"/>
      <c r="AI1167" s="264"/>
      <c r="AJ1167" s="264"/>
      <c r="AK1167" s="270"/>
      <c r="AL1167" s="270"/>
      <c r="AM1167" s="271"/>
      <c r="AN1167" s="272"/>
      <c r="AO1167" s="273"/>
      <c r="AP1167" s="268"/>
      <c r="AQ1167" s="268"/>
      <c r="AR1167" s="268"/>
    </row>
    <row r="1168" spans="1:44" s="16" customFormat="1" x14ac:dyDescent="0.5">
      <c r="A1168" s="3">
        <f t="shared" si="206"/>
        <v>2026</v>
      </c>
      <c r="B1168" s="8">
        <f t="shared" si="207"/>
        <v>3</v>
      </c>
      <c r="C1168" s="6">
        <v>46090</v>
      </c>
      <c r="D1168" s="15">
        <f t="shared" ca="1" si="208"/>
        <v>46097</v>
      </c>
      <c r="E1168" s="15" t="str">
        <f t="shared" ca="1" si="209"/>
        <v>0-Months</v>
      </c>
      <c r="F1168" s="8" t="str">
        <f>VLOOKUP(N1168,Stock[#Data],5,FALSE)</f>
        <v>BE</v>
      </c>
      <c r="G1168" s="82" t="s">
        <v>1706</v>
      </c>
      <c r="H1168" s="15"/>
      <c r="I1168" s="7" t="s">
        <v>114</v>
      </c>
      <c r="J1168" s="8" t="str">
        <f>VLOOKUP(I1168,Customers[#Data],2,FALSE)</f>
        <v>ကိုမောင်လေး</v>
      </c>
      <c r="K1168" s="15" t="str">
        <f>VLOOKUP(I1168,Customers[#Data],4,FALSE)</f>
        <v>Than Phyu ZaYat</v>
      </c>
      <c r="L1168" s="15" t="str">
        <f>VLOOKUP(I1168,Customers[#Data],5,FALSE)</f>
        <v>Van Sales</v>
      </c>
      <c r="M1168" s="7" t="s">
        <v>7</v>
      </c>
      <c r="N1168" s="7" t="s">
        <v>508</v>
      </c>
      <c r="O1168" s="14" t="str">
        <f>VLOOKUP(N1168,Stock[#Data],2,FALSE)</f>
        <v>ကောင်းကြည်-1Li</v>
      </c>
      <c r="P1168" s="44">
        <f>VLOOKUP(N1168,Stock[#Data],3,FALSE)</f>
        <v>1</v>
      </c>
      <c r="Q1168" s="3">
        <f>VLOOKUP(N1168,Stock[#Data],4,FALSE)</f>
        <v>12</v>
      </c>
      <c r="R1168" s="11"/>
      <c r="S1168" s="45">
        <f>IFERROR(Table4[[#This Row],[Bottle]]/Table4[[#This Row],[ပါဝင်မှု]]+Table4[[#This Row],[SalesPK]],0)</f>
        <v>1</v>
      </c>
      <c r="T1168" s="12">
        <v>1</v>
      </c>
      <c r="U1168" s="10">
        <f>Table4[[#This Row],[ပါဝင်မှု]]*Table4[[#This Row],[SalesPK]]+Table4[[#This Row],[Bottle]]</f>
        <v>12</v>
      </c>
      <c r="V1168" s="10">
        <f>Table4[[#This Row],[SalesBot]]*Table4[[#This Row],[ML]]</f>
        <v>12</v>
      </c>
      <c r="W1168" s="1">
        <f>VLOOKUP(N1168,Stock[#Data],6,FALSE)</f>
        <v>1850</v>
      </c>
      <c r="X1168" s="8">
        <f>+Table4[[#This Row],[SalesBot]]*Table4[[#This Row],[နှုံး]]</f>
        <v>22200</v>
      </c>
      <c r="Y1168" s="12"/>
      <c r="Z1168" s="12"/>
      <c r="AA1168" s="12"/>
      <c r="AB1168" s="9"/>
      <c r="AC1168" s="12"/>
      <c r="AD1168" s="9"/>
      <c r="AE1168" s="12"/>
      <c r="AF116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1168" s="24"/>
      <c r="AH1168" s="266"/>
      <c r="AI1168" s="264"/>
      <c r="AJ1168" s="264"/>
      <c r="AK1168" s="270"/>
      <c r="AL1168" s="270"/>
      <c r="AM1168" s="271"/>
      <c r="AN1168" s="272"/>
      <c r="AO1168" s="273"/>
      <c r="AP1168" s="268"/>
      <c r="AQ1168" s="268"/>
      <c r="AR1168" s="268"/>
    </row>
    <row r="1169" spans="1:44" s="16" customFormat="1" x14ac:dyDescent="0.5">
      <c r="A1169" s="3">
        <f t="shared" si="206"/>
        <v>2026</v>
      </c>
      <c r="B1169" s="8">
        <f t="shared" si="207"/>
        <v>3</v>
      </c>
      <c r="C1169" s="6">
        <v>46090</v>
      </c>
      <c r="D1169" s="15">
        <f t="shared" ca="1" si="208"/>
        <v>46097</v>
      </c>
      <c r="E1169" s="15" t="str">
        <f t="shared" ca="1" si="209"/>
        <v>0-Months</v>
      </c>
      <c r="F1169" s="8" t="str">
        <f>VLOOKUP(N1169,Stock[#Data],5,FALSE)</f>
        <v>BE</v>
      </c>
      <c r="G1169" s="82" t="s">
        <v>1707</v>
      </c>
      <c r="H1169" s="15"/>
      <c r="I1169" s="7" t="s">
        <v>95</v>
      </c>
      <c r="J1169" s="8" t="str">
        <f>VLOOKUP(I1169,Customers[#Data],2,FALSE)</f>
        <v>ကျော်စတား</v>
      </c>
      <c r="K1169" s="15" t="str">
        <f>VLOOKUP(I1169,Customers[#Data],4,FALSE)</f>
        <v>Yay</v>
      </c>
      <c r="L1169" s="15" t="str">
        <f>VLOOKUP(I1169,Customers[#Data],5,FALSE)</f>
        <v>WholeSales</v>
      </c>
      <c r="M1169" s="7" t="s">
        <v>7</v>
      </c>
      <c r="N1169" s="7" t="s">
        <v>514</v>
      </c>
      <c r="O1169" s="14" t="str">
        <f>VLOOKUP(N1169,Stock[#Data],2,FALSE)</f>
        <v>ဇေယျဝတီ Red</v>
      </c>
      <c r="P1169" s="44">
        <f>VLOOKUP(N1169,Stock[#Data],3,FALSE)</f>
        <v>0.64</v>
      </c>
      <c r="Q1169" s="3">
        <f>VLOOKUP(N1169,Stock[#Data],4,FALSE)</f>
        <v>14</v>
      </c>
      <c r="R1169" s="11"/>
      <c r="S1169" s="45">
        <f>IFERROR(Table4[[#This Row],[Bottle]]/Table4[[#This Row],[ပါဝင်မှု]]+Table4[[#This Row],[SalesPK]],0)</f>
        <v>300</v>
      </c>
      <c r="T1169" s="12">
        <v>300</v>
      </c>
      <c r="U1169" s="10">
        <f>Table4[[#This Row],[ပါဝင်မှု]]*Table4[[#This Row],[SalesPK]]+Table4[[#This Row],[Bottle]]</f>
        <v>4200</v>
      </c>
      <c r="V1169" s="10">
        <f>Table4[[#This Row],[SalesBot]]*Table4[[#This Row],[ML]]</f>
        <v>2688</v>
      </c>
      <c r="W1169" s="1">
        <f>VLOOKUP(N1169,Stock[#Data],6,FALSE)</f>
        <v>1350</v>
      </c>
      <c r="X1169" s="8">
        <f>+Table4[[#This Row],[SalesBot]]*Table4[[#This Row],[နှုံး]]</f>
        <v>5670000</v>
      </c>
      <c r="Y1169" s="12"/>
      <c r="Z1169" s="12"/>
      <c r="AA1169" s="12"/>
      <c r="AB1169" s="9"/>
      <c r="AC1169" s="12"/>
      <c r="AD1169" s="9"/>
      <c r="AE1169" s="12"/>
      <c r="AF116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5670000</v>
      </c>
      <c r="AG1169" s="24"/>
      <c r="AH1169" s="266"/>
      <c r="AI1169" s="264"/>
      <c r="AJ1169" s="264"/>
      <c r="AK1169" s="270"/>
      <c r="AL1169" s="270"/>
      <c r="AM1169" s="271"/>
      <c r="AN1169" s="272"/>
      <c r="AO1169" s="273"/>
      <c r="AP1169" s="268"/>
      <c r="AQ1169" s="268"/>
      <c r="AR1169" s="268"/>
    </row>
    <row r="1170" spans="1:44" s="16" customFormat="1" x14ac:dyDescent="0.5">
      <c r="A1170" s="3">
        <f t="shared" si="206"/>
        <v>2026</v>
      </c>
      <c r="B1170" s="8">
        <f t="shared" si="207"/>
        <v>3</v>
      </c>
      <c r="C1170" s="6">
        <v>46090</v>
      </c>
      <c r="D1170" s="15">
        <f t="shared" ca="1" si="208"/>
        <v>46097</v>
      </c>
      <c r="E1170" s="15" t="str">
        <f t="shared" ca="1" si="209"/>
        <v>0-Months</v>
      </c>
      <c r="F1170" s="8" t="str">
        <f>VLOOKUP(N1170,Stock[#Data],5,FALSE)</f>
        <v>BE</v>
      </c>
      <c r="G1170" s="82" t="s">
        <v>1707</v>
      </c>
      <c r="H1170" s="15"/>
      <c r="I1170" s="7" t="s">
        <v>95</v>
      </c>
      <c r="J1170" s="8" t="str">
        <f>VLOOKUP(I1170,Customers[#Data],2,FALSE)</f>
        <v>ကျော်စတား</v>
      </c>
      <c r="K1170" s="15" t="str">
        <f>VLOOKUP(I1170,Customers[#Data],4,FALSE)</f>
        <v>Yay</v>
      </c>
      <c r="L1170" s="15" t="str">
        <f>VLOOKUP(I1170,Customers[#Data],5,FALSE)</f>
        <v>WholeSales</v>
      </c>
      <c r="M1170" s="7" t="s">
        <v>7</v>
      </c>
      <c r="N1170" s="7" t="s">
        <v>517</v>
      </c>
      <c r="O1170" s="14" t="str">
        <f>VLOOKUP(N1170,Stock[#Data],2,FALSE)</f>
        <v>ဇေယျဝတီ Red (1 Liter) 30%</v>
      </c>
      <c r="P1170" s="44">
        <f>VLOOKUP(N1170,Stock[#Data],3,FALSE)</f>
        <v>1</v>
      </c>
      <c r="Q1170" s="3">
        <f>VLOOKUP(N1170,Stock[#Data],4,FALSE)</f>
        <v>12</v>
      </c>
      <c r="R1170" s="11"/>
      <c r="S1170" s="45">
        <f>IFERROR(Table4[[#This Row],[Bottle]]/Table4[[#This Row],[ပါဝင်မှု]]+Table4[[#This Row],[SalesPK]],0)</f>
        <v>200</v>
      </c>
      <c r="T1170" s="12">
        <v>200</v>
      </c>
      <c r="U1170" s="10">
        <f>Table4[[#This Row],[ပါဝင်မှု]]*Table4[[#This Row],[SalesPK]]+Table4[[#This Row],[Bottle]]</f>
        <v>2400</v>
      </c>
      <c r="V1170" s="10">
        <f>Table4[[#This Row],[SalesBot]]*Table4[[#This Row],[ML]]</f>
        <v>2400</v>
      </c>
      <c r="W1170" s="1">
        <f>VLOOKUP(N1170,Stock[#Data],6,FALSE)</f>
        <v>1710</v>
      </c>
      <c r="X1170" s="8">
        <f>+Table4[[#This Row],[SalesBot]]*Table4[[#This Row],[နှုံး]]</f>
        <v>4104000</v>
      </c>
      <c r="Y1170" s="12"/>
      <c r="Z1170" s="12"/>
      <c r="AA1170" s="12"/>
      <c r="AB1170" s="9"/>
      <c r="AC1170" s="12"/>
      <c r="AD1170" s="9"/>
      <c r="AE1170" s="12"/>
      <c r="AF117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4104000</v>
      </c>
      <c r="AG1170" s="24"/>
      <c r="AH1170" s="266"/>
      <c r="AI1170" s="264"/>
      <c r="AJ1170" s="264"/>
      <c r="AK1170" s="270"/>
      <c r="AL1170" s="270"/>
      <c r="AM1170" s="271"/>
      <c r="AN1170" s="272"/>
      <c r="AO1170" s="273"/>
      <c r="AP1170" s="268"/>
      <c r="AQ1170" s="268"/>
      <c r="AR1170" s="268"/>
    </row>
    <row r="1171" spans="1:44" s="16" customFormat="1" x14ac:dyDescent="0.5">
      <c r="A1171" s="3">
        <f t="shared" si="206"/>
        <v>2026</v>
      </c>
      <c r="B1171" s="8">
        <f t="shared" si="207"/>
        <v>3</v>
      </c>
      <c r="C1171" s="6">
        <v>46090</v>
      </c>
      <c r="D1171" s="15">
        <f t="shared" ca="1" si="208"/>
        <v>46097</v>
      </c>
      <c r="E1171" s="15" t="str">
        <f t="shared" ca="1" si="209"/>
        <v>0-Months</v>
      </c>
      <c r="F1171" s="8" t="str">
        <f>VLOOKUP(N1171,Stock[#Data],5,FALSE)</f>
        <v>BE</v>
      </c>
      <c r="G1171" s="82" t="s">
        <v>1708</v>
      </c>
      <c r="H1171" s="15"/>
      <c r="I1171" s="7" t="s">
        <v>95</v>
      </c>
      <c r="J1171" s="8" t="str">
        <f>VLOOKUP(I1171,Customers[#Data],2,FALSE)</f>
        <v>ကျော်စတား</v>
      </c>
      <c r="K1171" s="15" t="str">
        <f>VLOOKUP(I1171,Customers[#Data],4,FALSE)</f>
        <v>Yay</v>
      </c>
      <c r="L1171" s="15" t="str">
        <f>VLOOKUP(I1171,Customers[#Data],5,FALSE)</f>
        <v>WholeSales</v>
      </c>
      <c r="M1171" s="7" t="s">
        <v>7</v>
      </c>
      <c r="N1171" s="7" t="s">
        <v>514</v>
      </c>
      <c r="O1171" s="14" t="str">
        <f>VLOOKUP(N1171,Stock[#Data],2,FALSE)</f>
        <v>ဇေယျဝတီ Red</v>
      </c>
      <c r="P1171" s="44">
        <f>VLOOKUP(N1171,Stock[#Data],3,FALSE)</f>
        <v>0.64</v>
      </c>
      <c r="Q1171" s="3">
        <f>VLOOKUP(N1171,Stock[#Data],4,FALSE)</f>
        <v>14</v>
      </c>
      <c r="R1171" s="11"/>
      <c r="S1171" s="45">
        <f>IFERROR(Table4[[#This Row],[Bottle]]/Table4[[#This Row],[ပါဝင်မှု]]+Table4[[#This Row],[SalesPK]],0)</f>
        <v>200</v>
      </c>
      <c r="T1171" s="12">
        <v>200</v>
      </c>
      <c r="U1171" s="10">
        <f>Table4[[#This Row],[ပါဝင်မှု]]*Table4[[#This Row],[SalesPK]]+Table4[[#This Row],[Bottle]]</f>
        <v>2800</v>
      </c>
      <c r="V1171" s="10">
        <f>Table4[[#This Row],[SalesBot]]*Table4[[#This Row],[ML]]</f>
        <v>1792</v>
      </c>
      <c r="W1171" s="1">
        <f>VLOOKUP(N1171,Stock[#Data],6,FALSE)</f>
        <v>1350</v>
      </c>
      <c r="X1171" s="8">
        <f>+Table4[[#This Row],[SalesBot]]*Table4[[#This Row],[နှုံး]]</f>
        <v>3780000</v>
      </c>
      <c r="Y1171" s="12"/>
      <c r="Z1171" s="12"/>
      <c r="AA1171" s="12"/>
      <c r="AB1171" s="9"/>
      <c r="AC1171" s="12"/>
      <c r="AD1171" s="9"/>
      <c r="AE1171" s="12"/>
      <c r="AF117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3780000</v>
      </c>
      <c r="AG1171" s="24"/>
      <c r="AH1171" s="266"/>
      <c r="AI1171" s="264"/>
      <c r="AJ1171" s="264"/>
      <c r="AK1171" s="270"/>
      <c r="AL1171" s="270"/>
      <c r="AM1171" s="271"/>
      <c r="AN1171" s="272"/>
      <c r="AO1171" s="273"/>
      <c r="AP1171" s="268"/>
      <c r="AQ1171" s="268"/>
      <c r="AR1171" s="268"/>
    </row>
    <row r="1172" spans="1:44" s="16" customFormat="1" x14ac:dyDescent="0.5">
      <c r="A1172" s="3">
        <f t="shared" si="206"/>
        <v>2026</v>
      </c>
      <c r="B1172" s="8">
        <f t="shared" si="207"/>
        <v>3</v>
      </c>
      <c r="C1172" s="6">
        <v>46090</v>
      </c>
      <c r="D1172" s="15">
        <f t="shared" ca="1" si="208"/>
        <v>46097</v>
      </c>
      <c r="E1172" s="15" t="str">
        <f t="shared" ca="1" si="209"/>
        <v>0-Months</v>
      </c>
      <c r="F1172" s="8" t="str">
        <f>VLOOKUP(N1172,Stock[#Data],5,FALSE)</f>
        <v>BE</v>
      </c>
      <c r="G1172" s="82" t="s">
        <v>1708</v>
      </c>
      <c r="H1172" s="15"/>
      <c r="I1172" s="7" t="s">
        <v>95</v>
      </c>
      <c r="J1172" s="8" t="str">
        <f>VLOOKUP(I1172,Customers[#Data],2,FALSE)</f>
        <v>ကျော်စတား</v>
      </c>
      <c r="K1172" s="15" t="str">
        <f>VLOOKUP(I1172,Customers[#Data],4,FALSE)</f>
        <v>Yay</v>
      </c>
      <c r="L1172" s="15" t="str">
        <f>VLOOKUP(I1172,Customers[#Data],5,FALSE)</f>
        <v>WholeSales</v>
      </c>
      <c r="M1172" s="7" t="s">
        <v>7</v>
      </c>
      <c r="N1172" s="7" t="s">
        <v>517</v>
      </c>
      <c r="O1172" s="14" t="str">
        <f>VLOOKUP(N1172,Stock[#Data],2,FALSE)</f>
        <v>ဇေယျဝတီ Red (1 Liter) 30%</v>
      </c>
      <c r="P1172" s="44">
        <f>VLOOKUP(N1172,Stock[#Data],3,FALSE)</f>
        <v>1</v>
      </c>
      <c r="Q1172" s="3">
        <f>VLOOKUP(N1172,Stock[#Data],4,FALSE)</f>
        <v>12</v>
      </c>
      <c r="R1172" s="11"/>
      <c r="S1172" s="45">
        <f>IFERROR(Table4[[#This Row],[Bottle]]/Table4[[#This Row],[ပါဝင်မှု]]+Table4[[#This Row],[SalesPK]],0)</f>
        <v>100</v>
      </c>
      <c r="T1172" s="12">
        <v>100</v>
      </c>
      <c r="U1172" s="10">
        <f>Table4[[#This Row],[ပါဝင်မှု]]*Table4[[#This Row],[SalesPK]]+Table4[[#This Row],[Bottle]]</f>
        <v>1200</v>
      </c>
      <c r="V1172" s="10">
        <f>Table4[[#This Row],[SalesBot]]*Table4[[#This Row],[ML]]</f>
        <v>1200</v>
      </c>
      <c r="W1172" s="1">
        <f>VLOOKUP(N1172,Stock[#Data],6,FALSE)</f>
        <v>1710</v>
      </c>
      <c r="X1172" s="8">
        <f>+Table4[[#This Row],[SalesBot]]*Table4[[#This Row],[နှုံး]]</f>
        <v>2052000</v>
      </c>
      <c r="Y1172" s="12"/>
      <c r="Z1172" s="12"/>
      <c r="AA1172" s="12"/>
      <c r="AB1172" s="9"/>
      <c r="AC1172" s="12"/>
      <c r="AD1172" s="9"/>
      <c r="AE1172" s="12"/>
      <c r="AF117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172" s="24"/>
      <c r="AH1172" s="266"/>
      <c r="AI1172" s="264"/>
      <c r="AJ1172" s="264"/>
      <c r="AK1172" s="270"/>
      <c r="AL1172" s="270"/>
      <c r="AM1172" s="271"/>
      <c r="AN1172" s="272"/>
      <c r="AO1172" s="273"/>
      <c r="AP1172" s="268"/>
      <c r="AQ1172" s="268"/>
      <c r="AR1172" s="268"/>
    </row>
    <row r="1173" spans="1:44" s="16" customFormat="1" x14ac:dyDescent="0.5">
      <c r="A1173" s="3">
        <f t="shared" si="206"/>
        <v>2026</v>
      </c>
      <c r="B1173" s="8">
        <f t="shared" si="207"/>
        <v>3</v>
      </c>
      <c r="C1173" s="6">
        <v>46090</v>
      </c>
      <c r="D1173" s="15">
        <f t="shared" ca="1" si="208"/>
        <v>46097</v>
      </c>
      <c r="E1173" s="15" t="str">
        <f t="shared" ca="1" si="209"/>
        <v>0-Months</v>
      </c>
      <c r="F1173" s="8" t="str">
        <f>VLOOKUP(N1173,Stock[#Data],5,FALSE)</f>
        <v>BE</v>
      </c>
      <c r="G1173" s="82" t="s">
        <v>1709</v>
      </c>
      <c r="H1173" s="15"/>
      <c r="I1173" s="7" t="s">
        <v>75</v>
      </c>
      <c r="J1173" s="8" t="str">
        <f>VLOOKUP(I1173,Customers[#Data],2,FALSE)</f>
        <v>3 Brother</v>
      </c>
      <c r="K1173" s="15" t="str">
        <f>VLOOKUP(I1173,Customers[#Data],4,FALSE)</f>
        <v>Yay</v>
      </c>
      <c r="L1173" s="15" t="str">
        <f>VLOOKUP(I1173,Customers[#Data],5,FALSE)</f>
        <v>SemiWholeSales</v>
      </c>
      <c r="M1173" s="7" t="s">
        <v>7</v>
      </c>
      <c r="N1173" s="7" t="s">
        <v>517</v>
      </c>
      <c r="O1173" s="14" t="str">
        <f>VLOOKUP(N1173,Stock[#Data],2,FALSE)</f>
        <v>ဇေယျဝတီ Red (1 Liter) 30%</v>
      </c>
      <c r="P1173" s="44">
        <f>VLOOKUP(N1173,Stock[#Data],3,FALSE)</f>
        <v>1</v>
      </c>
      <c r="Q1173" s="3">
        <f>VLOOKUP(N1173,Stock[#Data],4,FALSE)</f>
        <v>12</v>
      </c>
      <c r="R1173" s="11"/>
      <c r="S1173" s="45">
        <f>IFERROR(Table4[[#This Row],[Bottle]]/Table4[[#This Row],[ပါဝင်မှု]]+Table4[[#This Row],[SalesPK]],0)</f>
        <v>100</v>
      </c>
      <c r="T1173" s="12">
        <v>100</v>
      </c>
      <c r="U1173" s="10">
        <f>Table4[[#This Row],[ပါဝင်မှု]]*Table4[[#This Row],[SalesPK]]+Table4[[#This Row],[Bottle]]</f>
        <v>1200</v>
      </c>
      <c r="V1173" s="10">
        <f>Table4[[#This Row],[SalesBot]]*Table4[[#This Row],[ML]]</f>
        <v>1200</v>
      </c>
      <c r="W1173" s="1">
        <f>VLOOKUP(N1173,Stock[#Data],6,FALSE)</f>
        <v>1710</v>
      </c>
      <c r="X1173" s="8">
        <f>+Table4[[#This Row],[SalesBot]]*Table4[[#This Row],[နှုံး]]</f>
        <v>2052000</v>
      </c>
      <c r="Y1173" s="12"/>
      <c r="Z1173" s="12"/>
      <c r="AA1173" s="12"/>
      <c r="AB1173" s="9"/>
      <c r="AC1173" s="12"/>
      <c r="AD1173" s="9"/>
      <c r="AE1173" s="12"/>
      <c r="AF117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173" s="24"/>
      <c r="AH1173" s="266"/>
      <c r="AI1173" s="264"/>
      <c r="AJ1173" s="264"/>
      <c r="AK1173" s="270"/>
      <c r="AL1173" s="270"/>
      <c r="AM1173" s="271"/>
      <c r="AN1173" s="272"/>
      <c r="AO1173" s="273"/>
      <c r="AP1173" s="268"/>
      <c r="AQ1173" s="268"/>
      <c r="AR1173" s="268"/>
    </row>
    <row r="1174" spans="1:44" s="16" customFormat="1" x14ac:dyDescent="0.5">
      <c r="A1174" s="3">
        <f t="shared" si="206"/>
        <v>2026</v>
      </c>
      <c r="B1174" s="8">
        <f t="shared" si="207"/>
        <v>3</v>
      </c>
      <c r="C1174" s="6">
        <v>46090</v>
      </c>
      <c r="D1174" s="15">
        <f t="shared" ca="1" si="208"/>
        <v>46097</v>
      </c>
      <c r="E1174" s="15" t="str">
        <f t="shared" ca="1" si="209"/>
        <v>0-Months</v>
      </c>
      <c r="F1174" s="8" t="str">
        <f>VLOOKUP(N1174,Stock[#Data],5,FALSE)</f>
        <v>BE</v>
      </c>
      <c r="G1174" s="82" t="s">
        <v>1710</v>
      </c>
      <c r="H1174" s="15"/>
      <c r="I1174" s="7" t="s">
        <v>94</v>
      </c>
      <c r="J1174" s="8" t="str">
        <f>VLOOKUP(I1174,Customers[#Data],2,FALSE)</f>
        <v>ကိုထွန်းနိုင်</v>
      </c>
      <c r="K1174" s="15" t="str">
        <f>VLOOKUP(I1174,Customers[#Data],4,FALSE)</f>
        <v>Yay</v>
      </c>
      <c r="L1174" s="15" t="str">
        <f>VLOOKUP(I1174,Customers[#Data],5,FALSE)</f>
        <v>WholeSales</v>
      </c>
      <c r="M1174" s="7" t="s">
        <v>7</v>
      </c>
      <c r="N1174" s="7" t="s">
        <v>514</v>
      </c>
      <c r="O1174" s="14" t="str">
        <f>VLOOKUP(N1174,Stock[#Data],2,FALSE)</f>
        <v>ဇေယျဝတီ Red</v>
      </c>
      <c r="P1174" s="44">
        <f>VLOOKUP(N1174,Stock[#Data],3,FALSE)</f>
        <v>0.64</v>
      </c>
      <c r="Q1174" s="3">
        <f>VLOOKUP(N1174,Stock[#Data],4,FALSE)</f>
        <v>14</v>
      </c>
      <c r="R1174" s="11"/>
      <c r="S1174" s="45">
        <f>IFERROR(Table4[[#This Row],[Bottle]]/Table4[[#This Row],[ပါဝင်မှု]]+Table4[[#This Row],[SalesPK]],0)</f>
        <v>300</v>
      </c>
      <c r="T1174" s="12">
        <v>300</v>
      </c>
      <c r="U1174" s="10">
        <f>Table4[[#This Row],[ပါဝင်မှု]]*Table4[[#This Row],[SalesPK]]+Table4[[#This Row],[Bottle]]</f>
        <v>4200</v>
      </c>
      <c r="V1174" s="10">
        <f>Table4[[#This Row],[SalesBot]]*Table4[[#This Row],[ML]]</f>
        <v>2688</v>
      </c>
      <c r="W1174" s="1">
        <f>VLOOKUP(N1174,Stock[#Data],6,FALSE)</f>
        <v>1350</v>
      </c>
      <c r="X1174" s="8">
        <f>+Table4[[#This Row],[SalesBot]]*Table4[[#This Row],[နှုံး]]</f>
        <v>5670000</v>
      </c>
      <c r="Y1174" s="12"/>
      <c r="Z1174" s="12"/>
      <c r="AA1174" s="12"/>
      <c r="AB1174" s="9"/>
      <c r="AC1174" s="12"/>
      <c r="AD1174" s="9"/>
      <c r="AE1174" s="12"/>
      <c r="AF117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5670000</v>
      </c>
      <c r="AG1174" s="24"/>
      <c r="AH1174" s="266"/>
      <c r="AI1174" s="264"/>
      <c r="AJ1174" s="264"/>
      <c r="AK1174" s="270"/>
      <c r="AL1174" s="270"/>
      <c r="AM1174" s="271"/>
      <c r="AN1174" s="272"/>
      <c r="AO1174" s="273"/>
      <c r="AP1174" s="268"/>
      <c r="AQ1174" s="268"/>
      <c r="AR1174" s="268"/>
    </row>
    <row r="1175" spans="1:44" s="16" customFormat="1" x14ac:dyDescent="0.5">
      <c r="A1175" s="3">
        <f t="shared" ref="A1175:A1261" si="210">YEAR(C1175)</f>
        <v>2026</v>
      </c>
      <c r="B1175" s="8">
        <f t="shared" ref="B1175:B1260" si="211">MONTH(C1175)</f>
        <v>3</v>
      </c>
      <c r="C1175" s="6">
        <v>46090</v>
      </c>
      <c r="D1175" s="15">
        <f t="shared" ref="D1175:D1261" ca="1" si="212">TODAY()</f>
        <v>46097</v>
      </c>
      <c r="E1175" s="15" t="str">
        <f t="shared" ref="E1175:E1260" ca="1" si="213">DATEDIF(C1175,D1175,"M")&amp;"-Months"</f>
        <v>0-Months</v>
      </c>
      <c r="F1175" s="8" t="str">
        <f>VLOOKUP(N1175,Stock[#Data],5,FALSE)</f>
        <v>BE</v>
      </c>
      <c r="G1175" s="82" t="s">
        <v>1710</v>
      </c>
      <c r="H1175" s="15"/>
      <c r="I1175" s="7" t="s">
        <v>94</v>
      </c>
      <c r="J1175" s="8" t="str">
        <f>VLOOKUP(I1175,Customers[#Data],2,FALSE)</f>
        <v>ကိုထွန်းနိုင်</v>
      </c>
      <c r="K1175" s="15" t="str">
        <f>VLOOKUP(I1175,Customers[#Data],4,FALSE)</f>
        <v>Yay</v>
      </c>
      <c r="L1175" s="15" t="str">
        <f>VLOOKUP(I1175,Customers[#Data],5,FALSE)</f>
        <v>WholeSales</v>
      </c>
      <c r="M1175" s="7" t="s">
        <v>7</v>
      </c>
      <c r="N1175" s="7" t="s">
        <v>517</v>
      </c>
      <c r="O1175" s="14" t="str">
        <f>VLOOKUP(N1175,Stock[#Data],2,FALSE)</f>
        <v>ဇေယျဝတီ Red (1 Liter) 30%</v>
      </c>
      <c r="P1175" s="44">
        <f>VLOOKUP(N1175,Stock[#Data],3,FALSE)</f>
        <v>1</v>
      </c>
      <c r="Q1175" s="3">
        <f>VLOOKUP(N1175,Stock[#Data],4,FALSE)</f>
        <v>12</v>
      </c>
      <c r="R1175" s="11"/>
      <c r="S1175" s="45">
        <f>IFERROR(Table4[[#This Row],[Bottle]]/Table4[[#This Row],[ပါဝင်မှု]]+Table4[[#This Row],[SalesPK]],0)</f>
        <v>200</v>
      </c>
      <c r="T1175" s="12">
        <v>200</v>
      </c>
      <c r="U1175" s="10">
        <f>Table4[[#This Row],[ပါဝင်မှု]]*Table4[[#This Row],[SalesPK]]+Table4[[#This Row],[Bottle]]</f>
        <v>2400</v>
      </c>
      <c r="V1175" s="10">
        <f>Table4[[#This Row],[SalesBot]]*Table4[[#This Row],[ML]]</f>
        <v>2400</v>
      </c>
      <c r="W1175" s="1">
        <f>VLOOKUP(N1175,Stock[#Data],6,FALSE)</f>
        <v>1710</v>
      </c>
      <c r="X1175" s="8">
        <f>+Table4[[#This Row],[SalesBot]]*Table4[[#This Row],[နှုံး]]</f>
        <v>4104000</v>
      </c>
      <c r="Y1175" s="12"/>
      <c r="Z1175" s="12"/>
      <c r="AA1175" s="12"/>
      <c r="AB1175" s="9"/>
      <c r="AC1175" s="12"/>
      <c r="AD1175" s="9"/>
      <c r="AE1175" s="12"/>
      <c r="AF117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4104000</v>
      </c>
      <c r="AG1175" s="24"/>
      <c r="AH1175" s="266"/>
      <c r="AI1175" s="264"/>
      <c r="AJ1175" s="264"/>
      <c r="AK1175" s="270"/>
      <c r="AL1175" s="270"/>
      <c r="AM1175" s="271"/>
      <c r="AN1175" s="272"/>
      <c r="AO1175" s="273"/>
      <c r="AP1175" s="268"/>
      <c r="AQ1175" s="268"/>
      <c r="AR1175" s="268"/>
    </row>
    <row r="1176" spans="1:44" s="16" customFormat="1" x14ac:dyDescent="0.5">
      <c r="A1176" s="3">
        <f t="shared" si="210"/>
        <v>2026</v>
      </c>
      <c r="B1176" s="8">
        <f t="shared" si="211"/>
        <v>3</v>
      </c>
      <c r="C1176" s="6">
        <v>46090</v>
      </c>
      <c r="D1176" s="15">
        <f t="shared" ca="1" si="212"/>
        <v>46097</v>
      </c>
      <c r="E1176" s="15" t="str">
        <f t="shared" ca="1" si="213"/>
        <v>0-Months</v>
      </c>
      <c r="F1176" s="8" t="str">
        <f>VLOOKUP(N1176,Stock[#Data],5,FALSE)</f>
        <v>BE</v>
      </c>
      <c r="G1176" s="82"/>
      <c r="H1176" s="15"/>
      <c r="I1176" s="7" t="s">
        <v>109</v>
      </c>
      <c r="J1176" s="8" t="str">
        <f>VLOOKUP(I1176,Customers[#Data],2,FALSE)</f>
        <v>ဦးမင်းလွင်</v>
      </c>
      <c r="K1176" s="15" t="str">
        <f>VLOOKUP(I1176,Customers[#Data],4,FALSE)</f>
        <v>Maw La Myaing</v>
      </c>
      <c r="L1176" s="15" t="str">
        <f>VLOOKUP(I1176,Customers[#Data],5,FALSE)</f>
        <v>WholeSales</v>
      </c>
      <c r="M1176" s="7" t="s">
        <v>6</v>
      </c>
      <c r="N1176" s="7" t="s">
        <v>516</v>
      </c>
      <c r="O1176" s="14" t="str">
        <f>VLOOKUP(N1176,Stock[#Data],2,FALSE)</f>
        <v>ဇေ Vodka</v>
      </c>
      <c r="P1176" s="44">
        <f>VLOOKUP(N1176,Stock[#Data],3,FALSE)</f>
        <v>0.64</v>
      </c>
      <c r="Q1176" s="3">
        <f>VLOOKUP(N1176,Stock[#Data],4,FALSE)</f>
        <v>14</v>
      </c>
      <c r="R1176" s="11"/>
      <c r="S1176" s="45">
        <f>IFERROR(Table4[[#This Row],[Bottle]]/Table4[[#This Row],[ပါဝင်မှု]]+Table4[[#This Row],[SalesPK]],0)</f>
        <v>10</v>
      </c>
      <c r="T1176" s="12">
        <v>10</v>
      </c>
      <c r="U1176" s="10">
        <f>Table4[[#This Row],[ပါဝင်မှု]]*Table4[[#This Row],[SalesPK]]+Table4[[#This Row],[Bottle]]</f>
        <v>140</v>
      </c>
      <c r="V1176" s="10">
        <f>Table4[[#This Row],[SalesBot]]*Table4[[#This Row],[ML]]</f>
        <v>89.600000000000009</v>
      </c>
      <c r="W1176" s="1">
        <f>VLOOKUP(N1176,Stock[#Data],6,FALSE)</f>
        <v>1400</v>
      </c>
      <c r="X1176" s="8">
        <f>+Table4[[#This Row],[SalesBot]]*Table4[[#This Row],[နှုံး]]</f>
        <v>196000</v>
      </c>
      <c r="Y1176" s="12"/>
      <c r="Z1176" s="12"/>
      <c r="AA1176" s="12"/>
      <c r="AB1176" s="9"/>
      <c r="AC1176" s="12"/>
      <c r="AD1176" s="9"/>
      <c r="AE1176" s="12"/>
      <c r="AF117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1176" s="24"/>
      <c r="AH1176" s="266"/>
      <c r="AI1176" s="264"/>
      <c r="AJ1176" s="264"/>
      <c r="AK1176" s="270"/>
      <c r="AL1176" s="270"/>
      <c r="AM1176" s="271"/>
      <c r="AN1176" s="272"/>
      <c r="AO1176" s="273"/>
      <c r="AP1176" s="268"/>
      <c r="AQ1176" s="268"/>
      <c r="AR1176" s="268"/>
    </row>
    <row r="1177" spans="1:44" s="16" customFormat="1" x14ac:dyDescent="0.5">
      <c r="A1177" s="3">
        <f t="shared" si="210"/>
        <v>2026</v>
      </c>
      <c r="B1177" s="8">
        <f t="shared" si="211"/>
        <v>3</v>
      </c>
      <c r="C1177" s="6">
        <v>46090</v>
      </c>
      <c r="D1177" s="15">
        <f t="shared" ca="1" si="212"/>
        <v>46097</v>
      </c>
      <c r="E1177" s="15" t="str">
        <f t="shared" ca="1" si="213"/>
        <v>0-Months</v>
      </c>
      <c r="F1177" s="8" t="str">
        <f>VLOOKUP(N1177,Stock[#Data],5,FALSE)</f>
        <v>BE</v>
      </c>
      <c r="G1177" s="82"/>
      <c r="H1177" s="15"/>
      <c r="I1177" s="7" t="s">
        <v>109</v>
      </c>
      <c r="J1177" s="8" t="str">
        <f>VLOOKUP(I1177,Customers[#Data],2,FALSE)</f>
        <v>ဦးမင်းလွင်</v>
      </c>
      <c r="K1177" s="15" t="str">
        <f>VLOOKUP(I1177,Customers[#Data],4,FALSE)</f>
        <v>Maw La Myaing</v>
      </c>
      <c r="L1177" s="15" t="str">
        <f>VLOOKUP(I1177,Customers[#Data],5,FALSE)</f>
        <v>WholeSales</v>
      </c>
      <c r="M1177" s="7" t="s">
        <v>6</v>
      </c>
      <c r="N1177" s="7" t="s">
        <v>519</v>
      </c>
      <c r="O1177" s="14" t="str">
        <f>VLOOKUP(N1177,Stock[#Data],2,FALSE)</f>
        <v>ဇေယျဝတီ High 43%</v>
      </c>
      <c r="P1177" s="44">
        <f>VLOOKUP(N1177,Stock[#Data],3,FALSE)</f>
        <v>0.64</v>
      </c>
      <c r="Q1177" s="3">
        <f>VLOOKUP(N1177,Stock[#Data],4,FALSE)</f>
        <v>14</v>
      </c>
      <c r="R1177" s="11"/>
      <c r="S1177" s="45">
        <f>IFERROR(Table4[[#This Row],[Bottle]]/Table4[[#This Row],[ပါဝင်မှု]]+Table4[[#This Row],[SalesPK]],0)</f>
        <v>10</v>
      </c>
      <c r="T1177" s="12">
        <v>10</v>
      </c>
      <c r="U1177" s="10">
        <f>Table4[[#This Row],[ပါဝင်မှု]]*Table4[[#This Row],[SalesPK]]+Table4[[#This Row],[Bottle]]</f>
        <v>140</v>
      </c>
      <c r="V1177" s="10">
        <f>Table4[[#This Row],[SalesBot]]*Table4[[#This Row],[ML]]</f>
        <v>89.600000000000009</v>
      </c>
      <c r="W1177" s="1">
        <f>VLOOKUP(N1177,Stock[#Data],6,FALSE)</f>
        <v>1500</v>
      </c>
      <c r="X1177" s="8">
        <f>+Table4[[#This Row],[SalesBot]]*Table4[[#This Row],[နှုံး]]</f>
        <v>210000</v>
      </c>
      <c r="Y1177" s="12"/>
      <c r="Z1177" s="12"/>
      <c r="AA1177" s="12"/>
      <c r="AB1177" s="9"/>
      <c r="AC1177" s="12"/>
      <c r="AD1177" s="9"/>
      <c r="AE1177" s="12"/>
      <c r="AF117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210000</v>
      </c>
      <c r="AG1177" s="24"/>
      <c r="AH1177" s="266"/>
      <c r="AI1177" s="264"/>
      <c r="AJ1177" s="264"/>
      <c r="AK1177" s="270"/>
      <c r="AL1177" s="270"/>
      <c r="AM1177" s="271"/>
      <c r="AN1177" s="272"/>
      <c r="AO1177" s="273"/>
      <c r="AP1177" s="268"/>
      <c r="AQ1177" s="268"/>
      <c r="AR1177" s="268"/>
    </row>
    <row r="1178" spans="1:44" s="16" customFormat="1" x14ac:dyDescent="0.5">
      <c r="A1178" s="3">
        <f t="shared" si="210"/>
        <v>2026</v>
      </c>
      <c r="B1178" s="8">
        <f t="shared" si="211"/>
        <v>3</v>
      </c>
      <c r="C1178" s="6">
        <v>46090</v>
      </c>
      <c r="D1178" s="15">
        <f t="shared" ca="1" si="212"/>
        <v>46097</v>
      </c>
      <c r="E1178" s="15" t="str">
        <f t="shared" ca="1" si="213"/>
        <v>0-Months</v>
      </c>
      <c r="F1178" s="8" t="str">
        <f>VLOOKUP(N1178,Stock[#Data],5,FALSE)</f>
        <v>BE</v>
      </c>
      <c r="G1178" s="82"/>
      <c r="H1178" s="15"/>
      <c r="I1178" s="7" t="s">
        <v>93</v>
      </c>
      <c r="J1178" s="8" t="str">
        <f>VLOOKUP(I1178,Customers[#Data],2,FALSE)</f>
        <v>မဝင့်ဝါထိုက်(ရွှေပင်လယ်)</v>
      </c>
      <c r="K1178" s="15" t="str">
        <f>VLOOKUP(I1178,Customers[#Data],4,FALSE)</f>
        <v>Yay</v>
      </c>
      <c r="L1178" s="15" t="str">
        <f>VLOOKUP(I1178,Customers[#Data],5,FALSE)</f>
        <v>WholeSales</v>
      </c>
      <c r="M1178" s="7" t="s">
        <v>6</v>
      </c>
      <c r="N1178" s="7" t="s">
        <v>514</v>
      </c>
      <c r="O1178" s="14" t="str">
        <f>VLOOKUP(N1178,Stock[#Data],2,FALSE)</f>
        <v>ဇေယျဝတီ Red</v>
      </c>
      <c r="P1178" s="44">
        <f>VLOOKUP(N1178,Stock[#Data],3,FALSE)</f>
        <v>0.64</v>
      </c>
      <c r="Q1178" s="3">
        <f>VLOOKUP(N1178,Stock[#Data],4,FALSE)</f>
        <v>14</v>
      </c>
      <c r="R1178" s="11"/>
      <c r="S1178" s="45">
        <f>IFERROR(Table4[[#This Row],[Bottle]]/Table4[[#This Row],[ပါဝင်မှု]]+Table4[[#This Row],[SalesPK]],0)</f>
        <v>200</v>
      </c>
      <c r="T1178" s="12">
        <v>200</v>
      </c>
      <c r="U1178" s="10">
        <f>Table4[[#This Row],[ပါဝင်မှု]]*Table4[[#This Row],[SalesPK]]+Table4[[#This Row],[Bottle]]</f>
        <v>2800</v>
      </c>
      <c r="V1178" s="10">
        <f>Table4[[#This Row],[SalesBot]]*Table4[[#This Row],[ML]]</f>
        <v>1792</v>
      </c>
      <c r="W1178" s="1">
        <f>VLOOKUP(N1178,Stock[#Data],6,FALSE)</f>
        <v>1350</v>
      </c>
      <c r="X1178" s="8">
        <f>+Table4[[#This Row],[SalesBot]]*Table4[[#This Row],[နှုံး]]</f>
        <v>3780000</v>
      </c>
      <c r="Y1178" s="12"/>
      <c r="Z1178" s="12"/>
      <c r="AA1178" s="12"/>
      <c r="AB1178" s="9"/>
      <c r="AC1178" s="12"/>
      <c r="AD1178" s="9"/>
      <c r="AE1178" s="12"/>
      <c r="AF117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3780000</v>
      </c>
      <c r="AG1178" s="24"/>
      <c r="AH1178" s="266"/>
      <c r="AI1178" s="264"/>
      <c r="AJ1178" s="264"/>
      <c r="AK1178" s="270"/>
      <c r="AL1178" s="270"/>
      <c r="AM1178" s="271"/>
      <c r="AN1178" s="272"/>
      <c r="AO1178" s="273"/>
      <c r="AP1178" s="268"/>
      <c r="AQ1178" s="268"/>
      <c r="AR1178" s="268"/>
    </row>
    <row r="1179" spans="1:44" s="16" customFormat="1" x14ac:dyDescent="0.5">
      <c r="A1179" s="3">
        <f t="shared" si="210"/>
        <v>2026</v>
      </c>
      <c r="B1179" s="8">
        <f t="shared" si="211"/>
        <v>3</v>
      </c>
      <c r="C1179" s="6">
        <v>46090</v>
      </c>
      <c r="D1179" s="15">
        <f t="shared" ca="1" si="212"/>
        <v>46097</v>
      </c>
      <c r="E1179" s="15" t="str">
        <f t="shared" ca="1" si="213"/>
        <v>0-Months</v>
      </c>
      <c r="F1179" s="8" t="str">
        <f>VLOOKUP(N1179,Stock[#Data],5,FALSE)</f>
        <v>BE</v>
      </c>
      <c r="G1179" s="82"/>
      <c r="H1179" s="15"/>
      <c r="I1179" s="7" t="s">
        <v>93</v>
      </c>
      <c r="J1179" s="8" t="str">
        <f>VLOOKUP(I1179,Customers[#Data],2,FALSE)</f>
        <v>မဝင့်ဝါထိုက်(ရွှေပင်လယ်)</v>
      </c>
      <c r="K1179" s="15" t="str">
        <f>VLOOKUP(I1179,Customers[#Data],4,FALSE)</f>
        <v>Yay</v>
      </c>
      <c r="L1179" s="15" t="str">
        <f>VLOOKUP(I1179,Customers[#Data],5,FALSE)</f>
        <v>WholeSales</v>
      </c>
      <c r="M1179" s="7" t="s">
        <v>6</v>
      </c>
      <c r="N1179" s="7" t="s">
        <v>517</v>
      </c>
      <c r="O1179" s="14" t="str">
        <f>VLOOKUP(N1179,Stock[#Data],2,FALSE)</f>
        <v>ဇေယျဝတီ Red (1 Liter) 30%</v>
      </c>
      <c r="P1179" s="44">
        <f>VLOOKUP(N1179,Stock[#Data],3,FALSE)</f>
        <v>1</v>
      </c>
      <c r="Q1179" s="3">
        <f>VLOOKUP(N1179,Stock[#Data],4,FALSE)</f>
        <v>12</v>
      </c>
      <c r="R1179" s="11"/>
      <c r="S1179" s="45">
        <f>IFERROR(Table4[[#This Row],[Bottle]]/Table4[[#This Row],[ပါဝင်မှု]]+Table4[[#This Row],[SalesPK]],0)</f>
        <v>100</v>
      </c>
      <c r="T1179" s="12">
        <v>100</v>
      </c>
      <c r="U1179" s="10">
        <f>Table4[[#This Row],[ပါဝင်မှု]]*Table4[[#This Row],[SalesPK]]+Table4[[#This Row],[Bottle]]</f>
        <v>1200</v>
      </c>
      <c r="V1179" s="10">
        <f>Table4[[#This Row],[SalesBot]]*Table4[[#This Row],[ML]]</f>
        <v>1200</v>
      </c>
      <c r="W1179" s="1">
        <f>VLOOKUP(N1179,Stock[#Data],6,FALSE)</f>
        <v>1710</v>
      </c>
      <c r="X1179" s="8">
        <f>+Table4[[#This Row],[SalesBot]]*Table4[[#This Row],[နှုံး]]</f>
        <v>2052000</v>
      </c>
      <c r="Y1179" s="12"/>
      <c r="Z1179" s="12"/>
      <c r="AA1179" s="12"/>
      <c r="AB1179" s="9"/>
      <c r="AC1179" s="12"/>
      <c r="AD1179" s="9"/>
      <c r="AE1179" s="12"/>
      <c r="AF117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179" s="24"/>
      <c r="AH1179" s="266"/>
      <c r="AI1179" s="264"/>
      <c r="AJ1179" s="264"/>
      <c r="AK1179" s="270"/>
      <c r="AL1179" s="270"/>
      <c r="AM1179" s="271"/>
      <c r="AN1179" s="272"/>
      <c r="AO1179" s="273"/>
      <c r="AP1179" s="268"/>
      <c r="AQ1179" s="268"/>
      <c r="AR1179" s="268"/>
    </row>
    <row r="1180" spans="1:44" s="16" customFormat="1" x14ac:dyDescent="0.5">
      <c r="A1180" s="3">
        <f t="shared" si="210"/>
        <v>2026</v>
      </c>
      <c r="B1180" s="8">
        <f t="shared" si="211"/>
        <v>3</v>
      </c>
      <c r="C1180" s="6">
        <v>46090</v>
      </c>
      <c r="D1180" s="15">
        <f t="shared" ca="1" si="212"/>
        <v>46097</v>
      </c>
      <c r="E1180" s="15" t="str">
        <f t="shared" ca="1" si="213"/>
        <v>0-Months</v>
      </c>
      <c r="F1180" s="8" t="str">
        <f>VLOOKUP(N1180,Stock[#Data],5,FALSE)</f>
        <v>BE</v>
      </c>
      <c r="G1180" s="82"/>
      <c r="H1180" s="15"/>
      <c r="I1180" s="7" t="s">
        <v>540</v>
      </c>
      <c r="J1180" s="8" t="str">
        <f>VLOOKUP(I1180,Customers[#Data],2,FALSE)</f>
        <v>ကိုမွန်လေး</v>
      </c>
      <c r="K1180" s="15" t="str">
        <f>VLOOKUP(I1180,Customers[#Data],4,FALSE)</f>
        <v>Yay</v>
      </c>
      <c r="L1180" s="15" t="str">
        <f>VLOOKUP(I1180,Customers[#Data],5,FALSE)</f>
        <v>SemiWholeSales</v>
      </c>
      <c r="M1180" s="7" t="s">
        <v>6</v>
      </c>
      <c r="N1180" s="7" t="s">
        <v>514</v>
      </c>
      <c r="O1180" s="14" t="str">
        <f>VLOOKUP(N1180,Stock[#Data],2,FALSE)</f>
        <v>ဇေယျဝတီ Red</v>
      </c>
      <c r="P1180" s="44">
        <f>VLOOKUP(N1180,Stock[#Data],3,FALSE)</f>
        <v>0.64</v>
      </c>
      <c r="Q1180" s="3">
        <f>VLOOKUP(N1180,Stock[#Data],4,FALSE)</f>
        <v>14</v>
      </c>
      <c r="R1180" s="11"/>
      <c r="S1180" s="45">
        <f>IFERROR(Table4[[#This Row],[Bottle]]/Table4[[#This Row],[ပါဝင်မှု]]+Table4[[#This Row],[SalesPK]],0)</f>
        <v>50</v>
      </c>
      <c r="T1180" s="12">
        <v>50</v>
      </c>
      <c r="U1180" s="10">
        <f>Table4[[#This Row],[ပါဝင်မှု]]*Table4[[#This Row],[SalesPK]]+Table4[[#This Row],[Bottle]]</f>
        <v>700</v>
      </c>
      <c r="V1180" s="10">
        <f>Table4[[#This Row],[SalesBot]]*Table4[[#This Row],[ML]]</f>
        <v>448</v>
      </c>
      <c r="W1180" s="1">
        <f>VLOOKUP(N1180,Stock[#Data],6,FALSE)</f>
        <v>1350</v>
      </c>
      <c r="X1180" s="8">
        <f>+Table4[[#This Row],[SalesBot]]*Table4[[#This Row],[နှုံး]]</f>
        <v>945000</v>
      </c>
      <c r="Y1180" s="12"/>
      <c r="Z1180" s="12"/>
      <c r="AA1180" s="12"/>
      <c r="AB1180" s="9"/>
      <c r="AC1180" s="12"/>
      <c r="AD1180" s="9"/>
      <c r="AE1180" s="12"/>
      <c r="AF118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1180" s="24"/>
      <c r="AH1180" s="266"/>
      <c r="AI1180" s="264"/>
      <c r="AJ1180" s="264"/>
      <c r="AK1180" s="270"/>
      <c r="AL1180" s="270"/>
      <c r="AM1180" s="271"/>
      <c r="AN1180" s="272"/>
      <c r="AO1180" s="273"/>
      <c r="AP1180" s="268"/>
      <c r="AQ1180" s="268"/>
      <c r="AR1180" s="268"/>
    </row>
    <row r="1181" spans="1:44" s="16" customFormat="1" x14ac:dyDescent="0.5">
      <c r="A1181" s="3">
        <f t="shared" si="210"/>
        <v>2026</v>
      </c>
      <c r="B1181" s="8">
        <f t="shared" si="211"/>
        <v>3</v>
      </c>
      <c r="C1181" s="6">
        <v>46090</v>
      </c>
      <c r="D1181" s="15">
        <f t="shared" ca="1" si="212"/>
        <v>46097</v>
      </c>
      <c r="E1181" s="15" t="str">
        <f t="shared" ca="1" si="213"/>
        <v>0-Months</v>
      </c>
      <c r="F1181" s="8" t="str">
        <f>VLOOKUP(N1181,Stock[#Data],5,FALSE)</f>
        <v>BE</v>
      </c>
      <c r="G1181" s="82"/>
      <c r="H1181" s="15"/>
      <c r="I1181" s="7" t="s">
        <v>540</v>
      </c>
      <c r="J1181" s="8" t="str">
        <f>VLOOKUP(I1181,Customers[#Data],2,FALSE)</f>
        <v>ကိုမွန်လေး</v>
      </c>
      <c r="K1181" s="15" t="str">
        <f>VLOOKUP(I1181,Customers[#Data],4,FALSE)</f>
        <v>Yay</v>
      </c>
      <c r="L1181" s="15" t="str">
        <f>VLOOKUP(I1181,Customers[#Data],5,FALSE)</f>
        <v>SemiWholeSales</v>
      </c>
      <c r="M1181" s="7" t="s">
        <v>6</v>
      </c>
      <c r="N1181" s="7" t="s">
        <v>517</v>
      </c>
      <c r="O1181" s="14" t="str">
        <f>VLOOKUP(N1181,Stock[#Data],2,FALSE)</f>
        <v>ဇေယျဝတီ Red (1 Liter) 30%</v>
      </c>
      <c r="P1181" s="44">
        <f>VLOOKUP(N1181,Stock[#Data],3,FALSE)</f>
        <v>1</v>
      </c>
      <c r="Q1181" s="3">
        <f>VLOOKUP(N1181,Stock[#Data],4,FALSE)</f>
        <v>12</v>
      </c>
      <c r="R1181" s="11"/>
      <c r="S1181" s="45">
        <f>IFERROR(Table4[[#This Row],[Bottle]]/Table4[[#This Row],[ပါဝင်မှု]]+Table4[[#This Row],[SalesPK]],0)</f>
        <v>50</v>
      </c>
      <c r="T1181" s="12">
        <v>50</v>
      </c>
      <c r="U1181" s="10">
        <f>Table4[[#This Row],[ပါဝင်မှု]]*Table4[[#This Row],[SalesPK]]+Table4[[#This Row],[Bottle]]</f>
        <v>600</v>
      </c>
      <c r="V1181" s="10">
        <f>Table4[[#This Row],[SalesBot]]*Table4[[#This Row],[ML]]</f>
        <v>600</v>
      </c>
      <c r="W1181" s="1">
        <f>VLOOKUP(N1181,Stock[#Data],6,FALSE)</f>
        <v>1710</v>
      </c>
      <c r="X1181" s="8">
        <f>+Table4[[#This Row],[SalesBot]]*Table4[[#This Row],[နှုံး]]</f>
        <v>1026000</v>
      </c>
      <c r="Y1181" s="12"/>
      <c r="Z1181" s="12"/>
      <c r="AA1181" s="12"/>
      <c r="AB1181" s="9"/>
      <c r="AC1181" s="12"/>
      <c r="AD1181" s="9"/>
      <c r="AE1181" s="12"/>
      <c r="AF118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1181" s="24"/>
      <c r="AH1181" s="266"/>
      <c r="AI1181" s="264"/>
      <c r="AJ1181" s="264"/>
      <c r="AK1181" s="270"/>
      <c r="AL1181" s="270"/>
      <c r="AM1181" s="271"/>
      <c r="AN1181" s="272"/>
      <c r="AO1181" s="273"/>
      <c r="AP1181" s="268"/>
      <c r="AQ1181" s="268"/>
      <c r="AR1181" s="268"/>
    </row>
    <row r="1182" spans="1:44" s="16" customFormat="1" x14ac:dyDescent="0.5">
      <c r="A1182" s="3">
        <f t="shared" si="210"/>
        <v>2026</v>
      </c>
      <c r="B1182" s="8">
        <f t="shared" si="211"/>
        <v>3</v>
      </c>
      <c r="C1182" s="6">
        <v>46090</v>
      </c>
      <c r="D1182" s="15">
        <f t="shared" ca="1" si="212"/>
        <v>46097</v>
      </c>
      <c r="E1182" s="15" t="str">
        <f t="shared" ca="1" si="213"/>
        <v>0-Months</v>
      </c>
      <c r="F1182" s="8" t="str">
        <f>VLOOKUP(N1182,Stock[#Data],5,FALSE)</f>
        <v>BE</v>
      </c>
      <c r="G1182" s="82"/>
      <c r="H1182" s="15"/>
      <c r="I1182" s="7" t="s">
        <v>840</v>
      </c>
      <c r="J1182" s="8" t="str">
        <f>VLOOKUP(I1182,Customers[#Data],2,FALSE)</f>
        <v>သွန်းရွှေစင်</v>
      </c>
      <c r="K1182" s="15" t="str">
        <f>VLOOKUP(I1182,Customers[#Data],4,FALSE)</f>
        <v>Maw La Myaing</v>
      </c>
      <c r="L1182" s="15" t="str">
        <f>VLOOKUP(I1182,Customers[#Data],5,FALSE)</f>
        <v>Van Sales</v>
      </c>
      <c r="M1182" s="7" t="s">
        <v>6</v>
      </c>
      <c r="N1182" s="7" t="s">
        <v>522</v>
      </c>
      <c r="O1182" s="14" t="str">
        <f>VLOOKUP(N1182,Stock[#Data],2,FALSE)</f>
        <v>ဒဂုံမန်ကျည်း ကော်ဘူး (1 Liter)</v>
      </c>
      <c r="P1182" s="44">
        <f>VLOOKUP(N1182,Stock[#Data],3,FALSE)</f>
        <v>1</v>
      </c>
      <c r="Q1182" s="3">
        <f>VLOOKUP(N1182,Stock[#Data],4,FALSE)</f>
        <v>12</v>
      </c>
      <c r="R1182" s="11"/>
      <c r="S1182" s="45">
        <f>IFERROR(Table4[[#This Row],[Bottle]]/Table4[[#This Row],[ပါဝင်မှု]]+Table4[[#This Row],[SalesPK]],0)</f>
        <v>1</v>
      </c>
      <c r="T1182" s="12">
        <v>1</v>
      </c>
      <c r="U1182" s="10">
        <f>Table4[[#This Row],[ပါဝင်မှု]]*Table4[[#This Row],[SalesPK]]+Table4[[#This Row],[Bottle]]</f>
        <v>12</v>
      </c>
      <c r="V1182" s="10">
        <f>Table4[[#This Row],[SalesBot]]*Table4[[#This Row],[ML]]</f>
        <v>12</v>
      </c>
      <c r="W1182" s="1">
        <f>VLOOKUP(N1182,Stock[#Data],6,FALSE)</f>
        <v>1600</v>
      </c>
      <c r="X1182" s="8">
        <f>+Table4[[#This Row],[SalesBot]]*Table4[[#This Row],[နှုံး]]</f>
        <v>19200</v>
      </c>
      <c r="Y1182" s="12"/>
      <c r="Z1182" s="12"/>
      <c r="AA1182" s="12"/>
      <c r="AB1182" s="9"/>
      <c r="AC1182" s="12"/>
      <c r="AD1182" s="9"/>
      <c r="AE1182" s="12"/>
      <c r="AF118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182" s="24"/>
      <c r="AH1182" s="266"/>
      <c r="AI1182" s="264"/>
      <c r="AJ1182" s="264"/>
      <c r="AK1182" s="270"/>
      <c r="AL1182" s="270"/>
      <c r="AM1182" s="271"/>
      <c r="AN1182" s="272"/>
      <c r="AO1182" s="273"/>
      <c r="AP1182" s="268"/>
      <c r="AQ1182" s="268"/>
      <c r="AR1182" s="268"/>
    </row>
    <row r="1183" spans="1:44" s="16" customFormat="1" x14ac:dyDescent="0.5">
      <c r="A1183" s="3">
        <f t="shared" si="210"/>
        <v>2026</v>
      </c>
      <c r="B1183" s="8">
        <f t="shared" si="211"/>
        <v>3</v>
      </c>
      <c r="C1183" s="6">
        <v>46090</v>
      </c>
      <c r="D1183" s="15">
        <f t="shared" ca="1" si="212"/>
        <v>46097</v>
      </c>
      <c r="E1183" s="15" t="str">
        <f t="shared" ca="1" si="213"/>
        <v>0-Months</v>
      </c>
      <c r="F1183" s="8" t="str">
        <f>VLOOKUP(N1183,Stock[#Data],5,FALSE)</f>
        <v>BE</v>
      </c>
      <c r="G1183" s="82"/>
      <c r="H1183" s="15"/>
      <c r="I1183" s="7" t="s">
        <v>840</v>
      </c>
      <c r="J1183" s="8" t="str">
        <f>VLOOKUP(I1183,Customers[#Data],2,FALSE)</f>
        <v>သွန်းရွှေစင်</v>
      </c>
      <c r="K1183" s="15" t="str">
        <f>VLOOKUP(I1183,Customers[#Data],4,FALSE)</f>
        <v>Maw La Myaing</v>
      </c>
      <c r="L1183" s="15" t="str">
        <f>VLOOKUP(I1183,Customers[#Data],5,FALSE)</f>
        <v>Van Sales</v>
      </c>
      <c r="M1183" s="7" t="s">
        <v>6</v>
      </c>
      <c r="N1183" s="7" t="s">
        <v>425</v>
      </c>
      <c r="O1183" s="14" t="str">
        <f>VLOOKUP(N1183,Stock[#Data],2,FALSE)</f>
        <v>ကောင်းကြည်-1Li</v>
      </c>
      <c r="P1183" s="44">
        <f>VLOOKUP(N1183,Stock[#Data],3,FALSE)</f>
        <v>1</v>
      </c>
      <c r="Q1183" s="3">
        <f>VLOOKUP(N1183,Stock[#Data],4,FALSE)</f>
        <v>12</v>
      </c>
      <c r="R1183" s="11">
        <v>3</v>
      </c>
      <c r="S1183" s="45">
        <f>IFERROR(Table4[[#This Row],[Bottle]]/Table4[[#This Row],[ပါဝင်မှု]]+Table4[[#This Row],[SalesPK]],0)</f>
        <v>0.25</v>
      </c>
      <c r="T1183" s="12"/>
      <c r="U1183" s="10">
        <f>Table4[[#This Row],[ပါဝင်မှု]]*Table4[[#This Row],[SalesPK]]+Table4[[#This Row],[Bottle]]</f>
        <v>3</v>
      </c>
      <c r="V1183" s="10">
        <f>Table4[[#This Row],[SalesBot]]*Table4[[#This Row],[ML]]</f>
        <v>3</v>
      </c>
      <c r="W1183" s="1">
        <f>VLOOKUP(N1183,Stock[#Data],6,FALSE)</f>
        <v>1500</v>
      </c>
      <c r="X1183" s="8">
        <f>+Table4[[#This Row],[SalesBot]]*Table4[[#This Row],[နှုံး]]</f>
        <v>4500</v>
      </c>
      <c r="Y1183" s="12"/>
      <c r="Z1183" s="12"/>
      <c r="AA1183" s="12"/>
      <c r="AB1183" s="9"/>
      <c r="AC1183" s="12"/>
      <c r="AD1183" s="9"/>
      <c r="AE1183" s="12"/>
      <c r="AF118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4500</v>
      </c>
      <c r="AG1183" s="24"/>
      <c r="AH1183" s="266"/>
      <c r="AI1183" s="264"/>
      <c r="AJ1183" s="264"/>
      <c r="AK1183" s="270"/>
      <c r="AL1183" s="270"/>
      <c r="AM1183" s="271"/>
      <c r="AN1183" s="272"/>
      <c r="AO1183" s="273"/>
      <c r="AP1183" s="268"/>
      <c r="AQ1183" s="268"/>
      <c r="AR1183" s="268"/>
    </row>
    <row r="1184" spans="1:44" s="16" customFormat="1" x14ac:dyDescent="0.5">
      <c r="A1184" s="3">
        <f t="shared" si="210"/>
        <v>2026</v>
      </c>
      <c r="B1184" s="8">
        <f t="shared" si="211"/>
        <v>3</v>
      </c>
      <c r="C1184" s="6">
        <v>46090</v>
      </c>
      <c r="D1184" s="15">
        <f t="shared" ca="1" si="212"/>
        <v>46097</v>
      </c>
      <c r="E1184" s="15" t="str">
        <f t="shared" ca="1" si="213"/>
        <v>0-Months</v>
      </c>
      <c r="F1184" s="8" t="str">
        <f>VLOOKUP(N1184,Stock[#Data],5,FALSE)</f>
        <v>BE</v>
      </c>
      <c r="G1184" s="82"/>
      <c r="H1184" s="15"/>
      <c r="I1184" s="7" t="s">
        <v>840</v>
      </c>
      <c r="J1184" s="8" t="str">
        <f>VLOOKUP(I1184,Customers[#Data],2,FALSE)</f>
        <v>သွန်းရွှေစင်</v>
      </c>
      <c r="K1184" s="15" t="str">
        <f>VLOOKUP(I1184,Customers[#Data],4,FALSE)</f>
        <v>Maw La Myaing</v>
      </c>
      <c r="L1184" s="15" t="str">
        <f>VLOOKUP(I1184,Customers[#Data],5,FALSE)</f>
        <v>Van Sales</v>
      </c>
      <c r="M1184" s="7" t="s">
        <v>6</v>
      </c>
      <c r="N1184" s="7" t="s">
        <v>508</v>
      </c>
      <c r="O1184" s="14" t="str">
        <f>VLOOKUP(N1184,Stock[#Data],2,FALSE)</f>
        <v>ကောင်းကြည်-1Li</v>
      </c>
      <c r="P1184" s="44">
        <f>VLOOKUP(N1184,Stock[#Data],3,FALSE)</f>
        <v>1</v>
      </c>
      <c r="Q1184" s="3">
        <f>VLOOKUP(N1184,Stock[#Data],4,FALSE)</f>
        <v>12</v>
      </c>
      <c r="R1184" s="11">
        <v>3</v>
      </c>
      <c r="S1184" s="45">
        <f>IFERROR(Table4[[#This Row],[Bottle]]/Table4[[#This Row],[ပါဝင်မှု]]+Table4[[#This Row],[SalesPK]],0)</f>
        <v>0.25</v>
      </c>
      <c r="T1184" s="12"/>
      <c r="U1184" s="10">
        <f>Table4[[#This Row],[ပါဝင်မှု]]*Table4[[#This Row],[SalesPK]]+Table4[[#This Row],[Bottle]]</f>
        <v>3</v>
      </c>
      <c r="V1184" s="10">
        <f>Table4[[#This Row],[SalesBot]]*Table4[[#This Row],[ML]]</f>
        <v>3</v>
      </c>
      <c r="W1184" s="1">
        <f>VLOOKUP(N1184,Stock[#Data],6,FALSE)</f>
        <v>1850</v>
      </c>
      <c r="X1184" s="8">
        <f>+Table4[[#This Row],[SalesBot]]*Table4[[#This Row],[နှုံး]]</f>
        <v>5550</v>
      </c>
      <c r="Y1184" s="12"/>
      <c r="Z1184" s="12"/>
      <c r="AA1184" s="12"/>
      <c r="AB1184" s="9"/>
      <c r="AC1184" s="12"/>
      <c r="AD1184" s="9"/>
      <c r="AE1184" s="12"/>
      <c r="AF118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5550</v>
      </c>
      <c r="AG1184" s="24"/>
      <c r="AH1184" s="266"/>
      <c r="AI1184" s="264"/>
      <c r="AJ1184" s="264"/>
      <c r="AK1184" s="270"/>
      <c r="AL1184" s="270"/>
      <c r="AM1184" s="271"/>
      <c r="AN1184" s="272"/>
      <c r="AO1184" s="273"/>
      <c r="AP1184" s="268"/>
      <c r="AQ1184" s="268"/>
      <c r="AR1184" s="268"/>
    </row>
    <row r="1185" spans="1:44" s="16" customFormat="1" x14ac:dyDescent="0.5">
      <c r="A1185" s="3">
        <f t="shared" si="210"/>
        <v>2026</v>
      </c>
      <c r="B1185" s="8">
        <f t="shared" si="211"/>
        <v>3</v>
      </c>
      <c r="C1185" s="6">
        <v>46090</v>
      </c>
      <c r="D1185" s="15">
        <f t="shared" ca="1" si="212"/>
        <v>46097</v>
      </c>
      <c r="E1185" s="15" t="str">
        <f t="shared" ca="1" si="213"/>
        <v>0-Months</v>
      </c>
      <c r="F1185" s="8" t="str">
        <f>VLOOKUP(N1185,Stock[#Data],5,FALSE)</f>
        <v>BE</v>
      </c>
      <c r="G1185" s="82"/>
      <c r="H1185" s="15"/>
      <c r="I1185" s="7" t="s">
        <v>763</v>
      </c>
      <c r="J1185" s="8" t="str">
        <f>VLOOKUP(I1185,Customers[#Data],2,FALSE)</f>
        <v>ဦးသိန်းဝင်း</v>
      </c>
      <c r="K1185" s="15" t="str">
        <f>VLOOKUP(I1185,Customers[#Data],4,FALSE)</f>
        <v>Maw La Myaing</v>
      </c>
      <c r="L1185" s="15" t="str">
        <f>VLOOKUP(I1185,Customers[#Data],5,FALSE)</f>
        <v>Van Sales</v>
      </c>
      <c r="M1185" s="7" t="s">
        <v>6</v>
      </c>
      <c r="N1185" s="7" t="s">
        <v>518</v>
      </c>
      <c r="O1185" s="14" t="str">
        <f>VLOOKUP(N1185,Stock[#Data],2,FALSE)</f>
        <v>"ဇေ" ကော်ဘူး (1 Liter)</v>
      </c>
      <c r="P1185" s="44">
        <f>VLOOKUP(N1185,Stock[#Data],3,FALSE)</f>
        <v>1</v>
      </c>
      <c r="Q1185" s="3">
        <f>VLOOKUP(N1185,Stock[#Data],4,FALSE)</f>
        <v>12</v>
      </c>
      <c r="R1185" s="11"/>
      <c r="S1185" s="45">
        <f>IFERROR(Table4[[#This Row],[Bottle]]/Table4[[#This Row],[ပါဝင်မှု]]+Table4[[#This Row],[SalesPK]],0)</f>
        <v>5</v>
      </c>
      <c r="T1185" s="12">
        <v>5</v>
      </c>
      <c r="U1185" s="10">
        <f>Table4[[#This Row],[ပါဝင်မှု]]*Table4[[#This Row],[SalesPK]]+Table4[[#This Row],[Bottle]]</f>
        <v>60</v>
      </c>
      <c r="V1185" s="10">
        <f>Table4[[#This Row],[SalesBot]]*Table4[[#This Row],[ML]]</f>
        <v>60</v>
      </c>
      <c r="W1185" s="1">
        <f>VLOOKUP(N1185,Stock[#Data],6,FALSE)</f>
        <v>1675</v>
      </c>
      <c r="X1185" s="8">
        <f>+Table4[[#This Row],[SalesBot]]*Table4[[#This Row],[နှုံး]]</f>
        <v>100500</v>
      </c>
      <c r="Y1185" s="12"/>
      <c r="Z1185" s="12"/>
      <c r="AA1185" s="12"/>
      <c r="AB1185" s="9"/>
      <c r="AC1185" s="12"/>
      <c r="AD1185" s="9"/>
      <c r="AE1185" s="12"/>
      <c r="AF118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1185" s="24"/>
      <c r="AH1185" s="266"/>
      <c r="AI1185" s="264"/>
      <c r="AJ1185" s="264"/>
      <c r="AK1185" s="270"/>
      <c r="AL1185" s="270"/>
      <c r="AM1185" s="271"/>
      <c r="AN1185" s="272"/>
      <c r="AO1185" s="273"/>
      <c r="AP1185" s="268"/>
      <c r="AQ1185" s="268"/>
      <c r="AR1185" s="268"/>
    </row>
    <row r="1186" spans="1:44" s="16" customFormat="1" x14ac:dyDescent="0.5">
      <c r="A1186" s="3">
        <f t="shared" si="210"/>
        <v>2026</v>
      </c>
      <c r="B1186" s="8">
        <f t="shared" si="211"/>
        <v>3</v>
      </c>
      <c r="C1186" s="6">
        <v>46090</v>
      </c>
      <c r="D1186" s="15">
        <f t="shared" ca="1" si="212"/>
        <v>46097</v>
      </c>
      <c r="E1186" s="15" t="str">
        <f t="shared" ca="1" si="213"/>
        <v>0-Months</v>
      </c>
      <c r="F1186" s="8" t="str">
        <f>VLOOKUP(N1186,Stock[#Data],5,FALSE)</f>
        <v>BE</v>
      </c>
      <c r="G1186" s="82"/>
      <c r="H1186" s="15"/>
      <c r="I1186" s="7" t="s">
        <v>271</v>
      </c>
      <c r="J1186" s="8" t="str">
        <f>VLOOKUP(I1186,Customers[#Data],2,FALSE)</f>
        <v>ကိုအောင်</v>
      </c>
      <c r="K1186" s="15" t="str">
        <f>VLOOKUP(I1186,Customers[#Data],4,FALSE)</f>
        <v>Maw La Myaing</v>
      </c>
      <c r="L1186" s="15" t="str">
        <f>VLOOKUP(I1186,Customers[#Data],5,FALSE)</f>
        <v>Van Sales</v>
      </c>
      <c r="M1186" s="7" t="s">
        <v>6</v>
      </c>
      <c r="N1186" s="7" t="s">
        <v>518</v>
      </c>
      <c r="O1186" s="14" t="str">
        <f>VLOOKUP(N1186,Stock[#Data],2,FALSE)</f>
        <v>"ဇေ" ကော်ဘူး (1 Liter)</v>
      </c>
      <c r="P1186" s="44">
        <f>VLOOKUP(N1186,Stock[#Data],3,FALSE)</f>
        <v>1</v>
      </c>
      <c r="Q1186" s="3">
        <f>VLOOKUP(N1186,Stock[#Data],4,FALSE)</f>
        <v>12</v>
      </c>
      <c r="R1186" s="11"/>
      <c r="S1186" s="45">
        <f>IFERROR(Table4[[#This Row],[Bottle]]/Table4[[#This Row],[ပါဝင်မှု]]+Table4[[#This Row],[SalesPK]],0)</f>
        <v>5</v>
      </c>
      <c r="T1186" s="12">
        <v>5</v>
      </c>
      <c r="U1186" s="10">
        <f>Table4[[#This Row],[ပါဝင်မှု]]*Table4[[#This Row],[SalesPK]]+Table4[[#This Row],[Bottle]]</f>
        <v>60</v>
      </c>
      <c r="V1186" s="10">
        <f>Table4[[#This Row],[SalesBot]]*Table4[[#This Row],[ML]]</f>
        <v>60</v>
      </c>
      <c r="W1186" s="1">
        <f>VLOOKUP(N1186,Stock[#Data],6,FALSE)</f>
        <v>1675</v>
      </c>
      <c r="X1186" s="8">
        <f>+Table4[[#This Row],[SalesBot]]*Table4[[#This Row],[နှုံး]]</f>
        <v>100500</v>
      </c>
      <c r="Y1186" s="12"/>
      <c r="Z1186" s="12"/>
      <c r="AA1186" s="12"/>
      <c r="AB1186" s="9"/>
      <c r="AC1186" s="12"/>
      <c r="AD1186" s="9"/>
      <c r="AE1186" s="12"/>
      <c r="AF118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1186" s="24"/>
      <c r="AH1186" s="266"/>
      <c r="AI1186" s="264"/>
      <c r="AJ1186" s="264"/>
      <c r="AK1186" s="270"/>
      <c r="AL1186" s="270"/>
      <c r="AM1186" s="271"/>
      <c r="AN1186" s="272"/>
      <c r="AO1186" s="273"/>
      <c r="AP1186" s="268"/>
      <c r="AQ1186" s="268"/>
      <c r="AR1186" s="268"/>
    </row>
    <row r="1187" spans="1:44" s="16" customFormat="1" x14ac:dyDescent="0.5">
      <c r="A1187" s="3">
        <f t="shared" si="210"/>
        <v>2026</v>
      </c>
      <c r="B1187" s="8">
        <f t="shared" si="211"/>
        <v>3</v>
      </c>
      <c r="C1187" s="6">
        <v>46090</v>
      </c>
      <c r="D1187" s="15">
        <f t="shared" ca="1" si="212"/>
        <v>46097</v>
      </c>
      <c r="E1187" s="15" t="str">
        <f t="shared" ca="1" si="213"/>
        <v>0-Months</v>
      </c>
      <c r="F1187" s="8" t="str">
        <f>VLOOKUP(N1187,Stock[#Data],5,FALSE)</f>
        <v>BE</v>
      </c>
      <c r="G1187" s="82"/>
      <c r="H1187" s="15"/>
      <c r="I1187" s="7" t="s">
        <v>1334</v>
      </c>
      <c r="J1187" s="8" t="str">
        <f>VLOOKUP(I1187,Customers[#Data],2,FALSE)</f>
        <v>Jocker</v>
      </c>
      <c r="K1187" s="15" t="str">
        <f>VLOOKUP(I1187,Customers[#Data],4,FALSE)</f>
        <v>Maw La Myaing</v>
      </c>
      <c r="L1187" s="15" t="str">
        <f>VLOOKUP(I1187,Customers[#Data],5,FALSE)</f>
        <v>Van Sales</v>
      </c>
      <c r="M1187" s="7" t="s">
        <v>6</v>
      </c>
      <c r="N1187" s="7" t="s">
        <v>522</v>
      </c>
      <c r="O1187" s="14" t="str">
        <f>VLOOKUP(N1187,Stock[#Data],2,FALSE)</f>
        <v>ဒဂုံမန်ကျည်း ကော်ဘူး (1 Liter)</v>
      </c>
      <c r="P1187" s="44">
        <f>VLOOKUP(N1187,Stock[#Data],3,FALSE)</f>
        <v>1</v>
      </c>
      <c r="Q1187" s="3">
        <f>VLOOKUP(N1187,Stock[#Data],4,FALSE)</f>
        <v>12</v>
      </c>
      <c r="R1187" s="11"/>
      <c r="S1187" s="45">
        <f>IFERROR(Table4[[#This Row],[Bottle]]/Table4[[#This Row],[ပါဝင်မှု]]+Table4[[#This Row],[SalesPK]],0)</f>
        <v>1</v>
      </c>
      <c r="T1187" s="12">
        <v>1</v>
      </c>
      <c r="U1187" s="10">
        <f>Table4[[#This Row],[ပါဝင်မှု]]*Table4[[#This Row],[SalesPK]]+Table4[[#This Row],[Bottle]]</f>
        <v>12</v>
      </c>
      <c r="V1187" s="10">
        <f>Table4[[#This Row],[SalesBot]]*Table4[[#This Row],[ML]]</f>
        <v>12</v>
      </c>
      <c r="W1187" s="1">
        <f>VLOOKUP(N1187,Stock[#Data],6,FALSE)</f>
        <v>1600</v>
      </c>
      <c r="X1187" s="8">
        <f>+Table4[[#This Row],[SalesBot]]*Table4[[#This Row],[နှုံး]]</f>
        <v>19200</v>
      </c>
      <c r="Y1187" s="12"/>
      <c r="Z1187" s="12"/>
      <c r="AA1187" s="12"/>
      <c r="AB1187" s="9"/>
      <c r="AC1187" s="12"/>
      <c r="AD1187" s="9"/>
      <c r="AE1187" s="12"/>
      <c r="AF118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187" s="24"/>
      <c r="AH1187" s="266"/>
      <c r="AI1187" s="264"/>
      <c r="AJ1187" s="264"/>
      <c r="AK1187" s="270"/>
      <c r="AL1187" s="270"/>
      <c r="AM1187" s="271"/>
      <c r="AN1187" s="272"/>
      <c r="AO1187" s="273"/>
      <c r="AP1187" s="268"/>
      <c r="AQ1187" s="268"/>
      <c r="AR1187" s="268"/>
    </row>
    <row r="1188" spans="1:44" s="16" customFormat="1" x14ac:dyDescent="0.5">
      <c r="A1188" s="3">
        <f t="shared" si="210"/>
        <v>2026</v>
      </c>
      <c r="B1188" s="8">
        <f t="shared" si="211"/>
        <v>3</v>
      </c>
      <c r="C1188" s="6">
        <v>46090</v>
      </c>
      <c r="D1188" s="15">
        <f t="shared" ca="1" si="212"/>
        <v>46097</v>
      </c>
      <c r="E1188" s="15" t="str">
        <f t="shared" ca="1" si="213"/>
        <v>0-Months</v>
      </c>
      <c r="F1188" s="8" t="str">
        <f>VLOOKUP(N1188,Stock[#Data],5,FALSE)</f>
        <v>BE</v>
      </c>
      <c r="G1188" s="82"/>
      <c r="H1188" s="15"/>
      <c r="I1188" s="7" t="s">
        <v>1712</v>
      </c>
      <c r="J1188" s="8" t="str">
        <f>VLOOKUP(I1188,Customers[#Data],2,FALSE)</f>
        <v>ဒေါ်ထန်းပိန်</v>
      </c>
      <c r="K1188" s="15" t="str">
        <f>VLOOKUP(I1188,Customers[#Data],4,FALSE)</f>
        <v>Maw La Myaing</v>
      </c>
      <c r="L1188" s="15" t="str">
        <f>VLOOKUP(I1188,Customers[#Data],5,FALSE)</f>
        <v>Van Sales</v>
      </c>
      <c r="M1188" s="7" t="s">
        <v>6</v>
      </c>
      <c r="N1188" s="7" t="s">
        <v>522</v>
      </c>
      <c r="O1188" s="14" t="str">
        <f>VLOOKUP(N1188,Stock[#Data],2,FALSE)</f>
        <v>ဒဂုံမန်ကျည်း ကော်ဘူး (1 Liter)</v>
      </c>
      <c r="P1188" s="44">
        <f>VLOOKUP(N1188,Stock[#Data],3,FALSE)</f>
        <v>1</v>
      </c>
      <c r="Q1188" s="3">
        <f>VLOOKUP(N1188,Stock[#Data],4,FALSE)</f>
        <v>12</v>
      </c>
      <c r="R1188" s="11"/>
      <c r="S1188" s="45">
        <f>IFERROR(Table4[[#This Row],[Bottle]]/Table4[[#This Row],[ပါဝင်မှု]]+Table4[[#This Row],[SalesPK]],0)</f>
        <v>1</v>
      </c>
      <c r="T1188" s="12">
        <v>1</v>
      </c>
      <c r="U1188" s="10">
        <f>Table4[[#This Row],[ပါဝင်မှု]]*Table4[[#This Row],[SalesPK]]+Table4[[#This Row],[Bottle]]</f>
        <v>12</v>
      </c>
      <c r="V1188" s="10">
        <f>Table4[[#This Row],[SalesBot]]*Table4[[#This Row],[ML]]</f>
        <v>12</v>
      </c>
      <c r="W1188" s="1">
        <f>VLOOKUP(N1188,Stock[#Data],6,FALSE)</f>
        <v>1600</v>
      </c>
      <c r="X1188" s="8">
        <f>+Table4[[#This Row],[SalesBot]]*Table4[[#This Row],[နှုံး]]</f>
        <v>19200</v>
      </c>
      <c r="Y1188" s="12"/>
      <c r="Z1188" s="12"/>
      <c r="AA1188" s="12"/>
      <c r="AB1188" s="9"/>
      <c r="AC1188" s="12"/>
      <c r="AD1188" s="9"/>
      <c r="AE1188" s="12"/>
      <c r="AF118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188" s="24"/>
      <c r="AH1188" s="266"/>
      <c r="AI1188" s="264"/>
      <c r="AJ1188" s="264"/>
      <c r="AK1188" s="270"/>
      <c r="AL1188" s="270"/>
      <c r="AM1188" s="271"/>
      <c r="AN1188" s="272"/>
      <c r="AO1188" s="273"/>
      <c r="AP1188" s="268"/>
      <c r="AQ1188" s="268"/>
      <c r="AR1188" s="268"/>
    </row>
    <row r="1189" spans="1:44" s="16" customFormat="1" x14ac:dyDescent="0.5">
      <c r="A1189" s="3">
        <f t="shared" si="210"/>
        <v>2026</v>
      </c>
      <c r="B1189" s="8">
        <f t="shared" si="211"/>
        <v>3</v>
      </c>
      <c r="C1189" s="6">
        <v>46090</v>
      </c>
      <c r="D1189" s="15">
        <f t="shared" ca="1" si="212"/>
        <v>46097</v>
      </c>
      <c r="E1189" s="15" t="str">
        <f t="shared" ca="1" si="213"/>
        <v>0-Months</v>
      </c>
      <c r="F1189" s="8" t="str">
        <f>VLOOKUP(N1189,Stock[#Data],5,FALSE)</f>
        <v>BE</v>
      </c>
      <c r="G1189" s="82"/>
      <c r="H1189" s="15"/>
      <c r="I1189" s="7" t="s">
        <v>1528</v>
      </c>
      <c r="J1189" s="8" t="str">
        <f>VLOOKUP(I1189,Customers[#Data],2,FALSE)</f>
        <v>မနီနီမာ</v>
      </c>
      <c r="K1189" s="15" t="str">
        <f>VLOOKUP(I1189,Customers[#Data],4,FALSE)</f>
        <v>Maw La Myaing</v>
      </c>
      <c r="L1189" s="15" t="str">
        <f>VLOOKUP(I1189,Customers[#Data],5,FALSE)</f>
        <v>Van Sales</v>
      </c>
      <c r="M1189" s="7" t="s">
        <v>6</v>
      </c>
      <c r="N1189" s="7" t="s">
        <v>522</v>
      </c>
      <c r="O1189" s="14" t="str">
        <f>VLOOKUP(N1189,Stock[#Data],2,FALSE)</f>
        <v>ဒဂုံမန်ကျည်း ကော်ဘူး (1 Liter)</v>
      </c>
      <c r="P1189" s="44">
        <f>VLOOKUP(N1189,Stock[#Data],3,FALSE)</f>
        <v>1</v>
      </c>
      <c r="Q1189" s="3">
        <f>VLOOKUP(N1189,Stock[#Data],4,FALSE)</f>
        <v>12</v>
      </c>
      <c r="R1189" s="11"/>
      <c r="S1189" s="45">
        <f>IFERROR(Table4[[#This Row],[Bottle]]/Table4[[#This Row],[ပါဝင်မှု]]+Table4[[#This Row],[SalesPK]],0)</f>
        <v>1</v>
      </c>
      <c r="T1189" s="12">
        <v>1</v>
      </c>
      <c r="U1189" s="10">
        <f>Table4[[#This Row],[ပါဝင်မှု]]*Table4[[#This Row],[SalesPK]]+Table4[[#This Row],[Bottle]]</f>
        <v>12</v>
      </c>
      <c r="V1189" s="10">
        <f>Table4[[#This Row],[SalesBot]]*Table4[[#This Row],[ML]]</f>
        <v>12</v>
      </c>
      <c r="W1189" s="1">
        <f>VLOOKUP(N1189,Stock[#Data],6,FALSE)</f>
        <v>1600</v>
      </c>
      <c r="X1189" s="8">
        <f>+Table4[[#This Row],[SalesBot]]*Table4[[#This Row],[နှုံး]]</f>
        <v>19200</v>
      </c>
      <c r="Y1189" s="12"/>
      <c r="Z1189" s="12"/>
      <c r="AA1189" s="12"/>
      <c r="AB1189" s="9"/>
      <c r="AC1189" s="12"/>
      <c r="AD1189" s="9"/>
      <c r="AE1189" s="12"/>
      <c r="AF118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189" s="24"/>
      <c r="AH1189" s="266"/>
      <c r="AI1189" s="264"/>
      <c r="AJ1189" s="264"/>
      <c r="AK1189" s="270"/>
      <c r="AL1189" s="270"/>
      <c r="AM1189" s="271"/>
      <c r="AN1189" s="272"/>
      <c r="AO1189" s="273"/>
      <c r="AP1189" s="268"/>
      <c r="AQ1189" s="268"/>
      <c r="AR1189" s="268"/>
    </row>
    <row r="1190" spans="1:44" s="16" customFormat="1" x14ac:dyDescent="0.5">
      <c r="A1190" s="3">
        <f t="shared" si="210"/>
        <v>2026</v>
      </c>
      <c r="B1190" s="8">
        <f t="shared" si="211"/>
        <v>3</v>
      </c>
      <c r="C1190" s="6">
        <v>46091</v>
      </c>
      <c r="D1190" s="15">
        <f t="shared" ca="1" si="212"/>
        <v>46097</v>
      </c>
      <c r="E1190" s="15" t="str">
        <f t="shared" ca="1" si="213"/>
        <v>0-Months</v>
      </c>
      <c r="F1190" s="8" t="str">
        <f>VLOOKUP(N1190,Stock[#Data],5,FALSE)</f>
        <v>BE</v>
      </c>
      <c r="G1190" s="82" t="s">
        <v>1626</v>
      </c>
      <c r="H1190" s="15"/>
      <c r="I1190" s="7" t="s">
        <v>89</v>
      </c>
      <c r="J1190" s="8" t="str">
        <f>VLOOKUP(I1190,Customers[#Data],2,FALSE)</f>
        <v>ဝါးအိမ်</v>
      </c>
      <c r="K1190" s="15" t="str">
        <f>VLOOKUP(I1190,Customers[#Data],4,FALSE)</f>
        <v>Thein Zayet</v>
      </c>
      <c r="L1190" s="15" t="str">
        <f>VLOOKUP(I1190,Customers[#Data],5,FALSE)</f>
        <v>Mini Whole Sales</v>
      </c>
      <c r="M1190" s="7" t="s">
        <v>6</v>
      </c>
      <c r="N1190" s="7" t="s">
        <v>517</v>
      </c>
      <c r="O1190" s="14" t="str">
        <f>VLOOKUP(N1190,Stock[#Data],2,FALSE)</f>
        <v>ဇေယျဝတီ Red (1 Liter) 30%</v>
      </c>
      <c r="P1190" s="44">
        <f>VLOOKUP(N1190,Stock[#Data],3,FALSE)</f>
        <v>1</v>
      </c>
      <c r="Q1190" s="3">
        <f>VLOOKUP(N1190,Stock[#Data],4,FALSE)</f>
        <v>12</v>
      </c>
      <c r="R1190" s="11"/>
      <c r="S1190" s="45">
        <f>IFERROR(Table4[[#This Row],[Bottle]]/Table4[[#This Row],[ပါဝင်မှု]]+Table4[[#This Row],[SalesPK]],0)</f>
        <v>200</v>
      </c>
      <c r="T1190" s="12">
        <v>200</v>
      </c>
      <c r="U1190" s="10">
        <f>Table4[[#This Row],[ပါဝင်မှု]]*Table4[[#This Row],[SalesPK]]+Table4[[#This Row],[Bottle]]</f>
        <v>2400</v>
      </c>
      <c r="V1190" s="10">
        <f>Table4[[#This Row],[SalesBot]]*Table4[[#This Row],[ML]]</f>
        <v>2400</v>
      </c>
      <c r="W1190" s="1">
        <f>VLOOKUP(N1190,Stock[#Data],6,FALSE)</f>
        <v>1710</v>
      </c>
      <c r="X1190" s="8">
        <f>+Table4[[#This Row],[SalesBot]]*Table4[[#This Row],[နှုံး]]</f>
        <v>4104000</v>
      </c>
      <c r="Y1190" s="12"/>
      <c r="Z1190" s="12"/>
      <c r="AA1190" s="12"/>
      <c r="AB1190" s="9"/>
      <c r="AC1190" s="12"/>
      <c r="AD1190" s="9"/>
      <c r="AE1190" s="12"/>
      <c r="AF119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4104000</v>
      </c>
      <c r="AG1190" s="24"/>
      <c r="AH1190" s="266"/>
      <c r="AI1190" s="264"/>
      <c r="AJ1190" s="264"/>
      <c r="AK1190" s="270"/>
      <c r="AL1190" s="270"/>
      <c r="AM1190" s="271"/>
      <c r="AN1190" s="272"/>
      <c r="AO1190" s="273"/>
      <c r="AP1190" s="268"/>
      <c r="AQ1190" s="268"/>
      <c r="AR1190" s="268"/>
    </row>
    <row r="1191" spans="1:44" s="16" customFormat="1" x14ac:dyDescent="0.5">
      <c r="A1191" s="3">
        <f t="shared" si="210"/>
        <v>2026</v>
      </c>
      <c r="B1191" s="8">
        <f t="shared" si="211"/>
        <v>3</v>
      </c>
      <c r="C1191" s="6">
        <v>46091</v>
      </c>
      <c r="D1191" s="15">
        <f t="shared" ca="1" si="212"/>
        <v>46097</v>
      </c>
      <c r="E1191" s="15" t="str">
        <f t="shared" ca="1" si="213"/>
        <v>0-Months</v>
      </c>
      <c r="F1191" s="8" t="str">
        <f>VLOOKUP(N1191,Stock[#Data],5,FALSE)</f>
        <v>BE</v>
      </c>
      <c r="G1191" s="82" t="s">
        <v>1714</v>
      </c>
      <c r="H1191" s="15"/>
      <c r="I1191" s="7" t="s">
        <v>176</v>
      </c>
      <c r="J1191" s="8" t="str">
        <f>VLOOKUP(I1191,Customers[#Data],2,FALSE)</f>
        <v>ဒေါ်စိန်</v>
      </c>
      <c r="K1191" s="15" t="str">
        <f>VLOOKUP(I1191,Customers[#Data],4,FALSE)</f>
        <v>Thein Zayet</v>
      </c>
      <c r="L1191" s="15" t="str">
        <f>VLOOKUP(I1191,Customers[#Data],5,FALSE)</f>
        <v>SemiWholeSales</v>
      </c>
      <c r="M1191" s="7" t="s">
        <v>6</v>
      </c>
      <c r="N1191" s="7" t="s">
        <v>514</v>
      </c>
      <c r="O1191" s="14" t="str">
        <f>VLOOKUP(N1191,Stock[#Data],2,FALSE)</f>
        <v>ဇေယျဝတီ Red</v>
      </c>
      <c r="P1191" s="44">
        <f>VLOOKUP(N1191,Stock[#Data],3,FALSE)</f>
        <v>0.64</v>
      </c>
      <c r="Q1191" s="3">
        <f>VLOOKUP(N1191,Stock[#Data],4,FALSE)</f>
        <v>14</v>
      </c>
      <c r="R1191" s="11"/>
      <c r="S1191" s="45">
        <f>IFERROR(Table4[[#This Row],[Bottle]]/Table4[[#This Row],[ပါဝင်မှု]]+Table4[[#This Row],[SalesPK]],0)</f>
        <v>50</v>
      </c>
      <c r="T1191" s="12">
        <v>50</v>
      </c>
      <c r="U1191" s="10">
        <f>Table4[[#This Row],[ပါဝင်မှု]]*Table4[[#This Row],[SalesPK]]+Table4[[#This Row],[Bottle]]</f>
        <v>700</v>
      </c>
      <c r="V1191" s="10">
        <f>Table4[[#This Row],[SalesBot]]*Table4[[#This Row],[ML]]</f>
        <v>448</v>
      </c>
      <c r="W1191" s="1">
        <f>VLOOKUP(N1191,Stock[#Data],6,FALSE)</f>
        <v>1350</v>
      </c>
      <c r="X1191" s="8">
        <f>+Table4[[#This Row],[SalesBot]]*Table4[[#This Row],[နှုံး]]</f>
        <v>945000</v>
      </c>
      <c r="Y1191" s="12"/>
      <c r="Z1191" s="12"/>
      <c r="AA1191" s="12"/>
      <c r="AB1191" s="9"/>
      <c r="AC1191" s="12"/>
      <c r="AD1191" s="9"/>
      <c r="AE1191" s="12"/>
      <c r="AF119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1191" s="24"/>
      <c r="AH1191" s="266"/>
      <c r="AI1191" s="264"/>
      <c r="AJ1191" s="264"/>
      <c r="AK1191" s="270"/>
      <c r="AL1191" s="270"/>
      <c r="AM1191" s="271"/>
      <c r="AN1191" s="272"/>
      <c r="AO1191" s="273"/>
      <c r="AP1191" s="268"/>
      <c r="AQ1191" s="268"/>
      <c r="AR1191" s="268"/>
    </row>
    <row r="1192" spans="1:44" s="16" customFormat="1" x14ac:dyDescent="0.5">
      <c r="A1192" s="3">
        <f t="shared" si="210"/>
        <v>2026</v>
      </c>
      <c r="B1192" s="8">
        <f t="shared" si="211"/>
        <v>3</v>
      </c>
      <c r="C1192" s="6">
        <v>46091</v>
      </c>
      <c r="D1192" s="15">
        <f t="shared" ca="1" si="212"/>
        <v>46097</v>
      </c>
      <c r="E1192" s="15" t="str">
        <f t="shared" ca="1" si="213"/>
        <v>0-Months</v>
      </c>
      <c r="F1192" s="8" t="str">
        <f>VLOOKUP(N1192,Stock[#Data],5,FALSE)</f>
        <v>BE</v>
      </c>
      <c r="G1192" s="82" t="s">
        <v>1714</v>
      </c>
      <c r="H1192" s="15"/>
      <c r="I1192" s="7" t="s">
        <v>176</v>
      </c>
      <c r="J1192" s="8" t="str">
        <f>VLOOKUP(I1192,Customers[#Data],2,FALSE)</f>
        <v>ဒေါ်စိန်</v>
      </c>
      <c r="K1192" s="15" t="str">
        <f>VLOOKUP(I1192,Customers[#Data],4,FALSE)</f>
        <v>Thein Zayet</v>
      </c>
      <c r="L1192" s="15" t="str">
        <f>VLOOKUP(I1192,Customers[#Data],5,FALSE)</f>
        <v>SemiWholeSales</v>
      </c>
      <c r="M1192" s="7" t="s">
        <v>6</v>
      </c>
      <c r="N1192" s="7" t="s">
        <v>517</v>
      </c>
      <c r="O1192" s="14" t="str">
        <f>VLOOKUP(N1192,Stock[#Data],2,FALSE)</f>
        <v>ဇေယျဝတီ Red (1 Liter) 30%</v>
      </c>
      <c r="P1192" s="44">
        <f>VLOOKUP(N1192,Stock[#Data],3,FALSE)</f>
        <v>1</v>
      </c>
      <c r="Q1192" s="3">
        <f>VLOOKUP(N1192,Stock[#Data],4,FALSE)</f>
        <v>12</v>
      </c>
      <c r="R1192" s="11"/>
      <c r="S1192" s="45">
        <f>IFERROR(Table4[[#This Row],[Bottle]]/Table4[[#This Row],[ပါဝင်မှု]]+Table4[[#This Row],[SalesPK]],0)</f>
        <v>50</v>
      </c>
      <c r="T1192" s="12">
        <v>50</v>
      </c>
      <c r="U1192" s="10">
        <f>Table4[[#This Row],[ပါဝင်မှု]]*Table4[[#This Row],[SalesPK]]+Table4[[#This Row],[Bottle]]</f>
        <v>600</v>
      </c>
      <c r="V1192" s="10">
        <f>Table4[[#This Row],[SalesBot]]*Table4[[#This Row],[ML]]</f>
        <v>600</v>
      </c>
      <c r="W1192" s="1">
        <f>VLOOKUP(N1192,Stock[#Data],6,FALSE)</f>
        <v>1710</v>
      </c>
      <c r="X1192" s="8">
        <f>+Table4[[#This Row],[SalesBot]]*Table4[[#This Row],[နှုံး]]</f>
        <v>1026000</v>
      </c>
      <c r="Y1192" s="12"/>
      <c r="Z1192" s="12"/>
      <c r="AA1192" s="12"/>
      <c r="AB1192" s="9"/>
      <c r="AC1192" s="12"/>
      <c r="AD1192" s="9"/>
      <c r="AE1192" s="12"/>
      <c r="AF119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1192" s="24"/>
      <c r="AH1192" s="266"/>
      <c r="AI1192" s="264"/>
      <c r="AJ1192" s="264"/>
      <c r="AK1192" s="270"/>
      <c r="AL1192" s="270"/>
      <c r="AM1192" s="271"/>
      <c r="AN1192" s="272"/>
      <c r="AO1192" s="273"/>
      <c r="AP1192" s="268"/>
      <c r="AQ1192" s="268"/>
      <c r="AR1192" s="268"/>
    </row>
    <row r="1193" spans="1:44" s="16" customFormat="1" x14ac:dyDescent="0.5">
      <c r="A1193" s="3">
        <f t="shared" si="210"/>
        <v>2026</v>
      </c>
      <c r="B1193" s="8">
        <f t="shared" si="211"/>
        <v>3</v>
      </c>
      <c r="C1193" s="6">
        <v>46091</v>
      </c>
      <c r="D1193" s="15">
        <f t="shared" ca="1" si="212"/>
        <v>46097</v>
      </c>
      <c r="E1193" s="15" t="str">
        <f t="shared" ca="1" si="213"/>
        <v>0-Months</v>
      </c>
      <c r="F1193" s="8" t="str">
        <f>VLOOKUP(N1193,Stock[#Data],5,FALSE)</f>
        <v>BE</v>
      </c>
      <c r="G1193" s="82" t="s">
        <v>1715</v>
      </c>
      <c r="H1193" s="15"/>
      <c r="I1193" s="7" t="s">
        <v>584</v>
      </c>
      <c r="J1193" s="8" t="str">
        <f>VLOOKUP(I1193,Customers[#Data],2,FALSE)</f>
        <v>ယမုံနာ</v>
      </c>
      <c r="K1193" s="15" t="str">
        <f>VLOOKUP(I1193,Customers[#Data],4,FALSE)</f>
        <v>Maw La Myaing</v>
      </c>
      <c r="L1193" s="15" t="str">
        <f>VLOOKUP(I1193,Customers[#Data],5,FALSE)</f>
        <v>Van Sales</v>
      </c>
      <c r="M1193" s="7" t="s">
        <v>6</v>
      </c>
      <c r="N1193" s="7" t="s">
        <v>516</v>
      </c>
      <c r="O1193" s="14" t="str">
        <f>VLOOKUP(N1193,Stock[#Data],2,FALSE)</f>
        <v>ဇေ Vodka</v>
      </c>
      <c r="P1193" s="44">
        <f>VLOOKUP(N1193,Stock[#Data],3,FALSE)</f>
        <v>0.64</v>
      </c>
      <c r="Q1193" s="3">
        <f>VLOOKUP(N1193,Stock[#Data],4,FALSE)</f>
        <v>14</v>
      </c>
      <c r="R1193" s="11"/>
      <c r="S1193" s="45">
        <f>IFERROR(Table4[[#This Row],[Bottle]]/Table4[[#This Row],[ပါဝင်မှု]]+Table4[[#This Row],[SalesPK]],0)</f>
        <v>2</v>
      </c>
      <c r="T1193" s="12">
        <v>2</v>
      </c>
      <c r="U1193" s="10">
        <f>Table4[[#This Row],[ပါဝင်မှု]]*Table4[[#This Row],[SalesPK]]+Table4[[#This Row],[Bottle]]</f>
        <v>28</v>
      </c>
      <c r="V1193" s="10">
        <f>Table4[[#This Row],[SalesBot]]*Table4[[#This Row],[ML]]</f>
        <v>17.920000000000002</v>
      </c>
      <c r="W1193" s="1">
        <f>VLOOKUP(N1193,Stock[#Data],6,FALSE)</f>
        <v>1400</v>
      </c>
      <c r="X1193" s="8">
        <f>+Table4[[#This Row],[SalesBot]]*Table4[[#This Row],[နှုံး]]</f>
        <v>39200</v>
      </c>
      <c r="Y1193" s="12"/>
      <c r="Z1193" s="12"/>
      <c r="AA1193" s="12"/>
      <c r="AB1193" s="9"/>
      <c r="AC1193" s="12"/>
      <c r="AD1193" s="9"/>
      <c r="AE1193" s="12"/>
      <c r="AF119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39200</v>
      </c>
      <c r="AG1193" s="24"/>
      <c r="AH1193" s="266"/>
      <c r="AI1193" s="264"/>
      <c r="AJ1193" s="264"/>
      <c r="AK1193" s="270"/>
      <c r="AL1193" s="270"/>
      <c r="AM1193" s="271"/>
      <c r="AN1193" s="272"/>
      <c r="AO1193" s="273"/>
      <c r="AP1193" s="268"/>
      <c r="AQ1193" s="268"/>
      <c r="AR1193" s="268"/>
    </row>
    <row r="1194" spans="1:44" s="16" customFormat="1" x14ac:dyDescent="0.5">
      <c r="A1194" s="3">
        <f t="shared" si="210"/>
        <v>2026</v>
      </c>
      <c r="B1194" s="8">
        <f t="shared" si="211"/>
        <v>3</v>
      </c>
      <c r="C1194" s="6">
        <v>46091</v>
      </c>
      <c r="D1194" s="15">
        <f t="shared" ca="1" si="212"/>
        <v>46097</v>
      </c>
      <c r="E1194" s="15" t="str">
        <f t="shared" ca="1" si="213"/>
        <v>0-Months</v>
      </c>
      <c r="F1194" s="8" t="str">
        <f>VLOOKUP(N1194,Stock[#Data],5,FALSE)</f>
        <v>BE</v>
      </c>
      <c r="G1194" s="82" t="s">
        <v>1715</v>
      </c>
      <c r="H1194" s="15"/>
      <c r="I1194" s="7" t="s">
        <v>584</v>
      </c>
      <c r="J1194" s="8" t="str">
        <f>VLOOKUP(I1194,Customers[#Data],2,FALSE)</f>
        <v>ယမုံနာ</v>
      </c>
      <c r="K1194" s="15" t="str">
        <f>VLOOKUP(I1194,Customers[#Data],4,FALSE)</f>
        <v>Maw La Myaing</v>
      </c>
      <c r="L1194" s="15" t="str">
        <f>VLOOKUP(I1194,Customers[#Data],5,FALSE)</f>
        <v>Van Sales</v>
      </c>
      <c r="M1194" s="7" t="s">
        <v>6</v>
      </c>
      <c r="N1194" s="7" t="s">
        <v>518</v>
      </c>
      <c r="O1194" s="14" t="str">
        <f>VLOOKUP(N1194,Stock[#Data],2,FALSE)</f>
        <v>"ဇေ" ကော်ဘူး (1 Liter)</v>
      </c>
      <c r="P1194" s="44">
        <f>VLOOKUP(N1194,Stock[#Data],3,FALSE)</f>
        <v>1</v>
      </c>
      <c r="Q1194" s="3">
        <f>VLOOKUP(N1194,Stock[#Data],4,FALSE)</f>
        <v>12</v>
      </c>
      <c r="R1194" s="11"/>
      <c r="S1194" s="45">
        <f>IFERROR(Table4[[#This Row],[Bottle]]/Table4[[#This Row],[ပါဝင်မှု]]+Table4[[#This Row],[SalesPK]],0)</f>
        <v>10</v>
      </c>
      <c r="T1194" s="12">
        <v>10</v>
      </c>
      <c r="U1194" s="10">
        <f>Table4[[#This Row],[ပါဝင်မှု]]*Table4[[#This Row],[SalesPK]]+Table4[[#This Row],[Bottle]]</f>
        <v>120</v>
      </c>
      <c r="V1194" s="10">
        <f>Table4[[#This Row],[SalesBot]]*Table4[[#This Row],[ML]]</f>
        <v>120</v>
      </c>
      <c r="W1194" s="1">
        <f>VLOOKUP(N1194,Stock[#Data],6,FALSE)</f>
        <v>1675</v>
      </c>
      <c r="X1194" s="8">
        <f>+Table4[[#This Row],[SalesBot]]*Table4[[#This Row],[နှုံး]]</f>
        <v>201000</v>
      </c>
      <c r="Y1194" s="12"/>
      <c r="Z1194" s="12"/>
      <c r="AA1194" s="12"/>
      <c r="AB1194" s="9"/>
      <c r="AC1194" s="12"/>
      <c r="AD1194" s="9"/>
      <c r="AE1194" s="12"/>
      <c r="AF119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201000</v>
      </c>
      <c r="AG1194" s="24"/>
      <c r="AH1194" s="266"/>
      <c r="AI1194" s="264"/>
      <c r="AJ1194" s="264"/>
      <c r="AK1194" s="270"/>
      <c r="AL1194" s="270"/>
      <c r="AM1194" s="271"/>
      <c r="AN1194" s="272"/>
      <c r="AO1194" s="273"/>
      <c r="AP1194" s="268"/>
      <c r="AQ1194" s="268"/>
      <c r="AR1194" s="268"/>
    </row>
    <row r="1195" spans="1:44" s="16" customFormat="1" x14ac:dyDescent="0.5">
      <c r="A1195" s="3">
        <f t="shared" si="210"/>
        <v>2026</v>
      </c>
      <c r="B1195" s="8">
        <f t="shared" si="211"/>
        <v>3</v>
      </c>
      <c r="C1195" s="6">
        <v>46091</v>
      </c>
      <c r="D1195" s="15">
        <f t="shared" ca="1" si="212"/>
        <v>46097</v>
      </c>
      <c r="E1195" s="15" t="str">
        <f t="shared" ca="1" si="213"/>
        <v>0-Months</v>
      </c>
      <c r="F1195" s="8" t="str">
        <f>VLOOKUP(N1195,Stock[#Data],5,FALSE)</f>
        <v>BE</v>
      </c>
      <c r="G1195" s="82" t="s">
        <v>1716</v>
      </c>
      <c r="H1195" s="15"/>
      <c r="I1195" s="7" t="s">
        <v>322</v>
      </c>
      <c r="J1195" s="8" t="str">
        <f>VLOOKUP(I1195,Customers[#Data],2,FALSE)</f>
        <v>Firday Mon</v>
      </c>
      <c r="K1195" s="15" t="str">
        <f>VLOOKUP(I1195,Customers[#Data],4,FALSE)</f>
        <v>Maw La Myaing</v>
      </c>
      <c r="L1195" s="15" t="str">
        <f>VLOOKUP(I1195,Customers[#Data],5,FALSE)</f>
        <v>Van Sales</v>
      </c>
      <c r="M1195" s="7" t="s">
        <v>6</v>
      </c>
      <c r="N1195" s="7" t="s">
        <v>518</v>
      </c>
      <c r="O1195" s="14" t="str">
        <f>VLOOKUP(N1195,Stock[#Data],2,FALSE)</f>
        <v>"ဇေ" ကော်ဘူး (1 Liter)</v>
      </c>
      <c r="P1195" s="44">
        <f>VLOOKUP(N1195,Stock[#Data],3,FALSE)</f>
        <v>1</v>
      </c>
      <c r="Q1195" s="3">
        <f>VLOOKUP(N1195,Stock[#Data],4,FALSE)</f>
        <v>12</v>
      </c>
      <c r="R1195" s="11"/>
      <c r="S1195" s="45">
        <f>IFERROR(Table4[[#This Row],[Bottle]]/Table4[[#This Row],[ပါဝင်မှု]]+Table4[[#This Row],[SalesPK]],0)</f>
        <v>5</v>
      </c>
      <c r="T1195" s="12">
        <v>5</v>
      </c>
      <c r="U1195" s="10">
        <f>Table4[[#This Row],[ပါဝင်မှု]]*Table4[[#This Row],[SalesPK]]+Table4[[#This Row],[Bottle]]</f>
        <v>60</v>
      </c>
      <c r="V1195" s="10">
        <f>Table4[[#This Row],[SalesBot]]*Table4[[#This Row],[ML]]</f>
        <v>60</v>
      </c>
      <c r="W1195" s="1">
        <f>VLOOKUP(N1195,Stock[#Data],6,FALSE)</f>
        <v>1675</v>
      </c>
      <c r="X1195" s="8">
        <f>+Table4[[#This Row],[SalesBot]]*Table4[[#This Row],[နှုံး]]</f>
        <v>100500</v>
      </c>
      <c r="Y1195" s="12"/>
      <c r="Z1195" s="12"/>
      <c r="AA1195" s="12"/>
      <c r="AB1195" s="9"/>
      <c r="AC1195" s="12"/>
      <c r="AD1195" s="9"/>
      <c r="AE1195" s="12"/>
      <c r="AF119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1195" s="24"/>
      <c r="AH1195" s="266"/>
      <c r="AI1195" s="264"/>
      <c r="AJ1195" s="264"/>
      <c r="AK1195" s="270"/>
      <c r="AL1195" s="270"/>
      <c r="AM1195" s="271"/>
      <c r="AN1195" s="272"/>
      <c r="AO1195" s="273"/>
      <c r="AP1195" s="268"/>
      <c r="AQ1195" s="268"/>
      <c r="AR1195" s="268"/>
    </row>
    <row r="1196" spans="1:44" s="16" customFormat="1" x14ac:dyDescent="0.5">
      <c r="A1196" s="3">
        <f t="shared" si="210"/>
        <v>2026</v>
      </c>
      <c r="B1196" s="8">
        <f t="shared" si="211"/>
        <v>3</v>
      </c>
      <c r="C1196" s="6">
        <v>46091</v>
      </c>
      <c r="D1196" s="15">
        <f t="shared" ca="1" si="212"/>
        <v>46097</v>
      </c>
      <c r="E1196" s="15" t="str">
        <f t="shared" ca="1" si="213"/>
        <v>0-Months</v>
      </c>
      <c r="F1196" s="8" t="str">
        <f>VLOOKUP(N1196,Stock[#Data],5,FALSE)</f>
        <v>BE</v>
      </c>
      <c r="G1196" s="82" t="s">
        <v>1717</v>
      </c>
      <c r="H1196" s="15"/>
      <c r="I1196" s="7" t="s">
        <v>784</v>
      </c>
      <c r="J1196" s="8" t="str">
        <f>VLOOKUP(I1196,Customers[#Data],2,FALSE)</f>
        <v>မသီ</v>
      </c>
      <c r="K1196" s="15" t="str">
        <f>VLOOKUP(I1196,Customers[#Data],4,FALSE)</f>
        <v>Maw La Myaing</v>
      </c>
      <c r="L1196" s="15" t="str">
        <f>VLOOKUP(I1196,Customers[#Data],5,FALSE)</f>
        <v>Van Sales</v>
      </c>
      <c r="M1196" s="7" t="s">
        <v>6</v>
      </c>
      <c r="N1196" s="7" t="s">
        <v>516</v>
      </c>
      <c r="O1196" s="14" t="str">
        <f>VLOOKUP(N1196,Stock[#Data],2,FALSE)</f>
        <v>ဇေ Vodka</v>
      </c>
      <c r="P1196" s="44">
        <f>VLOOKUP(N1196,Stock[#Data],3,FALSE)</f>
        <v>0.64</v>
      </c>
      <c r="Q1196" s="3">
        <f>VLOOKUP(N1196,Stock[#Data],4,FALSE)</f>
        <v>14</v>
      </c>
      <c r="R1196" s="11"/>
      <c r="S1196" s="45">
        <f>IFERROR(Table4[[#This Row],[Bottle]]/Table4[[#This Row],[ပါဝင်မှု]]+Table4[[#This Row],[SalesPK]],0)</f>
        <v>3</v>
      </c>
      <c r="T1196" s="12">
        <v>3</v>
      </c>
      <c r="U1196" s="10">
        <f>Table4[[#This Row],[ပါဝင်မှု]]*Table4[[#This Row],[SalesPK]]+Table4[[#This Row],[Bottle]]</f>
        <v>42</v>
      </c>
      <c r="V1196" s="10">
        <f>Table4[[#This Row],[SalesBot]]*Table4[[#This Row],[ML]]</f>
        <v>26.88</v>
      </c>
      <c r="W1196" s="1">
        <f>VLOOKUP(N1196,Stock[#Data],6,FALSE)</f>
        <v>1400</v>
      </c>
      <c r="X1196" s="8">
        <f>+Table4[[#This Row],[SalesBot]]*Table4[[#This Row],[နှုံး]]</f>
        <v>58800</v>
      </c>
      <c r="Y1196" s="12"/>
      <c r="Z1196" s="12"/>
      <c r="AA1196" s="12"/>
      <c r="AB1196" s="9"/>
      <c r="AC1196" s="12"/>
      <c r="AD1196" s="9"/>
      <c r="AE1196" s="12"/>
      <c r="AF119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58800</v>
      </c>
      <c r="AG1196" s="24"/>
      <c r="AH1196" s="266"/>
      <c r="AI1196" s="264"/>
      <c r="AJ1196" s="264"/>
      <c r="AK1196" s="270"/>
      <c r="AL1196" s="270"/>
      <c r="AM1196" s="271"/>
      <c r="AN1196" s="272"/>
      <c r="AO1196" s="273"/>
      <c r="AP1196" s="268"/>
      <c r="AQ1196" s="268"/>
      <c r="AR1196" s="268"/>
    </row>
    <row r="1197" spans="1:44" s="16" customFormat="1" x14ac:dyDescent="0.5">
      <c r="A1197" s="3">
        <f t="shared" si="210"/>
        <v>2026</v>
      </c>
      <c r="B1197" s="8">
        <f t="shared" si="211"/>
        <v>3</v>
      </c>
      <c r="C1197" s="6">
        <v>46091</v>
      </c>
      <c r="D1197" s="15">
        <f t="shared" ca="1" si="212"/>
        <v>46097</v>
      </c>
      <c r="E1197" s="15" t="str">
        <f t="shared" ca="1" si="213"/>
        <v>0-Months</v>
      </c>
      <c r="F1197" s="8" t="str">
        <f>VLOOKUP(N1197,Stock[#Data],5,FALSE)</f>
        <v>BE</v>
      </c>
      <c r="G1197" s="82" t="s">
        <v>1717</v>
      </c>
      <c r="H1197" s="15"/>
      <c r="I1197" s="7" t="s">
        <v>784</v>
      </c>
      <c r="J1197" s="8" t="str">
        <f>VLOOKUP(I1197,Customers[#Data],2,FALSE)</f>
        <v>မသီ</v>
      </c>
      <c r="K1197" s="15" t="str">
        <f>VLOOKUP(I1197,Customers[#Data],4,FALSE)</f>
        <v>Maw La Myaing</v>
      </c>
      <c r="L1197" s="15" t="str">
        <f>VLOOKUP(I1197,Customers[#Data],5,FALSE)</f>
        <v>Van Sales</v>
      </c>
      <c r="M1197" s="7" t="s">
        <v>6</v>
      </c>
      <c r="N1197" s="7" t="s">
        <v>518</v>
      </c>
      <c r="O1197" s="14" t="str">
        <f>VLOOKUP(N1197,Stock[#Data],2,FALSE)</f>
        <v>"ဇေ" ကော်ဘူး (1 Liter)</v>
      </c>
      <c r="P1197" s="44">
        <f>VLOOKUP(N1197,Stock[#Data],3,FALSE)</f>
        <v>1</v>
      </c>
      <c r="Q1197" s="3">
        <f>VLOOKUP(N1197,Stock[#Data],4,FALSE)</f>
        <v>12</v>
      </c>
      <c r="R1197" s="11"/>
      <c r="S1197" s="45">
        <f>IFERROR(Table4[[#This Row],[Bottle]]/Table4[[#This Row],[ပါဝင်မှု]]+Table4[[#This Row],[SalesPK]],0)</f>
        <v>1</v>
      </c>
      <c r="T1197" s="12">
        <v>1</v>
      </c>
      <c r="U1197" s="10">
        <f>Table4[[#This Row],[ပါဝင်မှု]]*Table4[[#This Row],[SalesPK]]+Table4[[#This Row],[Bottle]]</f>
        <v>12</v>
      </c>
      <c r="V1197" s="10">
        <f>Table4[[#This Row],[SalesBot]]*Table4[[#This Row],[ML]]</f>
        <v>12</v>
      </c>
      <c r="W1197" s="1">
        <f>VLOOKUP(N1197,Stock[#Data],6,FALSE)</f>
        <v>1675</v>
      </c>
      <c r="X1197" s="8">
        <f>+Table4[[#This Row],[SalesBot]]*Table4[[#This Row],[နှုံး]]</f>
        <v>20100</v>
      </c>
      <c r="Y1197" s="12"/>
      <c r="Z1197" s="12"/>
      <c r="AA1197" s="12"/>
      <c r="AB1197" s="9"/>
      <c r="AC1197" s="12"/>
      <c r="AD1197" s="9"/>
      <c r="AE1197" s="12"/>
      <c r="AF119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</v>
      </c>
      <c r="AG1197" s="24"/>
      <c r="AH1197" s="266"/>
      <c r="AI1197" s="264"/>
      <c r="AJ1197" s="264"/>
      <c r="AK1197" s="270"/>
      <c r="AL1197" s="270"/>
      <c r="AM1197" s="271"/>
      <c r="AN1197" s="272"/>
      <c r="AO1197" s="273"/>
      <c r="AP1197" s="268"/>
      <c r="AQ1197" s="268"/>
      <c r="AR1197" s="268"/>
    </row>
    <row r="1198" spans="1:44" s="16" customFormat="1" x14ac:dyDescent="0.5">
      <c r="A1198" s="3">
        <f t="shared" si="210"/>
        <v>2026</v>
      </c>
      <c r="B1198" s="8">
        <f t="shared" si="211"/>
        <v>3</v>
      </c>
      <c r="C1198" s="6">
        <v>46091</v>
      </c>
      <c r="D1198" s="15">
        <f t="shared" ca="1" si="212"/>
        <v>46097</v>
      </c>
      <c r="E1198" s="15" t="str">
        <f t="shared" ca="1" si="213"/>
        <v>0-Months</v>
      </c>
      <c r="F1198" s="8" t="str">
        <f>VLOOKUP(N1198,Stock[#Data],5,FALSE)</f>
        <v>BE</v>
      </c>
      <c r="G1198" s="82" t="s">
        <v>1718</v>
      </c>
      <c r="H1198" s="15"/>
      <c r="I1198" s="7" t="s">
        <v>1333</v>
      </c>
      <c r="J1198" s="8" t="str">
        <f>VLOOKUP(I1198,Customers[#Data],2,FALSE)</f>
        <v>Ok 1-2</v>
      </c>
      <c r="K1198" s="15" t="str">
        <f>VLOOKUP(I1198,Customers[#Data],4,FALSE)</f>
        <v>Maw La Myaing</v>
      </c>
      <c r="L1198" s="15" t="str">
        <f>VLOOKUP(I1198,Customers[#Data],5,FALSE)</f>
        <v>Van Sales</v>
      </c>
      <c r="M1198" s="7" t="s">
        <v>6</v>
      </c>
      <c r="N1198" s="7" t="s">
        <v>425</v>
      </c>
      <c r="O1198" s="14" t="str">
        <f>VLOOKUP(N1198,Stock[#Data],2,FALSE)</f>
        <v>ကောင်းကြည်-1Li</v>
      </c>
      <c r="P1198" s="44">
        <f>VLOOKUP(N1198,Stock[#Data],3,FALSE)</f>
        <v>1</v>
      </c>
      <c r="Q1198" s="3">
        <f>VLOOKUP(N1198,Stock[#Data],4,FALSE)</f>
        <v>12</v>
      </c>
      <c r="R1198" s="11"/>
      <c r="S1198" s="45">
        <f>IFERROR(Table4[[#This Row],[Bottle]]/Table4[[#This Row],[ပါဝင်မှု]]+Table4[[#This Row],[SalesPK]],0)</f>
        <v>2</v>
      </c>
      <c r="T1198" s="12">
        <v>2</v>
      </c>
      <c r="U1198" s="10">
        <f>Table4[[#This Row],[ပါဝင်မှု]]*Table4[[#This Row],[SalesPK]]+Table4[[#This Row],[Bottle]]</f>
        <v>24</v>
      </c>
      <c r="V1198" s="10">
        <f>Table4[[#This Row],[SalesBot]]*Table4[[#This Row],[ML]]</f>
        <v>24</v>
      </c>
      <c r="W1198" s="1">
        <f>VLOOKUP(N1198,Stock[#Data],6,FALSE)</f>
        <v>1500</v>
      </c>
      <c r="X1198" s="8">
        <f>+Table4[[#This Row],[SalesBot]]*Table4[[#This Row],[နှုံး]]</f>
        <v>36000</v>
      </c>
      <c r="Y1198" s="12"/>
      <c r="Z1198" s="12"/>
      <c r="AA1198" s="12"/>
      <c r="AB1198" s="9"/>
      <c r="AC1198" s="12"/>
      <c r="AD1198" s="9"/>
      <c r="AE1198" s="12"/>
      <c r="AF119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36000</v>
      </c>
      <c r="AG1198" s="24"/>
      <c r="AH1198" s="266"/>
      <c r="AI1198" s="264"/>
      <c r="AJ1198" s="264"/>
      <c r="AK1198" s="270"/>
      <c r="AL1198" s="270"/>
      <c r="AM1198" s="271"/>
      <c r="AN1198" s="272"/>
      <c r="AO1198" s="273"/>
      <c r="AP1198" s="268"/>
      <c r="AQ1198" s="268"/>
      <c r="AR1198" s="268"/>
    </row>
    <row r="1199" spans="1:44" s="16" customFormat="1" x14ac:dyDescent="0.5">
      <c r="A1199" s="3">
        <f t="shared" si="210"/>
        <v>2026</v>
      </c>
      <c r="B1199" s="8">
        <f t="shared" si="211"/>
        <v>3</v>
      </c>
      <c r="C1199" s="6">
        <v>46091</v>
      </c>
      <c r="D1199" s="15">
        <f t="shared" ca="1" si="212"/>
        <v>46097</v>
      </c>
      <c r="E1199" s="15" t="str">
        <f t="shared" ca="1" si="213"/>
        <v>0-Months</v>
      </c>
      <c r="F1199" s="8" t="str">
        <f>VLOOKUP(N1199,Stock[#Data],5,FALSE)</f>
        <v>BE</v>
      </c>
      <c r="G1199" s="82" t="s">
        <v>1718</v>
      </c>
      <c r="H1199" s="15"/>
      <c r="I1199" s="7" t="s">
        <v>601</v>
      </c>
      <c r="J1199" s="8" t="str">
        <f>VLOOKUP(I1199,Customers[#Data],2,FALSE)</f>
        <v>၀ဿာန်နှင်း</v>
      </c>
      <c r="K1199" s="15" t="str">
        <f>VLOOKUP(I1199,Customers[#Data],4,FALSE)</f>
        <v>Maw La Myaing</v>
      </c>
      <c r="L1199" s="15" t="str">
        <f>VLOOKUP(I1199,Customers[#Data],5,FALSE)</f>
        <v>Van Sales</v>
      </c>
      <c r="M1199" s="7" t="s">
        <v>6</v>
      </c>
      <c r="N1199" s="7" t="s">
        <v>508</v>
      </c>
      <c r="O1199" s="14" t="str">
        <f>VLOOKUP(N1199,Stock[#Data],2,FALSE)</f>
        <v>ကောင်းကြည်-1Li</v>
      </c>
      <c r="P1199" s="44">
        <f>VLOOKUP(N1199,Stock[#Data],3,FALSE)</f>
        <v>1</v>
      </c>
      <c r="Q1199" s="3">
        <f>VLOOKUP(N1199,Stock[#Data],4,FALSE)</f>
        <v>12</v>
      </c>
      <c r="R1199" s="11"/>
      <c r="S1199" s="45">
        <f>IFERROR(Table4[[#This Row],[Bottle]]/Table4[[#This Row],[ပါဝင်မှု]]+Table4[[#This Row],[SalesPK]],0)</f>
        <v>1</v>
      </c>
      <c r="T1199" s="12">
        <v>1</v>
      </c>
      <c r="U1199" s="10">
        <f>Table4[[#This Row],[ပါဝင်မှု]]*Table4[[#This Row],[SalesPK]]+Table4[[#This Row],[Bottle]]</f>
        <v>12</v>
      </c>
      <c r="V1199" s="10">
        <f>Table4[[#This Row],[SalesBot]]*Table4[[#This Row],[ML]]</f>
        <v>12</v>
      </c>
      <c r="W1199" s="1">
        <f>VLOOKUP(N1199,Stock[#Data],6,FALSE)</f>
        <v>1850</v>
      </c>
      <c r="X1199" s="8">
        <f>+Table4[[#This Row],[SalesBot]]*Table4[[#This Row],[နှုံး]]</f>
        <v>22200</v>
      </c>
      <c r="Y1199" s="12"/>
      <c r="Z1199" s="12"/>
      <c r="AA1199" s="12"/>
      <c r="AB1199" s="9"/>
      <c r="AC1199" s="12"/>
      <c r="AD1199" s="9"/>
      <c r="AE1199" s="12"/>
      <c r="AF119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1199" s="24"/>
      <c r="AH1199" s="266"/>
      <c r="AI1199" s="264"/>
      <c r="AJ1199" s="264"/>
      <c r="AK1199" s="270"/>
      <c r="AL1199" s="270"/>
      <c r="AM1199" s="271"/>
      <c r="AN1199" s="272"/>
      <c r="AO1199" s="273"/>
      <c r="AP1199" s="268"/>
      <c r="AQ1199" s="268"/>
      <c r="AR1199" s="268"/>
    </row>
    <row r="1200" spans="1:44" s="16" customFormat="1" x14ac:dyDescent="0.5">
      <c r="A1200" s="3">
        <f t="shared" si="210"/>
        <v>2026</v>
      </c>
      <c r="B1200" s="8">
        <f t="shared" si="211"/>
        <v>3</v>
      </c>
      <c r="C1200" s="6">
        <v>46091</v>
      </c>
      <c r="D1200" s="15">
        <f t="shared" ca="1" si="212"/>
        <v>46097</v>
      </c>
      <c r="E1200" s="15" t="str">
        <f t="shared" ca="1" si="213"/>
        <v>0-Months</v>
      </c>
      <c r="F1200" s="8" t="str">
        <f>VLOOKUP(N1200,Stock[#Data],5,FALSE)</f>
        <v>BE</v>
      </c>
      <c r="G1200" s="82" t="s">
        <v>1719</v>
      </c>
      <c r="H1200" s="15"/>
      <c r="I1200" s="7" t="s">
        <v>1358</v>
      </c>
      <c r="J1200" s="8" t="str">
        <f>VLOOKUP(I1200,Customers[#Data],2,FALSE)</f>
        <v>ဒေါ်တင်တင်အေး</v>
      </c>
      <c r="K1200" s="15" t="str">
        <f>VLOOKUP(I1200,Customers[#Data],4,FALSE)</f>
        <v>Maw La Myaing</v>
      </c>
      <c r="L1200" s="15" t="str">
        <f>VLOOKUP(I1200,Customers[#Data],5,FALSE)</f>
        <v>Van Sales</v>
      </c>
      <c r="M1200" s="7" t="s">
        <v>6</v>
      </c>
      <c r="N1200" s="7" t="s">
        <v>508</v>
      </c>
      <c r="O1200" s="14" t="str">
        <f>VLOOKUP(N1200,Stock[#Data],2,FALSE)</f>
        <v>ကောင်းကြည်-1Li</v>
      </c>
      <c r="P1200" s="44">
        <f>VLOOKUP(N1200,Stock[#Data],3,FALSE)</f>
        <v>1</v>
      </c>
      <c r="Q1200" s="3">
        <f>VLOOKUP(N1200,Stock[#Data],4,FALSE)</f>
        <v>12</v>
      </c>
      <c r="R1200" s="11"/>
      <c r="S1200" s="45">
        <f>IFERROR(Table4[[#This Row],[Bottle]]/Table4[[#This Row],[ပါဝင်မှု]]+Table4[[#This Row],[SalesPK]],0)</f>
        <v>1</v>
      </c>
      <c r="T1200" s="12">
        <v>1</v>
      </c>
      <c r="U1200" s="10">
        <f>Table4[[#This Row],[ပါဝင်မှု]]*Table4[[#This Row],[SalesPK]]+Table4[[#This Row],[Bottle]]</f>
        <v>12</v>
      </c>
      <c r="V1200" s="10">
        <f>Table4[[#This Row],[SalesBot]]*Table4[[#This Row],[ML]]</f>
        <v>12</v>
      </c>
      <c r="W1200" s="1">
        <f>VLOOKUP(N1200,Stock[#Data],6,FALSE)</f>
        <v>1850</v>
      </c>
      <c r="X1200" s="8">
        <f>+Table4[[#This Row],[SalesBot]]*Table4[[#This Row],[နှုံး]]</f>
        <v>22200</v>
      </c>
      <c r="Y1200" s="12"/>
      <c r="Z1200" s="12"/>
      <c r="AA1200" s="12"/>
      <c r="AB1200" s="9"/>
      <c r="AC1200" s="12"/>
      <c r="AD1200" s="9"/>
      <c r="AE1200" s="12"/>
      <c r="AF120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22200</v>
      </c>
      <c r="AG1200" s="24"/>
      <c r="AH1200" s="266"/>
      <c r="AI1200" s="264"/>
      <c r="AJ1200" s="264"/>
      <c r="AK1200" s="270"/>
      <c r="AL1200" s="270"/>
      <c r="AM1200" s="271"/>
      <c r="AN1200" s="272"/>
      <c r="AO1200" s="273"/>
      <c r="AP1200" s="268"/>
      <c r="AQ1200" s="268"/>
      <c r="AR1200" s="268"/>
    </row>
    <row r="1201" spans="1:44" s="16" customFormat="1" x14ac:dyDescent="0.5">
      <c r="A1201" s="3">
        <f t="shared" si="210"/>
        <v>2026</v>
      </c>
      <c r="B1201" s="8">
        <f t="shared" si="211"/>
        <v>3</v>
      </c>
      <c r="C1201" s="6">
        <v>46091</v>
      </c>
      <c r="D1201" s="15">
        <f t="shared" ca="1" si="212"/>
        <v>46097</v>
      </c>
      <c r="E1201" s="15" t="str">
        <f t="shared" ca="1" si="213"/>
        <v>0-Months</v>
      </c>
      <c r="F1201" s="8" t="str">
        <f>VLOOKUP(N1201,Stock[#Data],5,FALSE)</f>
        <v>BE</v>
      </c>
      <c r="G1201" s="82" t="s">
        <v>1720</v>
      </c>
      <c r="H1201" s="15"/>
      <c r="I1201" s="7" t="s">
        <v>554</v>
      </c>
      <c r="J1201" s="8" t="str">
        <f>VLOOKUP(I1201,Customers[#Data],2,FALSE)</f>
        <v>နန်းသဇင်</v>
      </c>
      <c r="K1201" s="15" t="str">
        <f>VLOOKUP(I1201,Customers[#Data],4,FALSE)</f>
        <v>Maw La Myaing</v>
      </c>
      <c r="L1201" s="15" t="str">
        <f>VLOOKUP(I1201,Customers[#Data],5,FALSE)</f>
        <v>Mini Whole Sales</v>
      </c>
      <c r="M1201" s="7" t="s">
        <v>6</v>
      </c>
      <c r="N1201" s="7" t="s">
        <v>516</v>
      </c>
      <c r="O1201" s="14" t="str">
        <f>VLOOKUP(N1201,Stock[#Data],2,FALSE)</f>
        <v>ဇေ Vodka</v>
      </c>
      <c r="P1201" s="44">
        <f>VLOOKUP(N1201,Stock[#Data],3,FALSE)</f>
        <v>0.64</v>
      </c>
      <c r="Q1201" s="3">
        <f>VLOOKUP(N1201,Stock[#Data],4,FALSE)</f>
        <v>14</v>
      </c>
      <c r="R1201" s="11"/>
      <c r="S1201" s="45">
        <f>IFERROR(Table4[[#This Row],[Bottle]]/Table4[[#This Row],[ပါဝင်မှု]]+Table4[[#This Row],[SalesPK]],0)</f>
        <v>100</v>
      </c>
      <c r="T1201" s="12">
        <v>100</v>
      </c>
      <c r="U1201" s="10">
        <f>Table4[[#This Row],[ပါဝင်မှု]]*Table4[[#This Row],[SalesPK]]+Table4[[#This Row],[Bottle]]</f>
        <v>1400</v>
      </c>
      <c r="V1201" s="10">
        <f>Table4[[#This Row],[SalesBot]]*Table4[[#This Row],[ML]]</f>
        <v>896</v>
      </c>
      <c r="W1201" s="1">
        <f>VLOOKUP(N1201,Stock[#Data],6,FALSE)</f>
        <v>1400</v>
      </c>
      <c r="X1201" s="8">
        <f>+Table4[[#This Row],[SalesBot]]*Table4[[#This Row],[နှုံး]]</f>
        <v>1960000</v>
      </c>
      <c r="Y1201" s="12"/>
      <c r="Z1201" s="12"/>
      <c r="AA1201" s="12"/>
      <c r="AB1201" s="9"/>
      <c r="AC1201" s="12"/>
      <c r="AD1201" s="9"/>
      <c r="AE1201" s="12"/>
      <c r="AF120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1960000</v>
      </c>
      <c r="AG1201" s="24"/>
      <c r="AH1201" s="266"/>
      <c r="AI1201" s="264"/>
      <c r="AJ1201" s="264"/>
      <c r="AK1201" s="270"/>
      <c r="AL1201" s="270"/>
      <c r="AM1201" s="271"/>
      <c r="AN1201" s="272"/>
      <c r="AO1201" s="273"/>
      <c r="AP1201" s="268"/>
      <c r="AQ1201" s="268"/>
      <c r="AR1201" s="268"/>
    </row>
    <row r="1202" spans="1:44" s="16" customFormat="1" x14ac:dyDescent="0.5">
      <c r="A1202" s="3">
        <f t="shared" si="210"/>
        <v>2026</v>
      </c>
      <c r="B1202" s="8">
        <f t="shared" si="211"/>
        <v>3</v>
      </c>
      <c r="C1202" s="6">
        <v>46091</v>
      </c>
      <c r="D1202" s="15">
        <f t="shared" ca="1" si="212"/>
        <v>46097</v>
      </c>
      <c r="E1202" s="15" t="str">
        <f t="shared" ca="1" si="213"/>
        <v>0-Months</v>
      </c>
      <c r="F1202" s="8" t="str">
        <f>VLOOKUP(N1202,Stock[#Data],5,FALSE)</f>
        <v>BE</v>
      </c>
      <c r="G1202" s="82" t="s">
        <v>1721</v>
      </c>
      <c r="H1202" s="15"/>
      <c r="I1202" s="7" t="s">
        <v>95</v>
      </c>
      <c r="J1202" s="8" t="str">
        <f>VLOOKUP(I1202,Customers[#Data],2,FALSE)</f>
        <v>ကျော်စတား</v>
      </c>
      <c r="K1202" s="15" t="str">
        <f>VLOOKUP(I1202,Customers[#Data],4,FALSE)</f>
        <v>Yay</v>
      </c>
      <c r="L1202" s="15" t="str">
        <f>VLOOKUP(I1202,Customers[#Data],5,FALSE)</f>
        <v>WholeSales</v>
      </c>
      <c r="M1202" s="7" t="s">
        <v>7</v>
      </c>
      <c r="N1202" s="7" t="s">
        <v>514</v>
      </c>
      <c r="O1202" s="14" t="str">
        <f>VLOOKUP(N1202,Stock[#Data],2,FALSE)</f>
        <v>ဇေယျဝတီ Red</v>
      </c>
      <c r="P1202" s="44">
        <f>VLOOKUP(N1202,Stock[#Data],3,FALSE)</f>
        <v>0.64</v>
      </c>
      <c r="Q1202" s="3">
        <f>VLOOKUP(N1202,Stock[#Data],4,FALSE)</f>
        <v>14</v>
      </c>
      <c r="R1202" s="11"/>
      <c r="S1202" s="45">
        <f>IFERROR(Table4[[#This Row],[Bottle]]/Table4[[#This Row],[ပါဝင်မှု]]+Table4[[#This Row],[SalesPK]],0)</f>
        <v>50</v>
      </c>
      <c r="T1202" s="12">
        <v>50</v>
      </c>
      <c r="U1202" s="10">
        <f>Table4[[#This Row],[ပါဝင်မှု]]*Table4[[#This Row],[SalesPK]]+Table4[[#This Row],[Bottle]]</f>
        <v>700</v>
      </c>
      <c r="V1202" s="10">
        <f>Table4[[#This Row],[SalesBot]]*Table4[[#This Row],[ML]]</f>
        <v>448</v>
      </c>
      <c r="W1202" s="1">
        <f>VLOOKUP(N1202,Stock[#Data],6,FALSE)</f>
        <v>1350</v>
      </c>
      <c r="X1202" s="8">
        <f>+Table4[[#This Row],[SalesBot]]*Table4[[#This Row],[နှုံး]]</f>
        <v>945000</v>
      </c>
      <c r="Y1202" s="12"/>
      <c r="Z1202" s="12"/>
      <c r="AA1202" s="12"/>
      <c r="AB1202" s="9"/>
      <c r="AC1202" s="12"/>
      <c r="AD1202" s="9"/>
      <c r="AE1202" s="12"/>
      <c r="AF120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1202" s="24"/>
      <c r="AH1202" s="266"/>
      <c r="AI1202" s="264"/>
      <c r="AJ1202" s="264"/>
      <c r="AK1202" s="270"/>
      <c r="AL1202" s="270"/>
      <c r="AM1202" s="271"/>
      <c r="AN1202" s="272"/>
      <c r="AO1202" s="273"/>
      <c r="AP1202" s="268"/>
      <c r="AQ1202" s="268"/>
      <c r="AR1202" s="268"/>
    </row>
    <row r="1203" spans="1:44" s="16" customFormat="1" x14ac:dyDescent="0.5">
      <c r="A1203" s="3">
        <f t="shared" si="210"/>
        <v>2026</v>
      </c>
      <c r="B1203" s="8">
        <f t="shared" si="211"/>
        <v>3</v>
      </c>
      <c r="C1203" s="6">
        <v>46091</v>
      </c>
      <c r="D1203" s="15">
        <f t="shared" ca="1" si="212"/>
        <v>46097</v>
      </c>
      <c r="E1203" s="15" t="str">
        <f t="shared" ca="1" si="213"/>
        <v>0-Months</v>
      </c>
      <c r="F1203" s="8" t="str">
        <f>VLOOKUP(N1203,Stock[#Data],5,FALSE)</f>
        <v>BE</v>
      </c>
      <c r="G1203" s="82" t="s">
        <v>1721</v>
      </c>
      <c r="H1203" s="15"/>
      <c r="I1203" s="7" t="s">
        <v>95</v>
      </c>
      <c r="J1203" s="8" t="str">
        <f>VLOOKUP(I1203,Customers[#Data],2,FALSE)</f>
        <v>ကျော်စတား</v>
      </c>
      <c r="K1203" s="15" t="str">
        <f>VLOOKUP(I1203,Customers[#Data],4,FALSE)</f>
        <v>Yay</v>
      </c>
      <c r="L1203" s="15" t="str">
        <f>VLOOKUP(I1203,Customers[#Data],5,FALSE)</f>
        <v>WholeSales</v>
      </c>
      <c r="M1203" s="7" t="s">
        <v>7</v>
      </c>
      <c r="N1203" s="7" t="s">
        <v>517</v>
      </c>
      <c r="O1203" s="14" t="str">
        <f>VLOOKUP(N1203,Stock[#Data],2,FALSE)</f>
        <v>ဇေယျဝတီ Red (1 Liter) 30%</v>
      </c>
      <c r="P1203" s="44">
        <f>VLOOKUP(N1203,Stock[#Data],3,FALSE)</f>
        <v>1</v>
      </c>
      <c r="Q1203" s="3">
        <f>VLOOKUP(N1203,Stock[#Data],4,FALSE)</f>
        <v>12</v>
      </c>
      <c r="R1203" s="11"/>
      <c r="S1203" s="45">
        <f>IFERROR(Table4[[#This Row],[Bottle]]/Table4[[#This Row],[ပါဝင်မှု]]+Table4[[#This Row],[SalesPK]],0)</f>
        <v>150</v>
      </c>
      <c r="T1203" s="12">
        <v>150</v>
      </c>
      <c r="U1203" s="10">
        <f>Table4[[#This Row],[ပါဝင်မှု]]*Table4[[#This Row],[SalesPK]]+Table4[[#This Row],[Bottle]]</f>
        <v>1800</v>
      </c>
      <c r="V1203" s="10">
        <f>Table4[[#This Row],[SalesBot]]*Table4[[#This Row],[ML]]</f>
        <v>1800</v>
      </c>
      <c r="W1203" s="1">
        <f>VLOOKUP(N1203,Stock[#Data],6,FALSE)</f>
        <v>1710</v>
      </c>
      <c r="X1203" s="8">
        <f>+Table4[[#This Row],[SalesBot]]*Table4[[#This Row],[နှုံး]]</f>
        <v>3078000</v>
      </c>
      <c r="Y1203" s="12"/>
      <c r="Z1203" s="12"/>
      <c r="AA1203" s="12"/>
      <c r="AB1203" s="9"/>
      <c r="AC1203" s="12"/>
      <c r="AD1203" s="9"/>
      <c r="AE1203" s="12"/>
      <c r="AF120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3078000</v>
      </c>
      <c r="AG1203" s="24"/>
      <c r="AH1203" s="266"/>
      <c r="AI1203" s="264"/>
      <c r="AJ1203" s="264"/>
      <c r="AK1203" s="270"/>
      <c r="AL1203" s="270"/>
      <c r="AM1203" s="271"/>
      <c r="AN1203" s="272"/>
      <c r="AO1203" s="273"/>
      <c r="AP1203" s="268"/>
      <c r="AQ1203" s="268"/>
      <c r="AR1203" s="268"/>
    </row>
    <row r="1204" spans="1:44" s="16" customFormat="1" x14ac:dyDescent="0.5">
      <c r="A1204" s="3">
        <f t="shared" ref="A1204:A1257" si="214">YEAR(C1204)</f>
        <v>2026</v>
      </c>
      <c r="B1204" s="8">
        <f t="shared" ref="B1204:B1257" si="215">MONTH(C1204)</f>
        <v>3</v>
      </c>
      <c r="C1204" s="6">
        <v>46092</v>
      </c>
      <c r="D1204" s="15">
        <f t="shared" ref="D1204:D1257" ca="1" si="216">TODAY()</f>
        <v>46097</v>
      </c>
      <c r="E1204" s="15" t="str">
        <f t="shared" ref="E1204:E1257" ca="1" si="217">DATEDIF(C1204,D1204,"M")&amp;"-Months"</f>
        <v>0-Months</v>
      </c>
      <c r="F1204" s="8" t="str">
        <f>VLOOKUP(N1204,Stock[#Data],5,FALSE)</f>
        <v>BE</v>
      </c>
      <c r="G1204" s="82" t="s">
        <v>1722</v>
      </c>
      <c r="H1204" s="15"/>
      <c r="I1204" s="7" t="s">
        <v>544</v>
      </c>
      <c r="J1204" s="8" t="str">
        <f>VLOOKUP(I1204,Customers[#Data],2,FALSE)</f>
        <v>မစန္ဒာ</v>
      </c>
      <c r="K1204" s="15" t="str">
        <f>VLOOKUP(I1204,Customers[#Data],4,FALSE)</f>
        <v>Hpa-an</v>
      </c>
      <c r="L1204" s="15" t="str">
        <f>VLOOKUP(I1204,Customers[#Data],5,FALSE)</f>
        <v>SemiWholeSales</v>
      </c>
      <c r="M1204" s="7" t="s">
        <v>6</v>
      </c>
      <c r="N1204" s="7" t="s">
        <v>514</v>
      </c>
      <c r="O1204" s="14" t="str">
        <f>VLOOKUP(N1204,Stock[#Data],2,FALSE)</f>
        <v>ဇေယျဝတီ Red</v>
      </c>
      <c r="P1204" s="44">
        <f>VLOOKUP(N1204,Stock[#Data],3,FALSE)</f>
        <v>0.64</v>
      </c>
      <c r="Q1204" s="3">
        <f>VLOOKUP(N1204,Stock[#Data],4,FALSE)</f>
        <v>14</v>
      </c>
      <c r="R1204" s="11"/>
      <c r="S1204" s="45">
        <f>IFERROR(Table4[[#This Row],[Bottle]]/Table4[[#This Row],[ပါဝင်မှု]]+Table4[[#This Row],[SalesPK]],0)</f>
        <v>150</v>
      </c>
      <c r="T1204" s="12">
        <v>150</v>
      </c>
      <c r="U1204" s="10">
        <f>Table4[[#This Row],[ပါဝင်မှု]]*Table4[[#This Row],[SalesPK]]+Table4[[#This Row],[Bottle]]</f>
        <v>2100</v>
      </c>
      <c r="V1204" s="10">
        <f>Table4[[#This Row],[SalesBot]]*Table4[[#This Row],[ML]]</f>
        <v>1344</v>
      </c>
      <c r="W1204" s="1">
        <f>VLOOKUP(N1204,Stock[#Data],6,FALSE)</f>
        <v>1350</v>
      </c>
      <c r="X1204" s="8">
        <f>+Table4[[#This Row],[SalesBot]]*Table4[[#This Row],[နှုံး]]</f>
        <v>2835000</v>
      </c>
      <c r="Y1204" s="12"/>
      <c r="Z1204" s="12"/>
      <c r="AA1204" s="12"/>
      <c r="AB1204" s="9"/>
      <c r="AC1204" s="12"/>
      <c r="AD1204" s="9"/>
      <c r="AE1204" s="12"/>
      <c r="AF120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2835000</v>
      </c>
      <c r="AG1204" s="24"/>
      <c r="AH1204" s="266"/>
      <c r="AI1204" s="264"/>
      <c r="AJ1204" s="264"/>
      <c r="AK1204" s="270"/>
      <c r="AL1204" s="270"/>
      <c r="AM1204" s="271"/>
      <c r="AN1204" s="272"/>
      <c r="AO1204" s="273"/>
      <c r="AP1204" s="268"/>
      <c r="AQ1204" s="268"/>
      <c r="AR1204" s="268"/>
    </row>
    <row r="1205" spans="1:44" s="16" customFormat="1" x14ac:dyDescent="0.5">
      <c r="A1205" s="3">
        <f t="shared" si="214"/>
        <v>2026</v>
      </c>
      <c r="B1205" s="8">
        <f t="shared" si="215"/>
        <v>3</v>
      </c>
      <c r="C1205" s="6">
        <v>46092</v>
      </c>
      <c r="D1205" s="15">
        <f t="shared" ca="1" si="216"/>
        <v>46097</v>
      </c>
      <c r="E1205" s="15" t="str">
        <f t="shared" ca="1" si="217"/>
        <v>0-Months</v>
      </c>
      <c r="F1205" s="8" t="str">
        <f>VLOOKUP(N1205,Stock[#Data],5,FALSE)</f>
        <v>BE</v>
      </c>
      <c r="G1205" s="82" t="s">
        <v>1722</v>
      </c>
      <c r="H1205" s="15"/>
      <c r="I1205" s="7" t="s">
        <v>544</v>
      </c>
      <c r="J1205" s="8" t="str">
        <f>VLOOKUP(I1205,Customers[#Data],2,FALSE)</f>
        <v>မစန္ဒာ</v>
      </c>
      <c r="K1205" s="15" t="str">
        <f>VLOOKUP(I1205,Customers[#Data],4,FALSE)</f>
        <v>Hpa-an</v>
      </c>
      <c r="L1205" s="15" t="str">
        <f>VLOOKUP(I1205,Customers[#Data],5,FALSE)</f>
        <v>SemiWholeSales</v>
      </c>
      <c r="M1205" s="7" t="s">
        <v>6</v>
      </c>
      <c r="N1205" s="7" t="s">
        <v>517</v>
      </c>
      <c r="O1205" s="14" t="str">
        <f>VLOOKUP(N1205,Stock[#Data],2,FALSE)</f>
        <v>ဇေယျဝတီ Red (1 Liter) 30%</v>
      </c>
      <c r="P1205" s="44">
        <f>VLOOKUP(N1205,Stock[#Data],3,FALSE)</f>
        <v>1</v>
      </c>
      <c r="Q1205" s="3">
        <f>VLOOKUP(N1205,Stock[#Data],4,FALSE)</f>
        <v>12</v>
      </c>
      <c r="R1205" s="11"/>
      <c r="S1205" s="45">
        <f>IFERROR(Table4[[#This Row],[Bottle]]/Table4[[#This Row],[ပါဝင်မှု]]+Table4[[#This Row],[SalesPK]],0)</f>
        <v>50</v>
      </c>
      <c r="T1205" s="12">
        <v>50</v>
      </c>
      <c r="U1205" s="10">
        <f>Table4[[#This Row],[ပါဝင်မှု]]*Table4[[#This Row],[SalesPK]]+Table4[[#This Row],[Bottle]]</f>
        <v>600</v>
      </c>
      <c r="V1205" s="10">
        <f>Table4[[#This Row],[SalesBot]]*Table4[[#This Row],[ML]]</f>
        <v>600</v>
      </c>
      <c r="W1205" s="1">
        <f>VLOOKUP(N1205,Stock[#Data],6,FALSE)</f>
        <v>1710</v>
      </c>
      <c r="X1205" s="8">
        <f>+Table4[[#This Row],[SalesBot]]*Table4[[#This Row],[နှုံး]]</f>
        <v>1026000</v>
      </c>
      <c r="Y1205" s="12"/>
      <c r="Z1205" s="12"/>
      <c r="AA1205" s="12"/>
      <c r="AB1205" s="9"/>
      <c r="AC1205" s="12"/>
      <c r="AD1205" s="9"/>
      <c r="AE1205" s="12"/>
      <c r="AF120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1205" s="24"/>
      <c r="AH1205" s="266"/>
      <c r="AI1205" s="264"/>
      <c r="AJ1205" s="264"/>
      <c r="AK1205" s="270"/>
      <c r="AL1205" s="270"/>
      <c r="AM1205" s="271"/>
      <c r="AN1205" s="272"/>
      <c r="AO1205" s="273"/>
      <c r="AP1205" s="268"/>
      <c r="AQ1205" s="268"/>
      <c r="AR1205" s="268"/>
    </row>
    <row r="1206" spans="1:44" s="16" customFormat="1" x14ac:dyDescent="0.5">
      <c r="A1206" s="3">
        <f t="shared" si="214"/>
        <v>2026</v>
      </c>
      <c r="B1206" s="8">
        <f t="shared" si="215"/>
        <v>3</v>
      </c>
      <c r="C1206" s="6">
        <v>46092</v>
      </c>
      <c r="D1206" s="15">
        <f t="shared" ca="1" si="216"/>
        <v>46097</v>
      </c>
      <c r="E1206" s="15" t="str">
        <f t="shared" ca="1" si="217"/>
        <v>0-Months</v>
      </c>
      <c r="F1206" s="8" t="str">
        <f>VLOOKUP(N1206,Stock[#Data],5,FALSE)</f>
        <v>BE</v>
      </c>
      <c r="G1206" s="82" t="s">
        <v>1723</v>
      </c>
      <c r="H1206" s="15"/>
      <c r="I1206" s="7" t="s">
        <v>1279</v>
      </c>
      <c r="J1206" s="8" t="str">
        <f>VLOOKUP(I1206,Customers[#Data],2,FALSE)</f>
        <v>ဟိန်း</v>
      </c>
      <c r="K1206" s="15" t="str">
        <f>VLOOKUP(I1206,Customers[#Data],4,FALSE)</f>
        <v>Maw La Myaing</v>
      </c>
      <c r="L1206" s="15" t="str">
        <f>VLOOKUP(I1206,Customers[#Data],5,FALSE)</f>
        <v>Van Sales</v>
      </c>
      <c r="M1206" s="7" t="s">
        <v>6</v>
      </c>
      <c r="N1206" s="7" t="s">
        <v>518</v>
      </c>
      <c r="O1206" s="14" t="str">
        <f>VLOOKUP(N1206,Stock[#Data],2,FALSE)</f>
        <v>"ဇေ" ကော်ဘူး (1 Liter)</v>
      </c>
      <c r="P1206" s="44">
        <f>VLOOKUP(N1206,Stock[#Data],3,FALSE)</f>
        <v>1</v>
      </c>
      <c r="Q1206" s="3">
        <f>VLOOKUP(N1206,Stock[#Data],4,FALSE)</f>
        <v>12</v>
      </c>
      <c r="R1206" s="11"/>
      <c r="S1206" s="45">
        <f>IFERROR(Table4[[#This Row],[Bottle]]/Table4[[#This Row],[ပါဝင်မှု]]+Table4[[#This Row],[SalesPK]],0)</f>
        <v>10</v>
      </c>
      <c r="T1206" s="12">
        <v>10</v>
      </c>
      <c r="U1206" s="10">
        <f>Table4[[#This Row],[ပါဝင်မှု]]*Table4[[#This Row],[SalesPK]]+Table4[[#This Row],[Bottle]]</f>
        <v>120</v>
      </c>
      <c r="V1206" s="10">
        <f>Table4[[#This Row],[SalesBot]]*Table4[[#This Row],[ML]]</f>
        <v>120</v>
      </c>
      <c r="W1206" s="1">
        <f>VLOOKUP(N1206,Stock[#Data],6,FALSE)</f>
        <v>1675</v>
      </c>
      <c r="X1206" s="8">
        <f>+Table4[[#This Row],[SalesBot]]*Table4[[#This Row],[နှုံး]]</f>
        <v>201000</v>
      </c>
      <c r="Y1206" s="12"/>
      <c r="Z1206" s="12"/>
      <c r="AA1206" s="12"/>
      <c r="AB1206" s="9"/>
      <c r="AC1206" s="12"/>
      <c r="AD1206" s="9"/>
      <c r="AE1206" s="12"/>
      <c r="AF120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201000</v>
      </c>
      <c r="AG1206" s="24"/>
      <c r="AH1206" s="266"/>
      <c r="AI1206" s="264"/>
      <c r="AJ1206" s="264"/>
      <c r="AK1206" s="270"/>
      <c r="AL1206" s="270"/>
      <c r="AM1206" s="271"/>
      <c r="AN1206" s="272"/>
      <c r="AO1206" s="273"/>
      <c r="AP1206" s="268"/>
      <c r="AQ1206" s="268"/>
      <c r="AR1206" s="268"/>
    </row>
    <row r="1207" spans="1:44" s="16" customFormat="1" x14ac:dyDescent="0.5">
      <c r="A1207" s="3">
        <f t="shared" si="214"/>
        <v>2026</v>
      </c>
      <c r="B1207" s="8">
        <f t="shared" si="215"/>
        <v>3</v>
      </c>
      <c r="C1207" s="6">
        <v>46092</v>
      </c>
      <c r="D1207" s="15">
        <f t="shared" ca="1" si="216"/>
        <v>46097</v>
      </c>
      <c r="E1207" s="15" t="str">
        <f t="shared" ca="1" si="217"/>
        <v>0-Months</v>
      </c>
      <c r="F1207" s="8" t="str">
        <f>VLOOKUP(N1207,Stock[#Data],5,FALSE)</f>
        <v>BE</v>
      </c>
      <c r="G1207" s="82" t="s">
        <v>1723</v>
      </c>
      <c r="H1207" s="15"/>
      <c r="I1207" s="7" t="s">
        <v>1365</v>
      </c>
      <c r="J1207" s="8" t="str">
        <f>VLOOKUP(I1207,Customers[#Data],2,FALSE)</f>
        <v>ရွှေတော်ဝင်</v>
      </c>
      <c r="K1207" s="15" t="str">
        <f>VLOOKUP(I1207,Customers[#Data],4,FALSE)</f>
        <v>Maw La Myaing</v>
      </c>
      <c r="L1207" s="15" t="str">
        <f>VLOOKUP(I1207,Customers[#Data],5,FALSE)</f>
        <v>Van Sales</v>
      </c>
      <c r="M1207" s="7" t="s">
        <v>6</v>
      </c>
      <c r="N1207" s="7" t="s">
        <v>518</v>
      </c>
      <c r="O1207" s="14" t="str">
        <f>VLOOKUP(N1207,Stock[#Data],2,FALSE)</f>
        <v>"ဇေ" ကော်ဘူး (1 Liter)</v>
      </c>
      <c r="P1207" s="44">
        <f>VLOOKUP(N1207,Stock[#Data],3,FALSE)</f>
        <v>1</v>
      </c>
      <c r="Q1207" s="3">
        <f>VLOOKUP(N1207,Stock[#Data],4,FALSE)</f>
        <v>12</v>
      </c>
      <c r="R1207" s="11"/>
      <c r="S1207" s="45">
        <f>IFERROR(Table4[[#This Row],[Bottle]]/Table4[[#This Row],[ပါဝင်မှု]]+Table4[[#This Row],[SalesPK]],0)</f>
        <v>1</v>
      </c>
      <c r="T1207" s="12">
        <v>1</v>
      </c>
      <c r="U1207" s="10">
        <f>Table4[[#This Row],[ပါဝင်မှု]]*Table4[[#This Row],[SalesPK]]+Table4[[#This Row],[Bottle]]</f>
        <v>12</v>
      </c>
      <c r="V1207" s="10">
        <f>Table4[[#This Row],[SalesBot]]*Table4[[#This Row],[ML]]</f>
        <v>12</v>
      </c>
      <c r="W1207" s="1">
        <f>VLOOKUP(N1207,Stock[#Data],6,FALSE)</f>
        <v>1675</v>
      </c>
      <c r="X1207" s="8">
        <f>+Table4[[#This Row],[SalesBot]]*Table4[[#This Row],[နှုံး]]</f>
        <v>20100</v>
      </c>
      <c r="Y1207" s="12"/>
      <c r="Z1207" s="12"/>
      <c r="AA1207" s="12"/>
      <c r="AB1207" s="9"/>
      <c r="AC1207" s="12"/>
      <c r="AD1207" s="9"/>
      <c r="AE1207" s="12"/>
      <c r="AF120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</v>
      </c>
      <c r="AG1207" s="24"/>
      <c r="AH1207" s="266"/>
      <c r="AI1207" s="264"/>
      <c r="AJ1207" s="264"/>
      <c r="AK1207" s="270"/>
      <c r="AL1207" s="270"/>
      <c r="AM1207" s="271"/>
      <c r="AN1207" s="272"/>
      <c r="AO1207" s="273"/>
      <c r="AP1207" s="268"/>
      <c r="AQ1207" s="268"/>
      <c r="AR1207" s="268"/>
    </row>
    <row r="1208" spans="1:44" s="16" customFormat="1" x14ac:dyDescent="0.5">
      <c r="A1208" s="3">
        <f t="shared" si="214"/>
        <v>2026</v>
      </c>
      <c r="B1208" s="8">
        <f t="shared" si="215"/>
        <v>3</v>
      </c>
      <c r="C1208" s="6">
        <v>46092</v>
      </c>
      <c r="D1208" s="15">
        <f t="shared" ca="1" si="216"/>
        <v>46097</v>
      </c>
      <c r="E1208" s="15" t="str">
        <f t="shared" ca="1" si="217"/>
        <v>0-Months</v>
      </c>
      <c r="F1208" s="8" t="str">
        <f>VLOOKUP(N1208,Stock[#Data],5,FALSE)</f>
        <v>BE</v>
      </c>
      <c r="G1208" s="82" t="s">
        <v>1724</v>
      </c>
      <c r="H1208" s="15"/>
      <c r="I1208" s="7" t="s">
        <v>106</v>
      </c>
      <c r="J1208" s="8" t="str">
        <f>VLOOKUP(I1208,Customers[#Data],2,FALSE)</f>
        <v>ကိုမျိုးအောင်</v>
      </c>
      <c r="K1208" s="15" t="str">
        <f>VLOOKUP(I1208,Customers[#Data],4,FALSE)</f>
        <v>Maw La Myaing</v>
      </c>
      <c r="L1208" s="15" t="str">
        <f>VLOOKUP(I1208,Customers[#Data],5,FALSE)</f>
        <v>WholeSales</v>
      </c>
      <c r="M1208" s="7" t="s">
        <v>6</v>
      </c>
      <c r="N1208" s="7" t="s">
        <v>518</v>
      </c>
      <c r="O1208" s="14" t="str">
        <f>VLOOKUP(N1208,Stock[#Data],2,FALSE)</f>
        <v>"ဇေ" ကော်ဘူး (1 Liter)</v>
      </c>
      <c r="P1208" s="44">
        <f>VLOOKUP(N1208,Stock[#Data],3,FALSE)</f>
        <v>1</v>
      </c>
      <c r="Q1208" s="3">
        <f>VLOOKUP(N1208,Stock[#Data],4,FALSE)</f>
        <v>12</v>
      </c>
      <c r="R1208" s="11"/>
      <c r="S1208" s="45">
        <f>IFERROR(Table4[[#This Row],[Bottle]]/Table4[[#This Row],[ပါဝင်မှု]]+Table4[[#This Row],[SalesPK]],0)</f>
        <v>5</v>
      </c>
      <c r="T1208" s="12">
        <v>5</v>
      </c>
      <c r="U1208" s="10">
        <f>Table4[[#This Row],[ပါဝင်မှု]]*Table4[[#This Row],[SalesPK]]+Table4[[#This Row],[Bottle]]</f>
        <v>60</v>
      </c>
      <c r="V1208" s="10">
        <f>Table4[[#This Row],[SalesBot]]*Table4[[#This Row],[ML]]</f>
        <v>60</v>
      </c>
      <c r="W1208" s="1">
        <f>VLOOKUP(N1208,Stock[#Data],6,FALSE)</f>
        <v>1675</v>
      </c>
      <c r="X1208" s="8">
        <f>+Table4[[#This Row],[SalesBot]]*Table4[[#This Row],[နှုံး]]</f>
        <v>100500</v>
      </c>
      <c r="Y1208" s="12"/>
      <c r="Z1208" s="12"/>
      <c r="AA1208" s="12"/>
      <c r="AB1208" s="9"/>
      <c r="AC1208" s="12"/>
      <c r="AD1208" s="9"/>
      <c r="AE1208" s="12"/>
      <c r="AF120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1208" s="24"/>
      <c r="AH1208" s="266"/>
      <c r="AI1208" s="264"/>
      <c r="AJ1208" s="264"/>
      <c r="AK1208" s="270"/>
      <c r="AL1208" s="270"/>
      <c r="AM1208" s="271"/>
      <c r="AN1208" s="272"/>
      <c r="AO1208" s="273"/>
      <c r="AP1208" s="268"/>
      <c r="AQ1208" s="268"/>
      <c r="AR1208" s="268"/>
    </row>
    <row r="1209" spans="1:44" s="16" customFormat="1" x14ac:dyDescent="0.5">
      <c r="A1209" s="3">
        <f t="shared" si="214"/>
        <v>2026</v>
      </c>
      <c r="B1209" s="8">
        <f t="shared" si="215"/>
        <v>3</v>
      </c>
      <c r="C1209" s="6">
        <v>46092</v>
      </c>
      <c r="D1209" s="15">
        <f t="shared" ca="1" si="216"/>
        <v>46097</v>
      </c>
      <c r="E1209" s="15" t="str">
        <f t="shared" ca="1" si="217"/>
        <v>0-Months</v>
      </c>
      <c r="F1209" s="8" t="str">
        <f>VLOOKUP(N1209,Stock[#Data],5,FALSE)</f>
        <v>BE</v>
      </c>
      <c r="G1209" s="82" t="s">
        <v>1725</v>
      </c>
      <c r="H1209" s="15"/>
      <c r="I1209" s="7" t="s">
        <v>271</v>
      </c>
      <c r="J1209" s="8" t="str">
        <f>VLOOKUP(I1209,Customers[#Data],2,FALSE)</f>
        <v>ကိုအောင်</v>
      </c>
      <c r="K1209" s="15" t="str">
        <f>VLOOKUP(I1209,Customers[#Data],4,FALSE)</f>
        <v>Maw La Myaing</v>
      </c>
      <c r="L1209" s="15" t="str">
        <f>VLOOKUP(I1209,Customers[#Data],5,FALSE)</f>
        <v>Van Sales</v>
      </c>
      <c r="M1209" s="7" t="s">
        <v>6</v>
      </c>
      <c r="N1209" s="7" t="s">
        <v>516</v>
      </c>
      <c r="O1209" s="14" t="str">
        <f>VLOOKUP(N1209,Stock[#Data],2,FALSE)</f>
        <v>ဇေ Vodka</v>
      </c>
      <c r="P1209" s="44">
        <f>VLOOKUP(N1209,Stock[#Data],3,FALSE)</f>
        <v>0.64</v>
      </c>
      <c r="Q1209" s="3">
        <f>VLOOKUP(N1209,Stock[#Data],4,FALSE)</f>
        <v>14</v>
      </c>
      <c r="R1209" s="11"/>
      <c r="S1209" s="45">
        <f>IFERROR(Table4[[#This Row],[Bottle]]/Table4[[#This Row],[ပါဝင်မှု]]+Table4[[#This Row],[SalesPK]],0)</f>
        <v>5</v>
      </c>
      <c r="T1209" s="12">
        <v>5</v>
      </c>
      <c r="U1209" s="10">
        <f>Table4[[#This Row],[ပါဝင်မှု]]*Table4[[#This Row],[SalesPK]]+Table4[[#This Row],[Bottle]]</f>
        <v>70</v>
      </c>
      <c r="V1209" s="10">
        <f>Table4[[#This Row],[SalesBot]]*Table4[[#This Row],[ML]]</f>
        <v>44.800000000000004</v>
      </c>
      <c r="W1209" s="1">
        <f>VLOOKUP(N1209,Stock[#Data],6,FALSE)</f>
        <v>1400</v>
      </c>
      <c r="X1209" s="8">
        <f>+Table4[[#This Row],[SalesBot]]*Table4[[#This Row],[နှုံး]]</f>
        <v>98000</v>
      </c>
      <c r="Y1209" s="12"/>
      <c r="Z1209" s="12"/>
      <c r="AA1209" s="12"/>
      <c r="AB1209" s="9"/>
      <c r="AC1209" s="12"/>
      <c r="AD1209" s="9"/>
      <c r="AE1209" s="12"/>
      <c r="AF120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</v>
      </c>
      <c r="AG1209" s="24"/>
      <c r="AH1209" s="266"/>
      <c r="AI1209" s="264"/>
      <c r="AJ1209" s="264"/>
      <c r="AK1209" s="270"/>
      <c r="AL1209" s="270"/>
      <c r="AM1209" s="271"/>
      <c r="AN1209" s="272"/>
      <c r="AO1209" s="273"/>
      <c r="AP1209" s="268"/>
      <c r="AQ1209" s="268"/>
      <c r="AR1209" s="268"/>
    </row>
    <row r="1210" spans="1:44" s="16" customFormat="1" x14ac:dyDescent="0.5">
      <c r="A1210" s="3">
        <f t="shared" si="214"/>
        <v>2026</v>
      </c>
      <c r="B1210" s="8">
        <f t="shared" si="215"/>
        <v>3</v>
      </c>
      <c r="C1210" s="6">
        <v>46092</v>
      </c>
      <c r="D1210" s="15">
        <f t="shared" ca="1" si="216"/>
        <v>46097</v>
      </c>
      <c r="E1210" s="15" t="str">
        <f t="shared" ca="1" si="217"/>
        <v>0-Months</v>
      </c>
      <c r="F1210" s="8" t="str">
        <f>VLOOKUP(N1210,Stock[#Data],5,FALSE)</f>
        <v>BE</v>
      </c>
      <c r="G1210" s="82" t="s">
        <v>1725</v>
      </c>
      <c r="H1210" s="15"/>
      <c r="I1210" s="7" t="s">
        <v>271</v>
      </c>
      <c r="J1210" s="8" t="str">
        <f>VLOOKUP(I1210,Customers[#Data],2,FALSE)</f>
        <v>ကိုအောင်</v>
      </c>
      <c r="K1210" s="15" t="str">
        <f>VLOOKUP(I1210,Customers[#Data],4,FALSE)</f>
        <v>Maw La Myaing</v>
      </c>
      <c r="L1210" s="15" t="str">
        <f>VLOOKUP(I1210,Customers[#Data],5,FALSE)</f>
        <v>Van Sales</v>
      </c>
      <c r="M1210" s="7" t="s">
        <v>6</v>
      </c>
      <c r="N1210" s="7" t="s">
        <v>518</v>
      </c>
      <c r="O1210" s="14" t="str">
        <f>VLOOKUP(N1210,Stock[#Data],2,FALSE)</f>
        <v>"ဇေ" ကော်ဘူး (1 Liter)</v>
      </c>
      <c r="P1210" s="44">
        <f>VLOOKUP(N1210,Stock[#Data],3,FALSE)</f>
        <v>1</v>
      </c>
      <c r="Q1210" s="3">
        <f>VLOOKUP(N1210,Stock[#Data],4,FALSE)</f>
        <v>12</v>
      </c>
      <c r="R1210" s="11"/>
      <c r="S1210" s="45">
        <f>IFERROR(Table4[[#This Row],[Bottle]]/Table4[[#This Row],[ပါဝင်မှု]]+Table4[[#This Row],[SalesPK]],0)</f>
        <v>1</v>
      </c>
      <c r="T1210" s="12">
        <v>1</v>
      </c>
      <c r="U1210" s="10">
        <f>Table4[[#This Row],[ပါဝင်မှု]]*Table4[[#This Row],[SalesPK]]+Table4[[#This Row],[Bottle]]</f>
        <v>12</v>
      </c>
      <c r="V1210" s="10">
        <f>Table4[[#This Row],[SalesBot]]*Table4[[#This Row],[ML]]</f>
        <v>12</v>
      </c>
      <c r="W1210" s="1">
        <f>VLOOKUP(N1210,Stock[#Data],6,FALSE)</f>
        <v>1675</v>
      </c>
      <c r="X1210" s="8">
        <f>+Table4[[#This Row],[SalesBot]]*Table4[[#This Row],[နှုံး]]</f>
        <v>20100</v>
      </c>
      <c r="Y1210" s="12"/>
      <c r="Z1210" s="12"/>
      <c r="AA1210" s="12"/>
      <c r="AB1210" s="9"/>
      <c r="AC1210" s="12"/>
      <c r="AD1210" s="9"/>
      <c r="AE1210" s="12"/>
      <c r="AF121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</v>
      </c>
      <c r="AG1210" s="24"/>
      <c r="AH1210" s="266"/>
      <c r="AI1210" s="264"/>
      <c r="AJ1210" s="264"/>
      <c r="AK1210" s="270"/>
      <c r="AL1210" s="270"/>
      <c r="AM1210" s="271"/>
      <c r="AN1210" s="272"/>
      <c r="AO1210" s="273"/>
      <c r="AP1210" s="268"/>
      <c r="AQ1210" s="268"/>
      <c r="AR1210" s="268"/>
    </row>
    <row r="1211" spans="1:44" s="16" customFormat="1" x14ac:dyDescent="0.5">
      <c r="A1211" s="3">
        <f t="shared" si="214"/>
        <v>2026</v>
      </c>
      <c r="B1211" s="8">
        <f t="shared" si="215"/>
        <v>3</v>
      </c>
      <c r="C1211" s="6">
        <v>46092</v>
      </c>
      <c r="D1211" s="15">
        <f t="shared" ca="1" si="216"/>
        <v>46097</v>
      </c>
      <c r="E1211" s="15" t="str">
        <f t="shared" ca="1" si="217"/>
        <v>0-Months</v>
      </c>
      <c r="F1211" s="8" t="str">
        <f>VLOOKUP(N1211,Stock[#Data],5,FALSE)</f>
        <v>BE</v>
      </c>
      <c r="G1211" s="82" t="s">
        <v>1726</v>
      </c>
      <c r="H1211" s="15"/>
      <c r="I1211" s="7" t="s">
        <v>1727</v>
      </c>
      <c r="J1211" s="8" t="str">
        <f>VLOOKUP(I1211,Customers[#Data],2,FALSE)</f>
        <v>ဟင်္သာမြိုင်</v>
      </c>
      <c r="K1211" s="15" t="str">
        <f>VLOOKUP(I1211,Customers[#Data],4,FALSE)</f>
        <v>Maw La Myaing</v>
      </c>
      <c r="L1211" s="15" t="str">
        <f>VLOOKUP(I1211,Customers[#Data],5,FALSE)</f>
        <v>Van Sales</v>
      </c>
      <c r="M1211" s="7" t="s">
        <v>6</v>
      </c>
      <c r="N1211" s="7" t="s">
        <v>518</v>
      </c>
      <c r="O1211" s="14" t="str">
        <f>VLOOKUP(N1211,Stock[#Data],2,FALSE)</f>
        <v>"ဇေ" ကော်ဘူး (1 Liter)</v>
      </c>
      <c r="P1211" s="44">
        <f>VLOOKUP(N1211,Stock[#Data],3,FALSE)</f>
        <v>1</v>
      </c>
      <c r="Q1211" s="3">
        <f>VLOOKUP(N1211,Stock[#Data],4,FALSE)</f>
        <v>12</v>
      </c>
      <c r="R1211" s="11"/>
      <c r="S1211" s="45">
        <f>IFERROR(Table4[[#This Row],[Bottle]]/Table4[[#This Row],[ပါဝင်မှု]]+Table4[[#This Row],[SalesPK]],0)</f>
        <v>1</v>
      </c>
      <c r="T1211" s="12">
        <v>1</v>
      </c>
      <c r="U1211" s="10">
        <f>Table4[[#This Row],[ပါဝင်မှု]]*Table4[[#This Row],[SalesPK]]+Table4[[#This Row],[Bottle]]</f>
        <v>12</v>
      </c>
      <c r="V1211" s="10">
        <f>Table4[[#This Row],[SalesBot]]*Table4[[#This Row],[ML]]</f>
        <v>12</v>
      </c>
      <c r="W1211" s="1">
        <f>VLOOKUP(N1211,Stock[#Data],6,FALSE)</f>
        <v>1675</v>
      </c>
      <c r="X1211" s="8">
        <f>+Table4[[#This Row],[SalesBot]]*Table4[[#This Row],[နှုံး]]</f>
        <v>20100</v>
      </c>
      <c r="Y1211" s="12"/>
      <c r="Z1211" s="12"/>
      <c r="AA1211" s="12"/>
      <c r="AB1211" s="9"/>
      <c r="AC1211" s="12"/>
      <c r="AD1211" s="9"/>
      <c r="AE1211" s="12"/>
      <c r="AF121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20100</v>
      </c>
      <c r="AG1211" s="24"/>
      <c r="AH1211" s="266"/>
      <c r="AI1211" s="264"/>
      <c r="AJ1211" s="264"/>
      <c r="AK1211" s="270"/>
      <c r="AL1211" s="270"/>
      <c r="AM1211" s="271"/>
      <c r="AN1211" s="272"/>
      <c r="AO1211" s="273"/>
      <c r="AP1211" s="268"/>
      <c r="AQ1211" s="268"/>
      <c r="AR1211" s="268"/>
    </row>
    <row r="1212" spans="1:44" s="16" customFormat="1" x14ac:dyDescent="0.5">
      <c r="A1212" s="3">
        <f t="shared" si="214"/>
        <v>2026</v>
      </c>
      <c r="B1212" s="8">
        <f t="shared" si="215"/>
        <v>3</v>
      </c>
      <c r="C1212" s="6">
        <v>46092</v>
      </c>
      <c r="D1212" s="15">
        <f t="shared" ca="1" si="216"/>
        <v>46097</v>
      </c>
      <c r="E1212" s="15" t="str">
        <f t="shared" ca="1" si="217"/>
        <v>0-Months</v>
      </c>
      <c r="F1212" s="8" t="str">
        <f>VLOOKUP(N1212,Stock[#Data],5,FALSE)</f>
        <v>BE</v>
      </c>
      <c r="G1212" s="82" t="s">
        <v>1729</v>
      </c>
      <c r="H1212" s="15"/>
      <c r="I1212" s="7" t="s">
        <v>587</v>
      </c>
      <c r="J1212" s="8" t="str">
        <f>VLOOKUP(I1212,Customers[#Data],2,FALSE)</f>
        <v>သပြေ</v>
      </c>
      <c r="K1212" s="15" t="str">
        <f>VLOOKUP(I1212,Customers[#Data],4,FALSE)</f>
        <v>Maw La Myaing</v>
      </c>
      <c r="L1212" s="15" t="str">
        <f>VLOOKUP(I1212,Customers[#Data],5,FALSE)</f>
        <v>Van Sales</v>
      </c>
      <c r="M1212" s="7" t="s">
        <v>6</v>
      </c>
      <c r="N1212" s="7" t="s">
        <v>518</v>
      </c>
      <c r="O1212" s="14" t="str">
        <f>VLOOKUP(N1212,Stock[#Data],2,FALSE)</f>
        <v>"ဇေ" ကော်ဘူး (1 Liter)</v>
      </c>
      <c r="P1212" s="44">
        <f>VLOOKUP(N1212,Stock[#Data],3,FALSE)</f>
        <v>1</v>
      </c>
      <c r="Q1212" s="3">
        <f>VLOOKUP(N1212,Stock[#Data],4,FALSE)</f>
        <v>12</v>
      </c>
      <c r="R1212" s="11"/>
      <c r="S1212" s="45">
        <f>IFERROR(Table4[[#This Row],[Bottle]]/Table4[[#This Row],[ပါဝင်မှု]]+Table4[[#This Row],[SalesPK]],0)</f>
        <v>2</v>
      </c>
      <c r="T1212" s="12">
        <v>2</v>
      </c>
      <c r="U1212" s="10">
        <f>Table4[[#This Row],[ပါဝင်မှု]]*Table4[[#This Row],[SalesPK]]+Table4[[#This Row],[Bottle]]</f>
        <v>24</v>
      </c>
      <c r="V1212" s="10">
        <f>Table4[[#This Row],[SalesBot]]*Table4[[#This Row],[ML]]</f>
        <v>24</v>
      </c>
      <c r="W1212" s="1">
        <f>VLOOKUP(N1212,Stock[#Data],6,FALSE)</f>
        <v>1675</v>
      </c>
      <c r="X1212" s="8">
        <f>+Table4[[#This Row],[SalesBot]]*Table4[[#This Row],[နှုံး]]</f>
        <v>40200</v>
      </c>
      <c r="Y1212" s="12"/>
      <c r="Z1212" s="12"/>
      <c r="AA1212" s="12"/>
      <c r="AB1212" s="9"/>
      <c r="AC1212" s="12"/>
      <c r="AD1212" s="9"/>
      <c r="AE1212" s="12"/>
      <c r="AF121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40200</v>
      </c>
      <c r="AG1212" s="24"/>
      <c r="AH1212" s="266"/>
      <c r="AI1212" s="264"/>
      <c r="AJ1212" s="264"/>
      <c r="AK1212" s="270"/>
      <c r="AL1212" s="270"/>
      <c r="AM1212" s="271"/>
      <c r="AN1212" s="272"/>
      <c r="AO1212" s="273"/>
      <c r="AP1212" s="268"/>
      <c r="AQ1212" s="268"/>
      <c r="AR1212" s="268"/>
    </row>
    <row r="1213" spans="1:44" s="16" customFormat="1" x14ac:dyDescent="0.5">
      <c r="A1213" s="3">
        <f t="shared" si="214"/>
        <v>2026</v>
      </c>
      <c r="B1213" s="8">
        <f t="shared" si="215"/>
        <v>3</v>
      </c>
      <c r="C1213" s="6">
        <v>46092</v>
      </c>
      <c r="D1213" s="15">
        <f t="shared" ca="1" si="216"/>
        <v>46097</v>
      </c>
      <c r="E1213" s="15" t="str">
        <f t="shared" ca="1" si="217"/>
        <v>0-Months</v>
      </c>
      <c r="F1213" s="8" t="str">
        <f>VLOOKUP(N1213,Stock[#Data],5,FALSE)</f>
        <v>BE</v>
      </c>
      <c r="G1213" s="82" t="s">
        <v>1730</v>
      </c>
      <c r="H1213" s="15"/>
      <c r="I1213" s="7" t="s">
        <v>376</v>
      </c>
      <c r="J1213" s="8" t="str">
        <f>VLOOKUP(I1213,Customers[#Data],2,FALSE)</f>
        <v>Feeling Store</v>
      </c>
      <c r="K1213" s="15" t="str">
        <f>VLOOKUP(I1213,Customers[#Data],4,FALSE)</f>
        <v>Maw La Myaing</v>
      </c>
      <c r="L1213" s="15" t="str">
        <f>VLOOKUP(I1213,Customers[#Data],5,FALSE)</f>
        <v>Van Sales</v>
      </c>
      <c r="M1213" s="7" t="s">
        <v>6</v>
      </c>
      <c r="N1213" s="7" t="s">
        <v>518</v>
      </c>
      <c r="O1213" s="14" t="str">
        <f>VLOOKUP(N1213,Stock[#Data],2,FALSE)</f>
        <v>"ဇေ" ကော်ဘူး (1 Liter)</v>
      </c>
      <c r="P1213" s="44">
        <f>VLOOKUP(N1213,Stock[#Data],3,FALSE)</f>
        <v>1</v>
      </c>
      <c r="Q1213" s="3">
        <f>VLOOKUP(N1213,Stock[#Data],4,FALSE)</f>
        <v>12</v>
      </c>
      <c r="R1213" s="11"/>
      <c r="S1213" s="45">
        <f>IFERROR(Table4[[#This Row],[Bottle]]/Table4[[#This Row],[ပါဝင်မှု]]+Table4[[#This Row],[SalesPK]],0)</f>
        <v>2</v>
      </c>
      <c r="T1213" s="12">
        <v>2</v>
      </c>
      <c r="U1213" s="10">
        <f>Table4[[#This Row],[ပါဝင်မှု]]*Table4[[#This Row],[SalesPK]]+Table4[[#This Row],[Bottle]]</f>
        <v>24</v>
      </c>
      <c r="V1213" s="10">
        <f>Table4[[#This Row],[SalesBot]]*Table4[[#This Row],[ML]]</f>
        <v>24</v>
      </c>
      <c r="W1213" s="1">
        <f>VLOOKUP(N1213,Stock[#Data],6,FALSE)</f>
        <v>1675</v>
      </c>
      <c r="X1213" s="8">
        <f>+Table4[[#This Row],[SalesBot]]*Table4[[#This Row],[နှုံး]]</f>
        <v>40200</v>
      </c>
      <c r="Y1213" s="12"/>
      <c r="Z1213" s="12"/>
      <c r="AA1213" s="12"/>
      <c r="AB1213" s="9"/>
      <c r="AC1213" s="12"/>
      <c r="AD1213" s="9"/>
      <c r="AE1213" s="12"/>
      <c r="AF121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40200</v>
      </c>
      <c r="AG1213" s="24"/>
      <c r="AH1213" s="266"/>
      <c r="AI1213" s="264"/>
      <c r="AJ1213" s="264"/>
      <c r="AK1213" s="270"/>
      <c r="AL1213" s="270"/>
      <c r="AM1213" s="271"/>
      <c r="AN1213" s="272"/>
      <c r="AO1213" s="273"/>
      <c r="AP1213" s="268"/>
      <c r="AQ1213" s="268"/>
      <c r="AR1213" s="268"/>
    </row>
    <row r="1214" spans="1:44" s="16" customFormat="1" x14ac:dyDescent="0.5">
      <c r="A1214" s="3">
        <f t="shared" si="214"/>
        <v>2026</v>
      </c>
      <c r="B1214" s="8">
        <f t="shared" si="215"/>
        <v>3</v>
      </c>
      <c r="C1214" s="6">
        <v>46092</v>
      </c>
      <c r="D1214" s="15">
        <f t="shared" ca="1" si="216"/>
        <v>46097</v>
      </c>
      <c r="E1214" s="15" t="str">
        <f t="shared" ca="1" si="217"/>
        <v>0-Months</v>
      </c>
      <c r="F1214" s="8" t="str">
        <f>VLOOKUP(N1214,Stock[#Data],5,FALSE)</f>
        <v>BE</v>
      </c>
      <c r="G1214" s="82" t="s">
        <v>1730</v>
      </c>
      <c r="H1214" s="15"/>
      <c r="I1214" s="7" t="s">
        <v>376</v>
      </c>
      <c r="J1214" s="8" t="str">
        <f>VLOOKUP(I1214,Customers[#Data],2,FALSE)</f>
        <v>Feeling Store</v>
      </c>
      <c r="K1214" s="15" t="str">
        <f>VLOOKUP(I1214,Customers[#Data],4,FALSE)</f>
        <v>Maw La Myaing</v>
      </c>
      <c r="L1214" s="15" t="str">
        <f>VLOOKUP(I1214,Customers[#Data],5,FALSE)</f>
        <v>Van Sales</v>
      </c>
      <c r="M1214" s="7" t="s">
        <v>6</v>
      </c>
      <c r="N1214" s="7" t="s">
        <v>522</v>
      </c>
      <c r="O1214" s="14" t="str">
        <f>VLOOKUP(N1214,Stock[#Data],2,FALSE)</f>
        <v>ဒဂုံမန်ကျည်း ကော်ဘူး (1 Liter)</v>
      </c>
      <c r="P1214" s="44">
        <f>VLOOKUP(N1214,Stock[#Data],3,FALSE)</f>
        <v>1</v>
      </c>
      <c r="Q1214" s="3">
        <f>VLOOKUP(N1214,Stock[#Data],4,FALSE)</f>
        <v>12</v>
      </c>
      <c r="R1214" s="11"/>
      <c r="S1214" s="45">
        <f>IFERROR(Table4[[#This Row],[Bottle]]/Table4[[#This Row],[ပါဝင်မှု]]+Table4[[#This Row],[SalesPK]],0)</f>
        <v>1</v>
      </c>
      <c r="T1214" s="12">
        <v>1</v>
      </c>
      <c r="U1214" s="10">
        <f>Table4[[#This Row],[ပါဝင်မှု]]*Table4[[#This Row],[SalesPK]]+Table4[[#This Row],[Bottle]]</f>
        <v>12</v>
      </c>
      <c r="V1214" s="10">
        <f>Table4[[#This Row],[SalesBot]]*Table4[[#This Row],[ML]]</f>
        <v>12</v>
      </c>
      <c r="W1214" s="1">
        <f>VLOOKUP(N1214,Stock[#Data],6,FALSE)</f>
        <v>1600</v>
      </c>
      <c r="X1214" s="8">
        <f>+Table4[[#This Row],[SalesBot]]*Table4[[#This Row],[နှုံး]]</f>
        <v>19200</v>
      </c>
      <c r="Y1214" s="12"/>
      <c r="Z1214" s="12"/>
      <c r="AA1214" s="12"/>
      <c r="AB1214" s="9"/>
      <c r="AC1214" s="12"/>
      <c r="AD1214" s="9"/>
      <c r="AE1214" s="12"/>
      <c r="AF121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214" s="24"/>
      <c r="AH1214" s="266"/>
      <c r="AI1214" s="264"/>
      <c r="AJ1214" s="264"/>
      <c r="AK1214" s="270"/>
      <c r="AL1214" s="270"/>
      <c r="AM1214" s="271"/>
      <c r="AN1214" s="272"/>
      <c r="AO1214" s="273"/>
      <c r="AP1214" s="268"/>
      <c r="AQ1214" s="268"/>
      <c r="AR1214" s="268"/>
    </row>
    <row r="1215" spans="1:44" s="16" customFormat="1" x14ac:dyDescent="0.5">
      <c r="A1215" s="3">
        <f t="shared" si="214"/>
        <v>2026</v>
      </c>
      <c r="B1215" s="8">
        <f t="shared" si="215"/>
        <v>3</v>
      </c>
      <c r="C1215" s="6">
        <v>46092</v>
      </c>
      <c r="D1215" s="15">
        <f t="shared" ca="1" si="216"/>
        <v>46097</v>
      </c>
      <c r="E1215" s="15" t="str">
        <f t="shared" ca="1" si="217"/>
        <v>0-Months</v>
      </c>
      <c r="F1215" s="8" t="str">
        <f>VLOOKUP(N1215,Stock[#Data],5,FALSE)</f>
        <v>BE</v>
      </c>
      <c r="G1215" s="82" t="s">
        <v>1731</v>
      </c>
      <c r="H1215" s="15"/>
      <c r="I1215" s="7" t="s">
        <v>1368</v>
      </c>
      <c r="J1215" s="8" t="str">
        <f>VLOOKUP(I1215,Customers[#Data],2,FALSE)</f>
        <v>ရွှေလှိုင်ဘွား</v>
      </c>
      <c r="K1215" s="15" t="str">
        <f>VLOOKUP(I1215,Customers[#Data],4,FALSE)</f>
        <v>Maw La Myaing</v>
      </c>
      <c r="L1215" s="15" t="str">
        <f>VLOOKUP(I1215,Customers[#Data],5,FALSE)</f>
        <v>Van Sales</v>
      </c>
      <c r="M1215" s="7" t="s">
        <v>6</v>
      </c>
      <c r="N1215" s="7" t="s">
        <v>522</v>
      </c>
      <c r="O1215" s="14" t="str">
        <f>VLOOKUP(N1215,Stock[#Data],2,FALSE)</f>
        <v>ဒဂုံမန်ကျည်း ကော်ဘူး (1 Liter)</v>
      </c>
      <c r="P1215" s="44">
        <f>VLOOKUP(N1215,Stock[#Data],3,FALSE)</f>
        <v>1</v>
      </c>
      <c r="Q1215" s="3">
        <f>VLOOKUP(N1215,Stock[#Data],4,FALSE)</f>
        <v>12</v>
      </c>
      <c r="R1215" s="11"/>
      <c r="S1215" s="45">
        <f>IFERROR(Table4[[#This Row],[Bottle]]/Table4[[#This Row],[ပါဝင်မှု]]+Table4[[#This Row],[SalesPK]],0)</f>
        <v>1</v>
      </c>
      <c r="T1215" s="12">
        <v>1</v>
      </c>
      <c r="U1215" s="10">
        <f>Table4[[#This Row],[ပါဝင်မှု]]*Table4[[#This Row],[SalesPK]]+Table4[[#This Row],[Bottle]]</f>
        <v>12</v>
      </c>
      <c r="V1215" s="10">
        <f>Table4[[#This Row],[SalesBot]]*Table4[[#This Row],[ML]]</f>
        <v>12</v>
      </c>
      <c r="W1215" s="1">
        <f>VLOOKUP(N1215,Stock[#Data],6,FALSE)</f>
        <v>1600</v>
      </c>
      <c r="X1215" s="8">
        <f>+Table4[[#This Row],[SalesBot]]*Table4[[#This Row],[နှုံး]]</f>
        <v>19200</v>
      </c>
      <c r="Y1215" s="12"/>
      <c r="Z1215" s="12"/>
      <c r="AA1215" s="12"/>
      <c r="AB1215" s="9"/>
      <c r="AC1215" s="12"/>
      <c r="AD1215" s="9"/>
      <c r="AE1215" s="12"/>
      <c r="AF121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215" s="24"/>
      <c r="AH1215" s="266"/>
      <c r="AI1215" s="264"/>
      <c r="AJ1215" s="264"/>
      <c r="AK1215" s="270"/>
      <c r="AL1215" s="270"/>
      <c r="AM1215" s="271"/>
      <c r="AN1215" s="272"/>
      <c r="AO1215" s="273"/>
      <c r="AP1215" s="268"/>
      <c r="AQ1215" s="268"/>
      <c r="AR1215" s="268"/>
    </row>
    <row r="1216" spans="1:44" s="16" customFormat="1" x14ac:dyDescent="0.5">
      <c r="A1216" s="3">
        <f t="shared" si="214"/>
        <v>2026</v>
      </c>
      <c r="B1216" s="8">
        <f t="shared" si="215"/>
        <v>3</v>
      </c>
      <c r="C1216" s="6">
        <v>46092</v>
      </c>
      <c r="D1216" s="15">
        <f t="shared" ca="1" si="216"/>
        <v>46097</v>
      </c>
      <c r="E1216" s="15" t="str">
        <f t="shared" ca="1" si="217"/>
        <v>0-Months</v>
      </c>
      <c r="F1216" s="8" t="str">
        <f>VLOOKUP(N1216,Stock[#Data],5,FALSE)</f>
        <v>BE</v>
      </c>
      <c r="G1216" s="82" t="s">
        <v>1732</v>
      </c>
      <c r="H1216" s="15"/>
      <c r="I1216" s="7" t="s">
        <v>1733</v>
      </c>
      <c r="J1216" s="8" t="str">
        <f>VLOOKUP(I1216,Customers[#Data],2,FALSE)</f>
        <v>ကျော်ကြီး</v>
      </c>
      <c r="K1216" s="15" t="str">
        <f>VLOOKUP(I1216,Customers[#Data],4,FALSE)</f>
        <v>Maw La Myaing</v>
      </c>
      <c r="L1216" s="15">
        <f>VLOOKUP(I1216,Customers[#Data],5,FALSE)</f>
        <v>0</v>
      </c>
      <c r="M1216" s="7" t="s">
        <v>6</v>
      </c>
      <c r="N1216" s="7" t="s">
        <v>526</v>
      </c>
      <c r="O1216" s="14" t="str">
        <f>VLOOKUP(N1216,Stock[#Data],2,FALSE)</f>
        <v>ဒဂုံနာနတ်ဝိုင်</v>
      </c>
      <c r="P1216" s="44">
        <f>VLOOKUP(N1216,Stock[#Data],3,FALSE)</f>
        <v>0.64</v>
      </c>
      <c r="Q1216" s="3">
        <f>VLOOKUP(N1216,Stock[#Data],4,FALSE)</f>
        <v>14</v>
      </c>
      <c r="R1216" s="11"/>
      <c r="S1216" s="45">
        <f>IFERROR(Table4[[#This Row],[Bottle]]/Table4[[#This Row],[ပါဝင်မှု]]+Table4[[#This Row],[SalesPK]],0)</f>
        <v>1</v>
      </c>
      <c r="T1216" s="12">
        <v>1</v>
      </c>
      <c r="U1216" s="10">
        <f>Table4[[#This Row],[ပါဝင်မှု]]*Table4[[#This Row],[SalesPK]]+Table4[[#This Row],[Bottle]]</f>
        <v>14</v>
      </c>
      <c r="V1216" s="10">
        <f>Table4[[#This Row],[SalesBot]]*Table4[[#This Row],[ML]]</f>
        <v>8.9600000000000009</v>
      </c>
      <c r="W1216" s="1">
        <f>VLOOKUP(N1216,Stock[#Data],6,FALSE)</f>
        <v>1350</v>
      </c>
      <c r="X1216" s="8">
        <f>+Table4[[#This Row],[SalesBot]]*Table4[[#This Row],[နှုံး]]</f>
        <v>18900</v>
      </c>
      <c r="Y1216" s="12"/>
      <c r="Z1216" s="12"/>
      <c r="AA1216" s="12"/>
      <c r="AB1216" s="9"/>
      <c r="AC1216" s="12"/>
      <c r="AD1216" s="9"/>
      <c r="AE1216" s="12"/>
      <c r="AF121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</v>
      </c>
      <c r="AG1216" s="24"/>
      <c r="AH1216" s="266"/>
      <c r="AI1216" s="264"/>
      <c r="AJ1216" s="264"/>
      <c r="AK1216" s="270"/>
      <c r="AL1216" s="270"/>
      <c r="AM1216" s="271"/>
      <c r="AN1216" s="272"/>
      <c r="AO1216" s="273"/>
      <c r="AP1216" s="268"/>
      <c r="AQ1216" s="268"/>
      <c r="AR1216" s="268"/>
    </row>
    <row r="1217" spans="1:44" s="16" customFormat="1" x14ac:dyDescent="0.5">
      <c r="A1217" s="3">
        <f t="shared" si="214"/>
        <v>2026</v>
      </c>
      <c r="B1217" s="8">
        <f t="shared" si="215"/>
        <v>3</v>
      </c>
      <c r="C1217" s="6">
        <v>46092</v>
      </c>
      <c r="D1217" s="15">
        <f t="shared" ca="1" si="216"/>
        <v>46097</v>
      </c>
      <c r="E1217" s="15" t="str">
        <f t="shared" ca="1" si="217"/>
        <v>0-Months</v>
      </c>
      <c r="F1217" s="8" t="str">
        <f>VLOOKUP(N1217,Stock[#Data],5,FALSE)</f>
        <v>BE</v>
      </c>
      <c r="G1217" s="82" t="s">
        <v>1735</v>
      </c>
      <c r="H1217" s="15"/>
      <c r="I1217" s="7" t="s">
        <v>560</v>
      </c>
      <c r="J1217" s="8" t="str">
        <f>VLOOKUP(I1217,Customers[#Data],2,FALSE)</f>
        <v>မသန္တာ</v>
      </c>
      <c r="K1217" s="15" t="str">
        <f>VLOOKUP(I1217,Customers[#Data],4,FALSE)</f>
        <v>Maw La Myaing</v>
      </c>
      <c r="L1217" s="15" t="str">
        <f>VLOOKUP(I1217,Customers[#Data],5,FALSE)</f>
        <v>Van Sales</v>
      </c>
      <c r="M1217" s="7" t="s">
        <v>6</v>
      </c>
      <c r="N1217" s="7" t="s">
        <v>516</v>
      </c>
      <c r="O1217" s="14" t="str">
        <f>VLOOKUP(N1217,Stock[#Data],2,FALSE)</f>
        <v>ဇေ Vodka</v>
      </c>
      <c r="P1217" s="44">
        <f>VLOOKUP(N1217,Stock[#Data],3,FALSE)</f>
        <v>0.64</v>
      </c>
      <c r="Q1217" s="3">
        <f>VLOOKUP(N1217,Stock[#Data],4,FALSE)</f>
        <v>14</v>
      </c>
      <c r="R1217" s="11"/>
      <c r="S1217" s="45">
        <f>IFERROR(Table4[[#This Row],[Bottle]]/Table4[[#This Row],[ပါဝင်မှု]]+Table4[[#This Row],[SalesPK]],0)</f>
        <v>5</v>
      </c>
      <c r="T1217" s="12">
        <v>5</v>
      </c>
      <c r="U1217" s="10">
        <f>Table4[[#This Row],[ပါဝင်မှု]]*Table4[[#This Row],[SalesPK]]+Table4[[#This Row],[Bottle]]</f>
        <v>70</v>
      </c>
      <c r="V1217" s="10">
        <f>Table4[[#This Row],[SalesBot]]*Table4[[#This Row],[ML]]</f>
        <v>44.800000000000004</v>
      </c>
      <c r="W1217" s="1">
        <f>VLOOKUP(N1217,Stock[#Data],6,FALSE)</f>
        <v>1400</v>
      </c>
      <c r="X1217" s="8">
        <f>+Table4[[#This Row],[SalesBot]]*Table4[[#This Row],[နှုံး]]</f>
        <v>98000</v>
      </c>
      <c r="Y1217" s="12"/>
      <c r="Z1217" s="12"/>
      <c r="AA1217" s="12"/>
      <c r="AB1217" s="9"/>
      <c r="AC1217" s="12"/>
      <c r="AD1217" s="9"/>
      <c r="AE1217" s="12"/>
      <c r="AF121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</v>
      </c>
      <c r="AG1217" s="24"/>
      <c r="AH1217" s="266"/>
      <c r="AI1217" s="264"/>
      <c r="AJ1217" s="264"/>
      <c r="AK1217" s="270"/>
      <c r="AL1217" s="270"/>
      <c r="AM1217" s="271"/>
      <c r="AN1217" s="272"/>
      <c r="AO1217" s="273"/>
      <c r="AP1217" s="268"/>
      <c r="AQ1217" s="268"/>
      <c r="AR1217" s="268"/>
    </row>
    <row r="1218" spans="1:44" s="16" customFormat="1" x14ac:dyDescent="0.5">
      <c r="A1218" s="3">
        <f t="shared" si="214"/>
        <v>2026</v>
      </c>
      <c r="B1218" s="8">
        <f t="shared" si="215"/>
        <v>3</v>
      </c>
      <c r="C1218" s="6">
        <v>46092</v>
      </c>
      <c r="D1218" s="15">
        <f t="shared" ca="1" si="216"/>
        <v>46097</v>
      </c>
      <c r="E1218" s="15" t="str">
        <f t="shared" ca="1" si="217"/>
        <v>0-Months</v>
      </c>
      <c r="F1218" s="8" t="str">
        <f>VLOOKUP(N1218,Stock[#Data],5,FALSE)</f>
        <v>BE</v>
      </c>
      <c r="G1218" s="82" t="s">
        <v>1735</v>
      </c>
      <c r="H1218" s="15"/>
      <c r="I1218" s="7" t="s">
        <v>560</v>
      </c>
      <c r="J1218" s="8" t="str">
        <f>VLOOKUP(I1218,Customers[#Data],2,FALSE)</f>
        <v>မသန္တာ</v>
      </c>
      <c r="K1218" s="15" t="str">
        <f>VLOOKUP(I1218,Customers[#Data],4,FALSE)</f>
        <v>Maw La Myaing</v>
      </c>
      <c r="L1218" s="15" t="str">
        <f>VLOOKUP(I1218,Customers[#Data],5,FALSE)</f>
        <v>Van Sales</v>
      </c>
      <c r="M1218" s="7" t="s">
        <v>6</v>
      </c>
      <c r="N1218" s="7" t="s">
        <v>518</v>
      </c>
      <c r="O1218" s="14" t="str">
        <f>VLOOKUP(N1218,Stock[#Data],2,FALSE)</f>
        <v>"ဇေ" ကော်ဘူး (1 Liter)</v>
      </c>
      <c r="P1218" s="44">
        <f>VLOOKUP(N1218,Stock[#Data],3,FALSE)</f>
        <v>1</v>
      </c>
      <c r="Q1218" s="3">
        <f>VLOOKUP(N1218,Stock[#Data],4,FALSE)</f>
        <v>12</v>
      </c>
      <c r="R1218" s="11"/>
      <c r="S1218" s="45">
        <f>IFERROR(Table4[[#This Row],[Bottle]]/Table4[[#This Row],[ပါဝင်မှု]]+Table4[[#This Row],[SalesPK]],0)</f>
        <v>30</v>
      </c>
      <c r="T1218" s="12">
        <v>30</v>
      </c>
      <c r="U1218" s="10">
        <f>Table4[[#This Row],[ပါဝင်မှု]]*Table4[[#This Row],[SalesPK]]+Table4[[#This Row],[Bottle]]</f>
        <v>360</v>
      </c>
      <c r="V1218" s="10">
        <f>Table4[[#This Row],[SalesBot]]*Table4[[#This Row],[ML]]</f>
        <v>360</v>
      </c>
      <c r="W1218" s="1">
        <f>VLOOKUP(N1218,Stock[#Data],6,FALSE)</f>
        <v>1675</v>
      </c>
      <c r="X1218" s="8">
        <f>+Table4[[#This Row],[SalesBot]]*Table4[[#This Row],[နှုံး]]</f>
        <v>603000</v>
      </c>
      <c r="Y1218" s="12"/>
      <c r="Z1218" s="12"/>
      <c r="AA1218" s="12"/>
      <c r="AB1218" s="9"/>
      <c r="AC1218" s="12"/>
      <c r="AD1218" s="9"/>
      <c r="AE1218" s="12"/>
      <c r="AF121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603000</v>
      </c>
      <c r="AG1218" s="24"/>
      <c r="AH1218" s="266"/>
      <c r="AI1218" s="264"/>
      <c r="AJ1218" s="264"/>
      <c r="AK1218" s="270"/>
      <c r="AL1218" s="270"/>
      <c r="AM1218" s="271"/>
      <c r="AN1218" s="272"/>
      <c r="AO1218" s="273"/>
      <c r="AP1218" s="268"/>
      <c r="AQ1218" s="268"/>
      <c r="AR1218" s="268"/>
    </row>
    <row r="1219" spans="1:44" s="16" customFormat="1" x14ac:dyDescent="0.5">
      <c r="A1219" s="3">
        <f t="shared" si="214"/>
        <v>2026</v>
      </c>
      <c r="B1219" s="8">
        <f t="shared" si="215"/>
        <v>3</v>
      </c>
      <c r="C1219" s="6">
        <v>46092</v>
      </c>
      <c r="D1219" s="15">
        <f t="shared" ca="1" si="216"/>
        <v>46097</v>
      </c>
      <c r="E1219" s="15" t="str">
        <f t="shared" ca="1" si="217"/>
        <v>0-Months</v>
      </c>
      <c r="F1219" s="8" t="str">
        <f>VLOOKUP(N1219,Stock[#Data],5,FALSE)</f>
        <v>BE</v>
      </c>
      <c r="G1219" s="82" t="s">
        <v>1736</v>
      </c>
      <c r="H1219" s="15"/>
      <c r="I1219" s="7" t="s">
        <v>540</v>
      </c>
      <c r="J1219" s="8" t="str">
        <f>VLOOKUP(I1219,Customers[#Data],2,FALSE)</f>
        <v>ကိုမွန်လေး</v>
      </c>
      <c r="K1219" s="15" t="str">
        <f>VLOOKUP(I1219,Customers[#Data],4,FALSE)</f>
        <v>Yay</v>
      </c>
      <c r="L1219" s="15" t="str">
        <f>VLOOKUP(I1219,Customers[#Data],5,FALSE)</f>
        <v>SemiWholeSales</v>
      </c>
      <c r="M1219" s="7" t="s">
        <v>6</v>
      </c>
      <c r="N1219" s="7" t="s">
        <v>514</v>
      </c>
      <c r="O1219" s="14" t="str">
        <f>VLOOKUP(N1219,Stock[#Data],2,FALSE)</f>
        <v>ဇေယျဝတီ Red</v>
      </c>
      <c r="P1219" s="44">
        <f>VLOOKUP(N1219,Stock[#Data],3,FALSE)</f>
        <v>0.64</v>
      </c>
      <c r="Q1219" s="3">
        <f>VLOOKUP(N1219,Stock[#Data],4,FALSE)</f>
        <v>14</v>
      </c>
      <c r="R1219" s="11"/>
      <c r="S1219" s="45">
        <f>IFERROR(Table4[[#This Row],[Bottle]]/Table4[[#This Row],[ပါဝင်မှု]]+Table4[[#This Row],[SalesPK]],0)</f>
        <v>150</v>
      </c>
      <c r="T1219" s="12">
        <v>150</v>
      </c>
      <c r="U1219" s="10">
        <f>Table4[[#This Row],[ပါဝင်မှု]]*Table4[[#This Row],[SalesPK]]+Table4[[#This Row],[Bottle]]</f>
        <v>2100</v>
      </c>
      <c r="V1219" s="10">
        <f>Table4[[#This Row],[SalesBot]]*Table4[[#This Row],[ML]]</f>
        <v>1344</v>
      </c>
      <c r="W1219" s="1">
        <f>VLOOKUP(N1219,Stock[#Data],6,FALSE)</f>
        <v>1350</v>
      </c>
      <c r="X1219" s="8">
        <f>+Table4[[#This Row],[SalesBot]]*Table4[[#This Row],[နှုံး]]</f>
        <v>2835000</v>
      </c>
      <c r="Y1219" s="12"/>
      <c r="Z1219" s="12"/>
      <c r="AA1219" s="12"/>
      <c r="AB1219" s="9"/>
      <c r="AC1219" s="12"/>
      <c r="AD1219" s="9"/>
      <c r="AE1219" s="12"/>
      <c r="AF121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2835000</v>
      </c>
      <c r="AG1219" s="24"/>
      <c r="AH1219" s="266"/>
      <c r="AI1219" s="264"/>
      <c r="AJ1219" s="264"/>
      <c r="AK1219" s="270"/>
      <c r="AL1219" s="270"/>
      <c r="AM1219" s="271"/>
      <c r="AN1219" s="272"/>
      <c r="AO1219" s="273"/>
      <c r="AP1219" s="268"/>
      <c r="AQ1219" s="268"/>
      <c r="AR1219" s="268"/>
    </row>
    <row r="1220" spans="1:44" s="16" customFormat="1" x14ac:dyDescent="0.5">
      <c r="A1220" s="3">
        <f t="shared" si="214"/>
        <v>2026</v>
      </c>
      <c r="B1220" s="8">
        <f t="shared" si="215"/>
        <v>3</v>
      </c>
      <c r="C1220" s="6">
        <v>46092</v>
      </c>
      <c r="D1220" s="15">
        <f t="shared" ca="1" si="216"/>
        <v>46097</v>
      </c>
      <c r="E1220" s="15" t="str">
        <f t="shared" ca="1" si="217"/>
        <v>0-Months</v>
      </c>
      <c r="F1220" s="8" t="str">
        <f>VLOOKUP(N1220,Stock[#Data],5,FALSE)</f>
        <v>BE</v>
      </c>
      <c r="G1220" s="82" t="s">
        <v>1736</v>
      </c>
      <c r="H1220" s="15"/>
      <c r="I1220" s="7" t="s">
        <v>540</v>
      </c>
      <c r="J1220" s="8" t="str">
        <f>VLOOKUP(I1220,Customers[#Data],2,FALSE)</f>
        <v>ကိုမွန်လေး</v>
      </c>
      <c r="K1220" s="15" t="str">
        <f>VLOOKUP(I1220,Customers[#Data],4,FALSE)</f>
        <v>Yay</v>
      </c>
      <c r="L1220" s="15" t="str">
        <f>VLOOKUP(I1220,Customers[#Data],5,FALSE)</f>
        <v>SemiWholeSales</v>
      </c>
      <c r="M1220" s="7" t="s">
        <v>6</v>
      </c>
      <c r="N1220" s="7" t="s">
        <v>517</v>
      </c>
      <c r="O1220" s="14" t="str">
        <f>VLOOKUP(N1220,Stock[#Data],2,FALSE)</f>
        <v>ဇေယျဝတီ Red (1 Liter) 30%</v>
      </c>
      <c r="P1220" s="44">
        <f>VLOOKUP(N1220,Stock[#Data],3,FALSE)</f>
        <v>1</v>
      </c>
      <c r="Q1220" s="3">
        <f>VLOOKUP(N1220,Stock[#Data],4,FALSE)</f>
        <v>12</v>
      </c>
      <c r="R1220" s="11"/>
      <c r="S1220" s="45">
        <f>IFERROR(Table4[[#This Row],[Bottle]]/Table4[[#This Row],[ပါဝင်မှု]]+Table4[[#This Row],[SalesPK]],0)</f>
        <v>50</v>
      </c>
      <c r="T1220" s="12">
        <v>50</v>
      </c>
      <c r="U1220" s="10">
        <f>Table4[[#This Row],[ပါဝင်မှု]]*Table4[[#This Row],[SalesPK]]+Table4[[#This Row],[Bottle]]</f>
        <v>600</v>
      </c>
      <c r="V1220" s="10">
        <f>Table4[[#This Row],[SalesBot]]*Table4[[#This Row],[ML]]</f>
        <v>600</v>
      </c>
      <c r="W1220" s="1">
        <f>VLOOKUP(N1220,Stock[#Data],6,FALSE)</f>
        <v>1710</v>
      </c>
      <c r="X1220" s="8">
        <f>+Table4[[#This Row],[SalesBot]]*Table4[[#This Row],[နှုံး]]</f>
        <v>1026000</v>
      </c>
      <c r="Y1220" s="12"/>
      <c r="Z1220" s="12"/>
      <c r="AA1220" s="12"/>
      <c r="AB1220" s="9"/>
      <c r="AC1220" s="12"/>
      <c r="AD1220" s="9"/>
      <c r="AE1220" s="12"/>
      <c r="AF122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1220" s="24"/>
      <c r="AH1220" s="266"/>
      <c r="AI1220" s="264"/>
      <c r="AJ1220" s="264"/>
      <c r="AK1220" s="270"/>
      <c r="AL1220" s="270"/>
      <c r="AM1220" s="271"/>
      <c r="AN1220" s="272"/>
      <c r="AO1220" s="273"/>
      <c r="AP1220" s="268"/>
      <c r="AQ1220" s="268"/>
      <c r="AR1220" s="268"/>
    </row>
    <row r="1221" spans="1:44" s="16" customFormat="1" x14ac:dyDescent="0.5">
      <c r="A1221" s="3">
        <f t="shared" si="214"/>
        <v>2026</v>
      </c>
      <c r="B1221" s="8">
        <f t="shared" si="215"/>
        <v>3</v>
      </c>
      <c r="C1221" s="6">
        <v>46092</v>
      </c>
      <c r="D1221" s="15">
        <f t="shared" ca="1" si="216"/>
        <v>46097</v>
      </c>
      <c r="E1221" s="15" t="str">
        <f t="shared" ca="1" si="217"/>
        <v>0-Months</v>
      </c>
      <c r="F1221" s="8" t="str">
        <f>VLOOKUP(N1221,Stock[#Data],5,FALSE)</f>
        <v>BE</v>
      </c>
      <c r="G1221" s="82" t="s">
        <v>1737</v>
      </c>
      <c r="H1221" s="15"/>
      <c r="I1221" s="7" t="s">
        <v>813</v>
      </c>
      <c r="J1221" s="8" t="str">
        <f>VLOOKUP(I1221,Customers[#Data],2,FALSE)</f>
        <v>မနှင်းပွင့်ဖြူ</v>
      </c>
      <c r="K1221" s="15" t="str">
        <f>VLOOKUP(I1221,Customers[#Data],4,FALSE)</f>
        <v>Yay</v>
      </c>
      <c r="L1221" s="15" t="str">
        <f>VLOOKUP(I1221,Customers[#Data],5,FALSE)</f>
        <v>Van Sales</v>
      </c>
      <c r="M1221" s="7" t="s">
        <v>6</v>
      </c>
      <c r="N1221" s="7" t="s">
        <v>517</v>
      </c>
      <c r="O1221" s="14" t="str">
        <f>VLOOKUP(N1221,Stock[#Data],2,FALSE)</f>
        <v>ဇေယျဝတီ Red (1 Liter) 30%</v>
      </c>
      <c r="P1221" s="44">
        <f>VLOOKUP(N1221,Stock[#Data],3,FALSE)</f>
        <v>1</v>
      </c>
      <c r="Q1221" s="3">
        <f>VLOOKUP(N1221,Stock[#Data],4,FALSE)</f>
        <v>12</v>
      </c>
      <c r="R1221" s="11"/>
      <c r="S1221" s="45">
        <f>IFERROR(Table4[[#This Row],[Bottle]]/Table4[[#This Row],[ပါဝင်မှု]]+Table4[[#This Row],[SalesPK]],0)</f>
        <v>200</v>
      </c>
      <c r="T1221" s="12">
        <v>200</v>
      </c>
      <c r="U1221" s="10">
        <f>Table4[[#This Row],[ပါဝင်မှု]]*Table4[[#This Row],[SalesPK]]+Table4[[#This Row],[Bottle]]</f>
        <v>2400</v>
      </c>
      <c r="V1221" s="10">
        <f>Table4[[#This Row],[SalesBot]]*Table4[[#This Row],[ML]]</f>
        <v>2400</v>
      </c>
      <c r="W1221" s="1">
        <f>VLOOKUP(N1221,Stock[#Data],6,FALSE)</f>
        <v>1710</v>
      </c>
      <c r="X1221" s="8">
        <f>+Table4[[#This Row],[SalesBot]]*Table4[[#This Row],[နှုံး]]</f>
        <v>4104000</v>
      </c>
      <c r="Y1221" s="12"/>
      <c r="Z1221" s="12"/>
      <c r="AA1221" s="12"/>
      <c r="AB1221" s="9"/>
      <c r="AC1221" s="12"/>
      <c r="AD1221" s="9"/>
      <c r="AE1221" s="12"/>
      <c r="AF122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4104000</v>
      </c>
      <c r="AG1221" s="24"/>
      <c r="AH1221" s="266"/>
      <c r="AI1221" s="264"/>
      <c r="AJ1221" s="264"/>
      <c r="AK1221" s="270"/>
      <c r="AL1221" s="270"/>
      <c r="AM1221" s="271"/>
      <c r="AN1221" s="272"/>
      <c r="AO1221" s="273"/>
      <c r="AP1221" s="268"/>
      <c r="AQ1221" s="268"/>
      <c r="AR1221" s="268"/>
    </row>
    <row r="1222" spans="1:44" s="16" customFormat="1" x14ac:dyDescent="0.5">
      <c r="A1222" s="3">
        <f t="shared" si="214"/>
        <v>2026</v>
      </c>
      <c r="B1222" s="8">
        <f t="shared" si="215"/>
        <v>3</v>
      </c>
      <c r="C1222" s="6">
        <v>46092</v>
      </c>
      <c r="D1222" s="15">
        <f t="shared" ca="1" si="216"/>
        <v>46097</v>
      </c>
      <c r="E1222" s="15" t="str">
        <f t="shared" ca="1" si="217"/>
        <v>0-Months</v>
      </c>
      <c r="F1222" s="8" t="str">
        <f>VLOOKUP(N1222,Stock[#Data],5,FALSE)</f>
        <v>BE</v>
      </c>
      <c r="G1222" s="82" t="s">
        <v>1738</v>
      </c>
      <c r="H1222" s="15"/>
      <c r="I1222" s="7" t="s">
        <v>538</v>
      </c>
      <c r="J1222" s="8" t="str">
        <f>VLOOKUP(I1222,Customers[#Data],2,FALSE)</f>
        <v>ဒေါ်နွယ်နွယ်ရီ(ရွှေတောင်ကြား)</v>
      </c>
      <c r="K1222" s="15" t="str">
        <f>VLOOKUP(I1222,Customers[#Data],4,FALSE)</f>
        <v>Yay</v>
      </c>
      <c r="L1222" s="15" t="str">
        <f>VLOOKUP(I1222,Customers[#Data],5,FALSE)</f>
        <v>WholeSales</v>
      </c>
      <c r="M1222" s="7" t="s">
        <v>6</v>
      </c>
      <c r="N1222" s="7" t="s">
        <v>517</v>
      </c>
      <c r="O1222" s="14" t="str">
        <f>VLOOKUP(N1222,Stock[#Data],2,FALSE)</f>
        <v>ဇေယျဝတီ Red (1 Liter) 30%</v>
      </c>
      <c r="P1222" s="44">
        <f>VLOOKUP(N1222,Stock[#Data],3,FALSE)</f>
        <v>1</v>
      </c>
      <c r="Q1222" s="3">
        <f>VLOOKUP(N1222,Stock[#Data],4,FALSE)</f>
        <v>12</v>
      </c>
      <c r="R1222" s="11"/>
      <c r="S1222" s="45">
        <f>IFERROR(Table4[[#This Row],[Bottle]]/Table4[[#This Row],[ပါဝင်မှု]]+Table4[[#This Row],[SalesPK]],0)</f>
        <v>100</v>
      </c>
      <c r="T1222" s="12">
        <v>100</v>
      </c>
      <c r="U1222" s="10">
        <f>Table4[[#This Row],[ပါဝင်မှု]]*Table4[[#This Row],[SalesPK]]+Table4[[#This Row],[Bottle]]</f>
        <v>1200</v>
      </c>
      <c r="V1222" s="10">
        <f>Table4[[#This Row],[SalesBot]]*Table4[[#This Row],[ML]]</f>
        <v>1200</v>
      </c>
      <c r="W1222" s="1">
        <f>VLOOKUP(N1222,Stock[#Data],6,FALSE)</f>
        <v>1710</v>
      </c>
      <c r="X1222" s="8">
        <f>+Table4[[#This Row],[SalesBot]]*Table4[[#This Row],[နှုံး]]</f>
        <v>2052000</v>
      </c>
      <c r="Y1222" s="12"/>
      <c r="Z1222" s="12"/>
      <c r="AA1222" s="12"/>
      <c r="AB1222" s="9"/>
      <c r="AC1222" s="12"/>
      <c r="AD1222" s="9"/>
      <c r="AE1222" s="12"/>
      <c r="AF122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222" s="24"/>
      <c r="AH1222" s="266"/>
      <c r="AI1222" s="264"/>
      <c r="AJ1222" s="264"/>
      <c r="AK1222" s="270"/>
      <c r="AL1222" s="270"/>
      <c r="AM1222" s="271"/>
      <c r="AN1222" s="272"/>
      <c r="AO1222" s="273"/>
      <c r="AP1222" s="268"/>
      <c r="AQ1222" s="268"/>
      <c r="AR1222" s="268"/>
    </row>
    <row r="1223" spans="1:44" s="16" customFormat="1" x14ac:dyDescent="0.5">
      <c r="A1223" s="3">
        <f t="shared" si="214"/>
        <v>2026</v>
      </c>
      <c r="B1223" s="8">
        <f t="shared" si="215"/>
        <v>3</v>
      </c>
      <c r="C1223" s="6">
        <v>46092</v>
      </c>
      <c r="D1223" s="15">
        <f t="shared" ca="1" si="216"/>
        <v>46097</v>
      </c>
      <c r="E1223" s="15" t="str">
        <f t="shared" ca="1" si="217"/>
        <v>0-Months</v>
      </c>
      <c r="F1223" s="8" t="str">
        <f>VLOOKUP(N1223,Stock[#Data],5,FALSE)</f>
        <v>BE</v>
      </c>
      <c r="G1223" s="82" t="s">
        <v>1739</v>
      </c>
      <c r="H1223" s="15"/>
      <c r="I1223" s="7" t="s">
        <v>546</v>
      </c>
      <c r="J1223" s="8" t="str">
        <f>VLOOKUP(I1223,Customers[#Data],2,FALSE)</f>
        <v>မသီတာ၀င်း</v>
      </c>
      <c r="K1223" s="15" t="str">
        <f>VLOOKUP(I1223,Customers[#Data],4,FALSE)</f>
        <v>Mudon</v>
      </c>
      <c r="L1223" s="15" t="str">
        <f>VLOOKUP(I1223,Customers[#Data],5,FALSE)</f>
        <v>SemiWholeSales</v>
      </c>
      <c r="M1223" s="7" t="s">
        <v>6</v>
      </c>
      <c r="N1223" s="7" t="s">
        <v>520</v>
      </c>
      <c r="O1223" s="14" t="str">
        <f>VLOOKUP(N1223,Stock[#Data],2,FALSE)</f>
        <v>ဇေယျဝတီ  Red(ပု)</v>
      </c>
      <c r="P1223" s="44">
        <f>VLOOKUP(N1223,Stock[#Data],3,FALSE)</f>
        <v>0.64</v>
      </c>
      <c r="Q1223" s="3">
        <f>VLOOKUP(N1223,Stock[#Data],4,FALSE)</f>
        <v>14</v>
      </c>
      <c r="R1223" s="11"/>
      <c r="S1223" s="45">
        <f>IFERROR(Table4[[#This Row],[Bottle]]/Table4[[#This Row],[ပါဝင်မှု]]+Table4[[#This Row],[SalesPK]],0)</f>
        <v>50</v>
      </c>
      <c r="T1223" s="12">
        <v>50</v>
      </c>
      <c r="U1223" s="10">
        <f>Table4[[#This Row],[ပါဝင်မှု]]*Table4[[#This Row],[SalesPK]]+Table4[[#This Row],[Bottle]]</f>
        <v>700</v>
      </c>
      <c r="V1223" s="10">
        <f>Table4[[#This Row],[SalesBot]]*Table4[[#This Row],[ML]]</f>
        <v>448</v>
      </c>
      <c r="W1223" s="1">
        <f>VLOOKUP(N1223,Stock[#Data],6,FALSE)</f>
        <v>1800</v>
      </c>
      <c r="X1223" s="8">
        <f>+Table4[[#This Row],[SalesBot]]*Table4[[#This Row],[နှုံး]]</f>
        <v>1260000</v>
      </c>
      <c r="Y1223" s="12"/>
      <c r="Z1223" s="12"/>
      <c r="AA1223" s="12"/>
      <c r="AB1223" s="9"/>
      <c r="AC1223" s="12"/>
      <c r="AD1223" s="9"/>
      <c r="AE1223" s="12"/>
      <c r="AF122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1223" s="24"/>
      <c r="AH1223" s="266"/>
      <c r="AI1223" s="264"/>
      <c r="AJ1223" s="264"/>
      <c r="AK1223" s="270"/>
      <c r="AL1223" s="270"/>
      <c r="AM1223" s="271"/>
      <c r="AN1223" s="272"/>
      <c r="AO1223" s="273"/>
      <c r="AP1223" s="268"/>
      <c r="AQ1223" s="268"/>
      <c r="AR1223" s="268"/>
    </row>
    <row r="1224" spans="1:44" s="16" customFormat="1" x14ac:dyDescent="0.5">
      <c r="A1224" s="3">
        <f t="shared" si="214"/>
        <v>2026</v>
      </c>
      <c r="B1224" s="8">
        <f t="shared" si="215"/>
        <v>3</v>
      </c>
      <c r="C1224" s="6">
        <v>46092</v>
      </c>
      <c r="D1224" s="15">
        <f t="shared" ca="1" si="216"/>
        <v>46097</v>
      </c>
      <c r="E1224" s="15" t="str">
        <f t="shared" ca="1" si="217"/>
        <v>0-Months</v>
      </c>
      <c r="F1224" s="8" t="str">
        <f>VLOOKUP(N1224,Stock[#Data],5,FALSE)</f>
        <v>BE</v>
      </c>
      <c r="G1224" s="82" t="s">
        <v>1740</v>
      </c>
      <c r="H1224" s="15"/>
      <c r="I1224" s="7" t="s">
        <v>922</v>
      </c>
      <c r="J1224" s="8" t="str">
        <f>VLOOKUP(I1224,Customers[#Data],2,FALSE)</f>
        <v>မိုးဆမ်း</v>
      </c>
      <c r="K1224" s="15" t="str">
        <f>VLOOKUP(I1224,Customers[#Data],4,FALSE)</f>
        <v>Mudon</v>
      </c>
      <c r="L1224" s="15" t="str">
        <f>VLOOKUP(I1224,Customers[#Data],5,FALSE)</f>
        <v>SemiWholeSales</v>
      </c>
      <c r="M1224" s="7" t="s">
        <v>6</v>
      </c>
      <c r="N1224" s="7" t="s">
        <v>520</v>
      </c>
      <c r="O1224" s="14" t="str">
        <f>VLOOKUP(N1224,Stock[#Data],2,FALSE)</f>
        <v>ဇေယျဝတီ  Red(ပု)</v>
      </c>
      <c r="P1224" s="44">
        <f>VLOOKUP(N1224,Stock[#Data],3,FALSE)</f>
        <v>0.64</v>
      </c>
      <c r="Q1224" s="3">
        <f>VLOOKUP(N1224,Stock[#Data],4,FALSE)</f>
        <v>14</v>
      </c>
      <c r="R1224" s="11"/>
      <c r="S1224" s="45">
        <f>IFERROR(Table4[[#This Row],[Bottle]]/Table4[[#This Row],[ပါဝင်မှု]]+Table4[[#This Row],[SalesPK]],0)</f>
        <v>50</v>
      </c>
      <c r="T1224" s="12">
        <v>50</v>
      </c>
      <c r="U1224" s="10">
        <f>Table4[[#This Row],[ပါဝင်မှု]]*Table4[[#This Row],[SalesPK]]+Table4[[#This Row],[Bottle]]</f>
        <v>700</v>
      </c>
      <c r="V1224" s="10">
        <f>Table4[[#This Row],[SalesBot]]*Table4[[#This Row],[ML]]</f>
        <v>448</v>
      </c>
      <c r="W1224" s="1">
        <f>VLOOKUP(N1224,Stock[#Data],6,FALSE)</f>
        <v>1800</v>
      </c>
      <c r="X1224" s="8">
        <f>+Table4[[#This Row],[SalesBot]]*Table4[[#This Row],[နှုံး]]</f>
        <v>1260000</v>
      </c>
      <c r="Y1224" s="12"/>
      <c r="Z1224" s="12"/>
      <c r="AA1224" s="12"/>
      <c r="AB1224" s="9"/>
      <c r="AC1224" s="12"/>
      <c r="AD1224" s="9"/>
      <c r="AE1224" s="12"/>
      <c r="AF122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1224" s="24"/>
      <c r="AH1224" s="266"/>
      <c r="AI1224" s="264"/>
      <c r="AJ1224" s="264"/>
      <c r="AK1224" s="270"/>
      <c r="AL1224" s="270"/>
      <c r="AM1224" s="271"/>
      <c r="AN1224" s="272"/>
      <c r="AO1224" s="273"/>
      <c r="AP1224" s="268"/>
      <c r="AQ1224" s="268"/>
      <c r="AR1224" s="268"/>
    </row>
    <row r="1225" spans="1:44" s="16" customFormat="1" x14ac:dyDescent="0.5">
      <c r="A1225" s="3">
        <f t="shared" si="214"/>
        <v>2026</v>
      </c>
      <c r="B1225" s="8">
        <f t="shared" si="215"/>
        <v>3</v>
      </c>
      <c r="C1225" s="6">
        <v>46092</v>
      </c>
      <c r="D1225" s="15">
        <f t="shared" ca="1" si="216"/>
        <v>46097</v>
      </c>
      <c r="E1225" s="15" t="str">
        <f t="shared" ca="1" si="217"/>
        <v>0-Months</v>
      </c>
      <c r="F1225" s="8" t="str">
        <f>VLOOKUP(N1225,Stock[#Data],5,FALSE)</f>
        <v>BE</v>
      </c>
      <c r="G1225" s="82" t="s">
        <v>1741</v>
      </c>
      <c r="H1225" s="15"/>
      <c r="I1225" s="7" t="s">
        <v>491</v>
      </c>
      <c r="J1225" s="8" t="str">
        <f>VLOOKUP(I1225,Customers[#Data],2,FALSE)</f>
        <v>ကိုဇော်လေး</v>
      </c>
      <c r="K1225" s="15" t="str">
        <f>VLOOKUP(I1225,Customers[#Data],4,FALSE)</f>
        <v>Mudon</v>
      </c>
      <c r="L1225" s="15" t="str">
        <f>VLOOKUP(I1225,Customers[#Data],5,FALSE)</f>
        <v>Van Sales</v>
      </c>
      <c r="M1225" s="7" t="s">
        <v>6</v>
      </c>
      <c r="N1225" s="7" t="s">
        <v>520</v>
      </c>
      <c r="O1225" s="14" t="str">
        <f>VLOOKUP(N1225,Stock[#Data],2,FALSE)</f>
        <v>ဇေယျဝတီ  Red(ပု)</v>
      </c>
      <c r="P1225" s="44">
        <f>VLOOKUP(N1225,Stock[#Data],3,FALSE)</f>
        <v>0.64</v>
      </c>
      <c r="Q1225" s="3">
        <f>VLOOKUP(N1225,Stock[#Data],4,FALSE)</f>
        <v>14</v>
      </c>
      <c r="R1225" s="11"/>
      <c r="S1225" s="45">
        <f>IFERROR(Table4[[#This Row],[Bottle]]/Table4[[#This Row],[ပါဝင်မှု]]+Table4[[#This Row],[SalesPK]],0)</f>
        <v>20</v>
      </c>
      <c r="T1225" s="12">
        <v>20</v>
      </c>
      <c r="U1225" s="10">
        <f>Table4[[#This Row],[ပါဝင်မှု]]*Table4[[#This Row],[SalesPK]]+Table4[[#This Row],[Bottle]]</f>
        <v>280</v>
      </c>
      <c r="V1225" s="10">
        <f>Table4[[#This Row],[SalesBot]]*Table4[[#This Row],[ML]]</f>
        <v>179.20000000000002</v>
      </c>
      <c r="W1225" s="1">
        <f>VLOOKUP(N1225,Stock[#Data],6,FALSE)</f>
        <v>1800</v>
      </c>
      <c r="X1225" s="8">
        <f>+Table4[[#This Row],[SalesBot]]*Table4[[#This Row],[နှုံး]]</f>
        <v>504000</v>
      </c>
      <c r="Y1225" s="12"/>
      <c r="Z1225" s="12"/>
      <c r="AA1225" s="12"/>
      <c r="AB1225" s="9"/>
      <c r="AC1225" s="12"/>
      <c r="AD1225" s="9"/>
      <c r="AE1225" s="12"/>
      <c r="AF122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504000</v>
      </c>
      <c r="AG1225" s="24"/>
      <c r="AH1225" s="266"/>
      <c r="AI1225" s="264"/>
      <c r="AJ1225" s="264"/>
      <c r="AK1225" s="270"/>
      <c r="AL1225" s="270"/>
      <c r="AM1225" s="271"/>
      <c r="AN1225" s="272"/>
      <c r="AO1225" s="273"/>
      <c r="AP1225" s="268"/>
      <c r="AQ1225" s="268"/>
      <c r="AR1225" s="268"/>
    </row>
    <row r="1226" spans="1:44" s="16" customFormat="1" x14ac:dyDescent="0.5">
      <c r="A1226" s="3">
        <f t="shared" si="214"/>
        <v>2026</v>
      </c>
      <c r="B1226" s="8">
        <f t="shared" si="215"/>
        <v>3</v>
      </c>
      <c r="C1226" s="6">
        <v>46092</v>
      </c>
      <c r="D1226" s="15">
        <f t="shared" ca="1" si="216"/>
        <v>46097</v>
      </c>
      <c r="E1226" s="15" t="str">
        <f t="shared" ca="1" si="217"/>
        <v>0-Months</v>
      </c>
      <c r="F1226" s="8" t="str">
        <f>VLOOKUP(N1226,Stock[#Data],5,FALSE)</f>
        <v>BE</v>
      </c>
      <c r="G1226" s="82" t="s">
        <v>1742</v>
      </c>
      <c r="H1226" s="15"/>
      <c r="I1226" s="7" t="s">
        <v>109</v>
      </c>
      <c r="J1226" s="8" t="str">
        <f>VLOOKUP(I1226,Customers[#Data],2,FALSE)</f>
        <v>ဦးမင်းလွင်</v>
      </c>
      <c r="K1226" s="15" t="str">
        <f>VLOOKUP(I1226,Customers[#Data],4,FALSE)</f>
        <v>Maw La Myaing</v>
      </c>
      <c r="L1226" s="15" t="str">
        <f>VLOOKUP(I1226,Customers[#Data],5,FALSE)</f>
        <v>WholeSales</v>
      </c>
      <c r="M1226" s="7" t="s">
        <v>6</v>
      </c>
      <c r="N1226" s="7" t="s">
        <v>521</v>
      </c>
      <c r="O1226" s="14" t="str">
        <f>VLOOKUP(N1226,Stock[#Data],2,FALSE)</f>
        <v>ဒဂုံအရက်သန့်</v>
      </c>
      <c r="P1226" s="44">
        <f>VLOOKUP(N1226,Stock[#Data],3,FALSE)</f>
        <v>0.64</v>
      </c>
      <c r="Q1226" s="3">
        <f>VLOOKUP(N1226,Stock[#Data],4,FALSE)</f>
        <v>24</v>
      </c>
      <c r="R1226" s="11"/>
      <c r="S1226" s="45">
        <f>IFERROR(Table4[[#This Row],[Bottle]]/Table4[[#This Row],[ပါဝင်မှု]]+Table4[[#This Row],[SalesPK]],0)</f>
        <v>30</v>
      </c>
      <c r="T1226" s="12">
        <v>30</v>
      </c>
      <c r="U1226" s="10">
        <f>Table4[[#This Row],[ပါဝင်မှု]]*Table4[[#This Row],[SalesPK]]+Table4[[#This Row],[Bottle]]</f>
        <v>720</v>
      </c>
      <c r="V1226" s="10">
        <f>Table4[[#This Row],[SalesBot]]*Table4[[#This Row],[ML]]</f>
        <v>460.8</v>
      </c>
      <c r="W1226" s="1">
        <f>VLOOKUP(N1226,Stock[#Data],6,FALSE)</f>
        <v>1350</v>
      </c>
      <c r="X1226" s="8">
        <f>+Table4[[#This Row],[SalesBot]]*Table4[[#This Row],[နှုံး]]</f>
        <v>972000</v>
      </c>
      <c r="Y1226" s="12"/>
      <c r="Z1226" s="12"/>
      <c r="AA1226" s="12"/>
      <c r="AB1226" s="9"/>
      <c r="AC1226" s="12"/>
      <c r="AD1226" s="9"/>
      <c r="AE1226" s="12"/>
      <c r="AF122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972000</v>
      </c>
      <c r="AG1226" s="24"/>
      <c r="AH1226" s="266"/>
      <c r="AI1226" s="264"/>
      <c r="AJ1226" s="264"/>
      <c r="AK1226" s="270"/>
      <c r="AL1226" s="270"/>
      <c r="AM1226" s="271"/>
      <c r="AN1226" s="272"/>
      <c r="AO1226" s="273"/>
      <c r="AP1226" s="268"/>
      <c r="AQ1226" s="268"/>
      <c r="AR1226" s="268"/>
    </row>
    <row r="1227" spans="1:44" s="16" customFormat="1" x14ac:dyDescent="0.5">
      <c r="A1227" s="3">
        <f t="shared" si="214"/>
        <v>2026</v>
      </c>
      <c r="B1227" s="8">
        <f t="shared" si="215"/>
        <v>3</v>
      </c>
      <c r="C1227" s="6">
        <v>46092</v>
      </c>
      <c r="D1227" s="15">
        <f t="shared" ca="1" si="216"/>
        <v>46097</v>
      </c>
      <c r="E1227" s="15" t="str">
        <f t="shared" ca="1" si="217"/>
        <v>0-Months</v>
      </c>
      <c r="F1227" s="8" t="str">
        <f>VLOOKUP(N1227,Stock[#Data],5,FALSE)</f>
        <v>BE</v>
      </c>
      <c r="G1227" s="82" t="s">
        <v>1742</v>
      </c>
      <c r="H1227" s="15"/>
      <c r="I1227" s="7" t="s">
        <v>109</v>
      </c>
      <c r="J1227" s="8" t="str">
        <f>VLOOKUP(I1227,Customers[#Data],2,FALSE)</f>
        <v>ဦးမင်းလွင်</v>
      </c>
      <c r="K1227" s="15" t="str">
        <f>VLOOKUP(I1227,Customers[#Data],4,FALSE)</f>
        <v>Maw La Myaing</v>
      </c>
      <c r="L1227" s="15" t="str">
        <f>VLOOKUP(I1227,Customers[#Data],5,FALSE)</f>
        <v>WholeSales</v>
      </c>
      <c r="M1227" s="7" t="s">
        <v>6</v>
      </c>
      <c r="N1227" s="7" t="s">
        <v>526</v>
      </c>
      <c r="O1227" s="14" t="str">
        <f>VLOOKUP(N1227,Stock[#Data],2,FALSE)</f>
        <v>ဒဂုံနာနတ်ဝိုင်</v>
      </c>
      <c r="P1227" s="44">
        <f>VLOOKUP(N1227,Stock[#Data],3,FALSE)</f>
        <v>0.64</v>
      </c>
      <c r="Q1227" s="3">
        <f>VLOOKUP(N1227,Stock[#Data],4,FALSE)</f>
        <v>14</v>
      </c>
      <c r="R1227" s="11"/>
      <c r="S1227" s="45">
        <f>IFERROR(Table4[[#This Row],[Bottle]]/Table4[[#This Row],[ပါဝင်မှု]]+Table4[[#This Row],[SalesPK]],0)</f>
        <v>10</v>
      </c>
      <c r="T1227" s="12">
        <v>10</v>
      </c>
      <c r="U1227" s="10">
        <f>Table4[[#This Row],[ပါဝင်မှု]]*Table4[[#This Row],[SalesPK]]+Table4[[#This Row],[Bottle]]</f>
        <v>140</v>
      </c>
      <c r="V1227" s="10">
        <f>Table4[[#This Row],[SalesBot]]*Table4[[#This Row],[ML]]</f>
        <v>89.600000000000009</v>
      </c>
      <c r="W1227" s="1">
        <f>VLOOKUP(N1227,Stock[#Data],6,FALSE)</f>
        <v>1350</v>
      </c>
      <c r="X1227" s="8">
        <f>+Table4[[#This Row],[SalesBot]]*Table4[[#This Row],[နှုံး]]</f>
        <v>189000</v>
      </c>
      <c r="Y1227" s="12"/>
      <c r="Z1227" s="12"/>
      <c r="AA1227" s="12"/>
      <c r="AB1227" s="9"/>
      <c r="AC1227" s="12"/>
      <c r="AD1227" s="9"/>
      <c r="AE1227" s="12"/>
      <c r="AF122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</v>
      </c>
      <c r="AG1227" s="24"/>
      <c r="AH1227" s="266"/>
      <c r="AI1227" s="264"/>
      <c r="AJ1227" s="264"/>
      <c r="AK1227" s="270"/>
      <c r="AL1227" s="270"/>
      <c r="AM1227" s="271"/>
      <c r="AN1227" s="272"/>
      <c r="AO1227" s="273"/>
      <c r="AP1227" s="268"/>
      <c r="AQ1227" s="268"/>
      <c r="AR1227" s="268"/>
    </row>
    <row r="1228" spans="1:44" s="16" customFormat="1" x14ac:dyDescent="0.5">
      <c r="A1228" s="3">
        <f t="shared" si="214"/>
        <v>2026</v>
      </c>
      <c r="B1228" s="8">
        <f t="shared" si="215"/>
        <v>3</v>
      </c>
      <c r="C1228" s="6">
        <v>46092</v>
      </c>
      <c r="D1228" s="15">
        <f t="shared" ca="1" si="216"/>
        <v>46097</v>
      </c>
      <c r="E1228" s="15" t="str">
        <f t="shared" ca="1" si="217"/>
        <v>0-Months</v>
      </c>
      <c r="F1228" s="8" t="str">
        <f>VLOOKUP(N1228,Stock[#Data],5,FALSE)</f>
        <v>BE</v>
      </c>
      <c r="G1228" s="82" t="s">
        <v>1743</v>
      </c>
      <c r="H1228" s="15"/>
      <c r="I1228" s="7" t="s">
        <v>551</v>
      </c>
      <c r="J1228" s="8" t="str">
        <f>VLOOKUP(I1228,Customers[#Data],2,FALSE)</f>
        <v>ရဲညွှန့်အောင်</v>
      </c>
      <c r="K1228" s="15" t="str">
        <f>VLOOKUP(I1228,Customers[#Data],4,FALSE)</f>
        <v>Kyaikto</v>
      </c>
      <c r="L1228" s="15" t="str">
        <f>VLOOKUP(I1228,Customers[#Data],5,FALSE)</f>
        <v>Mini Whole Sales</v>
      </c>
      <c r="M1228" s="7" t="s">
        <v>6</v>
      </c>
      <c r="N1228" s="7" t="s">
        <v>515</v>
      </c>
      <c r="O1228" s="14" t="str">
        <f>VLOOKUP(N1228,Stock[#Data],2,FALSE)</f>
        <v>ဇေ Vodka</v>
      </c>
      <c r="P1228" s="44">
        <f>VLOOKUP(N1228,Stock[#Data],3,FALSE)</f>
        <v>0.7</v>
      </c>
      <c r="Q1228" s="3">
        <f>VLOOKUP(N1228,Stock[#Data],4,FALSE)</f>
        <v>12</v>
      </c>
      <c r="R1228" s="11"/>
      <c r="S1228" s="45">
        <f>IFERROR(Table4[[#This Row],[Bottle]]/Table4[[#This Row],[ပါဝင်မှု]]+Table4[[#This Row],[SalesPK]],0)</f>
        <v>100</v>
      </c>
      <c r="T1228" s="12">
        <v>100</v>
      </c>
      <c r="U1228" s="10">
        <f>Table4[[#This Row],[ပါဝင်မှု]]*Table4[[#This Row],[SalesPK]]+Table4[[#This Row],[Bottle]]</f>
        <v>1200</v>
      </c>
      <c r="V1228" s="10">
        <f>Table4[[#This Row],[SalesBot]]*Table4[[#This Row],[ML]]</f>
        <v>840</v>
      </c>
      <c r="W1228" s="1">
        <f>VLOOKUP(N1228,Stock[#Data],6,FALSE)</f>
        <v>2020</v>
      </c>
      <c r="X1228" s="8">
        <f>+Table4[[#This Row],[SalesBot]]*Table4[[#This Row],[နှုံး]]</f>
        <v>2424000</v>
      </c>
      <c r="Y1228" s="12"/>
      <c r="Z1228" s="12"/>
      <c r="AA1228" s="12"/>
      <c r="AB1228" s="9"/>
      <c r="AC1228" s="12"/>
      <c r="AD1228" s="9"/>
      <c r="AE1228" s="12"/>
      <c r="AF122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2424000</v>
      </c>
      <c r="AG1228" s="24"/>
      <c r="AH1228" s="266"/>
      <c r="AI1228" s="264"/>
      <c r="AJ1228" s="264"/>
      <c r="AK1228" s="270"/>
      <c r="AL1228" s="270"/>
      <c r="AM1228" s="271"/>
      <c r="AN1228" s="272"/>
      <c r="AO1228" s="273"/>
      <c r="AP1228" s="268"/>
      <c r="AQ1228" s="268"/>
      <c r="AR1228" s="268"/>
    </row>
    <row r="1229" spans="1:44" s="16" customFormat="1" x14ac:dyDescent="0.5">
      <c r="A1229" s="3">
        <f t="shared" si="214"/>
        <v>2026</v>
      </c>
      <c r="B1229" s="8">
        <f t="shared" si="215"/>
        <v>3</v>
      </c>
      <c r="C1229" s="6">
        <v>46092</v>
      </c>
      <c r="D1229" s="15">
        <f t="shared" ca="1" si="216"/>
        <v>46097</v>
      </c>
      <c r="E1229" s="15" t="str">
        <f t="shared" ca="1" si="217"/>
        <v>0-Months</v>
      </c>
      <c r="F1229" s="8" t="str">
        <f>VLOOKUP(N1229,Stock[#Data],5,FALSE)</f>
        <v>BE</v>
      </c>
      <c r="G1229" s="82" t="s">
        <v>1744</v>
      </c>
      <c r="H1229" s="15"/>
      <c r="I1229" s="7" t="s">
        <v>538</v>
      </c>
      <c r="J1229" s="8" t="str">
        <f>VLOOKUP(I1229,Customers[#Data],2,FALSE)</f>
        <v>ဒေါ်နွယ်နွယ်ရီ(ရွှေတောင်ကြား)</v>
      </c>
      <c r="K1229" s="15" t="str">
        <f>VLOOKUP(I1229,Customers[#Data],4,FALSE)</f>
        <v>Yay</v>
      </c>
      <c r="L1229" s="15" t="str">
        <f>VLOOKUP(I1229,Customers[#Data],5,FALSE)</f>
        <v>WholeSales</v>
      </c>
      <c r="M1229" s="7" t="s">
        <v>7</v>
      </c>
      <c r="N1229" s="7" t="s">
        <v>517</v>
      </c>
      <c r="O1229" s="14" t="str">
        <f>VLOOKUP(N1229,Stock[#Data],2,FALSE)</f>
        <v>ဇေယျဝတီ Red (1 Liter) 30%</v>
      </c>
      <c r="P1229" s="44">
        <f>VLOOKUP(N1229,Stock[#Data],3,FALSE)</f>
        <v>1</v>
      </c>
      <c r="Q1229" s="3">
        <f>VLOOKUP(N1229,Stock[#Data],4,FALSE)</f>
        <v>12</v>
      </c>
      <c r="R1229" s="11"/>
      <c r="S1229" s="45">
        <f>IFERROR(Table4[[#This Row],[Bottle]]/Table4[[#This Row],[ပါဝင်မှု]]+Table4[[#This Row],[SalesPK]],0)</f>
        <v>100</v>
      </c>
      <c r="T1229" s="12">
        <v>100</v>
      </c>
      <c r="U1229" s="10">
        <f>Table4[[#This Row],[ပါဝင်မှု]]*Table4[[#This Row],[SalesPK]]+Table4[[#This Row],[Bottle]]</f>
        <v>1200</v>
      </c>
      <c r="V1229" s="10">
        <f>Table4[[#This Row],[SalesBot]]*Table4[[#This Row],[ML]]</f>
        <v>1200</v>
      </c>
      <c r="W1229" s="1">
        <f>VLOOKUP(N1229,Stock[#Data],6,FALSE)</f>
        <v>1710</v>
      </c>
      <c r="X1229" s="8">
        <f>+Table4[[#This Row],[SalesBot]]*Table4[[#This Row],[နှုံး]]</f>
        <v>2052000</v>
      </c>
      <c r="Y1229" s="12"/>
      <c r="Z1229" s="12"/>
      <c r="AA1229" s="12"/>
      <c r="AB1229" s="9"/>
      <c r="AC1229" s="12"/>
      <c r="AD1229" s="9"/>
      <c r="AE1229" s="12"/>
      <c r="AF122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229" s="24"/>
      <c r="AH1229" s="266"/>
      <c r="AI1229" s="264"/>
      <c r="AJ1229" s="264"/>
      <c r="AK1229" s="270"/>
      <c r="AL1229" s="270"/>
      <c r="AM1229" s="271"/>
      <c r="AN1229" s="272"/>
      <c r="AO1229" s="273"/>
      <c r="AP1229" s="268"/>
      <c r="AQ1229" s="268"/>
      <c r="AR1229" s="268"/>
    </row>
    <row r="1230" spans="1:44" s="16" customFormat="1" x14ac:dyDescent="0.5">
      <c r="A1230" s="3">
        <f t="shared" si="214"/>
        <v>2026</v>
      </c>
      <c r="B1230" s="8">
        <f t="shared" si="215"/>
        <v>3</v>
      </c>
      <c r="C1230" s="6">
        <v>46092</v>
      </c>
      <c r="D1230" s="15">
        <f t="shared" ca="1" si="216"/>
        <v>46097</v>
      </c>
      <c r="E1230" s="15" t="str">
        <f t="shared" ca="1" si="217"/>
        <v>0-Months</v>
      </c>
      <c r="F1230" s="8" t="str">
        <f>VLOOKUP(N1230,Stock[#Data],5,FALSE)</f>
        <v>BE</v>
      </c>
      <c r="G1230" s="82" t="s">
        <v>1745</v>
      </c>
      <c r="H1230" s="15"/>
      <c r="I1230" s="7" t="s">
        <v>95</v>
      </c>
      <c r="J1230" s="8" t="str">
        <f>VLOOKUP(I1230,Customers[#Data],2,FALSE)</f>
        <v>ကျော်စတား</v>
      </c>
      <c r="K1230" s="15" t="str">
        <f>VLOOKUP(I1230,Customers[#Data],4,FALSE)</f>
        <v>Yay</v>
      </c>
      <c r="L1230" s="15" t="str">
        <f>VLOOKUP(I1230,Customers[#Data],5,FALSE)</f>
        <v>WholeSales</v>
      </c>
      <c r="M1230" s="7" t="s">
        <v>7</v>
      </c>
      <c r="N1230" s="7" t="s">
        <v>514</v>
      </c>
      <c r="O1230" s="14" t="str">
        <f>VLOOKUP(N1230,Stock[#Data],2,FALSE)</f>
        <v>ဇေယျဝတီ Red</v>
      </c>
      <c r="P1230" s="44">
        <f>VLOOKUP(N1230,Stock[#Data],3,FALSE)</f>
        <v>0.64</v>
      </c>
      <c r="Q1230" s="3">
        <f>VLOOKUP(N1230,Stock[#Data],4,FALSE)</f>
        <v>14</v>
      </c>
      <c r="R1230" s="11"/>
      <c r="S1230" s="45">
        <f>IFERROR(Table4[[#This Row],[Bottle]]/Table4[[#This Row],[ပါဝင်မှု]]+Table4[[#This Row],[SalesPK]],0)</f>
        <v>60</v>
      </c>
      <c r="T1230" s="12">
        <v>60</v>
      </c>
      <c r="U1230" s="10">
        <f>Table4[[#This Row],[ပါဝင်မှု]]*Table4[[#This Row],[SalesPK]]+Table4[[#This Row],[Bottle]]</f>
        <v>840</v>
      </c>
      <c r="V1230" s="10">
        <f>Table4[[#This Row],[SalesBot]]*Table4[[#This Row],[ML]]</f>
        <v>537.6</v>
      </c>
      <c r="W1230" s="1">
        <f>VLOOKUP(N1230,Stock[#Data],6,FALSE)</f>
        <v>1350</v>
      </c>
      <c r="X1230" s="8">
        <f>+Table4[[#This Row],[SalesBot]]*Table4[[#This Row],[နှုံး]]</f>
        <v>1134000</v>
      </c>
      <c r="Y1230" s="12"/>
      <c r="Z1230" s="12"/>
      <c r="AA1230" s="12"/>
      <c r="AB1230" s="9"/>
      <c r="AC1230" s="12"/>
      <c r="AD1230" s="9"/>
      <c r="AE1230" s="12"/>
      <c r="AF123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1134000</v>
      </c>
      <c r="AG1230" s="24"/>
      <c r="AH1230" s="266"/>
      <c r="AI1230" s="264"/>
      <c r="AJ1230" s="264"/>
      <c r="AK1230" s="270"/>
      <c r="AL1230" s="270"/>
      <c r="AM1230" s="271"/>
      <c r="AN1230" s="272"/>
      <c r="AO1230" s="273"/>
      <c r="AP1230" s="268"/>
      <c r="AQ1230" s="268"/>
      <c r="AR1230" s="268"/>
    </row>
    <row r="1231" spans="1:44" s="16" customFormat="1" x14ac:dyDescent="0.5">
      <c r="A1231" s="3">
        <f t="shared" si="214"/>
        <v>2026</v>
      </c>
      <c r="B1231" s="8">
        <f t="shared" si="215"/>
        <v>3</v>
      </c>
      <c r="C1231" s="6">
        <v>46092</v>
      </c>
      <c r="D1231" s="15">
        <f t="shared" ca="1" si="216"/>
        <v>46097</v>
      </c>
      <c r="E1231" s="15" t="str">
        <f t="shared" ca="1" si="217"/>
        <v>0-Months</v>
      </c>
      <c r="F1231" s="8" t="str">
        <f>VLOOKUP(N1231,Stock[#Data],5,FALSE)</f>
        <v>BE</v>
      </c>
      <c r="G1231" s="82" t="s">
        <v>1746</v>
      </c>
      <c r="H1231" s="15"/>
      <c r="I1231" s="7" t="s">
        <v>95</v>
      </c>
      <c r="J1231" s="8" t="str">
        <f>VLOOKUP(I1231,Customers[#Data],2,FALSE)</f>
        <v>ကျော်စတား</v>
      </c>
      <c r="K1231" s="15" t="str">
        <f>VLOOKUP(I1231,Customers[#Data],4,FALSE)</f>
        <v>Yay</v>
      </c>
      <c r="L1231" s="15" t="str">
        <f>VLOOKUP(I1231,Customers[#Data],5,FALSE)</f>
        <v>WholeSales</v>
      </c>
      <c r="M1231" s="7" t="s">
        <v>7</v>
      </c>
      <c r="N1231" s="7" t="s">
        <v>514</v>
      </c>
      <c r="O1231" s="14" t="str">
        <f>VLOOKUP(N1231,Stock[#Data],2,FALSE)</f>
        <v>ဇေယျဝတီ Red</v>
      </c>
      <c r="P1231" s="44">
        <f>VLOOKUP(N1231,Stock[#Data],3,FALSE)</f>
        <v>0.64</v>
      </c>
      <c r="Q1231" s="3">
        <f>VLOOKUP(N1231,Stock[#Data],4,FALSE)</f>
        <v>14</v>
      </c>
      <c r="R1231" s="11"/>
      <c r="S1231" s="45">
        <f>IFERROR(Table4[[#This Row],[Bottle]]/Table4[[#This Row],[ပါဝင်မှု]]+Table4[[#This Row],[SalesPK]],0)</f>
        <v>100</v>
      </c>
      <c r="T1231" s="12">
        <v>100</v>
      </c>
      <c r="U1231" s="10">
        <f>Table4[[#This Row],[ပါဝင်မှု]]*Table4[[#This Row],[SalesPK]]+Table4[[#This Row],[Bottle]]</f>
        <v>1400</v>
      </c>
      <c r="V1231" s="10">
        <f>Table4[[#This Row],[SalesBot]]*Table4[[#This Row],[ML]]</f>
        <v>896</v>
      </c>
      <c r="W1231" s="1">
        <f>VLOOKUP(N1231,Stock[#Data],6,FALSE)</f>
        <v>1350</v>
      </c>
      <c r="X1231" s="8">
        <f>+Table4[[#This Row],[SalesBot]]*Table4[[#This Row],[နှုံး]]</f>
        <v>1890000</v>
      </c>
      <c r="Y1231" s="12"/>
      <c r="Z1231" s="12"/>
      <c r="AA1231" s="12"/>
      <c r="AB1231" s="530" t="s">
        <v>1777</v>
      </c>
      <c r="AC1231" s="12">
        <v>1269000</v>
      </c>
      <c r="AD1231" s="9"/>
      <c r="AE1231" s="12"/>
      <c r="AF123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621000</v>
      </c>
      <c r="AG1231" s="24"/>
      <c r="AH1231" s="266"/>
      <c r="AI1231" s="264"/>
      <c r="AJ1231" s="264"/>
      <c r="AK1231" s="270"/>
      <c r="AL1231" s="270"/>
      <c r="AM1231" s="271"/>
      <c r="AN1231" s="272"/>
      <c r="AO1231" s="273"/>
      <c r="AP1231" s="268"/>
      <c r="AQ1231" s="268"/>
      <c r="AR1231" s="268"/>
    </row>
    <row r="1232" spans="1:44" s="16" customFormat="1" x14ac:dyDescent="0.5">
      <c r="A1232" s="3">
        <f t="shared" si="214"/>
        <v>2026</v>
      </c>
      <c r="B1232" s="8">
        <f t="shared" si="215"/>
        <v>3</v>
      </c>
      <c r="C1232" s="6">
        <v>46092</v>
      </c>
      <c r="D1232" s="15">
        <f t="shared" ca="1" si="216"/>
        <v>46097</v>
      </c>
      <c r="E1232" s="15" t="str">
        <f t="shared" ca="1" si="217"/>
        <v>0-Months</v>
      </c>
      <c r="F1232" s="8" t="str">
        <f>VLOOKUP(N1232,Stock[#Data],5,FALSE)</f>
        <v>BE</v>
      </c>
      <c r="G1232" s="82" t="s">
        <v>1746</v>
      </c>
      <c r="H1232" s="15"/>
      <c r="I1232" s="7" t="s">
        <v>95</v>
      </c>
      <c r="J1232" s="8" t="str">
        <f>VLOOKUP(I1232,Customers[#Data],2,FALSE)</f>
        <v>ကျော်စတား</v>
      </c>
      <c r="K1232" s="15" t="str">
        <f>VLOOKUP(I1232,Customers[#Data],4,FALSE)</f>
        <v>Yay</v>
      </c>
      <c r="L1232" s="15" t="str">
        <f>VLOOKUP(I1232,Customers[#Data],5,FALSE)</f>
        <v>WholeSales</v>
      </c>
      <c r="M1232" s="7" t="s">
        <v>7</v>
      </c>
      <c r="N1232" s="7" t="s">
        <v>517</v>
      </c>
      <c r="O1232" s="14" t="str">
        <f>VLOOKUP(N1232,Stock[#Data],2,FALSE)</f>
        <v>ဇေယျဝတီ Red (1 Liter) 30%</v>
      </c>
      <c r="P1232" s="44">
        <f>VLOOKUP(N1232,Stock[#Data],3,FALSE)</f>
        <v>1</v>
      </c>
      <c r="Q1232" s="3">
        <f>VLOOKUP(N1232,Stock[#Data],4,FALSE)</f>
        <v>12</v>
      </c>
      <c r="R1232" s="11"/>
      <c r="S1232" s="45">
        <f>IFERROR(Table4[[#This Row],[Bottle]]/Table4[[#This Row],[ပါဝင်မှု]]+Table4[[#This Row],[SalesPK]],0)</f>
        <v>100</v>
      </c>
      <c r="T1232" s="12">
        <v>100</v>
      </c>
      <c r="U1232" s="10">
        <f>Table4[[#This Row],[ပါဝင်မှု]]*Table4[[#This Row],[SalesPK]]+Table4[[#This Row],[Bottle]]</f>
        <v>1200</v>
      </c>
      <c r="V1232" s="10">
        <f>Table4[[#This Row],[SalesBot]]*Table4[[#This Row],[ML]]</f>
        <v>1200</v>
      </c>
      <c r="W1232" s="1">
        <f>VLOOKUP(N1232,Stock[#Data],6,FALSE)</f>
        <v>1710</v>
      </c>
      <c r="X1232" s="8">
        <f>+Table4[[#This Row],[SalesBot]]*Table4[[#This Row],[နှုံး]]</f>
        <v>2052000</v>
      </c>
      <c r="Y1232" s="12"/>
      <c r="Z1232" s="12"/>
      <c r="AA1232" s="12"/>
      <c r="AB1232" s="9"/>
      <c r="AC1232" s="12"/>
      <c r="AD1232" s="9"/>
      <c r="AE1232" s="12"/>
      <c r="AF123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232" s="24"/>
      <c r="AH1232" s="266"/>
      <c r="AI1232" s="264"/>
      <c r="AJ1232" s="264"/>
      <c r="AK1232" s="270"/>
      <c r="AL1232" s="270"/>
      <c r="AM1232" s="271"/>
      <c r="AN1232" s="272"/>
      <c r="AO1232" s="273"/>
      <c r="AP1232" s="268"/>
      <c r="AQ1232" s="268"/>
      <c r="AR1232" s="268"/>
    </row>
    <row r="1233" spans="1:44" s="16" customFormat="1" x14ac:dyDescent="0.5">
      <c r="A1233" s="3">
        <f t="shared" si="214"/>
        <v>2026</v>
      </c>
      <c r="B1233" s="8">
        <f t="shared" si="215"/>
        <v>3</v>
      </c>
      <c r="C1233" s="6">
        <v>46092</v>
      </c>
      <c r="D1233" s="15">
        <f t="shared" ca="1" si="216"/>
        <v>46097</v>
      </c>
      <c r="E1233" s="15" t="str">
        <f t="shared" ca="1" si="217"/>
        <v>0-Months</v>
      </c>
      <c r="F1233" s="8" t="str">
        <f>VLOOKUP(N1233,Stock[#Data],5,FALSE)</f>
        <v>BE</v>
      </c>
      <c r="G1233" s="82" t="s">
        <v>1747</v>
      </c>
      <c r="H1233" s="15"/>
      <c r="I1233" s="7" t="s">
        <v>95</v>
      </c>
      <c r="J1233" s="8" t="str">
        <f>VLOOKUP(I1233,Customers[#Data],2,FALSE)</f>
        <v>ကျော်စတား</v>
      </c>
      <c r="K1233" s="15" t="str">
        <f>VLOOKUP(I1233,Customers[#Data],4,FALSE)</f>
        <v>Yay</v>
      </c>
      <c r="L1233" s="15" t="str">
        <f>VLOOKUP(I1233,Customers[#Data],5,FALSE)</f>
        <v>WholeSales</v>
      </c>
      <c r="M1233" s="7" t="s">
        <v>7</v>
      </c>
      <c r="N1233" s="7" t="s">
        <v>514</v>
      </c>
      <c r="O1233" s="14" t="str">
        <f>VLOOKUP(N1233,Stock[#Data],2,FALSE)</f>
        <v>ဇေယျဝတီ Red</v>
      </c>
      <c r="P1233" s="44">
        <f>VLOOKUP(N1233,Stock[#Data],3,FALSE)</f>
        <v>0.64</v>
      </c>
      <c r="Q1233" s="3">
        <f>VLOOKUP(N1233,Stock[#Data],4,FALSE)</f>
        <v>14</v>
      </c>
      <c r="R1233" s="11"/>
      <c r="S1233" s="45">
        <f>IFERROR(Table4[[#This Row],[Bottle]]/Table4[[#This Row],[ပါဝင်မှု]]+Table4[[#This Row],[SalesPK]],0)</f>
        <v>150</v>
      </c>
      <c r="T1233" s="12">
        <v>150</v>
      </c>
      <c r="U1233" s="10">
        <f>Table4[[#This Row],[ပါဝင်မှု]]*Table4[[#This Row],[SalesPK]]+Table4[[#This Row],[Bottle]]</f>
        <v>2100</v>
      </c>
      <c r="V1233" s="10">
        <f>Table4[[#This Row],[SalesBot]]*Table4[[#This Row],[ML]]</f>
        <v>1344</v>
      </c>
      <c r="W1233" s="1">
        <f>VLOOKUP(N1233,Stock[#Data],6,FALSE)</f>
        <v>1350</v>
      </c>
      <c r="X1233" s="8">
        <f>+Table4[[#This Row],[SalesBot]]*Table4[[#This Row],[နှုံး]]</f>
        <v>2835000</v>
      </c>
      <c r="Y1233" s="12"/>
      <c r="Z1233" s="12"/>
      <c r="AA1233" s="12"/>
      <c r="AB1233" s="9"/>
      <c r="AC1233" s="12"/>
      <c r="AD1233" s="9"/>
      <c r="AE1233" s="12"/>
      <c r="AF123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2835000</v>
      </c>
      <c r="AG1233" s="24"/>
      <c r="AH1233" s="266"/>
      <c r="AI1233" s="264"/>
      <c r="AJ1233" s="264"/>
      <c r="AK1233" s="270"/>
      <c r="AL1233" s="270"/>
      <c r="AM1233" s="271"/>
      <c r="AN1233" s="272"/>
      <c r="AO1233" s="273"/>
      <c r="AP1233" s="268"/>
      <c r="AQ1233" s="268"/>
      <c r="AR1233" s="268"/>
    </row>
    <row r="1234" spans="1:44" s="16" customFormat="1" x14ac:dyDescent="0.5">
      <c r="A1234" s="3">
        <f t="shared" ref="A1234:A1255" si="218">YEAR(C1234)</f>
        <v>2026</v>
      </c>
      <c r="B1234" s="8">
        <f t="shared" ref="B1234:B1255" si="219">MONTH(C1234)</f>
        <v>3</v>
      </c>
      <c r="C1234" s="6">
        <v>46093</v>
      </c>
      <c r="D1234" s="15">
        <f t="shared" ref="D1234:D1255" ca="1" si="220">TODAY()</f>
        <v>46097</v>
      </c>
      <c r="E1234" s="15" t="str">
        <f t="shared" ref="E1234:E1255" ca="1" si="221">DATEDIF(C1234,D1234,"M")&amp;"-Months"</f>
        <v>0-Months</v>
      </c>
      <c r="F1234" s="8" t="str">
        <f>VLOOKUP(N1234,Stock[#Data],5,FALSE)</f>
        <v>BE</v>
      </c>
      <c r="G1234" s="82" t="s">
        <v>1748</v>
      </c>
      <c r="H1234" s="15" t="s">
        <v>127</v>
      </c>
      <c r="I1234" s="7" t="s">
        <v>827</v>
      </c>
      <c r="J1234" s="8" t="str">
        <f>VLOOKUP(I1234,Customers[#Data],2,FALSE)</f>
        <v>မိုးဆန်းချာလီ</v>
      </c>
      <c r="K1234" s="15" t="str">
        <f>VLOOKUP(I1234,Customers[#Data],4,FALSE)</f>
        <v>Thein Zayet</v>
      </c>
      <c r="L1234" s="15" t="str">
        <f>VLOOKUP(I1234,Customers[#Data],5,FALSE)</f>
        <v>WholeSales</v>
      </c>
      <c r="M1234" s="7" t="s">
        <v>6</v>
      </c>
      <c r="N1234" s="7" t="s">
        <v>514</v>
      </c>
      <c r="O1234" s="14" t="str">
        <f>VLOOKUP(N1234,Stock[#Data],2,FALSE)</f>
        <v>ဇေယျဝတီ Red</v>
      </c>
      <c r="P1234" s="44">
        <f>VLOOKUP(N1234,Stock[#Data],3,FALSE)</f>
        <v>0.64</v>
      </c>
      <c r="Q1234" s="3">
        <f>VLOOKUP(N1234,Stock[#Data],4,FALSE)</f>
        <v>14</v>
      </c>
      <c r="R1234" s="11"/>
      <c r="S1234" s="45">
        <f>IFERROR(Table4[[#This Row],[Bottle]]/Table4[[#This Row],[ပါဝင်မှု]]+Table4[[#This Row],[SalesPK]],0)</f>
        <v>150</v>
      </c>
      <c r="T1234" s="12">
        <v>150</v>
      </c>
      <c r="U1234" s="10">
        <f>Table4[[#This Row],[ပါဝင်မှု]]*Table4[[#This Row],[SalesPK]]+Table4[[#This Row],[Bottle]]</f>
        <v>2100</v>
      </c>
      <c r="V1234" s="10">
        <f>Table4[[#This Row],[SalesBot]]*Table4[[#This Row],[ML]]</f>
        <v>1344</v>
      </c>
      <c r="W1234" s="1">
        <f>VLOOKUP(N1234,Stock[#Data],6,FALSE)</f>
        <v>1350</v>
      </c>
      <c r="X1234" s="8">
        <f>+Table4[[#This Row],[SalesBot]]*Table4[[#This Row],[နှုံး]]</f>
        <v>2835000</v>
      </c>
      <c r="Y1234" s="12"/>
      <c r="Z1234" s="12"/>
      <c r="AA1234" s="12"/>
      <c r="AB1234" s="9"/>
      <c r="AC1234" s="12"/>
      <c r="AD1234" s="9"/>
      <c r="AE1234" s="12"/>
      <c r="AF123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2835000</v>
      </c>
      <c r="AG1234" s="24"/>
      <c r="AH1234" s="266"/>
      <c r="AI1234" s="264"/>
      <c r="AJ1234" s="264"/>
      <c r="AK1234" s="270"/>
      <c r="AL1234" s="270"/>
      <c r="AM1234" s="271"/>
      <c r="AN1234" s="272"/>
      <c r="AO1234" s="273"/>
      <c r="AP1234" s="268"/>
      <c r="AQ1234" s="268"/>
      <c r="AR1234" s="268"/>
    </row>
    <row r="1235" spans="1:44" s="16" customFormat="1" x14ac:dyDescent="0.5">
      <c r="A1235" s="3">
        <f t="shared" si="218"/>
        <v>2026</v>
      </c>
      <c r="B1235" s="8">
        <f t="shared" si="219"/>
        <v>3</v>
      </c>
      <c r="C1235" s="6">
        <v>46093</v>
      </c>
      <c r="D1235" s="15">
        <f t="shared" ca="1" si="220"/>
        <v>46097</v>
      </c>
      <c r="E1235" s="15" t="str">
        <f t="shared" ca="1" si="221"/>
        <v>0-Months</v>
      </c>
      <c r="F1235" s="8" t="str">
        <f>VLOOKUP(N1235,Stock[#Data],5,FALSE)</f>
        <v>BE</v>
      </c>
      <c r="G1235" s="82" t="s">
        <v>1748</v>
      </c>
      <c r="H1235" s="15" t="s">
        <v>127</v>
      </c>
      <c r="I1235" s="7" t="s">
        <v>827</v>
      </c>
      <c r="J1235" s="8" t="str">
        <f>VLOOKUP(I1235,Customers[#Data],2,FALSE)</f>
        <v>မိုးဆန်းချာလီ</v>
      </c>
      <c r="K1235" s="15" t="str">
        <f>VLOOKUP(I1235,Customers[#Data],4,FALSE)</f>
        <v>Thein Zayet</v>
      </c>
      <c r="L1235" s="15" t="str">
        <f>VLOOKUP(I1235,Customers[#Data],5,FALSE)</f>
        <v>WholeSales</v>
      </c>
      <c r="M1235" s="7" t="s">
        <v>6</v>
      </c>
      <c r="N1235" s="7" t="s">
        <v>532</v>
      </c>
      <c r="O1235" s="14" t="str">
        <f>VLOOKUP(N1235,Stock[#Data],2,FALSE)</f>
        <v>ဇေယျဝတီ Red</v>
      </c>
      <c r="P1235" s="44">
        <f>VLOOKUP(N1235,Stock[#Data],3,FALSE)</f>
        <v>0.64</v>
      </c>
      <c r="Q1235" s="3">
        <f>VLOOKUP(N1235,Stock[#Data],4,FALSE)</f>
        <v>24</v>
      </c>
      <c r="R1235" s="11"/>
      <c r="S1235" s="45">
        <f>IFERROR(Table4[[#This Row],[Bottle]]/Table4[[#This Row],[ပါဝင်မှု]]+Table4[[#This Row],[SalesPK]],0)</f>
        <v>29</v>
      </c>
      <c r="T1235" s="12">
        <v>29</v>
      </c>
      <c r="U1235" s="10">
        <f>Table4[[#This Row],[ပါဝင်မှု]]*Table4[[#This Row],[SalesPK]]+Table4[[#This Row],[Bottle]]</f>
        <v>696</v>
      </c>
      <c r="V1235" s="10">
        <f>Table4[[#This Row],[SalesBot]]*Table4[[#This Row],[ML]]</f>
        <v>445.44</v>
      </c>
      <c r="W1235" s="1">
        <f>VLOOKUP(N1235,Stock[#Data],6,FALSE)</f>
        <v>1350</v>
      </c>
      <c r="X1235" s="8">
        <f>+Table4[[#This Row],[SalesBot]]*Table4[[#This Row],[နှုံး]]</f>
        <v>939600</v>
      </c>
      <c r="Y1235" s="12"/>
      <c r="Z1235" s="12"/>
      <c r="AA1235" s="12"/>
      <c r="AB1235" s="9"/>
      <c r="AC1235" s="12"/>
      <c r="AD1235" s="9"/>
      <c r="AE1235" s="12"/>
      <c r="AF123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939600</v>
      </c>
      <c r="AG1235" s="24"/>
      <c r="AH1235" s="266"/>
      <c r="AI1235" s="264"/>
      <c r="AJ1235" s="264"/>
      <c r="AK1235" s="270"/>
      <c r="AL1235" s="270"/>
      <c r="AM1235" s="271"/>
      <c r="AN1235" s="272"/>
      <c r="AO1235" s="273"/>
      <c r="AP1235" s="268"/>
      <c r="AQ1235" s="268"/>
      <c r="AR1235" s="268"/>
    </row>
    <row r="1236" spans="1:44" s="16" customFormat="1" x14ac:dyDescent="0.5">
      <c r="A1236" s="3">
        <f t="shared" si="218"/>
        <v>2026</v>
      </c>
      <c r="B1236" s="8">
        <f t="shared" si="219"/>
        <v>3</v>
      </c>
      <c r="C1236" s="6">
        <v>46093</v>
      </c>
      <c r="D1236" s="15">
        <f t="shared" ca="1" si="220"/>
        <v>46097</v>
      </c>
      <c r="E1236" s="15" t="str">
        <f t="shared" ca="1" si="221"/>
        <v>0-Months</v>
      </c>
      <c r="F1236" s="8" t="str">
        <f>VLOOKUP(N1236,Stock[#Data],5,FALSE)</f>
        <v>BE</v>
      </c>
      <c r="G1236" s="82" t="s">
        <v>1748</v>
      </c>
      <c r="H1236" s="15" t="s">
        <v>127</v>
      </c>
      <c r="I1236" s="7" t="s">
        <v>827</v>
      </c>
      <c r="J1236" s="8" t="str">
        <f>VLOOKUP(I1236,Customers[#Data],2,FALSE)</f>
        <v>မိုးဆန်းချာလီ</v>
      </c>
      <c r="K1236" s="15" t="str">
        <f>VLOOKUP(I1236,Customers[#Data],4,FALSE)</f>
        <v>Thein Zayet</v>
      </c>
      <c r="L1236" s="15" t="str">
        <f>VLOOKUP(I1236,Customers[#Data],5,FALSE)</f>
        <v>WholeSales</v>
      </c>
      <c r="M1236" s="7" t="s">
        <v>6</v>
      </c>
      <c r="N1236" s="7" t="s">
        <v>517</v>
      </c>
      <c r="O1236" s="14" t="str">
        <f>VLOOKUP(N1236,Stock[#Data],2,FALSE)</f>
        <v>ဇေယျဝတီ Red (1 Liter) 30%</v>
      </c>
      <c r="P1236" s="44">
        <f>VLOOKUP(N1236,Stock[#Data],3,FALSE)</f>
        <v>1</v>
      </c>
      <c r="Q1236" s="3">
        <f>VLOOKUP(N1236,Stock[#Data],4,FALSE)</f>
        <v>12</v>
      </c>
      <c r="R1236" s="11"/>
      <c r="S1236" s="45">
        <f>IFERROR(Table4[[#This Row],[Bottle]]/Table4[[#This Row],[ပါဝင်မှု]]+Table4[[#This Row],[SalesPK]],0)</f>
        <v>50</v>
      </c>
      <c r="T1236" s="12">
        <v>50</v>
      </c>
      <c r="U1236" s="10">
        <f>Table4[[#This Row],[ပါဝင်မှု]]*Table4[[#This Row],[SalesPK]]+Table4[[#This Row],[Bottle]]</f>
        <v>600</v>
      </c>
      <c r="V1236" s="10">
        <f>Table4[[#This Row],[SalesBot]]*Table4[[#This Row],[ML]]</f>
        <v>600</v>
      </c>
      <c r="W1236" s="1">
        <f>VLOOKUP(N1236,Stock[#Data],6,FALSE)</f>
        <v>1710</v>
      </c>
      <c r="X1236" s="8">
        <f>+Table4[[#This Row],[SalesBot]]*Table4[[#This Row],[နှုံး]]</f>
        <v>1026000</v>
      </c>
      <c r="Y1236" s="12"/>
      <c r="Z1236" s="12"/>
      <c r="AA1236" s="12"/>
      <c r="AB1236" s="9"/>
      <c r="AC1236" s="12"/>
      <c r="AD1236" s="9"/>
      <c r="AE1236" s="12"/>
      <c r="AF123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1236" s="24"/>
      <c r="AH1236" s="266"/>
      <c r="AI1236" s="264"/>
      <c r="AJ1236" s="264"/>
      <c r="AK1236" s="270"/>
      <c r="AL1236" s="270"/>
      <c r="AM1236" s="271"/>
      <c r="AN1236" s="272"/>
      <c r="AO1236" s="273"/>
      <c r="AP1236" s="268"/>
      <c r="AQ1236" s="268"/>
      <c r="AR1236" s="268"/>
    </row>
    <row r="1237" spans="1:44" s="16" customFormat="1" x14ac:dyDescent="0.5">
      <c r="A1237" s="3">
        <f t="shared" si="218"/>
        <v>2026</v>
      </c>
      <c r="B1237" s="8">
        <f t="shared" si="219"/>
        <v>3</v>
      </c>
      <c r="C1237" s="6">
        <v>46093</v>
      </c>
      <c r="D1237" s="15">
        <f t="shared" ca="1" si="220"/>
        <v>46097</v>
      </c>
      <c r="E1237" s="15" t="str">
        <f t="shared" ca="1" si="221"/>
        <v>0-Months</v>
      </c>
      <c r="F1237" s="8" t="str">
        <f>VLOOKUP(N1237,Stock[#Data],5,FALSE)</f>
        <v>BE</v>
      </c>
      <c r="G1237" s="82" t="s">
        <v>1749</v>
      </c>
      <c r="H1237" s="15"/>
      <c r="I1237" s="7" t="s">
        <v>110</v>
      </c>
      <c r="J1237" s="8" t="str">
        <f>VLOOKUP(I1237,Customers[#Data],2,FALSE)</f>
        <v>ပြည့်လျှံ</v>
      </c>
      <c r="K1237" s="15" t="str">
        <f>VLOOKUP(I1237,Customers[#Data],4,FALSE)</f>
        <v>Maw La Myaing</v>
      </c>
      <c r="L1237" s="15" t="str">
        <f>VLOOKUP(I1237,Customers[#Data],5,FALSE)</f>
        <v>WholeSales</v>
      </c>
      <c r="M1237" s="7" t="s">
        <v>6</v>
      </c>
      <c r="N1237" s="7" t="s">
        <v>516</v>
      </c>
      <c r="O1237" s="14" t="str">
        <f>VLOOKUP(N1237,Stock[#Data],2,FALSE)</f>
        <v>ဇေ Vodka</v>
      </c>
      <c r="P1237" s="44">
        <f>VLOOKUP(N1237,Stock[#Data],3,FALSE)</f>
        <v>0.64</v>
      </c>
      <c r="Q1237" s="3">
        <f>VLOOKUP(N1237,Stock[#Data],4,FALSE)</f>
        <v>14</v>
      </c>
      <c r="R1237" s="11"/>
      <c r="S1237" s="45">
        <f>IFERROR(Table4[[#This Row],[Bottle]]/Table4[[#This Row],[ပါဝင်မှု]]+Table4[[#This Row],[SalesPK]],0)</f>
        <v>100</v>
      </c>
      <c r="T1237" s="12">
        <v>100</v>
      </c>
      <c r="U1237" s="10">
        <f>Table4[[#This Row],[ပါဝင်မှု]]*Table4[[#This Row],[SalesPK]]+Table4[[#This Row],[Bottle]]</f>
        <v>1400</v>
      </c>
      <c r="V1237" s="10">
        <f>Table4[[#This Row],[SalesBot]]*Table4[[#This Row],[ML]]</f>
        <v>896</v>
      </c>
      <c r="W1237" s="1">
        <f>VLOOKUP(N1237,Stock[#Data],6,FALSE)</f>
        <v>1400</v>
      </c>
      <c r="X1237" s="8">
        <f>+Table4[[#This Row],[SalesBot]]*Table4[[#This Row],[နှုံး]]</f>
        <v>1960000</v>
      </c>
      <c r="Y1237" s="12"/>
      <c r="Z1237" s="12"/>
      <c r="AA1237" s="12"/>
      <c r="AB1237" s="9"/>
      <c r="AC1237" s="12"/>
      <c r="AD1237" s="9"/>
      <c r="AE1237" s="12"/>
      <c r="AF123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1960000</v>
      </c>
      <c r="AG1237" s="24"/>
      <c r="AH1237" s="266"/>
      <c r="AI1237" s="264"/>
      <c r="AJ1237" s="264"/>
      <c r="AK1237" s="270"/>
      <c r="AL1237" s="270"/>
      <c r="AM1237" s="271"/>
      <c r="AN1237" s="272"/>
      <c r="AO1237" s="273"/>
      <c r="AP1237" s="268"/>
      <c r="AQ1237" s="268"/>
      <c r="AR1237" s="268"/>
    </row>
    <row r="1238" spans="1:44" s="16" customFormat="1" x14ac:dyDescent="0.5">
      <c r="A1238" s="3">
        <f t="shared" si="218"/>
        <v>2026</v>
      </c>
      <c r="B1238" s="8">
        <f t="shared" si="219"/>
        <v>3</v>
      </c>
      <c r="C1238" s="6">
        <v>46093</v>
      </c>
      <c r="D1238" s="15">
        <f t="shared" ca="1" si="220"/>
        <v>46097</v>
      </c>
      <c r="E1238" s="15" t="str">
        <f t="shared" ca="1" si="221"/>
        <v>0-Months</v>
      </c>
      <c r="F1238" s="8" t="str">
        <f>VLOOKUP(N1238,Stock[#Data],5,FALSE)</f>
        <v>BE</v>
      </c>
      <c r="G1238" s="82" t="s">
        <v>1749</v>
      </c>
      <c r="H1238" s="15"/>
      <c r="I1238" s="7" t="s">
        <v>110</v>
      </c>
      <c r="J1238" s="8" t="str">
        <f>VLOOKUP(I1238,Customers[#Data],2,FALSE)</f>
        <v>ပြည့်လျှံ</v>
      </c>
      <c r="K1238" s="15" t="str">
        <f>VLOOKUP(I1238,Customers[#Data],4,FALSE)</f>
        <v>Maw La Myaing</v>
      </c>
      <c r="L1238" s="15" t="str">
        <f>VLOOKUP(I1238,Customers[#Data],5,FALSE)</f>
        <v>WholeSales</v>
      </c>
      <c r="M1238" s="7" t="s">
        <v>6</v>
      </c>
      <c r="N1238" s="7" t="s">
        <v>517</v>
      </c>
      <c r="O1238" s="14" t="str">
        <f>VLOOKUP(N1238,Stock[#Data],2,FALSE)</f>
        <v>ဇေယျဝတီ Red (1 Liter) 30%</v>
      </c>
      <c r="P1238" s="44">
        <f>VLOOKUP(N1238,Stock[#Data],3,FALSE)</f>
        <v>1</v>
      </c>
      <c r="Q1238" s="3">
        <f>VLOOKUP(N1238,Stock[#Data],4,FALSE)</f>
        <v>12</v>
      </c>
      <c r="R1238" s="11"/>
      <c r="S1238" s="45">
        <f>IFERROR(Table4[[#This Row],[Bottle]]/Table4[[#This Row],[ပါဝင်မှု]]+Table4[[#This Row],[SalesPK]],0)</f>
        <v>100</v>
      </c>
      <c r="T1238" s="12">
        <v>100</v>
      </c>
      <c r="U1238" s="10">
        <f>Table4[[#This Row],[ပါဝင်မှု]]*Table4[[#This Row],[SalesPK]]+Table4[[#This Row],[Bottle]]</f>
        <v>1200</v>
      </c>
      <c r="V1238" s="10">
        <f>Table4[[#This Row],[SalesBot]]*Table4[[#This Row],[ML]]</f>
        <v>1200</v>
      </c>
      <c r="W1238" s="1">
        <f>VLOOKUP(N1238,Stock[#Data],6,FALSE)</f>
        <v>1710</v>
      </c>
      <c r="X1238" s="8">
        <f>+Table4[[#This Row],[SalesBot]]*Table4[[#This Row],[နှုံး]]</f>
        <v>2052000</v>
      </c>
      <c r="Y1238" s="12"/>
      <c r="Z1238" s="12"/>
      <c r="AA1238" s="12"/>
      <c r="AB1238" s="9"/>
      <c r="AC1238" s="12"/>
      <c r="AD1238" s="9"/>
      <c r="AE1238" s="12"/>
      <c r="AF123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238" s="24"/>
      <c r="AH1238" s="266"/>
      <c r="AI1238" s="264"/>
      <c r="AJ1238" s="264"/>
      <c r="AK1238" s="270"/>
      <c r="AL1238" s="270"/>
      <c r="AM1238" s="271"/>
      <c r="AN1238" s="272"/>
      <c r="AO1238" s="273"/>
      <c r="AP1238" s="268"/>
      <c r="AQ1238" s="268"/>
      <c r="AR1238" s="268"/>
    </row>
    <row r="1239" spans="1:44" s="16" customFormat="1" x14ac:dyDescent="0.5">
      <c r="A1239" s="3">
        <f t="shared" si="218"/>
        <v>2026</v>
      </c>
      <c r="B1239" s="8">
        <f t="shared" si="219"/>
        <v>3</v>
      </c>
      <c r="C1239" s="6">
        <v>46093</v>
      </c>
      <c r="D1239" s="15">
        <f t="shared" ca="1" si="220"/>
        <v>46097</v>
      </c>
      <c r="E1239" s="15" t="str">
        <f t="shared" ca="1" si="221"/>
        <v>0-Months</v>
      </c>
      <c r="F1239" s="8" t="str">
        <f>VLOOKUP(N1239,Stock[#Data],5,FALSE)</f>
        <v>BE</v>
      </c>
      <c r="G1239" s="82" t="s">
        <v>1750</v>
      </c>
      <c r="H1239" s="15"/>
      <c r="I1239" s="7" t="s">
        <v>82</v>
      </c>
      <c r="J1239" s="8" t="str">
        <f>VLOOKUP(I1239,Customers[#Data],2,FALSE)</f>
        <v>ဒေါ်ထွန်းမေ</v>
      </c>
      <c r="K1239" s="15" t="str">
        <f>VLOOKUP(I1239,Customers[#Data],4,FALSE)</f>
        <v>Maw La Myaing</v>
      </c>
      <c r="L1239" s="15" t="str">
        <f>VLOOKUP(I1239,Customers[#Data],5,FALSE)</f>
        <v>WholeSales</v>
      </c>
      <c r="M1239" s="7" t="s">
        <v>6</v>
      </c>
      <c r="N1239" s="7" t="s">
        <v>514</v>
      </c>
      <c r="O1239" s="14" t="str">
        <f>VLOOKUP(N1239,Stock[#Data],2,FALSE)</f>
        <v>ဇေယျဝတီ Red</v>
      </c>
      <c r="P1239" s="44">
        <f>VLOOKUP(N1239,Stock[#Data],3,FALSE)</f>
        <v>0.64</v>
      </c>
      <c r="Q1239" s="3">
        <f>VLOOKUP(N1239,Stock[#Data],4,FALSE)</f>
        <v>14</v>
      </c>
      <c r="R1239" s="11"/>
      <c r="S1239" s="45">
        <f>IFERROR(Table4[[#This Row],[Bottle]]/Table4[[#This Row],[ပါဝင်မှု]]+Table4[[#This Row],[SalesPK]],0)</f>
        <v>50</v>
      </c>
      <c r="T1239" s="12">
        <v>50</v>
      </c>
      <c r="U1239" s="10">
        <f>Table4[[#This Row],[ပါဝင်မှု]]*Table4[[#This Row],[SalesPK]]+Table4[[#This Row],[Bottle]]</f>
        <v>700</v>
      </c>
      <c r="V1239" s="10">
        <f>Table4[[#This Row],[SalesBot]]*Table4[[#This Row],[ML]]</f>
        <v>448</v>
      </c>
      <c r="W1239" s="1">
        <f>VLOOKUP(N1239,Stock[#Data],6,FALSE)</f>
        <v>1350</v>
      </c>
      <c r="X1239" s="8">
        <f>+Table4[[#This Row],[SalesBot]]*Table4[[#This Row],[နှုံး]]</f>
        <v>945000</v>
      </c>
      <c r="Y1239" s="12"/>
      <c r="Z1239" s="12"/>
      <c r="AA1239" s="12"/>
      <c r="AB1239" s="9"/>
      <c r="AC1239" s="12"/>
      <c r="AD1239" s="9"/>
      <c r="AE1239" s="12"/>
      <c r="AF123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1239" s="24"/>
      <c r="AH1239" s="266"/>
      <c r="AI1239" s="264"/>
      <c r="AJ1239" s="264"/>
      <c r="AK1239" s="270"/>
      <c r="AL1239" s="270"/>
      <c r="AM1239" s="271"/>
      <c r="AN1239" s="272"/>
      <c r="AO1239" s="273"/>
      <c r="AP1239" s="268"/>
      <c r="AQ1239" s="268"/>
      <c r="AR1239" s="268"/>
    </row>
    <row r="1240" spans="1:44" s="16" customFormat="1" x14ac:dyDescent="0.5">
      <c r="A1240" s="3">
        <f t="shared" si="218"/>
        <v>2026</v>
      </c>
      <c r="B1240" s="8">
        <f t="shared" si="219"/>
        <v>3</v>
      </c>
      <c r="C1240" s="6">
        <v>46093</v>
      </c>
      <c r="D1240" s="15">
        <f t="shared" ca="1" si="220"/>
        <v>46097</v>
      </c>
      <c r="E1240" s="15" t="str">
        <f t="shared" ca="1" si="221"/>
        <v>0-Months</v>
      </c>
      <c r="F1240" s="8" t="str">
        <f>VLOOKUP(N1240,Stock[#Data],5,FALSE)</f>
        <v>BE</v>
      </c>
      <c r="G1240" s="82" t="s">
        <v>1751</v>
      </c>
      <c r="H1240" s="15"/>
      <c r="I1240" s="7" t="s">
        <v>110</v>
      </c>
      <c r="J1240" s="8" t="str">
        <f>VLOOKUP(I1240,Customers[#Data],2,FALSE)</f>
        <v>ပြည့်လျှံ</v>
      </c>
      <c r="K1240" s="15" t="str">
        <f>VLOOKUP(I1240,Customers[#Data],4,FALSE)</f>
        <v>Maw La Myaing</v>
      </c>
      <c r="L1240" s="15" t="str">
        <f>VLOOKUP(I1240,Customers[#Data],5,FALSE)</f>
        <v>WholeSales</v>
      </c>
      <c r="M1240" s="7" t="s">
        <v>6</v>
      </c>
      <c r="N1240" s="7" t="s">
        <v>514</v>
      </c>
      <c r="O1240" s="14" t="str">
        <f>VLOOKUP(N1240,Stock[#Data],2,FALSE)</f>
        <v>ဇေယျဝတီ Red</v>
      </c>
      <c r="P1240" s="44">
        <f>VLOOKUP(N1240,Stock[#Data],3,FALSE)</f>
        <v>0.64</v>
      </c>
      <c r="Q1240" s="3">
        <f>VLOOKUP(N1240,Stock[#Data],4,FALSE)</f>
        <v>14</v>
      </c>
      <c r="R1240" s="11"/>
      <c r="S1240" s="45">
        <f>IFERROR(Table4[[#This Row],[Bottle]]/Table4[[#This Row],[ပါဝင်မှု]]+Table4[[#This Row],[SalesPK]],0)</f>
        <v>100</v>
      </c>
      <c r="T1240" s="12">
        <v>100</v>
      </c>
      <c r="U1240" s="10">
        <f>Table4[[#This Row],[ပါဝင်မှု]]*Table4[[#This Row],[SalesPK]]+Table4[[#This Row],[Bottle]]</f>
        <v>1400</v>
      </c>
      <c r="V1240" s="10">
        <f>Table4[[#This Row],[SalesBot]]*Table4[[#This Row],[ML]]</f>
        <v>896</v>
      </c>
      <c r="W1240" s="1">
        <f>VLOOKUP(N1240,Stock[#Data],6,FALSE)</f>
        <v>1350</v>
      </c>
      <c r="X1240" s="8">
        <f>+Table4[[#This Row],[SalesBot]]*Table4[[#This Row],[နှုံး]]</f>
        <v>1890000</v>
      </c>
      <c r="Y1240" s="12"/>
      <c r="Z1240" s="12"/>
      <c r="AA1240" s="12"/>
      <c r="AB1240" s="9"/>
      <c r="AC1240" s="12"/>
      <c r="AD1240" s="9"/>
      <c r="AE1240" s="12"/>
      <c r="AF124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1240" s="24"/>
      <c r="AH1240" s="266"/>
      <c r="AI1240" s="264"/>
      <c r="AJ1240" s="264"/>
      <c r="AK1240" s="270"/>
      <c r="AL1240" s="270"/>
      <c r="AM1240" s="271"/>
      <c r="AN1240" s="272"/>
      <c r="AO1240" s="273"/>
      <c r="AP1240" s="268"/>
      <c r="AQ1240" s="268"/>
      <c r="AR1240" s="268"/>
    </row>
    <row r="1241" spans="1:44" s="16" customFormat="1" x14ac:dyDescent="0.5">
      <c r="A1241" s="3">
        <f t="shared" si="218"/>
        <v>2026</v>
      </c>
      <c r="B1241" s="8">
        <f t="shared" si="219"/>
        <v>3</v>
      </c>
      <c r="C1241" s="6">
        <v>46093</v>
      </c>
      <c r="D1241" s="15">
        <f t="shared" ca="1" si="220"/>
        <v>46097</v>
      </c>
      <c r="E1241" s="15" t="str">
        <f t="shared" ca="1" si="221"/>
        <v>0-Months</v>
      </c>
      <c r="F1241" s="8" t="str">
        <f>VLOOKUP(N1241,Stock[#Data],5,FALSE)</f>
        <v>BE</v>
      </c>
      <c r="G1241" s="82" t="s">
        <v>1752</v>
      </c>
      <c r="H1241" s="15"/>
      <c r="I1241" s="7" t="s">
        <v>541</v>
      </c>
      <c r="J1241" s="8" t="str">
        <f>VLOOKUP(I1241,Customers[#Data],2,FALSE)</f>
        <v>ကိုကျော်ရွှေ</v>
      </c>
      <c r="K1241" s="15" t="str">
        <f>VLOOKUP(I1241,Customers[#Data],4,FALSE)</f>
        <v>Mudon</v>
      </c>
      <c r="L1241" s="15" t="str">
        <f>VLOOKUP(I1241,Customers[#Data],5,FALSE)</f>
        <v>SemiWholeSales</v>
      </c>
      <c r="M1241" s="7" t="s">
        <v>6</v>
      </c>
      <c r="N1241" s="7" t="s">
        <v>520</v>
      </c>
      <c r="O1241" s="14" t="str">
        <f>VLOOKUP(N1241,Stock[#Data],2,FALSE)</f>
        <v>ဇေယျဝတီ  Red(ပု)</v>
      </c>
      <c r="P1241" s="44">
        <f>VLOOKUP(N1241,Stock[#Data],3,FALSE)</f>
        <v>0.64</v>
      </c>
      <c r="Q1241" s="3">
        <f>VLOOKUP(N1241,Stock[#Data],4,FALSE)</f>
        <v>14</v>
      </c>
      <c r="R1241" s="11"/>
      <c r="S1241" s="45">
        <f>IFERROR(Table4[[#This Row],[Bottle]]/Table4[[#This Row],[ပါဝင်မှု]]+Table4[[#This Row],[SalesPK]],0)</f>
        <v>50</v>
      </c>
      <c r="T1241" s="12">
        <v>50</v>
      </c>
      <c r="U1241" s="10">
        <f>Table4[[#This Row],[ပါဝင်မှု]]*Table4[[#This Row],[SalesPK]]+Table4[[#This Row],[Bottle]]</f>
        <v>700</v>
      </c>
      <c r="V1241" s="10">
        <f>Table4[[#This Row],[SalesBot]]*Table4[[#This Row],[ML]]</f>
        <v>448</v>
      </c>
      <c r="W1241" s="1">
        <f>VLOOKUP(N1241,Stock[#Data],6,FALSE)</f>
        <v>1800</v>
      </c>
      <c r="X1241" s="8">
        <f>+Table4[[#This Row],[SalesBot]]*Table4[[#This Row],[နှုံး]]</f>
        <v>1260000</v>
      </c>
      <c r="Y1241" s="12"/>
      <c r="Z1241" s="12"/>
      <c r="AA1241" s="12"/>
      <c r="AB1241" s="9"/>
      <c r="AC1241" s="12"/>
      <c r="AD1241" s="9"/>
      <c r="AE1241" s="12"/>
      <c r="AF124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1241" s="24"/>
      <c r="AH1241" s="266"/>
      <c r="AI1241" s="264"/>
      <c r="AJ1241" s="264"/>
      <c r="AK1241" s="270"/>
      <c r="AL1241" s="270"/>
      <c r="AM1241" s="271"/>
      <c r="AN1241" s="272"/>
      <c r="AO1241" s="273"/>
      <c r="AP1241" s="268"/>
      <c r="AQ1241" s="268"/>
      <c r="AR1241" s="268"/>
    </row>
    <row r="1242" spans="1:44" s="16" customFormat="1" x14ac:dyDescent="0.5">
      <c r="A1242" s="3">
        <f t="shared" si="218"/>
        <v>2026</v>
      </c>
      <c r="B1242" s="8">
        <f t="shared" si="219"/>
        <v>3</v>
      </c>
      <c r="C1242" s="6">
        <v>46093</v>
      </c>
      <c r="D1242" s="15">
        <f t="shared" ca="1" si="220"/>
        <v>46097</v>
      </c>
      <c r="E1242" s="15" t="str">
        <f t="shared" ca="1" si="221"/>
        <v>0-Months</v>
      </c>
      <c r="F1242" s="8" t="str">
        <f>VLOOKUP(N1242,Stock[#Data],5,FALSE)</f>
        <v>BE</v>
      </c>
      <c r="G1242" s="82" t="s">
        <v>1753</v>
      </c>
      <c r="H1242" s="15"/>
      <c r="I1242" s="7" t="s">
        <v>545</v>
      </c>
      <c r="J1242" s="8" t="str">
        <f>VLOOKUP(I1242,Customers[#Data],2,FALSE)</f>
        <v>ကိုအောင်နိုင်ဦး</v>
      </c>
      <c r="K1242" s="15" t="str">
        <f>VLOOKUP(I1242,Customers[#Data],4,FALSE)</f>
        <v>Mudon</v>
      </c>
      <c r="L1242" s="15" t="str">
        <f>VLOOKUP(I1242,Customers[#Data],5,FALSE)</f>
        <v>SemiWholeSales</v>
      </c>
      <c r="M1242" s="7" t="s">
        <v>6</v>
      </c>
      <c r="N1242" s="7" t="s">
        <v>520</v>
      </c>
      <c r="O1242" s="14" t="str">
        <f>VLOOKUP(N1242,Stock[#Data],2,FALSE)</f>
        <v>ဇေယျဝတီ  Red(ပု)</v>
      </c>
      <c r="P1242" s="44">
        <f>VLOOKUP(N1242,Stock[#Data],3,FALSE)</f>
        <v>0.64</v>
      </c>
      <c r="Q1242" s="3">
        <f>VLOOKUP(N1242,Stock[#Data],4,FALSE)</f>
        <v>14</v>
      </c>
      <c r="R1242" s="11"/>
      <c r="S1242" s="45">
        <f>IFERROR(Table4[[#This Row],[Bottle]]/Table4[[#This Row],[ပါဝင်မှု]]+Table4[[#This Row],[SalesPK]],0)</f>
        <v>100</v>
      </c>
      <c r="T1242" s="12">
        <v>100</v>
      </c>
      <c r="U1242" s="10">
        <f>Table4[[#This Row],[ပါဝင်မှု]]*Table4[[#This Row],[SalesPK]]+Table4[[#This Row],[Bottle]]</f>
        <v>1400</v>
      </c>
      <c r="V1242" s="10">
        <f>Table4[[#This Row],[SalesBot]]*Table4[[#This Row],[ML]]</f>
        <v>896</v>
      </c>
      <c r="W1242" s="1">
        <f>VLOOKUP(N1242,Stock[#Data],6,FALSE)</f>
        <v>1800</v>
      </c>
      <c r="X1242" s="8">
        <f>+Table4[[#This Row],[SalesBot]]*Table4[[#This Row],[နှုံး]]</f>
        <v>2520000</v>
      </c>
      <c r="Y1242" s="12"/>
      <c r="Z1242" s="12"/>
      <c r="AA1242" s="12"/>
      <c r="AB1242" s="9"/>
      <c r="AC1242" s="12"/>
      <c r="AD1242" s="9"/>
      <c r="AE1242" s="12"/>
      <c r="AF124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2520000</v>
      </c>
      <c r="AG1242" s="24"/>
      <c r="AH1242" s="266"/>
      <c r="AI1242" s="264"/>
      <c r="AJ1242" s="264"/>
      <c r="AK1242" s="270"/>
      <c r="AL1242" s="270"/>
      <c r="AM1242" s="271"/>
      <c r="AN1242" s="272"/>
      <c r="AO1242" s="273"/>
      <c r="AP1242" s="268"/>
      <c r="AQ1242" s="268"/>
      <c r="AR1242" s="268"/>
    </row>
    <row r="1243" spans="1:44" s="16" customFormat="1" x14ac:dyDescent="0.5">
      <c r="A1243" s="3">
        <f t="shared" si="218"/>
        <v>2026</v>
      </c>
      <c r="B1243" s="8">
        <f t="shared" si="219"/>
        <v>3</v>
      </c>
      <c r="C1243" s="6">
        <v>46093</v>
      </c>
      <c r="D1243" s="15">
        <f t="shared" ca="1" si="220"/>
        <v>46097</v>
      </c>
      <c r="E1243" s="15" t="str">
        <f t="shared" ca="1" si="221"/>
        <v>0-Months</v>
      </c>
      <c r="F1243" s="8" t="str">
        <f>VLOOKUP(N1243,Stock[#Data],5,FALSE)</f>
        <v>BE</v>
      </c>
      <c r="G1243" s="82" t="s">
        <v>1754</v>
      </c>
      <c r="H1243" s="15"/>
      <c r="I1243" s="7" t="s">
        <v>552</v>
      </c>
      <c r="J1243" s="8" t="str">
        <f>VLOOKUP(I1243,Customers[#Data],2,FALSE)</f>
        <v>၀မ်းဒေါ်လာ</v>
      </c>
      <c r="K1243" s="15" t="str">
        <f>VLOOKUP(I1243,Customers[#Data],4,FALSE)</f>
        <v>Mudon</v>
      </c>
      <c r="L1243" s="15" t="str">
        <f>VLOOKUP(I1243,Customers[#Data],5,FALSE)</f>
        <v>Mini Whole Sales</v>
      </c>
      <c r="M1243" s="7" t="s">
        <v>6</v>
      </c>
      <c r="N1243" s="7" t="s">
        <v>520</v>
      </c>
      <c r="O1243" s="14" t="str">
        <f>VLOOKUP(N1243,Stock[#Data],2,FALSE)</f>
        <v>ဇေယျဝတီ  Red(ပု)</v>
      </c>
      <c r="P1243" s="44">
        <f>VLOOKUP(N1243,Stock[#Data],3,FALSE)</f>
        <v>0.64</v>
      </c>
      <c r="Q1243" s="3">
        <f>VLOOKUP(N1243,Stock[#Data],4,FALSE)</f>
        <v>14</v>
      </c>
      <c r="R1243" s="11"/>
      <c r="S1243" s="45">
        <f>IFERROR(Table4[[#This Row],[Bottle]]/Table4[[#This Row],[ပါဝင်မှု]]+Table4[[#This Row],[SalesPK]],0)</f>
        <v>25</v>
      </c>
      <c r="T1243" s="12">
        <v>25</v>
      </c>
      <c r="U1243" s="10">
        <f>Table4[[#This Row],[ပါဝင်မှု]]*Table4[[#This Row],[SalesPK]]+Table4[[#This Row],[Bottle]]</f>
        <v>350</v>
      </c>
      <c r="V1243" s="10">
        <f>Table4[[#This Row],[SalesBot]]*Table4[[#This Row],[ML]]</f>
        <v>224</v>
      </c>
      <c r="W1243" s="1">
        <f>VLOOKUP(N1243,Stock[#Data],6,FALSE)</f>
        <v>1800</v>
      </c>
      <c r="X1243" s="8">
        <f>+Table4[[#This Row],[SalesBot]]*Table4[[#This Row],[နှုံး]]</f>
        <v>630000</v>
      </c>
      <c r="Y1243" s="12"/>
      <c r="Z1243" s="12"/>
      <c r="AA1243" s="12"/>
      <c r="AB1243" s="9"/>
      <c r="AC1243" s="12"/>
      <c r="AD1243" s="9"/>
      <c r="AE1243" s="12"/>
      <c r="AF124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630000</v>
      </c>
      <c r="AG1243" s="24"/>
      <c r="AH1243" s="266"/>
      <c r="AI1243" s="264"/>
      <c r="AJ1243" s="264"/>
      <c r="AK1243" s="270"/>
      <c r="AL1243" s="270"/>
      <c r="AM1243" s="271"/>
      <c r="AN1243" s="272"/>
      <c r="AO1243" s="273"/>
      <c r="AP1243" s="268"/>
      <c r="AQ1243" s="268"/>
      <c r="AR1243" s="268"/>
    </row>
    <row r="1244" spans="1:44" s="16" customFormat="1" x14ac:dyDescent="0.5">
      <c r="A1244" s="3">
        <f t="shared" si="218"/>
        <v>2026</v>
      </c>
      <c r="B1244" s="8">
        <f t="shared" si="219"/>
        <v>3</v>
      </c>
      <c r="C1244" s="6">
        <v>46093</v>
      </c>
      <c r="D1244" s="15">
        <f t="shared" ca="1" si="220"/>
        <v>46097</v>
      </c>
      <c r="E1244" s="15" t="str">
        <f t="shared" ca="1" si="221"/>
        <v>0-Months</v>
      </c>
      <c r="F1244" s="8" t="str">
        <f>VLOOKUP(N1244,Stock[#Data],5,FALSE)</f>
        <v>BE</v>
      </c>
      <c r="G1244" s="82" t="s">
        <v>1755</v>
      </c>
      <c r="H1244" s="15"/>
      <c r="I1244" s="7" t="s">
        <v>92</v>
      </c>
      <c r="J1244" s="8" t="str">
        <f>VLOOKUP(I1244,Customers[#Data],2,FALSE)</f>
        <v>ကိုမြခက်</v>
      </c>
      <c r="K1244" s="15" t="str">
        <f>VLOOKUP(I1244,Customers[#Data],4,FALSE)</f>
        <v>Yay</v>
      </c>
      <c r="L1244" s="15" t="str">
        <f>VLOOKUP(I1244,Customers[#Data],5,FALSE)</f>
        <v>WholeSales</v>
      </c>
      <c r="M1244" s="7" t="s">
        <v>7</v>
      </c>
      <c r="N1244" s="7" t="s">
        <v>514</v>
      </c>
      <c r="O1244" s="14" t="str">
        <f>VLOOKUP(N1244,Stock[#Data],2,FALSE)</f>
        <v>ဇေယျဝတီ Red</v>
      </c>
      <c r="P1244" s="44">
        <f>VLOOKUP(N1244,Stock[#Data],3,FALSE)</f>
        <v>0.64</v>
      </c>
      <c r="Q1244" s="3">
        <f>VLOOKUP(N1244,Stock[#Data],4,FALSE)</f>
        <v>14</v>
      </c>
      <c r="R1244" s="11"/>
      <c r="S1244" s="45">
        <f>IFERROR(Table4[[#This Row],[Bottle]]/Table4[[#This Row],[ပါဝင်မှု]]+Table4[[#This Row],[SalesPK]],0)</f>
        <v>200</v>
      </c>
      <c r="T1244" s="12">
        <v>200</v>
      </c>
      <c r="U1244" s="10">
        <f>Table4[[#This Row],[ပါဝင်မှု]]*Table4[[#This Row],[SalesPK]]+Table4[[#This Row],[Bottle]]</f>
        <v>2800</v>
      </c>
      <c r="V1244" s="10">
        <f>Table4[[#This Row],[SalesBot]]*Table4[[#This Row],[ML]]</f>
        <v>1792</v>
      </c>
      <c r="W1244" s="1">
        <f>VLOOKUP(N1244,Stock[#Data],6,FALSE)</f>
        <v>1350</v>
      </c>
      <c r="X1244" s="8">
        <f>+Table4[[#This Row],[SalesBot]]*Table4[[#This Row],[နှုံး]]</f>
        <v>3780000</v>
      </c>
      <c r="Y1244" s="12"/>
      <c r="Z1244" s="12"/>
      <c r="AA1244" s="12"/>
      <c r="AB1244" s="9">
        <v>46084</v>
      </c>
      <c r="AC1244" s="12">
        <v>378000</v>
      </c>
      <c r="AD1244" s="9"/>
      <c r="AE1244" s="12"/>
      <c r="AF124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3402000</v>
      </c>
      <c r="AG1244" s="24"/>
      <c r="AH1244" s="266"/>
      <c r="AI1244" s="264"/>
      <c r="AJ1244" s="264"/>
      <c r="AK1244" s="270"/>
      <c r="AL1244" s="270"/>
      <c r="AM1244" s="271"/>
      <c r="AN1244" s="272"/>
      <c r="AO1244" s="273"/>
      <c r="AP1244" s="268"/>
      <c r="AQ1244" s="268"/>
      <c r="AR1244" s="268"/>
    </row>
    <row r="1245" spans="1:44" s="16" customFormat="1" x14ac:dyDescent="0.5">
      <c r="A1245" s="3">
        <f t="shared" si="218"/>
        <v>2026</v>
      </c>
      <c r="B1245" s="8">
        <f t="shared" si="219"/>
        <v>3</v>
      </c>
      <c r="C1245" s="6">
        <v>46093</v>
      </c>
      <c r="D1245" s="15">
        <f t="shared" ca="1" si="220"/>
        <v>46097</v>
      </c>
      <c r="E1245" s="15" t="str">
        <f t="shared" ca="1" si="221"/>
        <v>0-Months</v>
      </c>
      <c r="F1245" s="8" t="str">
        <f>VLOOKUP(N1245,Stock[#Data],5,FALSE)</f>
        <v>BE</v>
      </c>
      <c r="G1245" s="82" t="s">
        <v>1755</v>
      </c>
      <c r="H1245" s="15"/>
      <c r="I1245" s="7" t="s">
        <v>92</v>
      </c>
      <c r="J1245" s="8" t="str">
        <f>VLOOKUP(I1245,Customers[#Data],2,FALSE)</f>
        <v>ကိုမြခက်</v>
      </c>
      <c r="K1245" s="15" t="str">
        <f>VLOOKUP(I1245,Customers[#Data],4,FALSE)</f>
        <v>Yay</v>
      </c>
      <c r="L1245" s="15" t="str">
        <f>VLOOKUP(I1245,Customers[#Data],5,FALSE)</f>
        <v>WholeSales</v>
      </c>
      <c r="M1245" s="7" t="s">
        <v>7</v>
      </c>
      <c r="N1245" s="7" t="s">
        <v>517</v>
      </c>
      <c r="O1245" s="14" t="str">
        <f>VLOOKUP(N1245,Stock[#Data],2,FALSE)</f>
        <v>ဇေယျဝတီ Red (1 Liter) 30%</v>
      </c>
      <c r="P1245" s="44">
        <f>VLOOKUP(N1245,Stock[#Data],3,FALSE)</f>
        <v>1</v>
      </c>
      <c r="Q1245" s="3">
        <f>VLOOKUP(N1245,Stock[#Data],4,FALSE)</f>
        <v>12</v>
      </c>
      <c r="R1245" s="11"/>
      <c r="S1245" s="45">
        <f>IFERROR(Table4[[#This Row],[Bottle]]/Table4[[#This Row],[ပါဝင်မှု]]+Table4[[#This Row],[SalesPK]],0)</f>
        <v>50</v>
      </c>
      <c r="T1245" s="12">
        <v>50</v>
      </c>
      <c r="U1245" s="10">
        <f>Table4[[#This Row],[ပါဝင်မှု]]*Table4[[#This Row],[SalesPK]]+Table4[[#This Row],[Bottle]]</f>
        <v>600</v>
      </c>
      <c r="V1245" s="10">
        <f>Table4[[#This Row],[SalesBot]]*Table4[[#This Row],[ML]]</f>
        <v>600</v>
      </c>
      <c r="W1245" s="1">
        <f>VLOOKUP(N1245,Stock[#Data],6,FALSE)</f>
        <v>1710</v>
      </c>
      <c r="X1245" s="8">
        <f>+Table4[[#This Row],[SalesBot]]*Table4[[#This Row],[နှုံး]]</f>
        <v>1026000</v>
      </c>
      <c r="Y1245" s="12"/>
      <c r="Z1245" s="12"/>
      <c r="AA1245" s="12"/>
      <c r="AB1245" s="9"/>
      <c r="AC1245" s="12"/>
      <c r="AD1245" s="9"/>
      <c r="AE1245" s="12"/>
      <c r="AF124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1245" s="24"/>
      <c r="AH1245" s="266"/>
      <c r="AI1245" s="264"/>
      <c r="AJ1245" s="264"/>
      <c r="AK1245" s="270"/>
      <c r="AL1245" s="270"/>
      <c r="AM1245" s="271"/>
      <c r="AN1245" s="272"/>
      <c r="AO1245" s="273"/>
      <c r="AP1245" s="268"/>
      <c r="AQ1245" s="268"/>
      <c r="AR1245" s="268"/>
    </row>
    <row r="1246" spans="1:44" s="16" customFormat="1" x14ac:dyDescent="0.5">
      <c r="A1246" s="3">
        <f t="shared" si="218"/>
        <v>2026</v>
      </c>
      <c r="B1246" s="8">
        <f t="shared" si="219"/>
        <v>3</v>
      </c>
      <c r="C1246" s="6">
        <v>46093</v>
      </c>
      <c r="D1246" s="15">
        <f t="shared" ca="1" si="220"/>
        <v>46097</v>
      </c>
      <c r="E1246" s="15" t="str">
        <f t="shared" ca="1" si="221"/>
        <v>0-Months</v>
      </c>
      <c r="F1246" s="8" t="str">
        <f>VLOOKUP(N1246,Stock[#Data],5,FALSE)</f>
        <v>BE</v>
      </c>
      <c r="G1246" s="82" t="s">
        <v>1756</v>
      </c>
      <c r="H1246" s="15"/>
      <c r="I1246" s="7" t="s">
        <v>543</v>
      </c>
      <c r="J1246" s="8" t="str">
        <f>VLOOKUP(I1246,Customers[#Data],2,FALSE)</f>
        <v>ဒေါ်မိစိန်</v>
      </c>
      <c r="K1246" s="15" t="str">
        <f>VLOOKUP(I1246,Customers[#Data],4,FALSE)</f>
        <v>Yay</v>
      </c>
      <c r="L1246" s="15" t="str">
        <f>VLOOKUP(I1246,Customers[#Data],5,FALSE)</f>
        <v>SemiWholeSales</v>
      </c>
      <c r="M1246" s="7" t="s">
        <v>7</v>
      </c>
      <c r="N1246" s="7" t="s">
        <v>517</v>
      </c>
      <c r="O1246" s="14" t="str">
        <f>VLOOKUP(N1246,Stock[#Data],2,FALSE)</f>
        <v>ဇေယျဝတီ Red (1 Liter) 30%</v>
      </c>
      <c r="P1246" s="44">
        <f>VLOOKUP(N1246,Stock[#Data],3,FALSE)</f>
        <v>1</v>
      </c>
      <c r="Q1246" s="3">
        <f>VLOOKUP(N1246,Stock[#Data],4,FALSE)</f>
        <v>12</v>
      </c>
      <c r="R1246" s="11"/>
      <c r="S1246" s="45">
        <f>IFERROR(Table4[[#This Row],[Bottle]]/Table4[[#This Row],[ပါဝင်မှု]]+Table4[[#This Row],[SalesPK]],0)</f>
        <v>100</v>
      </c>
      <c r="T1246" s="12">
        <v>100</v>
      </c>
      <c r="U1246" s="10">
        <f>Table4[[#This Row],[ပါဝင်မှု]]*Table4[[#This Row],[SalesPK]]+Table4[[#This Row],[Bottle]]</f>
        <v>1200</v>
      </c>
      <c r="V1246" s="10">
        <f>Table4[[#This Row],[SalesBot]]*Table4[[#This Row],[ML]]</f>
        <v>1200</v>
      </c>
      <c r="W1246" s="1">
        <f>VLOOKUP(N1246,Stock[#Data],6,FALSE)</f>
        <v>1710</v>
      </c>
      <c r="X1246" s="8">
        <f>+Table4[[#This Row],[SalesBot]]*Table4[[#This Row],[နှုံး]]</f>
        <v>2052000</v>
      </c>
      <c r="Y1246" s="12"/>
      <c r="Z1246" s="12"/>
      <c r="AA1246" s="12"/>
      <c r="AB1246" s="9"/>
      <c r="AC1246" s="12"/>
      <c r="AD1246" s="9"/>
      <c r="AE1246" s="12"/>
      <c r="AF124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246" s="24"/>
      <c r="AH1246" s="266"/>
      <c r="AI1246" s="264"/>
      <c r="AJ1246" s="264"/>
      <c r="AK1246" s="270"/>
      <c r="AL1246" s="270"/>
      <c r="AM1246" s="271"/>
      <c r="AN1246" s="272"/>
      <c r="AO1246" s="273"/>
      <c r="AP1246" s="268"/>
      <c r="AQ1246" s="268"/>
      <c r="AR1246" s="268"/>
    </row>
    <row r="1247" spans="1:44" s="16" customFormat="1" x14ac:dyDescent="0.5">
      <c r="A1247" s="3">
        <f t="shared" si="218"/>
        <v>2026</v>
      </c>
      <c r="B1247" s="8">
        <f t="shared" si="219"/>
        <v>3</v>
      </c>
      <c r="C1247" s="6">
        <v>46093</v>
      </c>
      <c r="D1247" s="15">
        <f t="shared" ca="1" si="220"/>
        <v>46097</v>
      </c>
      <c r="E1247" s="15" t="str">
        <f t="shared" ca="1" si="221"/>
        <v>0-Months</v>
      </c>
      <c r="F1247" s="8" t="str">
        <f>VLOOKUP(N1247,Stock[#Data],5,FALSE)</f>
        <v>BE</v>
      </c>
      <c r="G1247" s="82" t="s">
        <v>1757</v>
      </c>
      <c r="H1247" s="15"/>
      <c r="I1247" s="7" t="s">
        <v>82</v>
      </c>
      <c r="J1247" s="8" t="str">
        <f>VLOOKUP(I1247,Customers[#Data],2,FALSE)</f>
        <v>ဒေါ်ထွန်းမေ</v>
      </c>
      <c r="K1247" s="15" t="str">
        <f>VLOOKUP(I1247,Customers[#Data],4,FALSE)</f>
        <v>Maw La Myaing</v>
      </c>
      <c r="L1247" s="15" t="str">
        <f>VLOOKUP(I1247,Customers[#Data],5,FALSE)</f>
        <v>WholeSales</v>
      </c>
      <c r="M1247" s="7" t="s">
        <v>7</v>
      </c>
      <c r="N1247" s="7" t="s">
        <v>521</v>
      </c>
      <c r="O1247" s="14" t="str">
        <f>VLOOKUP(N1247,Stock[#Data],2,FALSE)</f>
        <v>ဒဂုံအရက်သန့်</v>
      </c>
      <c r="P1247" s="44">
        <f>VLOOKUP(N1247,Stock[#Data],3,FALSE)</f>
        <v>0.64</v>
      </c>
      <c r="Q1247" s="3">
        <f>VLOOKUP(N1247,Stock[#Data],4,FALSE)</f>
        <v>24</v>
      </c>
      <c r="R1247" s="11"/>
      <c r="S1247" s="45">
        <f>IFERROR(Table4[[#This Row],[Bottle]]/Table4[[#This Row],[ပါဝင်မှု]]+Table4[[#This Row],[SalesPK]],0)</f>
        <v>60</v>
      </c>
      <c r="T1247" s="12">
        <v>60</v>
      </c>
      <c r="U1247" s="10">
        <f>Table4[[#This Row],[ပါဝင်မှု]]*Table4[[#This Row],[SalesPK]]+Table4[[#This Row],[Bottle]]</f>
        <v>1440</v>
      </c>
      <c r="V1247" s="10">
        <f>Table4[[#This Row],[SalesBot]]*Table4[[#This Row],[ML]]</f>
        <v>921.6</v>
      </c>
      <c r="W1247" s="1">
        <f>VLOOKUP(N1247,Stock[#Data],6,FALSE)</f>
        <v>1350</v>
      </c>
      <c r="X1247" s="8">
        <f>+Table4[[#This Row],[SalesBot]]*Table4[[#This Row],[နှုံး]]</f>
        <v>1944000</v>
      </c>
      <c r="Y1247" s="12"/>
      <c r="Z1247" s="12"/>
      <c r="AA1247" s="12"/>
      <c r="AB1247" s="9"/>
      <c r="AC1247" s="12"/>
      <c r="AD1247" s="9"/>
      <c r="AE1247" s="12"/>
      <c r="AF124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1944000</v>
      </c>
      <c r="AG1247" s="24"/>
      <c r="AH1247" s="266"/>
      <c r="AI1247" s="264"/>
      <c r="AJ1247" s="264"/>
      <c r="AK1247" s="270"/>
      <c r="AL1247" s="270"/>
      <c r="AM1247" s="271"/>
      <c r="AN1247" s="272"/>
      <c r="AO1247" s="273"/>
      <c r="AP1247" s="268"/>
      <c r="AQ1247" s="268"/>
      <c r="AR1247" s="268"/>
    </row>
    <row r="1248" spans="1:44" s="16" customFormat="1" x14ac:dyDescent="0.5">
      <c r="A1248" s="3">
        <f t="shared" si="218"/>
        <v>2026</v>
      </c>
      <c r="B1248" s="8">
        <f t="shared" si="219"/>
        <v>3</v>
      </c>
      <c r="C1248" s="6">
        <v>46094</v>
      </c>
      <c r="D1248" s="15">
        <f t="shared" ca="1" si="220"/>
        <v>46097</v>
      </c>
      <c r="E1248" s="15" t="str">
        <f t="shared" ca="1" si="221"/>
        <v>0-Months</v>
      </c>
      <c r="F1248" s="8" t="str">
        <f>VLOOKUP(N1248,Stock[#Data],5,FALSE)</f>
        <v>BE</v>
      </c>
      <c r="G1248" s="82" t="s">
        <v>1758</v>
      </c>
      <c r="H1248" s="15"/>
      <c r="I1248" s="7" t="s">
        <v>594</v>
      </c>
      <c r="J1248" s="8" t="str">
        <f>VLOOKUP(I1248,Customers[#Data],2,FALSE)</f>
        <v>နိုင်ကျော်</v>
      </c>
      <c r="K1248" s="15" t="str">
        <f>VLOOKUP(I1248,Customers[#Data],4,FALSE)</f>
        <v>Maw La Myaing</v>
      </c>
      <c r="L1248" s="15" t="str">
        <f>VLOOKUP(I1248,Customers[#Data],5,FALSE)</f>
        <v>Van Sales</v>
      </c>
      <c r="M1248" s="7" t="s">
        <v>6</v>
      </c>
      <c r="N1248" s="7" t="s">
        <v>518</v>
      </c>
      <c r="O1248" s="14" t="str">
        <f>VLOOKUP(N1248,Stock[#Data],2,FALSE)</f>
        <v>"ဇေ" ကော်ဘူး (1 Liter)</v>
      </c>
      <c r="P1248" s="44">
        <f>VLOOKUP(N1248,Stock[#Data],3,FALSE)</f>
        <v>1</v>
      </c>
      <c r="Q1248" s="3">
        <f>VLOOKUP(N1248,Stock[#Data],4,FALSE)</f>
        <v>12</v>
      </c>
      <c r="R1248" s="11"/>
      <c r="S1248" s="45">
        <f>IFERROR(Table4[[#This Row],[Bottle]]/Table4[[#This Row],[ပါဝင်မှု]]+Table4[[#This Row],[SalesPK]],0)</f>
        <v>15</v>
      </c>
      <c r="T1248" s="12">
        <v>15</v>
      </c>
      <c r="U1248" s="10">
        <f>Table4[[#This Row],[ပါဝင်မှု]]*Table4[[#This Row],[SalesPK]]+Table4[[#This Row],[Bottle]]</f>
        <v>180</v>
      </c>
      <c r="V1248" s="10">
        <f>Table4[[#This Row],[SalesBot]]*Table4[[#This Row],[ML]]</f>
        <v>180</v>
      </c>
      <c r="W1248" s="1">
        <f>VLOOKUP(N1248,Stock[#Data],6,FALSE)</f>
        <v>1675</v>
      </c>
      <c r="X1248" s="8">
        <f>+Table4[[#This Row],[SalesBot]]*Table4[[#This Row],[နှုံး]]</f>
        <v>301500</v>
      </c>
      <c r="Y1248" s="12"/>
      <c r="Z1248" s="12"/>
      <c r="AA1248" s="12"/>
      <c r="AB1248" s="9"/>
      <c r="AC1248" s="12"/>
      <c r="AD1248" s="9"/>
      <c r="AE1248" s="12"/>
      <c r="AF124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301500</v>
      </c>
      <c r="AG1248" s="24"/>
      <c r="AH1248" s="266"/>
      <c r="AI1248" s="264"/>
      <c r="AJ1248" s="264"/>
      <c r="AK1248" s="270"/>
      <c r="AL1248" s="270"/>
      <c r="AM1248" s="271"/>
      <c r="AN1248" s="272"/>
      <c r="AO1248" s="273"/>
      <c r="AP1248" s="268"/>
      <c r="AQ1248" s="268"/>
      <c r="AR1248" s="268"/>
    </row>
    <row r="1249" spans="1:44" s="16" customFormat="1" x14ac:dyDescent="0.5">
      <c r="A1249" s="3">
        <f t="shared" si="218"/>
        <v>2026</v>
      </c>
      <c r="B1249" s="8">
        <f t="shared" si="219"/>
        <v>3</v>
      </c>
      <c r="C1249" s="6">
        <v>46094</v>
      </c>
      <c r="D1249" s="15">
        <f t="shared" ca="1" si="220"/>
        <v>46097</v>
      </c>
      <c r="E1249" s="15" t="str">
        <f t="shared" ca="1" si="221"/>
        <v>0-Months</v>
      </c>
      <c r="F1249" s="8" t="str">
        <f>VLOOKUP(N1249,Stock[#Data],5,FALSE)</f>
        <v>BE</v>
      </c>
      <c r="G1249" s="82" t="s">
        <v>1754</v>
      </c>
      <c r="H1249" s="15"/>
      <c r="I1249" s="7" t="s">
        <v>97</v>
      </c>
      <c r="J1249" s="8" t="str">
        <f>VLOOKUP(I1249,Customers[#Data],2,FALSE)</f>
        <v>ကိုဘာဘူ</v>
      </c>
      <c r="K1249" s="15" t="str">
        <f>VLOOKUP(I1249,Customers[#Data],4,FALSE)</f>
        <v>Hpa-an</v>
      </c>
      <c r="L1249" s="15" t="str">
        <f>VLOOKUP(I1249,Customers[#Data],5,FALSE)</f>
        <v>SemiWholeSales</v>
      </c>
      <c r="M1249" s="7" t="s">
        <v>6</v>
      </c>
      <c r="N1249" s="7" t="s">
        <v>514</v>
      </c>
      <c r="O1249" s="14" t="str">
        <f>VLOOKUP(N1249,Stock[#Data],2,FALSE)</f>
        <v>ဇေယျဝတီ Red</v>
      </c>
      <c r="P1249" s="44">
        <f>VLOOKUP(N1249,Stock[#Data],3,FALSE)</f>
        <v>0.64</v>
      </c>
      <c r="Q1249" s="3">
        <f>VLOOKUP(N1249,Stock[#Data],4,FALSE)</f>
        <v>14</v>
      </c>
      <c r="R1249" s="11"/>
      <c r="S1249" s="45">
        <f>IFERROR(Table4[[#This Row],[Bottle]]/Table4[[#This Row],[ပါဝင်မှု]]+Table4[[#This Row],[SalesPK]],0)</f>
        <v>150</v>
      </c>
      <c r="T1249" s="12">
        <v>150</v>
      </c>
      <c r="U1249" s="10">
        <f>Table4[[#This Row],[ပါဝင်မှု]]*Table4[[#This Row],[SalesPK]]+Table4[[#This Row],[Bottle]]</f>
        <v>2100</v>
      </c>
      <c r="V1249" s="10">
        <f>Table4[[#This Row],[SalesBot]]*Table4[[#This Row],[ML]]</f>
        <v>1344</v>
      </c>
      <c r="W1249" s="1">
        <f>VLOOKUP(N1249,Stock[#Data],6,FALSE)</f>
        <v>1350</v>
      </c>
      <c r="X1249" s="8">
        <f>+Table4[[#This Row],[SalesBot]]*Table4[[#This Row],[နှုံး]]</f>
        <v>2835000</v>
      </c>
      <c r="Y1249" s="12"/>
      <c r="Z1249" s="12"/>
      <c r="AA1249" s="12"/>
      <c r="AB1249" s="9"/>
      <c r="AC1249" s="12"/>
      <c r="AD1249" s="9"/>
      <c r="AE1249" s="12"/>
      <c r="AF124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2835000</v>
      </c>
      <c r="AG1249" s="24"/>
      <c r="AH1249" s="266"/>
      <c r="AI1249" s="264"/>
      <c r="AJ1249" s="264"/>
      <c r="AK1249" s="270"/>
      <c r="AL1249" s="270"/>
      <c r="AM1249" s="271"/>
      <c r="AN1249" s="272"/>
      <c r="AO1249" s="273"/>
      <c r="AP1249" s="268"/>
      <c r="AQ1249" s="268"/>
      <c r="AR1249" s="268"/>
    </row>
    <row r="1250" spans="1:44" s="16" customFormat="1" x14ac:dyDescent="0.5">
      <c r="A1250" s="3">
        <f t="shared" si="218"/>
        <v>2026</v>
      </c>
      <c r="B1250" s="8">
        <f t="shared" si="219"/>
        <v>3</v>
      </c>
      <c r="C1250" s="6">
        <v>46094</v>
      </c>
      <c r="D1250" s="15">
        <f t="shared" ca="1" si="220"/>
        <v>46097</v>
      </c>
      <c r="E1250" s="15" t="str">
        <f t="shared" ca="1" si="221"/>
        <v>0-Months</v>
      </c>
      <c r="F1250" s="8" t="str">
        <f>VLOOKUP(N1250,Stock[#Data],5,FALSE)</f>
        <v>BE</v>
      </c>
      <c r="G1250" s="82" t="s">
        <v>1754</v>
      </c>
      <c r="H1250" s="15"/>
      <c r="I1250" s="7" t="s">
        <v>97</v>
      </c>
      <c r="J1250" s="8" t="str">
        <f>VLOOKUP(I1250,Customers[#Data],2,FALSE)</f>
        <v>ကိုဘာဘူ</v>
      </c>
      <c r="K1250" s="15" t="str">
        <f>VLOOKUP(I1250,Customers[#Data],4,FALSE)</f>
        <v>Hpa-an</v>
      </c>
      <c r="L1250" s="15" t="str">
        <f>VLOOKUP(I1250,Customers[#Data],5,FALSE)</f>
        <v>SemiWholeSales</v>
      </c>
      <c r="M1250" s="7" t="s">
        <v>6</v>
      </c>
      <c r="N1250" s="7" t="s">
        <v>517</v>
      </c>
      <c r="O1250" s="14" t="str">
        <f>VLOOKUP(N1250,Stock[#Data],2,FALSE)</f>
        <v>ဇေယျဝတီ Red (1 Liter) 30%</v>
      </c>
      <c r="P1250" s="44">
        <f>VLOOKUP(N1250,Stock[#Data],3,FALSE)</f>
        <v>1</v>
      </c>
      <c r="Q1250" s="3">
        <f>VLOOKUP(N1250,Stock[#Data],4,FALSE)</f>
        <v>12</v>
      </c>
      <c r="R1250" s="11"/>
      <c r="S1250" s="45">
        <f>IFERROR(Table4[[#This Row],[Bottle]]/Table4[[#This Row],[ပါဝင်မှု]]+Table4[[#This Row],[SalesPK]],0)</f>
        <v>50</v>
      </c>
      <c r="T1250" s="12">
        <v>50</v>
      </c>
      <c r="U1250" s="10">
        <f>Table4[[#This Row],[ပါဝင်မှု]]*Table4[[#This Row],[SalesPK]]+Table4[[#This Row],[Bottle]]</f>
        <v>600</v>
      </c>
      <c r="V1250" s="10">
        <f>Table4[[#This Row],[SalesBot]]*Table4[[#This Row],[ML]]</f>
        <v>600</v>
      </c>
      <c r="W1250" s="1">
        <f>VLOOKUP(N1250,Stock[#Data],6,FALSE)</f>
        <v>1710</v>
      </c>
      <c r="X1250" s="8">
        <f>+Table4[[#This Row],[SalesBot]]*Table4[[#This Row],[နှုံး]]</f>
        <v>1026000</v>
      </c>
      <c r="Y1250" s="12"/>
      <c r="Z1250" s="12"/>
      <c r="AA1250" s="12"/>
      <c r="AB1250" s="9"/>
      <c r="AC1250" s="12"/>
      <c r="AD1250" s="9"/>
      <c r="AE1250" s="12"/>
      <c r="AF125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1250" s="24"/>
      <c r="AH1250" s="266"/>
      <c r="AI1250" s="264"/>
      <c r="AJ1250" s="264"/>
      <c r="AK1250" s="270"/>
      <c r="AL1250" s="270"/>
      <c r="AM1250" s="271"/>
      <c r="AN1250" s="272"/>
      <c r="AO1250" s="273"/>
      <c r="AP1250" s="268"/>
      <c r="AQ1250" s="268"/>
      <c r="AR1250" s="268"/>
    </row>
    <row r="1251" spans="1:44" s="16" customFormat="1" x14ac:dyDescent="0.5">
      <c r="A1251" s="3">
        <f t="shared" si="218"/>
        <v>2026</v>
      </c>
      <c r="B1251" s="8">
        <f t="shared" si="219"/>
        <v>3</v>
      </c>
      <c r="C1251" s="6">
        <v>46094</v>
      </c>
      <c r="D1251" s="15">
        <f t="shared" ca="1" si="220"/>
        <v>46097</v>
      </c>
      <c r="E1251" s="15" t="str">
        <f t="shared" ca="1" si="221"/>
        <v>0-Months</v>
      </c>
      <c r="F1251" s="8" t="str">
        <f>VLOOKUP(N1251,Stock[#Data],5,FALSE)</f>
        <v>BE</v>
      </c>
      <c r="G1251" s="82" t="s">
        <v>1759</v>
      </c>
      <c r="H1251" s="15"/>
      <c r="I1251" s="7" t="s">
        <v>583</v>
      </c>
      <c r="J1251" s="8" t="str">
        <f>VLOOKUP(I1251,Customers[#Data],2,FALSE)</f>
        <v>မင်းဆန်းသစ်</v>
      </c>
      <c r="K1251" s="15" t="str">
        <f>VLOOKUP(I1251,Customers[#Data],4,FALSE)</f>
        <v>Maw La Myaing</v>
      </c>
      <c r="L1251" s="15" t="str">
        <f>VLOOKUP(I1251,Customers[#Data],5,FALSE)</f>
        <v>Van Sales</v>
      </c>
      <c r="M1251" s="7" t="s">
        <v>6</v>
      </c>
      <c r="N1251" s="7" t="s">
        <v>516</v>
      </c>
      <c r="O1251" s="14" t="str">
        <f>VLOOKUP(N1251,Stock[#Data],2,FALSE)</f>
        <v>ဇေ Vodka</v>
      </c>
      <c r="P1251" s="44">
        <f>VLOOKUP(N1251,Stock[#Data],3,FALSE)</f>
        <v>0.64</v>
      </c>
      <c r="Q1251" s="3">
        <f>VLOOKUP(N1251,Stock[#Data],4,FALSE)</f>
        <v>14</v>
      </c>
      <c r="R1251" s="11"/>
      <c r="S1251" s="45">
        <f>IFERROR(Table4[[#This Row],[Bottle]]/Table4[[#This Row],[ပါဝင်မှု]]+Table4[[#This Row],[SalesPK]],0)</f>
        <v>5</v>
      </c>
      <c r="T1251" s="12">
        <v>5</v>
      </c>
      <c r="U1251" s="10">
        <f>Table4[[#This Row],[ပါဝင်မှု]]*Table4[[#This Row],[SalesPK]]+Table4[[#This Row],[Bottle]]</f>
        <v>70</v>
      </c>
      <c r="V1251" s="10">
        <f>Table4[[#This Row],[SalesBot]]*Table4[[#This Row],[ML]]</f>
        <v>44.800000000000004</v>
      </c>
      <c r="W1251" s="1">
        <f>VLOOKUP(N1251,Stock[#Data],6,FALSE)</f>
        <v>1400</v>
      </c>
      <c r="X1251" s="8">
        <f>+Table4[[#This Row],[SalesBot]]*Table4[[#This Row],[နှုံး]]</f>
        <v>98000</v>
      </c>
      <c r="Y1251" s="12"/>
      <c r="Z1251" s="12"/>
      <c r="AA1251" s="12"/>
      <c r="AB1251" s="9"/>
      <c r="AC1251" s="12"/>
      <c r="AD1251" s="9"/>
      <c r="AE1251" s="12"/>
      <c r="AF125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98000</v>
      </c>
      <c r="AG1251" s="24"/>
      <c r="AH1251" s="266"/>
      <c r="AI1251" s="264"/>
      <c r="AJ1251" s="264"/>
      <c r="AK1251" s="270"/>
      <c r="AL1251" s="270"/>
      <c r="AM1251" s="271"/>
      <c r="AN1251" s="272"/>
      <c r="AO1251" s="273"/>
      <c r="AP1251" s="268"/>
      <c r="AQ1251" s="268"/>
      <c r="AR1251" s="268"/>
    </row>
    <row r="1252" spans="1:44" s="16" customFormat="1" x14ac:dyDescent="0.5">
      <c r="A1252" s="3">
        <f t="shared" si="218"/>
        <v>2026</v>
      </c>
      <c r="B1252" s="8">
        <f t="shared" si="219"/>
        <v>3</v>
      </c>
      <c r="C1252" s="6">
        <v>46094</v>
      </c>
      <c r="D1252" s="15">
        <f t="shared" ca="1" si="220"/>
        <v>46097</v>
      </c>
      <c r="E1252" s="15" t="str">
        <f t="shared" ca="1" si="221"/>
        <v>0-Months</v>
      </c>
      <c r="F1252" s="8" t="str">
        <f>VLOOKUP(N1252,Stock[#Data],5,FALSE)</f>
        <v>BE</v>
      </c>
      <c r="G1252" s="82" t="s">
        <v>1759</v>
      </c>
      <c r="H1252" s="15"/>
      <c r="I1252" s="7" t="s">
        <v>583</v>
      </c>
      <c r="J1252" s="8" t="str">
        <f>VLOOKUP(I1252,Customers[#Data],2,FALSE)</f>
        <v>မင်းဆန်းသစ်</v>
      </c>
      <c r="K1252" s="15" t="str">
        <f>VLOOKUP(I1252,Customers[#Data],4,FALSE)</f>
        <v>Maw La Myaing</v>
      </c>
      <c r="L1252" s="15" t="str">
        <f>VLOOKUP(I1252,Customers[#Data],5,FALSE)</f>
        <v>Van Sales</v>
      </c>
      <c r="M1252" s="7" t="s">
        <v>6</v>
      </c>
      <c r="N1252" s="7" t="s">
        <v>518</v>
      </c>
      <c r="O1252" s="14" t="str">
        <f>VLOOKUP(N1252,Stock[#Data],2,FALSE)</f>
        <v>"ဇေ" ကော်ဘူး (1 Liter)</v>
      </c>
      <c r="P1252" s="44">
        <f>VLOOKUP(N1252,Stock[#Data],3,FALSE)</f>
        <v>1</v>
      </c>
      <c r="Q1252" s="3">
        <f>VLOOKUP(N1252,Stock[#Data],4,FALSE)</f>
        <v>12</v>
      </c>
      <c r="R1252" s="11"/>
      <c r="S1252" s="45">
        <f>IFERROR(Table4[[#This Row],[Bottle]]/Table4[[#This Row],[ပါဝင်မှု]]+Table4[[#This Row],[SalesPK]],0)</f>
        <v>5</v>
      </c>
      <c r="T1252" s="12">
        <v>5</v>
      </c>
      <c r="U1252" s="10">
        <f>Table4[[#This Row],[ပါဝင်မှု]]*Table4[[#This Row],[SalesPK]]+Table4[[#This Row],[Bottle]]</f>
        <v>60</v>
      </c>
      <c r="V1252" s="10">
        <f>Table4[[#This Row],[SalesBot]]*Table4[[#This Row],[ML]]</f>
        <v>60</v>
      </c>
      <c r="W1252" s="1">
        <f>VLOOKUP(N1252,Stock[#Data],6,FALSE)</f>
        <v>1675</v>
      </c>
      <c r="X1252" s="8">
        <f>+Table4[[#This Row],[SalesBot]]*Table4[[#This Row],[နှုံး]]</f>
        <v>100500</v>
      </c>
      <c r="Y1252" s="12"/>
      <c r="Z1252" s="12"/>
      <c r="AA1252" s="12"/>
      <c r="AB1252" s="9"/>
      <c r="AC1252" s="12"/>
      <c r="AD1252" s="9"/>
      <c r="AE1252" s="12"/>
      <c r="AF125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1252" s="24"/>
      <c r="AH1252" s="266"/>
      <c r="AI1252" s="264"/>
      <c r="AJ1252" s="264"/>
      <c r="AK1252" s="270"/>
      <c r="AL1252" s="270"/>
      <c r="AM1252" s="271"/>
      <c r="AN1252" s="272"/>
      <c r="AO1252" s="273"/>
      <c r="AP1252" s="268"/>
      <c r="AQ1252" s="268"/>
      <c r="AR1252" s="268"/>
    </row>
    <row r="1253" spans="1:44" s="16" customFormat="1" x14ac:dyDescent="0.5">
      <c r="A1253" s="3">
        <f t="shared" si="218"/>
        <v>2026</v>
      </c>
      <c r="B1253" s="8">
        <f t="shared" si="219"/>
        <v>3</v>
      </c>
      <c r="C1253" s="6">
        <v>46094</v>
      </c>
      <c r="D1253" s="15">
        <f t="shared" ca="1" si="220"/>
        <v>46097</v>
      </c>
      <c r="E1253" s="15" t="str">
        <f t="shared" ca="1" si="221"/>
        <v>0-Months</v>
      </c>
      <c r="F1253" s="8" t="str">
        <f>VLOOKUP(N1253,Stock[#Data],5,FALSE)</f>
        <v>BE</v>
      </c>
      <c r="G1253" s="82" t="s">
        <v>1760</v>
      </c>
      <c r="H1253" s="15"/>
      <c r="I1253" s="7" t="s">
        <v>555</v>
      </c>
      <c r="J1253" s="8" t="str">
        <f>VLOOKUP(I1253,Customers[#Data],2,FALSE)</f>
        <v>အနဲကြီး</v>
      </c>
      <c r="K1253" s="15" t="str">
        <f>VLOOKUP(I1253,Customers[#Data],4,FALSE)</f>
        <v>Maw La Myaing</v>
      </c>
      <c r="L1253" s="15" t="str">
        <f>VLOOKUP(I1253,Customers[#Data],5,FALSE)</f>
        <v>Mini Whole Sales</v>
      </c>
      <c r="M1253" s="7" t="s">
        <v>6</v>
      </c>
      <c r="N1253" s="7" t="s">
        <v>516</v>
      </c>
      <c r="O1253" s="14" t="str">
        <f>VLOOKUP(N1253,Stock[#Data],2,FALSE)</f>
        <v>ဇေ Vodka</v>
      </c>
      <c r="P1253" s="44">
        <f>VLOOKUP(N1253,Stock[#Data],3,FALSE)</f>
        <v>0.64</v>
      </c>
      <c r="Q1253" s="3">
        <f>VLOOKUP(N1253,Stock[#Data],4,FALSE)</f>
        <v>14</v>
      </c>
      <c r="R1253" s="11"/>
      <c r="S1253" s="45">
        <f>IFERROR(Table4[[#This Row],[Bottle]]/Table4[[#This Row],[ပါဝင်မှု]]+Table4[[#This Row],[SalesPK]],0)</f>
        <v>10</v>
      </c>
      <c r="T1253" s="12">
        <v>10</v>
      </c>
      <c r="U1253" s="10">
        <f>Table4[[#This Row],[ပါဝင်မှု]]*Table4[[#This Row],[SalesPK]]+Table4[[#This Row],[Bottle]]</f>
        <v>140</v>
      </c>
      <c r="V1253" s="10">
        <f>Table4[[#This Row],[SalesBot]]*Table4[[#This Row],[ML]]</f>
        <v>89.600000000000009</v>
      </c>
      <c r="W1253" s="1">
        <f>VLOOKUP(N1253,Stock[#Data],6,FALSE)</f>
        <v>1400</v>
      </c>
      <c r="X1253" s="8">
        <f>+Table4[[#This Row],[SalesBot]]*Table4[[#This Row],[နှုံး]]</f>
        <v>196000</v>
      </c>
      <c r="Y1253" s="12"/>
      <c r="Z1253" s="12"/>
      <c r="AA1253" s="12"/>
      <c r="AB1253" s="9"/>
      <c r="AC1253" s="12"/>
      <c r="AD1253" s="9"/>
      <c r="AE1253" s="12"/>
      <c r="AF125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196000</v>
      </c>
      <c r="AG1253" s="24"/>
      <c r="AH1253" s="266"/>
      <c r="AI1253" s="264"/>
      <c r="AJ1253" s="264"/>
      <c r="AK1253" s="270"/>
      <c r="AL1253" s="270"/>
      <c r="AM1253" s="271"/>
      <c r="AN1253" s="272"/>
      <c r="AO1253" s="273"/>
      <c r="AP1253" s="268"/>
      <c r="AQ1253" s="268"/>
      <c r="AR1253" s="268"/>
    </row>
    <row r="1254" spans="1:44" s="16" customFormat="1" x14ac:dyDescent="0.5">
      <c r="A1254" s="3">
        <f t="shared" si="218"/>
        <v>2026</v>
      </c>
      <c r="B1254" s="8">
        <f t="shared" si="219"/>
        <v>3</v>
      </c>
      <c r="C1254" s="6">
        <v>46094</v>
      </c>
      <c r="D1254" s="15">
        <f t="shared" ca="1" si="220"/>
        <v>46097</v>
      </c>
      <c r="E1254" s="15" t="str">
        <f t="shared" ca="1" si="221"/>
        <v>0-Months</v>
      </c>
      <c r="F1254" s="8" t="str">
        <f>VLOOKUP(N1254,Stock[#Data],5,FALSE)</f>
        <v>BE</v>
      </c>
      <c r="G1254" s="82" t="s">
        <v>1761</v>
      </c>
      <c r="H1254" s="15"/>
      <c r="I1254" s="7" t="s">
        <v>749</v>
      </c>
      <c r="J1254" s="8" t="str">
        <f>VLOOKUP(I1254,Customers[#Data],2,FALSE)</f>
        <v>ဦး၀င်းမြင့်</v>
      </c>
      <c r="K1254" s="15" t="str">
        <f>VLOOKUP(I1254,Customers[#Data],4,FALSE)</f>
        <v>Maw La Myaing</v>
      </c>
      <c r="L1254" s="15" t="str">
        <f>VLOOKUP(I1254,Customers[#Data],5,FALSE)</f>
        <v>Van Sales</v>
      </c>
      <c r="M1254" s="7" t="s">
        <v>6</v>
      </c>
      <c r="N1254" s="7" t="s">
        <v>519</v>
      </c>
      <c r="O1254" s="14" t="str">
        <f>VLOOKUP(N1254,Stock[#Data],2,FALSE)</f>
        <v>ဇေယျဝတီ High 43%</v>
      </c>
      <c r="P1254" s="44">
        <f>VLOOKUP(N1254,Stock[#Data],3,FALSE)</f>
        <v>0.64</v>
      </c>
      <c r="Q1254" s="3">
        <f>VLOOKUP(N1254,Stock[#Data],4,FALSE)</f>
        <v>14</v>
      </c>
      <c r="R1254" s="11"/>
      <c r="S1254" s="45">
        <f>IFERROR(Table4[[#This Row],[Bottle]]/Table4[[#This Row],[ပါဝင်မှု]]+Table4[[#This Row],[SalesPK]],0)</f>
        <v>50</v>
      </c>
      <c r="T1254" s="12">
        <v>50</v>
      </c>
      <c r="U1254" s="10">
        <f>Table4[[#This Row],[ပါဝင်မှု]]*Table4[[#This Row],[SalesPK]]+Table4[[#This Row],[Bottle]]</f>
        <v>700</v>
      </c>
      <c r="V1254" s="10">
        <f>Table4[[#This Row],[SalesBot]]*Table4[[#This Row],[ML]]</f>
        <v>448</v>
      </c>
      <c r="W1254" s="1">
        <f>VLOOKUP(N1254,Stock[#Data],6,FALSE)</f>
        <v>1500</v>
      </c>
      <c r="X1254" s="8">
        <f>+Table4[[#This Row],[SalesBot]]*Table4[[#This Row],[နှုံး]]</f>
        <v>1050000</v>
      </c>
      <c r="Y1254" s="12"/>
      <c r="Z1254" s="12"/>
      <c r="AA1254" s="12"/>
      <c r="AB1254" s="9"/>
      <c r="AC1254" s="12"/>
      <c r="AD1254" s="9"/>
      <c r="AE1254" s="12"/>
      <c r="AF125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1050000</v>
      </c>
      <c r="AG1254" s="24"/>
      <c r="AH1254" s="266"/>
      <c r="AI1254" s="264"/>
      <c r="AJ1254" s="264"/>
      <c r="AK1254" s="270"/>
      <c r="AL1254" s="270"/>
      <c r="AM1254" s="271"/>
      <c r="AN1254" s="272"/>
      <c r="AO1254" s="273"/>
      <c r="AP1254" s="268"/>
      <c r="AQ1254" s="268"/>
      <c r="AR1254" s="268"/>
    </row>
    <row r="1255" spans="1:44" s="16" customFormat="1" x14ac:dyDescent="0.5">
      <c r="A1255" s="3">
        <f t="shared" si="218"/>
        <v>2026</v>
      </c>
      <c r="B1255" s="8">
        <f t="shared" si="219"/>
        <v>3</v>
      </c>
      <c r="C1255" s="6">
        <v>46094</v>
      </c>
      <c r="D1255" s="15">
        <f t="shared" ca="1" si="220"/>
        <v>46097</v>
      </c>
      <c r="E1255" s="15" t="str">
        <f t="shared" ca="1" si="221"/>
        <v>0-Months</v>
      </c>
      <c r="F1255" s="8" t="str">
        <f>VLOOKUP(N1255,Stock[#Data],5,FALSE)</f>
        <v>BE</v>
      </c>
      <c r="G1255" s="82" t="s">
        <v>1762</v>
      </c>
      <c r="H1255" s="15"/>
      <c r="I1255" s="7" t="s">
        <v>115</v>
      </c>
      <c r="J1255" s="8" t="str">
        <f>VLOOKUP(I1255,Customers[#Data],2,FALSE)</f>
        <v>မ‌ချော</v>
      </c>
      <c r="K1255" s="15" t="str">
        <f>VLOOKUP(I1255,Customers[#Data],4,FALSE)</f>
        <v>Yay</v>
      </c>
      <c r="L1255" s="15" t="str">
        <f>VLOOKUP(I1255,Customers[#Data],5,FALSE)</f>
        <v>SemiWholeSales</v>
      </c>
      <c r="M1255" s="7" t="s">
        <v>6</v>
      </c>
      <c r="N1255" s="7" t="s">
        <v>517</v>
      </c>
      <c r="O1255" s="14" t="str">
        <f>VLOOKUP(N1255,Stock[#Data],2,FALSE)</f>
        <v>ဇေယျဝတီ Red (1 Liter) 30%</v>
      </c>
      <c r="P1255" s="44">
        <f>VLOOKUP(N1255,Stock[#Data],3,FALSE)</f>
        <v>1</v>
      </c>
      <c r="Q1255" s="3">
        <f>VLOOKUP(N1255,Stock[#Data],4,FALSE)</f>
        <v>12</v>
      </c>
      <c r="R1255" s="11"/>
      <c r="S1255" s="45">
        <f>IFERROR(Table4[[#This Row],[Bottle]]/Table4[[#This Row],[ပါဝင်မှု]]+Table4[[#This Row],[SalesPK]],0)</f>
        <v>1000</v>
      </c>
      <c r="T1255" s="12">
        <v>1000</v>
      </c>
      <c r="U1255" s="10">
        <f>Table4[[#This Row],[ပါဝင်မှု]]*Table4[[#This Row],[SalesPK]]+Table4[[#This Row],[Bottle]]</f>
        <v>12000</v>
      </c>
      <c r="V1255" s="10">
        <f>Table4[[#This Row],[SalesBot]]*Table4[[#This Row],[ML]]</f>
        <v>12000</v>
      </c>
      <c r="W1255" s="1">
        <f>VLOOKUP(N1255,Stock[#Data],6,FALSE)</f>
        <v>1710</v>
      </c>
      <c r="X1255" s="8">
        <f>+Table4[[#This Row],[SalesBot]]*Table4[[#This Row],[နှုံး]]</f>
        <v>20520000</v>
      </c>
      <c r="Y1255" s="12"/>
      <c r="Z1255" s="12"/>
      <c r="AA1255" s="12"/>
      <c r="AB1255" s="9"/>
      <c r="AC1255" s="12"/>
      <c r="AD1255" s="9"/>
      <c r="AE1255" s="12"/>
      <c r="AF125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20520000</v>
      </c>
      <c r="AG1255" s="24"/>
      <c r="AH1255" s="266"/>
      <c r="AI1255" s="264"/>
      <c r="AJ1255" s="264"/>
      <c r="AK1255" s="270"/>
      <c r="AL1255" s="270"/>
      <c r="AM1255" s="271"/>
      <c r="AN1255" s="272"/>
      <c r="AO1255" s="273"/>
      <c r="AP1255" s="268"/>
      <c r="AQ1255" s="268"/>
      <c r="AR1255" s="268"/>
    </row>
    <row r="1256" spans="1:44" s="16" customFormat="1" x14ac:dyDescent="0.5">
      <c r="A1256" s="3">
        <f t="shared" si="214"/>
        <v>2026</v>
      </c>
      <c r="B1256" s="8">
        <f t="shared" si="215"/>
        <v>3</v>
      </c>
      <c r="C1256" s="6">
        <v>46094</v>
      </c>
      <c r="D1256" s="15">
        <f t="shared" ca="1" si="216"/>
        <v>46097</v>
      </c>
      <c r="E1256" s="15" t="str">
        <f t="shared" ca="1" si="217"/>
        <v>0-Months</v>
      </c>
      <c r="F1256" s="8" t="str">
        <f>VLOOKUP(N1256,Stock[#Data],5,FALSE)</f>
        <v>BE</v>
      </c>
      <c r="G1256" s="82" t="s">
        <v>1763</v>
      </c>
      <c r="H1256" s="15"/>
      <c r="I1256" s="7" t="s">
        <v>115</v>
      </c>
      <c r="J1256" s="8" t="str">
        <f>VLOOKUP(I1256,Customers[#Data],2,FALSE)</f>
        <v>မ‌ချော</v>
      </c>
      <c r="K1256" s="15" t="str">
        <f>VLOOKUP(I1256,Customers[#Data],4,FALSE)</f>
        <v>Yay</v>
      </c>
      <c r="L1256" s="15" t="str">
        <f>VLOOKUP(I1256,Customers[#Data],5,FALSE)</f>
        <v>SemiWholeSales</v>
      </c>
      <c r="M1256" s="7" t="s">
        <v>6</v>
      </c>
      <c r="N1256" s="7" t="s">
        <v>522</v>
      </c>
      <c r="O1256" s="14" t="str">
        <f>VLOOKUP(N1256,Stock[#Data],2,FALSE)</f>
        <v>ဒဂုံမန်ကျည်း ကော်ဘူး (1 Liter)</v>
      </c>
      <c r="P1256" s="44">
        <f>VLOOKUP(N1256,Stock[#Data],3,FALSE)</f>
        <v>1</v>
      </c>
      <c r="Q1256" s="3">
        <f>VLOOKUP(N1256,Stock[#Data],4,FALSE)</f>
        <v>12</v>
      </c>
      <c r="R1256" s="11"/>
      <c r="S1256" s="45">
        <f>IFERROR(Table4[[#This Row],[Bottle]]/Table4[[#This Row],[ပါဝင်မှု]]+Table4[[#This Row],[SalesPK]],0)</f>
        <v>15</v>
      </c>
      <c r="T1256" s="12">
        <v>15</v>
      </c>
      <c r="U1256" s="10">
        <f>Table4[[#This Row],[ပါဝင်မှု]]*Table4[[#This Row],[SalesPK]]+Table4[[#This Row],[Bottle]]</f>
        <v>180</v>
      </c>
      <c r="V1256" s="10">
        <f>Table4[[#This Row],[SalesBot]]*Table4[[#This Row],[ML]]</f>
        <v>180</v>
      </c>
      <c r="W1256" s="1">
        <f>VLOOKUP(N1256,Stock[#Data],6,FALSE)</f>
        <v>1600</v>
      </c>
      <c r="X1256" s="8">
        <f>+Table4[[#This Row],[SalesBot]]*Table4[[#This Row],[နှုံး]]</f>
        <v>288000</v>
      </c>
      <c r="Y1256" s="12"/>
      <c r="Z1256" s="12"/>
      <c r="AA1256" s="12"/>
      <c r="AB1256" s="9"/>
      <c r="AC1256" s="12"/>
      <c r="AD1256" s="9"/>
      <c r="AE1256" s="12"/>
      <c r="AF125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288000</v>
      </c>
      <c r="AG1256" s="24"/>
      <c r="AH1256" s="266"/>
      <c r="AI1256" s="264"/>
      <c r="AJ1256" s="264"/>
      <c r="AK1256" s="270"/>
      <c r="AL1256" s="270"/>
      <c r="AM1256" s="271"/>
      <c r="AN1256" s="272"/>
      <c r="AO1256" s="273"/>
      <c r="AP1256" s="268"/>
      <c r="AQ1256" s="268"/>
      <c r="AR1256" s="268"/>
    </row>
    <row r="1257" spans="1:44" s="16" customFormat="1" x14ac:dyDescent="0.5">
      <c r="A1257" s="3">
        <f t="shared" si="214"/>
        <v>2026</v>
      </c>
      <c r="B1257" s="8">
        <f t="shared" si="215"/>
        <v>3</v>
      </c>
      <c r="C1257" s="6">
        <v>46094</v>
      </c>
      <c r="D1257" s="15">
        <f t="shared" ca="1" si="216"/>
        <v>46097</v>
      </c>
      <c r="E1257" s="15" t="str">
        <f t="shared" ca="1" si="217"/>
        <v>0-Months</v>
      </c>
      <c r="F1257" s="8" t="str">
        <f>VLOOKUP(N1257,Stock[#Data],5,FALSE)</f>
        <v>BE</v>
      </c>
      <c r="G1257" s="82" t="s">
        <v>1763</v>
      </c>
      <c r="H1257" s="15"/>
      <c r="I1257" s="7" t="s">
        <v>115</v>
      </c>
      <c r="J1257" s="8" t="str">
        <f>VLOOKUP(I1257,Customers[#Data],2,FALSE)</f>
        <v>မ‌ချော</v>
      </c>
      <c r="K1257" s="15" t="str">
        <f>VLOOKUP(I1257,Customers[#Data],4,FALSE)</f>
        <v>Yay</v>
      </c>
      <c r="L1257" s="15" t="str">
        <f>VLOOKUP(I1257,Customers[#Data],5,FALSE)</f>
        <v>SemiWholeSales</v>
      </c>
      <c r="M1257" s="7" t="s">
        <v>6</v>
      </c>
      <c r="N1257" s="7" t="s">
        <v>425</v>
      </c>
      <c r="O1257" s="14" t="str">
        <f>VLOOKUP(N1257,Stock[#Data],2,FALSE)</f>
        <v>ကောင်းကြည်-1Li</v>
      </c>
      <c r="P1257" s="44">
        <f>VLOOKUP(N1257,Stock[#Data],3,FALSE)</f>
        <v>1</v>
      </c>
      <c r="Q1257" s="3">
        <f>VLOOKUP(N1257,Stock[#Data],4,FALSE)</f>
        <v>12</v>
      </c>
      <c r="R1257" s="11">
        <v>6</v>
      </c>
      <c r="S1257" s="45">
        <f>IFERROR(Table4[[#This Row],[Bottle]]/Table4[[#This Row],[ပါဝင်မှု]]+Table4[[#This Row],[SalesPK]],0)</f>
        <v>7.5</v>
      </c>
      <c r="T1257" s="12">
        <v>7</v>
      </c>
      <c r="U1257" s="10">
        <f>Table4[[#This Row],[ပါဝင်မှု]]*Table4[[#This Row],[SalesPK]]+Table4[[#This Row],[Bottle]]</f>
        <v>90</v>
      </c>
      <c r="V1257" s="10">
        <f>Table4[[#This Row],[SalesBot]]*Table4[[#This Row],[ML]]</f>
        <v>90</v>
      </c>
      <c r="W1257" s="1">
        <f>VLOOKUP(N1257,Stock[#Data],6,FALSE)</f>
        <v>1500</v>
      </c>
      <c r="X1257" s="8">
        <f>+Table4[[#This Row],[SalesBot]]*Table4[[#This Row],[နှုံး]]</f>
        <v>135000</v>
      </c>
      <c r="Y1257" s="12"/>
      <c r="Z1257" s="12"/>
      <c r="AA1257" s="12"/>
      <c r="AB1257" s="9"/>
      <c r="AC1257" s="12"/>
      <c r="AD1257" s="9"/>
      <c r="AE1257" s="12"/>
      <c r="AF125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135000</v>
      </c>
      <c r="AG1257" s="24"/>
      <c r="AH1257" s="266"/>
      <c r="AI1257" s="264"/>
      <c r="AJ1257" s="264"/>
      <c r="AK1257" s="270"/>
      <c r="AL1257" s="270"/>
      <c r="AM1257" s="271"/>
      <c r="AN1257" s="272"/>
      <c r="AO1257" s="273"/>
      <c r="AP1257" s="268"/>
      <c r="AQ1257" s="268"/>
      <c r="AR1257" s="268"/>
    </row>
    <row r="1258" spans="1:44" s="16" customFormat="1" x14ac:dyDescent="0.5">
      <c r="A1258" s="3">
        <f t="shared" si="210"/>
        <v>2026</v>
      </c>
      <c r="B1258" s="8">
        <f t="shared" si="211"/>
        <v>3</v>
      </c>
      <c r="C1258" s="6">
        <v>46094</v>
      </c>
      <c r="D1258" s="15">
        <f t="shared" ca="1" si="212"/>
        <v>46097</v>
      </c>
      <c r="E1258" s="15" t="str">
        <f t="shared" ca="1" si="213"/>
        <v>0-Months</v>
      </c>
      <c r="F1258" s="8" t="str">
        <f>VLOOKUP(N1258,Stock[#Data],5,FALSE)</f>
        <v>BE</v>
      </c>
      <c r="G1258" s="82" t="s">
        <v>1763</v>
      </c>
      <c r="H1258" s="15"/>
      <c r="I1258" s="7" t="s">
        <v>115</v>
      </c>
      <c r="J1258" s="8" t="str">
        <f>VLOOKUP(I1258,Customers[#Data],2,FALSE)</f>
        <v>မ‌ချော</v>
      </c>
      <c r="K1258" s="15" t="str">
        <f>VLOOKUP(I1258,Customers[#Data],4,FALSE)</f>
        <v>Yay</v>
      </c>
      <c r="L1258" s="15" t="str">
        <f>VLOOKUP(I1258,Customers[#Data],5,FALSE)</f>
        <v>SemiWholeSales</v>
      </c>
      <c r="M1258" s="7" t="s">
        <v>6</v>
      </c>
      <c r="N1258" s="7" t="s">
        <v>508</v>
      </c>
      <c r="O1258" s="14" t="str">
        <f>VLOOKUP(N1258,Stock[#Data],2,FALSE)</f>
        <v>ကောင်းကြည်-1Li</v>
      </c>
      <c r="P1258" s="44">
        <f>VLOOKUP(N1258,Stock[#Data],3,FALSE)</f>
        <v>1</v>
      </c>
      <c r="Q1258" s="3">
        <f>VLOOKUP(N1258,Stock[#Data],4,FALSE)</f>
        <v>12</v>
      </c>
      <c r="R1258" s="11">
        <v>6</v>
      </c>
      <c r="S1258" s="45">
        <f>IFERROR(Table4[[#This Row],[Bottle]]/Table4[[#This Row],[ပါဝင်မှု]]+Table4[[#This Row],[SalesPK]],0)</f>
        <v>7.5</v>
      </c>
      <c r="T1258" s="12">
        <v>7</v>
      </c>
      <c r="U1258" s="10">
        <f>Table4[[#This Row],[ပါဝင်မှု]]*Table4[[#This Row],[SalesPK]]+Table4[[#This Row],[Bottle]]</f>
        <v>90</v>
      </c>
      <c r="V1258" s="10">
        <f>Table4[[#This Row],[SalesBot]]*Table4[[#This Row],[ML]]</f>
        <v>90</v>
      </c>
      <c r="W1258" s="1">
        <f>VLOOKUP(N1258,Stock[#Data],6,FALSE)</f>
        <v>1850</v>
      </c>
      <c r="X1258" s="8">
        <f>+Table4[[#This Row],[SalesBot]]*Table4[[#This Row],[နှုံး]]</f>
        <v>166500</v>
      </c>
      <c r="Y1258" s="12"/>
      <c r="Z1258" s="12"/>
      <c r="AA1258" s="12"/>
      <c r="AB1258" s="9"/>
      <c r="AC1258" s="12"/>
      <c r="AD1258" s="9"/>
      <c r="AE1258" s="12"/>
      <c r="AF125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166500</v>
      </c>
      <c r="AG1258" s="24"/>
      <c r="AH1258" s="266"/>
      <c r="AI1258" s="264"/>
      <c r="AJ1258" s="264"/>
      <c r="AK1258" s="270"/>
      <c r="AL1258" s="270"/>
      <c r="AM1258" s="271"/>
      <c r="AN1258" s="272"/>
      <c r="AO1258" s="273"/>
      <c r="AP1258" s="268"/>
      <c r="AQ1258" s="268"/>
      <c r="AR1258" s="268"/>
    </row>
    <row r="1259" spans="1:44" s="16" customFormat="1" x14ac:dyDescent="0.5">
      <c r="A1259" s="3">
        <f t="shared" si="210"/>
        <v>2026</v>
      </c>
      <c r="B1259" s="8">
        <f t="shared" si="211"/>
        <v>3</v>
      </c>
      <c r="C1259" s="6">
        <v>46094</v>
      </c>
      <c r="D1259" s="15">
        <f t="shared" ca="1" si="212"/>
        <v>46097</v>
      </c>
      <c r="E1259" s="15" t="str">
        <f t="shared" ca="1" si="213"/>
        <v>0-Months</v>
      </c>
      <c r="F1259" s="8" t="str">
        <f>VLOOKUP(N1259,Stock[#Data],5,FALSE)</f>
        <v>BE</v>
      </c>
      <c r="G1259" s="82" t="s">
        <v>1764</v>
      </c>
      <c r="H1259" s="15"/>
      <c r="I1259" s="7" t="s">
        <v>725</v>
      </c>
      <c r="J1259" s="8" t="str">
        <f>VLOOKUP(I1259,Customers[#Data],2,FALSE)</f>
        <v>ရွှေနဂါး</v>
      </c>
      <c r="K1259" s="15" t="str">
        <f>VLOOKUP(I1259,Customers[#Data],4,FALSE)</f>
        <v>Maw La Myaing</v>
      </c>
      <c r="L1259" s="15" t="str">
        <f>VLOOKUP(I1259,Customers[#Data],5,FALSE)</f>
        <v>Van Sales</v>
      </c>
      <c r="M1259" s="7" t="s">
        <v>6</v>
      </c>
      <c r="N1259" s="7" t="s">
        <v>522</v>
      </c>
      <c r="O1259" s="14" t="str">
        <f>VLOOKUP(N1259,Stock[#Data],2,FALSE)</f>
        <v>ဒဂုံမန်ကျည်း ကော်ဘူး (1 Liter)</v>
      </c>
      <c r="P1259" s="44">
        <f>VLOOKUP(N1259,Stock[#Data],3,FALSE)</f>
        <v>1</v>
      </c>
      <c r="Q1259" s="3">
        <f>VLOOKUP(N1259,Stock[#Data],4,FALSE)</f>
        <v>12</v>
      </c>
      <c r="R1259" s="11"/>
      <c r="S1259" s="45">
        <f>IFERROR(Table4[[#This Row],[Bottle]]/Table4[[#This Row],[ပါဝင်မှု]]+Table4[[#This Row],[SalesPK]],0)</f>
        <v>3</v>
      </c>
      <c r="T1259" s="12">
        <v>3</v>
      </c>
      <c r="U1259" s="10">
        <f>Table4[[#This Row],[ပါဝင်မှု]]*Table4[[#This Row],[SalesPK]]+Table4[[#This Row],[Bottle]]</f>
        <v>36</v>
      </c>
      <c r="V1259" s="10">
        <f>Table4[[#This Row],[SalesBot]]*Table4[[#This Row],[ML]]</f>
        <v>36</v>
      </c>
      <c r="W1259" s="1">
        <f>VLOOKUP(N1259,Stock[#Data],6,FALSE)</f>
        <v>1600</v>
      </c>
      <c r="X1259" s="8">
        <f>+Table4[[#This Row],[SalesBot]]*Table4[[#This Row],[နှုံး]]</f>
        <v>57600</v>
      </c>
      <c r="Y1259" s="12"/>
      <c r="Z1259" s="12"/>
      <c r="AA1259" s="12"/>
      <c r="AB1259" s="9"/>
      <c r="AC1259" s="12"/>
      <c r="AD1259" s="9"/>
      <c r="AE1259" s="12"/>
      <c r="AF125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57600</v>
      </c>
      <c r="AG1259" s="24"/>
      <c r="AH1259" s="266"/>
      <c r="AI1259" s="264"/>
      <c r="AJ1259" s="264"/>
      <c r="AK1259" s="270"/>
      <c r="AL1259" s="270"/>
      <c r="AM1259" s="271"/>
      <c r="AN1259" s="272"/>
      <c r="AO1259" s="273"/>
      <c r="AP1259" s="268"/>
      <c r="AQ1259" s="268"/>
      <c r="AR1259" s="268"/>
    </row>
    <row r="1260" spans="1:44" s="16" customFormat="1" x14ac:dyDescent="0.5">
      <c r="A1260" s="3">
        <f t="shared" si="210"/>
        <v>2026</v>
      </c>
      <c r="B1260" s="8">
        <f t="shared" si="211"/>
        <v>3</v>
      </c>
      <c r="C1260" s="6">
        <v>46094</v>
      </c>
      <c r="D1260" s="15">
        <f t="shared" ca="1" si="212"/>
        <v>46097</v>
      </c>
      <c r="E1260" s="15" t="str">
        <f t="shared" ca="1" si="213"/>
        <v>0-Months</v>
      </c>
      <c r="F1260" s="8" t="str">
        <f>VLOOKUP(N1260,Stock[#Data],5,FALSE)</f>
        <v>BE</v>
      </c>
      <c r="G1260" s="82" t="s">
        <v>1765</v>
      </c>
      <c r="H1260" s="15"/>
      <c r="I1260" s="7" t="s">
        <v>829</v>
      </c>
      <c r="J1260" s="8" t="str">
        <f>VLOOKUP(I1260,Customers[#Data],2,FALSE)</f>
        <v>မ‌‌ေ</v>
      </c>
      <c r="K1260" s="15" t="str">
        <f>VLOOKUP(I1260,Customers[#Data],4,FALSE)</f>
        <v>Mudon</v>
      </c>
      <c r="L1260" s="15" t="str">
        <f>VLOOKUP(I1260,Customers[#Data],5,FALSE)</f>
        <v>Van Sales</v>
      </c>
      <c r="M1260" s="7" t="s">
        <v>6</v>
      </c>
      <c r="N1260" s="7" t="s">
        <v>514</v>
      </c>
      <c r="O1260" s="14" t="str">
        <f>VLOOKUP(N1260,Stock[#Data],2,FALSE)</f>
        <v>ဇေယျဝတီ Red</v>
      </c>
      <c r="P1260" s="44">
        <f>VLOOKUP(N1260,Stock[#Data],3,FALSE)</f>
        <v>0.64</v>
      </c>
      <c r="Q1260" s="3">
        <f>VLOOKUP(N1260,Stock[#Data],4,FALSE)</f>
        <v>14</v>
      </c>
      <c r="R1260" s="11"/>
      <c r="S1260" s="45">
        <f>IFERROR(Table4[[#This Row],[Bottle]]/Table4[[#This Row],[ပါဝင်မှု]]+Table4[[#This Row],[SalesPK]],0)</f>
        <v>50</v>
      </c>
      <c r="T1260" s="12">
        <v>50</v>
      </c>
      <c r="U1260" s="10">
        <f>Table4[[#This Row],[ပါဝင်မှု]]*Table4[[#This Row],[SalesPK]]+Table4[[#This Row],[Bottle]]</f>
        <v>700</v>
      </c>
      <c r="V1260" s="10">
        <f>Table4[[#This Row],[SalesBot]]*Table4[[#This Row],[ML]]</f>
        <v>448</v>
      </c>
      <c r="W1260" s="1">
        <f>VLOOKUP(N1260,Stock[#Data],6,FALSE)</f>
        <v>1350</v>
      </c>
      <c r="X1260" s="8">
        <f>+Table4[[#This Row],[SalesBot]]*Table4[[#This Row],[နှုံး]]</f>
        <v>945000</v>
      </c>
      <c r="Y1260" s="12"/>
      <c r="Z1260" s="12"/>
      <c r="AA1260" s="12"/>
      <c r="AB1260" s="9"/>
      <c r="AC1260" s="12"/>
      <c r="AD1260" s="9"/>
      <c r="AE1260" s="12"/>
      <c r="AF126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1260" s="24"/>
      <c r="AH1260" s="266"/>
      <c r="AI1260" s="264"/>
      <c r="AJ1260" s="264"/>
      <c r="AK1260" s="270"/>
      <c r="AL1260" s="270"/>
      <c r="AM1260" s="271"/>
      <c r="AN1260" s="272"/>
      <c r="AO1260" s="273"/>
      <c r="AP1260" s="268"/>
      <c r="AQ1260" s="268"/>
      <c r="AR1260" s="268"/>
    </row>
    <row r="1261" spans="1:44" s="16" customFormat="1" x14ac:dyDescent="0.5">
      <c r="A1261" s="3">
        <f t="shared" si="210"/>
        <v>2026</v>
      </c>
      <c r="B1261" s="8">
        <f t="shared" ref="B1261" si="222">MONTH(C1261)</f>
        <v>3</v>
      </c>
      <c r="C1261" s="6">
        <v>46094</v>
      </c>
      <c r="D1261" s="15">
        <f t="shared" ca="1" si="212"/>
        <v>46097</v>
      </c>
      <c r="E1261" s="15" t="str">
        <f t="shared" ref="E1261" ca="1" si="223">DATEDIF(C1261,D1261,"M")&amp;"-Months"</f>
        <v>0-Months</v>
      </c>
      <c r="F1261" s="8" t="str">
        <f>VLOOKUP(N1261,Stock[#Data],5,FALSE)</f>
        <v>BE</v>
      </c>
      <c r="G1261" s="82" t="s">
        <v>1766</v>
      </c>
      <c r="H1261" s="15"/>
      <c r="I1261" s="7">
        <v>745</v>
      </c>
      <c r="J1261" s="8">
        <f>VLOOKUP(I1261,Customers[#Data],2,FALSE)</f>
        <v>745</v>
      </c>
      <c r="K1261" s="15" t="str">
        <f>VLOOKUP(I1261,Customers[#Data],4,FALSE)</f>
        <v>Mudon</v>
      </c>
      <c r="L1261" s="15" t="str">
        <f>VLOOKUP(I1261,Customers[#Data],5,FALSE)</f>
        <v>Van Sales</v>
      </c>
      <c r="M1261" s="7" t="s">
        <v>6</v>
      </c>
      <c r="N1261" s="7" t="s">
        <v>520</v>
      </c>
      <c r="O1261" s="14" t="str">
        <f>VLOOKUP(N1261,Stock[#Data],2,FALSE)</f>
        <v>ဇေယျဝတီ  Red(ပု)</v>
      </c>
      <c r="P1261" s="44">
        <f>VLOOKUP(N1261,Stock[#Data],3,FALSE)</f>
        <v>0.64</v>
      </c>
      <c r="Q1261" s="3">
        <f>VLOOKUP(N1261,Stock[#Data],4,FALSE)</f>
        <v>14</v>
      </c>
      <c r="R1261" s="11"/>
      <c r="S1261" s="45">
        <f>IFERROR(Table4[[#This Row],[Bottle]]/Table4[[#This Row],[ပါဝင်မှု]]+Table4[[#This Row],[SalesPK]],0)</f>
        <v>50</v>
      </c>
      <c r="T1261" s="12">
        <v>50</v>
      </c>
      <c r="U1261" s="10">
        <f>Table4[[#This Row],[ပါဝင်မှု]]*Table4[[#This Row],[SalesPK]]+Table4[[#This Row],[Bottle]]</f>
        <v>700</v>
      </c>
      <c r="V1261" s="10">
        <f>Table4[[#This Row],[SalesBot]]*Table4[[#This Row],[ML]]</f>
        <v>448</v>
      </c>
      <c r="W1261" s="1">
        <f>VLOOKUP(N1261,Stock[#Data],6,FALSE)</f>
        <v>1800</v>
      </c>
      <c r="X1261" s="8">
        <f>+Table4[[#This Row],[SalesBot]]*Table4[[#This Row],[နှုံး]]</f>
        <v>1260000</v>
      </c>
      <c r="Y1261" s="12"/>
      <c r="Z1261" s="12"/>
      <c r="AA1261" s="12"/>
      <c r="AB1261" s="9"/>
      <c r="AC1261" s="12"/>
      <c r="AD1261" s="9"/>
      <c r="AE1261" s="12"/>
      <c r="AF126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1260000</v>
      </c>
      <c r="AG1261" s="24"/>
      <c r="AH1261" s="266"/>
      <c r="AI1261" s="264"/>
      <c r="AJ1261" s="264"/>
      <c r="AK1261" s="270"/>
      <c r="AL1261" s="270"/>
      <c r="AM1261" s="271"/>
      <c r="AN1261" s="272"/>
      <c r="AO1261" s="273"/>
      <c r="AP1261" s="268"/>
      <c r="AQ1261" s="268"/>
      <c r="AR1261" s="268"/>
    </row>
    <row r="1262" spans="1:44" s="16" customFormat="1" x14ac:dyDescent="0.5">
      <c r="A1262" s="3">
        <f t="shared" si="170"/>
        <v>2026</v>
      </c>
      <c r="B1262" s="8">
        <f t="shared" si="171"/>
        <v>3</v>
      </c>
      <c r="C1262" s="6">
        <v>46094</v>
      </c>
      <c r="D1262" s="15">
        <f t="shared" ca="1" si="172"/>
        <v>46097</v>
      </c>
      <c r="E1262" s="15" t="str">
        <f t="shared" ca="1" si="173"/>
        <v>0-Months</v>
      </c>
      <c r="F1262" s="8" t="str">
        <f>VLOOKUP(N1262,Stock[#Data],5,FALSE)</f>
        <v>BE</v>
      </c>
      <c r="G1262" s="82" t="s">
        <v>1767</v>
      </c>
      <c r="H1262" s="15"/>
      <c r="I1262" s="7" t="s">
        <v>647</v>
      </c>
      <c r="J1262" s="8" t="str">
        <f>VLOOKUP(I1262,Customers[#Data],2,FALSE)</f>
        <v>အလင်းသစ်</v>
      </c>
      <c r="K1262" s="15" t="str">
        <f>VLOOKUP(I1262,Customers[#Data],4,FALSE)</f>
        <v>Mudon</v>
      </c>
      <c r="L1262" s="15" t="str">
        <f>VLOOKUP(I1262,Customers[#Data],5,FALSE)</f>
        <v>Van Sales</v>
      </c>
      <c r="M1262" s="7" t="s">
        <v>6</v>
      </c>
      <c r="N1262" s="7" t="s">
        <v>520</v>
      </c>
      <c r="O1262" s="14" t="str">
        <f>VLOOKUP(N1262,Stock[#Data],2,FALSE)</f>
        <v>ဇေယျဝတီ  Red(ပု)</v>
      </c>
      <c r="P1262" s="44">
        <f>VLOOKUP(N1262,Stock[#Data],3,FALSE)</f>
        <v>0.64</v>
      </c>
      <c r="Q1262" s="3">
        <f>VLOOKUP(N1262,Stock[#Data],4,FALSE)</f>
        <v>14</v>
      </c>
      <c r="R1262" s="11"/>
      <c r="S1262" s="45">
        <f>IFERROR(Table4[[#This Row],[Bottle]]/Table4[[#This Row],[ပါဝင်မှု]]+Table4[[#This Row],[SalesPK]],0)</f>
        <v>25</v>
      </c>
      <c r="T1262" s="12">
        <v>25</v>
      </c>
      <c r="U1262" s="10">
        <f>Table4[[#This Row],[ပါဝင်မှု]]*Table4[[#This Row],[SalesPK]]+Table4[[#This Row],[Bottle]]</f>
        <v>350</v>
      </c>
      <c r="V1262" s="10">
        <f>Table4[[#This Row],[SalesBot]]*Table4[[#This Row],[ML]]</f>
        <v>224</v>
      </c>
      <c r="W1262" s="1">
        <f>VLOOKUP(N1262,Stock[#Data],6,FALSE)</f>
        <v>1800</v>
      </c>
      <c r="X1262" s="8">
        <f>+Table4[[#This Row],[SalesBot]]*Table4[[#This Row],[နှုံး]]</f>
        <v>630000</v>
      </c>
      <c r="Y1262" s="12"/>
      <c r="Z1262" s="12"/>
      <c r="AA1262" s="12"/>
      <c r="AB1262" s="9"/>
      <c r="AC1262" s="12"/>
      <c r="AD1262" s="9"/>
      <c r="AE1262" s="12"/>
      <c r="AF126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630000</v>
      </c>
      <c r="AG1262" s="24"/>
      <c r="AH1262" s="266">
        <f>Table4[[#This Row],[Date]]</f>
        <v>46094</v>
      </c>
      <c r="AI1262" s="264"/>
      <c r="AJ1262" s="264"/>
      <c r="AK1262" s="270"/>
      <c r="AL1262" s="270"/>
      <c r="AM1262" s="271"/>
      <c r="AN1262" s="272"/>
      <c r="AO1262" s="273"/>
      <c r="AP1262" s="268"/>
      <c r="AQ1262" s="268"/>
      <c r="AR1262" s="268"/>
    </row>
    <row r="1263" spans="1:44" s="16" customFormat="1" x14ac:dyDescent="0.5">
      <c r="A1263" s="3">
        <f t="shared" si="170"/>
        <v>2026</v>
      </c>
      <c r="B1263" s="8">
        <f t="shared" si="171"/>
        <v>3</v>
      </c>
      <c r="C1263" s="6">
        <v>46094</v>
      </c>
      <c r="D1263" s="15">
        <f t="shared" ca="1" si="172"/>
        <v>46097</v>
      </c>
      <c r="E1263" s="15" t="str">
        <f t="shared" ca="1" si="173"/>
        <v>0-Months</v>
      </c>
      <c r="F1263" s="8" t="str">
        <f>VLOOKUP(N1263,Stock[#Data],5,FALSE)</f>
        <v>BE</v>
      </c>
      <c r="G1263" s="82" t="s">
        <v>1767</v>
      </c>
      <c r="H1263" s="15"/>
      <c r="I1263" s="7" t="s">
        <v>647</v>
      </c>
      <c r="J1263" s="8" t="str">
        <f>VLOOKUP(I1263,Customers[#Data],2,FALSE)</f>
        <v>အလင်းသစ်</v>
      </c>
      <c r="K1263" s="15" t="str">
        <f>VLOOKUP(I1263,Customers[#Data],4,FALSE)</f>
        <v>Mudon</v>
      </c>
      <c r="L1263" s="15" t="str">
        <f>VLOOKUP(I1263,Customers[#Data],5,FALSE)</f>
        <v>Van Sales</v>
      </c>
      <c r="M1263" s="7" t="s">
        <v>6</v>
      </c>
      <c r="N1263" s="7" t="s">
        <v>518</v>
      </c>
      <c r="O1263" s="14" t="str">
        <f>VLOOKUP(N1263,Stock[#Data],2,FALSE)</f>
        <v>"ဇေ" ကော်ဘူး (1 Liter)</v>
      </c>
      <c r="P1263" s="44">
        <f>VLOOKUP(N1263,Stock[#Data],3,FALSE)</f>
        <v>1</v>
      </c>
      <c r="Q1263" s="3">
        <f>VLOOKUP(N1263,Stock[#Data],4,FALSE)</f>
        <v>12</v>
      </c>
      <c r="R1263" s="11"/>
      <c r="S1263" s="45">
        <f>IFERROR(Table4[[#This Row],[Bottle]]/Table4[[#This Row],[ပါဝင်မှု]]+Table4[[#This Row],[SalesPK]],0)</f>
        <v>5</v>
      </c>
      <c r="T1263" s="12">
        <v>5</v>
      </c>
      <c r="U1263" s="10">
        <f>Table4[[#This Row],[ပါဝင်မှု]]*Table4[[#This Row],[SalesPK]]+Table4[[#This Row],[Bottle]]</f>
        <v>60</v>
      </c>
      <c r="V1263" s="10">
        <f>Table4[[#This Row],[SalesBot]]*Table4[[#This Row],[ML]]</f>
        <v>60</v>
      </c>
      <c r="W1263" s="1">
        <f>VLOOKUP(N1263,Stock[#Data],6,FALSE)</f>
        <v>1675</v>
      </c>
      <c r="X1263" s="8">
        <f>+Table4[[#This Row],[SalesBot]]*Table4[[#This Row],[နှုံး]]</f>
        <v>100500</v>
      </c>
      <c r="Y1263" s="12"/>
      <c r="Z1263" s="12"/>
      <c r="AA1263" s="12"/>
      <c r="AB1263" s="9"/>
      <c r="AC1263" s="12"/>
      <c r="AD1263" s="9"/>
      <c r="AE1263" s="12"/>
      <c r="AF126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100500</v>
      </c>
      <c r="AG1263" s="24"/>
      <c r="AH1263" s="266">
        <f>Table4[[#This Row],[Date]]</f>
        <v>46094</v>
      </c>
      <c r="AI1263" s="264"/>
      <c r="AJ1263" s="264"/>
      <c r="AK1263" s="270"/>
      <c r="AL1263" s="270"/>
      <c r="AM1263" s="271"/>
      <c r="AN1263" s="272"/>
      <c r="AO1263" s="273"/>
      <c r="AP1263" s="268"/>
      <c r="AQ1263" s="268"/>
      <c r="AR1263" s="268"/>
    </row>
    <row r="1264" spans="1:44" s="16" customFormat="1" x14ac:dyDescent="0.5">
      <c r="A1264" s="3">
        <f t="shared" ref="A1264:A1312" si="224">YEAR(C1264)</f>
        <v>2026</v>
      </c>
      <c r="B1264" s="8">
        <f t="shared" ref="B1264:B1312" si="225">MONTH(C1264)</f>
        <v>3</v>
      </c>
      <c r="C1264" s="6">
        <v>46094</v>
      </c>
      <c r="D1264" s="15">
        <f t="shared" ref="D1264:D1312" ca="1" si="226">TODAY()</f>
        <v>46097</v>
      </c>
      <c r="E1264" s="15" t="str">
        <f t="shared" ref="E1264:E1312" ca="1" si="227">DATEDIF(C1264,D1264,"M")&amp;"-Months"</f>
        <v>0-Months</v>
      </c>
      <c r="F1264" s="8" t="str">
        <f>VLOOKUP(N1264,Stock[#Data],5,FALSE)</f>
        <v>BE</v>
      </c>
      <c r="G1264" s="82" t="s">
        <v>1768</v>
      </c>
      <c r="H1264" s="15"/>
      <c r="I1264" s="7" t="s">
        <v>95</v>
      </c>
      <c r="J1264" s="8" t="str">
        <f>VLOOKUP(I1264,Customers[#Data],2,FALSE)</f>
        <v>ကျော်စတား</v>
      </c>
      <c r="K1264" s="15" t="str">
        <f>VLOOKUP(I1264,Customers[#Data],4,FALSE)</f>
        <v>Yay</v>
      </c>
      <c r="L1264" s="15" t="str">
        <f>VLOOKUP(I1264,Customers[#Data],5,FALSE)</f>
        <v>WholeSales</v>
      </c>
      <c r="M1264" s="7" t="s">
        <v>7</v>
      </c>
      <c r="N1264" s="7" t="s">
        <v>517</v>
      </c>
      <c r="O1264" s="14" t="str">
        <f>VLOOKUP(N1264,Stock[#Data],2,FALSE)</f>
        <v>ဇေယျဝတီ Red (1 Liter) 30%</v>
      </c>
      <c r="P1264" s="44">
        <f>VLOOKUP(N1264,Stock[#Data],3,FALSE)</f>
        <v>1</v>
      </c>
      <c r="Q1264" s="3">
        <f>VLOOKUP(N1264,Stock[#Data],4,FALSE)</f>
        <v>12</v>
      </c>
      <c r="R1264" s="11"/>
      <c r="S1264" s="45">
        <f>IFERROR(Table4[[#This Row],[Bottle]]/Table4[[#This Row],[ပါဝင်မှု]]+Table4[[#This Row],[SalesPK]],0)</f>
        <v>50</v>
      </c>
      <c r="T1264" s="12">
        <v>50</v>
      </c>
      <c r="U1264" s="10">
        <f>Table4[[#This Row],[ပါဝင်မှု]]*Table4[[#This Row],[SalesPK]]+Table4[[#This Row],[Bottle]]</f>
        <v>600</v>
      </c>
      <c r="V1264" s="10">
        <f>Table4[[#This Row],[SalesBot]]*Table4[[#This Row],[ML]]</f>
        <v>600</v>
      </c>
      <c r="W1264" s="1">
        <f>VLOOKUP(N1264,Stock[#Data],6,FALSE)</f>
        <v>1710</v>
      </c>
      <c r="X1264" s="8">
        <f>+Table4[[#This Row],[SalesBot]]*Table4[[#This Row],[နှုံး]]</f>
        <v>1026000</v>
      </c>
      <c r="Y1264" s="12"/>
      <c r="Z1264" s="12"/>
      <c r="AA1264" s="12"/>
      <c r="AB1264" s="9"/>
      <c r="AC1264" s="12"/>
      <c r="AD1264" s="9"/>
      <c r="AE1264" s="12"/>
      <c r="AF126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1026000</v>
      </c>
      <c r="AG1264" s="24"/>
      <c r="AH1264" s="266"/>
      <c r="AI1264" s="264"/>
      <c r="AJ1264" s="264"/>
      <c r="AK1264" s="270"/>
      <c r="AL1264" s="270"/>
      <c r="AM1264" s="271"/>
      <c r="AN1264" s="272"/>
      <c r="AO1264" s="273"/>
      <c r="AP1264" s="268"/>
      <c r="AQ1264" s="268"/>
      <c r="AR1264" s="268"/>
    </row>
    <row r="1265" spans="1:44" s="16" customFormat="1" x14ac:dyDescent="0.5">
      <c r="A1265" s="3">
        <f t="shared" si="224"/>
        <v>2026</v>
      </c>
      <c r="B1265" s="8">
        <f t="shared" si="225"/>
        <v>3</v>
      </c>
      <c r="C1265" s="6">
        <v>46094</v>
      </c>
      <c r="D1265" s="15">
        <f t="shared" ca="1" si="226"/>
        <v>46097</v>
      </c>
      <c r="E1265" s="15" t="str">
        <f t="shared" ca="1" si="227"/>
        <v>0-Months</v>
      </c>
      <c r="F1265" s="8" t="str">
        <f>VLOOKUP(N1265,Stock[#Data],5,FALSE)</f>
        <v>BE</v>
      </c>
      <c r="G1265" s="82" t="s">
        <v>1769</v>
      </c>
      <c r="H1265" s="15"/>
      <c r="I1265" s="7" t="s">
        <v>95</v>
      </c>
      <c r="J1265" s="8" t="str">
        <f>VLOOKUP(I1265,Customers[#Data],2,FALSE)</f>
        <v>ကျော်စတား</v>
      </c>
      <c r="K1265" s="15" t="str">
        <f>VLOOKUP(I1265,Customers[#Data],4,FALSE)</f>
        <v>Yay</v>
      </c>
      <c r="L1265" s="15" t="str">
        <f>VLOOKUP(I1265,Customers[#Data],5,FALSE)</f>
        <v>WholeSales</v>
      </c>
      <c r="M1265" s="7" t="s">
        <v>7</v>
      </c>
      <c r="N1265" s="7" t="s">
        <v>514</v>
      </c>
      <c r="O1265" s="14" t="str">
        <f>VLOOKUP(N1265,Stock[#Data],2,FALSE)</f>
        <v>ဇေယျဝတီ Red</v>
      </c>
      <c r="P1265" s="44">
        <f>VLOOKUP(N1265,Stock[#Data],3,FALSE)</f>
        <v>0.64</v>
      </c>
      <c r="Q1265" s="3">
        <f>VLOOKUP(N1265,Stock[#Data],4,FALSE)</f>
        <v>14</v>
      </c>
      <c r="R1265" s="11"/>
      <c r="S1265" s="45">
        <f>IFERROR(Table4[[#This Row],[Bottle]]/Table4[[#This Row],[ပါဝင်မှု]]+Table4[[#This Row],[SalesPK]],0)</f>
        <v>30</v>
      </c>
      <c r="T1265" s="12">
        <v>30</v>
      </c>
      <c r="U1265" s="10">
        <f>Table4[[#This Row],[ပါဝင်မှု]]*Table4[[#This Row],[SalesPK]]+Table4[[#This Row],[Bottle]]</f>
        <v>420</v>
      </c>
      <c r="V1265" s="10">
        <f>Table4[[#This Row],[SalesBot]]*Table4[[#This Row],[ML]]</f>
        <v>268.8</v>
      </c>
      <c r="W1265" s="1">
        <f>VLOOKUP(N1265,Stock[#Data],6,FALSE)</f>
        <v>1350</v>
      </c>
      <c r="X1265" s="8">
        <f>+Table4[[#This Row],[SalesBot]]*Table4[[#This Row],[နှုံး]]</f>
        <v>567000</v>
      </c>
      <c r="Y1265" s="12"/>
      <c r="Z1265" s="12"/>
      <c r="AA1265" s="12"/>
      <c r="AB1265" s="9"/>
      <c r="AC1265" s="12"/>
      <c r="AD1265" s="9"/>
      <c r="AE1265" s="12"/>
      <c r="AF126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567000</v>
      </c>
      <c r="AG1265" s="24"/>
      <c r="AH1265" s="266"/>
      <c r="AI1265" s="264"/>
      <c r="AJ1265" s="264"/>
      <c r="AK1265" s="270"/>
      <c r="AL1265" s="270"/>
      <c r="AM1265" s="271"/>
      <c r="AN1265" s="272"/>
      <c r="AO1265" s="273"/>
      <c r="AP1265" s="268"/>
      <c r="AQ1265" s="268"/>
      <c r="AR1265" s="268"/>
    </row>
    <row r="1266" spans="1:44" s="16" customFormat="1" x14ac:dyDescent="0.5">
      <c r="A1266" s="3">
        <f t="shared" si="224"/>
        <v>2026</v>
      </c>
      <c r="B1266" s="8">
        <f t="shared" si="225"/>
        <v>3</v>
      </c>
      <c r="C1266" s="6">
        <v>46094</v>
      </c>
      <c r="D1266" s="15">
        <f t="shared" ca="1" si="226"/>
        <v>46097</v>
      </c>
      <c r="E1266" s="15" t="str">
        <f t="shared" ca="1" si="227"/>
        <v>0-Months</v>
      </c>
      <c r="F1266" s="8" t="str">
        <f>VLOOKUP(N1266,Stock[#Data],5,FALSE)</f>
        <v>BE</v>
      </c>
      <c r="G1266" s="82" t="s">
        <v>1769</v>
      </c>
      <c r="H1266" s="15"/>
      <c r="I1266" s="7" t="s">
        <v>95</v>
      </c>
      <c r="J1266" s="8" t="str">
        <f>VLOOKUP(I1266,Customers[#Data],2,FALSE)</f>
        <v>ကျော်စတား</v>
      </c>
      <c r="K1266" s="15" t="str">
        <f>VLOOKUP(I1266,Customers[#Data],4,FALSE)</f>
        <v>Yay</v>
      </c>
      <c r="L1266" s="15" t="str">
        <f>VLOOKUP(I1266,Customers[#Data],5,FALSE)</f>
        <v>WholeSales</v>
      </c>
      <c r="M1266" s="7" t="s">
        <v>7</v>
      </c>
      <c r="N1266" s="7" t="s">
        <v>517</v>
      </c>
      <c r="O1266" s="14" t="str">
        <f>VLOOKUP(N1266,Stock[#Data],2,FALSE)</f>
        <v>ဇေယျဝတီ Red (1 Liter) 30%</v>
      </c>
      <c r="P1266" s="44">
        <f>VLOOKUP(N1266,Stock[#Data],3,FALSE)</f>
        <v>1</v>
      </c>
      <c r="Q1266" s="3">
        <f>VLOOKUP(N1266,Stock[#Data],4,FALSE)</f>
        <v>12</v>
      </c>
      <c r="R1266" s="11"/>
      <c r="S1266" s="45">
        <f>IFERROR(Table4[[#This Row],[Bottle]]/Table4[[#This Row],[ပါဝင်မှု]]+Table4[[#This Row],[SalesPK]],0)</f>
        <v>30</v>
      </c>
      <c r="T1266" s="12">
        <v>30</v>
      </c>
      <c r="U1266" s="10">
        <f>Table4[[#This Row],[ပါဝင်မှု]]*Table4[[#This Row],[SalesPK]]+Table4[[#This Row],[Bottle]]</f>
        <v>360</v>
      </c>
      <c r="V1266" s="10">
        <f>Table4[[#This Row],[SalesBot]]*Table4[[#This Row],[ML]]</f>
        <v>360</v>
      </c>
      <c r="W1266" s="1">
        <f>VLOOKUP(N1266,Stock[#Data],6,FALSE)</f>
        <v>1710</v>
      </c>
      <c r="X1266" s="8">
        <f>+Table4[[#This Row],[SalesBot]]*Table4[[#This Row],[နှုံး]]</f>
        <v>615600</v>
      </c>
      <c r="Y1266" s="12"/>
      <c r="Z1266" s="12"/>
      <c r="AA1266" s="12"/>
      <c r="AB1266" s="9"/>
      <c r="AC1266" s="12"/>
      <c r="AD1266" s="9"/>
      <c r="AE1266" s="12"/>
      <c r="AF126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615600</v>
      </c>
      <c r="AG1266" s="24"/>
      <c r="AH1266" s="266"/>
      <c r="AI1266" s="264"/>
      <c r="AJ1266" s="264"/>
      <c r="AK1266" s="270"/>
      <c r="AL1266" s="270"/>
      <c r="AM1266" s="271"/>
      <c r="AN1266" s="272"/>
      <c r="AO1266" s="273"/>
      <c r="AP1266" s="268"/>
      <c r="AQ1266" s="268"/>
      <c r="AR1266" s="268"/>
    </row>
    <row r="1267" spans="1:44" s="16" customFormat="1" x14ac:dyDescent="0.5">
      <c r="A1267" s="3">
        <f t="shared" ref="A1267:A1304" si="228">YEAR(C1267)</f>
        <v>2026</v>
      </c>
      <c r="B1267" s="8">
        <f t="shared" ref="B1267:B1304" si="229">MONTH(C1267)</f>
        <v>3</v>
      </c>
      <c r="C1267" s="6">
        <v>46095</v>
      </c>
      <c r="D1267" s="15">
        <f t="shared" ref="D1267:D1304" ca="1" si="230">TODAY()</f>
        <v>46097</v>
      </c>
      <c r="E1267" s="15" t="str">
        <f t="shared" ref="E1267:E1304" ca="1" si="231">DATEDIF(C1267,D1267,"M")&amp;"-Months"</f>
        <v>0-Months</v>
      </c>
      <c r="F1267" s="8" t="str">
        <f>VLOOKUP(N1267,Stock[#Data],5,FALSE)</f>
        <v>BE</v>
      </c>
      <c r="G1267" s="82" t="s">
        <v>1770</v>
      </c>
      <c r="H1267" s="15"/>
      <c r="I1267" s="7" t="s">
        <v>99</v>
      </c>
      <c r="J1267" s="8" t="str">
        <f>VLOOKUP(I1267,Customers[#Data],2,FALSE)</f>
        <v>ကိုဇော်လင်းမြတ်</v>
      </c>
      <c r="K1267" s="15" t="str">
        <f>VLOOKUP(I1267,Customers[#Data],4,FALSE)</f>
        <v>Yay</v>
      </c>
      <c r="L1267" s="15" t="str">
        <f>VLOOKUP(I1267,Customers[#Data],5,FALSE)</f>
        <v>SemiWholeSales</v>
      </c>
      <c r="M1267" s="7" t="s">
        <v>7</v>
      </c>
      <c r="N1267" s="7" t="s">
        <v>514</v>
      </c>
      <c r="O1267" s="14" t="str">
        <f>VLOOKUP(N1267,Stock[#Data],2,FALSE)</f>
        <v>ဇေယျဝတီ Red</v>
      </c>
      <c r="P1267" s="44">
        <f>VLOOKUP(N1267,Stock[#Data],3,FALSE)</f>
        <v>0.64</v>
      </c>
      <c r="Q1267" s="3">
        <f>VLOOKUP(N1267,Stock[#Data],4,FALSE)</f>
        <v>14</v>
      </c>
      <c r="R1267" s="11"/>
      <c r="S1267" s="45">
        <f>IFERROR(Table4[[#This Row],[Bottle]]/Table4[[#This Row],[ပါဝင်မှု]]+Table4[[#This Row],[SalesPK]],0)</f>
        <v>50</v>
      </c>
      <c r="T1267" s="12">
        <v>50</v>
      </c>
      <c r="U1267" s="10">
        <f>Table4[[#This Row],[ပါဝင်မှု]]*Table4[[#This Row],[SalesPK]]+Table4[[#This Row],[Bottle]]</f>
        <v>700</v>
      </c>
      <c r="V1267" s="10">
        <f>Table4[[#This Row],[SalesBot]]*Table4[[#This Row],[ML]]</f>
        <v>448</v>
      </c>
      <c r="W1267" s="1">
        <f>VLOOKUP(N1267,Stock[#Data],6,FALSE)</f>
        <v>1350</v>
      </c>
      <c r="X1267" s="8">
        <f>+Table4[[#This Row],[SalesBot]]*Table4[[#This Row],[နှုံး]]</f>
        <v>945000</v>
      </c>
      <c r="Y1267" s="12"/>
      <c r="Z1267" s="12"/>
      <c r="AA1267" s="12"/>
      <c r="AB1267" s="9"/>
      <c r="AC1267" s="12"/>
      <c r="AD1267" s="9"/>
      <c r="AE1267" s="12"/>
      <c r="AF126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1267" s="24"/>
      <c r="AH1267" s="266"/>
      <c r="AI1267" s="264"/>
      <c r="AJ1267" s="264"/>
      <c r="AK1267" s="270"/>
      <c r="AL1267" s="270"/>
      <c r="AM1267" s="271"/>
      <c r="AN1267" s="272"/>
      <c r="AO1267" s="273"/>
      <c r="AP1267" s="268"/>
      <c r="AQ1267" s="268"/>
      <c r="AR1267" s="268"/>
    </row>
    <row r="1268" spans="1:44" s="16" customFormat="1" x14ac:dyDescent="0.5">
      <c r="A1268" s="3">
        <f t="shared" si="228"/>
        <v>2026</v>
      </c>
      <c r="B1268" s="8">
        <f t="shared" si="229"/>
        <v>3</v>
      </c>
      <c r="C1268" s="6">
        <v>46095</v>
      </c>
      <c r="D1268" s="15">
        <f t="shared" ca="1" si="230"/>
        <v>46097</v>
      </c>
      <c r="E1268" s="15" t="str">
        <f t="shared" ca="1" si="231"/>
        <v>0-Months</v>
      </c>
      <c r="F1268" s="8" t="str">
        <f>VLOOKUP(N1268,Stock[#Data],5,FALSE)</f>
        <v>BE</v>
      </c>
      <c r="G1268" s="82" t="s">
        <v>1770</v>
      </c>
      <c r="H1268" s="15"/>
      <c r="I1268" s="7" t="s">
        <v>99</v>
      </c>
      <c r="J1268" s="8" t="str">
        <f>VLOOKUP(I1268,Customers[#Data],2,FALSE)</f>
        <v>ကိုဇော်လင်းမြတ်</v>
      </c>
      <c r="K1268" s="15" t="str">
        <f>VLOOKUP(I1268,Customers[#Data],4,FALSE)</f>
        <v>Yay</v>
      </c>
      <c r="L1268" s="15" t="str">
        <f>VLOOKUP(I1268,Customers[#Data],5,FALSE)</f>
        <v>SemiWholeSales</v>
      </c>
      <c r="M1268" s="7" t="s">
        <v>7</v>
      </c>
      <c r="N1268" s="7" t="s">
        <v>517</v>
      </c>
      <c r="O1268" s="14" t="str">
        <f>VLOOKUP(N1268,Stock[#Data],2,FALSE)</f>
        <v>ဇေယျဝတီ Red (1 Liter) 30%</v>
      </c>
      <c r="P1268" s="44">
        <f>VLOOKUP(N1268,Stock[#Data],3,FALSE)</f>
        <v>1</v>
      </c>
      <c r="Q1268" s="3">
        <f>VLOOKUP(N1268,Stock[#Data],4,FALSE)</f>
        <v>12</v>
      </c>
      <c r="R1268" s="11"/>
      <c r="S1268" s="45">
        <f>IFERROR(Table4[[#This Row],[Bottle]]/Table4[[#This Row],[ပါဝင်မှု]]+Table4[[#This Row],[SalesPK]],0)</f>
        <v>150</v>
      </c>
      <c r="T1268" s="12">
        <v>150</v>
      </c>
      <c r="U1268" s="10">
        <f>Table4[[#This Row],[ပါဝင်မှု]]*Table4[[#This Row],[SalesPK]]+Table4[[#This Row],[Bottle]]</f>
        <v>1800</v>
      </c>
      <c r="V1268" s="10">
        <f>Table4[[#This Row],[SalesBot]]*Table4[[#This Row],[ML]]</f>
        <v>1800</v>
      </c>
      <c r="W1268" s="1">
        <f>VLOOKUP(N1268,Stock[#Data],6,FALSE)</f>
        <v>1710</v>
      </c>
      <c r="X1268" s="8">
        <f>+Table4[[#This Row],[SalesBot]]*Table4[[#This Row],[နှုံး]]</f>
        <v>3078000</v>
      </c>
      <c r="Y1268" s="12"/>
      <c r="Z1268" s="12"/>
      <c r="AA1268" s="12"/>
      <c r="AB1268" s="9"/>
      <c r="AC1268" s="12"/>
      <c r="AD1268" s="9"/>
      <c r="AE1268" s="12"/>
      <c r="AF126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3078000</v>
      </c>
      <c r="AG1268" s="24"/>
      <c r="AH1268" s="266"/>
      <c r="AI1268" s="264"/>
      <c r="AJ1268" s="264"/>
      <c r="AK1268" s="270"/>
      <c r="AL1268" s="270"/>
      <c r="AM1268" s="271"/>
      <c r="AN1268" s="272"/>
      <c r="AO1268" s="273"/>
      <c r="AP1268" s="268"/>
      <c r="AQ1268" s="268"/>
      <c r="AR1268" s="268"/>
    </row>
    <row r="1269" spans="1:44" s="16" customFormat="1" x14ac:dyDescent="0.5">
      <c r="A1269" s="3">
        <f t="shared" si="228"/>
        <v>2026</v>
      </c>
      <c r="B1269" s="8">
        <f t="shared" si="229"/>
        <v>3</v>
      </c>
      <c r="C1269" s="6">
        <v>46095</v>
      </c>
      <c r="D1269" s="15">
        <f t="shared" ca="1" si="230"/>
        <v>46097</v>
      </c>
      <c r="E1269" s="15" t="str">
        <f t="shared" ca="1" si="231"/>
        <v>0-Months</v>
      </c>
      <c r="F1269" s="8" t="str">
        <f>VLOOKUP(N1269,Stock[#Data],5,FALSE)</f>
        <v>BE</v>
      </c>
      <c r="G1269" s="82" t="s">
        <v>1770</v>
      </c>
      <c r="H1269" s="15"/>
      <c r="I1269" s="7" t="s">
        <v>99</v>
      </c>
      <c r="J1269" s="8" t="str">
        <f>VLOOKUP(I1269,Customers[#Data],2,FALSE)</f>
        <v>ကိုဇော်လင်းမြတ်</v>
      </c>
      <c r="K1269" s="15" t="str">
        <f>VLOOKUP(I1269,Customers[#Data],4,FALSE)</f>
        <v>Yay</v>
      </c>
      <c r="L1269" s="15" t="str">
        <f>VLOOKUP(I1269,Customers[#Data],5,FALSE)</f>
        <v>SemiWholeSales</v>
      </c>
      <c r="M1269" s="7" t="s">
        <v>7</v>
      </c>
      <c r="N1269" s="7" t="s">
        <v>522</v>
      </c>
      <c r="O1269" s="14" t="str">
        <f>VLOOKUP(N1269,Stock[#Data],2,FALSE)</f>
        <v>ဒဂုံမန်ကျည်း ကော်ဘူး (1 Liter)</v>
      </c>
      <c r="P1269" s="44">
        <f>VLOOKUP(N1269,Stock[#Data],3,FALSE)</f>
        <v>1</v>
      </c>
      <c r="Q1269" s="3">
        <f>VLOOKUP(N1269,Stock[#Data],4,FALSE)</f>
        <v>12</v>
      </c>
      <c r="R1269" s="11"/>
      <c r="S1269" s="45">
        <f>IFERROR(Table4[[#This Row],[Bottle]]/Table4[[#This Row],[ပါဝင်မှု]]+Table4[[#This Row],[SalesPK]],0)</f>
        <v>50</v>
      </c>
      <c r="T1269" s="12">
        <v>50</v>
      </c>
      <c r="U1269" s="10">
        <f>Table4[[#This Row],[ပါဝင်မှု]]*Table4[[#This Row],[SalesPK]]+Table4[[#This Row],[Bottle]]</f>
        <v>600</v>
      </c>
      <c r="V1269" s="10">
        <f>Table4[[#This Row],[SalesBot]]*Table4[[#This Row],[ML]]</f>
        <v>600</v>
      </c>
      <c r="W1269" s="1">
        <f>VLOOKUP(N1269,Stock[#Data],6,FALSE)</f>
        <v>1600</v>
      </c>
      <c r="X1269" s="8">
        <f>+Table4[[#This Row],[SalesBot]]*Table4[[#This Row],[နှုံး]]</f>
        <v>960000</v>
      </c>
      <c r="Y1269" s="12"/>
      <c r="Z1269" s="12"/>
      <c r="AA1269" s="12"/>
      <c r="AB1269" s="9"/>
      <c r="AC1269" s="12"/>
      <c r="AD1269" s="9"/>
      <c r="AE1269" s="12"/>
      <c r="AF126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960000</v>
      </c>
      <c r="AG1269" s="24"/>
      <c r="AH1269" s="266"/>
      <c r="AI1269" s="264"/>
      <c r="AJ1269" s="264"/>
      <c r="AK1269" s="270"/>
      <c r="AL1269" s="270"/>
      <c r="AM1269" s="271"/>
      <c r="AN1269" s="272"/>
      <c r="AO1269" s="273"/>
      <c r="AP1269" s="268"/>
      <c r="AQ1269" s="268"/>
      <c r="AR1269" s="268"/>
    </row>
    <row r="1270" spans="1:44" s="16" customFormat="1" x14ac:dyDescent="0.5">
      <c r="A1270" s="3">
        <f t="shared" si="228"/>
        <v>2026</v>
      </c>
      <c r="B1270" s="8">
        <f t="shared" si="229"/>
        <v>3</v>
      </c>
      <c r="C1270" s="6">
        <v>46095</v>
      </c>
      <c r="D1270" s="15">
        <f t="shared" ca="1" si="230"/>
        <v>46097</v>
      </c>
      <c r="E1270" s="15" t="str">
        <f t="shared" ca="1" si="231"/>
        <v>0-Months</v>
      </c>
      <c r="F1270" s="8" t="str">
        <f>VLOOKUP(N1270,Stock[#Data],5,FALSE)</f>
        <v>BE</v>
      </c>
      <c r="G1270" s="82" t="s">
        <v>1771</v>
      </c>
      <c r="H1270" s="15"/>
      <c r="I1270" s="7" t="s">
        <v>100</v>
      </c>
      <c r="J1270" s="8" t="str">
        <f>VLOOKUP(I1270,Customers[#Data],2,FALSE)</f>
        <v>ကိုရှမ်း</v>
      </c>
      <c r="K1270" s="15" t="str">
        <f>VLOOKUP(I1270,Customers[#Data],4,FALSE)</f>
        <v>Yay</v>
      </c>
      <c r="L1270" s="15" t="str">
        <f>VLOOKUP(I1270,Customers[#Data],5,FALSE)</f>
        <v>SemiWholeSales</v>
      </c>
      <c r="M1270" s="7" t="s">
        <v>7</v>
      </c>
      <c r="N1270" s="7" t="s">
        <v>514</v>
      </c>
      <c r="O1270" s="14" t="str">
        <f>VLOOKUP(N1270,Stock[#Data],2,FALSE)</f>
        <v>ဇေယျဝတီ Red</v>
      </c>
      <c r="P1270" s="44">
        <f>VLOOKUP(N1270,Stock[#Data],3,FALSE)</f>
        <v>0.64</v>
      </c>
      <c r="Q1270" s="3">
        <f>VLOOKUP(N1270,Stock[#Data],4,FALSE)</f>
        <v>14</v>
      </c>
      <c r="R1270" s="11"/>
      <c r="S1270" s="45">
        <f>IFERROR(Table4[[#This Row],[Bottle]]/Table4[[#This Row],[ပါဝင်မှု]]+Table4[[#This Row],[SalesPK]],0)</f>
        <v>100</v>
      </c>
      <c r="T1270" s="12">
        <v>100</v>
      </c>
      <c r="U1270" s="10">
        <f>Table4[[#This Row],[ပါဝင်မှု]]*Table4[[#This Row],[SalesPK]]+Table4[[#This Row],[Bottle]]</f>
        <v>1400</v>
      </c>
      <c r="V1270" s="10">
        <f>Table4[[#This Row],[SalesBot]]*Table4[[#This Row],[ML]]</f>
        <v>896</v>
      </c>
      <c r="W1270" s="1">
        <f>VLOOKUP(N1270,Stock[#Data],6,FALSE)</f>
        <v>1350</v>
      </c>
      <c r="X1270" s="8">
        <f>+Table4[[#This Row],[SalesBot]]*Table4[[#This Row],[နှုံး]]</f>
        <v>1890000</v>
      </c>
      <c r="Y1270" s="12"/>
      <c r="Z1270" s="12"/>
      <c r="AA1270" s="12"/>
      <c r="AB1270" s="9"/>
      <c r="AC1270" s="12"/>
      <c r="AD1270" s="9"/>
      <c r="AE1270" s="12"/>
      <c r="AF127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1890000</v>
      </c>
      <c r="AG1270" s="24"/>
      <c r="AH1270" s="266"/>
      <c r="AI1270" s="264"/>
      <c r="AJ1270" s="264"/>
      <c r="AK1270" s="270"/>
      <c r="AL1270" s="270"/>
      <c r="AM1270" s="271"/>
      <c r="AN1270" s="272"/>
      <c r="AO1270" s="273"/>
      <c r="AP1270" s="268"/>
      <c r="AQ1270" s="268"/>
      <c r="AR1270" s="268"/>
    </row>
    <row r="1271" spans="1:44" s="16" customFormat="1" x14ac:dyDescent="0.5">
      <c r="A1271" s="3">
        <f t="shared" si="228"/>
        <v>2026</v>
      </c>
      <c r="B1271" s="8">
        <f t="shared" si="229"/>
        <v>3</v>
      </c>
      <c r="C1271" s="6">
        <v>46095</v>
      </c>
      <c r="D1271" s="15">
        <f t="shared" ca="1" si="230"/>
        <v>46097</v>
      </c>
      <c r="E1271" s="15" t="str">
        <f t="shared" ca="1" si="231"/>
        <v>0-Months</v>
      </c>
      <c r="F1271" s="8" t="str">
        <f>VLOOKUP(N1271,Stock[#Data],5,FALSE)</f>
        <v>BE</v>
      </c>
      <c r="G1271" s="82" t="s">
        <v>1771</v>
      </c>
      <c r="H1271" s="15"/>
      <c r="I1271" s="7" t="s">
        <v>100</v>
      </c>
      <c r="J1271" s="8" t="str">
        <f>VLOOKUP(I1271,Customers[#Data],2,FALSE)</f>
        <v>ကိုရှမ်း</v>
      </c>
      <c r="K1271" s="15" t="str">
        <f>VLOOKUP(I1271,Customers[#Data],4,FALSE)</f>
        <v>Yay</v>
      </c>
      <c r="L1271" s="15" t="str">
        <f>VLOOKUP(I1271,Customers[#Data],5,FALSE)</f>
        <v>SemiWholeSales</v>
      </c>
      <c r="M1271" s="7" t="s">
        <v>7</v>
      </c>
      <c r="N1271" s="7" t="s">
        <v>517</v>
      </c>
      <c r="O1271" s="14" t="str">
        <f>VLOOKUP(N1271,Stock[#Data],2,FALSE)</f>
        <v>ဇေယျဝတီ Red (1 Liter) 30%</v>
      </c>
      <c r="P1271" s="44">
        <f>VLOOKUP(N1271,Stock[#Data],3,FALSE)</f>
        <v>1</v>
      </c>
      <c r="Q1271" s="3">
        <f>VLOOKUP(N1271,Stock[#Data],4,FALSE)</f>
        <v>12</v>
      </c>
      <c r="R1271" s="11"/>
      <c r="S1271" s="45">
        <f>IFERROR(Table4[[#This Row],[Bottle]]/Table4[[#This Row],[ပါဝင်မှု]]+Table4[[#This Row],[SalesPK]],0)</f>
        <v>150</v>
      </c>
      <c r="T1271" s="12">
        <v>150</v>
      </c>
      <c r="U1271" s="10">
        <f>Table4[[#This Row],[ပါဝင်မှု]]*Table4[[#This Row],[SalesPK]]+Table4[[#This Row],[Bottle]]</f>
        <v>1800</v>
      </c>
      <c r="V1271" s="10">
        <f>Table4[[#This Row],[SalesBot]]*Table4[[#This Row],[ML]]</f>
        <v>1800</v>
      </c>
      <c r="W1271" s="1">
        <f>VLOOKUP(N1271,Stock[#Data],6,FALSE)</f>
        <v>1710</v>
      </c>
      <c r="X1271" s="8">
        <f>+Table4[[#This Row],[SalesBot]]*Table4[[#This Row],[နှုံး]]</f>
        <v>3078000</v>
      </c>
      <c r="Y1271" s="12"/>
      <c r="Z1271" s="12"/>
      <c r="AA1271" s="12"/>
      <c r="AB1271" s="9"/>
      <c r="AC1271" s="12"/>
      <c r="AD1271" s="9"/>
      <c r="AE1271" s="12"/>
      <c r="AF127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3078000</v>
      </c>
      <c r="AG1271" s="24"/>
      <c r="AH1271" s="266"/>
      <c r="AI1271" s="264"/>
      <c r="AJ1271" s="264"/>
      <c r="AK1271" s="270"/>
      <c r="AL1271" s="270"/>
      <c r="AM1271" s="271"/>
      <c r="AN1271" s="272"/>
      <c r="AO1271" s="273"/>
      <c r="AP1271" s="268"/>
      <c r="AQ1271" s="268"/>
      <c r="AR1271" s="268"/>
    </row>
    <row r="1272" spans="1:44" s="16" customFormat="1" x14ac:dyDescent="0.5">
      <c r="A1272" s="3">
        <f t="shared" si="228"/>
        <v>2026</v>
      </c>
      <c r="B1272" s="8">
        <f t="shared" si="229"/>
        <v>3</v>
      </c>
      <c r="C1272" s="6">
        <v>46095</v>
      </c>
      <c r="D1272" s="15">
        <f t="shared" ca="1" si="230"/>
        <v>46097</v>
      </c>
      <c r="E1272" s="15" t="str">
        <f t="shared" ca="1" si="231"/>
        <v>0-Months</v>
      </c>
      <c r="F1272" s="8" t="str">
        <f>VLOOKUP(N1272,Stock[#Data],5,FALSE)</f>
        <v>BE</v>
      </c>
      <c r="G1272" s="82" t="s">
        <v>1771</v>
      </c>
      <c r="H1272" s="15"/>
      <c r="I1272" s="7" t="s">
        <v>100</v>
      </c>
      <c r="J1272" s="8" t="str">
        <f>VLOOKUP(I1272,Customers[#Data],2,FALSE)</f>
        <v>ကိုရှမ်း</v>
      </c>
      <c r="K1272" s="15" t="str">
        <f>VLOOKUP(I1272,Customers[#Data],4,FALSE)</f>
        <v>Yay</v>
      </c>
      <c r="L1272" s="15" t="str">
        <f>VLOOKUP(I1272,Customers[#Data],5,FALSE)</f>
        <v>SemiWholeSales</v>
      </c>
      <c r="M1272" s="7" t="s">
        <v>7</v>
      </c>
      <c r="N1272" s="7" t="s">
        <v>522</v>
      </c>
      <c r="O1272" s="14" t="str">
        <f>VLOOKUP(N1272,Stock[#Data],2,FALSE)</f>
        <v>ဒဂုံမန်ကျည်း ကော်ဘူး (1 Liter)</v>
      </c>
      <c r="P1272" s="44">
        <f>VLOOKUP(N1272,Stock[#Data],3,FALSE)</f>
        <v>1</v>
      </c>
      <c r="Q1272" s="3">
        <f>VLOOKUP(N1272,Stock[#Data],4,FALSE)</f>
        <v>12</v>
      </c>
      <c r="R1272" s="11"/>
      <c r="S1272" s="45">
        <f>IFERROR(Table4[[#This Row],[Bottle]]/Table4[[#This Row],[ပါဝင်မှု]]+Table4[[#This Row],[SalesPK]],0)</f>
        <v>50</v>
      </c>
      <c r="T1272" s="12">
        <v>50</v>
      </c>
      <c r="U1272" s="10">
        <f>Table4[[#This Row],[ပါဝင်မှု]]*Table4[[#This Row],[SalesPK]]+Table4[[#This Row],[Bottle]]</f>
        <v>600</v>
      </c>
      <c r="V1272" s="10">
        <f>Table4[[#This Row],[SalesBot]]*Table4[[#This Row],[ML]]</f>
        <v>600</v>
      </c>
      <c r="W1272" s="1">
        <f>VLOOKUP(N1272,Stock[#Data],6,FALSE)</f>
        <v>1600</v>
      </c>
      <c r="X1272" s="8">
        <f>+Table4[[#This Row],[SalesBot]]*Table4[[#This Row],[နှုံး]]</f>
        <v>960000</v>
      </c>
      <c r="Y1272" s="12"/>
      <c r="Z1272" s="12"/>
      <c r="AA1272" s="12"/>
      <c r="AB1272" s="9"/>
      <c r="AC1272" s="12"/>
      <c r="AD1272" s="9"/>
      <c r="AE1272" s="12"/>
      <c r="AF1272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960000</v>
      </c>
      <c r="AG1272" s="24"/>
      <c r="AH1272" s="266"/>
      <c r="AI1272" s="264"/>
      <c r="AJ1272" s="264"/>
      <c r="AK1272" s="270"/>
      <c r="AL1272" s="270"/>
      <c r="AM1272" s="271"/>
      <c r="AN1272" s="272"/>
      <c r="AO1272" s="273"/>
      <c r="AP1272" s="268"/>
      <c r="AQ1272" s="268"/>
      <c r="AR1272" s="268"/>
    </row>
    <row r="1273" spans="1:44" s="16" customFormat="1" x14ac:dyDescent="0.5">
      <c r="A1273" s="3">
        <f t="shared" si="228"/>
        <v>2026</v>
      </c>
      <c r="B1273" s="8">
        <f t="shared" si="229"/>
        <v>3</v>
      </c>
      <c r="C1273" s="6">
        <v>46095</v>
      </c>
      <c r="D1273" s="15">
        <f t="shared" ca="1" si="230"/>
        <v>46097</v>
      </c>
      <c r="E1273" s="15" t="str">
        <f t="shared" ca="1" si="231"/>
        <v>0-Months</v>
      </c>
      <c r="F1273" s="8" t="str">
        <f>VLOOKUP(N1273,Stock[#Data],5,FALSE)</f>
        <v>BE</v>
      </c>
      <c r="G1273" s="82" t="s">
        <v>1771</v>
      </c>
      <c r="H1273" s="15"/>
      <c r="I1273" s="7" t="s">
        <v>100</v>
      </c>
      <c r="J1273" s="8" t="str">
        <f>VLOOKUP(I1273,Customers[#Data],2,FALSE)</f>
        <v>ကိုရှမ်း</v>
      </c>
      <c r="K1273" s="15" t="str">
        <f>VLOOKUP(I1273,Customers[#Data],4,FALSE)</f>
        <v>Yay</v>
      </c>
      <c r="L1273" s="15" t="str">
        <f>VLOOKUP(I1273,Customers[#Data],5,FALSE)</f>
        <v>SemiWholeSales</v>
      </c>
      <c r="M1273" s="7" t="s">
        <v>7</v>
      </c>
      <c r="N1273" s="7" t="s">
        <v>425</v>
      </c>
      <c r="O1273" s="14" t="str">
        <f>VLOOKUP(N1273,Stock[#Data],2,FALSE)</f>
        <v>ကောင်းကြည်-1Li</v>
      </c>
      <c r="P1273" s="44">
        <f>VLOOKUP(N1273,Stock[#Data],3,FALSE)</f>
        <v>1</v>
      </c>
      <c r="Q1273" s="3">
        <f>VLOOKUP(N1273,Stock[#Data],4,FALSE)</f>
        <v>12</v>
      </c>
      <c r="R1273" s="11"/>
      <c r="S1273" s="45">
        <f>IFERROR(Table4[[#This Row],[Bottle]]/Table4[[#This Row],[ပါဝင်မှု]]+Table4[[#This Row],[SalesPK]],0)</f>
        <v>25</v>
      </c>
      <c r="T1273" s="12">
        <v>25</v>
      </c>
      <c r="U1273" s="10">
        <f>Table4[[#This Row],[ပါဝင်မှု]]*Table4[[#This Row],[SalesPK]]+Table4[[#This Row],[Bottle]]</f>
        <v>300</v>
      </c>
      <c r="V1273" s="10">
        <f>Table4[[#This Row],[SalesBot]]*Table4[[#This Row],[ML]]</f>
        <v>300</v>
      </c>
      <c r="W1273" s="1">
        <f>VLOOKUP(N1273,Stock[#Data],6,FALSE)</f>
        <v>1500</v>
      </c>
      <c r="X1273" s="8">
        <f>+Table4[[#This Row],[SalesBot]]*Table4[[#This Row],[နှုံး]]</f>
        <v>450000</v>
      </c>
      <c r="Y1273" s="12"/>
      <c r="Z1273" s="12"/>
      <c r="AA1273" s="12"/>
      <c r="AB1273" s="9"/>
      <c r="AC1273" s="12"/>
      <c r="AD1273" s="9"/>
      <c r="AE1273" s="12"/>
      <c r="AF1273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450000</v>
      </c>
      <c r="AG1273" s="24"/>
      <c r="AH1273" s="266"/>
      <c r="AI1273" s="264"/>
      <c r="AJ1273" s="264"/>
      <c r="AK1273" s="270"/>
      <c r="AL1273" s="270"/>
      <c r="AM1273" s="271"/>
      <c r="AN1273" s="272"/>
      <c r="AO1273" s="273"/>
      <c r="AP1273" s="268"/>
      <c r="AQ1273" s="268"/>
      <c r="AR1273" s="268"/>
    </row>
    <row r="1274" spans="1:44" s="16" customFormat="1" x14ac:dyDescent="0.5">
      <c r="A1274" s="3">
        <f t="shared" si="228"/>
        <v>2026</v>
      </c>
      <c r="B1274" s="8">
        <f t="shared" si="229"/>
        <v>3</v>
      </c>
      <c r="C1274" s="6">
        <v>46095</v>
      </c>
      <c r="D1274" s="15">
        <f t="shared" ca="1" si="230"/>
        <v>46097</v>
      </c>
      <c r="E1274" s="15" t="str">
        <f t="shared" ca="1" si="231"/>
        <v>0-Months</v>
      </c>
      <c r="F1274" s="8" t="str">
        <f>VLOOKUP(N1274,Stock[#Data],5,FALSE)</f>
        <v>BE</v>
      </c>
      <c r="G1274" s="82" t="s">
        <v>1771</v>
      </c>
      <c r="H1274" s="15"/>
      <c r="I1274" s="7" t="s">
        <v>100</v>
      </c>
      <c r="J1274" s="8" t="str">
        <f>VLOOKUP(I1274,Customers[#Data],2,FALSE)</f>
        <v>ကိုရှမ်း</v>
      </c>
      <c r="K1274" s="15" t="str">
        <f>VLOOKUP(I1274,Customers[#Data],4,FALSE)</f>
        <v>Yay</v>
      </c>
      <c r="L1274" s="15" t="str">
        <f>VLOOKUP(I1274,Customers[#Data],5,FALSE)</f>
        <v>SemiWholeSales</v>
      </c>
      <c r="M1274" s="7" t="s">
        <v>7</v>
      </c>
      <c r="N1274" s="7" t="s">
        <v>508</v>
      </c>
      <c r="O1274" s="14" t="str">
        <f>VLOOKUP(N1274,Stock[#Data],2,FALSE)</f>
        <v>ကောင်းကြည်-1Li</v>
      </c>
      <c r="P1274" s="44">
        <f>VLOOKUP(N1274,Stock[#Data],3,FALSE)</f>
        <v>1</v>
      </c>
      <c r="Q1274" s="3">
        <f>VLOOKUP(N1274,Stock[#Data],4,FALSE)</f>
        <v>12</v>
      </c>
      <c r="R1274" s="11"/>
      <c r="S1274" s="45">
        <f>IFERROR(Table4[[#This Row],[Bottle]]/Table4[[#This Row],[ပါဝင်မှု]]+Table4[[#This Row],[SalesPK]],0)</f>
        <v>25</v>
      </c>
      <c r="T1274" s="12">
        <v>25</v>
      </c>
      <c r="U1274" s="10">
        <f>Table4[[#This Row],[ပါဝင်မှု]]*Table4[[#This Row],[SalesPK]]+Table4[[#This Row],[Bottle]]</f>
        <v>300</v>
      </c>
      <c r="V1274" s="10">
        <f>Table4[[#This Row],[SalesBot]]*Table4[[#This Row],[ML]]</f>
        <v>300</v>
      </c>
      <c r="W1274" s="1">
        <f>VLOOKUP(N1274,Stock[#Data],6,FALSE)</f>
        <v>1850</v>
      </c>
      <c r="X1274" s="8">
        <f>+Table4[[#This Row],[SalesBot]]*Table4[[#This Row],[နှုံး]]</f>
        <v>555000</v>
      </c>
      <c r="Y1274" s="12"/>
      <c r="Z1274" s="12"/>
      <c r="AA1274" s="12"/>
      <c r="AB1274" s="9"/>
      <c r="AC1274" s="12"/>
      <c r="AD1274" s="9"/>
      <c r="AE1274" s="12"/>
      <c r="AF1274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555000</v>
      </c>
      <c r="AG1274" s="24"/>
      <c r="AH1274" s="266"/>
      <c r="AI1274" s="264"/>
      <c r="AJ1274" s="264"/>
      <c r="AK1274" s="270"/>
      <c r="AL1274" s="270"/>
      <c r="AM1274" s="271"/>
      <c r="AN1274" s="272"/>
      <c r="AO1274" s="273"/>
      <c r="AP1274" s="268"/>
      <c r="AQ1274" s="268"/>
      <c r="AR1274" s="268"/>
    </row>
    <row r="1275" spans="1:44" s="16" customFormat="1" x14ac:dyDescent="0.5">
      <c r="A1275" s="3">
        <f t="shared" si="228"/>
        <v>2026</v>
      </c>
      <c r="B1275" s="8">
        <f t="shared" si="229"/>
        <v>3</v>
      </c>
      <c r="C1275" s="6">
        <v>46095</v>
      </c>
      <c r="D1275" s="15">
        <f t="shared" ca="1" si="230"/>
        <v>46097</v>
      </c>
      <c r="E1275" s="15" t="str">
        <f t="shared" ca="1" si="231"/>
        <v>0-Months</v>
      </c>
      <c r="F1275" s="8" t="str">
        <f>VLOOKUP(N1275,Stock[#Data],5,FALSE)</f>
        <v>BE</v>
      </c>
      <c r="G1275" s="82" t="s">
        <v>1772</v>
      </c>
      <c r="H1275" s="15"/>
      <c r="I1275" s="7" t="s">
        <v>538</v>
      </c>
      <c r="J1275" s="8" t="str">
        <f>VLOOKUP(I1275,Customers[#Data],2,FALSE)</f>
        <v>ဒေါ်နွယ်နွယ်ရီ(ရွှေတောင်ကြား)</v>
      </c>
      <c r="K1275" s="15" t="str">
        <f>VLOOKUP(I1275,Customers[#Data],4,FALSE)</f>
        <v>Yay</v>
      </c>
      <c r="L1275" s="15" t="str">
        <f>VLOOKUP(I1275,Customers[#Data],5,FALSE)</f>
        <v>WholeSales</v>
      </c>
      <c r="M1275" s="7" t="s">
        <v>7</v>
      </c>
      <c r="N1275" s="7" t="s">
        <v>514</v>
      </c>
      <c r="O1275" s="14" t="str">
        <f>VLOOKUP(N1275,Stock[#Data],2,FALSE)</f>
        <v>ဇေယျဝတီ Red</v>
      </c>
      <c r="P1275" s="44">
        <f>VLOOKUP(N1275,Stock[#Data],3,FALSE)</f>
        <v>0.64</v>
      </c>
      <c r="Q1275" s="3">
        <f>VLOOKUP(N1275,Stock[#Data],4,FALSE)</f>
        <v>14</v>
      </c>
      <c r="R1275" s="11"/>
      <c r="S1275" s="45">
        <f>IFERROR(Table4[[#This Row],[Bottle]]/Table4[[#This Row],[ပါဝင်မှု]]+Table4[[#This Row],[SalesPK]],0)</f>
        <v>500</v>
      </c>
      <c r="T1275" s="12">
        <v>500</v>
      </c>
      <c r="U1275" s="10">
        <f>Table4[[#This Row],[ပါဝင်မှု]]*Table4[[#This Row],[SalesPK]]+Table4[[#This Row],[Bottle]]</f>
        <v>7000</v>
      </c>
      <c r="V1275" s="10">
        <f>Table4[[#This Row],[SalesBot]]*Table4[[#This Row],[ML]]</f>
        <v>4480</v>
      </c>
      <c r="W1275" s="1">
        <f>VLOOKUP(N1275,Stock[#Data],6,FALSE)</f>
        <v>1350</v>
      </c>
      <c r="X1275" s="8">
        <f>+Table4[[#This Row],[SalesBot]]*Table4[[#This Row],[နှုံး]]</f>
        <v>9450000</v>
      </c>
      <c r="Y1275" s="12"/>
      <c r="Z1275" s="12"/>
      <c r="AA1275" s="12"/>
      <c r="AB1275" s="9"/>
      <c r="AC1275" s="12"/>
      <c r="AD1275" s="9"/>
      <c r="AE1275" s="12"/>
      <c r="AF1275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9450000</v>
      </c>
      <c r="AG1275" s="24"/>
      <c r="AH1275" s="266"/>
      <c r="AI1275" s="264"/>
      <c r="AJ1275" s="264"/>
      <c r="AK1275" s="270"/>
      <c r="AL1275" s="270"/>
      <c r="AM1275" s="271"/>
      <c r="AN1275" s="272"/>
      <c r="AO1275" s="273"/>
      <c r="AP1275" s="268"/>
      <c r="AQ1275" s="268"/>
      <c r="AR1275" s="268"/>
    </row>
    <row r="1276" spans="1:44" s="16" customFormat="1" x14ac:dyDescent="0.5">
      <c r="A1276" s="3">
        <f t="shared" si="228"/>
        <v>2026</v>
      </c>
      <c r="B1276" s="8">
        <f t="shared" si="229"/>
        <v>3</v>
      </c>
      <c r="C1276" s="6">
        <v>46095</v>
      </c>
      <c r="D1276" s="15">
        <f t="shared" ca="1" si="230"/>
        <v>46097</v>
      </c>
      <c r="E1276" s="15" t="str">
        <f t="shared" ca="1" si="231"/>
        <v>0-Months</v>
      </c>
      <c r="F1276" s="8" t="str">
        <f>VLOOKUP(N1276,Stock[#Data],5,FALSE)</f>
        <v>BE</v>
      </c>
      <c r="G1276" s="82" t="s">
        <v>1772</v>
      </c>
      <c r="H1276" s="15"/>
      <c r="I1276" s="7" t="s">
        <v>538</v>
      </c>
      <c r="J1276" s="8" t="str">
        <f>VLOOKUP(I1276,Customers[#Data],2,FALSE)</f>
        <v>ဒေါ်နွယ်နွယ်ရီ(ရွှေတောင်ကြား)</v>
      </c>
      <c r="K1276" s="15" t="str">
        <f>VLOOKUP(I1276,Customers[#Data],4,FALSE)</f>
        <v>Yay</v>
      </c>
      <c r="L1276" s="15" t="str">
        <f>VLOOKUP(I1276,Customers[#Data],5,FALSE)</f>
        <v>WholeSales</v>
      </c>
      <c r="M1276" s="7" t="s">
        <v>7</v>
      </c>
      <c r="N1276" s="7" t="s">
        <v>517</v>
      </c>
      <c r="O1276" s="14" t="str">
        <f>VLOOKUP(N1276,Stock[#Data],2,FALSE)</f>
        <v>ဇေယျဝတီ Red (1 Liter) 30%</v>
      </c>
      <c r="P1276" s="44">
        <f>VLOOKUP(N1276,Stock[#Data],3,FALSE)</f>
        <v>1</v>
      </c>
      <c r="Q1276" s="3">
        <f>VLOOKUP(N1276,Stock[#Data],4,FALSE)</f>
        <v>12</v>
      </c>
      <c r="R1276" s="11"/>
      <c r="S1276" s="45">
        <f>IFERROR(Table4[[#This Row],[Bottle]]/Table4[[#This Row],[ပါဝင်မှု]]+Table4[[#This Row],[SalesPK]],0)</f>
        <v>100</v>
      </c>
      <c r="T1276" s="12">
        <v>100</v>
      </c>
      <c r="U1276" s="10">
        <f>Table4[[#This Row],[ပါဝင်မှု]]*Table4[[#This Row],[SalesPK]]+Table4[[#This Row],[Bottle]]</f>
        <v>1200</v>
      </c>
      <c r="V1276" s="10">
        <f>Table4[[#This Row],[SalesBot]]*Table4[[#This Row],[ML]]</f>
        <v>1200</v>
      </c>
      <c r="W1276" s="1">
        <f>VLOOKUP(N1276,Stock[#Data],6,FALSE)</f>
        <v>1710</v>
      </c>
      <c r="X1276" s="8">
        <f>+Table4[[#This Row],[SalesBot]]*Table4[[#This Row],[နှုံး]]</f>
        <v>2052000</v>
      </c>
      <c r="Y1276" s="12"/>
      <c r="Z1276" s="12"/>
      <c r="AA1276" s="12"/>
      <c r="AB1276" s="9"/>
      <c r="AC1276" s="12"/>
      <c r="AD1276" s="9"/>
      <c r="AE1276" s="12"/>
      <c r="AF1276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2052000</v>
      </c>
      <c r="AG1276" s="24"/>
      <c r="AH1276" s="266"/>
      <c r="AI1276" s="264"/>
      <c r="AJ1276" s="264"/>
      <c r="AK1276" s="270"/>
      <c r="AL1276" s="270"/>
      <c r="AM1276" s="271"/>
      <c r="AN1276" s="272"/>
      <c r="AO1276" s="273"/>
      <c r="AP1276" s="268"/>
      <c r="AQ1276" s="268"/>
      <c r="AR1276" s="268"/>
    </row>
    <row r="1277" spans="1:44" s="16" customFormat="1" x14ac:dyDescent="0.5">
      <c r="A1277" s="3">
        <f t="shared" si="228"/>
        <v>2026</v>
      </c>
      <c r="B1277" s="8">
        <f t="shared" si="229"/>
        <v>3</v>
      </c>
      <c r="C1277" s="6">
        <v>46095</v>
      </c>
      <c r="D1277" s="15">
        <f t="shared" ca="1" si="230"/>
        <v>46097</v>
      </c>
      <c r="E1277" s="15" t="str">
        <f t="shared" ca="1" si="231"/>
        <v>0-Months</v>
      </c>
      <c r="F1277" s="8" t="str">
        <f>VLOOKUP(N1277,Stock[#Data],5,FALSE)</f>
        <v>BE</v>
      </c>
      <c r="G1277" s="82" t="s">
        <v>1773</v>
      </c>
      <c r="H1277" s="15"/>
      <c r="I1277" s="7" t="s">
        <v>82</v>
      </c>
      <c r="J1277" s="8" t="str">
        <f>VLOOKUP(I1277,Customers[#Data],2,FALSE)</f>
        <v>ဒေါ်ထွန်းမေ</v>
      </c>
      <c r="K1277" s="15" t="str">
        <f>VLOOKUP(I1277,Customers[#Data],4,FALSE)</f>
        <v>Maw La Myaing</v>
      </c>
      <c r="L1277" s="15" t="str">
        <f>VLOOKUP(I1277,Customers[#Data],5,FALSE)</f>
        <v>WholeSales</v>
      </c>
      <c r="M1277" s="7" t="s">
        <v>7</v>
      </c>
      <c r="N1277" s="7" t="s">
        <v>521</v>
      </c>
      <c r="O1277" s="14" t="str">
        <f>VLOOKUP(N1277,Stock[#Data],2,FALSE)</f>
        <v>ဒဂုံအရက်သန့်</v>
      </c>
      <c r="P1277" s="44">
        <f>VLOOKUP(N1277,Stock[#Data],3,FALSE)</f>
        <v>0.64</v>
      </c>
      <c r="Q1277" s="3">
        <f>VLOOKUP(N1277,Stock[#Data],4,FALSE)</f>
        <v>24</v>
      </c>
      <c r="R1277" s="11"/>
      <c r="S1277" s="45">
        <f>IFERROR(Table4[[#This Row],[Bottle]]/Table4[[#This Row],[ပါဝင်မှု]]+Table4[[#This Row],[SalesPK]],0)</f>
        <v>60</v>
      </c>
      <c r="T1277" s="12">
        <v>60</v>
      </c>
      <c r="U1277" s="10">
        <f>Table4[[#This Row],[ပါဝင်မှု]]*Table4[[#This Row],[SalesPK]]+Table4[[#This Row],[Bottle]]</f>
        <v>1440</v>
      </c>
      <c r="V1277" s="10">
        <f>Table4[[#This Row],[SalesBot]]*Table4[[#This Row],[ML]]</f>
        <v>921.6</v>
      </c>
      <c r="W1277" s="1">
        <f>VLOOKUP(N1277,Stock[#Data],6,FALSE)</f>
        <v>1350</v>
      </c>
      <c r="X1277" s="8">
        <f>+Table4[[#This Row],[SalesBot]]*Table4[[#This Row],[နှုံး]]</f>
        <v>1944000</v>
      </c>
      <c r="Y1277" s="12"/>
      <c r="Z1277" s="12"/>
      <c r="AA1277" s="12"/>
      <c r="AB1277" s="9"/>
      <c r="AC1277" s="12"/>
      <c r="AD1277" s="9"/>
      <c r="AE1277" s="12"/>
      <c r="AF1277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1944000</v>
      </c>
      <c r="AG1277" s="24"/>
      <c r="AH1277" s="266"/>
      <c r="AI1277" s="264"/>
      <c r="AJ1277" s="264"/>
      <c r="AK1277" s="270"/>
      <c r="AL1277" s="270"/>
      <c r="AM1277" s="271"/>
      <c r="AN1277" s="272"/>
      <c r="AO1277" s="273"/>
      <c r="AP1277" s="268"/>
      <c r="AQ1277" s="268"/>
      <c r="AR1277" s="268"/>
    </row>
    <row r="1278" spans="1:44" s="16" customFormat="1" x14ac:dyDescent="0.5">
      <c r="A1278" s="3">
        <f t="shared" si="228"/>
        <v>2026</v>
      </c>
      <c r="B1278" s="8">
        <f t="shared" si="229"/>
        <v>3</v>
      </c>
      <c r="C1278" s="6">
        <v>46095</v>
      </c>
      <c r="D1278" s="15">
        <f t="shared" ca="1" si="230"/>
        <v>46097</v>
      </c>
      <c r="E1278" s="15" t="str">
        <f t="shared" ca="1" si="231"/>
        <v>0-Months</v>
      </c>
      <c r="F1278" s="8" t="str">
        <f>VLOOKUP(N1278,Stock[#Data],5,FALSE)</f>
        <v>BE</v>
      </c>
      <c r="G1278" s="82" t="s">
        <v>1774</v>
      </c>
      <c r="H1278" s="15"/>
      <c r="I1278" s="7" t="s">
        <v>568</v>
      </c>
      <c r="J1278" s="8" t="str">
        <f>VLOOKUP(I1278,Customers[#Data],2,FALSE)</f>
        <v>စိမ်းလဲ့ကန်သာ</v>
      </c>
      <c r="K1278" s="15" t="str">
        <f>VLOOKUP(I1278,Customers[#Data],4,FALSE)</f>
        <v>Chang Sone</v>
      </c>
      <c r="L1278" s="15" t="str">
        <f>VLOOKUP(I1278,Customers[#Data],5,FALSE)</f>
        <v>Van Sales</v>
      </c>
      <c r="M1278" s="7" t="s">
        <v>6</v>
      </c>
      <c r="N1278" s="7" t="s">
        <v>514</v>
      </c>
      <c r="O1278" s="14" t="str">
        <f>VLOOKUP(N1278,Stock[#Data],2,FALSE)</f>
        <v>ဇေယျဝတီ Red</v>
      </c>
      <c r="P1278" s="44">
        <f>VLOOKUP(N1278,Stock[#Data],3,FALSE)</f>
        <v>0.64</v>
      </c>
      <c r="Q1278" s="3">
        <f>VLOOKUP(N1278,Stock[#Data],4,FALSE)</f>
        <v>14</v>
      </c>
      <c r="R1278" s="11"/>
      <c r="S1278" s="45">
        <f>IFERROR(Table4[[#This Row],[Bottle]]/Table4[[#This Row],[ပါဝင်မှု]]+Table4[[#This Row],[SalesPK]],0)</f>
        <v>50</v>
      </c>
      <c r="T1278" s="12">
        <v>50</v>
      </c>
      <c r="U1278" s="10">
        <f>Table4[[#This Row],[ပါဝင်မှု]]*Table4[[#This Row],[SalesPK]]+Table4[[#This Row],[Bottle]]</f>
        <v>700</v>
      </c>
      <c r="V1278" s="10">
        <f>Table4[[#This Row],[SalesBot]]*Table4[[#This Row],[ML]]</f>
        <v>448</v>
      </c>
      <c r="W1278" s="1">
        <f>VLOOKUP(N1278,Stock[#Data],6,FALSE)</f>
        <v>1350</v>
      </c>
      <c r="X1278" s="8">
        <f>+Table4[[#This Row],[SalesBot]]*Table4[[#This Row],[နှုံး]]</f>
        <v>945000</v>
      </c>
      <c r="Y1278" s="12"/>
      <c r="Z1278" s="12"/>
      <c r="AA1278" s="12"/>
      <c r="AB1278" s="9"/>
      <c r="AC1278" s="12"/>
      <c r="AD1278" s="9"/>
      <c r="AE1278" s="12"/>
      <c r="AF1278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945000</v>
      </c>
      <c r="AG1278" s="24"/>
      <c r="AH1278" s="266"/>
      <c r="AI1278" s="264"/>
      <c r="AJ1278" s="264"/>
      <c r="AK1278" s="270"/>
      <c r="AL1278" s="270"/>
      <c r="AM1278" s="271"/>
      <c r="AN1278" s="272"/>
      <c r="AO1278" s="273"/>
      <c r="AP1278" s="268"/>
      <c r="AQ1278" s="268"/>
      <c r="AR1278" s="268"/>
    </row>
    <row r="1279" spans="1:44" s="16" customFormat="1" x14ac:dyDescent="0.5">
      <c r="A1279" s="3">
        <f t="shared" si="228"/>
        <v>2026</v>
      </c>
      <c r="B1279" s="8">
        <f t="shared" si="229"/>
        <v>3</v>
      </c>
      <c r="C1279" s="6">
        <v>46095</v>
      </c>
      <c r="D1279" s="15">
        <f t="shared" ca="1" si="230"/>
        <v>46097</v>
      </c>
      <c r="E1279" s="15" t="str">
        <f t="shared" ca="1" si="231"/>
        <v>0-Months</v>
      </c>
      <c r="F1279" s="8" t="str">
        <f>VLOOKUP(N1279,Stock[#Data],5,FALSE)</f>
        <v>BE</v>
      </c>
      <c r="G1279" s="82" t="s">
        <v>1774</v>
      </c>
      <c r="H1279" s="15"/>
      <c r="I1279" s="7" t="s">
        <v>568</v>
      </c>
      <c r="J1279" s="8" t="str">
        <f>VLOOKUP(I1279,Customers[#Data],2,FALSE)</f>
        <v>စိမ်းလဲ့ကန်သာ</v>
      </c>
      <c r="K1279" s="15" t="str">
        <f>VLOOKUP(I1279,Customers[#Data],4,FALSE)</f>
        <v>Chang Sone</v>
      </c>
      <c r="L1279" s="15" t="str">
        <f>VLOOKUP(I1279,Customers[#Data],5,FALSE)</f>
        <v>Van Sales</v>
      </c>
      <c r="M1279" s="7" t="s">
        <v>6</v>
      </c>
      <c r="N1279" s="7" t="s">
        <v>522</v>
      </c>
      <c r="O1279" s="14" t="str">
        <f>VLOOKUP(N1279,Stock[#Data],2,FALSE)</f>
        <v>ဒဂုံမန်ကျည်း ကော်ဘူး (1 Liter)</v>
      </c>
      <c r="P1279" s="44">
        <f>VLOOKUP(N1279,Stock[#Data],3,FALSE)</f>
        <v>1</v>
      </c>
      <c r="Q1279" s="3">
        <f>VLOOKUP(N1279,Stock[#Data],4,FALSE)</f>
        <v>12</v>
      </c>
      <c r="R1279" s="11"/>
      <c r="S1279" s="45">
        <f>IFERROR(Table4[[#This Row],[Bottle]]/Table4[[#This Row],[ပါဝင်မှု]]+Table4[[#This Row],[SalesPK]],0)</f>
        <v>1</v>
      </c>
      <c r="T1279" s="12">
        <v>1</v>
      </c>
      <c r="U1279" s="10">
        <f>Table4[[#This Row],[ပါဝင်မှု]]*Table4[[#This Row],[SalesPK]]+Table4[[#This Row],[Bottle]]</f>
        <v>12</v>
      </c>
      <c r="V1279" s="10">
        <f>Table4[[#This Row],[SalesBot]]*Table4[[#This Row],[ML]]</f>
        <v>12</v>
      </c>
      <c r="W1279" s="1">
        <f>VLOOKUP(N1279,Stock[#Data],6,FALSE)</f>
        <v>1600</v>
      </c>
      <c r="X1279" s="8">
        <f>+Table4[[#This Row],[SalesBot]]*Table4[[#This Row],[နှုံး]]</f>
        <v>19200</v>
      </c>
      <c r="Y1279" s="12"/>
      <c r="Z1279" s="12"/>
      <c r="AA1279" s="12"/>
      <c r="AB1279" s="9"/>
      <c r="AC1279" s="12"/>
      <c r="AD1279" s="9"/>
      <c r="AE1279" s="12"/>
      <c r="AF1279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19200</v>
      </c>
      <c r="AG1279" s="24"/>
      <c r="AH1279" s="266"/>
      <c r="AI1279" s="264"/>
      <c r="AJ1279" s="264"/>
      <c r="AK1279" s="270"/>
      <c r="AL1279" s="270"/>
      <c r="AM1279" s="271"/>
      <c r="AN1279" s="272"/>
      <c r="AO1279" s="273"/>
      <c r="AP1279" s="268"/>
      <c r="AQ1279" s="268"/>
      <c r="AR1279" s="268"/>
    </row>
    <row r="1280" spans="1:44" s="16" customFormat="1" x14ac:dyDescent="0.5">
      <c r="A1280" s="3">
        <f t="shared" si="228"/>
        <v>2026</v>
      </c>
      <c r="B1280" s="8">
        <f t="shared" si="229"/>
        <v>3</v>
      </c>
      <c r="C1280" s="6">
        <v>46095</v>
      </c>
      <c r="D1280" s="15">
        <f t="shared" ca="1" si="230"/>
        <v>46097</v>
      </c>
      <c r="E1280" s="15" t="str">
        <f t="shared" ca="1" si="231"/>
        <v>0-Months</v>
      </c>
      <c r="F1280" s="8" t="str">
        <f>VLOOKUP(N1280,Stock[#Data],5,FALSE)</f>
        <v>BE</v>
      </c>
      <c r="G1280" s="82" t="s">
        <v>1775</v>
      </c>
      <c r="H1280" s="15"/>
      <c r="I1280" s="7" t="s">
        <v>598</v>
      </c>
      <c r="J1280" s="8" t="str">
        <f>VLOOKUP(I1280,Customers[#Data],2,FALSE)</f>
        <v>ဦးထွေးဟန်</v>
      </c>
      <c r="K1280" s="15" t="str">
        <f>VLOOKUP(I1280,Customers[#Data],4,FALSE)</f>
        <v>Chang Sone</v>
      </c>
      <c r="L1280" s="15" t="str">
        <f>VLOOKUP(I1280,Customers[#Data],5,FALSE)</f>
        <v>Van Sales</v>
      </c>
      <c r="M1280" s="7" t="s">
        <v>6</v>
      </c>
      <c r="N1280" s="7" t="s">
        <v>519</v>
      </c>
      <c r="O1280" s="14" t="str">
        <f>VLOOKUP(N1280,Stock[#Data],2,FALSE)</f>
        <v>ဇေယျဝတီ High 43%</v>
      </c>
      <c r="P1280" s="44">
        <f>VLOOKUP(N1280,Stock[#Data],3,FALSE)</f>
        <v>0.64</v>
      </c>
      <c r="Q1280" s="3">
        <f>VLOOKUP(N1280,Stock[#Data],4,FALSE)</f>
        <v>14</v>
      </c>
      <c r="R1280" s="11"/>
      <c r="S1280" s="45">
        <f>IFERROR(Table4[[#This Row],[Bottle]]/Table4[[#This Row],[ပါဝင်မှု]]+Table4[[#This Row],[SalesPK]],0)</f>
        <v>10</v>
      </c>
      <c r="T1280" s="12">
        <v>10</v>
      </c>
      <c r="U1280" s="10">
        <f>Table4[[#This Row],[ပါဝင်မှု]]*Table4[[#This Row],[SalesPK]]+Table4[[#This Row],[Bottle]]</f>
        <v>140</v>
      </c>
      <c r="V1280" s="10">
        <f>Table4[[#This Row],[SalesBot]]*Table4[[#This Row],[ML]]</f>
        <v>89.600000000000009</v>
      </c>
      <c r="W1280" s="1">
        <f>VLOOKUP(N1280,Stock[#Data],6,FALSE)</f>
        <v>1500</v>
      </c>
      <c r="X1280" s="8">
        <f>+Table4[[#This Row],[SalesBot]]*Table4[[#This Row],[နှုံး]]</f>
        <v>210000</v>
      </c>
      <c r="Y1280" s="12"/>
      <c r="Z1280" s="12"/>
      <c r="AA1280" s="12"/>
      <c r="AB1280" s="9"/>
      <c r="AC1280" s="12"/>
      <c r="AD1280" s="9"/>
      <c r="AE1280" s="12"/>
      <c r="AF1280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210000</v>
      </c>
      <c r="AG1280" s="24"/>
      <c r="AH1280" s="266"/>
      <c r="AI1280" s="264"/>
      <c r="AJ1280" s="264"/>
      <c r="AK1280" s="270"/>
      <c r="AL1280" s="270"/>
      <c r="AM1280" s="271"/>
      <c r="AN1280" s="272"/>
      <c r="AO1280" s="273"/>
      <c r="AP1280" s="268"/>
      <c r="AQ1280" s="268"/>
      <c r="AR1280" s="268"/>
    </row>
    <row r="1281" spans="1:44" s="16" customFormat="1" x14ac:dyDescent="0.5">
      <c r="A1281" s="3">
        <f t="shared" si="228"/>
        <v>2026</v>
      </c>
      <c r="B1281" s="8">
        <f t="shared" si="229"/>
        <v>3</v>
      </c>
      <c r="C1281" s="6">
        <v>46095</v>
      </c>
      <c r="D1281" s="15">
        <f t="shared" ca="1" si="230"/>
        <v>46097</v>
      </c>
      <c r="E1281" s="15" t="str">
        <f t="shared" ca="1" si="231"/>
        <v>0-Months</v>
      </c>
      <c r="F1281" s="8" t="str">
        <f>VLOOKUP(N1281,Stock[#Data],5,FALSE)</f>
        <v>BE</v>
      </c>
      <c r="G1281" s="82" t="s">
        <v>1776</v>
      </c>
      <c r="H1281" s="15"/>
      <c r="I1281" s="7" t="s">
        <v>480</v>
      </c>
      <c r="J1281" s="8" t="str">
        <f>VLOOKUP(I1281,Customers[#Data],2,FALSE)</f>
        <v>ကိုဝင်းထွဋ်အောင်</v>
      </c>
      <c r="K1281" s="15" t="str">
        <f>VLOOKUP(I1281,Customers[#Data],4,FALSE)</f>
        <v>Maw La Myaing</v>
      </c>
      <c r="L1281" s="15" t="str">
        <f>VLOOKUP(I1281,Customers[#Data],5,FALSE)</f>
        <v>Van Sales</v>
      </c>
      <c r="M1281" s="7" t="s">
        <v>6</v>
      </c>
      <c r="N1281" s="7" t="s">
        <v>517</v>
      </c>
      <c r="O1281" s="14" t="str">
        <f>VLOOKUP(N1281,Stock[#Data],2,FALSE)</f>
        <v>ဇေယျဝတီ Red (1 Liter) 30%</v>
      </c>
      <c r="P1281" s="44">
        <f>VLOOKUP(N1281,Stock[#Data],3,FALSE)</f>
        <v>1</v>
      </c>
      <c r="Q1281" s="3">
        <f>VLOOKUP(N1281,Stock[#Data],4,FALSE)</f>
        <v>12</v>
      </c>
      <c r="R1281" s="11"/>
      <c r="S1281" s="45">
        <f>IFERROR(Table4[[#This Row],[Bottle]]/Table4[[#This Row],[ပါဝင်မှု]]+Table4[[#This Row],[SalesPK]],0)</f>
        <v>60</v>
      </c>
      <c r="T1281" s="12">
        <v>60</v>
      </c>
      <c r="U1281" s="10">
        <f>Table4[[#This Row],[ပါဝင်မှု]]*Table4[[#This Row],[SalesPK]]+Table4[[#This Row],[Bottle]]</f>
        <v>720</v>
      </c>
      <c r="V1281" s="10">
        <f>Table4[[#This Row],[SalesBot]]*Table4[[#This Row],[ML]]</f>
        <v>720</v>
      </c>
      <c r="W1281" s="1">
        <f>VLOOKUP(N1281,Stock[#Data],6,FALSE)</f>
        <v>1710</v>
      </c>
      <c r="X1281" s="8">
        <f>+Table4[[#This Row],[SalesBot]]*Table4[[#This Row],[နှုံး]]</f>
        <v>1231200</v>
      </c>
      <c r="Y1281" s="12"/>
      <c r="Z1281" s="12"/>
      <c r="AA1281" s="12"/>
      <c r="AB1281" s="9"/>
      <c r="AC1281" s="12"/>
      <c r="AD1281" s="9"/>
      <c r="AE1281" s="12"/>
      <c r="AF1281" s="13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1231200</v>
      </c>
      <c r="AG1281" s="24"/>
      <c r="AH1281" s="266"/>
      <c r="AI1281" s="264"/>
      <c r="AJ1281" s="264"/>
      <c r="AK1281" s="270"/>
      <c r="AL1281" s="270"/>
      <c r="AM1281" s="271"/>
      <c r="AN1281" s="272"/>
      <c r="AO1281" s="273"/>
      <c r="AP1281" s="268"/>
      <c r="AQ1281" s="268"/>
      <c r="AR1281" s="268"/>
    </row>
    <row r="1282" spans="1:44" s="16" customFormat="1" hidden="1" x14ac:dyDescent="0.5">
      <c r="A1282" s="3">
        <f t="shared" si="228"/>
        <v>1900</v>
      </c>
      <c r="B1282" s="8">
        <f t="shared" si="229"/>
        <v>1</v>
      </c>
      <c r="C1282" s="6"/>
      <c r="D1282" s="15">
        <f t="shared" ca="1" si="230"/>
        <v>46097</v>
      </c>
      <c r="E1282" s="15" t="str">
        <f t="shared" ca="1" si="231"/>
        <v>1514-Months</v>
      </c>
      <c r="F1282" s="8" t="e">
        <f>VLOOKUP(N1282,Stock[#Data],5,FALSE)</f>
        <v>#N/A</v>
      </c>
      <c r="G1282" s="82"/>
      <c r="H1282" s="15"/>
      <c r="I1282" s="7"/>
      <c r="J1282" s="8" t="e">
        <f>VLOOKUP(I1282,Customers[#Data],2,FALSE)</f>
        <v>#N/A</v>
      </c>
      <c r="K1282" s="15" t="e">
        <f>VLOOKUP(I1282,Customers[#Data],4,FALSE)</f>
        <v>#N/A</v>
      </c>
      <c r="L1282" s="15" t="e">
        <f>VLOOKUP(I1282,Customers[#Data],5,FALSE)</f>
        <v>#N/A</v>
      </c>
      <c r="M1282" s="7"/>
      <c r="N1282" s="7"/>
      <c r="O1282" s="14" t="e">
        <f>VLOOKUP(N1282,Stock[#Data],2,FALSE)</f>
        <v>#N/A</v>
      </c>
      <c r="P1282" s="44" t="e">
        <f>VLOOKUP(N1282,Stock[#Data],3,FALSE)</f>
        <v>#N/A</v>
      </c>
      <c r="Q1282" s="3" t="e">
        <f>VLOOKUP(N1282,Stock[#Data],4,FALSE)</f>
        <v>#N/A</v>
      </c>
      <c r="R1282" s="11"/>
      <c r="S1282" s="45">
        <f>IFERROR(Table4[[#This Row],[Bottle]]/Table4[[#This Row],[ပါဝင်မှု]]+Table4[[#This Row],[SalesPK]],0)</f>
        <v>0</v>
      </c>
      <c r="T1282" s="12"/>
      <c r="U1282" s="10" t="e">
        <f>Table4[[#This Row],[ပါဝင်မှု]]*Table4[[#This Row],[SalesPK]]+Table4[[#This Row],[Bottle]]</f>
        <v>#N/A</v>
      </c>
      <c r="V1282" s="10" t="e">
        <f>Table4[[#This Row],[SalesBot]]*Table4[[#This Row],[ML]]</f>
        <v>#N/A</v>
      </c>
      <c r="W1282" s="1" t="e">
        <f>VLOOKUP(N1282,Stock[#Data],6,FALSE)</f>
        <v>#N/A</v>
      </c>
      <c r="X1282" s="8" t="e">
        <f>+Table4[[#This Row],[SalesBot]]*Table4[[#This Row],[နှုံး]]</f>
        <v>#N/A</v>
      </c>
      <c r="Y1282" s="12"/>
      <c r="Z1282" s="12"/>
      <c r="AA1282" s="12"/>
      <c r="AB1282" s="9"/>
      <c r="AC1282" s="12"/>
      <c r="AD1282" s="9"/>
      <c r="AE1282" s="12"/>
      <c r="AF1282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82" s="24"/>
      <c r="AH1282" s="266"/>
      <c r="AI1282" s="264"/>
      <c r="AJ1282" s="264"/>
      <c r="AK1282" s="270"/>
      <c r="AL1282" s="270"/>
      <c r="AM1282" s="271"/>
      <c r="AN1282" s="272"/>
      <c r="AO1282" s="273"/>
      <c r="AP1282" s="268"/>
      <c r="AQ1282" s="268"/>
      <c r="AR1282" s="268"/>
    </row>
    <row r="1283" spans="1:44" s="16" customFormat="1" hidden="1" x14ac:dyDescent="0.5">
      <c r="A1283" s="3">
        <f t="shared" si="228"/>
        <v>1900</v>
      </c>
      <c r="B1283" s="8">
        <f t="shared" si="229"/>
        <v>1</v>
      </c>
      <c r="C1283" s="6"/>
      <c r="D1283" s="15">
        <f t="shared" ca="1" si="230"/>
        <v>46097</v>
      </c>
      <c r="E1283" s="15" t="str">
        <f t="shared" ca="1" si="231"/>
        <v>1514-Months</v>
      </c>
      <c r="F1283" s="8" t="e">
        <f>VLOOKUP(N1283,Stock[#Data],5,FALSE)</f>
        <v>#N/A</v>
      </c>
      <c r="G1283" s="82"/>
      <c r="H1283" s="15"/>
      <c r="I1283" s="7"/>
      <c r="J1283" s="8" t="e">
        <f>VLOOKUP(I1283,Customers[#Data],2,FALSE)</f>
        <v>#N/A</v>
      </c>
      <c r="K1283" s="15" t="e">
        <f>VLOOKUP(I1283,Customers[#Data],4,FALSE)</f>
        <v>#N/A</v>
      </c>
      <c r="L1283" s="15" t="e">
        <f>VLOOKUP(I1283,Customers[#Data],5,FALSE)</f>
        <v>#N/A</v>
      </c>
      <c r="M1283" s="7"/>
      <c r="N1283" s="7"/>
      <c r="O1283" s="14" t="e">
        <f>VLOOKUP(N1283,Stock[#Data],2,FALSE)</f>
        <v>#N/A</v>
      </c>
      <c r="P1283" s="44" t="e">
        <f>VLOOKUP(N1283,Stock[#Data],3,FALSE)</f>
        <v>#N/A</v>
      </c>
      <c r="Q1283" s="3" t="e">
        <f>VLOOKUP(N1283,Stock[#Data],4,FALSE)</f>
        <v>#N/A</v>
      </c>
      <c r="R1283" s="11"/>
      <c r="S1283" s="45">
        <f>IFERROR(Table4[[#This Row],[Bottle]]/Table4[[#This Row],[ပါဝင်မှု]]+Table4[[#This Row],[SalesPK]],0)</f>
        <v>0</v>
      </c>
      <c r="T1283" s="12"/>
      <c r="U1283" s="10" t="e">
        <f>Table4[[#This Row],[ပါဝင်မှု]]*Table4[[#This Row],[SalesPK]]+Table4[[#This Row],[Bottle]]</f>
        <v>#N/A</v>
      </c>
      <c r="V1283" s="10" t="e">
        <f>Table4[[#This Row],[SalesBot]]*Table4[[#This Row],[ML]]</f>
        <v>#N/A</v>
      </c>
      <c r="W1283" s="1" t="e">
        <f>VLOOKUP(N1283,Stock[#Data],6,FALSE)</f>
        <v>#N/A</v>
      </c>
      <c r="X1283" s="8" t="e">
        <f>+Table4[[#This Row],[SalesBot]]*Table4[[#This Row],[နှုံး]]</f>
        <v>#N/A</v>
      </c>
      <c r="Y1283" s="12"/>
      <c r="Z1283" s="12"/>
      <c r="AA1283" s="12"/>
      <c r="AB1283" s="9"/>
      <c r="AC1283" s="12"/>
      <c r="AD1283" s="9"/>
      <c r="AE1283" s="12"/>
      <c r="AF1283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83" s="24"/>
      <c r="AH1283" s="266"/>
      <c r="AI1283" s="264"/>
      <c r="AJ1283" s="264"/>
      <c r="AK1283" s="270"/>
      <c r="AL1283" s="270"/>
      <c r="AM1283" s="271"/>
      <c r="AN1283" s="272"/>
      <c r="AO1283" s="273"/>
      <c r="AP1283" s="268"/>
      <c r="AQ1283" s="268"/>
      <c r="AR1283" s="268"/>
    </row>
    <row r="1284" spans="1:44" s="16" customFormat="1" hidden="1" x14ac:dyDescent="0.5">
      <c r="A1284" s="3">
        <f t="shared" si="228"/>
        <v>1900</v>
      </c>
      <c r="B1284" s="8">
        <f t="shared" si="229"/>
        <v>1</v>
      </c>
      <c r="C1284" s="6"/>
      <c r="D1284" s="15">
        <f t="shared" ca="1" si="230"/>
        <v>46097</v>
      </c>
      <c r="E1284" s="15" t="str">
        <f t="shared" ca="1" si="231"/>
        <v>1514-Months</v>
      </c>
      <c r="F1284" s="8" t="e">
        <f>VLOOKUP(N1284,Stock[#Data],5,FALSE)</f>
        <v>#N/A</v>
      </c>
      <c r="G1284" s="82"/>
      <c r="H1284" s="15"/>
      <c r="I1284" s="7"/>
      <c r="J1284" s="8" t="e">
        <f>VLOOKUP(I1284,Customers[#Data],2,FALSE)</f>
        <v>#N/A</v>
      </c>
      <c r="K1284" s="15" t="e">
        <f>VLOOKUP(I1284,Customers[#Data],4,FALSE)</f>
        <v>#N/A</v>
      </c>
      <c r="L1284" s="15" t="e">
        <f>VLOOKUP(I1284,Customers[#Data],5,FALSE)</f>
        <v>#N/A</v>
      </c>
      <c r="M1284" s="7"/>
      <c r="N1284" s="7"/>
      <c r="O1284" s="14" t="e">
        <f>VLOOKUP(N1284,Stock[#Data],2,FALSE)</f>
        <v>#N/A</v>
      </c>
      <c r="P1284" s="44" t="e">
        <f>VLOOKUP(N1284,Stock[#Data],3,FALSE)</f>
        <v>#N/A</v>
      </c>
      <c r="Q1284" s="3" t="e">
        <f>VLOOKUP(N1284,Stock[#Data],4,FALSE)</f>
        <v>#N/A</v>
      </c>
      <c r="R1284" s="11"/>
      <c r="S1284" s="45">
        <f>IFERROR(Table4[[#This Row],[Bottle]]/Table4[[#This Row],[ပါဝင်မှု]]+Table4[[#This Row],[SalesPK]],0)</f>
        <v>0</v>
      </c>
      <c r="T1284" s="12"/>
      <c r="U1284" s="10" t="e">
        <f>Table4[[#This Row],[ပါဝင်မှု]]*Table4[[#This Row],[SalesPK]]+Table4[[#This Row],[Bottle]]</f>
        <v>#N/A</v>
      </c>
      <c r="V1284" s="10" t="e">
        <f>Table4[[#This Row],[SalesBot]]*Table4[[#This Row],[ML]]</f>
        <v>#N/A</v>
      </c>
      <c r="W1284" s="1" t="e">
        <f>VLOOKUP(N1284,Stock[#Data],6,FALSE)</f>
        <v>#N/A</v>
      </c>
      <c r="X1284" s="8" t="e">
        <f>+Table4[[#This Row],[SalesBot]]*Table4[[#This Row],[နှုံး]]</f>
        <v>#N/A</v>
      </c>
      <c r="Y1284" s="12"/>
      <c r="Z1284" s="12"/>
      <c r="AA1284" s="12"/>
      <c r="AB1284" s="9"/>
      <c r="AC1284" s="12"/>
      <c r="AD1284" s="9"/>
      <c r="AE1284" s="12"/>
      <c r="AF1284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84" s="24"/>
      <c r="AH1284" s="266"/>
      <c r="AI1284" s="264"/>
      <c r="AJ1284" s="264"/>
      <c r="AK1284" s="270"/>
      <c r="AL1284" s="270"/>
      <c r="AM1284" s="271"/>
      <c r="AN1284" s="272"/>
      <c r="AO1284" s="273"/>
      <c r="AP1284" s="268"/>
      <c r="AQ1284" s="268"/>
      <c r="AR1284" s="268"/>
    </row>
    <row r="1285" spans="1:44" s="16" customFormat="1" hidden="1" x14ac:dyDescent="0.5">
      <c r="A1285" s="3">
        <f t="shared" si="228"/>
        <v>1900</v>
      </c>
      <c r="B1285" s="8">
        <f t="shared" si="229"/>
        <v>1</v>
      </c>
      <c r="C1285" s="6"/>
      <c r="D1285" s="15">
        <f t="shared" ca="1" si="230"/>
        <v>46097</v>
      </c>
      <c r="E1285" s="15" t="str">
        <f t="shared" ca="1" si="231"/>
        <v>1514-Months</v>
      </c>
      <c r="F1285" s="8" t="e">
        <f>VLOOKUP(N1285,Stock[#Data],5,FALSE)</f>
        <v>#N/A</v>
      </c>
      <c r="G1285" s="82"/>
      <c r="H1285" s="15"/>
      <c r="I1285" s="7"/>
      <c r="J1285" s="8" t="e">
        <f>VLOOKUP(I1285,Customers[#Data],2,FALSE)</f>
        <v>#N/A</v>
      </c>
      <c r="K1285" s="15" t="e">
        <f>VLOOKUP(I1285,Customers[#Data],4,FALSE)</f>
        <v>#N/A</v>
      </c>
      <c r="L1285" s="15" t="e">
        <f>VLOOKUP(I1285,Customers[#Data],5,FALSE)</f>
        <v>#N/A</v>
      </c>
      <c r="M1285" s="7"/>
      <c r="N1285" s="7"/>
      <c r="O1285" s="14" t="e">
        <f>VLOOKUP(N1285,Stock[#Data],2,FALSE)</f>
        <v>#N/A</v>
      </c>
      <c r="P1285" s="44" t="e">
        <f>VLOOKUP(N1285,Stock[#Data],3,FALSE)</f>
        <v>#N/A</v>
      </c>
      <c r="Q1285" s="3" t="e">
        <f>VLOOKUP(N1285,Stock[#Data],4,FALSE)</f>
        <v>#N/A</v>
      </c>
      <c r="R1285" s="11"/>
      <c r="S1285" s="45">
        <f>IFERROR(Table4[[#This Row],[Bottle]]/Table4[[#This Row],[ပါဝင်မှု]]+Table4[[#This Row],[SalesPK]],0)</f>
        <v>0</v>
      </c>
      <c r="T1285" s="12"/>
      <c r="U1285" s="10" t="e">
        <f>Table4[[#This Row],[ပါဝင်မှု]]*Table4[[#This Row],[SalesPK]]+Table4[[#This Row],[Bottle]]</f>
        <v>#N/A</v>
      </c>
      <c r="V1285" s="10" t="e">
        <f>Table4[[#This Row],[SalesBot]]*Table4[[#This Row],[ML]]</f>
        <v>#N/A</v>
      </c>
      <c r="W1285" s="1" t="e">
        <f>VLOOKUP(N1285,Stock[#Data],6,FALSE)</f>
        <v>#N/A</v>
      </c>
      <c r="X1285" s="8" t="e">
        <f>+Table4[[#This Row],[SalesBot]]*Table4[[#This Row],[နှုံး]]</f>
        <v>#N/A</v>
      </c>
      <c r="Y1285" s="12"/>
      <c r="Z1285" s="12"/>
      <c r="AA1285" s="12"/>
      <c r="AB1285" s="9"/>
      <c r="AC1285" s="12"/>
      <c r="AD1285" s="9"/>
      <c r="AE1285" s="12"/>
      <c r="AF1285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85" s="24"/>
      <c r="AH1285" s="266"/>
      <c r="AI1285" s="264"/>
      <c r="AJ1285" s="264"/>
      <c r="AK1285" s="270"/>
      <c r="AL1285" s="270"/>
      <c r="AM1285" s="271"/>
      <c r="AN1285" s="272"/>
      <c r="AO1285" s="273"/>
      <c r="AP1285" s="268"/>
      <c r="AQ1285" s="268"/>
      <c r="AR1285" s="268"/>
    </row>
    <row r="1286" spans="1:44" s="16" customFormat="1" hidden="1" x14ac:dyDescent="0.5">
      <c r="A1286" s="3">
        <f t="shared" si="228"/>
        <v>1900</v>
      </c>
      <c r="B1286" s="8">
        <f t="shared" si="229"/>
        <v>1</v>
      </c>
      <c r="C1286" s="6"/>
      <c r="D1286" s="15">
        <f t="shared" ca="1" si="230"/>
        <v>46097</v>
      </c>
      <c r="E1286" s="15" t="str">
        <f t="shared" ca="1" si="231"/>
        <v>1514-Months</v>
      </c>
      <c r="F1286" s="8" t="e">
        <f>VLOOKUP(N1286,Stock[#Data],5,FALSE)</f>
        <v>#N/A</v>
      </c>
      <c r="G1286" s="82"/>
      <c r="H1286" s="15"/>
      <c r="I1286" s="7"/>
      <c r="J1286" s="8" t="e">
        <f>VLOOKUP(I1286,Customers[#Data],2,FALSE)</f>
        <v>#N/A</v>
      </c>
      <c r="K1286" s="15" t="e">
        <f>VLOOKUP(I1286,Customers[#Data],4,FALSE)</f>
        <v>#N/A</v>
      </c>
      <c r="L1286" s="15" t="e">
        <f>VLOOKUP(I1286,Customers[#Data],5,FALSE)</f>
        <v>#N/A</v>
      </c>
      <c r="M1286" s="7"/>
      <c r="N1286" s="7"/>
      <c r="O1286" s="14" t="e">
        <f>VLOOKUP(N1286,Stock[#Data],2,FALSE)</f>
        <v>#N/A</v>
      </c>
      <c r="P1286" s="44" t="e">
        <f>VLOOKUP(N1286,Stock[#Data],3,FALSE)</f>
        <v>#N/A</v>
      </c>
      <c r="Q1286" s="3" t="e">
        <f>VLOOKUP(N1286,Stock[#Data],4,FALSE)</f>
        <v>#N/A</v>
      </c>
      <c r="R1286" s="11"/>
      <c r="S1286" s="45">
        <f>IFERROR(Table4[[#This Row],[Bottle]]/Table4[[#This Row],[ပါဝင်မှု]]+Table4[[#This Row],[SalesPK]],0)</f>
        <v>0</v>
      </c>
      <c r="T1286" s="12"/>
      <c r="U1286" s="10" t="e">
        <f>Table4[[#This Row],[ပါဝင်မှု]]*Table4[[#This Row],[SalesPK]]+Table4[[#This Row],[Bottle]]</f>
        <v>#N/A</v>
      </c>
      <c r="V1286" s="10" t="e">
        <f>Table4[[#This Row],[SalesBot]]*Table4[[#This Row],[ML]]</f>
        <v>#N/A</v>
      </c>
      <c r="W1286" s="1" t="e">
        <f>VLOOKUP(N1286,Stock[#Data],6,FALSE)</f>
        <v>#N/A</v>
      </c>
      <c r="X1286" s="8" t="e">
        <f>+Table4[[#This Row],[SalesBot]]*Table4[[#This Row],[နှုံး]]</f>
        <v>#N/A</v>
      </c>
      <c r="Y1286" s="12"/>
      <c r="Z1286" s="12"/>
      <c r="AA1286" s="12"/>
      <c r="AB1286" s="9"/>
      <c r="AC1286" s="12"/>
      <c r="AD1286" s="9"/>
      <c r="AE1286" s="12"/>
      <c r="AF1286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86" s="24"/>
      <c r="AH1286" s="266"/>
      <c r="AI1286" s="264"/>
      <c r="AJ1286" s="264"/>
      <c r="AK1286" s="270"/>
      <c r="AL1286" s="270"/>
      <c r="AM1286" s="271"/>
      <c r="AN1286" s="272"/>
      <c r="AO1286" s="273"/>
      <c r="AP1286" s="268"/>
      <c r="AQ1286" s="268"/>
      <c r="AR1286" s="268"/>
    </row>
    <row r="1287" spans="1:44" s="16" customFormat="1" hidden="1" x14ac:dyDescent="0.5">
      <c r="A1287" s="3">
        <f t="shared" si="228"/>
        <v>1900</v>
      </c>
      <c r="B1287" s="8">
        <f t="shared" si="229"/>
        <v>1</v>
      </c>
      <c r="C1287" s="6"/>
      <c r="D1287" s="15">
        <f t="shared" ca="1" si="230"/>
        <v>46097</v>
      </c>
      <c r="E1287" s="15" t="str">
        <f t="shared" ca="1" si="231"/>
        <v>1514-Months</v>
      </c>
      <c r="F1287" s="8" t="e">
        <f>VLOOKUP(N1287,Stock[#Data],5,FALSE)</f>
        <v>#N/A</v>
      </c>
      <c r="G1287" s="82"/>
      <c r="H1287" s="15"/>
      <c r="I1287" s="7"/>
      <c r="J1287" s="8" t="e">
        <f>VLOOKUP(I1287,Customers[#Data],2,FALSE)</f>
        <v>#N/A</v>
      </c>
      <c r="K1287" s="15" t="e">
        <f>VLOOKUP(I1287,Customers[#Data],4,FALSE)</f>
        <v>#N/A</v>
      </c>
      <c r="L1287" s="15" t="e">
        <f>VLOOKUP(I1287,Customers[#Data],5,FALSE)</f>
        <v>#N/A</v>
      </c>
      <c r="M1287" s="7"/>
      <c r="N1287" s="7"/>
      <c r="O1287" s="14" t="e">
        <f>VLOOKUP(N1287,Stock[#Data],2,FALSE)</f>
        <v>#N/A</v>
      </c>
      <c r="P1287" s="44" t="e">
        <f>VLOOKUP(N1287,Stock[#Data],3,FALSE)</f>
        <v>#N/A</v>
      </c>
      <c r="Q1287" s="3" t="e">
        <f>VLOOKUP(N1287,Stock[#Data],4,FALSE)</f>
        <v>#N/A</v>
      </c>
      <c r="R1287" s="11"/>
      <c r="S1287" s="45">
        <f>IFERROR(Table4[[#This Row],[Bottle]]/Table4[[#This Row],[ပါဝင်မှု]]+Table4[[#This Row],[SalesPK]],0)</f>
        <v>0</v>
      </c>
      <c r="T1287" s="12"/>
      <c r="U1287" s="10" t="e">
        <f>Table4[[#This Row],[ပါဝင်မှု]]*Table4[[#This Row],[SalesPK]]+Table4[[#This Row],[Bottle]]</f>
        <v>#N/A</v>
      </c>
      <c r="V1287" s="10" t="e">
        <f>Table4[[#This Row],[SalesBot]]*Table4[[#This Row],[ML]]</f>
        <v>#N/A</v>
      </c>
      <c r="W1287" s="1" t="e">
        <f>VLOOKUP(N1287,Stock[#Data],6,FALSE)</f>
        <v>#N/A</v>
      </c>
      <c r="X1287" s="8" t="e">
        <f>+Table4[[#This Row],[SalesBot]]*Table4[[#This Row],[နှုံး]]</f>
        <v>#N/A</v>
      </c>
      <c r="Y1287" s="12"/>
      <c r="Z1287" s="12"/>
      <c r="AA1287" s="12"/>
      <c r="AB1287" s="9"/>
      <c r="AC1287" s="12"/>
      <c r="AD1287" s="9"/>
      <c r="AE1287" s="12"/>
      <c r="AF1287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87" s="24"/>
      <c r="AH1287" s="266"/>
      <c r="AI1287" s="264"/>
      <c r="AJ1287" s="264"/>
      <c r="AK1287" s="270"/>
      <c r="AL1287" s="270"/>
      <c r="AM1287" s="271"/>
      <c r="AN1287" s="272"/>
      <c r="AO1287" s="273"/>
      <c r="AP1287" s="268"/>
      <c r="AQ1287" s="268"/>
      <c r="AR1287" s="268"/>
    </row>
    <row r="1288" spans="1:44" s="16" customFormat="1" hidden="1" x14ac:dyDescent="0.5">
      <c r="A1288" s="3">
        <f t="shared" si="228"/>
        <v>1900</v>
      </c>
      <c r="B1288" s="8">
        <f t="shared" si="229"/>
        <v>1</v>
      </c>
      <c r="C1288" s="6"/>
      <c r="D1288" s="15">
        <f t="shared" ca="1" si="230"/>
        <v>46097</v>
      </c>
      <c r="E1288" s="15" t="str">
        <f t="shared" ca="1" si="231"/>
        <v>1514-Months</v>
      </c>
      <c r="F1288" s="8" t="e">
        <f>VLOOKUP(N1288,Stock[#Data],5,FALSE)</f>
        <v>#N/A</v>
      </c>
      <c r="G1288" s="82"/>
      <c r="H1288" s="15"/>
      <c r="I1288" s="7"/>
      <c r="J1288" s="8" t="e">
        <f>VLOOKUP(I1288,Customers[#Data],2,FALSE)</f>
        <v>#N/A</v>
      </c>
      <c r="K1288" s="15" t="e">
        <f>VLOOKUP(I1288,Customers[#Data],4,FALSE)</f>
        <v>#N/A</v>
      </c>
      <c r="L1288" s="15" t="e">
        <f>VLOOKUP(I1288,Customers[#Data],5,FALSE)</f>
        <v>#N/A</v>
      </c>
      <c r="M1288" s="7"/>
      <c r="N1288" s="7"/>
      <c r="O1288" s="14" t="e">
        <f>VLOOKUP(N1288,Stock[#Data],2,FALSE)</f>
        <v>#N/A</v>
      </c>
      <c r="P1288" s="44" t="e">
        <f>VLOOKUP(N1288,Stock[#Data],3,FALSE)</f>
        <v>#N/A</v>
      </c>
      <c r="Q1288" s="3" t="e">
        <f>VLOOKUP(N1288,Stock[#Data],4,FALSE)</f>
        <v>#N/A</v>
      </c>
      <c r="R1288" s="11"/>
      <c r="S1288" s="45">
        <f>IFERROR(Table4[[#This Row],[Bottle]]/Table4[[#This Row],[ပါဝင်မှု]]+Table4[[#This Row],[SalesPK]],0)</f>
        <v>0</v>
      </c>
      <c r="T1288" s="12"/>
      <c r="U1288" s="10" t="e">
        <f>Table4[[#This Row],[ပါဝင်မှု]]*Table4[[#This Row],[SalesPK]]+Table4[[#This Row],[Bottle]]</f>
        <v>#N/A</v>
      </c>
      <c r="V1288" s="10" t="e">
        <f>Table4[[#This Row],[SalesBot]]*Table4[[#This Row],[ML]]</f>
        <v>#N/A</v>
      </c>
      <c r="W1288" s="1" t="e">
        <f>VLOOKUP(N1288,Stock[#Data],6,FALSE)</f>
        <v>#N/A</v>
      </c>
      <c r="X1288" s="8" t="e">
        <f>+Table4[[#This Row],[SalesBot]]*Table4[[#This Row],[နှုံး]]</f>
        <v>#N/A</v>
      </c>
      <c r="Y1288" s="12"/>
      <c r="Z1288" s="12"/>
      <c r="AA1288" s="12"/>
      <c r="AB1288" s="9"/>
      <c r="AC1288" s="12"/>
      <c r="AD1288" s="9"/>
      <c r="AE1288" s="12"/>
      <c r="AF1288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88" s="24"/>
      <c r="AH1288" s="266"/>
      <c r="AI1288" s="264"/>
      <c r="AJ1288" s="264"/>
      <c r="AK1288" s="270"/>
      <c r="AL1288" s="270"/>
      <c r="AM1288" s="271"/>
      <c r="AN1288" s="272"/>
      <c r="AO1288" s="273"/>
      <c r="AP1288" s="268"/>
      <c r="AQ1288" s="268"/>
      <c r="AR1288" s="268"/>
    </row>
    <row r="1289" spans="1:44" s="16" customFormat="1" hidden="1" x14ac:dyDescent="0.5">
      <c r="A1289" s="3">
        <f t="shared" si="228"/>
        <v>1900</v>
      </c>
      <c r="B1289" s="8">
        <f t="shared" si="229"/>
        <v>1</v>
      </c>
      <c r="C1289" s="6"/>
      <c r="D1289" s="15">
        <f t="shared" ca="1" si="230"/>
        <v>46097</v>
      </c>
      <c r="E1289" s="15" t="str">
        <f t="shared" ca="1" si="231"/>
        <v>1514-Months</v>
      </c>
      <c r="F1289" s="8" t="e">
        <f>VLOOKUP(N1289,Stock[#Data],5,FALSE)</f>
        <v>#N/A</v>
      </c>
      <c r="G1289" s="82"/>
      <c r="H1289" s="15"/>
      <c r="I1289" s="7"/>
      <c r="J1289" s="8" t="e">
        <f>VLOOKUP(I1289,Customers[#Data],2,FALSE)</f>
        <v>#N/A</v>
      </c>
      <c r="K1289" s="15" t="e">
        <f>VLOOKUP(I1289,Customers[#Data],4,FALSE)</f>
        <v>#N/A</v>
      </c>
      <c r="L1289" s="15" t="e">
        <f>VLOOKUP(I1289,Customers[#Data],5,FALSE)</f>
        <v>#N/A</v>
      </c>
      <c r="M1289" s="7"/>
      <c r="N1289" s="7"/>
      <c r="O1289" s="14" t="e">
        <f>VLOOKUP(N1289,Stock[#Data],2,FALSE)</f>
        <v>#N/A</v>
      </c>
      <c r="P1289" s="44" t="e">
        <f>VLOOKUP(N1289,Stock[#Data],3,FALSE)</f>
        <v>#N/A</v>
      </c>
      <c r="Q1289" s="3" t="e">
        <f>VLOOKUP(N1289,Stock[#Data],4,FALSE)</f>
        <v>#N/A</v>
      </c>
      <c r="R1289" s="11"/>
      <c r="S1289" s="45">
        <f>IFERROR(Table4[[#This Row],[Bottle]]/Table4[[#This Row],[ပါဝင်မှု]]+Table4[[#This Row],[SalesPK]],0)</f>
        <v>0</v>
      </c>
      <c r="T1289" s="12"/>
      <c r="U1289" s="10" t="e">
        <f>Table4[[#This Row],[ပါဝင်မှု]]*Table4[[#This Row],[SalesPK]]+Table4[[#This Row],[Bottle]]</f>
        <v>#N/A</v>
      </c>
      <c r="V1289" s="10" t="e">
        <f>Table4[[#This Row],[SalesBot]]*Table4[[#This Row],[ML]]</f>
        <v>#N/A</v>
      </c>
      <c r="W1289" s="1" t="e">
        <f>VLOOKUP(N1289,Stock[#Data],6,FALSE)</f>
        <v>#N/A</v>
      </c>
      <c r="X1289" s="8" t="e">
        <f>+Table4[[#This Row],[SalesBot]]*Table4[[#This Row],[နှုံး]]</f>
        <v>#N/A</v>
      </c>
      <c r="Y1289" s="12"/>
      <c r="Z1289" s="12"/>
      <c r="AA1289" s="12"/>
      <c r="AB1289" s="9"/>
      <c r="AC1289" s="12"/>
      <c r="AD1289" s="9"/>
      <c r="AE1289" s="12"/>
      <c r="AF1289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89" s="24"/>
      <c r="AH1289" s="266"/>
      <c r="AI1289" s="264"/>
      <c r="AJ1289" s="264"/>
      <c r="AK1289" s="270"/>
      <c r="AL1289" s="270"/>
      <c r="AM1289" s="271"/>
      <c r="AN1289" s="272"/>
      <c r="AO1289" s="273"/>
      <c r="AP1289" s="268"/>
      <c r="AQ1289" s="268"/>
      <c r="AR1289" s="268"/>
    </row>
    <row r="1290" spans="1:44" s="16" customFormat="1" hidden="1" x14ac:dyDescent="0.5">
      <c r="A1290" s="3">
        <f t="shared" si="228"/>
        <v>1900</v>
      </c>
      <c r="B1290" s="8">
        <f t="shared" si="229"/>
        <v>1</v>
      </c>
      <c r="C1290" s="6"/>
      <c r="D1290" s="15">
        <f t="shared" ca="1" si="230"/>
        <v>46097</v>
      </c>
      <c r="E1290" s="15" t="str">
        <f t="shared" ca="1" si="231"/>
        <v>1514-Months</v>
      </c>
      <c r="F1290" s="8" t="e">
        <f>VLOOKUP(N1290,Stock[#Data],5,FALSE)</f>
        <v>#N/A</v>
      </c>
      <c r="G1290" s="82"/>
      <c r="H1290" s="15"/>
      <c r="I1290" s="7"/>
      <c r="J1290" s="8" t="e">
        <f>VLOOKUP(I1290,Customers[#Data],2,FALSE)</f>
        <v>#N/A</v>
      </c>
      <c r="K1290" s="15" t="e">
        <f>VLOOKUP(I1290,Customers[#Data],4,FALSE)</f>
        <v>#N/A</v>
      </c>
      <c r="L1290" s="15" t="e">
        <f>VLOOKUP(I1290,Customers[#Data],5,FALSE)</f>
        <v>#N/A</v>
      </c>
      <c r="M1290" s="7"/>
      <c r="N1290" s="7"/>
      <c r="O1290" s="14" t="e">
        <f>VLOOKUP(N1290,Stock[#Data],2,FALSE)</f>
        <v>#N/A</v>
      </c>
      <c r="P1290" s="44" t="e">
        <f>VLOOKUP(N1290,Stock[#Data],3,FALSE)</f>
        <v>#N/A</v>
      </c>
      <c r="Q1290" s="3" t="e">
        <f>VLOOKUP(N1290,Stock[#Data],4,FALSE)</f>
        <v>#N/A</v>
      </c>
      <c r="R1290" s="11"/>
      <c r="S1290" s="45">
        <f>IFERROR(Table4[[#This Row],[Bottle]]/Table4[[#This Row],[ပါဝင်မှု]]+Table4[[#This Row],[SalesPK]],0)</f>
        <v>0</v>
      </c>
      <c r="T1290" s="12"/>
      <c r="U1290" s="10" t="e">
        <f>Table4[[#This Row],[ပါဝင်မှု]]*Table4[[#This Row],[SalesPK]]+Table4[[#This Row],[Bottle]]</f>
        <v>#N/A</v>
      </c>
      <c r="V1290" s="10" t="e">
        <f>Table4[[#This Row],[SalesBot]]*Table4[[#This Row],[ML]]</f>
        <v>#N/A</v>
      </c>
      <c r="W1290" s="1" t="e">
        <f>VLOOKUP(N1290,Stock[#Data],6,FALSE)</f>
        <v>#N/A</v>
      </c>
      <c r="X1290" s="8" t="e">
        <f>+Table4[[#This Row],[SalesBot]]*Table4[[#This Row],[နှုံး]]</f>
        <v>#N/A</v>
      </c>
      <c r="Y1290" s="12"/>
      <c r="Z1290" s="12"/>
      <c r="AA1290" s="12"/>
      <c r="AB1290" s="9"/>
      <c r="AC1290" s="12"/>
      <c r="AD1290" s="9"/>
      <c r="AE1290" s="12"/>
      <c r="AF1290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90" s="24"/>
      <c r="AH1290" s="266"/>
      <c r="AI1290" s="264"/>
      <c r="AJ1290" s="264"/>
      <c r="AK1290" s="270"/>
      <c r="AL1290" s="270"/>
      <c r="AM1290" s="271"/>
      <c r="AN1290" s="272"/>
      <c r="AO1290" s="273"/>
      <c r="AP1290" s="268"/>
      <c r="AQ1290" s="268"/>
      <c r="AR1290" s="268"/>
    </row>
    <row r="1291" spans="1:44" s="16" customFormat="1" hidden="1" x14ac:dyDescent="0.5">
      <c r="A1291" s="3">
        <f t="shared" si="228"/>
        <v>1900</v>
      </c>
      <c r="B1291" s="8">
        <f t="shared" si="229"/>
        <v>1</v>
      </c>
      <c r="C1291" s="6"/>
      <c r="D1291" s="15">
        <f t="shared" ca="1" si="230"/>
        <v>46097</v>
      </c>
      <c r="E1291" s="15" t="str">
        <f t="shared" ca="1" si="231"/>
        <v>1514-Months</v>
      </c>
      <c r="F1291" s="8" t="e">
        <f>VLOOKUP(N1291,Stock[#Data],5,FALSE)</f>
        <v>#N/A</v>
      </c>
      <c r="G1291" s="82"/>
      <c r="H1291" s="15"/>
      <c r="I1291" s="7"/>
      <c r="J1291" s="8" t="e">
        <f>VLOOKUP(I1291,Customers[#Data],2,FALSE)</f>
        <v>#N/A</v>
      </c>
      <c r="K1291" s="15" t="e">
        <f>VLOOKUP(I1291,Customers[#Data],4,FALSE)</f>
        <v>#N/A</v>
      </c>
      <c r="L1291" s="15" t="e">
        <f>VLOOKUP(I1291,Customers[#Data],5,FALSE)</f>
        <v>#N/A</v>
      </c>
      <c r="M1291" s="7"/>
      <c r="N1291" s="7"/>
      <c r="O1291" s="14" t="e">
        <f>VLOOKUP(N1291,Stock[#Data],2,FALSE)</f>
        <v>#N/A</v>
      </c>
      <c r="P1291" s="44" t="e">
        <f>VLOOKUP(N1291,Stock[#Data],3,FALSE)</f>
        <v>#N/A</v>
      </c>
      <c r="Q1291" s="3" t="e">
        <f>VLOOKUP(N1291,Stock[#Data],4,FALSE)</f>
        <v>#N/A</v>
      </c>
      <c r="R1291" s="11"/>
      <c r="S1291" s="45">
        <f>IFERROR(Table4[[#This Row],[Bottle]]/Table4[[#This Row],[ပါဝင်မှု]]+Table4[[#This Row],[SalesPK]],0)</f>
        <v>0</v>
      </c>
      <c r="T1291" s="12"/>
      <c r="U1291" s="10" t="e">
        <f>Table4[[#This Row],[ပါဝင်မှု]]*Table4[[#This Row],[SalesPK]]+Table4[[#This Row],[Bottle]]</f>
        <v>#N/A</v>
      </c>
      <c r="V1291" s="10" t="e">
        <f>Table4[[#This Row],[SalesBot]]*Table4[[#This Row],[ML]]</f>
        <v>#N/A</v>
      </c>
      <c r="W1291" s="1" t="e">
        <f>VLOOKUP(N1291,Stock[#Data],6,FALSE)</f>
        <v>#N/A</v>
      </c>
      <c r="X1291" s="8" t="e">
        <f>+Table4[[#This Row],[SalesBot]]*Table4[[#This Row],[နှုံး]]</f>
        <v>#N/A</v>
      </c>
      <c r="Y1291" s="12"/>
      <c r="Z1291" s="12"/>
      <c r="AA1291" s="12"/>
      <c r="AB1291" s="9"/>
      <c r="AC1291" s="12"/>
      <c r="AD1291" s="9"/>
      <c r="AE1291" s="12"/>
      <c r="AF1291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91" s="24"/>
      <c r="AH1291" s="266"/>
      <c r="AI1291" s="264"/>
      <c r="AJ1291" s="264"/>
      <c r="AK1291" s="270"/>
      <c r="AL1291" s="270"/>
      <c r="AM1291" s="271"/>
      <c r="AN1291" s="272"/>
      <c r="AO1291" s="273"/>
      <c r="AP1291" s="268"/>
      <c r="AQ1291" s="268"/>
      <c r="AR1291" s="268"/>
    </row>
    <row r="1292" spans="1:44" s="16" customFormat="1" hidden="1" x14ac:dyDescent="0.5">
      <c r="A1292" s="3">
        <f t="shared" si="228"/>
        <v>1900</v>
      </c>
      <c r="B1292" s="8">
        <f t="shared" si="229"/>
        <v>1</v>
      </c>
      <c r="C1292" s="6"/>
      <c r="D1292" s="15">
        <f t="shared" ca="1" si="230"/>
        <v>46097</v>
      </c>
      <c r="E1292" s="15" t="str">
        <f t="shared" ca="1" si="231"/>
        <v>1514-Months</v>
      </c>
      <c r="F1292" s="8" t="e">
        <f>VLOOKUP(N1292,Stock[#Data],5,FALSE)</f>
        <v>#N/A</v>
      </c>
      <c r="G1292" s="82"/>
      <c r="H1292" s="15"/>
      <c r="I1292" s="7"/>
      <c r="J1292" s="8" t="e">
        <f>VLOOKUP(I1292,Customers[#Data],2,FALSE)</f>
        <v>#N/A</v>
      </c>
      <c r="K1292" s="15" t="e">
        <f>VLOOKUP(I1292,Customers[#Data],4,FALSE)</f>
        <v>#N/A</v>
      </c>
      <c r="L1292" s="15" t="e">
        <f>VLOOKUP(I1292,Customers[#Data],5,FALSE)</f>
        <v>#N/A</v>
      </c>
      <c r="M1292" s="7"/>
      <c r="N1292" s="7"/>
      <c r="O1292" s="14" t="e">
        <f>VLOOKUP(N1292,Stock[#Data],2,FALSE)</f>
        <v>#N/A</v>
      </c>
      <c r="P1292" s="44" t="e">
        <f>VLOOKUP(N1292,Stock[#Data],3,FALSE)</f>
        <v>#N/A</v>
      </c>
      <c r="Q1292" s="3" t="e">
        <f>VLOOKUP(N1292,Stock[#Data],4,FALSE)</f>
        <v>#N/A</v>
      </c>
      <c r="R1292" s="11"/>
      <c r="S1292" s="45">
        <f>IFERROR(Table4[[#This Row],[Bottle]]/Table4[[#This Row],[ပါဝင်မှု]]+Table4[[#This Row],[SalesPK]],0)</f>
        <v>0</v>
      </c>
      <c r="T1292" s="12"/>
      <c r="U1292" s="10" t="e">
        <f>Table4[[#This Row],[ပါဝင်မှု]]*Table4[[#This Row],[SalesPK]]+Table4[[#This Row],[Bottle]]</f>
        <v>#N/A</v>
      </c>
      <c r="V1292" s="10" t="e">
        <f>Table4[[#This Row],[SalesBot]]*Table4[[#This Row],[ML]]</f>
        <v>#N/A</v>
      </c>
      <c r="W1292" s="1" t="e">
        <f>VLOOKUP(N1292,Stock[#Data],6,FALSE)</f>
        <v>#N/A</v>
      </c>
      <c r="X1292" s="8" t="e">
        <f>+Table4[[#This Row],[SalesBot]]*Table4[[#This Row],[နှုံး]]</f>
        <v>#N/A</v>
      </c>
      <c r="Y1292" s="12"/>
      <c r="Z1292" s="12"/>
      <c r="AA1292" s="12"/>
      <c r="AB1292" s="9"/>
      <c r="AC1292" s="12"/>
      <c r="AD1292" s="9"/>
      <c r="AE1292" s="12"/>
      <c r="AF1292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92" s="24"/>
      <c r="AH1292" s="266"/>
      <c r="AI1292" s="264"/>
      <c r="AJ1292" s="264"/>
      <c r="AK1292" s="270"/>
      <c r="AL1292" s="270"/>
      <c r="AM1292" s="271"/>
      <c r="AN1292" s="272"/>
      <c r="AO1292" s="273"/>
      <c r="AP1292" s="268"/>
      <c r="AQ1292" s="268"/>
      <c r="AR1292" s="268"/>
    </row>
    <row r="1293" spans="1:44" s="16" customFormat="1" hidden="1" x14ac:dyDescent="0.5">
      <c r="A1293" s="3">
        <f t="shared" si="228"/>
        <v>1900</v>
      </c>
      <c r="B1293" s="8">
        <f t="shared" si="229"/>
        <v>1</v>
      </c>
      <c r="C1293" s="6"/>
      <c r="D1293" s="15">
        <f t="shared" ca="1" si="230"/>
        <v>46097</v>
      </c>
      <c r="E1293" s="15" t="str">
        <f t="shared" ca="1" si="231"/>
        <v>1514-Months</v>
      </c>
      <c r="F1293" s="8" t="e">
        <f>VLOOKUP(N1293,Stock[#Data],5,FALSE)</f>
        <v>#N/A</v>
      </c>
      <c r="G1293" s="82"/>
      <c r="H1293" s="15"/>
      <c r="I1293" s="7"/>
      <c r="J1293" s="8" t="e">
        <f>VLOOKUP(I1293,Customers[#Data],2,FALSE)</f>
        <v>#N/A</v>
      </c>
      <c r="K1293" s="15" t="e">
        <f>VLOOKUP(I1293,Customers[#Data],4,FALSE)</f>
        <v>#N/A</v>
      </c>
      <c r="L1293" s="15" t="e">
        <f>VLOOKUP(I1293,Customers[#Data],5,FALSE)</f>
        <v>#N/A</v>
      </c>
      <c r="M1293" s="7"/>
      <c r="N1293" s="7"/>
      <c r="O1293" s="14" t="e">
        <f>VLOOKUP(N1293,Stock[#Data],2,FALSE)</f>
        <v>#N/A</v>
      </c>
      <c r="P1293" s="44" t="e">
        <f>VLOOKUP(N1293,Stock[#Data],3,FALSE)</f>
        <v>#N/A</v>
      </c>
      <c r="Q1293" s="3" t="e">
        <f>VLOOKUP(N1293,Stock[#Data],4,FALSE)</f>
        <v>#N/A</v>
      </c>
      <c r="R1293" s="11"/>
      <c r="S1293" s="45">
        <f>IFERROR(Table4[[#This Row],[Bottle]]/Table4[[#This Row],[ပါဝင်မှု]]+Table4[[#This Row],[SalesPK]],0)</f>
        <v>0</v>
      </c>
      <c r="T1293" s="12"/>
      <c r="U1293" s="10" t="e">
        <f>Table4[[#This Row],[ပါဝင်မှု]]*Table4[[#This Row],[SalesPK]]+Table4[[#This Row],[Bottle]]</f>
        <v>#N/A</v>
      </c>
      <c r="V1293" s="10" t="e">
        <f>Table4[[#This Row],[SalesBot]]*Table4[[#This Row],[ML]]</f>
        <v>#N/A</v>
      </c>
      <c r="W1293" s="1" t="e">
        <f>VLOOKUP(N1293,Stock[#Data],6,FALSE)</f>
        <v>#N/A</v>
      </c>
      <c r="X1293" s="8" t="e">
        <f>+Table4[[#This Row],[SalesBot]]*Table4[[#This Row],[နှုံး]]</f>
        <v>#N/A</v>
      </c>
      <c r="Y1293" s="12"/>
      <c r="Z1293" s="12"/>
      <c r="AA1293" s="12"/>
      <c r="AB1293" s="9"/>
      <c r="AC1293" s="12"/>
      <c r="AD1293" s="9"/>
      <c r="AE1293" s="12"/>
      <c r="AF1293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93" s="24"/>
      <c r="AH1293" s="266"/>
      <c r="AI1293" s="264"/>
      <c r="AJ1293" s="264"/>
      <c r="AK1293" s="270"/>
      <c r="AL1293" s="270"/>
      <c r="AM1293" s="271"/>
      <c r="AN1293" s="272"/>
      <c r="AO1293" s="273"/>
      <c r="AP1293" s="268"/>
      <c r="AQ1293" s="268"/>
      <c r="AR1293" s="268"/>
    </row>
    <row r="1294" spans="1:44" s="16" customFormat="1" hidden="1" x14ac:dyDescent="0.5">
      <c r="A1294" s="3">
        <f t="shared" si="228"/>
        <v>1900</v>
      </c>
      <c r="B1294" s="8">
        <f t="shared" si="229"/>
        <v>1</v>
      </c>
      <c r="C1294" s="6"/>
      <c r="D1294" s="15">
        <f t="shared" ca="1" si="230"/>
        <v>46097</v>
      </c>
      <c r="E1294" s="15" t="str">
        <f t="shared" ca="1" si="231"/>
        <v>1514-Months</v>
      </c>
      <c r="F1294" s="8" t="e">
        <f>VLOOKUP(N1294,Stock[#Data],5,FALSE)</f>
        <v>#N/A</v>
      </c>
      <c r="G1294" s="82"/>
      <c r="H1294" s="15"/>
      <c r="I1294" s="7"/>
      <c r="J1294" s="8" t="e">
        <f>VLOOKUP(I1294,Customers[#Data],2,FALSE)</f>
        <v>#N/A</v>
      </c>
      <c r="K1294" s="15" t="e">
        <f>VLOOKUP(I1294,Customers[#Data],4,FALSE)</f>
        <v>#N/A</v>
      </c>
      <c r="L1294" s="15" t="e">
        <f>VLOOKUP(I1294,Customers[#Data],5,FALSE)</f>
        <v>#N/A</v>
      </c>
      <c r="M1294" s="7"/>
      <c r="N1294" s="7"/>
      <c r="O1294" s="14" t="e">
        <f>VLOOKUP(N1294,Stock[#Data],2,FALSE)</f>
        <v>#N/A</v>
      </c>
      <c r="P1294" s="44" t="e">
        <f>VLOOKUP(N1294,Stock[#Data],3,FALSE)</f>
        <v>#N/A</v>
      </c>
      <c r="Q1294" s="3" t="e">
        <f>VLOOKUP(N1294,Stock[#Data],4,FALSE)</f>
        <v>#N/A</v>
      </c>
      <c r="R1294" s="11"/>
      <c r="S1294" s="45">
        <f>IFERROR(Table4[[#This Row],[Bottle]]/Table4[[#This Row],[ပါဝင်မှု]]+Table4[[#This Row],[SalesPK]],0)</f>
        <v>0</v>
      </c>
      <c r="T1294" s="12"/>
      <c r="U1294" s="10" t="e">
        <f>Table4[[#This Row],[ပါဝင်မှု]]*Table4[[#This Row],[SalesPK]]+Table4[[#This Row],[Bottle]]</f>
        <v>#N/A</v>
      </c>
      <c r="V1294" s="10" t="e">
        <f>Table4[[#This Row],[SalesBot]]*Table4[[#This Row],[ML]]</f>
        <v>#N/A</v>
      </c>
      <c r="W1294" s="1" t="e">
        <f>VLOOKUP(N1294,Stock[#Data],6,FALSE)</f>
        <v>#N/A</v>
      </c>
      <c r="X1294" s="8" t="e">
        <f>+Table4[[#This Row],[SalesBot]]*Table4[[#This Row],[နှုံး]]</f>
        <v>#N/A</v>
      </c>
      <c r="Y1294" s="12"/>
      <c r="Z1294" s="12"/>
      <c r="AA1294" s="12"/>
      <c r="AB1294" s="9"/>
      <c r="AC1294" s="12"/>
      <c r="AD1294" s="9"/>
      <c r="AE1294" s="12"/>
      <c r="AF1294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94" s="24"/>
      <c r="AH1294" s="266"/>
      <c r="AI1294" s="264"/>
      <c r="AJ1294" s="264"/>
      <c r="AK1294" s="270"/>
      <c r="AL1294" s="270"/>
      <c r="AM1294" s="271"/>
      <c r="AN1294" s="272"/>
      <c r="AO1294" s="273"/>
      <c r="AP1294" s="268"/>
      <c r="AQ1294" s="268"/>
      <c r="AR1294" s="268"/>
    </row>
    <row r="1295" spans="1:44" s="16" customFormat="1" hidden="1" x14ac:dyDescent="0.5">
      <c r="A1295" s="3">
        <f t="shared" si="228"/>
        <v>1900</v>
      </c>
      <c r="B1295" s="8">
        <f t="shared" si="229"/>
        <v>1</v>
      </c>
      <c r="C1295" s="6"/>
      <c r="D1295" s="15">
        <f t="shared" ca="1" si="230"/>
        <v>46097</v>
      </c>
      <c r="E1295" s="15" t="str">
        <f t="shared" ca="1" si="231"/>
        <v>1514-Months</v>
      </c>
      <c r="F1295" s="8" t="e">
        <f>VLOOKUP(N1295,Stock[#Data],5,FALSE)</f>
        <v>#N/A</v>
      </c>
      <c r="G1295" s="82"/>
      <c r="H1295" s="15"/>
      <c r="I1295" s="7"/>
      <c r="J1295" s="8" t="e">
        <f>VLOOKUP(I1295,Customers[#Data],2,FALSE)</f>
        <v>#N/A</v>
      </c>
      <c r="K1295" s="15" t="e">
        <f>VLOOKUP(I1295,Customers[#Data],4,FALSE)</f>
        <v>#N/A</v>
      </c>
      <c r="L1295" s="15" t="e">
        <f>VLOOKUP(I1295,Customers[#Data],5,FALSE)</f>
        <v>#N/A</v>
      </c>
      <c r="M1295" s="7"/>
      <c r="N1295" s="7"/>
      <c r="O1295" s="14" t="e">
        <f>VLOOKUP(N1295,Stock[#Data],2,FALSE)</f>
        <v>#N/A</v>
      </c>
      <c r="P1295" s="44" t="e">
        <f>VLOOKUP(N1295,Stock[#Data],3,FALSE)</f>
        <v>#N/A</v>
      </c>
      <c r="Q1295" s="3" t="e">
        <f>VLOOKUP(N1295,Stock[#Data],4,FALSE)</f>
        <v>#N/A</v>
      </c>
      <c r="R1295" s="11"/>
      <c r="S1295" s="45">
        <f>IFERROR(Table4[[#This Row],[Bottle]]/Table4[[#This Row],[ပါဝင်မှု]]+Table4[[#This Row],[SalesPK]],0)</f>
        <v>0</v>
      </c>
      <c r="T1295" s="12"/>
      <c r="U1295" s="10" t="e">
        <f>Table4[[#This Row],[ပါဝင်မှု]]*Table4[[#This Row],[SalesPK]]+Table4[[#This Row],[Bottle]]</f>
        <v>#N/A</v>
      </c>
      <c r="V1295" s="10" t="e">
        <f>Table4[[#This Row],[SalesBot]]*Table4[[#This Row],[ML]]</f>
        <v>#N/A</v>
      </c>
      <c r="W1295" s="1" t="e">
        <f>VLOOKUP(N1295,Stock[#Data],6,FALSE)</f>
        <v>#N/A</v>
      </c>
      <c r="X1295" s="8" t="e">
        <f>+Table4[[#This Row],[SalesBot]]*Table4[[#This Row],[နှုံး]]</f>
        <v>#N/A</v>
      </c>
      <c r="Y1295" s="12"/>
      <c r="Z1295" s="12"/>
      <c r="AA1295" s="12"/>
      <c r="AB1295" s="9"/>
      <c r="AC1295" s="12"/>
      <c r="AD1295" s="9"/>
      <c r="AE1295" s="12"/>
      <c r="AF1295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95" s="24"/>
      <c r="AH1295" s="266"/>
      <c r="AI1295" s="264"/>
      <c r="AJ1295" s="264"/>
      <c r="AK1295" s="270"/>
      <c r="AL1295" s="270"/>
      <c r="AM1295" s="271"/>
      <c r="AN1295" s="272"/>
      <c r="AO1295" s="273"/>
      <c r="AP1295" s="268"/>
      <c r="AQ1295" s="268"/>
      <c r="AR1295" s="268"/>
    </row>
    <row r="1296" spans="1:44" s="16" customFormat="1" hidden="1" x14ac:dyDescent="0.5">
      <c r="A1296" s="3">
        <f t="shared" si="228"/>
        <v>1900</v>
      </c>
      <c r="B1296" s="8">
        <f t="shared" si="229"/>
        <v>1</v>
      </c>
      <c r="C1296" s="6"/>
      <c r="D1296" s="15">
        <f t="shared" ca="1" si="230"/>
        <v>46097</v>
      </c>
      <c r="E1296" s="15" t="str">
        <f t="shared" ca="1" si="231"/>
        <v>1514-Months</v>
      </c>
      <c r="F1296" s="8" t="e">
        <f>VLOOKUP(N1296,Stock[#Data],5,FALSE)</f>
        <v>#N/A</v>
      </c>
      <c r="G1296" s="82"/>
      <c r="H1296" s="15"/>
      <c r="I1296" s="7"/>
      <c r="J1296" s="8" t="e">
        <f>VLOOKUP(I1296,Customers[#Data],2,FALSE)</f>
        <v>#N/A</v>
      </c>
      <c r="K1296" s="15" t="e">
        <f>VLOOKUP(I1296,Customers[#Data],4,FALSE)</f>
        <v>#N/A</v>
      </c>
      <c r="L1296" s="15" t="e">
        <f>VLOOKUP(I1296,Customers[#Data],5,FALSE)</f>
        <v>#N/A</v>
      </c>
      <c r="M1296" s="7"/>
      <c r="N1296" s="7"/>
      <c r="O1296" s="14" t="e">
        <f>VLOOKUP(N1296,Stock[#Data],2,FALSE)</f>
        <v>#N/A</v>
      </c>
      <c r="P1296" s="44" t="e">
        <f>VLOOKUP(N1296,Stock[#Data],3,FALSE)</f>
        <v>#N/A</v>
      </c>
      <c r="Q1296" s="3" t="e">
        <f>VLOOKUP(N1296,Stock[#Data],4,FALSE)</f>
        <v>#N/A</v>
      </c>
      <c r="R1296" s="11"/>
      <c r="S1296" s="45">
        <f>IFERROR(Table4[[#This Row],[Bottle]]/Table4[[#This Row],[ပါဝင်မှု]]+Table4[[#This Row],[SalesPK]],0)</f>
        <v>0</v>
      </c>
      <c r="T1296" s="12"/>
      <c r="U1296" s="10" t="e">
        <f>Table4[[#This Row],[ပါဝင်မှု]]*Table4[[#This Row],[SalesPK]]+Table4[[#This Row],[Bottle]]</f>
        <v>#N/A</v>
      </c>
      <c r="V1296" s="10" t="e">
        <f>Table4[[#This Row],[SalesBot]]*Table4[[#This Row],[ML]]</f>
        <v>#N/A</v>
      </c>
      <c r="W1296" s="1" t="e">
        <f>VLOOKUP(N1296,Stock[#Data],6,FALSE)</f>
        <v>#N/A</v>
      </c>
      <c r="X1296" s="8" t="e">
        <f>+Table4[[#This Row],[SalesBot]]*Table4[[#This Row],[နှုံး]]</f>
        <v>#N/A</v>
      </c>
      <c r="Y1296" s="12"/>
      <c r="Z1296" s="12"/>
      <c r="AA1296" s="12"/>
      <c r="AB1296" s="9"/>
      <c r="AC1296" s="12"/>
      <c r="AD1296" s="9"/>
      <c r="AE1296" s="12"/>
      <c r="AF1296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96" s="24"/>
      <c r="AH1296" s="266"/>
      <c r="AI1296" s="264"/>
      <c r="AJ1296" s="264"/>
      <c r="AK1296" s="270"/>
      <c r="AL1296" s="270"/>
      <c r="AM1296" s="271"/>
      <c r="AN1296" s="272"/>
      <c r="AO1296" s="273"/>
      <c r="AP1296" s="268"/>
      <c r="AQ1296" s="268"/>
      <c r="AR1296" s="268"/>
    </row>
    <row r="1297" spans="1:44" s="16" customFormat="1" hidden="1" x14ac:dyDescent="0.5">
      <c r="A1297" s="3">
        <f t="shared" si="228"/>
        <v>1900</v>
      </c>
      <c r="B1297" s="8">
        <f t="shared" si="229"/>
        <v>1</v>
      </c>
      <c r="C1297" s="6"/>
      <c r="D1297" s="15">
        <f t="shared" ca="1" si="230"/>
        <v>46097</v>
      </c>
      <c r="E1297" s="15" t="str">
        <f t="shared" ca="1" si="231"/>
        <v>1514-Months</v>
      </c>
      <c r="F1297" s="8" t="e">
        <f>VLOOKUP(N1297,Stock[#Data],5,FALSE)</f>
        <v>#N/A</v>
      </c>
      <c r="G1297" s="82"/>
      <c r="H1297" s="15"/>
      <c r="I1297" s="7"/>
      <c r="J1297" s="8" t="e">
        <f>VLOOKUP(I1297,Customers[#Data],2,FALSE)</f>
        <v>#N/A</v>
      </c>
      <c r="K1297" s="15" t="e">
        <f>VLOOKUP(I1297,Customers[#Data],4,FALSE)</f>
        <v>#N/A</v>
      </c>
      <c r="L1297" s="15" t="e">
        <f>VLOOKUP(I1297,Customers[#Data],5,FALSE)</f>
        <v>#N/A</v>
      </c>
      <c r="M1297" s="7"/>
      <c r="N1297" s="7"/>
      <c r="O1297" s="14" t="e">
        <f>VLOOKUP(N1297,Stock[#Data],2,FALSE)</f>
        <v>#N/A</v>
      </c>
      <c r="P1297" s="44" t="e">
        <f>VLOOKUP(N1297,Stock[#Data],3,FALSE)</f>
        <v>#N/A</v>
      </c>
      <c r="Q1297" s="3" t="e">
        <f>VLOOKUP(N1297,Stock[#Data],4,FALSE)</f>
        <v>#N/A</v>
      </c>
      <c r="R1297" s="11"/>
      <c r="S1297" s="45">
        <f>IFERROR(Table4[[#This Row],[Bottle]]/Table4[[#This Row],[ပါဝင်မှု]]+Table4[[#This Row],[SalesPK]],0)</f>
        <v>0</v>
      </c>
      <c r="T1297" s="12"/>
      <c r="U1297" s="10" t="e">
        <f>Table4[[#This Row],[ပါဝင်မှု]]*Table4[[#This Row],[SalesPK]]+Table4[[#This Row],[Bottle]]</f>
        <v>#N/A</v>
      </c>
      <c r="V1297" s="10" t="e">
        <f>Table4[[#This Row],[SalesBot]]*Table4[[#This Row],[ML]]</f>
        <v>#N/A</v>
      </c>
      <c r="W1297" s="1" t="e">
        <f>VLOOKUP(N1297,Stock[#Data],6,FALSE)</f>
        <v>#N/A</v>
      </c>
      <c r="X1297" s="8" t="e">
        <f>+Table4[[#This Row],[SalesBot]]*Table4[[#This Row],[နှုံး]]</f>
        <v>#N/A</v>
      </c>
      <c r="Y1297" s="12"/>
      <c r="Z1297" s="12"/>
      <c r="AA1297" s="12"/>
      <c r="AB1297" s="9"/>
      <c r="AC1297" s="12"/>
      <c r="AD1297" s="9"/>
      <c r="AE1297" s="12"/>
      <c r="AF1297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97" s="24"/>
      <c r="AH1297" s="266"/>
      <c r="AI1297" s="264"/>
      <c r="AJ1297" s="264"/>
      <c r="AK1297" s="270"/>
      <c r="AL1297" s="270"/>
      <c r="AM1297" s="271"/>
      <c r="AN1297" s="272"/>
      <c r="AO1297" s="273"/>
      <c r="AP1297" s="268"/>
      <c r="AQ1297" s="268"/>
      <c r="AR1297" s="268"/>
    </row>
    <row r="1298" spans="1:44" s="16" customFormat="1" hidden="1" x14ac:dyDescent="0.5">
      <c r="A1298" s="3">
        <f t="shared" si="228"/>
        <v>1900</v>
      </c>
      <c r="B1298" s="8">
        <f t="shared" si="229"/>
        <v>1</v>
      </c>
      <c r="C1298" s="6"/>
      <c r="D1298" s="15">
        <f t="shared" ca="1" si="230"/>
        <v>46097</v>
      </c>
      <c r="E1298" s="15" t="str">
        <f t="shared" ca="1" si="231"/>
        <v>1514-Months</v>
      </c>
      <c r="F1298" s="8" t="e">
        <f>VLOOKUP(N1298,Stock[#Data],5,FALSE)</f>
        <v>#N/A</v>
      </c>
      <c r="G1298" s="82"/>
      <c r="H1298" s="15"/>
      <c r="I1298" s="7"/>
      <c r="J1298" s="8" t="e">
        <f>VLOOKUP(I1298,Customers[#Data],2,FALSE)</f>
        <v>#N/A</v>
      </c>
      <c r="K1298" s="15" t="e">
        <f>VLOOKUP(I1298,Customers[#Data],4,FALSE)</f>
        <v>#N/A</v>
      </c>
      <c r="L1298" s="15" t="e">
        <f>VLOOKUP(I1298,Customers[#Data],5,FALSE)</f>
        <v>#N/A</v>
      </c>
      <c r="M1298" s="7"/>
      <c r="N1298" s="7"/>
      <c r="O1298" s="14" t="e">
        <f>VLOOKUP(N1298,Stock[#Data],2,FALSE)</f>
        <v>#N/A</v>
      </c>
      <c r="P1298" s="44" t="e">
        <f>VLOOKUP(N1298,Stock[#Data],3,FALSE)</f>
        <v>#N/A</v>
      </c>
      <c r="Q1298" s="3" t="e">
        <f>VLOOKUP(N1298,Stock[#Data],4,FALSE)</f>
        <v>#N/A</v>
      </c>
      <c r="R1298" s="11"/>
      <c r="S1298" s="45">
        <f>IFERROR(Table4[[#This Row],[Bottle]]/Table4[[#This Row],[ပါဝင်မှု]]+Table4[[#This Row],[SalesPK]],0)</f>
        <v>0</v>
      </c>
      <c r="T1298" s="12"/>
      <c r="U1298" s="10" t="e">
        <f>Table4[[#This Row],[ပါဝင်မှု]]*Table4[[#This Row],[SalesPK]]+Table4[[#This Row],[Bottle]]</f>
        <v>#N/A</v>
      </c>
      <c r="V1298" s="10" t="e">
        <f>Table4[[#This Row],[SalesBot]]*Table4[[#This Row],[ML]]</f>
        <v>#N/A</v>
      </c>
      <c r="W1298" s="1" t="e">
        <f>VLOOKUP(N1298,Stock[#Data],6,FALSE)</f>
        <v>#N/A</v>
      </c>
      <c r="X1298" s="8" t="e">
        <f>+Table4[[#This Row],[SalesBot]]*Table4[[#This Row],[နှုံး]]</f>
        <v>#N/A</v>
      </c>
      <c r="Y1298" s="12"/>
      <c r="Z1298" s="12"/>
      <c r="AA1298" s="12"/>
      <c r="AB1298" s="9"/>
      <c r="AC1298" s="12"/>
      <c r="AD1298" s="9"/>
      <c r="AE1298" s="12"/>
      <c r="AF1298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98" s="24"/>
      <c r="AH1298" s="266"/>
      <c r="AI1298" s="264"/>
      <c r="AJ1298" s="264"/>
      <c r="AK1298" s="270"/>
      <c r="AL1298" s="270"/>
      <c r="AM1298" s="271"/>
      <c r="AN1298" s="272"/>
      <c r="AO1298" s="273"/>
      <c r="AP1298" s="268"/>
      <c r="AQ1298" s="268"/>
      <c r="AR1298" s="268"/>
    </row>
    <row r="1299" spans="1:44" s="16" customFormat="1" hidden="1" x14ac:dyDescent="0.5">
      <c r="A1299" s="3">
        <f t="shared" si="228"/>
        <v>1900</v>
      </c>
      <c r="B1299" s="8">
        <f t="shared" si="229"/>
        <v>1</v>
      </c>
      <c r="C1299" s="6"/>
      <c r="D1299" s="15">
        <f t="shared" ca="1" si="230"/>
        <v>46097</v>
      </c>
      <c r="E1299" s="15" t="str">
        <f t="shared" ca="1" si="231"/>
        <v>1514-Months</v>
      </c>
      <c r="F1299" s="8" t="e">
        <f>VLOOKUP(N1299,Stock[#Data],5,FALSE)</f>
        <v>#N/A</v>
      </c>
      <c r="G1299" s="82"/>
      <c r="H1299" s="15"/>
      <c r="I1299" s="7"/>
      <c r="J1299" s="8" t="e">
        <f>VLOOKUP(I1299,Customers[#Data],2,FALSE)</f>
        <v>#N/A</v>
      </c>
      <c r="K1299" s="15" t="e">
        <f>VLOOKUP(I1299,Customers[#Data],4,FALSE)</f>
        <v>#N/A</v>
      </c>
      <c r="L1299" s="15" t="e">
        <f>VLOOKUP(I1299,Customers[#Data],5,FALSE)</f>
        <v>#N/A</v>
      </c>
      <c r="M1299" s="7"/>
      <c r="N1299" s="7"/>
      <c r="O1299" s="14" t="e">
        <f>VLOOKUP(N1299,Stock[#Data],2,FALSE)</f>
        <v>#N/A</v>
      </c>
      <c r="P1299" s="44" t="e">
        <f>VLOOKUP(N1299,Stock[#Data],3,FALSE)</f>
        <v>#N/A</v>
      </c>
      <c r="Q1299" s="3" t="e">
        <f>VLOOKUP(N1299,Stock[#Data],4,FALSE)</f>
        <v>#N/A</v>
      </c>
      <c r="R1299" s="11"/>
      <c r="S1299" s="45">
        <f>IFERROR(Table4[[#This Row],[Bottle]]/Table4[[#This Row],[ပါဝင်မှု]]+Table4[[#This Row],[SalesPK]],0)</f>
        <v>0</v>
      </c>
      <c r="T1299" s="12"/>
      <c r="U1299" s="10" t="e">
        <f>Table4[[#This Row],[ပါဝင်မှု]]*Table4[[#This Row],[SalesPK]]+Table4[[#This Row],[Bottle]]</f>
        <v>#N/A</v>
      </c>
      <c r="V1299" s="10" t="e">
        <f>Table4[[#This Row],[SalesBot]]*Table4[[#This Row],[ML]]</f>
        <v>#N/A</v>
      </c>
      <c r="W1299" s="1" t="e">
        <f>VLOOKUP(N1299,Stock[#Data],6,FALSE)</f>
        <v>#N/A</v>
      </c>
      <c r="X1299" s="8" t="e">
        <f>+Table4[[#This Row],[SalesBot]]*Table4[[#This Row],[နှုံး]]</f>
        <v>#N/A</v>
      </c>
      <c r="Y1299" s="12"/>
      <c r="Z1299" s="12"/>
      <c r="AA1299" s="12"/>
      <c r="AB1299" s="9"/>
      <c r="AC1299" s="12"/>
      <c r="AD1299" s="9"/>
      <c r="AE1299" s="12"/>
      <c r="AF1299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299" s="24"/>
      <c r="AH1299" s="266"/>
      <c r="AI1299" s="264"/>
      <c r="AJ1299" s="264"/>
      <c r="AK1299" s="270"/>
      <c r="AL1299" s="270"/>
      <c r="AM1299" s="271"/>
      <c r="AN1299" s="272"/>
      <c r="AO1299" s="273"/>
      <c r="AP1299" s="268"/>
      <c r="AQ1299" s="268"/>
      <c r="AR1299" s="268"/>
    </row>
    <row r="1300" spans="1:44" s="16" customFormat="1" hidden="1" x14ac:dyDescent="0.5">
      <c r="A1300" s="3">
        <f t="shared" si="228"/>
        <v>1900</v>
      </c>
      <c r="B1300" s="8">
        <f t="shared" si="229"/>
        <v>1</v>
      </c>
      <c r="C1300" s="6"/>
      <c r="D1300" s="15">
        <f t="shared" ca="1" si="230"/>
        <v>46097</v>
      </c>
      <c r="E1300" s="15" t="str">
        <f t="shared" ca="1" si="231"/>
        <v>1514-Months</v>
      </c>
      <c r="F1300" s="8" t="e">
        <f>VLOOKUP(N1300,Stock[#Data],5,FALSE)</f>
        <v>#N/A</v>
      </c>
      <c r="G1300" s="82"/>
      <c r="H1300" s="15"/>
      <c r="I1300" s="7"/>
      <c r="J1300" s="8" t="e">
        <f>VLOOKUP(I1300,Customers[#Data],2,FALSE)</f>
        <v>#N/A</v>
      </c>
      <c r="K1300" s="15" t="e">
        <f>VLOOKUP(I1300,Customers[#Data],4,FALSE)</f>
        <v>#N/A</v>
      </c>
      <c r="L1300" s="15" t="e">
        <f>VLOOKUP(I1300,Customers[#Data],5,FALSE)</f>
        <v>#N/A</v>
      </c>
      <c r="M1300" s="7"/>
      <c r="N1300" s="7"/>
      <c r="O1300" s="14" t="e">
        <f>VLOOKUP(N1300,Stock[#Data],2,FALSE)</f>
        <v>#N/A</v>
      </c>
      <c r="P1300" s="44" t="e">
        <f>VLOOKUP(N1300,Stock[#Data],3,FALSE)</f>
        <v>#N/A</v>
      </c>
      <c r="Q1300" s="3" t="e">
        <f>VLOOKUP(N1300,Stock[#Data],4,FALSE)</f>
        <v>#N/A</v>
      </c>
      <c r="R1300" s="11"/>
      <c r="S1300" s="45">
        <f>IFERROR(Table4[[#This Row],[Bottle]]/Table4[[#This Row],[ပါဝင်မှု]]+Table4[[#This Row],[SalesPK]],0)</f>
        <v>0</v>
      </c>
      <c r="T1300" s="12"/>
      <c r="U1300" s="10" t="e">
        <f>Table4[[#This Row],[ပါဝင်မှု]]*Table4[[#This Row],[SalesPK]]+Table4[[#This Row],[Bottle]]</f>
        <v>#N/A</v>
      </c>
      <c r="V1300" s="10" t="e">
        <f>Table4[[#This Row],[SalesBot]]*Table4[[#This Row],[ML]]</f>
        <v>#N/A</v>
      </c>
      <c r="W1300" s="1" t="e">
        <f>VLOOKUP(N1300,Stock[#Data],6,FALSE)</f>
        <v>#N/A</v>
      </c>
      <c r="X1300" s="8" t="e">
        <f>+Table4[[#This Row],[SalesBot]]*Table4[[#This Row],[နှုံး]]</f>
        <v>#N/A</v>
      </c>
      <c r="Y1300" s="12"/>
      <c r="Z1300" s="12"/>
      <c r="AA1300" s="12"/>
      <c r="AB1300" s="9"/>
      <c r="AC1300" s="12"/>
      <c r="AD1300" s="9"/>
      <c r="AE1300" s="12"/>
      <c r="AF1300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300" s="24"/>
      <c r="AH1300" s="266"/>
      <c r="AI1300" s="264"/>
      <c r="AJ1300" s="264"/>
      <c r="AK1300" s="270"/>
      <c r="AL1300" s="270"/>
      <c r="AM1300" s="271"/>
      <c r="AN1300" s="272"/>
      <c r="AO1300" s="273"/>
      <c r="AP1300" s="268"/>
      <c r="AQ1300" s="268"/>
      <c r="AR1300" s="268"/>
    </row>
    <row r="1301" spans="1:44" s="16" customFormat="1" hidden="1" x14ac:dyDescent="0.5">
      <c r="A1301" s="3">
        <f t="shared" si="228"/>
        <v>1900</v>
      </c>
      <c r="B1301" s="8">
        <f t="shared" si="229"/>
        <v>1</v>
      </c>
      <c r="C1301" s="6"/>
      <c r="D1301" s="15">
        <f t="shared" ca="1" si="230"/>
        <v>46097</v>
      </c>
      <c r="E1301" s="15" t="str">
        <f t="shared" ca="1" si="231"/>
        <v>1514-Months</v>
      </c>
      <c r="F1301" s="8" t="e">
        <f>VLOOKUP(N1301,Stock[#Data],5,FALSE)</f>
        <v>#N/A</v>
      </c>
      <c r="G1301" s="82"/>
      <c r="H1301" s="15"/>
      <c r="I1301" s="7"/>
      <c r="J1301" s="8" t="e">
        <f>VLOOKUP(I1301,Customers[#Data],2,FALSE)</f>
        <v>#N/A</v>
      </c>
      <c r="K1301" s="15" t="e">
        <f>VLOOKUP(I1301,Customers[#Data],4,FALSE)</f>
        <v>#N/A</v>
      </c>
      <c r="L1301" s="15" t="e">
        <f>VLOOKUP(I1301,Customers[#Data],5,FALSE)</f>
        <v>#N/A</v>
      </c>
      <c r="M1301" s="7"/>
      <c r="N1301" s="7"/>
      <c r="O1301" s="14" t="e">
        <f>VLOOKUP(N1301,Stock[#Data],2,FALSE)</f>
        <v>#N/A</v>
      </c>
      <c r="P1301" s="44" t="e">
        <f>VLOOKUP(N1301,Stock[#Data],3,FALSE)</f>
        <v>#N/A</v>
      </c>
      <c r="Q1301" s="3" t="e">
        <f>VLOOKUP(N1301,Stock[#Data],4,FALSE)</f>
        <v>#N/A</v>
      </c>
      <c r="R1301" s="11"/>
      <c r="S1301" s="45">
        <f>IFERROR(Table4[[#This Row],[Bottle]]/Table4[[#This Row],[ပါဝင်မှု]]+Table4[[#This Row],[SalesPK]],0)</f>
        <v>0</v>
      </c>
      <c r="T1301" s="12"/>
      <c r="U1301" s="10" t="e">
        <f>Table4[[#This Row],[ပါဝင်မှု]]*Table4[[#This Row],[SalesPK]]+Table4[[#This Row],[Bottle]]</f>
        <v>#N/A</v>
      </c>
      <c r="V1301" s="10" t="e">
        <f>Table4[[#This Row],[SalesBot]]*Table4[[#This Row],[ML]]</f>
        <v>#N/A</v>
      </c>
      <c r="W1301" s="1" t="e">
        <f>VLOOKUP(N1301,Stock[#Data],6,FALSE)</f>
        <v>#N/A</v>
      </c>
      <c r="X1301" s="8" t="e">
        <f>+Table4[[#This Row],[SalesBot]]*Table4[[#This Row],[နှုံး]]</f>
        <v>#N/A</v>
      </c>
      <c r="Y1301" s="12"/>
      <c r="Z1301" s="12"/>
      <c r="AA1301" s="12"/>
      <c r="AB1301" s="9"/>
      <c r="AC1301" s="12"/>
      <c r="AD1301" s="9"/>
      <c r="AE1301" s="12"/>
      <c r="AF1301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301" s="24"/>
      <c r="AH1301" s="266"/>
      <c r="AI1301" s="264"/>
      <c r="AJ1301" s="264"/>
      <c r="AK1301" s="270"/>
      <c r="AL1301" s="270"/>
      <c r="AM1301" s="271"/>
      <c r="AN1301" s="272"/>
      <c r="AO1301" s="273"/>
      <c r="AP1301" s="268"/>
      <c r="AQ1301" s="268"/>
      <c r="AR1301" s="268"/>
    </row>
    <row r="1302" spans="1:44" s="16" customFormat="1" hidden="1" x14ac:dyDescent="0.5">
      <c r="A1302" s="3">
        <f t="shared" si="228"/>
        <v>1900</v>
      </c>
      <c r="B1302" s="8">
        <f t="shared" si="229"/>
        <v>1</v>
      </c>
      <c r="C1302" s="6"/>
      <c r="D1302" s="15">
        <f t="shared" ca="1" si="230"/>
        <v>46097</v>
      </c>
      <c r="E1302" s="15" t="str">
        <f t="shared" ca="1" si="231"/>
        <v>1514-Months</v>
      </c>
      <c r="F1302" s="8" t="e">
        <f>VLOOKUP(N1302,Stock[#Data],5,FALSE)</f>
        <v>#N/A</v>
      </c>
      <c r="G1302" s="82"/>
      <c r="H1302" s="15"/>
      <c r="I1302" s="7"/>
      <c r="J1302" s="8" t="e">
        <f>VLOOKUP(I1302,Customers[#Data],2,FALSE)</f>
        <v>#N/A</v>
      </c>
      <c r="K1302" s="15" t="e">
        <f>VLOOKUP(I1302,Customers[#Data],4,FALSE)</f>
        <v>#N/A</v>
      </c>
      <c r="L1302" s="15" t="e">
        <f>VLOOKUP(I1302,Customers[#Data],5,FALSE)</f>
        <v>#N/A</v>
      </c>
      <c r="M1302" s="7"/>
      <c r="N1302" s="7"/>
      <c r="O1302" s="14" t="e">
        <f>VLOOKUP(N1302,Stock[#Data],2,FALSE)</f>
        <v>#N/A</v>
      </c>
      <c r="P1302" s="44" t="e">
        <f>VLOOKUP(N1302,Stock[#Data],3,FALSE)</f>
        <v>#N/A</v>
      </c>
      <c r="Q1302" s="3" t="e">
        <f>VLOOKUP(N1302,Stock[#Data],4,FALSE)</f>
        <v>#N/A</v>
      </c>
      <c r="R1302" s="11"/>
      <c r="S1302" s="45">
        <f>IFERROR(Table4[[#This Row],[Bottle]]/Table4[[#This Row],[ပါဝင်မှု]]+Table4[[#This Row],[SalesPK]],0)</f>
        <v>0</v>
      </c>
      <c r="T1302" s="12"/>
      <c r="U1302" s="10" t="e">
        <f>Table4[[#This Row],[ပါဝင်မှု]]*Table4[[#This Row],[SalesPK]]+Table4[[#This Row],[Bottle]]</f>
        <v>#N/A</v>
      </c>
      <c r="V1302" s="10" t="e">
        <f>Table4[[#This Row],[SalesBot]]*Table4[[#This Row],[ML]]</f>
        <v>#N/A</v>
      </c>
      <c r="W1302" s="1" t="e">
        <f>VLOOKUP(N1302,Stock[#Data],6,FALSE)</f>
        <v>#N/A</v>
      </c>
      <c r="X1302" s="8" t="e">
        <f>+Table4[[#This Row],[SalesBot]]*Table4[[#This Row],[နှုံး]]</f>
        <v>#N/A</v>
      </c>
      <c r="Y1302" s="12"/>
      <c r="Z1302" s="12"/>
      <c r="AA1302" s="12"/>
      <c r="AB1302" s="9"/>
      <c r="AC1302" s="12"/>
      <c r="AD1302" s="9"/>
      <c r="AE1302" s="12"/>
      <c r="AF1302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302" s="24"/>
      <c r="AH1302" s="266"/>
      <c r="AI1302" s="264"/>
      <c r="AJ1302" s="264"/>
      <c r="AK1302" s="270"/>
      <c r="AL1302" s="270"/>
      <c r="AM1302" s="271"/>
      <c r="AN1302" s="272"/>
      <c r="AO1302" s="273"/>
      <c r="AP1302" s="268"/>
      <c r="AQ1302" s="268"/>
      <c r="AR1302" s="268"/>
    </row>
    <row r="1303" spans="1:44" s="16" customFormat="1" hidden="1" x14ac:dyDescent="0.5">
      <c r="A1303" s="3">
        <f t="shared" si="228"/>
        <v>1900</v>
      </c>
      <c r="B1303" s="8">
        <f t="shared" si="229"/>
        <v>1</v>
      </c>
      <c r="C1303" s="6"/>
      <c r="D1303" s="15">
        <f t="shared" ca="1" si="230"/>
        <v>46097</v>
      </c>
      <c r="E1303" s="15" t="str">
        <f t="shared" ca="1" si="231"/>
        <v>1514-Months</v>
      </c>
      <c r="F1303" s="8" t="e">
        <f>VLOOKUP(N1303,Stock[#Data],5,FALSE)</f>
        <v>#N/A</v>
      </c>
      <c r="G1303" s="82"/>
      <c r="H1303" s="15"/>
      <c r="I1303" s="7"/>
      <c r="J1303" s="8" t="e">
        <f>VLOOKUP(I1303,Customers[#Data],2,FALSE)</f>
        <v>#N/A</v>
      </c>
      <c r="K1303" s="15" t="e">
        <f>VLOOKUP(I1303,Customers[#Data],4,FALSE)</f>
        <v>#N/A</v>
      </c>
      <c r="L1303" s="15" t="e">
        <f>VLOOKUP(I1303,Customers[#Data],5,FALSE)</f>
        <v>#N/A</v>
      </c>
      <c r="M1303" s="7"/>
      <c r="N1303" s="7"/>
      <c r="O1303" s="14" t="e">
        <f>VLOOKUP(N1303,Stock[#Data],2,FALSE)</f>
        <v>#N/A</v>
      </c>
      <c r="P1303" s="44" t="e">
        <f>VLOOKUP(N1303,Stock[#Data],3,FALSE)</f>
        <v>#N/A</v>
      </c>
      <c r="Q1303" s="3" t="e">
        <f>VLOOKUP(N1303,Stock[#Data],4,FALSE)</f>
        <v>#N/A</v>
      </c>
      <c r="R1303" s="11"/>
      <c r="S1303" s="45">
        <f>IFERROR(Table4[[#This Row],[Bottle]]/Table4[[#This Row],[ပါဝင်မှု]]+Table4[[#This Row],[SalesPK]],0)</f>
        <v>0</v>
      </c>
      <c r="T1303" s="12"/>
      <c r="U1303" s="10" t="e">
        <f>Table4[[#This Row],[ပါဝင်မှု]]*Table4[[#This Row],[SalesPK]]+Table4[[#This Row],[Bottle]]</f>
        <v>#N/A</v>
      </c>
      <c r="V1303" s="10" t="e">
        <f>Table4[[#This Row],[SalesBot]]*Table4[[#This Row],[ML]]</f>
        <v>#N/A</v>
      </c>
      <c r="W1303" s="1" t="e">
        <f>VLOOKUP(N1303,Stock[#Data],6,FALSE)</f>
        <v>#N/A</v>
      </c>
      <c r="X1303" s="8" t="e">
        <f>+Table4[[#This Row],[SalesBot]]*Table4[[#This Row],[နှုံး]]</f>
        <v>#N/A</v>
      </c>
      <c r="Y1303" s="12"/>
      <c r="Z1303" s="12"/>
      <c r="AA1303" s="12"/>
      <c r="AB1303" s="9"/>
      <c r="AC1303" s="12"/>
      <c r="AD1303" s="9"/>
      <c r="AE1303" s="12"/>
      <c r="AF1303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303" s="24"/>
      <c r="AH1303" s="266"/>
      <c r="AI1303" s="264"/>
      <c r="AJ1303" s="264"/>
      <c r="AK1303" s="270"/>
      <c r="AL1303" s="270"/>
      <c r="AM1303" s="271"/>
      <c r="AN1303" s="272"/>
      <c r="AO1303" s="273"/>
      <c r="AP1303" s="268"/>
      <c r="AQ1303" s="268"/>
      <c r="AR1303" s="268"/>
    </row>
    <row r="1304" spans="1:44" s="16" customFormat="1" hidden="1" x14ac:dyDescent="0.5">
      <c r="A1304" s="3">
        <f t="shared" si="228"/>
        <v>1900</v>
      </c>
      <c r="B1304" s="8">
        <f t="shared" si="229"/>
        <v>1</v>
      </c>
      <c r="C1304" s="6"/>
      <c r="D1304" s="15">
        <f t="shared" ca="1" si="230"/>
        <v>46097</v>
      </c>
      <c r="E1304" s="15" t="str">
        <f t="shared" ca="1" si="231"/>
        <v>1514-Months</v>
      </c>
      <c r="F1304" s="8" t="e">
        <f>VLOOKUP(N1304,Stock[#Data],5,FALSE)</f>
        <v>#N/A</v>
      </c>
      <c r="G1304" s="82"/>
      <c r="H1304" s="15"/>
      <c r="I1304" s="7"/>
      <c r="J1304" s="8" t="e">
        <f>VLOOKUP(I1304,Customers[#Data],2,FALSE)</f>
        <v>#N/A</v>
      </c>
      <c r="K1304" s="15" t="e">
        <f>VLOOKUP(I1304,Customers[#Data],4,FALSE)</f>
        <v>#N/A</v>
      </c>
      <c r="L1304" s="15" t="e">
        <f>VLOOKUP(I1304,Customers[#Data],5,FALSE)</f>
        <v>#N/A</v>
      </c>
      <c r="M1304" s="7"/>
      <c r="N1304" s="7"/>
      <c r="O1304" s="14" t="e">
        <f>VLOOKUP(N1304,Stock[#Data],2,FALSE)</f>
        <v>#N/A</v>
      </c>
      <c r="P1304" s="44" t="e">
        <f>VLOOKUP(N1304,Stock[#Data],3,FALSE)</f>
        <v>#N/A</v>
      </c>
      <c r="Q1304" s="3" t="e">
        <f>VLOOKUP(N1304,Stock[#Data],4,FALSE)</f>
        <v>#N/A</v>
      </c>
      <c r="R1304" s="11"/>
      <c r="S1304" s="45">
        <f>IFERROR(Table4[[#This Row],[Bottle]]/Table4[[#This Row],[ပါဝင်မှု]]+Table4[[#This Row],[SalesPK]],0)</f>
        <v>0</v>
      </c>
      <c r="T1304" s="12"/>
      <c r="U1304" s="10" t="e">
        <f>Table4[[#This Row],[ပါဝင်မှု]]*Table4[[#This Row],[SalesPK]]+Table4[[#This Row],[Bottle]]</f>
        <v>#N/A</v>
      </c>
      <c r="V1304" s="10" t="e">
        <f>Table4[[#This Row],[SalesBot]]*Table4[[#This Row],[ML]]</f>
        <v>#N/A</v>
      </c>
      <c r="W1304" s="1" t="e">
        <f>VLOOKUP(N1304,Stock[#Data],6,FALSE)</f>
        <v>#N/A</v>
      </c>
      <c r="X1304" s="8" t="e">
        <f>+Table4[[#This Row],[SalesBot]]*Table4[[#This Row],[နှုံး]]</f>
        <v>#N/A</v>
      </c>
      <c r="Y1304" s="12"/>
      <c r="Z1304" s="12"/>
      <c r="AA1304" s="12"/>
      <c r="AB1304" s="9"/>
      <c r="AC1304" s="12"/>
      <c r="AD1304" s="9"/>
      <c r="AE1304" s="12"/>
      <c r="AF1304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304" s="24"/>
      <c r="AH1304" s="266"/>
      <c r="AI1304" s="264"/>
      <c r="AJ1304" s="264"/>
      <c r="AK1304" s="270"/>
      <c r="AL1304" s="270"/>
      <c r="AM1304" s="271"/>
      <c r="AN1304" s="272"/>
      <c r="AO1304" s="273"/>
      <c r="AP1304" s="268"/>
      <c r="AQ1304" s="268"/>
      <c r="AR1304" s="268"/>
    </row>
    <row r="1305" spans="1:44" s="16" customFormat="1" hidden="1" x14ac:dyDescent="0.5">
      <c r="A1305" s="3">
        <f t="shared" si="224"/>
        <v>1900</v>
      </c>
      <c r="B1305" s="8">
        <f t="shared" si="225"/>
        <v>1</v>
      </c>
      <c r="C1305" s="6"/>
      <c r="D1305" s="15">
        <f t="shared" ca="1" si="226"/>
        <v>46097</v>
      </c>
      <c r="E1305" s="15" t="str">
        <f t="shared" ca="1" si="227"/>
        <v>1514-Months</v>
      </c>
      <c r="F1305" s="8" t="e">
        <f>VLOOKUP(N1305,Stock[#Data],5,FALSE)</f>
        <v>#N/A</v>
      </c>
      <c r="G1305" s="82"/>
      <c r="H1305" s="15"/>
      <c r="I1305" s="7"/>
      <c r="J1305" s="8" t="e">
        <f>VLOOKUP(I1305,Customers[#Data],2,FALSE)</f>
        <v>#N/A</v>
      </c>
      <c r="K1305" s="15" t="e">
        <f>VLOOKUP(I1305,Customers[#Data],4,FALSE)</f>
        <v>#N/A</v>
      </c>
      <c r="L1305" s="15" t="e">
        <f>VLOOKUP(I1305,Customers[#Data],5,FALSE)</f>
        <v>#N/A</v>
      </c>
      <c r="M1305" s="7"/>
      <c r="N1305" s="7"/>
      <c r="O1305" s="14" t="e">
        <f>VLOOKUP(N1305,Stock[#Data],2,FALSE)</f>
        <v>#N/A</v>
      </c>
      <c r="P1305" s="44" t="e">
        <f>VLOOKUP(N1305,Stock[#Data],3,FALSE)</f>
        <v>#N/A</v>
      </c>
      <c r="Q1305" s="3" t="e">
        <f>VLOOKUP(N1305,Stock[#Data],4,FALSE)</f>
        <v>#N/A</v>
      </c>
      <c r="R1305" s="11"/>
      <c r="S1305" s="45">
        <f>IFERROR(Table4[[#This Row],[Bottle]]/Table4[[#This Row],[ပါဝင်မှု]]+Table4[[#This Row],[SalesPK]],0)</f>
        <v>0</v>
      </c>
      <c r="T1305" s="12"/>
      <c r="U1305" s="10" t="e">
        <f>Table4[[#This Row],[ပါဝင်မှု]]*Table4[[#This Row],[SalesPK]]+Table4[[#This Row],[Bottle]]</f>
        <v>#N/A</v>
      </c>
      <c r="V1305" s="10" t="e">
        <f>Table4[[#This Row],[SalesBot]]*Table4[[#This Row],[ML]]</f>
        <v>#N/A</v>
      </c>
      <c r="W1305" s="1" t="e">
        <f>VLOOKUP(N1305,Stock[#Data],6,FALSE)</f>
        <v>#N/A</v>
      </c>
      <c r="X1305" s="8" t="e">
        <f>+Table4[[#This Row],[SalesBot]]*Table4[[#This Row],[နှုံး]]</f>
        <v>#N/A</v>
      </c>
      <c r="Y1305" s="12"/>
      <c r="Z1305" s="12"/>
      <c r="AA1305" s="12"/>
      <c r="AB1305" s="9"/>
      <c r="AC1305" s="12"/>
      <c r="AD1305" s="9"/>
      <c r="AE1305" s="12"/>
      <c r="AF1305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305" s="24"/>
      <c r="AH1305" s="266"/>
      <c r="AI1305" s="264"/>
      <c r="AJ1305" s="264"/>
      <c r="AK1305" s="270"/>
      <c r="AL1305" s="270"/>
      <c r="AM1305" s="271"/>
      <c r="AN1305" s="272"/>
      <c r="AO1305" s="273"/>
      <c r="AP1305" s="268"/>
      <c r="AQ1305" s="268"/>
      <c r="AR1305" s="268"/>
    </row>
    <row r="1306" spans="1:44" s="16" customFormat="1" hidden="1" x14ac:dyDescent="0.5">
      <c r="A1306" s="3">
        <f t="shared" si="224"/>
        <v>1900</v>
      </c>
      <c r="B1306" s="8">
        <f t="shared" si="225"/>
        <v>1</v>
      </c>
      <c r="C1306" s="6"/>
      <c r="D1306" s="15">
        <f t="shared" ca="1" si="226"/>
        <v>46097</v>
      </c>
      <c r="E1306" s="15" t="str">
        <f t="shared" ca="1" si="227"/>
        <v>1514-Months</v>
      </c>
      <c r="F1306" s="8" t="e">
        <f>VLOOKUP(N1306,Stock[#Data],5,FALSE)</f>
        <v>#N/A</v>
      </c>
      <c r="G1306" s="82"/>
      <c r="H1306" s="15"/>
      <c r="I1306" s="7"/>
      <c r="J1306" s="8" t="e">
        <f>VLOOKUP(I1306,Customers[#Data],2,FALSE)</f>
        <v>#N/A</v>
      </c>
      <c r="K1306" s="15" t="e">
        <f>VLOOKUP(I1306,Customers[#Data],4,FALSE)</f>
        <v>#N/A</v>
      </c>
      <c r="L1306" s="15" t="e">
        <f>VLOOKUP(I1306,Customers[#Data],5,FALSE)</f>
        <v>#N/A</v>
      </c>
      <c r="M1306" s="7"/>
      <c r="N1306" s="7"/>
      <c r="O1306" s="14" t="e">
        <f>VLOOKUP(N1306,Stock[#Data],2,FALSE)</f>
        <v>#N/A</v>
      </c>
      <c r="P1306" s="44" t="e">
        <f>VLOOKUP(N1306,Stock[#Data],3,FALSE)</f>
        <v>#N/A</v>
      </c>
      <c r="Q1306" s="3" t="e">
        <f>VLOOKUP(N1306,Stock[#Data],4,FALSE)</f>
        <v>#N/A</v>
      </c>
      <c r="R1306" s="11"/>
      <c r="S1306" s="45">
        <f>IFERROR(Table4[[#This Row],[Bottle]]/Table4[[#This Row],[ပါဝင်မှု]]+Table4[[#This Row],[SalesPK]],0)</f>
        <v>0</v>
      </c>
      <c r="T1306" s="12"/>
      <c r="U1306" s="10" t="e">
        <f>Table4[[#This Row],[ပါဝင်မှု]]*Table4[[#This Row],[SalesPK]]+Table4[[#This Row],[Bottle]]</f>
        <v>#N/A</v>
      </c>
      <c r="V1306" s="10" t="e">
        <f>Table4[[#This Row],[SalesBot]]*Table4[[#This Row],[ML]]</f>
        <v>#N/A</v>
      </c>
      <c r="W1306" s="1" t="e">
        <f>VLOOKUP(N1306,Stock[#Data],6,FALSE)</f>
        <v>#N/A</v>
      </c>
      <c r="X1306" s="8" t="e">
        <f>+Table4[[#This Row],[SalesBot]]*Table4[[#This Row],[နှုံး]]</f>
        <v>#N/A</v>
      </c>
      <c r="Y1306" s="12"/>
      <c r="Z1306" s="12"/>
      <c r="AA1306" s="12"/>
      <c r="AB1306" s="9"/>
      <c r="AC1306" s="12"/>
      <c r="AD1306" s="9"/>
      <c r="AE1306" s="12"/>
      <c r="AF1306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306" s="24"/>
      <c r="AH1306" s="266"/>
      <c r="AI1306" s="264"/>
      <c r="AJ1306" s="264"/>
      <c r="AK1306" s="270"/>
      <c r="AL1306" s="270"/>
      <c r="AM1306" s="271"/>
      <c r="AN1306" s="272"/>
      <c r="AO1306" s="273"/>
      <c r="AP1306" s="268"/>
      <c r="AQ1306" s="268"/>
      <c r="AR1306" s="268"/>
    </row>
    <row r="1307" spans="1:44" s="16" customFormat="1" hidden="1" x14ac:dyDescent="0.5">
      <c r="A1307" s="3">
        <f t="shared" si="224"/>
        <v>1900</v>
      </c>
      <c r="B1307" s="8">
        <f t="shared" si="225"/>
        <v>1</v>
      </c>
      <c r="C1307" s="6"/>
      <c r="D1307" s="15">
        <f t="shared" ca="1" si="226"/>
        <v>46097</v>
      </c>
      <c r="E1307" s="15" t="str">
        <f t="shared" ca="1" si="227"/>
        <v>1514-Months</v>
      </c>
      <c r="F1307" s="8" t="e">
        <f>VLOOKUP(N1307,Stock[#Data],5,FALSE)</f>
        <v>#N/A</v>
      </c>
      <c r="G1307" s="82"/>
      <c r="H1307" s="15"/>
      <c r="I1307" s="7"/>
      <c r="J1307" s="8" t="e">
        <f>VLOOKUP(I1307,Customers[#Data],2,FALSE)</f>
        <v>#N/A</v>
      </c>
      <c r="K1307" s="15" t="e">
        <f>VLOOKUP(I1307,Customers[#Data],4,FALSE)</f>
        <v>#N/A</v>
      </c>
      <c r="L1307" s="15" t="e">
        <f>VLOOKUP(I1307,Customers[#Data],5,FALSE)</f>
        <v>#N/A</v>
      </c>
      <c r="M1307" s="7"/>
      <c r="N1307" s="7"/>
      <c r="O1307" s="14" t="e">
        <f>VLOOKUP(N1307,Stock[#Data],2,FALSE)</f>
        <v>#N/A</v>
      </c>
      <c r="P1307" s="44" t="e">
        <f>VLOOKUP(N1307,Stock[#Data],3,FALSE)</f>
        <v>#N/A</v>
      </c>
      <c r="Q1307" s="3" t="e">
        <f>VLOOKUP(N1307,Stock[#Data],4,FALSE)</f>
        <v>#N/A</v>
      </c>
      <c r="R1307" s="11"/>
      <c r="S1307" s="45">
        <f>IFERROR(Table4[[#This Row],[Bottle]]/Table4[[#This Row],[ပါဝင်မှု]]+Table4[[#This Row],[SalesPK]],0)</f>
        <v>0</v>
      </c>
      <c r="T1307" s="12"/>
      <c r="U1307" s="10" t="e">
        <f>Table4[[#This Row],[ပါဝင်မှု]]*Table4[[#This Row],[SalesPK]]+Table4[[#This Row],[Bottle]]</f>
        <v>#N/A</v>
      </c>
      <c r="V1307" s="10" t="e">
        <f>Table4[[#This Row],[SalesBot]]*Table4[[#This Row],[ML]]</f>
        <v>#N/A</v>
      </c>
      <c r="W1307" s="1" t="e">
        <f>VLOOKUP(N1307,Stock[#Data],6,FALSE)</f>
        <v>#N/A</v>
      </c>
      <c r="X1307" s="8" t="e">
        <f>+Table4[[#This Row],[SalesBot]]*Table4[[#This Row],[နှုံး]]</f>
        <v>#N/A</v>
      </c>
      <c r="Y1307" s="12"/>
      <c r="Z1307" s="12"/>
      <c r="AA1307" s="12"/>
      <c r="AB1307" s="9"/>
      <c r="AC1307" s="12"/>
      <c r="AD1307" s="9"/>
      <c r="AE1307" s="12"/>
      <c r="AF1307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307" s="24"/>
      <c r="AH1307" s="266"/>
      <c r="AI1307" s="264"/>
      <c r="AJ1307" s="264"/>
      <c r="AK1307" s="270"/>
      <c r="AL1307" s="270"/>
      <c r="AM1307" s="271"/>
      <c r="AN1307" s="272"/>
      <c r="AO1307" s="273"/>
      <c r="AP1307" s="268"/>
      <c r="AQ1307" s="268"/>
      <c r="AR1307" s="268"/>
    </row>
    <row r="1308" spans="1:44" s="16" customFormat="1" hidden="1" x14ac:dyDescent="0.5">
      <c r="A1308" s="3">
        <f t="shared" si="224"/>
        <v>1900</v>
      </c>
      <c r="B1308" s="8">
        <f t="shared" si="225"/>
        <v>1</v>
      </c>
      <c r="C1308" s="6"/>
      <c r="D1308" s="15">
        <f t="shared" ca="1" si="226"/>
        <v>46097</v>
      </c>
      <c r="E1308" s="15" t="str">
        <f t="shared" ca="1" si="227"/>
        <v>1514-Months</v>
      </c>
      <c r="F1308" s="8" t="e">
        <f>VLOOKUP(N1308,Stock[#Data],5,FALSE)</f>
        <v>#N/A</v>
      </c>
      <c r="G1308" s="82"/>
      <c r="H1308" s="15"/>
      <c r="I1308" s="7"/>
      <c r="J1308" s="8" t="e">
        <f>VLOOKUP(I1308,Customers[#Data],2,FALSE)</f>
        <v>#N/A</v>
      </c>
      <c r="K1308" s="15" t="e">
        <f>VLOOKUP(I1308,Customers[#Data],4,FALSE)</f>
        <v>#N/A</v>
      </c>
      <c r="L1308" s="15" t="e">
        <f>VLOOKUP(I1308,Customers[#Data],5,FALSE)</f>
        <v>#N/A</v>
      </c>
      <c r="M1308" s="7"/>
      <c r="N1308" s="7"/>
      <c r="O1308" s="14" t="e">
        <f>VLOOKUP(N1308,Stock[#Data],2,FALSE)</f>
        <v>#N/A</v>
      </c>
      <c r="P1308" s="44" t="e">
        <f>VLOOKUP(N1308,Stock[#Data],3,FALSE)</f>
        <v>#N/A</v>
      </c>
      <c r="Q1308" s="3" t="e">
        <f>VLOOKUP(N1308,Stock[#Data],4,FALSE)</f>
        <v>#N/A</v>
      </c>
      <c r="R1308" s="11"/>
      <c r="S1308" s="45">
        <f>IFERROR(Table4[[#This Row],[Bottle]]/Table4[[#This Row],[ပါဝင်မှု]]+Table4[[#This Row],[SalesPK]],0)</f>
        <v>0</v>
      </c>
      <c r="T1308" s="12"/>
      <c r="U1308" s="10" t="e">
        <f>Table4[[#This Row],[ပါဝင်မှု]]*Table4[[#This Row],[SalesPK]]+Table4[[#This Row],[Bottle]]</f>
        <v>#N/A</v>
      </c>
      <c r="V1308" s="10" t="e">
        <f>Table4[[#This Row],[SalesBot]]*Table4[[#This Row],[ML]]</f>
        <v>#N/A</v>
      </c>
      <c r="W1308" s="1" t="e">
        <f>VLOOKUP(N1308,Stock[#Data],6,FALSE)</f>
        <v>#N/A</v>
      </c>
      <c r="X1308" s="8" t="e">
        <f>+Table4[[#This Row],[SalesBot]]*Table4[[#This Row],[နှုံး]]</f>
        <v>#N/A</v>
      </c>
      <c r="Y1308" s="12"/>
      <c r="Z1308" s="12"/>
      <c r="AA1308" s="12"/>
      <c r="AB1308" s="9"/>
      <c r="AC1308" s="12"/>
      <c r="AD1308" s="9"/>
      <c r="AE1308" s="12"/>
      <c r="AF1308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308" s="24"/>
      <c r="AH1308" s="266"/>
      <c r="AI1308" s="264"/>
      <c r="AJ1308" s="264"/>
      <c r="AK1308" s="270"/>
      <c r="AL1308" s="270"/>
      <c r="AM1308" s="271"/>
      <c r="AN1308" s="272"/>
      <c r="AO1308" s="273"/>
      <c r="AP1308" s="268"/>
      <c r="AQ1308" s="268"/>
      <c r="AR1308" s="268"/>
    </row>
    <row r="1309" spans="1:44" s="16" customFormat="1" hidden="1" x14ac:dyDescent="0.5">
      <c r="A1309" s="3">
        <f t="shared" si="224"/>
        <v>1900</v>
      </c>
      <c r="B1309" s="8">
        <f t="shared" si="225"/>
        <v>1</v>
      </c>
      <c r="C1309" s="6"/>
      <c r="D1309" s="15">
        <f t="shared" ca="1" si="226"/>
        <v>46097</v>
      </c>
      <c r="E1309" s="15" t="str">
        <f t="shared" ca="1" si="227"/>
        <v>1514-Months</v>
      </c>
      <c r="F1309" s="8" t="e">
        <f>VLOOKUP(N1309,Stock[#Data],5,FALSE)</f>
        <v>#N/A</v>
      </c>
      <c r="G1309" s="82"/>
      <c r="H1309" s="15"/>
      <c r="I1309" s="7"/>
      <c r="J1309" s="8" t="e">
        <f>VLOOKUP(I1309,Customers[#Data],2,FALSE)</f>
        <v>#N/A</v>
      </c>
      <c r="K1309" s="15" t="e">
        <f>VLOOKUP(I1309,Customers[#Data],4,FALSE)</f>
        <v>#N/A</v>
      </c>
      <c r="L1309" s="15" t="e">
        <f>VLOOKUP(I1309,Customers[#Data],5,FALSE)</f>
        <v>#N/A</v>
      </c>
      <c r="M1309" s="7"/>
      <c r="N1309" s="7"/>
      <c r="O1309" s="14" t="e">
        <f>VLOOKUP(N1309,Stock[#Data],2,FALSE)</f>
        <v>#N/A</v>
      </c>
      <c r="P1309" s="44" t="e">
        <f>VLOOKUP(N1309,Stock[#Data],3,FALSE)</f>
        <v>#N/A</v>
      </c>
      <c r="Q1309" s="3" t="e">
        <f>VLOOKUP(N1309,Stock[#Data],4,FALSE)</f>
        <v>#N/A</v>
      </c>
      <c r="R1309" s="11"/>
      <c r="S1309" s="45">
        <f>IFERROR(Table4[[#This Row],[Bottle]]/Table4[[#This Row],[ပါဝင်မှု]]+Table4[[#This Row],[SalesPK]],0)</f>
        <v>0</v>
      </c>
      <c r="T1309" s="12"/>
      <c r="U1309" s="10" t="e">
        <f>Table4[[#This Row],[ပါဝင်မှု]]*Table4[[#This Row],[SalesPK]]+Table4[[#This Row],[Bottle]]</f>
        <v>#N/A</v>
      </c>
      <c r="V1309" s="10" t="e">
        <f>Table4[[#This Row],[SalesBot]]*Table4[[#This Row],[ML]]</f>
        <v>#N/A</v>
      </c>
      <c r="W1309" s="1" t="e">
        <f>VLOOKUP(N1309,Stock[#Data],6,FALSE)</f>
        <v>#N/A</v>
      </c>
      <c r="X1309" s="8" t="e">
        <f>+Table4[[#This Row],[SalesBot]]*Table4[[#This Row],[နှုံး]]</f>
        <v>#N/A</v>
      </c>
      <c r="Y1309" s="12"/>
      <c r="Z1309" s="12"/>
      <c r="AA1309" s="12"/>
      <c r="AB1309" s="9"/>
      <c r="AC1309" s="12"/>
      <c r="AD1309" s="9"/>
      <c r="AE1309" s="12"/>
      <c r="AF1309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309" s="24"/>
      <c r="AH1309" s="266"/>
      <c r="AI1309" s="264"/>
      <c r="AJ1309" s="264"/>
      <c r="AK1309" s="270"/>
      <c r="AL1309" s="270"/>
      <c r="AM1309" s="271"/>
      <c r="AN1309" s="272"/>
      <c r="AO1309" s="273"/>
      <c r="AP1309" s="268"/>
      <c r="AQ1309" s="268"/>
      <c r="AR1309" s="268"/>
    </row>
    <row r="1310" spans="1:44" s="16" customFormat="1" hidden="1" x14ac:dyDescent="0.5">
      <c r="A1310" s="3">
        <f t="shared" si="224"/>
        <v>1900</v>
      </c>
      <c r="B1310" s="8">
        <f t="shared" si="225"/>
        <v>1</v>
      </c>
      <c r="C1310" s="6"/>
      <c r="D1310" s="15">
        <f t="shared" ca="1" si="226"/>
        <v>46097</v>
      </c>
      <c r="E1310" s="15" t="str">
        <f t="shared" ca="1" si="227"/>
        <v>1514-Months</v>
      </c>
      <c r="F1310" s="8" t="e">
        <f>VLOOKUP(N1310,Stock[#Data],5,FALSE)</f>
        <v>#N/A</v>
      </c>
      <c r="G1310" s="82"/>
      <c r="H1310" s="15"/>
      <c r="I1310" s="7"/>
      <c r="J1310" s="8" t="e">
        <f>VLOOKUP(I1310,Customers[#Data],2,FALSE)</f>
        <v>#N/A</v>
      </c>
      <c r="K1310" s="15" t="e">
        <f>VLOOKUP(I1310,Customers[#Data],4,FALSE)</f>
        <v>#N/A</v>
      </c>
      <c r="L1310" s="15" t="e">
        <f>VLOOKUP(I1310,Customers[#Data],5,FALSE)</f>
        <v>#N/A</v>
      </c>
      <c r="M1310" s="7"/>
      <c r="N1310" s="7"/>
      <c r="O1310" s="14" t="e">
        <f>VLOOKUP(N1310,Stock[#Data],2,FALSE)</f>
        <v>#N/A</v>
      </c>
      <c r="P1310" s="44" t="e">
        <f>VLOOKUP(N1310,Stock[#Data],3,FALSE)</f>
        <v>#N/A</v>
      </c>
      <c r="Q1310" s="3" t="e">
        <f>VLOOKUP(N1310,Stock[#Data],4,FALSE)</f>
        <v>#N/A</v>
      </c>
      <c r="R1310" s="11"/>
      <c r="S1310" s="45">
        <f>IFERROR(Table4[[#This Row],[Bottle]]/Table4[[#This Row],[ပါဝင်မှု]]+Table4[[#This Row],[SalesPK]],0)</f>
        <v>0</v>
      </c>
      <c r="T1310" s="12"/>
      <c r="U1310" s="10" t="e">
        <f>Table4[[#This Row],[ပါဝင်မှု]]*Table4[[#This Row],[SalesPK]]+Table4[[#This Row],[Bottle]]</f>
        <v>#N/A</v>
      </c>
      <c r="V1310" s="10" t="e">
        <f>Table4[[#This Row],[SalesBot]]*Table4[[#This Row],[ML]]</f>
        <v>#N/A</v>
      </c>
      <c r="W1310" s="1" t="e">
        <f>VLOOKUP(N1310,Stock[#Data],6,FALSE)</f>
        <v>#N/A</v>
      </c>
      <c r="X1310" s="8" t="e">
        <f>+Table4[[#This Row],[SalesBot]]*Table4[[#This Row],[နှုံး]]</f>
        <v>#N/A</v>
      </c>
      <c r="Y1310" s="12"/>
      <c r="Z1310" s="12"/>
      <c r="AA1310" s="12"/>
      <c r="AB1310" s="9"/>
      <c r="AC1310" s="12"/>
      <c r="AD1310" s="9"/>
      <c r="AE1310" s="12"/>
      <c r="AF1310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310" s="24"/>
      <c r="AH1310" s="266"/>
      <c r="AI1310" s="264"/>
      <c r="AJ1310" s="264"/>
      <c r="AK1310" s="270"/>
      <c r="AL1310" s="270"/>
      <c r="AM1310" s="271"/>
      <c r="AN1310" s="272"/>
      <c r="AO1310" s="273"/>
      <c r="AP1310" s="268"/>
      <c r="AQ1310" s="268"/>
      <c r="AR1310" s="268"/>
    </row>
    <row r="1311" spans="1:44" s="16" customFormat="1" hidden="1" x14ac:dyDescent="0.5">
      <c r="A1311" s="3">
        <f t="shared" si="224"/>
        <v>1900</v>
      </c>
      <c r="B1311" s="8">
        <f t="shared" si="225"/>
        <v>1</v>
      </c>
      <c r="C1311" s="6"/>
      <c r="D1311" s="15">
        <f t="shared" ca="1" si="226"/>
        <v>46097</v>
      </c>
      <c r="E1311" s="15" t="str">
        <f t="shared" ca="1" si="227"/>
        <v>1514-Months</v>
      </c>
      <c r="F1311" s="8" t="e">
        <f>VLOOKUP(N1311,Stock[#Data],5,FALSE)</f>
        <v>#N/A</v>
      </c>
      <c r="G1311" s="82"/>
      <c r="H1311" s="15"/>
      <c r="I1311" s="7"/>
      <c r="J1311" s="8" t="e">
        <f>VLOOKUP(I1311,Customers[#Data],2,FALSE)</f>
        <v>#N/A</v>
      </c>
      <c r="K1311" s="15" t="e">
        <f>VLOOKUP(I1311,Customers[#Data],4,FALSE)</f>
        <v>#N/A</v>
      </c>
      <c r="L1311" s="15" t="e">
        <f>VLOOKUP(I1311,Customers[#Data],5,FALSE)</f>
        <v>#N/A</v>
      </c>
      <c r="M1311" s="7"/>
      <c r="N1311" s="7"/>
      <c r="O1311" s="14" t="e">
        <f>VLOOKUP(N1311,Stock[#Data],2,FALSE)</f>
        <v>#N/A</v>
      </c>
      <c r="P1311" s="44" t="e">
        <f>VLOOKUP(N1311,Stock[#Data],3,FALSE)</f>
        <v>#N/A</v>
      </c>
      <c r="Q1311" s="3" t="e">
        <f>VLOOKUP(N1311,Stock[#Data],4,FALSE)</f>
        <v>#N/A</v>
      </c>
      <c r="R1311" s="11"/>
      <c r="S1311" s="45">
        <f>IFERROR(Table4[[#This Row],[Bottle]]/Table4[[#This Row],[ပါဝင်မှု]]+Table4[[#This Row],[SalesPK]],0)</f>
        <v>0</v>
      </c>
      <c r="T1311" s="12"/>
      <c r="U1311" s="10" t="e">
        <f>Table4[[#This Row],[ပါဝင်မှု]]*Table4[[#This Row],[SalesPK]]+Table4[[#This Row],[Bottle]]</f>
        <v>#N/A</v>
      </c>
      <c r="V1311" s="10" t="e">
        <f>Table4[[#This Row],[SalesBot]]*Table4[[#This Row],[ML]]</f>
        <v>#N/A</v>
      </c>
      <c r="W1311" s="1" t="e">
        <f>VLOOKUP(N1311,Stock[#Data],6,FALSE)</f>
        <v>#N/A</v>
      </c>
      <c r="X1311" s="8" t="e">
        <f>+Table4[[#This Row],[SalesBot]]*Table4[[#This Row],[နှုံး]]</f>
        <v>#N/A</v>
      </c>
      <c r="Y1311" s="12"/>
      <c r="Z1311" s="12"/>
      <c r="AA1311" s="12"/>
      <c r="AB1311" s="9"/>
      <c r="AC1311" s="12"/>
      <c r="AD1311" s="9"/>
      <c r="AE1311" s="12"/>
      <c r="AF1311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311" s="24"/>
      <c r="AH1311" s="266"/>
      <c r="AI1311" s="264"/>
      <c r="AJ1311" s="264"/>
      <c r="AK1311" s="270"/>
      <c r="AL1311" s="270"/>
      <c r="AM1311" s="271"/>
      <c r="AN1311" s="272"/>
      <c r="AO1311" s="273"/>
      <c r="AP1311" s="268"/>
      <c r="AQ1311" s="268"/>
      <c r="AR1311" s="268"/>
    </row>
    <row r="1312" spans="1:44" s="16" customFormat="1" hidden="1" x14ac:dyDescent="0.5">
      <c r="A1312" s="3">
        <f t="shared" si="224"/>
        <v>1900</v>
      </c>
      <c r="B1312" s="8">
        <f t="shared" si="225"/>
        <v>1</v>
      </c>
      <c r="C1312" s="6"/>
      <c r="D1312" s="15">
        <f t="shared" ca="1" si="226"/>
        <v>46097</v>
      </c>
      <c r="E1312" s="15" t="str">
        <f t="shared" ca="1" si="227"/>
        <v>1514-Months</v>
      </c>
      <c r="F1312" s="8" t="e">
        <f>VLOOKUP(N1312,Stock[#Data],5,FALSE)</f>
        <v>#N/A</v>
      </c>
      <c r="G1312" s="82"/>
      <c r="H1312" s="15"/>
      <c r="I1312" s="7"/>
      <c r="J1312" s="8" t="e">
        <f>VLOOKUP(I1312,Customers[#Data],2,FALSE)</f>
        <v>#N/A</v>
      </c>
      <c r="K1312" s="15" t="e">
        <f>VLOOKUP(I1312,Customers[#Data],4,FALSE)</f>
        <v>#N/A</v>
      </c>
      <c r="L1312" s="15" t="e">
        <f>VLOOKUP(I1312,Customers[#Data],5,FALSE)</f>
        <v>#N/A</v>
      </c>
      <c r="M1312" s="7"/>
      <c r="N1312" s="7"/>
      <c r="O1312" s="14" t="e">
        <f>VLOOKUP(N1312,Stock[#Data],2,FALSE)</f>
        <v>#N/A</v>
      </c>
      <c r="P1312" s="44" t="e">
        <f>VLOOKUP(N1312,Stock[#Data],3,FALSE)</f>
        <v>#N/A</v>
      </c>
      <c r="Q1312" s="3" t="e">
        <f>VLOOKUP(N1312,Stock[#Data],4,FALSE)</f>
        <v>#N/A</v>
      </c>
      <c r="R1312" s="11"/>
      <c r="S1312" s="45">
        <f>IFERROR(Table4[[#This Row],[Bottle]]/Table4[[#This Row],[ပါဝင်မှု]]+Table4[[#This Row],[SalesPK]],0)</f>
        <v>0</v>
      </c>
      <c r="T1312" s="12"/>
      <c r="U1312" s="10" t="e">
        <f>Table4[[#This Row],[ပါဝင်မှု]]*Table4[[#This Row],[SalesPK]]+Table4[[#This Row],[Bottle]]</f>
        <v>#N/A</v>
      </c>
      <c r="V1312" s="10" t="e">
        <f>Table4[[#This Row],[SalesBot]]*Table4[[#This Row],[ML]]</f>
        <v>#N/A</v>
      </c>
      <c r="W1312" s="1" t="e">
        <f>VLOOKUP(N1312,Stock[#Data],6,FALSE)</f>
        <v>#N/A</v>
      </c>
      <c r="X1312" s="8" t="e">
        <f>+Table4[[#This Row],[SalesBot]]*Table4[[#This Row],[နှုံး]]</f>
        <v>#N/A</v>
      </c>
      <c r="Y1312" s="12"/>
      <c r="Z1312" s="12"/>
      <c r="AA1312" s="12"/>
      <c r="AB1312" s="9"/>
      <c r="AC1312" s="12"/>
      <c r="AD1312" s="9"/>
      <c r="AE1312" s="12"/>
      <c r="AF1312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312" s="24"/>
      <c r="AH1312" s="266"/>
      <c r="AI1312" s="264"/>
      <c r="AJ1312" s="264"/>
      <c r="AK1312" s="270"/>
      <c r="AL1312" s="270"/>
      <c r="AM1312" s="271"/>
      <c r="AN1312" s="272"/>
      <c r="AO1312" s="273"/>
      <c r="AP1312" s="268"/>
      <c r="AQ1312" s="268"/>
      <c r="AR1312" s="268"/>
    </row>
    <row r="1313" spans="1:44" s="16" customFormat="1" hidden="1" x14ac:dyDescent="0.5">
      <c r="A1313" s="3">
        <f t="shared" si="26"/>
        <v>1900</v>
      </c>
      <c r="B1313" s="8">
        <f t="shared" si="27"/>
        <v>1</v>
      </c>
      <c r="C1313" s="6"/>
      <c r="D1313" s="15">
        <f t="shared" ca="1" si="28"/>
        <v>46097</v>
      </c>
      <c r="E1313" s="15" t="str">
        <f t="shared" ca="1" si="29"/>
        <v>1514-Months</v>
      </c>
      <c r="F1313" s="8" t="e">
        <f>VLOOKUP(N1313,Stock[#Data],5,FALSE)</f>
        <v>#N/A</v>
      </c>
      <c r="G1313" s="6"/>
      <c r="H1313" s="15"/>
      <c r="I1313" s="7"/>
      <c r="J1313" s="8" t="e">
        <f>VLOOKUP(I1313,Customers[#Data],2,FALSE)</f>
        <v>#N/A</v>
      </c>
      <c r="K1313" s="15" t="e">
        <f>VLOOKUP(I1313,Customers[#Data],4,FALSE)</f>
        <v>#N/A</v>
      </c>
      <c r="L1313" s="15" t="e">
        <f>VLOOKUP(I1313,Customers[#Data],5,FALSE)</f>
        <v>#N/A</v>
      </c>
      <c r="M1313" s="7"/>
      <c r="N1313" s="7"/>
      <c r="O1313" s="14" t="e">
        <f>VLOOKUP(N1313,Stock[#Data],2,FALSE)</f>
        <v>#N/A</v>
      </c>
      <c r="P1313" s="44" t="e">
        <f>VLOOKUP(N1313,Stock[#Data],3,FALSE)</f>
        <v>#N/A</v>
      </c>
      <c r="Q1313" s="3" t="e">
        <f>VLOOKUP(N1313,Stock[#Data],4,FALSE)</f>
        <v>#N/A</v>
      </c>
      <c r="R1313" s="11"/>
      <c r="S1313" s="45">
        <f>IFERROR(Table4[[#This Row],[Bottle]]/Table4[[#This Row],[ပါဝင်မှု]]+Table4[[#This Row],[SalesPK]],0)</f>
        <v>0</v>
      </c>
      <c r="T1313" s="12"/>
      <c r="U1313" s="10" t="e">
        <f>Table4[[#This Row],[ပါဝင်မှု]]*Table4[[#This Row],[SalesPK]]+Table4[[#This Row],[Bottle]]</f>
        <v>#N/A</v>
      </c>
      <c r="V1313" s="10" t="e">
        <f>Table4[[#This Row],[SalesBot]]*Table4[[#This Row],[ML]]</f>
        <v>#N/A</v>
      </c>
      <c r="W1313" s="1" t="e">
        <f>VLOOKUP(N1313,Stock[#Data],6,FALSE)</f>
        <v>#N/A</v>
      </c>
      <c r="X1313" s="8" t="e">
        <f>+Table4[[#This Row],[SalesBot]]*Table4[[#This Row],[နှုံး]]</f>
        <v>#N/A</v>
      </c>
      <c r="Y1313" s="12"/>
      <c r="Z1313" s="12"/>
      <c r="AA1313" s="12"/>
      <c r="AB1313" s="9"/>
      <c r="AC1313" s="12"/>
      <c r="AD1313" s="9"/>
      <c r="AE1313" s="12"/>
      <c r="AF1313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313" s="24"/>
      <c r="AH1313" s="266">
        <f>Table4[[#This Row],[Date]]</f>
        <v>0</v>
      </c>
      <c r="AI1313" s="264"/>
      <c r="AJ1313" s="264"/>
      <c r="AK1313" s="270"/>
      <c r="AL1313" s="270"/>
      <c r="AM1313" s="271"/>
      <c r="AN1313" s="272"/>
      <c r="AO1313" s="273"/>
      <c r="AP1313" s="268"/>
      <c r="AQ1313" s="268"/>
      <c r="AR1313" s="268"/>
    </row>
    <row r="1314" spans="1:44" s="16" customFormat="1" hidden="1" x14ac:dyDescent="0.5">
      <c r="A1314" s="3">
        <f t="shared" si="0"/>
        <v>1900</v>
      </c>
      <c r="B1314" s="8">
        <f t="shared" si="1"/>
        <v>1</v>
      </c>
      <c r="C1314" s="6"/>
      <c r="D1314" s="15">
        <f t="shared" ca="1" si="2"/>
        <v>46097</v>
      </c>
      <c r="E1314" s="15" t="str">
        <f t="shared" ca="1" si="3"/>
        <v>1514-Months</v>
      </c>
      <c r="F1314" s="8" t="e">
        <f>VLOOKUP(N1314,Stock[#Data],5,FALSE)</f>
        <v>#N/A</v>
      </c>
      <c r="G1314" s="6"/>
      <c r="H1314" s="15"/>
      <c r="I1314" s="7"/>
      <c r="J1314" s="8" t="e">
        <f>VLOOKUP(I1314,Customers[#Data],2,FALSE)</f>
        <v>#N/A</v>
      </c>
      <c r="K1314" s="15" t="e">
        <f>VLOOKUP(I1314,Customers[#Data],4,FALSE)</f>
        <v>#N/A</v>
      </c>
      <c r="L1314" s="15" t="e">
        <f>VLOOKUP(I1314,Customers[#Data],5,FALSE)</f>
        <v>#N/A</v>
      </c>
      <c r="M1314" s="7"/>
      <c r="N1314" s="7"/>
      <c r="O1314" s="14" t="e">
        <f>VLOOKUP(N1314,Stock[#Data],2,FALSE)</f>
        <v>#N/A</v>
      </c>
      <c r="P1314" s="44" t="e">
        <f>VLOOKUP(N1314,Stock[#Data],3,FALSE)</f>
        <v>#N/A</v>
      </c>
      <c r="Q1314" s="3" t="e">
        <f>VLOOKUP(N1314,Stock[#Data],4,FALSE)</f>
        <v>#N/A</v>
      </c>
      <c r="R1314" s="11"/>
      <c r="S1314" s="45">
        <f>IFERROR(Table4[[#This Row],[Bottle]]/Table4[[#This Row],[ပါဝင်မှု]]+Table4[[#This Row],[SalesPK]],0)</f>
        <v>0</v>
      </c>
      <c r="T1314" s="12"/>
      <c r="U1314" s="10" t="e">
        <f>Table4[[#This Row],[ပါဝင်မှု]]*Table4[[#This Row],[SalesPK]]+Table4[[#This Row],[Bottle]]</f>
        <v>#N/A</v>
      </c>
      <c r="V1314" s="10" t="e">
        <f>Table4[[#This Row],[SalesBot]]*Table4[[#This Row],[ML]]</f>
        <v>#N/A</v>
      </c>
      <c r="W1314" s="1" t="e">
        <f>VLOOKUP(N1314,Stock[#Data],6,FALSE)</f>
        <v>#N/A</v>
      </c>
      <c r="X1314" s="8" t="e">
        <f>+Table4[[#This Row],[SalesBot]]*Table4[[#This Row],[နှုံး]]</f>
        <v>#N/A</v>
      </c>
      <c r="Y1314" s="12"/>
      <c r="Z1314" s="12"/>
      <c r="AA1314" s="12"/>
      <c r="AB1314" s="9"/>
      <c r="AC1314" s="12"/>
      <c r="AD1314" s="9"/>
      <c r="AE1314" s="12"/>
      <c r="AF1314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G1314" s="24"/>
      <c r="AH1314" s="266">
        <f>Table4[[#This Row],[Date]]</f>
        <v>0</v>
      </c>
      <c r="AI1314" s="264"/>
      <c r="AJ1314" s="264"/>
      <c r="AK1314" s="270"/>
      <c r="AL1314" s="270"/>
      <c r="AM1314" s="271"/>
      <c r="AN1314" s="272"/>
      <c r="AO1314" s="273"/>
      <c r="AP1314" s="268"/>
      <c r="AQ1314" s="268"/>
      <c r="AR1314" s="268"/>
    </row>
    <row r="1315" spans="1:44" ht="19.5" hidden="1" customHeight="1" x14ac:dyDescent="0.5">
      <c r="A1315" s="13">
        <f t="shared" ref="A1315" si="232">YEAR(C1315)</f>
        <v>1900</v>
      </c>
      <c r="B1315" s="8">
        <f t="shared" ref="B1315" si="233">MONTH(C1315)</f>
        <v>1</v>
      </c>
      <c r="C1315" s="6"/>
      <c r="D1315" s="15">
        <f t="shared" ref="D1315" ca="1" si="234">TODAY()</f>
        <v>46097</v>
      </c>
      <c r="E1315" s="73" t="str">
        <f t="shared" ref="E1315" ca="1" si="235">DATEDIF(C1315,D1315,"M")&amp;"-Months"</f>
        <v>1514-Months</v>
      </c>
      <c r="F1315" s="78" t="e">
        <f>VLOOKUP(N1315,Stock[#Data],5,FALSE)</f>
        <v>#N/A</v>
      </c>
      <c r="G1315" s="80"/>
      <c r="H1315" s="74"/>
      <c r="I1315" s="75"/>
      <c r="J1315" s="1" t="e">
        <f>VLOOKUP(I1315,Customers[#Data],2,FALSE)</f>
        <v>#N/A</v>
      </c>
      <c r="K1315" s="1" t="e">
        <f>VLOOKUP(I1315,Customers[#Data],4,FALSE)</f>
        <v>#N/A</v>
      </c>
      <c r="L1315" s="15" t="e">
        <f>VLOOKUP(I1315,Customers[#Data],5,FALSE)</f>
        <v>#N/A</v>
      </c>
      <c r="M1315" s="12"/>
      <c r="N1315" s="76"/>
      <c r="O1315" s="14" t="e">
        <f>VLOOKUP(N1315,Stock[#Data],2,FALSE)</f>
        <v>#N/A</v>
      </c>
      <c r="P1315" s="8" t="e">
        <f>VLOOKUP(N1315,Stock[#Data],3,FALSE)</f>
        <v>#N/A</v>
      </c>
      <c r="Q1315" s="3" t="e">
        <f>VLOOKUP(N1315,Stock[#Data],4,FALSE)</f>
        <v>#N/A</v>
      </c>
      <c r="R1315" s="11"/>
      <c r="S1315" s="47">
        <f>IFERROR(Table4[[#This Row],[Bottle]]/Table4[[#This Row],[ပါဝင်မှု]]+Table4[[#This Row],[SalesPK]],0)</f>
        <v>0</v>
      </c>
      <c r="T1315" s="12"/>
      <c r="U1315" s="10" t="e">
        <f>Table4[[#This Row],[ပါဝင်မှု]]*Table4[[#This Row],[SalesPK]]+Table4[[#This Row],[Bottle]]</f>
        <v>#N/A</v>
      </c>
      <c r="V1315" s="10" t="e">
        <f>Table4[[#This Row],[SalesBot]]*Table4[[#This Row],[ML]]</f>
        <v>#N/A</v>
      </c>
      <c r="W1315" s="1" t="e">
        <f>VLOOKUP(N1315,Stock[#Data],6,FALSE)</f>
        <v>#N/A</v>
      </c>
      <c r="X1315" s="8" t="e">
        <f>+Table4[[#This Row],[SalesBot]]*Table4[[#This Row],[နှုံး]]</f>
        <v>#N/A</v>
      </c>
      <c r="AB1315" s="77"/>
      <c r="AD1315" s="77"/>
      <c r="AF1315" s="13" t="e">
        <f>Table4[[#This Row],[စာရင်းဖွင့်]]+Table4[[#This Row],[သင့်ငွေ]]-Table4[[#This Row],[ဈေးဟောင်းလျှော့]]-Table4[[#This Row],[‌ကော်မရှင်]]-Table4[[#This Row],[ကြွေးရငွေ]]-Table4[[#This Row],[ကြွေးရငွေ2]]</f>
        <v>#N/A</v>
      </c>
      <c r="AH1315" s="266">
        <f>Table4[[#This Row],[Date]]</f>
        <v>0</v>
      </c>
      <c r="AI1315" s="264"/>
      <c r="AJ1315" s="264"/>
      <c r="AK1315" s="270"/>
      <c r="AL1315" s="270"/>
      <c r="AM1315" s="271"/>
      <c r="AN1315" s="272"/>
      <c r="AO1315" s="273"/>
      <c r="AP1315" s="268"/>
      <c r="AQ1315" s="268"/>
      <c r="AR1315" s="268"/>
    </row>
    <row r="1316" spans="1:44" x14ac:dyDescent="0.5">
      <c r="B1316" s="68"/>
      <c r="C1316" s="46"/>
      <c r="D1316" s="69"/>
      <c r="E1316" s="69"/>
      <c r="F1316" s="69"/>
      <c r="G1316" s="46"/>
      <c r="H1316" s="69"/>
      <c r="I1316" s="46"/>
      <c r="J1316" s="69"/>
      <c r="K1316" s="69"/>
      <c r="L1316" s="69"/>
      <c r="M1316" s="70"/>
      <c r="N1316" s="70"/>
      <c r="O1316" s="71"/>
      <c r="P1316" s="68"/>
      <c r="Q1316" s="72"/>
      <c r="R1316" s="72">
        <f>SUBTOTAL(109,Table4[Bottle])</f>
        <v>25</v>
      </c>
      <c r="S1316" s="86">
        <f>SUBTOTAL(109,Table4[Parking])</f>
        <v>14501.791666666666</v>
      </c>
      <c r="T1316" s="72">
        <f>SUBTOTAL(109,Table4[SalesPK])</f>
        <v>14500</v>
      </c>
      <c r="U1316" s="86">
        <f>SUBTOTAL(109,Table4[SalesBot])</f>
        <v>192587</v>
      </c>
      <c r="V1316" s="86">
        <f>SUBTOTAL(109,Table4[Liter])</f>
        <v>153337.89000000004</v>
      </c>
      <c r="W1316" s="72">
        <f>SUBTOTAL(109,Table4[နှုံး])</f>
        <v>367215</v>
      </c>
      <c r="X1316" s="72">
        <f>SUBTOTAL(109,Table4[သင့်ငွေ])</f>
        <v>296401350</v>
      </c>
      <c r="Y1316" s="72">
        <f>SUBTOTAL(109,Table4[စာရင်းဖွင့်])</f>
        <v>0</v>
      </c>
      <c r="Z1316" s="72">
        <f>SUBTOTAL(109,Table4[ဈေးဟောင်းလျှော့])</f>
        <v>0</v>
      </c>
      <c r="AA1316" s="72">
        <f>SUBTOTAL(109,Table4[‌ကော်မရှင်])</f>
        <v>0</v>
      </c>
      <c r="AB1316" s="72"/>
      <c r="AC1316" s="72">
        <f>SUBTOTAL(109,Table4[ကြွေးရငွေ])</f>
        <v>5751000</v>
      </c>
      <c r="AD1316" s="72"/>
      <c r="AE1316" s="72">
        <f>SUBTOTAL(109,Table4[ကြွေးရငွေ2])</f>
        <v>0</v>
      </c>
      <c r="AF1316" s="72">
        <f>SUBTOTAL(109,Table4[အကြွေးကျန်2])</f>
        <v>290650350</v>
      </c>
      <c r="AH1316" s="266"/>
      <c r="AI1316" s="264"/>
      <c r="AJ1316" s="264"/>
      <c r="AK1316" s="270"/>
      <c r="AL1316" s="270"/>
      <c r="AM1316" s="271"/>
      <c r="AN1316" s="272"/>
      <c r="AO1316" s="273"/>
      <c r="AP1316" s="268"/>
      <c r="AQ1316" s="268">
        <f>SUM(AQ2:AQ1315)</f>
        <v>508841</v>
      </c>
      <c r="AR1316" s="268"/>
    </row>
    <row r="1318" spans="1:44" x14ac:dyDescent="0.5">
      <c r="U1318" s="11" t="s">
        <v>490</v>
      </c>
    </row>
    <row r="1322" spans="1:44" x14ac:dyDescent="0.5">
      <c r="S1322" s="60" t="s">
        <v>490</v>
      </c>
    </row>
    <row r="1323" spans="1:44" x14ac:dyDescent="0.5">
      <c r="O1323" s="50"/>
    </row>
    <row r="1326" spans="1:44" ht="19.5" customHeight="1" x14ac:dyDescent="0.5"/>
    <row r="1328" spans="1:44" ht="17.25" customHeight="1" x14ac:dyDescent="0.5">
      <c r="L1328" s="79"/>
      <c r="M1328" s="13" t="s">
        <v>512</v>
      </c>
    </row>
  </sheetData>
  <dataConsolidate/>
  <phoneticPr fontId="14" type="noConversion"/>
  <dataValidations count="1">
    <dataValidation type="list" allowBlank="1" showInputMessage="1" showErrorMessage="1" sqref="N1" xr:uid="{62C47BD1-6682-4915-82E8-CFB22E8D260E}">
      <formula1>$A$14248:$A$14349</formula1>
    </dataValidation>
  </dataValidations>
  <pageMargins left="0.7" right="0.7" top="0.75" bottom="0.75" header="0.3" footer="0.3"/>
  <pageSetup paperSize="9" scale="17" orientation="portrait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286A25-3A66-425B-A109-87F131C5FFB1}">
          <x14:formula1>
            <xm:f>Table!$Q$2:$Q$5</xm:f>
          </x14:formula1>
          <xm:sqref>H2:H1315</xm:sqref>
        </x14:dataValidation>
        <x14:dataValidation type="list" allowBlank="1" showInputMessage="1" showErrorMessage="1" xr:uid="{793B2F39-C11D-4E62-A091-3EFA3B4A9863}">
          <x14:formula1>
            <xm:f>Table!$O$2:$O$11</xm:f>
          </x14:formula1>
          <xm:sqref>M2:M1315</xm:sqref>
        </x14:dataValidation>
        <x14:dataValidation type="list" allowBlank="1" showInputMessage="1" showErrorMessage="1" xr:uid="{714BD98F-1230-4EC2-9DB9-22D375C29B22}">
          <x14:formula1>
            <xm:f>Table!$I$2:$I$365</xm:f>
          </x14:formula1>
          <xm:sqref>I2:I1315</xm:sqref>
        </x14:dataValidation>
        <x14:dataValidation type="list" allowBlank="1" showInputMessage="1" showErrorMessage="1" xr:uid="{70608044-8825-442D-B6AA-F3F865315495}">
          <x14:formula1>
            <xm:f>Table!$A$2:$A$68</xm:f>
          </x14:formula1>
          <xm:sqref>N2:N1089 N1091:N1315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C8DF9-DDD0-0046-A4F9-7FD787397098}">
  <dimension ref="A1:D289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I23" sqref="I23"/>
    </sheetView>
  </sheetViews>
  <sheetFormatPr defaultColWidth="11.42578125" defaultRowHeight="15" x14ac:dyDescent="0.25"/>
  <cols>
    <col min="1" max="1" width="27" bestFit="1" customWidth="1"/>
    <col min="2" max="2" width="17.42578125" style="276" bestFit="1" customWidth="1"/>
    <col min="3" max="3" width="16.7109375" style="276" bestFit="1" customWidth="1"/>
    <col min="4" max="4" width="17.5703125" style="276" bestFit="1" customWidth="1"/>
    <col min="5" max="5" width="17.42578125" bestFit="1" customWidth="1"/>
  </cols>
  <sheetData>
    <row r="1" spans="1:4" x14ac:dyDescent="0.25">
      <c r="A1" s="275" t="s">
        <v>1012</v>
      </c>
      <c r="B1" t="s">
        <v>1026</v>
      </c>
    </row>
    <row r="2" spans="1:4" x14ac:dyDescent="0.25">
      <c r="A2" s="275" t="s">
        <v>5</v>
      </c>
      <c r="B2" t="s">
        <v>1026</v>
      </c>
    </row>
    <row r="3" spans="1:4" x14ac:dyDescent="0.25">
      <c r="A3" s="275" t="s">
        <v>1013</v>
      </c>
      <c r="B3" t="s">
        <v>1026</v>
      </c>
    </row>
    <row r="4" spans="1:4" x14ac:dyDescent="0.25">
      <c r="A4" s="275" t="s">
        <v>15</v>
      </c>
      <c r="B4" t="s">
        <v>1024</v>
      </c>
    </row>
    <row r="5" spans="1:4" x14ac:dyDescent="0.25">
      <c r="A5" s="275" t="s">
        <v>0</v>
      </c>
      <c r="B5" t="s">
        <v>1026</v>
      </c>
    </row>
    <row r="6" spans="1:4" x14ac:dyDescent="0.25">
      <c r="A6" s="275" t="s">
        <v>14</v>
      </c>
      <c r="B6" t="s">
        <v>1025</v>
      </c>
    </row>
    <row r="8" spans="1:4" x14ac:dyDescent="0.25">
      <c r="B8" s="275" t="s">
        <v>1021</v>
      </c>
      <c r="C8"/>
      <c r="D8"/>
    </row>
    <row r="9" spans="1:4" x14ac:dyDescent="0.25">
      <c r="A9" s="275" t="s">
        <v>966</v>
      </c>
      <c r="B9" t="s">
        <v>1023</v>
      </c>
      <c r="C9" t="s">
        <v>1022</v>
      </c>
      <c r="D9" t="s">
        <v>1019</v>
      </c>
    </row>
    <row r="10" spans="1:4" x14ac:dyDescent="0.25">
      <c r="A10">
        <v>155</v>
      </c>
      <c r="B10">
        <v>15</v>
      </c>
      <c r="C10">
        <v>15</v>
      </c>
      <c r="D10">
        <v>1.25</v>
      </c>
    </row>
    <row r="11" spans="1:4" x14ac:dyDescent="0.25">
      <c r="A11" t="s">
        <v>350</v>
      </c>
      <c r="B11">
        <v>3112</v>
      </c>
      <c r="C11">
        <v>4120</v>
      </c>
      <c r="D11">
        <v>310</v>
      </c>
    </row>
    <row r="12" spans="1:4" x14ac:dyDescent="0.25">
      <c r="A12" t="s">
        <v>254</v>
      </c>
      <c r="B12">
        <v>448</v>
      </c>
      <c r="C12">
        <v>700</v>
      </c>
      <c r="D12">
        <v>50</v>
      </c>
    </row>
    <row r="13" spans="1:4" x14ac:dyDescent="0.25">
      <c r="A13" t="s">
        <v>296</v>
      </c>
      <c r="B13">
        <v>1092</v>
      </c>
      <c r="C13">
        <v>1470</v>
      </c>
      <c r="D13">
        <v>110</v>
      </c>
    </row>
    <row r="14" spans="1:4" x14ac:dyDescent="0.25">
      <c r="A14" t="s">
        <v>376</v>
      </c>
      <c r="B14">
        <v>3</v>
      </c>
      <c r="C14">
        <v>3</v>
      </c>
      <c r="D14">
        <v>0.25</v>
      </c>
    </row>
    <row r="15" spans="1:4" x14ac:dyDescent="0.25">
      <c r="A15" t="s">
        <v>792</v>
      </c>
      <c r="B15">
        <v>3.5</v>
      </c>
      <c r="C15">
        <v>5</v>
      </c>
      <c r="D15">
        <v>0.41666666666666669</v>
      </c>
    </row>
    <row r="16" spans="1:4" x14ac:dyDescent="0.25">
      <c r="A16" t="s">
        <v>696</v>
      </c>
      <c r="B16">
        <v>89.600000000000009</v>
      </c>
      <c r="C16">
        <v>140</v>
      </c>
      <c r="D16">
        <v>10</v>
      </c>
    </row>
    <row r="17" spans="1:4" x14ac:dyDescent="0.25">
      <c r="A17" t="s">
        <v>267</v>
      </c>
      <c r="B17">
        <v>53.92</v>
      </c>
      <c r="C17">
        <v>64</v>
      </c>
      <c r="D17">
        <v>5</v>
      </c>
    </row>
    <row r="18" spans="1:4" x14ac:dyDescent="0.25">
      <c r="A18" t="s">
        <v>748</v>
      </c>
      <c r="B18">
        <v>12.4</v>
      </c>
      <c r="C18">
        <v>16</v>
      </c>
      <c r="D18">
        <v>1.2142857142857144</v>
      </c>
    </row>
    <row r="19" spans="1:4" x14ac:dyDescent="0.25">
      <c r="A19" t="s">
        <v>77</v>
      </c>
      <c r="B19">
        <v>66</v>
      </c>
      <c r="C19">
        <v>66</v>
      </c>
      <c r="D19">
        <v>5.5</v>
      </c>
    </row>
    <row r="20" spans="1:4" x14ac:dyDescent="0.25">
      <c r="A20" t="s">
        <v>722</v>
      </c>
      <c r="B20">
        <v>5.0999999999999996</v>
      </c>
      <c r="C20">
        <v>6</v>
      </c>
      <c r="D20">
        <v>0.49999999999999994</v>
      </c>
    </row>
    <row r="21" spans="1:4" x14ac:dyDescent="0.25">
      <c r="A21" t="s">
        <v>78</v>
      </c>
      <c r="B21">
        <v>132</v>
      </c>
      <c r="C21">
        <v>132</v>
      </c>
      <c r="D21">
        <v>11</v>
      </c>
    </row>
    <row r="22" spans="1:4" x14ac:dyDescent="0.25">
      <c r="A22" t="s">
        <v>79</v>
      </c>
      <c r="B22">
        <v>144</v>
      </c>
      <c r="C22">
        <v>144</v>
      </c>
      <c r="D22">
        <v>12</v>
      </c>
    </row>
    <row r="23" spans="1:4" x14ac:dyDescent="0.25">
      <c r="A23" t="s">
        <v>141</v>
      </c>
      <c r="B23">
        <v>26.95</v>
      </c>
      <c r="C23">
        <v>77</v>
      </c>
      <c r="D23">
        <v>2.5416666666666665</v>
      </c>
    </row>
    <row r="24" spans="1:4" x14ac:dyDescent="0.25">
      <c r="A24" t="s">
        <v>76</v>
      </c>
      <c r="B24">
        <v>896</v>
      </c>
      <c r="C24">
        <v>1400</v>
      </c>
      <c r="D24">
        <v>100</v>
      </c>
    </row>
    <row r="25" spans="1:4" x14ac:dyDescent="0.25">
      <c r="A25" t="s">
        <v>292</v>
      </c>
      <c r="B25">
        <v>89.600000000000009</v>
      </c>
      <c r="C25">
        <v>140</v>
      </c>
      <c r="D25">
        <v>10</v>
      </c>
    </row>
    <row r="26" spans="1:4" x14ac:dyDescent="0.25">
      <c r="A26" t="s">
        <v>391</v>
      </c>
      <c r="B26">
        <v>67132</v>
      </c>
      <c r="C26">
        <v>85150</v>
      </c>
      <c r="D26">
        <v>6500</v>
      </c>
    </row>
    <row r="27" spans="1:4" x14ac:dyDescent="0.25">
      <c r="A27" t="s">
        <v>280</v>
      </c>
      <c r="B27">
        <v>179.20000000000002</v>
      </c>
      <c r="C27">
        <v>280</v>
      </c>
      <c r="D27">
        <v>20</v>
      </c>
    </row>
    <row r="28" spans="1:4" x14ac:dyDescent="0.25">
      <c r="A28" t="s">
        <v>366</v>
      </c>
      <c r="B28">
        <v>3600</v>
      </c>
      <c r="C28">
        <v>3600</v>
      </c>
      <c r="D28">
        <v>300</v>
      </c>
    </row>
    <row r="29" spans="1:4" x14ac:dyDescent="0.25">
      <c r="A29" t="s">
        <v>313</v>
      </c>
      <c r="B29">
        <v>209.68</v>
      </c>
      <c r="C29">
        <v>250</v>
      </c>
      <c r="D29">
        <v>19.5</v>
      </c>
    </row>
    <row r="30" spans="1:4" x14ac:dyDescent="0.25">
      <c r="A30" t="s">
        <v>310</v>
      </c>
      <c r="B30">
        <v>3196.8</v>
      </c>
      <c r="C30">
        <v>4860</v>
      </c>
      <c r="D30">
        <v>350</v>
      </c>
    </row>
    <row r="31" spans="1:4" x14ac:dyDescent="0.25">
      <c r="A31" t="s">
        <v>304</v>
      </c>
      <c r="B31">
        <v>224</v>
      </c>
      <c r="C31">
        <v>350</v>
      </c>
      <c r="D31">
        <v>25</v>
      </c>
    </row>
    <row r="32" spans="1:4" x14ac:dyDescent="0.25">
      <c r="A32" t="s">
        <v>327</v>
      </c>
      <c r="B32">
        <v>4040</v>
      </c>
      <c r="C32">
        <v>5300</v>
      </c>
      <c r="D32">
        <v>400</v>
      </c>
    </row>
    <row r="33" spans="1:4" x14ac:dyDescent="0.25">
      <c r="A33" t="s">
        <v>394</v>
      </c>
      <c r="B33">
        <v>4336</v>
      </c>
      <c r="C33">
        <v>6100</v>
      </c>
      <c r="D33">
        <v>450</v>
      </c>
    </row>
    <row r="34" spans="1:4" x14ac:dyDescent="0.25">
      <c r="A34" t="s">
        <v>371</v>
      </c>
      <c r="B34">
        <v>6896</v>
      </c>
      <c r="C34">
        <v>7400</v>
      </c>
      <c r="D34">
        <v>600</v>
      </c>
    </row>
    <row r="35" spans="1:4" x14ac:dyDescent="0.25">
      <c r="A35" t="s">
        <v>433</v>
      </c>
      <c r="B35">
        <v>229</v>
      </c>
      <c r="C35">
        <v>355</v>
      </c>
      <c r="D35">
        <v>25.416666666666664</v>
      </c>
    </row>
    <row r="36" spans="1:4" x14ac:dyDescent="0.25">
      <c r="A36" t="s">
        <v>375</v>
      </c>
      <c r="B36">
        <v>2004.8</v>
      </c>
      <c r="C36">
        <v>2660</v>
      </c>
      <c r="D36">
        <v>200</v>
      </c>
    </row>
    <row r="37" spans="1:4" x14ac:dyDescent="0.25">
      <c r="A37" t="s">
        <v>348</v>
      </c>
      <c r="B37">
        <v>89.600000000000009</v>
      </c>
      <c r="C37">
        <v>140</v>
      </c>
      <c r="D37">
        <v>10</v>
      </c>
    </row>
    <row r="38" spans="1:4" x14ac:dyDescent="0.25">
      <c r="A38" t="s">
        <v>328</v>
      </c>
      <c r="B38">
        <v>4176</v>
      </c>
      <c r="C38">
        <v>5310</v>
      </c>
      <c r="D38">
        <v>405</v>
      </c>
    </row>
    <row r="39" spans="1:4" x14ac:dyDescent="0.25">
      <c r="A39" t="s">
        <v>401</v>
      </c>
      <c r="B39">
        <v>896</v>
      </c>
      <c r="C39">
        <v>1400</v>
      </c>
      <c r="D39">
        <v>100</v>
      </c>
    </row>
    <row r="40" spans="1:4" x14ac:dyDescent="0.25">
      <c r="A40" t="s">
        <v>230</v>
      </c>
      <c r="B40">
        <v>2392</v>
      </c>
      <c r="C40">
        <v>3400</v>
      </c>
      <c r="D40">
        <v>250</v>
      </c>
    </row>
    <row r="41" spans="1:4" x14ac:dyDescent="0.25">
      <c r="A41" t="s">
        <v>357</v>
      </c>
      <c r="B41">
        <v>9508.7999999999993</v>
      </c>
      <c r="C41">
        <v>9660</v>
      </c>
      <c r="D41">
        <v>800</v>
      </c>
    </row>
    <row r="42" spans="1:4" x14ac:dyDescent="0.25">
      <c r="A42" t="s">
        <v>351</v>
      </c>
      <c r="B42">
        <v>179.20000000000002</v>
      </c>
      <c r="C42">
        <v>280</v>
      </c>
      <c r="D42">
        <v>20</v>
      </c>
    </row>
    <row r="43" spans="1:4" x14ac:dyDescent="0.25">
      <c r="A43" t="s">
        <v>531</v>
      </c>
      <c r="B43">
        <v>3600</v>
      </c>
      <c r="C43">
        <v>3600</v>
      </c>
      <c r="D43">
        <v>300</v>
      </c>
    </row>
    <row r="44" spans="1:4" x14ac:dyDescent="0.25">
      <c r="A44" t="s">
        <v>481</v>
      </c>
      <c r="B44">
        <v>644.79999999999995</v>
      </c>
      <c r="C44">
        <v>670</v>
      </c>
      <c r="D44">
        <v>55</v>
      </c>
    </row>
    <row r="45" spans="1:4" x14ac:dyDescent="0.25">
      <c r="A45" t="s">
        <v>452</v>
      </c>
      <c r="B45">
        <v>960</v>
      </c>
      <c r="C45">
        <v>960</v>
      </c>
      <c r="D45">
        <v>80</v>
      </c>
    </row>
    <row r="46" spans="1:4" x14ac:dyDescent="0.25">
      <c r="A46" t="s">
        <v>268</v>
      </c>
      <c r="B46">
        <v>209.60000000000002</v>
      </c>
      <c r="C46">
        <v>260</v>
      </c>
      <c r="D46">
        <v>20</v>
      </c>
    </row>
    <row r="47" spans="1:4" x14ac:dyDescent="0.25">
      <c r="A47" t="s">
        <v>203</v>
      </c>
      <c r="B47">
        <v>1827.84</v>
      </c>
      <c r="C47">
        <v>2856</v>
      </c>
      <c r="D47">
        <v>204</v>
      </c>
    </row>
    <row r="48" spans="1:4" x14ac:dyDescent="0.25">
      <c r="A48" t="s">
        <v>206</v>
      </c>
      <c r="B48">
        <v>448</v>
      </c>
      <c r="C48">
        <v>700</v>
      </c>
      <c r="D48">
        <v>50</v>
      </c>
    </row>
    <row r="49" spans="1:4" x14ac:dyDescent="0.25">
      <c r="A49" t="s">
        <v>473</v>
      </c>
      <c r="B49">
        <v>132</v>
      </c>
      <c r="C49">
        <v>132</v>
      </c>
      <c r="D49">
        <v>11</v>
      </c>
    </row>
    <row r="50" spans="1:4" x14ac:dyDescent="0.25">
      <c r="A50" t="s">
        <v>727</v>
      </c>
      <c r="B50">
        <v>3</v>
      </c>
      <c r="C50">
        <v>3</v>
      </c>
      <c r="D50">
        <v>0.25</v>
      </c>
    </row>
    <row r="51" spans="1:4" x14ac:dyDescent="0.25">
      <c r="A51" t="s">
        <v>264</v>
      </c>
      <c r="B51">
        <v>4</v>
      </c>
      <c r="C51">
        <v>4</v>
      </c>
      <c r="D51">
        <v>0.33333333333333331</v>
      </c>
    </row>
    <row r="52" spans="1:4" x14ac:dyDescent="0.25">
      <c r="A52" t="s">
        <v>248</v>
      </c>
      <c r="B52">
        <v>600</v>
      </c>
      <c r="C52">
        <v>600</v>
      </c>
      <c r="D52">
        <v>50</v>
      </c>
    </row>
    <row r="53" spans="1:4" x14ac:dyDescent="0.25">
      <c r="A53" t="s">
        <v>317</v>
      </c>
      <c r="B53">
        <v>6</v>
      </c>
      <c r="C53">
        <v>6</v>
      </c>
      <c r="D53">
        <v>0.5</v>
      </c>
    </row>
    <row r="54" spans="1:4" x14ac:dyDescent="0.25">
      <c r="A54" t="s">
        <v>411</v>
      </c>
      <c r="B54">
        <v>1876</v>
      </c>
      <c r="C54">
        <v>2920</v>
      </c>
      <c r="D54">
        <v>210</v>
      </c>
    </row>
    <row r="55" spans="1:4" x14ac:dyDescent="0.25">
      <c r="A55" t="s">
        <v>204</v>
      </c>
      <c r="B55">
        <v>44.800000000000004</v>
      </c>
      <c r="C55">
        <v>70</v>
      </c>
      <c r="D55">
        <v>5</v>
      </c>
    </row>
    <row r="56" spans="1:4" x14ac:dyDescent="0.25">
      <c r="A56" t="s">
        <v>428</v>
      </c>
      <c r="B56">
        <v>716.8</v>
      </c>
      <c r="C56">
        <v>1120</v>
      </c>
      <c r="D56">
        <v>80</v>
      </c>
    </row>
    <row r="57" spans="1:4" x14ac:dyDescent="0.25">
      <c r="A57" t="s">
        <v>443</v>
      </c>
      <c r="B57">
        <v>7296</v>
      </c>
      <c r="C57">
        <v>11400</v>
      </c>
      <c r="D57">
        <v>600</v>
      </c>
    </row>
    <row r="58" spans="1:4" x14ac:dyDescent="0.25">
      <c r="A58" t="s">
        <v>396</v>
      </c>
      <c r="B58">
        <v>31120</v>
      </c>
      <c r="C58">
        <v>41200</v>
      </c>
      <c r="D58">
        <v>3100</v>
      </c>
    </row>
    <row r="59" spans="1:4" x14ac:dyDescent="0.25">
      <c r="A59" t="s">
        <v>409</v>
      </c>
      <c r="B59">
        <v>120</v>
      </c>
      <c r="C59">
        <v>120</v>
      </c>
      <c r="D59">
        <v>10</v>
      </c>
    </row>
    <row r="60" spans="1:4" x14ac:dyDescent="0.25">
      <c r="A60" t="s">
        <v>403</v>
      </c>
      <c r="B60">
        <v>1408</v>
      </c>
      <c r="C60">
        <v>1660</v>
      </c>
      <c r="D60">
        <v>130</v>
      </c>
    </row>
    <row r="61" spans="1:4" x14ac:dyDescent="0.25">
      <c r="A61" t="s">
        <v>429</v>
      </c>
      <c r="B61">
        <v>179.20000000000002</v>
      </c>
      <c r="C61">
        <v>280</v>
      </c>
      <c r="D61">
        <v>20</v>
      </c>
    </row>
    <row r="62" spans="1:4" x14ac:dyDescent="0.25">
      <c r="A62" t="s">
        <v>324</v>
      </c>
      <c r="B62">
        <v>10480</v>
      </c>
      <c r="C62">
        <v>13000</v>
      </c>
      <c r="D62">
        <v>1000</v>
      </c>
    </row>
    <row r="63" spans="1:4" x14ac:dyDescent="0.25">
      <c r="A63" t="s">
        <v>794</v>
      </c>
      <c r="B63">
        <v>312.15999999999997</v>
      </c>
      <c r="C63">
        <v>337</v>
      </c>
      <c r="D63">
        <v>27.5</v>
      </c>
    </row>
    <row r="64" spans="1:4" x14ac:dyDescent="0.25">
      <c r="A64" t="s">
        <v>730</v>
      </c>
      <c r="B64">
        <v>24</v>
      </c>
      <c r="C64">
        <v>24</v>
      </c>
      <c r="D64">
        <v>2</v>
      </c>
    </row>
    <row r="65" spans="1:4" x14ac:dyDescent="0.25">
      <c r="A65" t="s">
        <v>747</v>
      </c>
      <c r="B65">
        <v>3</v>
      </c>
      <c r="C65">
        <v>3</v>
      </c>
      <c r="D65">
        <v>0.25</v>
      </c>
    </row>
    <row r="66" spans="1:4" x14ac:dyDescent="0.25">
      <c r="A66" t="s">
        <v>232</v>
      </c>
      <c r="B66">
        <v>2400</v>
      </c>
      <c r="C66">
        <v>2400</v>
      </c>
      <c r="D66">
        <v>200</v>
      </c>
    </row>
    <row r="67" spans="1:4" x14ac:dyDescent="0.25">
      <c r="A67" t="s">
        <v>227</v>
      </c>
      <c r="B67">
        <v>44.800000000000004</v>
      </c>
      <c r="C67">
        <v>70</v>
      </c>
      <c r="D67">
        <v>5</v>
      </c>
    </row>
    <row r="68" spans="1:4" x14ac:dyDescent="0.25">
      <c r="A68" t="s">
        <v>330</v>
      </c>
      <c r="B68">
        <v>582.40000000000009</v>
      </c>
      <c r="C68">
        <v>910</v>
      </c>
      <c r="D68">
        <v>65</v>
      </c>
    </row>
    <row r="69" spans="1:4" x14ac:dyDescent="0.25">
      <c r="A69" t="s">
        <v>290</v>
      </c>
      <c r="B69">
        <v>278.88</v>
      </c>
      <c r="C69">
        <v>294</v>
      </c>
      <c r="D69">
        <v>24</v>
      </c>
    </row>
    <row r="70" spans="1:4" x14ac:dyDescent="0.25">
      <c r="A70" t="s">
        <v>233</v>
      </c>
      <c r="B70">
        <v>6000</v>
      </c>
      <c r="C70">
        <v>6000</v>
      </c>
      <c r="D70">
        <v>500</v>
      </c>
    </row>
    <row r="71" spans="1:4" x14ac:dyDescent="0.25">
      <c r="A71" t="s">
        <v>345</v>
      </c>
      <c r="B71">
        <v>840</v>
      </c>
      <c r="C71">
        <v>840</v>
      </c>
      <c r="D71">
        <v>70</v>
      </c>
    </row>
    <row r="72" spans="1:4" x14ac:dyDescent="0.25">
      <c r="A72" t="s">
        <v>284</v>
      </c>
      <c r="B72">
        <v>240</v>
      </c>
      <c r="C72">
        <v>240</v>
      </c>
      <c r="D72">
        <v>20</v>
      </c>
    </row>
    <row r="73" spans="1:4" x14ac:dyDescent="0.25">
      <c r="A73" t="s">
        <v>453</v>
      </c>
      <c r="B73">
        <v>43.879999999999995</v>
      </c>
      <c r="C73">
        <v>59</v>
      </c>
      <c r="D73">
        <v>4.4166666666666661</v>
      </c>
    </row>
    <row r="74" spans="1:4" x14ac:dyDescent="0.25">
      <c r="A74" t="s">
        <v>309</v>
      </c>
      <c r="B74">
        <v>1335.04</v>
      </c>
      <c r="C74">
        <v>2086</v>
      </c>
      <c r="D74">
        <v>149</v>
      </c>
    </row>
    <row r="75" spans="1:4" x14ac:dyDescent="0.25">
      <c r="A75" t="s">
        <v>182</v>
      </c>
      <c r="B75">
        <v>3156.16</v>
      </c>
      <c r="C75">
        <v>4594</v>
      </c>
      <c r="D75">
        <v>321</v>
      </c>
    </row>
    <row r="76" spans="1:4" x14ac:dyDescent="0.25">
      <c r="A76" t="s">
        <v>923</v>
      </c>
      <c r="B76">
        <v>896</v>
      </c>
      <c r="C76">
        <v>1400</v>
      </c>
      <c r="D76">
        <v>100</v>
      </c>
    </row>
    <row r="77" spans="1:4" x14ac:dyDescent="0.25">
      <c r="A77" t="s">
        <v>729</v>
      </c>
      <c r="B77">
        <v>26</v>
      </c>
      <c r="C77">
        <v>26</v>
      </c>
      <c r="D77">
        <v>2.166666666666667</v>
      </c>
    </row>
    <row r="78" spans="1:4" x14ac:dyDescent="0.25">
      <c r="A78" t="s">
        <v>183</v>
      </c>
      <c r="B78">
        <v>840</v>
      </c>
      <c r="C78">
        <v>1200</v>
      </c>
      <c r="D78">
        <v>100</v>
      </c>
    </row>
    <row r="79" spans="1:4" x14ac:dyDescent="0.25">
      <c r="A79" t="s">
        <v>323</v>
      </c>
      <c r="B79">
        <v>5300.8</v>
      </c>
      <c r="C79">
        <v>6460</v>
      </c>
      <c r="D79">
        <v>500</v>
      </c>
    </row>
    <row r="80" spans="1:4" x14ac:dyDescent="0.25">
      <c r="A80" t="s">
        <v>728</v>
      </c>
      <c r="B80">
        <v>3</v>
      </c>
      <c r="C80">
        <v>3</v>
      </c>
      <c r="D80">
        <v>0.25</v>
      </c>
    </row>
    <row r="81" spans="1:4" x14ac:dyDescent="0.25">
      <c r="A81" t="s">
        <v>791</v>
      </c>
      <c r="B81">
        <v>2.8</v>
      </c>
      <c r="C81">
        <v>4</v>
      </c>
      <c r="D81">
        <v>0.33333333333333331</v>
      </c>
    </row>
    <row r="82" spans="1:4" x14ac:dyDescent="0.25">
      <c r="A82" t="s">
        <v>418</v>
      </c>
      <c r="B82">
        <v>2396</v>
      </c>
      <c r="C82">
        <v>2900</v>
      </c>
      <c r="D82">
        <v>225</v>
      </c>
    </row>
    <row r="83" spans="1:4" x14ac:dyDescent="0.25">
      <c r="A83" t="s">
        <v>279</v>
      </c>
      <c r="B83">
        <v>325.60000000000002</v>
      </c>
      <c r="C83">
        <v>502</v>
      </c>
      <c r="D83">
        <v>36</v>
      </c>
    </row>
    <row r="84" spans="1:4" x14ac:dyDescent="0.25">
      <c r="A84" t="s">
        <v>283</v>
      </c>
      <c r="B84">
        <v>224</v>
      </c>
      <c r="C84">
        <v>350</v>
      </c>
      <c r="D84">
        <v>25</v>
      </c>
    </row>
    <row r="85" spans="1:4" x14ac:dyDescent="0.25">
      <c r="A85" t="s">
        <v>648</v>
      </c>
      <c r="B85">
        <v>224</v>
      </c>
      <c r="C85">
        <v>350</v>
      </c>
      <c r="D85">
        <v>25</v>
      </c>
    </row>
    <row r="86" spans="1:4" x14ac:dyDescent="0.25">
      <c r="A86" t="s">
        <v>333</v>
      </c>
      <c r="B86">
        <v>1048</v>
      </c>
      <c r="C86">
        <v>1300</v>
      </c>
      <c r="D86">
        <v>100</v>
      </c>
    </row>
    <row r="87" spans="1:4" x14ac:dyDescent="0.25">
      <c r="A87" t="s">
        <v>796</v>
      </c>
      <c r="B87">
        <v>7</v>
      </c>
      <c r="C87">
        <v>7</v>
      </c>
      <c r="D87">
        <v>0.58333333333333337</v>
      </c>
    </row>
    <row r="88" spans="1:4" x14ac:dyDescent="0.25">
      <c r="A88" t="s">
        <v>356</v>
      </c>
      <c r="B88">
        <v>896</v>
      </c>
      <c r="C88">
        <v>1400</v>
      </c>
      <c r="D88">
        <v>100</v>
      </c>
    </row>
    <row r="89" spans="1:4" x14ac:dyDescent="0.25">
      <c r="A89" t="s">
        <v>326</v>
      </c>
      <c r="B89">
        <v>6302.08</v>
      </c>
      <c r="C89">
        <v>9820</v>
      </c>
      <c r="D89">
        <v>432</v>
      </c>
    </row>
    <row r="90" spans="1:4" x14ac:dyDescent="0.25">
      <c r="A90" t="s">
        <v>259</v>
      </c>
      <c r="B90">
        <v>2440</v>
      </c>
      <c r="C90">
        <v>2960</v>
      </c>
      <c r="D90">
        <v>200</v>
      </c>
    </row>
    <row r="91" spans="1:4" x14ac:dyDescent="0.25">
      <c r="A91" t="s">
        <v>764</v>
      </c>
      <c r="B91">
        <v>9</v>
      </c>
      <c r="C91">
        <v>9</v>
      </c>
      <c r="D91">
        <v>0.75</v>
      </c>
    </row>
    <row r="92" spans="1:4" x14ac:dyDescent="0.25">
      <c r="A92" t="s">
        <v>399</v>
      </c>
      <c r="B92">
        <v>2096</v>
      </c>
      <c r="C92">
        <v>2600</v>
      </c>
      <c r="D92">
        <v>200</v>
      </c>
    </row>
    <row r="93" spans="1:4" x14ac:dyDescent="0.25">
      <c r="A93" t="s">
        <v>81</v>
      </c>
      <c r="B93">
        <v>44.800000000000004</v>
      </c>
      <c r="C93">
        <v>70</v>
      </c>
      <c r="D93">
        <v>5</v>
      </c>
    </row>
    <row r="94" spans="1:4" x14ac:dyDescent="0.25">
      <c r="A94" t="s">
        <v>488</v>
      </c>
      <c r="B94">
        <v>215.20000000000002</v>
      </c>
      <c r="C94">
        <v>316</v>
      </c>
      <c r="D94">
        <v>23</v>
      </c>
    </row>
    <row r="95" spans="1:4" x14ac:dyDescent="0.25">
      <c r="A95" t="s">
        <v>509</v>
      </c>
      <c r="B95">
        <v>896</v>
      </c>
      <c r="C95">
        <v>1400</v>
      </c>
      <c r="D95">
        <v>100</v>
      </c>
    </row>
    <row r="96" spans="1:4" x14ac:dyDescent="0.25">
      <c r="A96" t="s">
        <v>300</v>
      </c>
      <c r="B96">
        <v>60</v>
      </c>
      <c r="C96">
        <v>60</v>
      </c>
      <c r="D96">
        <v>5</v>
      </c>
    </row>
    <row r="97" spans="1:4" x14ac:dyDescent="0.25">
      <c r="A97" t="s">
        <v>320</v>
      </c>
      <c r="B97">
        <v>600</v>
      </c>
      <c r="C97">
        <v>600</v>
      </c>
      <c r="D97">
        <v>50</v>
      </c>
    </row>
    <row r="98" spans="1:4" x14ac:dyDescent="0.25">
      <c r="A98" t="s">
        <v>305</v>
      </c>
      <c r="B98">
        <v>2096</v>
      </c>
      <c r="C98">
        <v>2600</v>
      </c>
      <c r="D98">
        <v>200</v>
      </c>
    </row>
    <row r="99" spans="1:4" x14ac:dyDescent="0.25">
      <c r="A99" t="s">
        <v>427</v>
      </c>
      <c r="B99">
        <v>344.8</v>
      </c>
      <c r="C99">
        <v>370</v>
      </c>
      <c r="D99">
        <v>30</v>
      </c>
    </row>
    <row r="100" spans="1:4" x14ac:dyDescent="0.25">
      <c r="A100" t="s">
        <v>1093</v>
      </c>
      <c r="B100">
        <v>292.8</v>
      </c>
      <c r="C100">
        <v>444</v>
      </c>
      <c r="D100">
        <v>32</v>
      </c>
    </row>
    <row r="101" spans="1:4" x14ac:dyDescent="0.25">
      <c r="A101" t="s">
        <v>308</v>
      </c>
      <c r="B101">
        <v>448</v>
      </c>
      <c r="C101">
        <v>700</v>
      </c>
      <c r="D101">
        <v>50</v>
      </c>
    </row>
    <row r="102" spans="1:4" x14ac:dyDescent="0.25">
      <c r="A102" t="s">
        <v>354</v>
      </c>
      <c r="B102">
        <v>120</v>
      </c>
      <c r="C102">
        <v>120</v>
      </c>
      <c r="D102">
        <v>10</v>
      </c>
    </row>
    <row r="103" spans="1:4" x14ac:dyDescent="0.25">
      <c r="A103" t="s">
        <v>1110</v>
      </c>
      <c r="B103">
        <v>600</v>
      </c>
      <c r="C103">
        <v>600</v>
      </c>
      <c r="D103">
        <v>50</v>
      </c>
    </row>
    <row r="104" spans="1:4" x14ac:dyDescent="0.25">
      <c r="A104" t="s">
        <v>1116</v>
      </c>
      <c r="B104">
        <v>61</v>
      </c>
      <c r="C104">
        <v>61</v>
      </c>
      <c r="D104">
        <v>5.083333333333333</v>
      </c>
    </row>
    <row r="105" spans="1:4" x14ac:dyDescent="0.25">
      <c r="A105" t="s">
        <v>256</v>
      </c>
      <c r="B105">
        <v>10.92</v>
      </c>
      <c r="C105">
        <v>12</v>
      </c>
      <c r="D105">
        <v>0.9642857142857143</v>
      </c>
    </row>
    <row r="106" spans="1:4" x14ac:dyDescent="0.25">
      <c r="A106" t="s">
        <v>1121</v>
      </c>
      <c r="B106">
        <v>7.92</v>
      </c>
      <c r="C106">
        <v>9</v>
      </c>
      <c r="D106">
        <v>0.7142857142857143</v>
      </c>
    </row>
    <row r="107" spans="1:4" x14ac:dyDescent="0.25">
      <c r="A107" t="s">
        <v>1118</v>
      </c>
      <c r="B107">
        <v>3</v>
      </c>
      <c r="C107">
        <v>3</v>
      </c>
      <c r="D107">
        <v>0.25</v>
      </c>
    </row>
    <row r="108" spans="1:4" x14ac:dyDescent="0.25">
      <c r="A108" t="s">
        <v>75</v>
      </c>
      <c r="B108">
        <v>539.20000000000005</v>
      </c>
      <c r="C108">
        <v>640</v>
      </c>
      <c r="D108">
        <v>50</v>
      </c>
    </row>
    <row r="109" spans="1:4" x14ac:dyDescent="0.25">
      <c r="A109" t="s">
        <v>1133</v>
      </c>
      <c r="B109">
        <v>89.600000000000009</v>
      </c>
      <c r="C109">
        <v>140</v>
      </c>
      <c r="D109">
        <v>10</v>
      </c>
    </row>
    <row r="110" spans="1:4" x14ac:dyDescent="0.25">
      <c r="A110" t="s">
        <v>312</v>
      </c>
      <c r="B110">
        <v>896</v>
      </c>
      <c r="C110">
        <v>1400</v>
      </c>
      <c r="D110">
        <v>100</v>
      </c>
    </row>
    <row r="111" spans="1:4" x14ac:dyDescent="0.25">
      <c r="A111" t="s">
        <v>295</v>
      </c>
      <c r="B111">
        <v>1800</v>
      </c>
      <c r="C111">
        <v>1800</v>
      </c>
      <c r="D111">
        <v>150</v>
      </c>
    </row>
    <row r="112" spans="1:4" x14ac:dyDescent="0.25">
      <c r="A112" t="s">
        <v>169</v>
      </c>
      <c r="B112">
        <v>17.920000000000002</v>
      </c>
      <c r="C112">
        <v>28</v>
      </c>
      <c r="D112">
        <v>2</v>
      </c>
    </row>
    <row r="113" spans="1:4" x14ac:dyDescent="0.25">
      <c r="A113" t="s">
        <v>175</v>
      </c>
      <c r="B113">
        <v>1048</v>
      </c>
      <c r="C113">
        <v>1300</v>
      </c>
      <c r="D113">
        <v>100</v>
      </c>
    </row>
    <row r="114" spans="1:4" x14ac:dyDescent="0.25">
      <c r="A114" t="s">
        <v>1156</v>
      </c>
      <c r="B114">
        <v>48</v>
      </c>
      <c r="C114">
        <v>48</v>
      </c>
      <c r="D114">
        <v>4</v>
      </c>
    </row>
    <row r="115" spans="1:4" x14ac:dyDescent="0.25">
      <c r="A115" t="s">
        <v>486</v>
      </c>
      <c r="B115">
        <v>24</v>
      </c>
      <c r="C115">
        <v>24</v>
      </c>
      <c r="D115">
        <v>2</v>
      </c>
    </row>
    <row r="116" spans="1:4" x14ac:dyDescent="0.25">
      <c r="A116" t="s">
        <v>1161</v>
      </c>
      <c r="B116">
        <v>8.9600000000000009</v>
      </c>
      <c r="C116">
        <v>14</v>
      </c>
      <c r="D116">
        <v>1</v>
      </c>
    </row>
    <row r="117" spans="1:4" x14ac:dyDescent="0.25">
      <c r="A117" t="s">
        <v>407</v>
      </c>
      <c r="B117">
        <v>224</v>
      </c>
      <c r="C117">
        <v>350</v>
      </c>
      <c r="D117">
        <v>25</v>
      </c>
    </row>
    <row r="118" spans="1:4" x14ac:dyDescent="0.25">
      <c r="A118" t="s">
        <v>275</v>
      </c>
      <c r="B118">
        <v>16.799999999999997</v>
      </c>
      <c r="C118">
        <v>24</v>
      </c>
      <c r="D118">
        <v>2</v>
      </c>
    </row>
    <row r="119" spans="1:4" x14ac:dyDescent="0.25">
      <c r="A119" t="s">
        <v>1171</v>
      </c>
      <c r="B119">
        <v>89.600000000000009</v>
      </c>
      <c r="C119">
        <v>140</v>
      </c>
      <c r="D119">
        <v>10</v>
      </c>
    </row>
    <row r="120" spans="1:4" x14ac:dyDescent="0.25">
      <c r="A120" t="s">
        <v>331</v>
      </c>
      <c r="B120">
        <v>120</v>
      </c>
      <c r="C120">
        <v>120</v>
      </c>
      <c r="D120">
        <v>10</v>
      </c>
    </row>
    <row r="121" spans="1:4" x14ac:dyDescent="0.25">
      <c r="A121" t="s">
        <v>1175</v>
      </c>
      <c r="B121">
        <v>12</v>
      </c>
      <c r="C121">
        <v>12</v>
      </c>
      <c r="D121">
        <v>1</v>
      </c>
    </row>
    <row r="122" spans="1:4" x14ac:dyDescent="0.25">
      <c r="A122" t="s">
        <v>1181</v>
      </c>
      <c r="B122">
        <v>120</v>
      </c>
      <c r="C122">
        <v>120</v>
      </c>
      <c r="D122">
        <v>10</v>
      </c>
    </row>
    <row r="123" spans="1:4" x14ac:dyDescent="0.25">
      <c r="A123" t="s">
        <v>388</v>
      </c>
      <c r="B123">
        <v>779.2</v>
      </c>
      <c r="C123">
        <v>880</v>
      </c>
      <c r="D123">
        <v>70</v>
      </c>
    </row>
    <row r="124" spans="1:4" x14ac:dyDescent="0.25">
      <c r="A124" t="s">
        <v>365</v>
      </c>
      <c r="B124">
        <v>600</v>
      </c>
      <c r="C124">
        <v>600</v>
      </c>
      <c r="D124">
        <v>50</v>
      </c>
    </row>
    <row r="125" spans="1:4" x14ac:dyDescent="0.25">
      <c r="A125" t="s">
        <v>289</v>
      </c>
      <c r="B125">
        <v>896</v>
      </c>
      <c r="C125">
        <v>1400</v>
      </c>
      <c r="D125">
        <v>100</v>
      </c>
    </row>
    <row r="126" spans="1:4" x14ac:dyDescent="0.25">
      <c r="A126" t="s">
        <v>73</v>
      </c>
      <c r="B126">
        <v>70</v>
      </c>
      <c r="C126">
        <v>106</v>
      </c>
      <c r="D126">
        <v>8</v>
      </c>
    </row>
    <row r="127" spans="1:4" x14ac:dyDescent="0.25">
      <c r="A127" t="s">
        <v>277</v>
      </c>
      <c r="B127">
        <v>224</v>
      </c>
      <c r="C127">
        <v>350</v>
      </c>
      <c r="D127">
        <v>25</v>
      </c>
    </row>
    <row r="128" spans="1:4" x14ac:dyDescent="0.25">
      <c r="A128" t="s">
        <v>255</v>
      </c>
      <c r="B128">
        <v>224</v>
      </c>
      <c r="C128">
        <v>350</v>
      </c>
      <c r="D128">
        <v>25</v>
      </c>
    </row>
    <row r="129" spans="1:4" x14ac:dyDescent="0.25">
      <c r="A129" t="s">
        <v>257</v>
      </c>
      <c r="B129">
        <v>104.80000000000001</v>
      </c>
      <c r="C129">
        <v>130</v>
      </c>
      <c r="D129">
        <v>10</v>
      </c>
    </row>
    <row r="130" spans="1:4" x14ac:dyDescent="0.25">
      <c r="A130" t="s">
        <v>332</v>
      </c>
      <c r="B130">
        <v>210</v>
      </c>
      <c r="C130">
        <v>300</v>
      </c>
      <c r="D130">
        <v>25</v>
      </c>
    </row>
    <row r="131" spans="1:4" x14ac:dyDescent="0.25">
      <c r="A131" t="s">
        <v>474</v>
      </c>
      <c r="B131">
        <v>1260</v>
      </c>
      <c r="C131">
        <v>1800</v>
      </c>
      <c r="D131">
        <v>150</v>
      </c>
    </row>
    <row r="132" spans="1:4" x14ac:dyDescent="0.25">
      <c r="A132" t="s">
        <v>478</v>
      </c>
      <c r="B132">
        <v>134.4</v>
      </c>
      <c r="C132">
        <v>210</v>
      </c>
      <c r="D132">
        <v>15</v>
      </c>
    </row>
    <row r="133" spans="1:4" x14ac:dyDescent="0.25">
      <c r="A133" t="s">
        <v>181</v>
      </c>
      <c r="B133">
        <v>689.6</v>
      </c>
      <c r="C133">
        <v>740</v>
      </c>
      <c r="D133">
        <v>60</v>
      </c>
    </row>
    <row r="134" spans="1:4" x14ac:dyDescent="0.25">
      <c r="A134" t="s">
        <v>287</v>
      </c>
      <c r="B134">
        <v>448.00000000000006</v>
      </c>
      <c r="C134">
        <v>700</v>
      </c>
      <c r="D134">
        <v>50</v>
      </c>
    </row>
    <row r="135" spans="1:4" x14ac:dyDescent="0.25">
      <c r="A135">
        <v>745</v>
      </c>
      <c r="B135">
        <v>448</v>
      </c>
      <c r="C135">
        <v>700</v>
      </c>
      <c r="D135">
        <v>50</v>
      </c>
    </row>
    <row r="136" spans="1:4" x14ac:dyDescent="0.25">
      <c r="A136" t="s">
        <v>250</v>
      </c>
      <c r="B136">
        <v>137.92000000000002</v>
      </c>
      <c r="C136">
        <v>148</v>
      </c>
      <c r="D136">
        <v>12</v>
      </c>
    </row>
    <row r="137" spans="1:4" x14ac:dyDescent="0.25">
      <c r="A137" t="s">
        <v>501</v>
      </c>
      <c r="B137">
        <v>62.72</v>
      </c>
      <c r="C137">
        <v>98</v>
      </c>
      <c r="D137">
        <v>7</v>
      </c>
    </row>
    <row r="138" spans="1:4" x14ac:dyDescent="0.25">
      <c r="A138" t="s">
        <v>270</v>
      </c>
      <c r="B138">
        <v>36</v>
      </c>
      <c r="C138">
        <v>36</v>
      </c>
      <c r="D138">
        <v>3</v>
      </c>
    </row>
    <row r="139" spans="1:4" x14ac:dyDescent="0.25">
      <c r="A139" t="s">
        <v>364</v>
      </c>
      <c r="B139">
        <v>896</v>
      </c>
      <c r="C139">
        <v>1400</v>
      </c>
      <c r="D139">
        <v>100</v>
      </c>
    </row>
    <row r="140" spans="1:4" x14ac:dyDescent="0.25">
      <c r="A140" t="s">
        <v>1017</v>
      </c>
      <c r="B140">
        <v>233525.95000000004</v>
      </c>
      <c r="C140">
        <v>299175</v>
      </c>
      <c r="D140">
        <v>22264.934523809523</v>
      </c>
    </row>
    <row r="141" spans="1:4" x14ac:dyDescent="0.25">
      <c r="B141"/>
      <c r="C141"/>
      <c r="D141"/>
    </row>
    <row r="142" spans="1:4" x14ac:dyDescent="0.25">
      <c r="B142"/>
      <c r="C142"/>
      <c r="D142"/>
    </row>
    <row r="143" spans="1:4" x14ac:dyDescent="0.25">
      <c r="B143"/>
      <c r="C143"/>
      <c r="D143"/>
    </row>
    <row r="144" spans="1:4" x14ac:dyDescent="0.25">
      <c r="B144"/>
      <c r="C144"/>
      <c r="D144"/>
    </row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4560-35B6-624A-9531-11C2A28D427F}">
  <dimension ref="A1:D87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D10" sqref="D10"/>
    </sheetView>
  </sheetViews>
  <sheetFormatPr defaultColWidth="11.42578125" defaultRowHeight="15" x14ac:dyDescent="0.25"/>
  <cols>
    <col min="1" max="1" width="16.140625" bestFit="1" customWidth="1"/>
    <col min="2" max="2" width="17.42578125" style="276" bestFit="1" customWidth="1"/>
    <col min="3" max="3" width="16.7109375" style="276" bestFit="1" customWidth="1"/>
    <col min="4" max="4" width="17.5703125" style="276" bestFit="1" customWidth="1"/>
    <col min="5" max="5" width="15" bestFit="1" customWidth="1"/>
  </cols>
  <sheetData>
    <row r="1" spans="1:4" x14ac:dyDescent="0.25">
      <c r="B1"/>
    </row>
    <row r="2" spans="1:4" x14ac:dyDescent="0.25">
      <c r="A2" s="275" t="s">
        <v>5</v>
      </c>
      <c r="B2" t="s">
        <v>1026</v>
      </c>
    </row>
    <row r="3" spans="1:4" x14ac:dyDescent="0.25">
      <c r="A3" s="275" t="s">
        <v>1013</v>
      </c>
      <c r="B3" t="s">
        <v>1026</v>
      </c>
    </row>
    <row r="4" spans="1:4" x14ac:dyDescent="0.25">
      <c r="A4" s="275" t="s">
        <v>0</v>
      </c>
      <c r="B4" t="s">
        <v>1018</v>
      </c>
    </row>
    <row r="5" spans="1:4" x14ac:dyDescent="0.25">
      <c r="A5" s="275" t="s">
        <v>15</v>
      </c>
      <c r="B5" t="s">
        <v>1024</v>
      </c>
    </row>
    <row r="6" spans="1:4" x14ac:dyDescent="0.25">
      <c r="A6" s="275" t="s">
        <v>14</v>
      </c>
      <c r="B6" t="s">
        <v>1025</v>
      </c>
    </row>
    <row r="8" spans="1:4" x14ac:dyDescent="0.25">
      <c r="B8" s="275" t="s">
        <v>1021</v>
      </c>
      <c r="C8"/>
      <c r="D8"/>
    </row>
    <row r="9" spans="1:4" x14ac:dyDescent="0.25">
      <c r="A9" s="275" t="s">
        <v>1012</v>
      </c>
      <c r="B9" t="s">
        <v>1023</v>
      </c>
      <c r="C9" t="s">
        <v>1022</v>
      </c>
      <c r="D9" t="s">
        <v>1019</v>
      </c>
    </row>
    <row r="10" spans="1:4" x14ac:dyDescent="0.25">
      <c r="A10" t="s">
        <v>469</v>
      </c>
      <c r="B10">
        <v>8572.7999999999993</v>
      </c>
      <c r="C10">
        <v>11242</v>
      </c>
      <c r="D10">
        <v>831</v>
      </c>
    </row>
    <row r="11" spans="1:4" x14ac:dyDescent="0.25">
      <c r="A11" t="s">
        <v>149</v>
      </c>
      <c r="B11">
        <v>33913.68</v>
      </c>
      <c r="C11">
        <v>45078</v>
      </c>
      <c r="D11">
        <v>3388.5</v>
      </c>
    </row>
    <row r="12" spans="1:4" x14ac:dyDescent="0.25">
      <c r="A12" t="s">
        <v>146</v>
      </c>
      <c r="B12">
        <v>28303.629999999979</v>
      </c>
      <c r="C12">
        <v>33461</v>
      </c>
      <c r="D12">
        <v>2637.4345238095239</v>
      </c>
    </row>
    <row r="13" spans="1:4" x14ac:dyDescent="0.25">
      <c r="A13" t="s">
        <v>152</v>
      </c>
      <c r="B13">
        <v>162735.83999999997</v>
      </c>
      <c r="C13">
        <v>209394</v>
      </c>
      <c r="D13">
        <v>15408</v>
      </c>
    </row>
    <row r="14" spans="1:4" x14ac:dyDescent="0.25">
      <c r="A14" t="s">
        <v>1017</v>
      </c>
      <c r="B14">
        <v>233525.94999999995</v>
      </c>
      <c r="C14">
        <v>299175</v>
      </c>
      <c r="D14">
        <v>22264.934523809523</v>
      </c>
    </row>
    <row r="15" spans="1:4" x14ac:dyDescent="0.25">
      <c r="B15"/>
      <c r="C15"/>
      <c r="D15"/>
    </row>
    <row r="16" spans="1:4" x14ac:dyDescent="0.25">
      <c r="B16"/>
      <c r="C16"/>
      <c r="D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129E-1FF8-DC43-8E6E-9484507C1368}">
  <sheetPr>
    <tabColor rgb="FFFFFF00"/>
  </sheetPr>
  <dimension ref="A1:EF93"/>
  <sheetViews>
    <sheetView workbookViewId="0">
      <pane xSplit="8" ySplit="17" topLeftCell="S32" activePane="bottomRight" state="frozen"/>
      <selection pane="topRight" activeCell="I1" sqref="I1"/>
      <selection pane="bottomLeft" activeCell="A18" sqref="A18"/>
      <selection pane="bottomRight" activeCell="V33" sqref="V33"/>
    </sheetView>
  </sheetViews>
  <sheetFormatPr defaultColWidth="14.85546875" defaultRowHeight="15.75" outlineLevelRow="1" outlineLevelCol="1" x14ac:dyDescent="0.25"/>
  <cols>
    <col min="1" max="1" width="8.140625" style="88" bestFit="1" customWidth="1"/>
    <col min="2" max="2" width="35.42578125" style="88" bestFit="1" customWidth="1"/>
    <col min="3" max="3" width="21" style="88" hidden="1" customWidth="1"/>
    <col min="4" max="4" width="13" style="88" hidden="1" customWidth="1"/>
    <col min="5" max="5" width="20.140625" style="88" hidden="1" customWidth="1"/>
    <col min="6" max="6" width="13" style="88" hidden="1" customWidth="1"/>
    <col min="7" max="7" width="10.140625" style="89" customWidth="1"/>
    <col min="8" max="8" width="10.85546875" style="90" hidden="1" customWidth="1"/>
    <col min="9" max="9" width="10.42578125" style="90" hidden="1" customWidth="1" outlineLevel="1"/>
    <col min="10" max="10" width="16.7109375" style="181" hidden="1" customWidth="1" outlineLevel="1"/>
    <col min="11" max="11" width="12" style="182" hidden="1" customWidth="1" outlineLevel="1"/>
    <col min="12" max="12" width="10.85546875" style="90" hidden="1" customWidth="1" outlineLevel="1"/>
    <col min="13" max="13" width="12.7109375" style="90" hidden="1" customWidth="1" outlineLevel="1"/>
    <col min="14" max="14" width="10.140625" style="90" hidden="1" customWidth="1" outlineLevel="1"/>
    <col min="15" max="15" width="10.42578125" style="90" hidden="1" customWidth="1" outlineLevel="1"/>
    <col min="16" max="16" width="10.140625" style="88" hidden="1" customWidth="1" outlineLevel="1"/>
    <col min="17" max="17" width="10.28515625" style="88" hidden="1" customWidth="1" outlineLevel="1"/>
    <col min="18" max="18" width="10" style="90" hidden="1" customWidth="1" outlineLevel="1"/>
    <col min="19" max="19" width="7.7109375" style="90" bestFit="1" customWidth="1" collapsed="1"/>
    <col min="20" max="20" width="8.7109375" style="90" bestFit="1" customWidth="1"/>
    <col min="21" max="21" width="9.42578125" style="90" bestFit="1" customWidth="1"/>
    <col min="22" max="22" width="10.7109375" style="90" bestFit="1" customWidth="1"/>
    <col min="23" max="23" width="10.7109375" style="88" bestFit="1" customWidth="1"/>
    <col min="24" max="24" width="10.28515625" style="88" bestFit="1" customWidth="1"/>
    <col min="25" max="25" width="9.42578125" style="90" bestFit="1" customWidth="1"/>
    <col min="26" max="28" width="9" style="90" bestFit="1" customWidth="1"/>
    <col min="29" max="30" width="9" style="88" bestFit="1" customWidth="1"/>
    <col min="31" max="31" width="18.140625" style="88" bestFit="1" customWidth="1"/>
    <col min="32" max="32" width="9" style="88" bestFit="1" customWidth="1"/>
    <col min="33" max="33" width="13" style="88" bestFit="1" customWidth="1"/>
    <col min="34" max="34" width="11.85546875" style="88" bestFit="1" customWidth="1"/>
    <col min="35" max="35" width="10.140625" style="88" bestFit="1" customWidth="1"/>
    <col min="36" max="36" width="6.7109375" style="88" bestFit="1" customWidth="1"/>
    <col min="37" max="37" width="8.7109375" style="88" bestFit="1" customWidth="1"/>
    <col min="38" max="38" width="11.85546875" style="88" bestFit="1" customWidth="1"/>
    <col min="39" max="39" width="9.140625" style="88" bestFit="1" customWidth="1"/>
    <col min="40" max="40" width="8.140625" style="88" bestFit="1" customWidth="1"/>
    <col min="41" max="41" width="14.85546875" style="88"/>
    <col min="42" max="42" width="8.7109375" style="88" bestFit="1" customWidth="1"/>
    <col min="43" max="43" width="12.85546875" style="88" bestFit="1" customWidth="1"/>
    <col min="44" max="45" width="7.140625" style="88" bestFit="1" customWidth="1"/>
    <col min="46" max="46" width="6.7109375" style="88" bestFit="1" customWidth="1"/>
    <col min="47" max="47" width="7.140625" style="88" bestFit="1" customWidth="1"/>
    <col min="48" max="48" width="6.7109375" style="88" bestFit="1" customWidth="1"/>
    <col min="49" max="49" width="7.140625" style="88" bestFit="1" customWidth="1"/>
    <col min="50" max="50" width="6.7109375" style="88" bestFit="1" customWidth="1"/>
    <col min="51" max="51" width="7.140625" style="88" bestFit="1" customWidth="1"/>
    <col min="52" max="52" width="12.85546875" style="88" bestFit="1" customWidth="1"/>
    <col min="53" max="54" width="7.140625" style="88" bestFit="1" customWidth="1"/>
    <col min="55" max="55" width="6.7109375" style="88" bestFit="1" customWidth="1"/>
    <col min="56" max="56" width="7.140625" style="88" bestFit="1" customWidth="1"/>
    <col min="57" max="57" width="6.7109375" style="88" bestFit="1" customWidth="1"/>
    <col min="58" max="58" width="7.140625" style="88" bestFit="1" customWidth="1"/>
    <col min="59" max="59" width="6.7109375" style="88" bestFit="1" customWidth="1"/>
    <col min="60" max="60" width="7.140625" style="88" bestFit="1" customWidth="1"/>
    <col min="61" max="61" width="12.85546875" style="88" bestFit="1" customWidth="1"/>
    <col min="62" max="63" width="7.140625" style="88" bestFit="1" customWidth="1"/>
    <col min="64" max="64" width="6.7109375" style="88" bestFit="1" customWidth="1"/>
    <col min="65" max="65" width="7.140625" style="88" bestFit="1" customWidth="1"/>
    <col min="66" max="66" width="6.7109375" style="88" bestFit="1" customWidth="1"/>
    <col min="67" max="67" width="7.140625" style="88" bestFit="1" customWidth="1"/>
    <col min="68" max="68" width="6.7109375" style="88" bestFit="1" customWidth="1"/>
    <col min="69" max="69" width="7.140625" style="88" bestFit="1" customWidth="1"/>
    <col min="70" max="70" width="7.42578125" style="88" bestFit="1" customWidth="1"/>
    <col min="71" max="72" width="7.140625" style="88" bestFit="1" customWidth="1"/>
    <col min="73" max="73" width="14.85546875" style="88"/>
    <col min="74" max="74" width="8.7109375" style="88" bestFit="1" customWidth="1"/>
    <col min="75" max="75" width="12.85546875" style="88" bestFit="1" customWidth="1"/>
    <col min="76" max="77" width="7.140625" style="88" bestFit="1" customWidth="1"/>
    <col min="78" max="78" width="6.7109375" style="88" bestFit="1" customWidth="1"/>
    <col min="79" max="79" width="7.140625" style="88" bestFit="1" customWidth="1"/>
    <col min="80" max="80" width="6.7109375" style="88" bestFit="1" customWidth="1"/>
    <col min="81" max="81" width="7.140625" style="88" bestFit="1" customWidth="1"/>
    <col min="82" max="82" width="6.7109375" style="88" bestFit="1" customWidth="1"/>
    <col min="83" max="83" width="7.140625" style="88" bestFit="1" customWidth="1"/>
    <col min="84" max="84" width="12.85546875" style="88" bestFit="1" customWidth="1"/>
    <col min="85" max="86" width="7.140625" style="88" bestFit="1" customWidth="1"/>
    <col min="87" max="87" width="6.7109375" style="88" bestFit="1" customWidth="1"/>
    <col min="88" max="88" width="7.140625" style="88" bestFit="1" customWidth="1"/>
    <col min="89" max="89" width="6.7109375" style="88" bestFit="1" customWidth="1"/>
    <col min="90" max="90" width="7.140625" style="88" bestFit="1" customWidth="1"/>
    <col min="91" max="91" width="6.7109375" style="88" bestFit="1" customWidth="1"/>
    <col min="92" max="92" width="7.140625" style="88" bestFit="1" customWidth="1"/>
    <col min="93" max="93" width="12.85546875" style="88" bestFit="1" customWidth="1"/>
    <col min="94" max="95" width="7.140625" style="88" bestFit="1" customWidth="1"/>
    <col min="96" max="96" width="6.7109375" style="88" bestFit="1" customWidth="1"/>
    <col min="97" max="97" width="7.140625" style="88" bestFit="1" customWidth="1"/>
    <col min="98" max="98" width="6.7109375" style="88" bestFit="1" customWidth="1"/>
    <col min="99" max="99" width="7.140625" style="88" bestFit="1" customWidth="1"/>
    <col min="100" max="100" width="6.7109375" style="88" bestFit="1" customWidth="1"/>
    <col min="101" max="101" width="7.140625" style="88" bestFit="1" customWidth="1"/>
    <col min="102" max="102" width="7.42578125" style="88" bestFit="1" customWidth="1"/>
    <col min="103" max="104" width="7.140625" style="88" bestFit="1" customWidth="1"/>
    <col min="105" max="105" width="14.85546875" style="88"/>
    <col min="106" max="106" width="8.7109375" style="88" bestFit="1" customWidth="1"/>
    <col min="107" max="107" width="12.85546875" style="88" bestFit="1" customWidth="1"/>
    <col min="108" max="109" width="7.140625" style="88" bestFit="1" customWidth="1"/>
    <col min="110" max="110" width="6.7109375" style="88" bestFit="1" customWidth="1"/>
    <col min="111" max="111" width="7.140625" style="88" bestFit="1" customWidth="1"/>
    <col min="112" max="112" width="6.7109375" style="88" bestFit="1" customWidth="1"/>
    <col min="113" max="113" width="7.140625" style="88" bestFit="1" customWidth="1"/>
    <col min="114" max="114" width="6.7109375" style="88" bestFit="1" customWidth="1"/>
    <col min="115" max="115" width="7.140625" style="88" bestFit="1" customWidth="1"/>
    <col min="116" max="116" width="12.85546875" style="88" bestFit="1" customWidth="1"/>
    <col min="117" max="118" width="7.140625" style="88" bestFit="1" customWidth="1"/>
    <col min="119" max="119" width="6.7109375" style="88" bestFit="1" customWidth="1"/>
    <col min="120" max="120" width="7.140625" style="88" bestFit="1" customWidth="1"/>
    <col min="121" max="121" width="6.7109375" style="88" bestFit="1" customWidth="1"/>
    <col min="122" max="122" width="7.140625" style="88" bestFit="1" customWidth="1"/>
    <col min="123" max="123" width="6.7109375" style="88" bestFit="1" customWidth="1"/>
    <col min="124" max="124" width="7.140625" style="88" bestFit="1" customWidth="1"/>
    <col min="125" max="125" width="12.85546875" style="88" bestFit="1" customWidth="1"/>
    <col min="126" max="127" width="7.140625" style="88" bestFit="1" customWidth="1"/>
    <col min="128" max="128" width="6.7109375" style="88" bestFit="1" customWidth="1"/>
    <col min="129" max="129" width="7.140625" style="88" bestFit="1" customWidth="1"/>
    <col min="130" max="130" width="6.7109375" style="88" bestFit="1" customWidth="1"/>
    <col min="131" max="131" width="7.140625" style="88" bestFit="1" customWidth="1"/>
    <col min="132" max="132" width="6.7109375" style="88" bestFit="1" customWidth="1"/>
    <col min="133" max="133" width="7.140625" style="88" bestFit="1" customWidth="1"/>
    <col min="134" max="134" width="7.42578125" style="88" bestFit="1" customWidth="1"/>
    <col min="135" max="136" width="7.140625" style="88" bestFit="1" customWidth="1"/>
    <col min="137" max="16384" width="14.85546875" style="88"/>
  </cols>
  <sheetData>
    <row r="1" spans="1:136" x14ac:dyDescent="0.25">
      <c r="H1" s="88"/>
      <c r="L1" s="299"/>
      <c r="AD1" s="90"/>
      <c r="AE1" s="91" t="s">
        <v>924</v>
      </c>
      <c r="AF1" s="400" t="s">
        <v>925</v>
      </c>
      <c r="AG1" s="401"/>
      <c r="AH1" s="402"/>
      <c r="AI1" s="289" t="s">
        <v>926</v>
      </c>
      <c r="AJ1" s="290"/>
      <c r="AK1" s="291"/>
      <c r="AL1" s="292" t="s">
        <v>927</v>
      </c>
      <c r="AM1" s="293"/>
      <c r="AN1" s="294"/>
      <c r="AO1" s="295" t="s">
        <v>928</v>
      </c>
      <c r="AP1" s="296"/>
      <c r="AQ1" s="297"/>
      <c r="AR1" s="298" t="s">
        <v>929</v>
      </c>
    </row>
    <row r="2" spans="1:136" s="90" customFormat="1" x14ac:dyDescent="0.25">
      <c r="E2" s="439"/>
      <c r="F2" s="439"/>
      <c r="G2" s="89"/>
      <c r="AD2" s="88"/>
      <c r="AE2" s="91"/>
      <c r="AF2" s="93" t="s">
        <v>930</v>
      </c>
      <c r="AG2" s="94" t="s">
        <v>931</v>
      </c>
      <c r="AH2" s="95" t="s">
        <v>932</v>
      </c>
      <c r="AI2" s="96" t="s">
        <v>933</v>
      </c>
      <c r="AJ2" s="97" t="s">
        <v>934</v>
      </c>
      <c r="AK2" s="98" t="s">
        <v>935</v>
      </c>
      <c r="AL2" s="99" t="s">
        <v>936</v>
      </c>
      <c r="AM2" s="100" t="s">
        <v>937</v>
      </c>
      <c r="AN2" s="101" t="s">
        <v>938</v>
      </c>
      <c r="AO2" s="102" t="s">
        <v>939</v>
      </c>
      <c r="AP2" s="103" t="s">
        <v>940</v>
      </c>
      <c r="AQ2" s="104" t="s">
        <v>941</v>
      </c>
      <c r="AR2" s="298"/>
    </row>
    <row r="3" spans="1:136" s="90" customFormat="1" x14ac:dyDescent="0.25">
      <c r="E3" s="92"/>
      <c r="F3" s="92"/>
      <c r="G3" s="89"/>
      <c r="AD3" s="88"/>
      <c r="AE3" s="105" t="s">
        <v>942</v>
      </c>
      <c r="AF3" s="106">
        <v>350249.09762003837</v>
      </c>
      <c r="AG3" s="145">
        <v>350249.09762003837</v>
      </c>
      <c r="AH3" s="146">
        <v>350249.09762003837</v>
      </c>
      <c r="AI3" s="107">
        <v>323306.85934157379</v>
      </c>
      <c r="AJ3" s="108">
        <v>323306.85934157379</v>
      </c>
      <c r="AK3" s="109">
        <v>323306.85934157379</v>
      </c>
      <c r="AL3" s="110">
        <v>336777.97848080611</v>
      </c>
      <c r="AM3" s="111">
        <v>336777.97848080611</v>
      </c>
      <c r="AN3" s="112">
        <v>336777.97848080611</v>
      </c>
      <c r="AO3" s="113">
        <v>336777.97848080611</v>
      </c>
      <c r="AP3" s="114">
        <v>336777.97848080611</v>
      </c>
      <c r="AQ3" s="115">
        <v>336777.97848080611</v>
      </c>
      <c r="AR3" s="116">
        <f t="shared" ref="AR3:AR8" si="0">SUM(AF3:AQ3)</f>
        <v>4041335.7417696733</v>
      </c>
    </row>
    <row r="4" spans="1:136" s="90" customFormat="1" x14ac:dyDescent="0.25">
      <c r="E4" s="92"/>
      <c r="F4" s="92"/>
      <c r="G4" s="89"/>
      <c r="AD4" s="88"/>
      <c r="AE4" s="117" t="s">
        <v>943</v>
      </c>
      <c r="AF4" s="118">
        <v>261295.08069599999</v>
      </c>
      <c r="AG4" s="151">
        <v>261295.08069599999</v>
      </c>
      <c r="AH4" s="403">
        <v>261295.08069599999</v>
      </c>
      <c r="AI4" s="119">
        <v>241195.45910399992</v>
      </c>
      <c r="AJ4" s="120">
        <v>241195.45910399992</v>
      </c>
      <c r="AK4" s="121">
        <v>241195.45910399992</v>
      </c>
      <c r="AL4" s="122">
        <v>251245.26989999996</v>
      </c>
      <c r="AM4" s="123">
        <v>251245.26989999996</v>
      </c>
      <c r="AN4" s="124">
        <v>251245.26989999996</v>
      </c>
      <c r="AO4" s="125">
        <v>251245.26989999996</v>
      </c>
      <c r="AP4" s="126">
        <v>251245.26989999996</v>
      </c>
      <c r="AQ4" s="127">
        <v>251245.26989999996</v>
      </c>
      <c r="AR4" s="128">
        <f t="shared" si="0"/>
        <v>3014943.2387999985</v>
      </c>
    </row>
    <row r="5" spans="1:136" ht="16.5" thickBot="1" x14ac:dyDescent="0.3">
      <c r="D5" s="129"/>
      <c r="E5" s="130"/>
      <c r="F5" s="131"/>
      <c r="H5" s="88"/>
      <c r="M5" s="90" t="s">
        <v>1029</v>
      </c>
      <c r="R5" s="90" t="s">
        <v>1024</v>
      </c>
      <c r="W5" s="90" t="s">
        <v>1029</v>
      </c>
      <c r="X5" s="90"/>
      <c r="Z5" s="88"/>
      <c r="AA5" s="88"/>
      <c r="AB5" s="90" t="s">
        <v>1032</v>
      </c>
      <c r="AD5" s="208">
        <v>75.027824459773498</v>
      </c>
      <c r="AE5" s="132" t="s">
        <v>944</v>
      </c>
      <c r="AF5" s="133">
        <f>+P32</f>
        <v>209394</v>
      </c>
      <c r="AG5" s="134">
        <f>Z32</f>
        <v>209394</v>
      </c>
      <c r="AH5" s="135">
        <f>+AI32</f>
        <v>0</v>
      </c>
      <c r="AI5" s="136">
        <f>+AW32</f>
        <v>0</v>
      </c>
      <c r="AJ5" s="137">
        <f>+BF32</f>
        <v>0</v>
      </c>
      <c r="AK5" s="138">
        <f>BO32</f>
        <v>0</v>
      </c>
      <c r="AL5" s="139">
        <f>+CC32</f>
        <v>0</v>
      </c>
      <c r="AM5" s="140">
        <f>+CL32</f>
        <v>0</v>
      </c>
      <c r="AN5" s="140">
        <f>+CU32</f>
        <v>0</v>
      </c>
      <c r="AO5" s="141">
        <f>+DI32</f>
        <v>0</v>
      </c>
      <c r="AP5" s="142">
        <f>+DR32</f>
        <v>0</v>
      </c>
      <c r="AQ5" s="142">
        <f>+EA32</f>
        <v>0</v>
      </c>
      <c r="AR5" s="143">
        <f t="shared" si="0"/>
        <v>418788</v>
      </c>
    </row>
    <row r="6" spans="1:136" ht="16.5" thickBot="1" x14ac:dyDescent="0.3">
      <c r="A6" s="378" t="s">
        <v>1031</v>
      </c>
      <c r="B6" s="379"/>
      <c r="F6" s="131"/>
      <c r="H6" s="88"/>
      <c r="M6" s="304">
        <f>26/26</f>
        <v>1</v>
      </c>
      <c r="O6" s="435">
        <v>350249</v>
      </c>
      <c r="P6" s="436"/>
      <c r="Q6" s="437">
        <v>261295</v>
      </c>
      <c r="R6" s="438"/>
      <c r="W6" s="304">
        <f>1/24</f>
        <v>4.1666666666666664E-2</v>
      </c>
      <c r="X6" s="90"/>
      <c r="Y6" s="499">
        <v>350249</v>
      </c>
      <c r="Z6" s="500"/>
      <c r="AA6" s="501">
        <v>261295</v>
      </c>
      <c r="AB6" s="502"/>
      <c r="AD6" s="208">
        <v>16.624610581166767</v>
      </c>
      <c r="AE6" s="132" t="s">
        <v>945</v>
      </c>
      <c r="AF6" s="133">
        <f>+P62</f>
        <v>43678</v>
      </c>
      <c r="AG6" s="134">
        <f>Z62</f>
        <v>45078</v>
      </c>
      <c r="AH6" s="135">
        <f>+AI62</f>
        <v>0</v>
      </c>
      <c r="AI6" s="136">
        <f>+AW62</f>
        <v>0</v>
      </c>
      <c r="AJ6" s="137">
        <f>+BF62</f>
        <v>0</v>
      </c>
      <c r="AK6" s="138">
        <f>BO62</f>
        <v>0</v>
      </c>
      <c r="AL6" s="139">
        <f>+CC62</f>
        <v>0</v>
      </c>
      <c r="AM6" s="140">
        <f>+CL62</f>
        <v>0</v>
      </c>
      <c r="AN6" s="140">
        <f>+CU62</f>
        <v>0</v>
      </c>
      <c r="AO6" s="141">
        <f>+DI62</f>
        <v>0</v>
      </c>
      <c r="AP6" s="142">
        <f>+DR62</f>
        <v>0</v>
      </c>
      <c r="AQ6" s="142">
        <f>+EA62</f>
        <v>0</v>
      </c>
      <c r="AR6" s="143">
        <f t="shared" si="0"/>
        <v>88756</v>
      </c>
    </row>
    <row r="7" spans="1:136" ht="16.5" thickBot="1" x14ac:dyDescent="0.3">
      <c r="A7" s="380" t="s">
        <v>944</v>
      </c>
      <c r="B7" s="381" t="s">
        <v>1058</v>
      </c>
      <c r="F7" s="131"/>
      <c r="H7" s="88"/>
      <c r="O7" s="306" t="s">
        <v>32</v>
      </c>
      <c r="P7" s="307" t="s">
        <v>1027</v>
      </c>
      <c r="Q7" s="308" t="s">
        <v>468</v>
      </c>
      <c r="R7" s="309" t="s">
        <v>1027</v>
      </c>
      <c r="W7" s="90"/>
      <c r="X7" s="90"/>
      <c r="Y7" s="306" t="s">
        <v>32</v>
      </c>
      <c r="Z7" s="307" t="s">
        <v>1027</v>
      </c>
      <c r="AA7" s="308" t="s">
        <v>468</v>
      </c>
      <c r="AB7" s="309" t="s">
        <v>1027</v>
      </c>
      <c r="AD7" s="208">
        <v>3.7669226302699825</v>
      </c>
      <c r="AE7" s="132" t="s">
        <v>946</v>
      </c>
      <c r="AF7" s="133">
        <f>+P83</f>
        <v>11242</v>
      </c>
      <c r="AG7" s="134">
        <f>Z83</f>
        <v>11242</v>
      </c>
      <c r="AH7" s="135">
        <f>+AI83</f>
        <v>0</v>
      </c>
      <c r="AI7" s="136">
        <f>+AW83</f>
        <v>0</v>
      </c>
      <c r="AJ7" s="137">
        <f>+BF83</f>
        <v>0</v>
      </c>
      <c r="AK7" s="138">
        <f>BO83</f>
        <v>0</v>
      </c>
      <c r="AL7" s="139">
        <f>+CC83</f>
        <v>0</v>
      </c>
      <c r="AM7" s="140">
        <f>+CL83</f>
        <v>0</v>
      </c>
      <c r="AN7" s="140">
        <f>+CU83</f>
        <v>0</v>
      </c>
      <c r="AO7" s="141">
        <f>+DI83</f>
        <v>0</v>
      </c>
      <c r="AP7" s="142">
        <f>+DR83</f>
        <v>0</v>
      </c>
      <c r="AQ7" s="142">
        <f>+EA83</f>
        <v>0</v>
      </c>
      <c r="AR7" s="143">
        <f t="shared" si="0"/>
        <v>22484</v>
      </c>
    </row>
    <row r="8" spans="1:136" x14ac:dyDescent="0.25">
      <c r="A8" s="380" t="s">
        <v>1028</v>
      </c>
      <c r="B8" s="381" t="s">
        <v>1059</v>
      </c>
      <c r="F8" s="131"/>
      <c r="H8" s="88"/>
      <c r="N8" s="302" t="s">
        <v>944</v>
      </c>
      <c r="O8" s="316">
        <f>P32</f>
        <v>209394</v>
      </c>
      <c r="P8" s="317">
        <f>O8/J32</f>
        <v>0.79682849174478965</v>
      </c>
      <c r="Q8" s="312">
        <f>Q32</f>
        <v>162735.84</v>
      </c>
      <c r="R8" s="313">
        <f>Q8/K32</f>
        <v>0.83009848805003972</v>
      </c>
      <c r="W8" s="90"/>
      <c r="X8" s="302" t="s">
        <v>944</v>
      </c>
      <c r="Y8" s="316">
        <f>Z32</f>
        <v>209394</v>
      </c>
      <c r="Z8" s="317">
        <f>Y8/S32</f>
        <v>11.155598884427055</v>
      </c>
      <c r="AA8" s="312">
        <f>AA32</f>
        <v>162735.84</v>
      </c>
      <c r="AB8" s="313">
        <f>AA8/T32</f>
        <v>0.61927540397538328</v>
      </c>
      <c r="AD8" s="208">
        <v>4.5806423287897493</v>
      </c>
      <c r="AE8" s="132" t="s">
        <v>947</v>
      </c>
      <c r="AF8" s="133">
        <f>+P90</f>
        <v>34861</v>
      </c>
      <c r="AG8" s="134">
        <f>Z90</f>
        <v>33461</v>
      </c>
      <c r="AH8" s="135">
        <f>+AI90</f>
        <v>0</v>
      </c>
      <c r="AI8" s="136">
        <f>+AW90</f>
        <v>0</v>
      </c>
      <c r="AJ8" s="137">
        <f>+BF90</f>
        <v>0</v>
      </c>
      <c r="AK8" s="138">
        <f>BO90</f>
        <v>0</v>
      </c>
      <c r="AL8" s="139">
        <f>+CC90</f>
        <v>0</v>
      </c>
      <c r="AM8" s="140">
        <f>+CL90</f>
        <v>0</v>
      </c>
      <c r="AN8" s="140">
        <f>+CU90</f>
        <v>0</v>
      </c>
      <c r="AO8" s="141">
        <f>+DI90</f>
        <v>0</v>
      </c>
      <c r="AP8" s="142">
        <f>+DR90</f>
        <v>0</v>
      </c>
      <c r="AQ8" s="142">
        <f>+EA90</f>
        <v>0</v>
      </c>
      <c r="AR8" s="143">
        <f t="shared" si="0"/>
        <v>68322</v>
      </c>
    </row>
    <row r="9" spans="1:136" x14ac:dyDescent="0.25">
      <c r="A9" s="380" t="s">
        <v>946</v>
      </c>
      <c r="B9" s="381" t="s">
        <v>1060</v>
      </c>
      <c r="F9" s="131"/>
      <c r="H9" s="88"/>
      <c r="N9" s="303" t="s">
        <v>1028</v>
      </c>
      <c r="O9" s="318">
        <f>P62</f>
        <v>43678</v>
      </c>
      <c r="P9" s="319">
        <f>O9/J62</f>
        <v>0.75012603299721636</v>
      </c>
      <c r="Q9" s="314">
        <f>Q62</f>
        <v>33017.68</v>
      </c>
      <c r="R9" s="315">
        <f>Q9/K62</f>
        <v>0.76008793602763958</v>
      </c>
      <c r="W9" s="90"/>
      <c r="X9" s="303" t="s">
        <v>1028</v>
      </c>
      <c r="Y9" s="318">
        <f>Z62</f>
        <v>45078</v>
      </c>
      <c r="Z9" s="319">
        <f>Y9/S62</f>
        <v>10.838374889332828</v>
      </c>
      <c r="AA9" s="314">
        <f>AA62</f>
        <v>33913.68</v>
      </c>
      <c r="AB9" s="315">
        <f>AA9/T62</f>
        <v>0.58243358768114473</v>
      </c>
      <c r="AD9" s="238">
        <f>SUM(AD5:AD8)</f>
        <v>100</v>
      </c>
      <c r="AE9" s="105" t="s">
        <v>948</v>
      </c>
      <c r="AF9" s="144">
        <f>SUM(AF5:AF8)</f>
        <v>299175</v>
      </c>
      <c r="AG9" s="145">
        <f>SUM(AG5:AG8)</f>
        <v>299175</v>
      </c>
      <c r="AH9" s="146">
        <f>SUM(AH5:AH8)</f>
        <v>0</v>
      </c>
      <c r="AI9" s="397">
        <f t="shared" ref="AI9:AR9" si="1">SUM(AI5:AI8)</f>
        <v>0</v>
      </c>
      <c r="AJ9" s="147">
        <f t="shared" si="1"/>
        <v>0</v>
      </c>
      <c r="AK9" s="148">
        <f t="shared" si="1"/>
        <v>0</v>
      </c>
      <c r="AL9" s="110">
        <f t="shared" si="1"/>
        <v>0</v>
      </c>
      <c r="AM9" s="111">
        <f t="shared" si="1"/>
        <v>0</v>
      </c>
      <c r="AN9" s="111">
        <f t="shared" si="1"/>
        <v>0</v>
      </c>
      <c r="AO9" s="113">
        <f t="shared" si="1"/>
        <v>0</v>
      </c>
      <c r="AP9" s="114">
        <f t="shared" si="1"/>
        <v>0</v>
      </c>
      <c r="AQ9" s="115">
        <f t="shared" si="1"/>
        <v>0</v>
      </c>
      <c r="AR9" s="149">
        <f t="shared" si="1"/>
        <v>598350</v>
      </c>
    </row>
    <row r="10" spans="1:136" ht="16.5" thickBot="1" x14ac:dyDescent="0.3">
      <c r="A10" s="382" t="s">
        <v>1061</v>
      </c>
      <c r="B10" s="383" t="s">
        <v>1062</v>
      </c>
      <c r="F10" s="131"/>
      <c r="H10" s="88"/>
      <c r="M10" s="301"/>
      <c r="N10" s="303" t="s">
        <v>946</v>
      </c>
      <c r="O10" s="318">
        <f>P83</f>
        <v>11242</v>
      </c>
      <c r="P10" s="319">
        <f>O10/J83</f>
        <v>0.85207898765227941</v>
      </c>
      <c r="Q10" s="314">
        <f>Q83</f>
        <v>8572.7999999999993</v>
      </c>
      <c r="R10" s="315">
        <f>Q10/K83</f>
        <v>0.87097313243778396</v>
      </c>
      <c r="W10" s="301"/>
      <c r="X10" s="303" t="s">
        <v>946</v>
      </c>
      <c r="Y10" s="318">
        <f>Z83</f>
        <v>11242</v>
      </c>
      <c r="Z10" s="319">
        <f>Y10/S83</f>
        <v>11.929105827131915</v>
      </c>
      <c r="AA10" s="314">
        <f>AA83</f>
        <v>8572.7999999999993</v>
      </c>
      <c r="AB10" s="315">
        <f>AA10/T83</f>
        <v>0.64976896863062272</v>
      </c>
      <c r="AE10" s="117" t="s">
        <v>949</v>
      </c>
      <c r="AF10" s="150">
        <f>SUM(Q32,Q62,Q83,Q90)</f>
        <v>233525.94999999995</v>
      </c>
      <c r="AG10" s="151">
        <f>+AA32+AA62+AA83+AA90</f>
        <v>233525.94999999995</v>
      </c>
      <c r="AH10" s="152">
        <f>+AJ90+AJ83+AJ62+AJ32</f>
        <v>0</v>
      </c>
      <c r="AI10" s="153">
        <f>+AX32+AX62+AX83+AX90</f>
        <v>0</v>
      </c>
      <c r="AJ10" s="154">
        <f>+BG32+BG62+BG83+BG90</f>
        <v>0</v>
      </c>
      <c r="AK10" s="155">
        <f>BP32+BP62+BP83+BP90</f>
        <v>0</v>
      </c>
      <c r="AL10" s="122">
        <f>+CD32+CD62+CD83+CD90</f>
        <v>0</v>
      </c>
      <c r="AM10" s="123">
        <f>+CM32+CM62+CM83+CM90</f>
        <v>0</v>
      </c>
      <c r="AN10" s="123">
        <f>+CV32+CV62+CV83+CV90</f>
        <v>0</v>
      </c>
      <c r="AO10" s="125">
        <f>+DJ32+DJ62+DJ83+DJ90</f>
        <v>0</v>
      </c>
      <c r="AP10" s="126">
        <f>+DS32+DS62+DS83+DS90</f>
        <v>0</v>
      </c>
      <c r="AQ10" s="126">
        <f>+EB32+EB62+EB83+EB90</f>
        <v>0</v>
      </c>
      <c r="AR10" s="128">
        <f>SUM(AF10:AQ10)</f>
        <v>467051.89999999991</v>
      </c>
    </row>
    <row r="11" spans="1:136" ht="16.5" thickBot="1" x14ac:dyDescent="0.3">
      <c r="D11" s="156"/>
      <c r="E11" s="156"/>
      <c r="F11" s="156"/>
      <c r="H11" s="88"/>
      <c r="N11" s="320" t="s">
        <v>947</v>
      </c>
      <c r="O11" s="321">
        <f>P90</f>
        <v>34861</v>
      </c>
      <c r="P11" s="322">
        <f>O11/J90</f>
        <v>2.1728834585918424</v>
      </c>
      <c r="Q11" s="323">
        <f>Q90</f>
        <v>29199.629999999983</v>
      </c>
      <c r="R11" s="324">
        <f>Q11/K90</f>
        <v>2.4396062250747343</v>
      </c>
      <c r="W11" s="90"/>
      <c r="X11" s="320" t="s">
        <v>947</v>
      </c>
      <c r="Y11" s="321">
        <f>Z90</f>
        <v>33461</v>
      </c>
      <c r="Z11" s="322">
        <f>Y11/S90</f>
        <v>29.198701922239263</v>
      </c>
      <c r="AA11" s="323">
        <f>AA90</f>
        <v>28303.629999999979</v>
      </c>
      <c r="AB11" s="324">
        <f>AA11/T90</f>
        <v>1.7641630889849338</v>
      </c>
      <c r="AE11" s="105" t="s">
        <v>950</v>
      </c>
      <c r="AF11" s="157">
        <f t="shared" ref="AF11:AQ11" si="2">+AF9/AF3</f>
        <v>0.85417778955866086</v>
      </c>
      <c r="AG11" s="158">
        <f t="shared" si="2"/>
        <v>0.85417778955866086</v>
      </c>
      <c r="AH11" s="159">
        <f t="shared" si="2"/>
        <v>0</v>
      </c>
      <c r="AI11" s="398">
        <f t="shared" si="2"/>
        <v>0</v>
      </c>
      <c r="AJ11" s="160">
        <f t="shared" si="2"/>
        <v>0</v>
      </c>
      <c r="AK11" s="161">
        <f t="shared" si="2"/>
        <v>0</v>
      </c>
      <c r="AL11" s="162">
        <f t="shared" si="2"/>
        <v>0</v>
      </c>
      <c r="AM11" s="163">
        <f t="shared" si="2"/>
        <v>0</v>
      </c>
      <c r="AN11" s="164">
        <f t="shared" si="2"/>
        <v>0</v>
      </c>
      <c r="AO11" s="165">
        <f t="shared" si="2"/>
        <v>0</v>
      </c>
      <c r="AP11" s="166">
        <f t="shared" si="2"/>
        <v>0</v>
      </c>
      <c r="AQ11" s="167">
        <f t="shared" si="2"/>
        <v>0</v>
      </c>
      <c r="AR11" s="168">
        <f t="shared" ref="AR11:AR12" si="3">IFERROR((AR9/AR3),0)</f>
        <v>0.14805748352350123</v>
      </c>
    </row>
    <row r="12" spans="1:136" ht="16.5" thickBot="1" x14ac:dyDescent="0.3">
      <c r="D12" s="156"/>
      <c r="E12" s="156"/>
      <c r="F12" s="156"/>
      <c r="H12" s="88"/>
      <c r="N12" s="325" t="s">
        <v>1020</v>
      </c>
      <c r="O12" s="310">
        <f>SUM(O8:O11)</f>
        <v>299175</v>
      </c>
      <c r="P12" s="326">
        <f>O12/O6</f>
        <v>0.85417802763177053</v>
      </c>
      <c r="Q12" s="311">
        <f>SUM(Q8:Q11)</f>
        <v>233525.94999999995</v>
      </c>
      <c r="R12" s="327">
        <f>Q12/Q6</f>
        <v>0.8937252913373771</v>
      </c>
      <c r="W12" s="90"/>
      <c r="X12" s="325" t="s">
        <v>1020</v>
      </c>
      <c r="Y12" s="310">
        <f>SUM(Y8:Y11)</f>
        <v>299175</v>
      </c>
      <c r="Z12" s="326">
        <f>Y12/Y6</f>
        <v>0.85417802763177053</v>
      </c>
      <c r="AA12" s="311">
        <f>SUM(AA8:AA11)</f>
        <v>233525.94999999995</v>
      </c>
      <c r="AB12" s="327">
        <f>AA12/AA6</f>
        <v>0.8937252913373771</v>
      </c>
      <c r="AD12" s="90"/>
      <c r="AE12" s="117" t="s">
        <v>951</v>
      </c>
      <c r="AF12" s="169">
        <f t="shared" ref="AF12:AQ12" si="4">+AF10/AF4</f>
        <v>0.89372501532737381</v>
      </c>
      <c r="AG12" s="170">
        <f t="shared" si="4"/>
        <v>0.89372501532737381</v>
      </c>
      <c r="AH12" s="171">
        <f t="shared" si="4"/>
        <v>0</v>
      </c>
      <c r="AI12" s="399">
        <f t="shared" si="4"/>
        <v>0</v>
      </c>
      <c r="AJ12" s="172">
        <f t="shared" si="4"/>
        <v>0</v>
      </c>
      <c r="AK12" s="173">
        <f t="shared" si="4"/>
        <v>0</v>
      </c>
      <c r="AL12" s="174">
        <f t="shared" si="4"/>
        <v>0</v>
      </c>
      <c r="AM12" s="175">
        <f t="shared" si="4"/>
        <v>0</v>
      </c>
      <c r="AN12" s="176">
        <f t="shared" si="4"/>
        <v>0</v>
      </c>
      <c r="AO12" s="177">
        <f t="shared" si="4"/>
        <v>0</v>
      </c>
      <c r="AP12" s="178">
        <f t="shared" si="4"/>
        <v>0</v>
      </c>
      <c r="AQ12" s="179">
        <f t="shared" si="4"/>
        <v>0</v>
      </c>
      <c r="AR12" s="180">
        <f t="shared" si="3"/>
        <v>0.1549123359900782</v>
      </c>
    </row>
    <row r="13" spans="1:136" ht="16.5" thickBot="1" x14ac:dyDescent="0.3">
      <c r="D13" s="156"/>
      <c r="E13" s="156"/>
      <c r="F13" s="156"/>
      <c r="I13" s="90">
        <f>I92</f>
        <v>25017.792687145593</v>
      </c>
      <c r="S13" s="90">
        <f>S92</f>
        <v>25017.792687145593</v>
      </c>
      <c r="AC13" s="90"/>
      <c r="AQ13" s="90">
        <f>+AQ16+AQ36+AQ67+AQ87-AI3</f>
        <v>-323306.85934157379</v>
      </c>
      <c r="AZ13" s="90">
        <f>+AZ16+AZ36+AZ67+AZ87-AJ3</f>
        <v>-323306.85934157379</v>
      </c>
      <c r="BI13" s="90">
        <f>+BI16+BI36+BI67+BI87-AK3</f>
        <v>-323306.85934157379</v>
      </c>
      <c r="BW13" s="90">
        <f>+BW16+BW36+BW67+BW87-AL3</f>
        <v>-336777.97848080611</v>
      </c>
      <c r="CF13" s="90">
        <f>+CF16+CF36+CF67+CF87-AM3</f>
        <v>-336777.97848080611</v>
      </c>
      <c r="CO13" s="90">
        <f>+CO16+CO36+CO67+CO87-AN3</f>
        <v>-336777.97848080611</v>
      </c>
      <c r="DC13" s="90">
        <f>+DC16+DC36+DC67+DC87-AO3</f>
        <v>-336777.97848080611</v>
      </c>
      <c r="DL13" s="90">
        <f>+DL16+DL36+DL67+DL87-AP3</f>
        <v>-336777.97848080611</v>
      </c>
      <c r="DU13" s="90">
        <f>+DU16+DU36+DU67+DU87-AQ3</f>
        <v>-336777.97848080611</v>
      </c>
    </row>
    <row r="14" spans="1:136" ht="16.5" thickBot="1" x14ac:dyDescent="0.3">
      <c r="D14" s="156"/>
      <c r="E14" s="156"/>
      <c r="F14" s="156"/>
      <c r="I14" s="444" t="s">
        <v>952</v>
      </c>
      <c r="J14" s="445"/>
      <c r="K14" s="446"/>
      <c r="L14" s="446"/>
      <c r="M14" s="446"/>
      <c r="N14" s="446"/>
      <c r="O14" s="446"/>
      <c r="P14" s="446"/>
      <c r="Q14" s="446"/>
      <c r="R14" s="446"/>
      <c r="S14" s="446"/>
      <c r="T14" s="446"/>
      <c r="U14" s="446"/>
      <c r="V14" s="446"/>
      <c r="W14" s="446"/>
      <c r="X14" s="446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7"/>
      <c r="AP14" s="90"/>
      <c r="AQ14" s="419" t="s">
        <v>953</v>
      </c>
      <c r="AR14" s="420"/>
      <c r="AS14" s="420"/>
      <c r="AT14" s="420"/>
      <c r="AU14" s="420"/>
      <c r="AV14" s="420"/>
      <c r="AW14" s="420"/>
      <c r="AX14" s="420"/>
      <c r="AY14" s="420"/>
      <c r="AZ14" s="420"/>
      <c r="BA14" s="420"/>
      <c r="BB14" s="420"/>
      <c r="BC14" s="420"/>
      <c r="BD14" s="420"/>
      <c r="BE14" s="420"/>
      <c r="BF14" s="420"/>
      <c r="BG14" s="420"/>
      <c r="BH14" s="420"/>
      <c r="BI14" s="420"/>
      <c r="BJ14" s="420"/>
      <c r="BK14" s="420"/>
      <c r="BL14" s="420"/>
      <c r="BM14" s="420"/>
      <c r="BN14" s="420"/>
      <c r="BO14" s="420"/>
      <c r="BP14" s="420"/>
      <c r="BQ14" s="420"/>
      <c r="BR14" s="420"/>
      <c r="BS14" s="420"/>
      <c r="BT14" s="421"/>
      <c r="BV14" s="90"/>
      <c r="BW14" s="419" t="s">
        <v>954</v>
      </c>
      <c r="BX14" s="420"/>
      <c r="BY14" s="420"/>
      <c r="BZ14" s="420"/>
      <c r="CA14" s="420"/>
      <c r="CB14" s="420"/>
      <c r="CC14" s="420"/>
      <c r="CD14" s="420"/>
      <c r="CE14" s="420"/>
      <c r="CF14" s="420"/>
      <c r="CG14" s="420"/>
      <c r="CH14" s="420"/>
      <c r="CI14" s="420"/>
      <c r="CJ14" s="420"/>
      <c r="CK14" s="420"/>
      <c r="CL14" s="420"/>
      <c r="CM14" s="420"/>
      <c r="CN14" s="420"/>
      <c r="CO14" s="420"/>
      <c r="CP14" s="420"/>
      <c r="CQ14" s="420"/>
      <c r="CR14" s="420"/>
      <c r="CS14" s="420"/>
      <c r="CT14" s="420"/>
      <c r="CU14" s="420"/>
      <c r="CV14" s="420"/>
      <c r="CW14" s="420"/>
      <c r="CX14" s="420"/>
      <c r="CY14" s="420"/>
      <c r="CZ14" s="421"/>
      <c r="DA14" s="186"/>
      <c r="DB14" s="186"/>
      <c r="DC14" s="419" t="s">
        <v>955</v>
      </c>
      <c r="DD14" s="420"/>
      <c r="DE14" s="420"/>
      <c r="DF14" s="420"/>
      <c r="DG14" s="420"/>
      <c r="DH14" s="420"/>
      <c r="DI14" s="420"/>
      <c r="DJ14" s="420"/>
      <c r="DK14" s="420"/>
      <c r="DL14" s="420"/>
      <c r="DM14" s="420"/>
      <c r="DN14" s="420"/>
      <c r="DO14" s="420"/>
      <c r="DP14" s="420"/>
      <c r="DQ14" s="420"/>
      <c r="DR14" s="420"/>
      <c r="DS14" s="420"/>
      <c r="DT14" s="420"/>
      <c r="DU14" s="420"/>
      <c r="DV14" s="420"/>
      <c r="DW14" s="420"/>
      <c r="DX14" s="420"/>
      <c r="DY14" s="420"/>
      <c r="DZ14" s="420"/>
      <c r="EA14" s="420"/>
      <c r="EB14" s="420"/>
      <c r="EC14" s="420"/>
      <c r="ED14" s="420"/>
      <c r="EE14" s="420"/>
      <c r="EF14" s="421"/>
    </row>
    <row r="15" spans="1:136" x14ac:dyDescent="0.25">
      <c r="A15" s="90"/>
      <c r="B15" s="187" t="s">
        <v>956</v>
      </c>
      <c r="C15" s="90"/>
      <c r="D15" s="90"/>
      <c r="E15" s="90"/>
      <c r="F15" s="90"/>
      <c r="I15" s="422">
        <v>46023</v>
      </c>
      <c r="J15" s="423"/>
      <c r="K15" s="424"/>
      <c r="L15" s="424"/>
      <c r="M15" s="424"/>
      <c r="N15" s="424"/>
      <c r="O15" s="424"/>
      <c r="P15" s="424"/>
      <c r="Q15" s="424"/>
      <c r="R15" s="425"/>
      <c r="S15" s="422">
        <v>46054</v>
      </c>
      <c r="T15" s="423"/>
      <c r="U15" s="424"/>
      <c r="V15" s="424"/>
      <c r="W15" s="424"/>
      <c r="X15" s="424"/>
      <c r="Y15" s="424"/>
      <c r="Z15" s="424"/>
      <c r="AA15" s="424"/>
      <c r="AB15" s="425"/>
      <c r="AC15" s="422">
        <v>46082</v>
      </c>
      <c r="AD15" s="424"/>
      <c r="AE15" s="424"/>
      <c r="AF15" s="424"/>
      <c r="AG15" s="424"/>
      <c r="AH15" s="424"/>
      <c r="AI15" s="424"/>
      <c r="AJ15" s="424"/>
      <c r="AK15" s="425"/>
      <c r="AL15" s="426" t="s">
        <v>957</v>
      </c>
      <c r="AM15" s="427"/>
      <c r="AN15" s="428"/>
      <c r="AP15" s="90"/>
      <c r="AQ15" s="429">
        <v>46113</v>
      </c>
      <c r="AR15" s="430"/>
      <c r="AS15" s="430"/>
      <c r="AT15" s="430"/>
      <c r="AU15" s="430"/>
      <c r="AV15" s="430"/>
      <c r="AW15" s="430"/>
      <c r="AX15" s="430"/>
      <c r="AY15" s="431"/>
      <c r="AZ15" s="429">
        <v>46143</v>
      </c>
      <c r="BA15" s="430"/>
      <c r="BB15" s="430"/>
      <c r="BC15" s="430"/>
      <c r="BD15" s="430"/>
      <c r="BE15" s="430"/>
      <c r="BF15" s="430"/>
      <c r="BG15" s="430"/>
      <c r="BH15" s="431"/>
      <c r="BI15" s="429">
        <v>46174</v>
      </c>
      <c r="BJ15" s="430"/>
      <c r="BK15" s="430"/>
      <c r="BL15" s="430"/>
      <c r="BM15" s="430"/>
      <c r="BN15" s="430"/>
      <c r="BO15" s="430"/>
      <c r="BP15" s="430"/>
      <c r="BQ15" s="431"/>
      <c r="BR15" s="432" t="s">
        <v>958</v>
      </c>
      <c r="BS15" s="433"/>
      <c r="BT15" s="434"/>
      <c r="BV15" s="90"/>
      <c r="BW15" s="429">
        <v>46204</v>
      </c>
      <c r="BX15" s="430"/>
      <c r="BY15" s="430"/>
      <c r="BZ15" s="430"/>
      <c r="CA15" s="430"/>
      <c r="CB15" s="430"/>
      <c r="CC15" s="430"/>
      <c r="CD15" s="430"/>
      <c r="CE15" s="431"/>
      <c r="CF15" s="429">
        <v>46235</v>
      </c>
      <c r="CG15" s="430"/>
      <c r="CH15" s="430"/>
      <c r="CI15" s="430"/>
      <c r="CJ15" s="430"/>
      <c r="CK15" s="430"/>
      <c r="CL15" s="430"/>
      <c r="CM15" s="430"/>
      <c r="CN15" s="431"/>
      <c r="CO15" s="429">
        <v>46266</v>
      </c>
      <c r="CP15" s="430"/>
      <c r="CQ15" s="430"/>
      <c r="CR15" s="430"/>
      <c r="CS15" s="430"/>
      <c r="CT15" s="430"/>
      <c r="CU15" s="430"/>
      <c r="CV15" s="430"/>
      <c r="CW15" s="431"/>
      <c r="CX15" s="432" t="s">
        <v>959</v>
      </c>
      <c r="CY15" s="433"/>
      <c r="CZ15" s="434"/>
      <c r="DA15" s="193"/>
      <c r="DB15" s="193"/>
      <c r="DC15" s="429">
        <v>46296</v>
      </c>
      <c r="DD15" s="430"/>
      <c r="DE15" s="430"/>
      <c r="DF15" s="430"/>
      <c r="DG15" s="430"/>
      <c r="DH15" s="430"/>
      <c r="DI15" s="430"/>
      <c r="DJ15" s="430"/>
      <c r="DK15" s="431"/>
      <c r="DL15" s="429">
        <v>46327</v>
      </c>
      <c r="DM15" s="430"/>
      <c r="DN15" s="430"/>
      <c r="DO15" s="430"/>
      <c r="DP15" s="430"/>
      <c r="DQ15" s="430"/>
      <c r="DR15" s="430"/>
      <c r="DS15" s="430"/>
      <c r="DT15" s="431"/>
      <c r="DU15" s="429">
        <v>46357</v>
      </c>
      <c r="DV15" s="430"/>
      <c r="DW15" s="430"/>
      <c r="DX15" s="430"/>
      <c r="DY15" s="430"/>
      <c r="DZ15" s="430"/>
      <c r="EA15" s="430"/>
      <c r="EB15" s="430"/>
      <c r="EC15" s="431"/>
      <c r="ED15" s="432" t="s">
        <v>960</v>
      </c>
      <c r="EE15" s="433"/>
      <c r="EF15" s="434"/>
    </row>
    <row r="16" spans="1:136" ht="16.5" thickBot="1" x14ac:dyDescent="0.3">
      <c r="A16" s="90"/>
      <c r="B16" s="90"/>
      <c r="C16" s="90"/>
      <c r="D16" s="90"/>
      <c r="E16" s="90"/>
      <c r="F16" s="90"/>
      <c r="I16" s="194"/>
      <c r="J16" s="195">
        <f>AF3*AD5%</f>
        <v>262784.27813430311</v>
      </c>
      <c r="K16" s="196">
        <f>AF4*AD5%</f>
        <v>196044.01446661836</v>
      </c>
      <c r="L16" s="448">
        <v>10</v>
      </c>
      <c r="M16" s="449"/>
      <c r="N16" s="463">
        <v>20</v>
      </c>
      <c r="O16" s="463"/>
      <c r="P16" s="463">
        <v>30</v>
      </c>
      <c r="Q16" s="463"/>
      <c r="R16" s="305" t="s">
        <v>961</v>
      </c>
      <c r="S16" s="404"/>
      <c r="T16" s="390">
        <f>AG3*AD5%</f>
        <v>262784.27813430311</v>
      </c>
      <c r="U16" s="389">
        <f>AG4*AD5%</f>
        <v>196044.01446661836</v>
      </c>
      <c r="V16" s="450">
        <v>10</v>
      </c>
      <c r="W16" s="451"/>
      <c r="X16" s="452">
        <v>20</v>
      </c>
      <c r="Y16" s="452"/>
      <c r="Z16" s="452">
        <v>30</v>
      </c>
      <c r="AA16" s="452"/>
      <c r="AB16" s="197" t="s">
        <v>961</v>
      </c>
      <c r="AC16" s="461">
        <f>AH3*AD5</f>
        <v>26278427.813430309</v>
      </c>
      <c r="AD16" s="462"/>
      <c r="AE16" s="450">
        <v>10</v>
      </c>
      <c r="AF16" s="451"/>
      <c r="AG16" s="452">
        <v>20</v>
      </c>
      <c r="AH16" s="452"/>
      <c r="AI16" s="452">
        <v>30</v>
      </c>
      <c r="AJ16" s="452"/>
      <c r="AK16" s="197" t="s">
        <v>961</v>
      </c>
      <c r="AL16" s="198" t="s">
        <v>962</v>
      </c>
      <c r="AM16" s="199" t="s">
        <v>963</v>
      </c>
      <c r="AN16" s="200" t="s">
        <v>964</v>
      </c>
      <c r="AP16" s="90"/>
      <c r="AQ16" s="453"/>
      <c r="AR16" s="454"/>
      <c r="AS16" s="455">
        <v>10</v>
      </c>
      <c r="AT16" s="455"/>
      <c r="AU16" s="455">
        <v>20</v>
      </c>
      <c r="AV16" s="455"/>
      <c r="AW16" s="455">
        <v>30</v>
      </c>
      <c r="AX16" s="455"/>
      <c r="AY16" s="201" t="s">
        <v>964</v>
      </c>
      <c r="AZ16" s="453"/>
      <c r="BA16" s="454"/>
      <c r="BB16" s="455">
        <v>10</v>
      </c>
      <c r="BC16" s="455"/>
      <c r="BD16" s="455">
        <v>20</v>
      </c>
      <c r="BE16" s="455"/>
      <c r="BF16" s="455">
        <v>31</v>
      </c>
      <c r="BG16" s="455"/>
      <c r="BH16" s="201" t="s">
        <v>964</v>
      </c>
      <c r="BI16" s="453"/>
      <c r="BJ16" s="454"/>
      <c r="BK16" s="455">
        <v>10</v>
      </c>
      <c r="BL16" s="455"/>
      <c r="BM16" s="455">
        <v>20</v>
      </c>
      <c r="BN16" s="455"/>
      <c r="BO16" s="455">
        <v>30</v>
      </c>
      <c r="BP16" s="455"/>
      <c r="BQ16" s="201" t="s">
        <v>964</v>
      </c>
      <c r="BR16" s="202" t="s">
        <v>962</v>
      </c>
      <c r="BS16" s="203" t="s">
        <v>963</v>
      </c>
      <c r="BT16" s="204" t="s">
        <v>964</v>
      </c>
      <c r="BV16" s="90"/>
      <c r="BW16" s="457"/>
      <c r="BX16" s="458"/>
      <c r="BY16" s="456">
        <v>10</v>
      </c>
      <c r="BZ16" s="456"/>
      <c r="CA16" s="456">
        <v>20</v>
      </c>
      <c r="CB16" s="456"/>
      <c r="CC16" s="456">
        <v>30</v>
      </c>
      <c r="CD16" s="456"/>
      <c r="CE16" s="205" t="s">
        <v>964</v>
      </c>
      <c r="CF16" s="457"/>
      <c r="CG16" s="458"/>
      <c r="CH16" s="456">
        <v>10</v>
      </c>
      <c r="CI16" s="456"/>
      <c r="CJ16" s="456">
        <v>20</v>
      </c>
      <c r="CK16" s="456"/>
      <c r="CL16" s="456">
        <v>30</v>
      </c>
      <c r="CM16" s="456"/>
      <c r="CN16" s="205" t="s">
        <v>964</v>
      </c>
      <c r="CO16" s="457"/>
      <c r="CP16" s="458"/>
      <c r="CQ16" s="456">
        <v>10</v>
      </c>
      <c r="CR16" s="456"/>
      <c r="CS16" s="456">
        <v>20</v>
      </c>
      <c r="CT16" s="456"/>
      <c r="CU16" s="456">
        <v>30</v>
      </c>
      <c r="CV16" s="456"/>
      <c r="CW16" s="205" t="s">
        <v>964</v>
      </c>
      <c r="CX16" s="202" t="s">
        <v>962</v>
      </c>
      <c r="CY16" s="203" t="s">
        <v>963</v>
      </c>
      <c r="CZ16" s="204" t="s">
        <v>964</v>
      </c>
      <c r="DA16" s="193"/>
      <c r="DB16" s="193"/>
      <c r="DC16" s="457"/>
      <c r="DD16" s="458"/>
      <c r="DE16" s="456">
        <v>10</v>
      </c>
      <c r="DF16" s="456"/>
      <c r="DG16" s="456">
        <v>20</v>
      </c>
      <c r="DH16" s="456"/>
      <c r="DI16" s="456">
        <v>30</v>
      </c>
      <c r="DJ16" s="456"/>
      <c r="DK16" s="205" t="s">
        <v>964</v>
      </c>
      <c r="DL16" s="457"/>
      <c r="DM16" s="458"/>
      <c r="DN16" s="456">
        <v>10</v>
      </c>
      <c r="DO16" s="456"/>
      <c r="DP16" s="456">
        <v>20</v>
      </c>
      <c r="DQ16" s="456"/>
      <c r="DR16" s="456">
        <v>30</v>
      </c>
      <c r="DS16" s="456"/>
      <c r="DT16" s="205" t="s">
        <v>964</v>
      </c>
      <c r="DU16" s="457"/>
      <c r="DV16" s="458"/>
      <c r="DW16" s="456">
        <v>10</v>
      </c>
      <c r="DX16" s="456"/>
      <c r="DY16" s="456">
        <v>20</v>
      </c>
      <c r="DZ16" s="456"/>
      <c r="EA16" s="456">
        <v>30</v>
      </c>
      <c r="EB16" s="456"/>
      <c r="EC16" s="205" t="s">
        <v>964</v>
      </c>
      <c r="ED16" s="202" t="s">
        <v>962</v>
      </c>
      <c r="EE16" s="203" t="s">
        <v>963</v>
      </c>
      <c r="EF16" s="204" t="s">
        <v>964</v>
      </c>
    </row>
    <row r="17" spans="1:136" s="90" customFormat="1" x14ac:dyDescent="0.25">
      <c r="A17" s="188" t="s">
        <v>965</v>
      </c>
      <c r="B17" s="459" t="s">
        <v>966</v>
      </c>
      <c r="C17" s="460"/>
      <c r="D17" s="459" t="s">
        <v>967</v>
      </c>
      <c r="E17" s="460"/>
      <c r="F17" s="189" t="s">
        <v>968</v>
      </c>
      <c r="G17" s="384" t="s">
        <v>969</v>
      </c>
      <c r="H17" s="256" t="s">
        <v>970</v>
      </c>
      <c r="I17" s="183" t="s">
        <v>971</v>
      </c>
      <c r="J17" s="184" t="s">
        <v>972</v>
      </c>
      <c r="K17" s="254" t="s">
        <v>973</v>
      </c>
      <c r="L17" s="184" t="s">
        <v>972</v>
      </c>
      <c r="M17" s="283" t="s">
        <v>468</v>
      </c>
      <c r="N17" s="184" t="s">
        <v>972</v>
      </c>
      <c r="O17" s="283" t="s">
        <v>468</v>
      </c>
      <c r="P17" s="184" t="s">
        <v>972</v>
      </c>
      <c r="Q17" s="283" t="s">
        <v>468</v>
      </c>
      <c r="R17" s="185" t="s">
        <v>468</v>
      </c>
      <c r="S17" s="221" t="s">
        <v>971</v>
      </c>
      <c r="T17" s="184" t="s">
        <v>972</v>
      </c>
      <c r="U17" s="254" t="s">
        <v>973</v>
      </c>
      <c r="V17" s="184" t="s">
        <v>972</v>
      </c>
      <c r="W17" s="283" t="s">
        <v>468</v>
      </c>
      <c r="X17" s="184" t="s">
        <v>972</v>
      </c>
      <c r="Y17" s="283" t="s">
        <v>468</v>
      </c>
      <c r="Z17" s="184" t="s">
        <v>972</v>
      </c>
      <c r="AA17" s="283" t="s">
        <v>468</v>
      </c>
      <c r="AB17" s="185" t="s">
        <v>468</v>
      </c>
      <c r="AC17" s="210" t="s">
        <v>971</v>
      </c>
      <c r="AD17" s="211" t="s">
        <v>972</v>
      </c>
      <c r="AE17" s="211" t="s">
        <v>972</v>
      </c>
      <c r="AF17" s="211" t="s">
        <v>468</v>
      </c>
      <c r="AG17" s="211" t="s">
        <v>972</v>
      </c>
      <c r="AH17" s="211" t="s">
        <v>468</v>
      </c>
      <c r="AI17" s="211" t="s">
        <v>972</v>
      </c>
      <c r="AJ17" s="211" t="s">
        <v>468</v>
      </c>
      <c r="AK17" s="189" t="s">
        <v>972</v>
      </c>
      <c r="AL17" s="210" t="s">
        <v>972</v>
      </c>
      <c r="AM17" s="211" t="s">
        <v>972</v>
      </c>
      <c r="AN17" s="212"/>
      <c r="AO17" s="88"/>
      <c r="AP17" s="206" t="s">
        <v>969</v>
      </c>
      <c r="AQ17" s="190" t="s">
        <v>971</v>
      </c>
      <c r="AR17" s="191" t="s">
        <v>972</v>
      </c>
      <c r="AS17" s="191" t="s">
        <v>972</v>
      </c>
      <c r="AT17" s="191" t="s">
        <v>974</v>
      </c>
      <c r="AU17" s="191" t="s">
        <v>972</v>
      </c>
      <c r="AV17" s="191" t="s">
        <v>974</v>
      </c>
      <c r="AW17" s="191" t="s">
        <v>972</v>
      </c>
      <c r="AX17" s="191" t="s">
        <v>974</v>
      </c>
      <c r="AY17" s="192" t="s">
        <v>972</v>
      </c>
      <c r="AZ17" s="190" t="s">
        <v>971</v>
      </c>
      <c r="BA17" s="191" t="s">
        <v>972</v>
      </c>
      <c r="BB17" s="191" t="s">
        <v>972</v>
      </c>
      <c r="BC17" s="191" t="s">
        <v>974</v>
      </c>
      <c r="BD17" s="191" t="s">
        <v>972</v>
      </c>
      <c r="BE17" s="191" t="s">
        <v>974</v>
      </c>
      <c r="BF17" s="191" t="s">
        <v>972</v>
      </c>
      <c r="BG17" s="191" t="s">
        <v>974</v>
      </c>
      <c r="BH17" s="192" t="s">
        <v>972</v>
      </c>
      <c r="BI17" s="190" t="s">
        <v>971</v>
      </c>
      <c r="BJ17" s="191" t="s">
        <v>972</v>
      </c>
      <c r="BK17" s="191" t="s">
        <v>972</v>
      </c>
      <c r="BL17" s="191" t="s">
        <v>974</v>
      </c>
      <c r="BM17" s="191" t="s">
        <v>972</v>
      </c>
      <c r="BN17" s="191" t="s">
        <v>974</v>
      </c>
      <c r="BO17" s="191" t="s">
        <v>972</v>
      </c>
      <c r="BP17" s="191" t="s">
        <v>974</v>
      </c>
      <c r="BQ17" s="192" t="s">
        <v>972</v>
      </c>
      <c r="BR17" s="190" t="s">
        <v>972</v>
      </c>
      <c r="BS17" s="191" t="s">
        <v>972</v>
      </c>
      <c r="BT17" s="192" t="s">
        <v>972</v>
      </c>
      <c r="BV17" s="206" t="s">
        <v>969</v>
      </c>
      <c r="BW17" s="190" t="s">
        <v>971</v>
      </c>
      <c r="BX17" s="191" t="s">
        <v>972</v>
      </c>
      <c r="BY17" s="191" t="s">
        <v>972</v>
      </c>
      <c r="BZ17" s="191" t="s">
        <v>974</v>
      </c>
      <c r="CA17" s="191" t="s">
        <v>972</v>
      </c>
      <c r="CB17" s="191" t="s">
        <v>974</v>
      </c>
      <c r="CC17" s="191" t="s">
        <v>972</v>
      </c>
      <c r="CD17" s="191" t="s">
        <v>974</v>
      </c>
      <c r="CE17" s="192" t="s">
        <v>972</v>
      </c>
      <c r="CF17" s="190" t="s">
        <v>971</v>
      </c>
      <c r="CG17" s="191" t="s">
        <v>972</v>
      </c>
      <c r="CH17" s="191" t="s">
        <v>972</v>
      </c>
      <c r="CI17" s="191" t="s">
        <v>974</v>
      </c>
      <c r="CJ17" s="191" t="s">
        <v>972</v>
      </c>
      <c r="CK17" s="191" t="s">
        <v>974</v>
      </c>
      <c r="CL17" s="191" t="s">
        <v>972</v>
      </c>
      <c r="CM17" s="191" t="s">
        <v>974</v>
      </c>
      <c r="CN17" s="192" t="s">
        <v>972</v>
      </c>
      <c r="CO17" s="190" t="s">
        <v>971</v>
      </c>
      <c r="CP17" s="191" t="s">
        <v>972</v>
      </c>
      <c r="CQ17" s="191" t="s">
        <v>972</v>
      </c>
      <c r="CR17" s="191" t="s">
        <v>974</v>
      </c>
      <c r="CS17" s="191" t="s">
        <v>972</v>
      </c>
      <c r="CT17" s="191" t="s">
        <v>974</v>
      </c>
      <c r="CU17" s="191" t="s">
        <v>972</v>
      </c>
      <c r="CV17" s="191" t="s">
        <v>974</v>
      </c>
      <c r="CW17" s="192" t="s">
        <v>972</v>
      </c>
      <c r="CX17" s="190" t="s">
        <v>972</v>
      </c>
      <c r="CY17" s="191" t="s">
        <v>972</v>
      </c>
      <c r="CZ17" s="192" t="s">
        <v>972</v>
      </c>
      <c r="DA17" s="213"/>
      <c r="DB17" s="214" t="s">
        <v>969</v>
      </c>
      <c r="DC17" s="190" t="s">
        <v>971</v>
      </c>
      <c r="DD17" s="191" t="s">
        <v>972</v>
      </c>
      <c r="DE17" s="191" t="s">
        <v>972</v>
      </c>
      <c r="DF17" s="191" t="s">
        <v>974</v>
      </c>
      <c r="DG17" s="191" t="s">
        <v>972</v>
      </c>
      <c r="DH17" s="191" t="s">
        <v>974</v>
      </c>
      <c r="DI17" s="191" t="s">
        <v>972</v>
      </c>
      <c r="DJ17" s="191" t="s">
        <v>974</v>
      </c>
      <c r="DK17" s="192" t="s">
        <v>972</v>
      </c>
      <c r="DL17" s="190" t="s">
        <v>971</v>
      </c>
      <c r="DM17" s="191" t="s">
        <v>972</v>
      </c>
      <c r="DN17" s="191" t="s">
        <v>972</v>
      </c>
      <c r="DO17" s="191" t="s">
        <v>974</v>
      </c>
      <c r="DP17" s="191" t="s">
        <v>972</v>
      </c>
      <c r="DQ17" s="191" t="s">
        <v>974</v>
      </c>
      <c r="DR17" s="191" t="s">
        <v>972</v>
      </c>
      <c r="DS17" s="191" t="s">
        <v>974</v>
      </c>
      <c r="DT17" s="192" t="s">
        <v>972</v>
      </c>
      <c r="DU17" s="190" t="s">
        <v>971</v>
      </c>
      <c r="DV17" s="191" t="s">
        <v>972</v>
      </c>
      <c r="DW17" s="191" t="s">
        <v>972</v>
      </c>
      <c r="DX17" s="191" t="s">
        <v>974</v>
      </c>
      <c r="DY17" s="191" t="s">
        <v>972</v>
      </c>
      <c r="DZ17" s="191" t="s">
        <v>974</v>
      </c>
      <c r="EA17" s="191" t="s">
        <v>972</v>
      </c>
      <c r="EB17" s="191" t="s">
        <v>974</v>
      </c>
      <c r="EC17" s="192" t="s">
        <v>972</v>
      </c>
      <c r="ED17" s="215" t="s">
        <v>972</v>
      </c>
      <c r="EE17" s="216" t="s">
        <v>972</v>
      </c>
      <c r="EF17" s="192" t="s">
        <v>972</v>
      </c>
    </row>
    <row r="18" spans="1:136" s="90" customFormat="1" hidden="1" outlineLevel="1" x14ac:dyDescent="0.25">
      <c r="A18" s="257">
        <v>1</v>
      </c>
      <c r="B18" s="217" t="s">
        <v>391</v>
      </c>
      <c r="C18" s="217" t="s">
        <v>95</v>
      </c>
      <c r="D18" s="217" t="s">
        <v>975</v>
      </c>
      <c r="E18" s="218" t="s">
        <v>976</v>
      </c>
      <c r="F18" s="219" t="s">
        <v>152</v>
      </c>
      <c r="G18" s="220">
        <v>37.131124974929492</v>
      </c>
      <c r="H18" s="207"/>
      <c r="I18" s="188">
        <f>J18/14</f>
        <v>6969.6256234653138</v>
      </c>
      <c r="J18" s="284">
        <f>$J$16*G18%</f>
        <v>97574.758728514396</v>
      </c>
      <c r="K18" s="209">
        <f>$K$16*G18%</f>
        <v>72793.348017468918</v>
      </c>
      <c r="L18" s="255">
        <v>21030</v>
      </c>
      <c r="M18" s="285">
        <v>16267.2</v>
      </c>
      <c r="N18" s="286">
        <v>52990</v>
      </c>
      <c r="O18" s="287">
        <v>41171.199999999997</v>
      </c>
      <c r="P18" s="286">
        <v>85150</v>
      </c>
      <c r="Q18" s="287">
        <v>67132</v>
      </c>
      <c r="R18" s="288">
        <f>IFERROR((P18/K18),0)</f>
        <v>1.169749741137964</v>
      </c>
      <c r="S18" s="221">
        <f>T18/14</f>
        <v>6969.6256234653138</v>
      </c>
      <c r="T18" s="226">
        <f>$T$16*G18%</f>
        <v>97574.758728514396</v>
      </c>
      <c r="U18" s="279">
        <f>$U$16*G18%</f>
        <v>72793.348017468918</v>
      </c>
      <c r="V18" s="219">
        <f>IFERROR(VLOOKUP(B18,F_U!A:C,3,0),0)</f>
        <v>85150</v>
      </c>
      <c r="W18" s="279">
        <f>IFERROR(VLOOKUP(B18,F_U!A:B,2,0),0)</f>
        <v>67132</v>
      </c>
      <c r="X18" s="219">
        <f>IFERROR(VLOOKUP(B18,F_U!A:C,3,0),0)</f>
        <v>85150</v>
      </c>
      <c r="Y18" s="279">
        <f>IFERROR(VLOOKUP(B18,F_U!A:B,2,0),0)</f>
        <v>67132</v>
      </c>
      <c r="Z18" s="219">
        <f>IFERROR(VLOOKUP(B18,F_U!A:C,3,0),0)</f>
        <v>85150</v>
      </c>
      <c r="AA18" s="279">
        <f>IFERROR(VLOOKUP(B18,F_U!A:B,2,0),0)</f>
        <v>67132</v>
      </c>
      <c r="AB18" s="224">
        <f>IFERROR((Z18/U18),0)</f>
        <v>1.169749741137964</v>
      </c>
      <c r="AC18" s="225"/>
      <c r="AD18" s="219"/>
      <c r="AE18" s="219"/>
      <c r="AF18" s="219"/>
      <c r="AG18" s="223"/>
      <c r="AH18" s="223"/>
      <c r="AI18" s="219"/>
      <c r="AJ18" s="219"/>
      <c r="AK18" s="224">
        <f>IFERROR((AI18/AD18),0)</f>
        <v>0</v>
      </c>
      <c r="AL18" s="226">
        <f>+AD18+U18+K18</f>
        <v>145586.69603493784</v>
      </c>
      <c r="AM18" s="223">
        <f>+AI18+Z18+P18</f>
        <v>170300</v>
      </c>
      <c r="AN18" s="224">
        <f>IFERROR((AM18/AL18),0)</f>
        <v>1.169749741137964</v>
      </c>
      <c r="AO18" s="88"/>
      <c r="AP18" s="227"/>
      <c r="AQ18" s="221"/>
      <c r="AR18" s="206"/>
      <c r="AS18" s="219"/>
      <c r="AT18" s="219"/>
      <c r="AU18" s="223"/>
      <c r="AV18" s="223"/>
      <c r="AW18" s="219"/>
      <c r="AX18" s="219"/>
      <c r="AY18" s="224">
        <f>IFERROR((AW18/AR18),0)</f>
        <v>0</v>
      </c>
      <c r="AZ18" s="221"/>
      <c r="BA18" s="206"/>
      <c r="BB18" s="219"/>
      <c r="BC18" s="219"/>
      <c r="BD18" s="223"/>
      <c r="BE18" s="223"/>
      <c r="BF18" s="219"/>
      <c r="BG18" s="219"/>
      <c r="BH18" s="224">
        <f>IFERROR((BF18/BA18),0)</f>
        <v>0</v>
      </c>
      <c r="BI18" s="221"/>
      <c r="BJ18" s="206"/>
      <c r="BK18" s="219"/>
      <c r="BL18" s="219"/>
      <c r="BM18" s="223"/>
      <c r="BN18" s="223"/>
      <c r="BO18" s="219"/>
      <c r="BP18" s="219"/>
      <c r="BQ18" s="224">
        <f>IFERROR((BO18/BJ18),0)</f>
        <v>0</v>
      </c>
      <c r="BR18" s="226">
        <f>+BJ18+BA18+AR18</f>
        <v>0</v>
      </c>
      <c r="BS18" s="223">
        <f>+BO18+BF18+AW18</f>
        <v>0</v>
      </c>
      <c r="BT18" s="224">
        <f>IFERROR((BS18/BR18),0)</f>
        <v>0</v>
      </c>
      <c r="BV18" s="227"/>
      <c r="BW18" s="225"/>
      <c r="BX18" s="219"/>
      <c r="BY18" s="219"/>
      <c r="BZ18" s="219"/>
      <c r="CA18" s="223"/>
      <c r="CB18" s="223"/>
      <c r="CC18" s="219"/>
      <c r="CD18" s="219"/>
      <c r="CE18" s="224">
        <f>IFERROR((CC18/BX18),0)</f>
        <v>0</v>
      </c>
      <c r="CF18" s="225"/>
      <c r="CG18" s="219"/>
      <c r="CH18" s="219"/>
      <c r="CI18" s="219"/>
      <c r="CJ18" s="223"/>
      <c r="CK18" s="223"/>
      <c r="CL18" s="219"/>
      <c r="CM18" s="219"/>
      <c r="CN18" s="224">
        <f>IFERROR((CL18/CG18),0)</f>
        <v>0</v>
      </c>
      <c r="CO18" s="225"/>
      <c r="CP18" s="219"/>
      <c r="CQ18" s="219"/>
      <c r="CR18" s="219"/>
      <c r="CS18" s="223"/>
      <c r="CT18" s="223"/>
      <c r="CU18" s="219"/>
      <c r="CV18" s="219"/>
      <c r="CW18" s="224">
        <f>IFERROR((CU18/CP18),0)</f>
        <v>0</v>
      </c>
      <c r="CX18" s="226">
        <f>+CP18+CG18+BX18</f>
        <v>0</v>
      </c>
      <c r="CY18" s="223">
        <f>+CU18+CL18+CC18</f>
        <v>0</v>
      </c>
      <c r="CZ18" s="224">
        <f>IFERROR((CY18/CX18),0)</f>
        <v>0</v>
      </c>
      <c r="DB18" s="227"/>
      <c r="DC18" s="221"/>
      <c r="DD18" s="206"/>
      <c r="DE18" s="219"/>
      <c r="DF18" s="219"/>
      <c r="DG18" s="223"/>
      <c r="DH18" s="223"/>
      <c r="DI18" s="219"/>
      <c r="DJ18" s="219"/>
      <c r="DK18" s="224">
        <f>IFERROR((DI18/DD18),0)</f>
        <v>0</v>
      </c>
      <c r="DL18" s="221"/>
      <c r="DM18" s="206"/>
      <c r="DN18" s="219"/>
      <c r="DO18" s="219"/>
      <c r="DP18" s="223"/>
      <c r="DQ18" s="223"/>
      <c r="DR18" s="219"/>
      <c r="DS18" s="219"/>
      <c r="DT18" s="224">
        <f>IFERROR((DR18/DM18),0)</f>
        <v>0</v>
      </c>
      <c r="DU18" s="221"/>
      <c r="DV18" s="206"/>
      <c r="DW18" s="219"/>
      <c r="DX18" s="219"/>
      <c r="DY18" s="223"/>
      <c r="DZ18" s="223"/>
      <c r="EA18" s="219"/>
      <c r="EB18" s="219"/>
      <c r="EC18" s="224">
        <f>IFERROR((EA18/DV18),0)</f>
        <v>0</v>
      </c>
      <c r="ED18" s="226">
        <f>+DV18+DM18+DD18</f>
        <v>0</v>
      </c>
      <c r="EE18" s="223">
        <f>+EA18+DR18+DI18</f>
        <v>0</v>
      </c>
      <c r="EF18" s="224">
        <f>IFERROR((EE18/ED18),0)</f>
        <v>0</v>
      </c>
    </row>
    <row r="19" spans="1:136" s="90" customFormat="1" hidden="1" outlineLevel="1" x14ac:dyDescent="0.25">
      <c r="A19" s="257">
        <v>2</v>
      </c>
      <c r="B19" s="217" t="s">
        <v>396</v>
      </c>
      <c r="C19" s="217" t="s">
        <v>977</v>
      </c>
      <c r="D19" s="217" t="s">
        <v>975</v>
      </c>
      <c r="E19" s="218" t="s">
        <v>978</v>
      </c>
      <c r="F19" s="219" t="s">
        <v>152</v>
      </c>
      <c r="G19" s="220">
        <v>17.049091248984627</v>
      </c>
      <c r="H19" s="207"/>
      <c r="I19" s="221">
        <f>J19/14</f>
        <v>3200.1665262216352</v>
      </c>
      <c r="J19" s="282">
        <f t="shared" ref="J19:J31" si="5">$J$16*G19%</f>
        <v>44802.331367102895</v>
      </c>
      <c r="K19" s="222">
        <f t="shared" ref="K19:K31" si="6">$K$16*G19%</f>
        <v>33423.722914586389</v>
      </c>
      <c r="L19" s="219">
        <v>6400</v>
      </c>
      <c r="M19" s="279">
        <v>5392</v>
      </c>
      <c r="N19" s="223">
        <v>21200</v>
      </c>
      <c r="O19" s="281">
        <v>16160</v>
      </c>
      <c r="P19" s="223">
        <v>41200</v>
      </c>
      <c r="Q19" s="281">
        <v>31120</v>
      </c>
      <c r="R19" s="278">
        <f t="shared" ref="R19:R31" si="7">IFERROR((P19/K19),0)</f>
        <v>1.2326574183637689</v>
      </c>
      <c r="S19" s="221">
        <f t="shared" ref="S19:S31" si="8">T19/14</f>
        <v>3200.1665262216352</v>
      </c>
      <c r="T19" s="226">
        <f t="shared" ref="T19:T31" si="9">$T$16*G19%</f>
        <v>44802.331367102895</v>
      </c>
      <c r="U19" s="279">
        <f t="shared" ref="U19:U31" si="10">$U$16*G19%</f>
        <v>33423.722914586389</v>
      </c>
      <c r="V19" s="219">
        <f>IFERROR(VLOOKUP(B19,F_U!A:C,3,0),0)</f>
        <v>41200</v>
      </c>
      <c r="W19" s="279">
        <f>IFERROR(VLOOKUP(B19,F_U!A:B,2,0),0)</f>
        <v>31120</v>
      </c>
      <c r="X19" s="219">
        <f>IFERROR(VLOOKUP(B19,F_U!A:C,3,0),0)</f>
        <v>41200</v>
      </c>
      <c r="Y19" s="279">
        <f>IFERROR(VLOOKUP(B19,F_U!A:B,2,0),0)</f>
        <v>31120</v>
      </c>
      <c r="Z19" s="219">
        <f>IFERROR(VLOOKUP(B19,F_U!A:C,3,0),0)</f>
        <v>41200</v>
      </c>
      <c r="AA19" s="279">
        <f>IFERROR(VLOOKUP(B19,F_U!A:B,2,0),0)</f>
        <v>31120</v>
      </c>
      <c r="AB19" s="224">
        <f t="shared" ref="AB19:AB31" si="11">IFERROR((Z19/U19),0)</f>
        <v>1.2326574183637689</v>
      </c>
      <c r="AC19" s="225"/>
      <c r="AD19" s="219"/>
      <c r="AE19" s="219"/>
      <c r="AF19" s="219"/>
      <c r="AG19" s="223"/>
      <c r="AH19" s="223"/>
      <c r="AI19" s="219"/>
      <c r="AJ19" s="219"/>
      <c r="AK19" s="224">
        <f t="shared" ref="AK19:AK31" si="12">IFERROR((AI19/AD19),0)</f>
        <v>0</v>
      </c>
      <c r="AL19" s="226">
        <f t="shared" ref="AL19:AL31" si="13">+AD19+U19+K19</f>
        <v>66847.445829172779</v>
      </c>
      <c r="AM19" s="223">
        <f t="shared" ref="AM19:AM31" si="14">+AI19+Z19+P19</f>
        <v>82400</v>
      </c>
      <c r="AN19" s="224">
        <f t="shared" ref="AN19:AN32" si="15">IFERROR((AM19/AL19),0)</f>
        <v>1.2326574183637689</v>
      </c>
      <c r="AO19" s="88"/>
      <c r="AP19" s="227"/>
      <c r="AQ19" s="221"/>
      <c r="AR19" s="206"/>
      <c r="AS19" s="219"/>
      <c r="AT19" s="219"/>
      <c r="AU19" s="223"/>
      <c r="AV19" s="223"/>
      <c r="AW19" s="219"/>
      <c r="AX19" s="219"/>
      <c r="AY19" s="224">
        <f t="shared" ref="AY19:AY31" si="16">IFERROR((AW19/AR19),0)</f>
        <v>0</v>
      </c>
      <c r="AZ19" s="221"/>
      <c r="BA19" s="206"/>
      <c r="BB19" s="219"/>
      <c r="BC19" s="219"/>
      <c r="BD19" s="223"/>
      <c r="BE19" s="223"/>
      <c r="BF19" s="219"/>
      <c r="BG19" s="219"/>
      <c r="BH19" s="224">
        <f t="shared" ref="BH19:BH31" si="17">IFERROR((BF19/BA19),0)</f>
        <v>0</v>
      </c>
      <c r="BI19" s="221"/>
      <c r="BJ19" s="206"/>
      <c r="BK19" s="219"/>
      <c r="BL19" s="219"/>
      <c r="BM19" s="223"/>
      <c r="BN19" s="223"/>
      <c r="BO19" s="219"/>
      <c r="BP19" s="219"/>
      <c r="BQ19" s="224">
        <f t="shared" ref="BQ19:BQ31" si="18">IFERROR((BO19/BJ19),0)</f>
        <v>0</v>
      </c>
      <c r="BR19" s="226">
        <f t="shared" ref="BR19:BR31" si="19">+BJ19+BA19+AR19</f>
        <v>0</v>
      </c>
      <c r="BS19" s="223">
        <f t="shared" ref="BS19:BS31" si="20">+BO19+BF19+AW19</f>
        <v>0</v>
      </c>
      <c r="BT19" s="224">
        <f t="shared" ref="BT19:BT32" si="21">IFERROR((BS19/BR19),0)</f>
        <v>0</v>
      </c>
      <c r="BV19" s="227"/>
      <c r="BW19" s="225"/>
      <c r="BX19" s="219"/>
      <c r="BY19" s="219"/>
      <c r="BZ19" s="219"/>
      <c r="CA19" s="223"/>
      <c r="CB19" s="223"/>
      <c r="CC19" s="219"/>
      <c r="CD19" s="219"/>
      <c r="CE19" s="224">
        <f t="shared" ref="CE19:CE31" si="22">IFERROR((CC19/BX19),0)</f>
        <v>0</v>
      </c>
      <c r="CF19" s="225"/>
      <c r="CG19" s="219"/>
      <c r="CH19" s="228"/>
      <c r="CI19" s="228"/>
      <c r="CJ19" s="223"/>
      <c r="CK19" s="223"/>
      <c r="CL19" s="219"/>
      <c r="CM19" s="219"/>
      <c r="CN19" s="224">
        <f t="shared" ref="CN19:CN31" si="23">IFERROR((CL19/CG19),0)</f>
        <v>0</v>
      </c>
      <c r="CO19" s="225"/>
      <c r="CP19" s="219"/>
      <c r="CQ19" s="219"/>
      <c r="CR19" s="219"/>
      <c r="CS19" s="223"/>
      <c r="CT19" s="223"/>
      <c r="CU19" s="219"/>
      <c r="CV19" s="219"/>
      <c r="CW19" s="224">
        <f t="shared" ref="CW19:CW31" si="24">IFERROR((CU19/CP19),0)</f>
        <v>0</v>
      </c>
      <c r="CX19" s="226">
        <f t="shared" ref="CX19:CX31" si="25">+CP19+CG19+BX19</f>
        <v>0</v>
      </c>
      <c r="CY19" s="223">
        <f t="shared" ref="CY19:CY31" si="26">+CU19+CL19+CC19</f>
        <v>0</v>
      </c>
      <c r="CZ19" s="224">
        <f t="shared" ref="CZ19:CZ32" si="27">IFERROR((CY19/CX19),0)</f>
        <v>0</v>
      </c>
      <c r="DB19" s="227"/>
      <c r="DC19" s="221"/>
      <c r="DD19" s="206"/>
      <c r="DE19" s="219"/>
      <c r="DF19" s="219"/>
      <c r="DG19" s="223"/>
      <c r="DH19" s="223"/>
      <c r="DI19" s="219"/>
      <c r="DJ19" s="219"/>
      <c r="DK19" s="224">
        <f t="shared" ref="DK19:DK31" si="28">IFERROR((DI19/DD19),0)</f>
        <v>0</v>
      </c>
      <c r="DL19" s="221"/>
      <c r="DM19" s="206"/>
      <c r="DN19" s="219"/>
      <c r="DO19" s="219"/>
      <c r="DP19" s="223"/>
      <c r="DQ19" s="223"/>
      <c r="DR19" s="219"/>
      <c r="DS19" s="219"/>
      <c r="DT19" s="224">
        <f t="shared" ref="DT19:DT31" si="29">IFERROR((DR19/DM19),0)</f>
        <v>0</v>
      </c>
      <c r="DU19" s="221"/>
      <c r="DV19" s="206"/>
      <c r="DW19" s="219"/>
      <c r="DX19" s="219"/>
      <c r="DY19" s="223"/>
      <c r="DZ19" s="223"/>
      <c r="EA19" s="219"/>
      <c r="EB19" s="219"/>
      <c r="EC19" s="224">
        <f t="shared" ref="EC19:EC31" si="30">IFERROR((EA19/DV19),0)</f>
        <v>0</v>
      </c>
      <c r="ED19" s="226">
        <f t="shared" ref="ED19:ED31" si="31">+DV19+DM19+DD19</f>
        <v>0</v>
      </c>
      <c r="EE19" s="223">
        <f t="shared" ref="EE19:EE31" si="32">+EA19+DR19+DI19</f>
        <v>0</v>
      </c>
      <c r="EF19" s="224">
        <f t="shared" ref="EF19:EF32" si="33">IFERROR((EE19/ED19),0)</f>
        <v>0</v>
      </c>
    </row>
    <row r="20" spans="1:136" s="90" customFormat="1" hidden="1" outlineLevel="1" x14ac:dyDescent="0.25">
      <c r="A20" s="257">
        <v>3</v>
      </c>
      <c r="B20" s="217" t="s">
        <v>324</v>
      </c>
      <c r="C20" s="217" t="s">
        <v>110</v>
      </c>
      <c r="D20" s="217" t="s">
        <v>147</v>
      </c>
      <c r="E20" s="218" t="s">
        <v>979</v>
      </c>
      <c r="F20" s="219" t="s">
        <v>152</v>
      </c>
      <c r="G20" s="220">
        <v>10.777756498441713</v>
      </c>
      <c r="H20" s="207"/>
      <c r="I20" s="221">
        <f t="shared" ref="I20:I31" si="34">J20/14</f>
        <v>2023.0178295359285</v>
      </c>
      <c r="J20" s="282">
        <f t="shared" si="5"/>
        <v>28322.249613502998</v>
      </c>
      <c r="K20" s="222">
        <f t="shared" si="6"/>
        <v>21129.146508981972</v>
      </c>
      <c r="L20" s="219">
        <v>3800</v>
      </c>
      <c r="M20" s="279">
        <v>3296</v>
      </c>
      <c r="N20" s="223">
        <v>6400</v>
      </c>
      <c r="O20" s="281">
        <v>5392</v>
      </c>
      <c r="P20" s="223">
        <v>13000</v>
      </c>
      <c r="Q20" s="281">
        <v>10480</v>
      </c>
      <c r="R20" s="278">
        <f t="shared" si="7"/>
        <v>0.61526384865918349</v>
      </c>
      <c r="S20" s="221">
        <f t="shared" si="8"/>
        <v>2023.0178295359285</v>
      </c>
      <c r="T20" s="226">
        <f t="shared" si="9"/>
        <v>28322.249613502998</v>
      </c>
      <c r="U20" s="279">
        <f t="shared" si="10"/>
        <v>21129.146508981972</v>
      </c>
      <c r="V20" s="219">
        <f>IFERROR(VLOOKUP(B20,F_U!A:C,3,0),0)</f>
        <v>13000</v>
      </c>
      <c r="W20" s="279">
        <f>IFERROR(VLOOKUP(B20,F_U!A:B,2,0),0)</f>
        <v>10480</v>
      </c>
      <c r="X20" s="219">
        <f>IFERROR(VLOOKUP(B20,F_U!A:C,3,0),0)</f>
        <v>13000</v>
      </c>
      <c r="Y20" s="279">
        <f>IFERROR(VLOOKUP(B20,F_U!A:B,2,0),0)</f>
        <v>10480</v>
      </c>
      <c r="Z20" s="219">
        <f>IFERROR(VLOOKUP(B20,F_U!A:C,3,0),0)</f>
        <v>13000</v>
      </c>
      <c r="AA20" s="279">
        <f>IFERROR(VLOOKUP(B20,F_U!A:B,2,0),0)</f>
        <v>10480</v>
      </c>
      <c r="AB20" s="224">
        <f t="shared" si="11"/>
        <v>0.61526384865918349</v>
      </c>
      <c r="AC20" s="225"/>
      <c r="AD20" s="219"/>
      <c r="AE20" s="219"/>
      <c r="AF20" s="219"/>
      <c r="AG20" s="223"/>
      <c r="AH20" s="223"/>
      <c r="AI20" s="219"/>
      <c r="AJ20" s="219"/>
      <c r="AK20" s="224">
        <f t="shared" si="12"/>
        <v>0</v>
      </c>
      <c r="AL20" s="226">
        <f t="shared" si="13"/>
        <v>42258.293017963944</v>
      </c>
      <c r="AM20" s="223">
        <f t="shared" si="14"/>
        <v>26000</v>
      </c>
      <c r="AN20" s="224">
        <f t="shared" si="15"/>
        <v>0.61526384865918349</v>
      </c>
      <c r="AO20" s="88"/>
      <c r="AP20" s="227"/>
      <c r="AQ20" s="221"/>
      <c r="AR20" s="206"/>
      <c r="AS20" s="219"/>
      <c r="AT20" s="219"/>
      <c r="AU20" s="223"/>
      <c r="AV20" s="223"/>
      <c r="AW20" s="219"/>
      <c r="AX20" s="219"/>
      <c r="AY20" s="224">
        <f t="shared" si="16"/>
        <v>0</v>
      </c>
      <c r="AZ20" s="221"/>
      <c r="BA20" s="206"/>
      <c r="BB20" s="219"/>
      <c r="BC20" s="219"/>
      <c r="BD20" s="223"/>
      <c r="BE20" s="223"/>
      <c r="BF20" s="219"/>
      <c r="BG20" s="219"/>
      <c r="BH20" s="224">
        <f t="shared" si="17"/>
        <v>0</v>
      </c>
      <c r="BI20" s="221"/>
      <c r="BJ20" s="206"/>
      <c r="BK20" s="219"/>
      <c r="BL20" s="219"/>
      <c r="BM20" s="223"/>
      <c r="BN20" s="223"/>
      <c r="BO20" s="219"/>
      <c r="BP20" s="219"/>
      <c r="BQ20" s="224">
        <f t="shared" si="18"/>
        <v>0</v>
      </c>
      <c r="BR20" s="226">
        <f t="shared" si="19"/>
        <v>0</v>
      </c>
      <c r="BS20" s="223">
        <f t="shared" si="20"/>
        <v>0</v>
      </c>
      <c r="BT20" s="224">
        <f t="shared" si="21"/>
        <v>0</v>
      </c>
      <c r="BV20" s="227"/>
      <c r="BW20" s="225"/>
      <c r="BX20" s="219"/>
      <c r="BY20" s="219"/>
      <c r="BZ20" s="219"/>
      <c r="CA20" s="223"/>
      <c r="CB20" s="223"/>
      <c r="CC20" s="219"/>
      <c r="CD20" s="219"/>
      <c r="CE20" s="224">
        <f t="shared" si="22"/>
        <v>0</v>
      </c>
      <c r="CF20" s="225"/>
      <c r="CG20" s="219"/>
      <c r="CH20" s="219"/>
      <c r="CI20" s="219"/>
      <c r="CJ20" s="223"/>
      <c r="CK20" s="223"/>
      <c r="CL20" s="219"/>
      <c r="CM20" s="219"/>
      <c r="CN20" s="224">
        <f t="shared" si="23"/>
        <v>0</v>
      </c>
      <c r="CO20" s="225"/>
      <c r="CP20" s="219"/>
      <c r="CQ20" s="219"/>
      <c r="CR20" s="219"/>
      <c r="CS20" s="223"/>
      <c r="CT20" s="223"/>
      <c r="CU20" s="219"/>
      <c r="CV20" s="219"/>
      <c r="CW20" s="224">
        <f t="shared" si="24"/>
        <v>0</v>
      </c>
      <c r="CX20" s="226">
        <f t="shared" si="25"/>
        <v>0</v>
      </c>
      <c r="CY20" s="223">
        <f t="shared" si="26"/>
        <v>0</v>
      </c>
      <c r="CZ20" s="224">
        <f t="shared" si="27"/>
        <v>0</v>
      </c>
      <c r="DB20" s="227"/>
      <c r="DC20" s="221"/>
      <c r="DD20" s="206"/>
      <c r="DE20" s="219"/>
      <c r="DF20" s="219"/>
      <c r="DG20" s="223"/>
      <c r="DH20" s="223"/>
      <c r="DI20" s="219"/>
      <c r="DJ20" s="219"/>
      <c r="DK20" s="224">
        <f t="shared" si="28"/>
        <v>0</v>
      </c>
      <c r="DL20" s="221"/>
      <c r="DM20" s="206"/>
      <c r="DN20" s="219"/>
      <c r="DO20" s="219"/>
      <c r="DP20" s="223"/>
      <c r="DQ20" s="223"/>
      <c r="DR20" s="219"/>
      <c r="DS20" s="219"/>
      <c r="DT20" s="224">
        <f t="shared" si="29"/>
        <v>0</v>
      </c>
      <c r="DU20" s="221"/>
      <c r="DV20" s="206"/>
      <c r="DW20" s="219"/>
      <c r="DX20" s="219"/>
      <c r="DY20" s="223"/>
      <c r="DZ20" s="223"/>
      <c r="EA20" s="219"/>
      <c r="EB20" s="219"/>
      <c r="EC20" s="224">
        <f t="shared" si="30"/>
        <v>0</v>
      </c>
      <c r="ED20" s="226">
        <f t="shared" si="31"/>
        <v>0</v>
      </c>
      <c r="EE20" s="223">
        <f t="shared" si="32"/>
        <v>0</v>
      </c>
      <c r="EF20" s="224">
        <f t="shared" si="33"/>
        <v>0</v>
      </c>
    </row>
    <row r="21" spans="1:136" s="90" customFormat="1" hidden="1" outlineLevel="1" x14ac:dyDescent="0.25">
      <c r="A21" s="257">
        <v>4</v>
      </c>
      <c r="B21" s="217" t="s">
        <v>328</v>
      </c>
      <c r="C21" s="217" t="s">
        <v>109</v>
      </c>
      <c r="D21" s="217" t="s">
        <v>147</v>
      </c>
      <c r="E21" s="218" t="s">
        <v>979</v>
      </c>
      <c r="F21" s="219" t="s">
        <v>152</v>
      </c>
      <c r="G21" s="220">
        <v>4.4480870617423758</v>
      </c>
      <c r="H21" s="207"/>
      <c r="I21" s="221">
        <f t="shared" si="34"/>
        <v>834.91953399893112</v>
      </c>
      <c r="J21" s="282">
        <f t="shared" si="5"/>
        <v>11688.873475985036</v>
      </c>
      <c r="K21" s="222">
        <f t="shared" si="6"/>
        <v>8720.2084428100025</v>
      </c>
      <c r="L21" s="219">
        <v>1640</v>
      </c>
      <c r="M21" s="279">
        <v>1136</v>
      </c>
      <c r="N21" s="223">
        <v>3410</v>
      </c>
      <c r="O21" s="281">
        <v>2528</v>
      </c>
      <c r="P21" s="223">
        <v>5310</v>
      </c>
      <c r="Q21" s="281">
        <v>4176</v>
      </c>
      <c r="R21" s="278">
        <f t="shared" si="7"/>
        <v>0.60893039826108841</v>
      </c>
      <c r="S21" s="221">
        <f t="shared" si="8"/>
        <v>834.91953399893112</v>
      </c>
      <c r="T21" s="226">
        <f t="shared" si="9"/>
        <v>11688.873475985036</v>
      </c>
      <c r="U21" s="279">
        <f t="shared" si="10"/>
        <v>8720.2084428100025</v>
      </c>
      <c r="V21" s="219">
        <f>IFERROR(VLOOKUP(B21,F_U!A:C,3,0),0)</f>
        <v>5310</v>
      </c>
      <c r="W21" s="279">
        <f>IFERROR(VLOOKUP(B21,F_U!A:B,2,0),0)</f>
        <v>4176</v>
      </c>
      <c r="X21" s="219">
        <f>IFERROR(VLOOKUP(B21,F_U!A:C,3,0),0)</f>
        <v>5310</v>
      </c>
      <c r="Y21" s="279">
        <f>IFERROR(VLOOKUP(B21,F_U!A:B,2,0),0)</f>
        <v>4176</v>
      </c>
      <c r="Z21" s="219">
        <f>IFERROR(VLOOKUP(B21,F_U!A:C,3,0),0)</f>
        <v>5310</v>
      </c>
      <c r="AA21" s="279">
        <f>IFERROR(VLOOKUP(B21,F_U!A:B,2,0),0)</f>
        <v>4176</v>
      </c>
      <c r="AB21" s="224">
        <f t="shared" si="11"/>
        <v>0.60893039826108841</v>
      </c>
      <c r="AC21" s="225"/>
      <c r="AD21" s="219"/>
      <c r="AE21" s="219"/>
      <c r="AF21" s="219"/>
      <c r="AG21" s="223"/>
      <c r="AH21" s="223"/>
      <c r="AI21" s="219"/>
      <c r="AJ21" s="219"/>
      <c r="AK21" s="224">
        <f t="shared" si="12"/>
        <v>0</v>
      </c>
      <c r="AL21" s="226">
        <f t="shared" si="13"/>
        <v>17440.416885620005</v>
      </c>
      <c r="AM21" s="223">
        <f t="shared" si="14"/>
        <v>10620</v>
      </c>
      <c r="AN21" s="224">
        <f t="shared" si="15"/>
        <v>0.60893039826108841</v>
      </c>
      <c r="AO21" s="88"/>
      <c r="AP21" s="227"/>
      <c r="AQ21" s="221"/>
      <c r="AR21" s="206"/>
      <c r="AS21" s="219"/>
      <c r="AT21" s="219"/>
      <c r="AU21" s="223"/>
      <c r="AV21" s="223"/>
      <c r="AW21" s="219"/>
      <c r="AX21" s="219"/>
      <c r="AY21" s="224">
        <f t="shared" si="16"/>
        <v>0</v>
      </c>
      <c r="AZ21" s="221"/>
      <c r="BA21" s="206"/>
      <c r="BB21" s="219"/>
      <c r="BC21" s="219"/>
      <c r="BD21" s="223"/>
      <c r="BE21" s="223"/>
      <c r="BF21" s="219"/>
      <c r="BG21" s="219"/>
      <c r="BH21" s="224">
        <f t="shared" si="17"/>
        <v>0</v>
      </c>
      <c r="BI21" s="221"/>
      <c r="BJ21" s="206"/>
      <c r="BK21" s="219"/>
      <c r="BL21" s="219"/>
      <c r="BM21" s="223"/>
      <c r="BN21" s="223"/>
      <c r="BO21" s="219"/>
      <c r="BP21" s="219"/>
      <c r="BQ21" s="224">
        <f t="shared" si="18"/>
        <v>0</v>
      </c>
      <c r="BR21" s="226">
        <f t="shared" si="19"/>
        <v>0</v>
      </c>
      <c r="BS21" s="223">
        <f t="shared" si="20"/>
        <v>0</v>
      </c>
      <c r="BT21" s="224">
        <f t="shared" si="21"/>
        <v>0</v>
      </c>
      <c r="BV21" s="227"/>
      <c r="BW21" s="225"/>
      <c r="BX21" s="219"/>
      <c r="BY21" s="219"/>
      <c r="BZ21" s="219"/>
      <c r="CA21" s="223"/>
      <c r="CB21" s="223"/>
      <c r="CC21" s="219"/>
      <c r="CD21" s="219"/>
      <c r="CE21" s="224">
        <f t="shared" si="22"/>
        <v>0</v>
      </c>
      <c r="CF21" s="225"/>
      <c r="CG21" s="219"/>
      <c r="CH21" s="219"/>
      <c r="CI21" s="219"/>
      <c r="CJ21" s="223"/>
      <c r="CK21" s="223"/>
      <c r="CL21" s="219"/>
      <c r="CM21" s="219"/>
      <c r="CN21" s="224">
        <f t="shared" si="23"/>
        <v>0</v>
      </c>
      <c r="CO21" s="225"/>
      <c r="CP21" s="219"/>
      <c r="CQ21" s="219"/>
      <c r="CR21" s="219"/>
      <c r="CS21" s="223"/>
      <c r="CT21" s="223"/>
      <c r="CU21" s="219"/>
      <c r="CV21" s="219"/>
      <c r="CW21" s="224">
        <f t="shared" si="24"/>
        <v>0</v>
      </c>
      <c r="CX21" s="226">
        <f t="shared" si="25"/>
        <v>0</v>
      </c>
      <c r="CY21" s="223">
        <f t="shared" si="26"/>
        <v>0</v>
      </c>
      <c r="CZ21" s="224">
        <f t="shared" si="27"/>
        <v>0</v>
      </c>
      <c r="DB21" s="227"/>
      <c r="DC21" s="221"/>
      <c r="DD21" s="206"/>
      <c r="DE21" s="219"/>
      <c r="DF21" s="219"/>
      <c r="DG21" s="223"/>
      <c r="DH21" s="223"/>
      <c r="DI21" s="219"/>
      <c r="DJ21" s="219"/>
      <c r="DK21" s="224">
        <f t="shared" si="28"/>
        <v>0</v>
      </c>
      <c r="DL21" s="221"/>
      <c r="DM21" s="206"/>
      <c r="DN21" s="219"/>
      <c r="DO21" s="219"/>
      <c r="DP21" s="223"/>
      <c r="DQ21" s="223"/>
      <c r="DR21" s="219"/>
      <c r="DS21" s="219"/>
      <c r="DT21" s="224">
        <f t="shared" si="29"/>
        <v>0</v>
      </c>
      <c r="DU21" s="221"/>
      <c r="DV21" s="206"/>
      <c r="DW21" s="219"/>
      <c r="DX21" s="219"/>
      <c r="DY21" s="223"/>
      <c r="DZ21" s="223"/>
      <c r="EA21" s="219"/>
      <c r="EB21" s="219"/>
      <c r="EC21" s="224">
        <f t="shared" si="30"/>
        <v>0</v>
      </c>
      <c r="ED21" s="226">
        <f t="shared" si="31"/>
        <v>0</v>
      </c>
      <c r="EE21" s="223">
        <f t="shared" si="32"/>
        <v>0</v>
      </c>
      <c r="EF21" s="224">
        <f t="shared" si="33"/>
        <v>0</v>
      </c>
    </row>
    <row r="22" spans="1:136" s="90" customFormat="1" hidden="1" outlineLevel="1" x14ac:dyDescent="0.25">
      <c r="A22" s="257">
        <v>5</v>
      </c>
      <c r="B22" s="217" t="s">
        <v>371</v>
      </c>
      <c r="C22" s="217" t="s">
        <v>93</v>
      </c>
      <c r="D22" s="217" t="s">
        <v>975</v>
      </c>
      <c r="E22" s="218" t="s">
        <v>976</v>
      </c>
      <c r="F22" s="219" t="s">
        <v>152</v>
      </c>
      <c r="G22" s="220">
        <v>3.554349673186922</v>
      </c>
      <c r="H22" s="207"/>
      <c r="I22" s="221">
        <f t="shared" si="34"/>
        <v>667.16229507522962</v>
      </c>
      <c r="J22" s="282">
        <f t="shared" si="5"/>
        <v>9340.2721310532143</v>
      </c>
      <c r="K22" s="222">
        <f t="shared" si="6"/>
        <v>6968.0897874967714</v>
      </c>
      <c r="L22" s="219">
        <v>0</v>
      </c>
      <c r="M22" s="279">
        <v>0</v>
      </c>
      <c r="N22" s="223">
        <v>0</v>
      </c>
      <c r="O22" s="281">
        <v>0</v>
      </c>
      <c r="P22" s="223">
        <v>7400</v>
      </c>
      <c r="Q22" s="281">
        <v>6896</v>
      </c>
      <c r="R22" s="278">
        <f t="shared" si="7"/>
        <v>1.0619840193905408</v>
      </c>
      <c r="S22" s="221">
        <f t="shared" si="8"/>
        <v>667.16229507522962</v>
      </c>
      <c r="T22" s="226">
        <f t="shared" si="9"/>
        <v>9340.2721310532143</v>
      </c>
      <c r="U22" s="279">
        <f t="shared" si="10"/>
        <v>6968.0897874967714</v>
      </c>
      <c r="V22" s="219">
        <f>IFERROR(VLOOKUP(B22,F_U!A:C,3,0),0)</f>
        <v>7400</v>
      </c>
      <c r="W22" s="279">
        <f>IFERROR(VLOOKUP(B22,F_U!A:B,2,0),0)</f>
        <v>6896</v>
      </c>
      <c r="X22" s="219">
        <f>IFERROR(VLOOKUP(B22,F_U!A:C,3,0),0)</f>
        <v>7400</v>
      </c>
      <c r="Y22" s="279">
        <f>IFERROR(VLOOKUP(B22,F_U!A:B,2,0),0)</f>
        <v>6896</v>
      </c>
      <c r="Z22" s="219">
        <f>IFERROR(VLOOKUP(B22,F_U!A:C,3,0),0)</f>
        <v>7400</v>
      </c>
      <c r="AA22" s="279">
        <f>IFERROR(VLOOKUP(B22,F_U!A:B,2,0),0)</f>
        <v>6896</v>
      </c>
      <c r="AB22" s="224">
        <f t="shared" si="11"/>
        <v>1.0619840193905408</v>
      </c>
      <c r="AC22" s="225"/>
      <c r="AD22" s="219"/>
      <c r="AE22" s="219"/>
      <c r="AF22" s="219"/>
      <c r="AG22" s="223"/>
      <c r="AH22" s="223"/>
      <c r="AI22" s="219"/>
      <c r="AJ22" s="219"/>
      <c r="AK22" s="224">
        <f t="shared" si="12"/>
        <v>0</v>
      </c>
      <c r="AL22" s="226">
        <f>+AD22+U22+K22</f>
        <v>13936.179574993543</v>
      </c>
      <c r="AM22" s="223">
        <f>+AI22+Z22+P22</f>
        <v>14800</v>
      </c>
      <c r="AN22" s="224">
        <f>IFERROR((AM22/AL22),0)</f>
        <v>1.0619840193905408</v>
      </c>
      <c r="AO22" s="88"/>
      <c r="AP22" s="227"/>
      <c r="AQ22" s="221"/>
      <c r="AR22" s="206"/>
      <c r="AS22" s="219"/>
      <c r="AT22" s="219"/>
      <c r="AU22" s="223"/>
      <c r="AV22" s="223"/>
      <c r="AW22" s="219"/>
      <c r="AX22" s="219"/>
      <c r="AY22" s="224">
        <f t="shared" si="16"/>
        <v>0</v>
      </c>
      <c r="AZ22" s="221"/>
      <c r="BA22" s="206"/>
      <c r="BB22" s="219"/>
      <c r="BC22" s="219"/>
      <c r="BD22" s="223"/>
      <c r="BE22" s="223"/>
      <c r="BF22" s="219"/>
      <c r="BG22" s="219"/>
      <c r="BH22" s="224">
        <f t="shared" si="17"/>
        <v>0</v>
      </c>
      <c r="BI22" s="221"/>
      <c r="BJ22" s="206"/>
      <c r="BK22" s="219"/>
      <c r="BL22" s="219"/>
      <c r="BM22" s="223"/>
      <c r="BN22" s="223"/>
      <c r="BO22" s="219"/>
      <c r="BP22" s="219"/>
      <c r="BQ22" s="224">
        <f t="shared" si="18"/>
        <v>0</v>
      </c>
      <c r="BR22" s="226">
        <f t="shared" si="19"/>
        <v>0</v>
      </c>
      <c r="BS22" s="223">
        <f t="shared" si="20"/>
        <v>0</v>
      </c>
      <c r="BT22" s="224">
        <f t="shared" si="21"/>
        <v>0</v>
      </c>
      <c r="BV22" s="227"/>
      <c r="BW22" s="225"/>
      <c r="BX22" s="219"/>
      <c r="BY22" s="219"/>
      <c r="BZ22" s="219"/>
      <c r="CA22" s="223"/>
      <c r="CB22" s="223"/>
      <c r="CC22" s="219"/>
      <c r="CD22" s="219"/>
      <c r="CE22" s="224">
        <f t="shared" si="22"/>
        <v>0</v>
      </c>
      <c r="CF22" s="225"/>
      <c r="CG22" s="219"/>
      <c r="CH22" s="219"/>
      <c r="CI22" s="219"/>
      <c r="CJ22" s="223"/>
      <c r="CK22" s="223"/>
      <c r="CL22" s="219"/>
      <c r="CM22" s="219"/>
      <c r="CN22" s="224">
        <f t="shared" si="23"/>
        <v>0</v>
      </c>
      <c r="CO22" s="225"/>
      <c r="CP22" s="219"/>
      <c r="CQ22" s="219"/>
      <c r="CR22" s="219"/>
      <c r="CS22" s="223"/>
      <c r="CT22" s="223"/>
      <c r="CU22" s="219"/>
      <c r="CV22" s="219"/>
      <c r="CW22" s="224">
        <f t="shared" si="24"/>
        <v>0</v>
      </c>
      <c r="CX22" s="226">
        <f t="shared" si="25"/>
        <v>0</v>
      </c>
      <c r="CY22" s="223">
        <f t="shared" si="26"/>
        <v>0</v>
      </c>
      <c r="CZ22" s="224">
        <f t="shared" si="27"/>
        <v>0</v>
      </c>
      <c r="DB22" s="227"/>
      <c r="DC22" s="221"/>
      <c r="DD22" s="206"/>
      <c r="DE22" s="219"/>
      <c r="DF22" s="219"/>
      <c r="DG22" s="223"/>
      <c r="DH22" s="223"/>
      <c r="DI22" s="219"/>
      <c r="DJ22" s="219"/>
      <c r="DK22" s="224">
        <f t="shared" si="28"/>
        <v>0</v>
      </c>
      <c r="DL22" s="221"/>
      <c r="DM22" s="206"/>
      <c r="DN22" s="219"/>
      <c r="DO22" s="219"/>
      <c r="DP22" s="223"/>
      <c r="DQ22" s="223"/>
      <c r="DR22" s="219"/>
      <c r="DS22" s="219"/>
      <c r="DT22" s="224">
        <f t="shared" si="29"/>
        <v>0</v>
      </c>
      <c r="DU22" s="221"/>
      <c r="DV22" s="206"/>
      <c r="DW22" s="219"/>
      <c r="DX22" s="219"/>
      <c r="DY22" s="223"/>
      <c r="DZ22" s="223"/>
      <c r="EA22" s="219"/>
      <c r="EB22" s="219"/>
      <c r="EC22" s="224">
        <f t="shared" si="30"/>
        <v>0</v>
      </c>
      <c r="ED22" s="226">
        <f t="shared" si="31"/>
        <v>0</v>
      </c>
      <c r="EE22" s="223">
        <f t="shared" si="32"/>
        <v>0</v>
      </c>
      <c r="EF22" s="224">
        <f t="shared" si="33"/>
        <v>0</v>
      </c>
    </row>
    <row r="23" spans="1:136" s="90" customFormat="1" hidden="1" outlineLevel="1" x14ac:dyDescent="0.25">
      <c r="A23" s="257">
        <v>6</v>
      </c>
      <c r="B23" s="217" t="s">
        <v>326</v>
      </c>
      <c r="C23" s="217" t="s">
        <v>82</v>
      </c>
      <c r="D23" s="217" t="s">
        <v>147</v>
      </c>
      <c r="E23" s="218" t="s">
        <v>979</v>
      </c>
      <c r="F23" s="219" t="s">
        <v>152</v>
      </c>
      <c r="G23" s="220">
        <v>4.4975457622915966</v>
      </c>
      <c r="H23" s="207"/>
      <c r="I23" s="221">
        <f t="shared" si="34"/>
        <v>844.20308322842232</v>
      </c>
      <c r="J23" s="282">
        <f t="shared" si="5"/>
        <v>11818.843165197912</v>
      </c>
      <c r="K23" s="222">
        <f t="shared" si="6"/>
        <v>8817.169264869719</v>
      </c>
      <c r="L23" s="219">
        <v>2944</v>
      </c>
      <c r="M23" s="279">
        <v>1892.8</v>
      </c>
      <c r="N23" s="223">
        <v>6660</v>
      </c>
      <c r="O23" s="281">
        <v>4271.0400000000009</v>
      </c>
      <c r="P23" s="223">
        <v>9820</v>
      </c>
      <c r="Q23" s="281">
        <v>6302.08</v>
      </c>
      <c r="R23" s="278">
        <f t="shared" si="7"/>
        <v>1.1137361328795017</v>
      </c>
      <c r="S23" s="221">
        <f t="shared" si="8"/>
        <v>844.20308322842232</v>
      </c>
      <c r="T23" s="226">
        <f t="shared" si="9"/>
        <v>11818.843165197912</v>
      </c>
      <c r="U23" s="279">
        <f t="shared" si="10"/>
        <v>8817.169264869719</v>
      </c>
      <c r="V23" s="219">
        <f>IFERROR(VLOOKUP(B23,F_U!A:C,3,0),0)</f>
        <v>9820</v>
      </c>
      <c r="W23" s="279">
        <f>IFERROR(VLOOKUP(B23,F_U!A:B,2,0),0)</f>
        <v>6302.08</v>
      </c>
      <c r="X23" s="219">
        <f>IFERROR(VLOOKUP(B23,F_U!A:C,3,0),0)</f>
        <v>9820</v>
      </c>
      <c r="Y23" s="279">
        <f>IFERROR(VLOOKUP(B23,F_U!A:B,2,0),0)</f>
        <v>6302.08</v>
      </c>
      <c r="Z23" s="219">
        <f>IFERROR(VLOOKUP(B23,F_U!A:C,3,0),0)</f>
        <v>9820</v>
      </c>
      <c r="AA23" s="279">
        <f>IFERROR(VLOOKUP(B23,F_U!A:B,2,0),0)</f>
        <v>6302.08</v>
      </c>
      <c r="AB23" s="224">
        <f t="shared" si="11"/>
        <v>1.1137361328795017</v>
      </c>
      <c r="AC23" s="225"/>
      <c r="AD23" s="219"/>
      <c r="AE23" s="219"/>
      <c r="AF23" s="219"/>
      <c r="AG23" s="223"/>
      <c r="AH23" s="223"/>
      <c r="AI23" s="219"/>
      <c r="AJ23" s="219"/>
      <c r="AK23" s="224">
        <f t="shared" si="12"/>
        <v>0</v>
      </c>
      <c r="AL23" s="226">
        <f t="shared" si="13"/>
        <v>17634.338529739438</v>
      </c>
      <c r="AM23" s="223">
        <f t="shared" si="14"/>
        <v>19640</v>
      </c>
      <c r="AN23" s="224">
        <f t="shared" si="15"/>
        <v>1.1137361328795017</v>
      </c>
      <c r="AO23" s="88"/>
      <c r="AP23" s="227"/>
      <c r="AQ23" s="221"/>
      <c r="AR23" s="206"/>
      <c r="AS23" s="219"/>
      <c r="AT23" s="219"/>
      <c r="AU23" s="223"/>
      <c r="AV23" s="223"/>
      <c r="AW23" s="219"/>
      <c r="AX23" s="219"/>
      <c r="AY23" s="224">
        <f t="shared" si="16"/>
        <v>0</v>
      </c>
      <c r="AZ23" s="221"/>
      <c r="BA23" s="206"/>
      <c r="BB23" s="219"/>
      <c r="BC23" s="219"/>
      <c r="BD23" s="223"/>
      <c r="BE23" s="223"/>
      <c r="BF23" s="219"/>
      <c r="BG23" s="219"/>
      <c r="BH23" s="224">
        <f t="shared" si="17"/>
        <v>0</v>
      </c>
      <c r="BI23" s="221"/>
      <c r="BJ23" s="206"/>
      <c r="BK23" s="219"/>
      <c r="BL23" s="219"/>
      <c r="BM23" s="223"/>
      <c r="BN23" s="223"/>
      <c r="BO23" s="219"/>
      <c r="BP23" s="219"/>
      <c r="BQ23" s="224">
        <f t="shared" si="18"/>
        <v>0</v>
      </c>
      <c r="BR23" s="226">
        <f t="shared" si="19"/>
        <v>0</v>
      </c>
      <c r="BS23" s="223">
        <f t="shared" si="20"/>
        <v>0</v>
      </c>
      <c r="BT23" s="224">
        <f t="shared" si="21"/>
        <v>0</v>
      </c>
      <c r="BV23" s="227"/>
      <c r="BW23" s="225"/>
      <c r="BX23" s="219"/>
      <c r="BY23" s="219"/>
      <c r="BZ23" s="219"/>
      <c r="CA23" s="223"/>
      <c r="CB23" s="223"/>
      <c r="CC23" s="219"/>
      <c r="CD23" s="219"/>
      <c r="CE23" s="224">
        <f t="shared" si="22"/>
        <v>0</v>
      </c>
      <c r="CF23" s="225"/>
      <c r="CG23" s="219"/>
      <c r="CH23" s="219"/>
      <c r="CI23" s="219"/>
      <c r="CJ23" s="223"/>
      <c r="CK23" s="223"/>
      <c r="CL23" s="219"/>
      <c r="CM23" s="219"/>
      <c r="CN23" s="224">
        <f t="shared" si="23"/>
        <v>0</v>
      </c>
      <c r="CO23" s="225"/>
      <c r="CP23" s="219"/>
      <c r="CQ23" s="219"/>
      <c r="CR23" s="219"/>
      <c r="CS23" s="223"/>
      <c r="CT23" s="223"/>
      <c r="CU23" s="219"/>
      <c r="CV23" s="219"/>
      <c r="CW23" s="224">
        <f t="shared" si="24"/>
        <v>0</v>
      </c>
      <c r="CX23" s="226">
        <f t="shared" si="25"/>
        <v>0</v>
      </c>
      <c r="CY23" s="223">
        <f t="shared" si="26"/>
        <v>0</v>
      </c>
      <c r="CZ23" s="224">
        <f t="shared" si="27"/>
        <v>0</v>
      </c>
      <c r="DB23" s="227"/>
      <c r="DC23" s="221"/>
      <c r="DD23" s="206"/>
      <c r="DE23" s="219"/>
      <c r="DF23" s="219"/>
      <c r="DG23" s="223"/>
      <c r="DH23" s="223"/>
      <c r="DI23" s="219"/>
      <c r="DJ23" s="219"/>
      <c r="DK23" s="224">
        <f t="shared" si="28"/>
        <v>0</v>
      </c>
      <c r="DL23" s="221"/>
      <c r="DM23" s="206"/>
      <c r="DN23" s="219"/>
      <c r="DO23" s="219"/>
      <c r="DP23" s="223"/>
      <c r="DQ23" s="223"/>
      <c r="DR23" s="219"/>
      <c r="DS23" s="219"/>
      <c r="DT23" s="224">
        <f t="shared" si="29"/>
        <v>0</v>
      </c>
      <c r="DU23" s="221"/>
      <c r="DV23" s="206"/>
      <c r="DW23" s="219"/>
      <c r="DX23" s="219"/>
      <c r="DY23" s="223"/>
      <c r="DZ23" s="223"/>
      <c r="EA23" s="219"/>
      <c r="EB23" s="219"/>
      <c r="EC23" s="224">
        <f t="shared" si="30"/>
        <v>0</v>
      </c>
      <c r="ED23" s="226">
        <f t="shared" si="31"/>
        <v>0</v>
      </c>
      <c r="EE23" s="223">
        <f t="shared" si="32"/>
        <v>0</v>
      </c>
      <c r="EF23" s="224">
        <f t="shared" si="33"/>
        <v>0</v>
      </c>
    </row>
    <row r="24" spans="1:136" s="90" customFormat="1" hidden="1" outlineLevel="1" x14ac:dyDescent="0.25">
      <c r="A24" s="257">
        <v>7</v>
      </c>
      <c r="B24" s="217" t="s">
        <v>394</v>
      </c>
      <c r="C24" s="217" t="s">
        <v>94</v>
      </c>
      <c r="D24" s="217" t="s">
        <v>975</v>
      </c>
      <c r="E24" s="218" t="s">
        <v>976</v>
      </c>
      <c r="F24" s="219" t="s">
        <v>152</v>
      </c>
      <c r="G24" s="220">
        <v>3.083890792562781</v>
      </c>
      <c r="H24" s="207"/>
      <c r="I24" s="221">
        <f t="shared" si="34"/>
        <v>578.85572554902444</v>
      </c>
      <c r="J24" s="282">
        <f t="shared" si="5"/>
        <v>8103.9801576863429</v>
      </c>
      <c r="K24" s="222">
        <f t="shared" si="6"/>
        <v>6045.7833115064896</v>
      </c>
      <c r="L24" s="219">
        <v>0</v>
      </c>
      <c r="M24" s="279">
        <v>0</v>
      </c>
      <c r="N24" s="223">
        <v>2800</v>
      </c>
      <c r="O24" s="281">
        <v>1792</v>
      </c>
      <c r="P24" s="223">
        <v>6100</v>
      </c>
      <c r="Q24" s="281">
        <v>4336</v>
      </c>
      <c r="R24" s="278">
        <f t="shared" si="7"/>
        <v>1.0089676863526227</v>
      </c>
      <c r="S24" s="221">
        <f t="shared" si="8"/>
        <v>578.85572554902444</v>
      </c>
      <c r="T24" s="226">
        <f t="shared" si="9"/>
        <v>8103.9801576863429</v>
      </c>
      <c r="U24" s="279">
        <f t="shared" si="10"/>
        <v>6045.7833115064896</v>
      </c>
      <c r="V24" s="219">
        <f>IFERROR(VLOOKUP(B24,F_U!A:C,3,0),0)</f>
        <v>6100</v>
      </c>
      <c r="W24" s="279">
        <f>IFERROR(VLOOKUP(B24,F_U!A:B,2,0),0)</f>
        <v>4336</v>
      </c>
      <c r="X24" s="219">
        <f>IFERROR(VLOOKUP(B24,F_U!A:C,3,0),0)</f>
        <v>6100</v>
      </c>
      <c r="Y24" s="279">
        <f>IFERROR(VLOOKUP(B24,F_U!A:B,2,0),0)</f>
        <v>4336</v>
      </c>
      <c r="Z24" s="219">
        <f>IFERROR(VLOOKUP(B24,F_U!A:C,3,0),0)</f>
        <v>6100</v>
      </c>
      <c r="AA24" s="279">
        <f>IFERROR(VLOOKUP(B24,F_U!A:B,2,0),0)</f>
        <v>4336</v>
      </c>
      <c r="AB24" s="224">
        <f t="shared" si="11"/>
        <v>1.0089676863526227</v>
      </c>
      <c r="AC24" s="225"/>
      <c r="AD24" s="219"/>
      <c r="AE24" s="219"/>
      <c r="AF24" s="219"/>
      <c r="AG24" s="223"/>
      <c r="AH24" s="223"/>
      <c r="AI24" s="219"/>
      <c r="AJ24" s="219"/>
      <c r="AK24" s="224">
        <f t="shared" si="12"/>
        <v>0</v>
      </c>
      <c r="AL24" s="226">
        <f t="shared" si="13"/>
        <v>12091.566623012979</v>
      </c>
      <c r="AM24" s="223">
        <f t="shared" si="14"/>
        <v>12200</v>
      </c>
      <c r="AN24" s="224">
        <f t="shared" si="15"/>
        <v>1.0089676863526227</v>
      </c>
      <c r="AO24" s="88"/>
      <c r="AP24" s="227"/>
      <c r="AQ24" s="221"/>
      <c r="AR24" s="206"/>
      <c r="AS24" s="219"/>
      <c r="AT24" s="219"/>
      <c r="AU24" s="223"/>
      <c r="AV24" s="223"/>
      <c r="AW24" s="219"/>
      <c r="AX24" s="219"/>
      <c r="AY24" s="224">
        <f t="shared" si="16"/>
        <v>0</v>
      </c>
      <c r="AZ24" s="221"/>
      <c r="BA24" s="206"/>
      <c r="BB24" s="219"/>
      <c r="BC24" s="219"/>
      <c r="BD24" s="223"/>
      <c r="BE24" s="223"/>
      <c r="BF24" s="219"/>
      <c r="BG24" s="219"/>
      <c r="BH24" s="224">
        <f t="shared" si="17"/>
        <v>0</v>
      </c>
      <c r="BI24" s="221"/>
      <c r="BJ24" s="206"/>
      <c r="BK24" s="219"/>
      <c r="BL24" s="219"/>
      <c r="BM24" s="223"/>
      <c r="BN24" s="223"/>
      <c r="BO24" s="219"/>
      <c r="BP24" s="219"/>
      <c r="BQ24" s="224">
        <f t="shared" si="18"/>
        <v>0</v>
      </c>
      <c r="BR24" s="226">
        <f t="shared" si="19"/>
        <v>0</v>
      </c>
      <c r="BS24" s="223">
        <f t="shared" si="20"/>
        <v>0</v>
      </c>
      <c r="BT24" s="224">
        <f t="shared" si="21"/>
        <v>0</v>
      </c>
      <c r="BV24" s="227"/>
      <c r="BW24" s="225"/>
      <c r="BX24" s="219"/>
      <c r="BY24" s="219"/>
      <c r="BZ24" s="219"/>
      <c r="CA24" s="223"/>
      <c r="CB24" s="223"/>
      <c r="CC24" s="219"/>
      <c r="CD24" s="219"/>
      <c r="CE24" s="224">
        <f t="shared" si="22"/>
        <v>0</v>
      </c>
      <c r="CF24" s="225"/>
      <c r="CG24" s="219"/>
      <c r="CH24" s="219"/>
      <c r="CI24" s="219"/>
      <c r="CJ24" s="223"/>
      <c r="CK24" s="223"/>
      <c r="CL24" s="219"/>
      <c r="CM24" s="219"/>
      <c r="CN24" s="224">
        <f t="shared" si="23"/>
        <v>0</v>
      </c>
      <c r="CO24" s="225"/>
      <c r="CP24" s="219"/>
      <c r="CQ24" s="219"/>
      <c r="CR24" s="219"/>
      <c r="CS24" s="223"/>
      <c r="CT24" s="223"/>
      <c r="CU24" s="219"/>
      <c r="CV24" s="219"/>
      <c r="CW24" s="224">
        <f t="shared" si="24"/>
        <v>0</v>
      </c>
      <c r="CX24" s="226">
        <f t="shared" si="25"/>
        <v>0</v>
      </c>
      <c r="CY24" s="223">
        <f t="shared" si="26"/>
        <v>0</v>
      </c>
      <c r="CZ24" s="224">
        <f t="shared" si="27"/>
        <v>0</v>
      </c>
      <c r="DB24" s="227"/>
      <c r="DC24" s="221"/>
      <c r="DD24" s="206"/>
      <c r="DE24" s="219"/>
      <c r="DF24" s="219"/>
      <c r="DG24" s="223"/>
      <c r="DH24" s="223"/>
      <c r="DI24" s="219"/>
      <c r="DJ24" s="219"/>
      <c r="DK24" s="224">
        <f t="shared" si="28"/>
        <v>0</v>
      </c>
      <c r="DL24" s="221"/>
      <c r="DM24" s="206"/>
      <c r="DN24" s="219"/>
      <c r="DO24" s="219"/>
      <c r="DP24" s="223"/>
      <c r="DQ24" s="223"/>
      <c r="DR24" s="219"/>
      <c r="DS24" s="219"/>
      <c r="DT24" s="224">
        <f t="shared" si="29"/>
        <v>0</v>
      </c>
      <c r="DU24" s="221"/>
      <c r="DV24" s="206"/>
      <c r="DW24" s="219"/>
      <c r="DX24" s="219"/>
      <c r="DY24" s="223"/>
      <c r="DZ24" s="223"/>
      <c r="EA24" s="219"/>
      <c r="EB24" s="219"/>
      <c r="EC24" s="224">
        <f t="shared" si="30"/>
        <v>0</v>
      </c>
      <c r="ED24" s="226">
        <f t="shared" si="31"/>
        <v>0</v>
      </c>
      <c r="EE24" s="223">
        <f t="shared" si="32"/>
        <v>0</v>
      </c>
      <c r="EF24" s="224">
        <f t="shared" si="33"/>
        <v>0</v>
      </c>
    </row>
    <row r="25" spans="1:136" s="90" customFormat="1" hidden="1" outlineLevel="1" x14ac:dyDescent="0.25">
      <c r="A25" s="257">
        <v>8</v>
      </c>
      <c r="B25" s="217" t="s">
        <v>443</v>
      </c>
      <c r="C25" s="217" t="s">
        <v>106</v>
      </c>
      <c r="D25" s="217" t="s">
        <v>147</v>
      </c>
      <c r="E25" s="218" t="s">
        <v>979</v>
      </c>
      <c r="F25" s="219" t="s">
        <v>152</v>
      </c>
      <c r="G25" s="220">
        <v>3.8541594241089663</v>
      </c>
      <c r="H25" s="207"/>
      <c r="I25" s="221">
        <f t="shared" si="34"/>
        <v>723.43750148499726</v>
      </c>
      <c r="J25" s="282">
        <f t="shared" si="5"/>
        <v>10128.125020789961</v>
      </c>
      <c r="K25" s="222">
        <f t="shared" si="6"/>
        <v>7555.8488589667168</v>
      </c>
      <c r="L25" s="219">
        <v>3580</v>
      </c>
      <c r="M25" s="279">
        <v>2291.1999999999998</v>
      </c>
      <c r="N25" s="223">
        <v>8560</v>
      </c>
      <c r="O25" s="281">
        <v>5478.4</v>
      </c>
      <c r="P25" s="223">
        <v>11400</v>
      </c>
      <c r="Q25" s="281">
        <v>7296</v>
      </c>
      <c r="R25" s="278">
        <f t="shared" si="7"/>
        <v>1.5087649598061152</v>
      </c>
      <c r="S25" s="221">
        <f t="shared" si="8"/>
        <v>723.43750148499726</v>
      </c>
      <c r="T25" s="226">
        <f t="shared" si="9"/>
        <v>10128.125020789961</v>
      </c>
      <c r="U25" s="279">
        <f t="shared" si="10"/>
        <v>7555.8488589667168</v>
      </c>
      <c r="V25" s="219">
        <f>IFERROR(VLOOKUP(B25,F_U!A:C,3,0),0)</f>
        <v>11400</v>
      </c>
      <c r="W25" s="279">
        <f>IFERROR(VLOOKUP(B25,F_U!A:B,2,0),0)</f>
        <v>7296</v>
      </c>
      <c r="X25" s="219">
        <f>IFERROR(VLOOKUP(B25,F_U!A:C,3,0),0)</f>
        <v>11400</v>
      </c>
      <c r="Y25" s="279">
        <f>IFERROR(VLOOKUP(B25,F_U!A:B,2,0),0)</f>
        <v>7296</v>
      </c>
      <c r="Z25" s="219">
        <f>IFERROR(VLOOKUP(B25,F_U!A:C,3,0),0)</f>
        <v>11400</v>
      </c>
      <c r="AA25" s="279">
        <f>IFERROR(VLOOKUP(B25,F_U!A:B,2,0),0)</f>
        <v>7296</v>
      </c>
      <c r="AB25" s="224">
        <f t="shared" si="11"/>
        <v>1.5087649598061152</v>
      </c>
      <c r="AC25" s="225"/>
      <c r="AD25" s="219"/>
      <c r="AE25" s="219"/>
      <c r="AF25" s="219"/>
      <c r="AG25" s="223"/>
      <c r="AH25" s="223"/>
      <c r="AI25" s="219"/>
      <c r="AJ25" s="219"/>
      <c r="AK25" s="224"/>
      <c r="AL25" s="226">
        <f t="shared" ref="AL25:AL27" si="35">+AD25+U25+K25</f>
        <v>15111.697717933434</v>
      </c>
      <c r="AM25" s="223">
        <f t="shared" ref="AM25:AM27" si="36">+AI25+Z25+P25</f>
        <v>22800</v>
      </c>
      <c r="AN25" s="224">
        <f t="shared" ref="AN25:AN27" si="37">IFERROR((AM25/AL25),0)</f>
        <v>1.5087649598061152</v>
      </c>
      <c r="AO25" s="88"/>
      <c r="AP25" s="227"/>
      <c r="AQ25" s="221"/>
      <c r="AR25" s="206"/>
      <c r="AS25" s="219"/>
      <c r="AT25" s="219"/>
      <c r="AU25" s="223"/>
      <c r="AV25" s="223"/>
      <c r="AW25" s="219"/>
      <c r="AX25" s="219"/>
      <c r="AY25" s="224"/>
      <c r="AZ25" s="221"/>
      <c r="BA25" s="206"/>
      <c r="BB25" s="219"/>
      <c r="BC25" s="219"/>
      <c r="BD25" s="223"/>
      <c r="BE25" s="223"/>
      <c r="BF25" s="219"/>
      <c r="BG25" s="219"/>
      <c r="BH25" s="224"/>
      <c r="BI25" s="221"/>
      <c r="BJ25" s="206"/>
      <c r="BK25" s="219"/>
      <c r="BL25" s="219"/>
      <c r="BM25" s="223"/>
      <c r="BN25" s="223"/>
      <c r="BO25" s="219"/>
      <c r="BP25" s="219"/>
      <c r="BQ25" s="224"/>
      <c r="BR25" s="226"/>
      <c r="BS25" s="223"/>
      <c r="BT25" s="224"/>
      <c r="BV25" s="227"/>
      <c r="BW25" s="225"/>
      <c r="BX25" s="219"/>
      <c r="BY25" s="219"/>
      <c r="BZ25" s="219"/>
      <c r="CA25" s="223"/>
      <c r="CB25" s="223"/>
      <c r="CC25" s="219"/>
      <c r="CD25" s="219"/>
      <c r="CE25" s="224"/>
      <c r="CF25" s="225"/>
      <c r="CG25" s="219"/>
      <c r="CH25" s="219"/>
      <c r="CI25" s="219"/>
      <c r="CJ25" s="223"/>
      <c r="CK25" s="223"/>
      <c r="CL25" s="219"/>
      <c r="CM25" s="219"/>
      <c r="CN25" s="224"/>
      <c r="CO25" s="225"/>
      <c r="CP25" s="219"/>
      <c r="CQ25" s="219"/>
      <c r="CR25" s="219"/>
      <c r="CS25" s="223"/>
      <c r="CT25" s="223"/>
      <c r="CU25" s="219"/>
      <c r="CV25" s="219"/>
      <c r="CW25" s="224"/>
      <c r="CX25" s="226"/>
      <c r="CY25" s="223"/>
      <c r="CZ25" s="224"/>
      <c r="DB25" s="227"/>
      <c r="DC25" s="221"/>
      <c r="DD25" s="206"/>
      <c r="DE25" s="219"/>
      <c r="DF25" s="219"/>
      <c r="DG25" s="223"/>
      <c r="DH25" s="223"/>
      <c r="DI25" s="219"/>
      <c r="DJ25" s="219"/>
      <c r="DK25" s="224"/>
      <c r="DL25" s="221"/>
      <c r="DM25" s="206"/>
      <c r="DN25" s="219"/>
      <c r="DO25" s="219"/>
      <c r="DP25" s="223"/>
      <c r="DQ25" s="223"/>
      <c r="DR25" s="219"/>
      <c r="DS25" s="219"/>
      <c r="DT25" s="224"/>
      <c r="DU25" s="221"/>
      <c r="DV25" s="206"/>
      <c r="DW25" s="219"/>
      <c r="DX25" s="219"/>
      <c r="DY25" s="223"/>
      <c r="DZ25" s="223"/>
      <c r="EA25" s="219"/>
      <c r="EB25" s="219"/>
      <c r="EC25" s="224"/>
      <c r="ED25" s="226"/>
      <c r="EE25" s="223"/>
      <c r="EF25" s="224"/>
    </row>
    <row r="26" spans="1:136" s="90" customFormat="1" hidden="1" outlineLevel="1" x14ac:dyDescent="0.25">
      <c r="A26" s="257">
        <v>9</v>
      </c>
      <c r="B26" s="217" t="s">
        <v>399</v>
      </c>
      <c r="C26" s="217" t="s">
        <v>101</v>
      </c>
      <c r="D26" s="217" t="s">
        <v>975</v>
      </c>
      <c r="E26" s="218" t="s">
        <v>978</v>
      </c>
      <c r="F26" s="219" t="s">
        <v>152</v>
      </c>
      <c r="G26" s="220">
        <v>3.1508957819504806</v>
      </c>
      <c r="H26" s="207"/>
      <c r="I26" s="221">
        <f t="shared" si="34"/>
        <v>591.43276681162683</v>
      </c>
      <c r="J26" s="282">
        <f t="shared" si="5"/>
        <v>8280.0587353627761</v>
      </c>
      <c r="K26" s="222">
        <f t="shared" si="6"/>
        <v>6177.1425825950682</v>
      </c>
      <c r="L26" s="219">
        <v>0</v>
      </c>
      <c r="M26" s="279">
        <v>0</v>
      </c>
      <c r="N26" s="223">
        <v>1400</v>
      </c>
      <c r="O26" s="281">
        <v>896</v>
      </c>
      <c r="P26" s="223">
        <v>2600</v>
      </c>
      <c r="Q26" s="281">
        <v>2096</v>
      </c>
      <c r="R26" s="278">
        <f t="shared" si="7"/>
        <v>0.42090658670011122</v>
      </c>
      <c r="S26" s="221">
        <f t="shared" si="8"/>
        <v>591.43276681162683</v>
      </c>
      <c r="T26" s="226">
        <f t="shared" si="9"/>
        <v>8280.0587353627761</v>
      </c>
      <c r="U26" s="279">
        <f t="shared" si="10"/>
        <v>6177.1425825950682</v>
      </c>
      <c r="V26" s="219">
        <f>IFERROR(VLOOKUP(B26,F_U!A:C,3,0),0)</f>
        <v>2600</v>
      </c>
      <c r="W26" s="279">
        <f>IFERROR(VLOOKUP(B26,F_U!A:B,2,0),0)</f>
        <v>2096</v>
      </c>
      <c r="X26" s="219">
        <f>IFERROR(VLOOKUP(B26,F_U!A:C,3,0),0)</f>
        <v>2600</v>
      </c>
      <c r="Y26" s="279">
        <f>IFERROR(VLOOKUP(B26,F_U!A:B,2,0),0)</f>
        <v>2096</v>
      </c>
      <c r="Z26" s="219">
        <f>IFERROR(VLOOKUP(B26,F_U!A:C,3,0),0)</f>
        <v>2600</v>
      </c>
      <c r="AA26" s="279">
        <f>IFERROR(VLOOKUP(B26,F_U!A:B,2,0),0)</f>
        <v>2096</v>
      </c>
      <c r="AB26" s="224">
        <f t="shared" si="11"/>
        <v>0.42090658670011122</v>
      </c>
      <c r="AC26" s="225"/>
      <c r="AD26" s="219"/>
      <c r="AE26" s="219"/>
      <c r="AF26" s="219"/>
      <c r="AG26" s="223"/>
      <c r="AH26" s="223"/>
      <c r="AI26" s="219"/>
      <c r="AJ26" s="219"/>
      <c r="AK26" s="224"/>
      <c r="AL26" s="226">
        <f t="shared" si="35"/>
        <v>12354.285165190136</v>
      </c>
      <c r="AM26" s="223">
        <f t="shared" si="36"/>
        <v>5200</v>
      </c>
      <c r="AN26" s="224">
        <f t="shared" si="37"/>
        <v>0.42090658670011122</v>
      </c>
      <c r="AO26" s="88"/>
      <c r="AP26" s="227"/>
      <c r="AQ26" s="221"/>
      <c r="AR26" s="206"/>
      <c r="AS26" s="219"/>
      <c r="AT26" s="219"/>
      <c r="AU26" s="223"/>
      <c r="AV26" s="223"/>
      <c r="AW26" s="219"/>
      <c r="AX26" s="219"/>
      <c r="AY26" s="224"/>
      <c r="AZ26" s="221"/>
      <c r="BA26" s="206"/>
      <c r="BB26" s="219"/>
      <c r="BC26" s="219"/>
      <c r="BD26" s="223"/>
      <c r="BE26" s="223"/>
      <c r="BF26" s="219"/>
      <c r="BG26" s="219"/>
      <c r="BH26" s="224"/>
      <c r="BI26" s="221"/>
      <c r="BJ26" s="206"/>
      <c r="BK26" s="219"/>
      <c r="BL26" s="219"/>
      <c r="BM26" s="223"/>
      <c r="BN26" s="223"/>
      <c r="BO26" s="219"/>
      <c r="BP26" s="219"/>
      <c r="BQ26" s="224"/>
      <c r="BR26" s="226"/>
      <c r="BS26" s="223"/>
      <c r="BT26" s="224"/>
      <c r="BV26" s="227"/>
      <c r="BW26" s="225"/>
      <c r="BX26" s="219"/>
      <c r="BY26" s="219"/>
      <c r="BZ26" s="219"/>
      <c r="CA26" s="223"/>
      <c r="CB26" s="223"/>
      <c r="CC26" s="219"/>
      <c r="CD26" s="219"/>
      <c r="CE26" s="224"/>
      <c r="CF26" s="225"/>
      <c r="CG26" s="219"/>
      <c r="CH26" s="219"/>
      <c r="CI26" s="219"/>
      <c r="CJ26" s="223"/>
      <c r="CK26" s="223"/>
      <c r="CL26" s="219"/>
      <c r="CM26" s="219"/>
      <c r="CN26" s="224"/>
      <c r="CO26" s="225"/>
      <c r="CP26" s="219"/>
      <c r="CQ26" s="219"/>
      <c r="CR26" s="219"/>
      <c r="CS26" s="223"/>
      <c r="CT26" s="223"/>
      <c r="CU26" s="219"/>
      <c r="CV26" s="219"/>
      <c r="CW26" s="224"/>
      <c r="CX26" s="226"/>
      <c r="CY26" s="223"/>
      <c r="CZ26" s="224"/>
      <c r="DB26" s="227"/>
      <c r="DC26" s="221"/>
      <c r="DD26" s="206"/>
      <c r="DE26" s="219"/>
      <c r="DF26" s="219"/>
      <c r="DG26" s="223"/>
      <c r="DH26" s="223"/>
      <c r="DI26" s="219"/>
      <c r="DJ26" s="219"/>
      <c r="DK26" s="224"/>
      <c r="DL26" s="221"/>
      <c r="DM26" s="206"/>
      <c r="DN26" s="219"/>
      <c r="DO26" s="219"/>
      <c r="DP26" s="223"/>
      <c r="DQ26" s="223"/>
      <c r="DR26" s="219"/>
      <c r="DS26" s="219"/>
      <c r="DT26" s="224"/>
      <c r="DU26" s="221"/>
      <c r="DV26" s="206"/>
      <c r="DW26" s="219"/>
      <c r="DX26" s="219"/>
      <c r="DY26" s="223"/>
      <c r="DZ26" s="223"/>
      <c r="EA26" s="219"/>
      <c r="EB26" s="219"/>
      <c r="EC26" s="224"/>
      <c r="ED26" s="226"/>
      <c r="EE26" s="223"/>
      <c r="EF26" s="224"/>
    </row>
    <row r="27" spans="1:136" s="90" customFormat="1" hidden="1" outlineLevel="1" x14ac:dyDescent="0.25">
      <c r="A27" s="257">
        <v>10</v>
      </c>
      <c r="B27" s="217" t="s">
        <v>327</v>
      </c>
      <c r="C27" s="217" t="s">
        <v>980</v>
      </c>
      <c r="D27" s="217" t="s">
        <v>147</v>
      </c>
      <c r="E27" s="218" t="s">
        <v>979</v>
      </c>
      <c r="F27" s="219" t="s">
        <v>152</v>
      </c>
      <c r="G27" s="220">
        <v>2.8442510474592537</v>
      </c>
      <c r="H27" s="207"/>
      <c r="I27" s="221">
        <f t="shared" si="34"/>
        <v>533.87461309951107</v>
      </c>
      <c r="J27" s="282">
        <f t="shared" si="5"/>
        <v>7474.2445833931542</v>
      </c>
      <c r="K27" s="222">
        <f t="shared" si="6"/>
        <v>5575.9839349479635</v>
      </c>
      <c r="L27" s="219">
        <v>3400</v>
      </c>
      <c r="M27" s="279">
        <v>2392</v>
      </c>
      <c r="N27" s="223">
        <v>5300</v>
      </c>
      <c r="O27" s="281">
        <v>4040</v>
      </c>
      <c r="P27" s="223">
        <v>5300</v>
      </c>
      <c r="Q27" s="281">
        <v>4040</v>
      </c>
      <c r="R27" s="278">
        <f t="shared" si="7"/>
        <v>0.95050489058653664</v>
      </c>
      <c r="S27" s="221">
        <f t="shared" si="8"/>
        <v>533.87461309951107</v>
      </c>
      <c r="T27" s="226">
        <f t="shared" si="9"/>
        <v>7474.2445833931542</v>
      </c>
      <c r="U27" s="279">
        <f t="shared" si="10"/>
        <v>5575.9839349479635</v>
      </c>
      <c r="V27" s="219">
        <f>IFERROR(VLOOKUP(B27,F_U!A:C,3,0),0)</f>
        <v>5300</v>
      </c>
      <c r="W27" s="279">
        <f>IFERROR(VLOOKUP(B27,F_U!A:B,2,0),0)</f>
        <v>4040</v>
      </c>
      <c r="X27" s="219">
        <f>IFERROR(VLOOKUP(B27,F_U!A:C,3,0),0)</f>
        <v>5300</v>
      </c>
      <c r="Y27" s="279">
        <f>IFERROR(VLOOKUP(B27,F_U!A:B,2,0),0)</f>
        <v>4040</v>
      </c>
      <c r="Z27" s="219">
        <f>IFERROR(VLOOKUP(B27,F_U!A:C,3,0),0)</f>
        <v>5300</v>
      </c>
      <c r="AA27" s="279">
        <f>IFERROR(VLOOKUP(B27,F_U!A:B,2,0),0)</f>
        <v>4040</v>
      </c>
      <c r="AB27" s="224">
        <f t="shared" si="11"/>
        <v>0.95050489058653664</v>
      </c>
      <c r="AC27" s="225"/>
      <c r="AD27" s="219"/>
      <c r="AE27" s="219"/>
      <c r="AF27" s="219"/>
      <c r="AG27" s="223"/>
      <c r="AH27" s="223"/>
      <c r="AI27" s="219"/>
      <c r="AJ27" s="219"/>
      <c r="AK27" s="224"/>
      <c r="AL27" s="226">
        <f t="shared" si="35"/>
        <v>11151.967869895927</v>
      </c>
      <c r="AM27" s="223">
        <f t="shared" si="36"/>
        <v>10600</v>
      </c>
      <c r="AN27" s="224">
        <f t="shared" si="37"/>
        <v>0.95050489058653664</v>
      </c>
      <c r="AO27" s="88"/>
      <c r="AP27" s="227"/>
      <c r="AQ27" s="221"/>
      <c r="AR27" s="206"/>
      <c r="AS27" s="219"/>
      <c r="AT27" s="219"/>
      <c r="AU27" s="223"/>
      <c r="AV27" s="223"/>
      <c r="AW27" s="219"/>
      <c r="AX27" s="219"/>
      <c r="AY27" s="224"/>
      <c r="AZ27" s="221"/>
      <c r="BA27" s="206"/>
      <c r="BB27" s="219"/>
      <c r="BC27" s="219"/>
      <c r="BD27" s="223"/>
      <c r="BE27" s="223"/>
      <c r="BF27" s="219"/>
      <c r="BG27" s="219"/>
      <c r="BH27" s="224"/>
      <c r="BI27" s="221"/>
      <c r="BJ27" s="206"/>
      <c r="BK27" s="219"/>
      <c r="BL27" s="219"/>
      <c r="BM27" s="223"/>
      <c r="BN27" s="223"/>
      <c r="BO27" s="219"/>
      <c r="BP27" s="219"/>
      <c r="BQ27" s="224"/>
      <c r="BR27" s="226"/>
      <c r="BS27" s="223"/>
      <c r="BT27" s="224"/>
      <c r="BV27" s="227"/>
      <c r="BW27" s="225"/>
      <c r="BX27" s="219"/>
      <c r="BY27" s="219"/>
      <c r="BZ27" s="219"/>
      <c r="CA27" s="223"/>
      <c r="CB27" s="223"/>
      <c r="CC27" s="219"/>
      <c r="CD27" s="219"/>
      <c r="CE27" s="224"/>
      <c r="CF27" s="225"/>
      <c r="CG27" s="219"/>
      <c r="CH27" s="219"/>
      <c r="CI27" s="219"/>
      <c r="CJ27" s="223"/>
      <c r="CK27" s="223"/>
      <c r="CL27" s="219"/>
      <c r="CM27" s="219"/>
      <c r="CN27" s="224"/>
      <c r="CO27" s="225"/>
      <c r="CP27" s="219"/>
      <c r="CQ27" s="219"/>
      <c r="CR27" s="219"/>
      <c r="CS27" s="223"/>
      <c r="CT27" s="223"/>
      <c r="CU27" s="219"/>
      <c r="CV27" s="219"/>
      <c r="CW27" s="224"/>
      <c r="CX27" s="226"/>
      <c r="CY27" s="223"/>
      <c r="CZ27" s="224"/>
      <c r="DB27" s="227"/>
      <c r="DC27" s="221"/>
      <c r="DD27" s="206"/>
      <c r="DE27" s="219"/>
      <c r="DF27" s="219"/>
      <c r="DG27" s="223"/>
      <c r="DH27" s="223"/>
      <c r="DI27" s="219"/>
      <c r="DJ27" s="219"/>
      <c r="DK27" s="224"/>
      <c r="DL27" s="221"/>
      <c r="DM27" s="206"/>
      <c r="DN27" s="219"/>
      <c r="DO27" s="219"/>
      <c r="DP27" s="223"/>
      <c r="DQ27" s="223"/>
      <c r="DR27" s="219"/>
      <c r="DS27" s="219"/>
      <c r="DT27" s="224"/>
      <c r="DU27" s="221"/>
      <c r="DV27" s="206"/>
      <c r="DW27" s="219"/>
      <c r="DX27" s="219"/>
      <c r="DY27" s="223"/>
      <c r="DZ27" s="223"/>
      <c r="EA27" s="219"/>
      <c r="EB27" s="219"/>
      <c r="EC27" s="224"/>
      <c r="ED27" s="226"/>
      <c r="EE27" s="223"/>
      <c r="EF27" s="224"/>
    </row>
    <row r="28" spans="1:136" s="90" customFormat="1" hidden="1" outlineLevel="1" x14ac:dyDescent="0.25">
      <c r="A28" s="257">
        <v>11</v>
      </c>
      <c r="B28" s="217" t="s">
        <v>323</v>
      </c>
      <c r="C28" s="229" t="s">
        <v>827</v>
      </c>
      <c r="D28" s="229" t="s">
        <v>975</v>
      </c>
      <c r="E28" s="230" t="s">
        <v>976</v>
      </c>
      <c r="F28" s="219" t="s">
        <v>152</v>
      </c>
      <c r="G28" s="220">
        <v>2.6898508254551907</v>
      </c>
      <c r="H28" s="207"/>
      <c r="I28" s="221">
        <f t="shared" si="34"/>
        <v>504.89321961157259</v>
      </c>
      <c r="J28" s="282">
        <f t="shared" si="5"/>
        <v>7068.5050745620165</v>
      </c>
      <c r="K28" s="222">
        <f t="shared" si="6"/>
        <v>5273.2915413858282</v>
      </c>
      <c r="L28" s="219">
        <v>2560</v>
      </c>
      <c r="M28" s="279">
        <v>2156.8000000000002</v>
      </c>
      <c r="N28" s="223">
        <v>3210</v>
      </c>
      <c r="O28" s="281">
        <v>2680.8</v>
      </c>
      <c r="P28" s="223">
        <v>6460</v>
      </c>
      <c r="Q28" s="281">
        <v>5300.8</v>
      </c>
      <c r="R28" s="278">
        <f t="shared" si="7"/>
        <v>1.2250413141963896</v>
      </c>
      <c r="S28" s="221">
        <f t="shared" si="8"/>
        <v>504.89321961157259</v>
      </c>
      <c r="T28" s="226">
        <f t="shared" si="9"/>
        <v>7068.5050745620165</v>
      </c>
      <c r="U28" s="279">
        <f t="shared" si="10"/>
        <v>5273.2915413858282</v>
      </c>
      <c r="V28" s="219">
        <f>IFERROR(VLOOKUP(B28,F_U!A:C,3,0),0)</f>
        <v>6460</v>
      </c>
      <c r="W28" s="279">
        <f>IFERROR(VLOOKUP(B28,F_U!A:B,2,0),0)</f>
        <v>5300.8</v>
      </c>
      <c r="X28" s="219">
        <f>IFERROR(VLOOKUP(B28,F_U!A:C,3,0),0)</f>
        <v>6460</v>
      </c>
      <c r="Y28" s="279">
        <f>IFERROR(VLOOKUP(B28,F_U!A:B,2,0),0)</f>
        <v>5300.8</v>
      </c>
      <c r="Z28" s="219">
        <f>IFERROR(VLOOKUP(B28,F_U!A:C,3,0),0)</f>
        <v>6460</v>
      </c>
      <c r="AA28" s="279">
        <f>IFERROR(VLOOKUP(B28,F_U!A:B,2,0),0)</f>
        <v>5300.8</v>
      </c>
      <c r="AB28" s="224">
        <f t="shared" si="11"/>
        <v>1.2250413141963896</v>
      </c>
      <c r="AC28" s="225"/>
      <c r="AD28" s="219"/>
      <c r="AE28" s="219"/>
      <c r="AF28" s="219"/>
      <c r="AG28" s="223"/>
      <c r="AH28" s="223"/>
      <c r="AI28" s="219"/>
      <c r="AJ28" s="219"/>
      <c r="AK28" s="224">
        <f t="shared" si="12"/>
        <v>0</v>
      </c>
      <c r="AL28" s="226">
        <f t="shared" si="13"/>
        <v>10546.583082771656</v>
      </c>
      <c r="AM28" s="223">
        <f t="shared" si="14"/>
        <v>12920</v>
      </c>
      <c r="AN28" s="224">
        <f t="shared" si="15"/>
        <v>1.2250413141963896</v>
      </c>
      <c r="AO28" s="88"/>
      <c r="AP28" s="227"/>
      <c r="AQ28" s="221"/>
      <c r="AR28" s="206"/>
      <c r="AS28" s="219"/>
      <c r="AT28" s="219"/>
      <c r="AU28" s="223"/>
      <c r="AV28" s="223"/>
      <c r="AW28" s="219"/>
      <c r="AX28" s="219"/>
      <c r="AY28" s="224">
        <f t="shared" si="16"/>
        <v>0</v>
      </c>
      <c r="AZ28" s="221"/>
      <c r="BA28" s="206"/>
      <c r="BB28" s="219"/>
      <c r="BC28" s="219"/>
      <c r="BD28" s="223"/>
      <c r="BE28" s="223"/>
      <c r="BF28" s="219"/>
      <c r="BG28" s="219"/>
      <c r="BH28" s="224">
        <f t="shared" si="17"/>
        <v>0</v>
      </c>
      <c r="BI28" s="221"/>
      <c r="BJ28" s="206"/>
      <c r="BK28" s="219"/>
      <c r="BL28" s="219"/>
      <c r="BM28" s="223"/>
      <c r="BN28" s="223"/>
      <c r="BO28" s="219"/>
      <c r="BP28" s="219"/>
      <c r="BQ28" s="224">
        <f t="shared" si="18"/>
        <v>0</v>
      </c>
      <c r="BR28" s="226">
        <f t="shared" si="19"/>
        <v>0</v>
      </c>
      <c r="BS28" s="223">
        <f t="shared" si="20"/>
        <v>0</v>
      </c>
      <c r="BT28" s="224">
        <f t="shared" si="21"/>
        <v>0</v>
      </c>
      <c r="BV28" s="227"/>
      <c r="BW28" s="225"/>
      <c r="BX28" s="219"/>
      <c r="BY28" s="219"/>
      <c r="BZ28" s="219"/>
      <c r="CA28" s="223"/>
      <c r="CB28" s="223"/>
      <c r="CC28" s="219"/>
      <c r="CD28" s="219"/>
      <c r="CE28" s="224">
        <f t="shared" si="22"/>
        <v>0</v>
      </c>
      <c r="CF28" s="225"/>
      <c r="CG28" s="219"/>
      <c r="CH28" s="219"/>
      <c r="CI28" s="219"/>
      <c r="CJ28" s="223"/>
      <c r="CK28" s="223"/>
      <c r="CL28" s="219"/>
      <c r="CM28" s="219"/>
      <c r="CN28" s="224">
        <f t="shared" si="23"/>
        <v>0</v>
      </c>
      <c r="CO28" s="225"/>
      <c r="CP28" s="219"/>
      <c r="CQ28" s="219"/>
      <c r="CR28" s="219"/>
      <c r="CS28" s="223"/>
      <c r="CT28" s="223"/>
      <c r="CU28" s="219"/>
      <c r="CV28" s="219"/>
      <c r="CW28" s="224">
        <f t="shared" si="24"/>
        <v>0</v>
      </c>
      <c r="CX28" s="226">
        <f t="shared" si="25"/>
        <v>0</v>
      </c>
      <c r="CY28" s="223">
        <f t="shared" si="26"/>
        <v>0</v>
      </c>
      <c r="CZ28" s="224">
        <f t="shared" si="27"/>
        <v>0</v>
      </c>
      <c r="DB28" s="227"/>
      <c r="DC28" s="221"/>
      <c r="DD28" s="206"/>
      <c r="DE28" s="219"/>
      <c r="DF28" s="219"/>
      <c r="DG28" s="223"/>
      <c r="DH28" s="223"/>
      <c r="DI28" s="219"/>
      <c r="DJ28" s="219"/>
      <c r="DK28" s="224">
        <f t="shared" si="28"/>
        <v>0</v>
      </c>
      <c r="DL28" s="221"/>
      <c r="DM28" s="206"/>
      <c r="DN28" s="219"/>
      <c r="DO28" s="219"/>
      <c r="DP28" s="223"/>
      <c r="DQ28" s="223"/>
      <c r="DR28" s="219"/>
      <c r="DS28" s="219"/>
      <c r="DT28" s="224">
        <f t="shared" si="29"/>
        <v>0</v>
      </c>
      <c r="DU28" s="221"/>
      <c r="DV28" s="206"/>
      <c r="DW28" s="219"/>
      <c r="DX28" s="219"/>
      <c r="DY28" s="223"/>
      <c r="DZ28" s="223"/>
      <c r="EA28" s="219"/>
      <c r="EB28" s="219"/>
      <c r="EC28" s="224">
        <f t="shared" si="30"/>
        <v>0</v>
      </c>
      <c r="ED28" s="226">
        <f t="shared" si="31"/>
        <v>0</v>
      </c>
      <c r="EE28" s="223">
        <f t="shared" si="32"/>
        <v>0</v>
      </c>
      <c r="EF28" s="224">
        <f t="shared" si="33"/>
        <v>0</v>
      </c>
    </row>
    <row r="29" spans="1:136" s="90" customFormat="1" hidden="1" outlineLevel="1" x14ac:dyDescent="0.25">
      <c r="A29" s="257">
        <v>12</v>
      </c>
      <c r="B29" s="217" t="s">
        <v>357</v>
      </c>
      <c r="C29" s="229" t="s">
        <v>98</v>
      </c>
      <c r="D29" s="229" t="s">
        <v>975</v>
      </c>
      <c r="E29" s="230" t="s">
        <v>976</v>
      </c>
      <c r="F29" s="219" t="s">
        <v>152</v>
      </c>
      <c r="G29" s="220">
        <v>3.1029559666388558</v>
      </c>
      <c r="H29" s="207"/>
      <c r="I29" s="221">
        <f t="shared" si="34"/>
        <v>582.43431698265738</v>
      </c>
      <c r="J29" s="282">
        <f t="shared" si="5"/>
        <v>8154.080437757204</v>
      </c>
      <c r="K29" s="222">
        <f t="shared" si="6"/>
        <v>6083.1594441302759</v>
      </c>
      <c r="L29" s="219">
        <v>2400</v>
      </c>
      <c r="M29" s="279">
        <v>2400</v>
      </c>
      <c r="N29" s="223">
        <v>6420</v>
      </c>
      <c r="O29" s="281">
        <v>6268.8</v>
      </c>
      <c r="P29" s="223">
        <v>9660</v>
      </c>
      <c r="Q29" s="281">
        <v>9508.7999999999993</v>
      </c>
      <c r="R29" s="278">
        <f t="shared" si="7"/>
        <v>1.587990597438814</v>
      </c>
      <c r="S29" s="221">
        <f t="shared" si="8"/>
        <v>582.43431698265738</v>
      </c>
      <c r="T29" s="226">
        <f t="shared" si="9"/>
        <v>8154.080437757204</v>
      </c>
      <c r="U29" s="279">
        <f t="shared" si="10"/>
        <v>6083.1594441302759</v>
      </c>
      <c r="V29" s="219">
        <f>IFERROR(VLOOKUP(B29,F_U!A:C,3,0),0)</f>
        <v>9660</v>
      </c>
      <c r="W29" s="279">
        <f>IFERROR(VLOOKUP(B29,F_U!A:B,2,0),0)</f>
        <v>9508.7999999999993</v>
      </c>
      <c r="X29" s="219">
        <f>IFERROR(VLOOKUP(B29,F_U!A:C,3,0),0)</f>
        <v>9660</v>
      </c>
      <c r="Y29" s="279">
        <f>IFERROR(VLOOKUP(B29,F_U!A:B,2,0),0)</f>
        <v>9508.7999999999993</v>
      </c>
      <c r="Z29" s="219">
        <f>IFERROR(VLOOKUP(B29,F_U!A:C,3,0),0)</f>
        <v>9660</v>
      </c>
      <c r="AA29" s="279">
        <f>IFERROR(VLOOKUP(B29,F_U!A:B,2,0),0)</f>
        <v>9508.7999999999993</v>
      </c>
      <c r="AB29" s="224">
        <f t="shared" si="11"/>
        <v>1.587990597438814</v>
      </c>
      <c r="AC29" s="225"/>
      <c r="AD29" s="219"/>
      <c r="AE29" s="219"/>
      <c r="AF29" s="219"/>
      <c r="AG29" s="223"/>
      <c r="AH29" s="223"/>
      <c r="AI29" s="219"/>
      <c r="AJ29" s="219"/>
      <c r="AK29" s="224">
        <f t="shared" si="12"/>
        <v>0</v>
      </c>
      <c r="AL29" s="226">
        <f t="shared" si="13"/>
        <v>12166.318888260552</v>
      </c>
      <c r="AM29" s="223">
        <f t="shared" si="14"/>
        <v>19320</v>
      </c>
      <c r="AN29" s="224">
        <f t="shared" si="15"/>
        <v>1.587990597438814</v>
      </c>
      <c r="AO29" s="88"/>
      <c r="AP29" s="227"/>
      <c r="AQ29" s="221"/>
      <c r="AR29" s="206"/>
      <c r="AS29" s="219"/>
      <c r="AT29" s="219"/>
      <c r="AU29" s="223"/>
      <c r="AV29" s="223"/>
      <c r="AW29" s="219"/>
      <c r="AX29" s="219"/>
      <c r="AY29" s="224">
        <f t="shared" si="16"/>
        <v>0</v>
      </c>
      <c r="AZ29" s="221"/>
      <c r="BA29" s="206"/>
      <c r="BB29" s="219"/>
      <c r="BC29" s="219"/>
      <c r="BD29" s="223"/>
      <c r="BE29" s="223"/>
      <c r="BF29" s="219"/>
      <c r="BG29" s="219"/>
      <c r="BH29" s="224">
        <f t="shared" si="17"/>
        <v>0</v>
      </c>
      <c r="BI29" s="221"/>
      <c r="BJ29" s="206"/>
      <c r="BK29" s="219"/>
      <c r="BL29" s="219"/>
      <c r="BM29" s="223"/>
      <c r="BN29" s="223"/>
      <c r="BO29" s="219"/>
      <c r="BP29" s="219"/>
      <c r="BQ29" s="224">
        <f t="shared" si="18"/>
        <v>0</v>
      </c>
      <c r="BR29" s="226">
        <f t="shared" si="19"/>
        <v>0</v>
      </c>
      <c r="BS29" s="223">
        <f t="shared" si="20"/>
        <v>0</v>
      </c>
      <c r="BT29" s="224">
        <f t="shared" si="21"/>
        <v>0</v>
      </c>
      <c r="BV29" s="227"/>
      <c r="BW29" s="225"/>
      <c r="BX29" s="219"/>
      <c r="BY29" s="219"/>
      <c r="BZ29" s="219"/>
      <c r="CA29" s="223"/>
      <c r="CB29" s="223"/>
      <c r="CC29" s="219"/>
      <c r="CD29" s="219"/>
      <c r="CE29" s="224">
        <f t="shared" si="22"/>
        <v>0</v>
      </c>
      <c r="CF29" s="225"/>
      <c r="CG29" s="219"/>
      <c r="CH29" s="219"/>
      <c r="CI29" s="219"/>
      <c r="CJ29" s="223"/>
      <c r="CK29" s="223"/>
      <c r="CL29" s="219"/>
      <c r="CM29" s="219"/>
      <c r="CN29" s="224">
        <f t="shared" si="23"/>
        <v>0</v>
      </c>
      <c r="CO29" s="225"/>
      <c r="CP29" s="219"/>
      <c r="CQ29" s="219"/>
      <c r="CR29" s="219"/>
      <c r="CS29" s="223"/>
      <c r="CT29" s="223"/>
      <c r="CU29" s="219"/>
      <c r="CV29" s="219"/>
      <c r="CW29" s="224">
        <f t="shared" si="24"/>
        <v>0</v>
      </c>
      <c r="CX29" s="226">
        <f t="shared" si="25"/>
        <v>0</v>
      </c>
      <c r="CY29" s="223">
        <f t="shared" si="26"/>
        <v>0</v>
      </c>
      <c r="CZ29" s="224">
        <f t="shared" si="27"/>
        <v>0</v>
      </c>
      <c r="DB29" s="227"/>
      <c r="DC29" s="221"/>
      <c r="DD29" s="206"/>
      <c r="DE29" s="219"/>
      <c r="DF29" s="219"/>
      <c r="DG29" s="223"/>
      <c r="DH29" s="223"/>
      <c r="DI29" s="219"/>
      <c r="DJ29" s="219"/>
      <c r="DK29" s="224">
        <f t="shared" si="28"/>
        <v>0</v>
      </c>
      <c r="DL29" s="221"/>
      <c r="DM29" s="206"/>
      <c r="DN29" s="219"/>
      <c r="DO29" s="219"/>
      <c r="DP29" s="223"/>
      <c r="DQ29" s="223"/>
      <c r="DR29" s="219"/>
      <c r="DS29" s="219"/>
      <c r="DT29" s="224">
        <f t="shared" si="29"/>
        <v>0</v>
      </c>
      <c r="DU29" s="221"/>
      <c r="DV29" s="206"/>
      <c r="DW29" s="219"/>
      <c r="DX29" s="219"/>
      <c r="DY29" s="223"/>
      <c r="DZ29" s="223"/>
      <c r="EA29" s="219"/>
      <c r="EB29" s="219"/>
      <c r="EC29" s="224">
        <f t="shared" si="30"/>
        <v>0</v>
      </c>
      <c r="ED29" s="226">
        <f t="shared" si="31"/>
        <v>0</v>
      </c>
      <c r="EE29" s="223">
        <f t="shared" si="32"/>
        <v>0</v>
      </c>
      <c r="EF29" s="224">
        <f t="shared" si="33"/>
        <v>0</v>
      </c>
    </row>
    <row r="30" spans="1:136" s="90" customFormat="1" hidden="1" outlineLevel="1" x14ac:dyDescent="0.25">
      <c r="A30" s="257">
        <v>13</v>
      </c>
      <c r="B30" s="217" t="s">
        <v>182</v>
      </c>
      <c r="C30" s="229" t="s">
        <v>827</v>
      </c>
      <c r="D30" s="229" t="s">
        <v>168</v>
      </c>
      <c r="E30" s="230" t="s">
        <v>537</v>
      </c>
      <c r="F30" s="219" t="s">
        <v>152</v>
      </c>
      <c r="G30" s="220">
        <v>1.9850722534894154</v>
      </c>
      <c r="H30" s="207"/>
      <c r="I30" s="221">
        <f t="shared" si="34"/>
        <v>372.60412798403598</v>
      </c>
      <c r="J30" s="282">
        <f t="shared" si="5"/>
        <v>5216.4577917765037</v>
      </c>
      <c r="K30" s="222">
        <f t="shared" si="6"/>
        <v>3891.6153358036167</v>
      </c>
      <c r="L30" s="219">
        <v>0</v>
      </c>
      <c r="M30" s="279">
        <v>0</v>
      </c>
      <c r="N30" s="223">
        <v>3180</v>
      </c>
      <c r="O30" s="281">
        <v>2251.1999999999998</v>
      </c>
      <c r="P30" s="223">
        <v>4594</v>
      </c>
      <c r="Q30" s="281">
        <v>3156.16</v>
      </c>
      <c r="R30" s="278">
        <f t="shared" si="7"/>
        <v>1.1804866626293478</v>
      </c>
      <c r="S30" s="221">
        <f t="shared" si="8"/>
        <v>372.60412798403598</v>
      </c>
      <c r="T30" s="226">
        <f t="shared" si="9"/>
        <v>5216.4577917765037</v>
      </c>
      <c r="U30" s="279">
        <f t="shared" si="10"/>
        <v>3891.6153358036167</v>
      </c>
      <c r="V30" s="219">
        <f>IFERROR(VLOOKUP(B30,F_U!A:C,3,0),0)</f>
        <v>4594</v>
      </c>
      <c r="W30" s="279">
        <f>IFERROR(VLOOKUP(B30,F_U!A:B,2,0),0)</f>
        <v>3156.16</v>
      </c>
      <c r="X30" s="219">
        <f>IFERROR(VLOOKUP(B30,F_U!A:C,3,0),0)</f>
        <v>4594</v>
      </c>
      <c r="Y30" s="279">
        <f>IFERROR(VLOOKUP(B30,F_U!A:B,2,0),0)</f>
        <v>3156.16</v>
      </c>
      <c r="Z30" s="219">
        <f>IFERROR(VLOOKUP(B30,F_U!A:C,3,0),0)</f>
        <v>4594</v>
      </c>
      <c r="AA30" s="279">
        <f>IFERROR(VLOOKUP(B30,F_U!A:B,2,0),0)</f>
        <v>3156.16</v>
      </c>
      <c r="AB30" s="224">
        <f t="shared" si="11"/>
        <v>1.1804866626293478</v>
      </c>
      <c r="AC30" s="225"/>
      <c r="AD30" s="219"/>
      <c r="AE30" s="219"/>
      <c r="AF30" s="219"/>
      <c r="AG30" s="223"/>
      <c r="AH30" s="223"/>
      <c r="AI30" s="219"/>
      <c r="AJ30" s="219"/>
      <c r="AK30" s="224">
        <f t="shared" si="12"/>
        <v>0</v>
      </c>
      <c r="AL30" s="226">
        <f t="shared" si="13"/>
        <v>7783.2306716072335</v>
      </c>
      <c r="AM30" s="223">
        <f t="shared" si="14"/>
        <v>9188</v>
      </c>
      <c r="AN30" s="224">
        <f t="shared" si="15"/>
        <v>1.1804866626293478</v>
      </c>
      <c r="AO30" s="88"/>
      <c r="AP30" s="227"/>
      <c r="AQ30" s="221"/>
      <c r="AR30" s="206"/>
      <c r="AS30" s="219"/>
      <c r="AT30" s="219"/>
      <c r="AU30" s="223"/>
      <c r="AV30" s="223"/>
      <c r="AW30" s="219"/>
      <c r="AX30" s="219"/>
      <c r="AY30" s="224">
        <f t="shared" si="16"/>
        <v>0</v>
      </c>
      <c r="AZ30" s="221"/>
      <c r="BA30" s="206"/>
      <c r="BB30" s="219"/>
      <c r="BC30" s="219"/>
      <c r="BD30" s="223"/>
      <c r="BE30" s="223"/>
      <c r="BF30" s="219"/>
      <c r="BG30" s="219"/>
      <c r="BH30" s="224">
        <f t="shared" si="17"/>
        <v>0</v>
      </c>
      <c r="BI30" s="221"/>
      <c r="BJ30" s="206"/>
      <c r="BK30" s="219"/>
      <c r="BL30" s="219"/>
      <c r="BM30" s="223"/>
      <c r="BN30" s="223"/>
      <c r="BO30" s="219"/>
      <c r="BP30" s="219"/>
      <c r="BQ30" s="224">
        <f t="shared" si="18"/>
        <v>0</v>
      </c>
      <c r="BR30" s="226">
        <f t="shared" si="19"/>
        <v>0</v>
      </c>
      <c r="BS30" s="223">
        <f t="shared" si="20"/>
        <v>0</v>
      </c>
      <c r="BT30" s="224">
        <f t="shared" si="21"/>
        <v>0</v>
      </c>
      <c r="BV30" s="227"/>
      <c r="BW30" s="225"/>
      <c r="BX30" s="219"/>
      <c r="BY30" s="219"/>
      <c r="BZ30" s="219"/>
      <c r="CA30" s="223"/>
      <c r="CB30" s="223"/>
      <c r="CC30" s="219"/>
      <c r="CD30" s="219"/>
      <c r="CE30" s="224">
        <f t="shared" si="22"/>
        <v>0</v>
      </c>
      <c r="CF30" s="225"/>
      <c r="CG30" s="219"/>
      <c r="CH30" s="219"/>
      <c r="CI30" s="219"/>
      <c r="CJ30" s="223"/>
      <c r="CK30" s="223"/>
      <c r="CL30" s="219"/>
      <c r="CM30" s="219"/>
      <c r="CN30" s="224">
        <f t="shared" si="23"/>
        <v>0</v>
      </c>
      <c r="CO30" s="225"/>
      <c r="CP30" s="219"/>
      <c r="CQ30" s="219"/>
      <c r="CR30" s="219"/>
      <c r="CS30" s="223"/>
      <c r="CT30" s="223"/>
      <c r="CU30" s="219"/>
      <c r="CV30" s="219"/>
      <c r="CW30" s="224">
        <f t="shared" si="24"/>
        <v>0</v>
      </c>
      <c r="CX30" s="226">
        <f t="shared" si="25"/>
        <v>0</v>
      </c>
      <c r="CY30" s="223">
        <f t="shared" si="26"/>
        <v>0</v>
      </c>
      <c r="CZ30" s="224">
        <f t="shared" si="27"/>
        <v>0</v>
      </c>
      <c r="DB30" s="227"/>
      <c r="DC30" s="221"/>
      <c r="DD30" s="206"/>
      <c r="DE30" s="219"/>
      <c r="DF30" s="219"/>
      <c r="DG30" s="223"/>
      <c r="DH30" s="223"/>
      <c r="DI30" s="219"/>
      <c r="DJ30" s="219"/>
      <c r="DK30" s="224">
        <f t="shared" si="28"/>
        <v>0</v>
      </c>
      <c r="DL30" s="221"/>
      <c r="DM30" s="206"/>
      <c r="DN30" s="219"/>
      <c r="DO30" s="219"/>
      <c r="DP30" s="223"/>
      <c r="DQ30" s="223"/>
      <c r="DR30" s="219"/>
      <c r="DS30" s="219"/>
      <c r="DT30" s="224">
        <f t="shared" si="29"/>
        <v>0</v>
      </c>
      <c r="DU30" s="221"/>
      <c r="DV30" s="206"/>
      <c r="DW30" s="219"/>
      <c r="DX30" s="219"/>
      <c r="DY30" s="223"/>
      <c r="DZ30" s="223"/>
      <c r="EA30" s="219"/>
      <c r="EB30" s="219"/>
      <c r="EC30" s="224">
        <f t="shared" si="30"/>
        <v>0</v>
      </c>
      <c r="ED30" s="226">
        <f t="shared" si="31"/>
        <v>0</v>
      </c>
      <c r="EE30" s="223">
        <f t="shared" si="32"/>
        <v>0</v>
      </c>
      <c r="EF30" s="224">
        <f t="shared" si="33"/>
        <v>0</v>
      </c>
    </row>
    <row r="31" spans="1:136" s="90" customFormat="1" hidden="1" outlineLevel="1" x14ac:dyDescent="0.25">
      <c r="A31" s="257">
        <v>14</v>
      </c>
      <c r="B31" s="217" t="s">
        <v>401</v>
      </c>
      <c r="C31" s="229" t="s">
        <v>92</v>
      </c>
      <c r="D31" s="229" t="s">
        <v>975</v>
      </c>
      <c r="E31" s="230" t="s">
        <v>976</v>
      </c>
      <c r="F31" s="219" t="s">
        <v>152</v>
      </c>
      <c r="G31" s="220">
        <v>1.8309686887583196</v>
      </c>
      <c r="H31" s="207"/>
      <c r="I31" s="221">
        <f t="shared" si="34"/>
        <v>343.67841797276185</v>
      </c>
      <c r="J31" s="282">
        <f t="shared" si="5"/>
        <v>4811.4978516186657</v>
      </c>
      <c r="K31" s="222">
        <f t="shared" si="6"/>
        <v>3589.5045210686126</v>
      </c>
      <c r="L31" s="219">
        <v>1400</v>
      </c>
      <c r="M31" s="279">
        <v>896</v>
      </c>
      <c r="N31" s="223">
        <v>1400</v>
      </c>
      <c r="O31" s="281">
        <v>896</v>
      </c>
      <c r="P31" s="223">
        <v>1400</v>
      </c>
      <c r="Q31" s="281">
        <v>896</v>
      </c>
      <c r="R31" s="278">
        <f t="shared" si="7"/>
        <v>0.39002597483376711</v>
      </c>
      <c r="S31" s="221">
        <f t="shared" si="8"/>
        <v>343.67841797276185</v>
      </c>
      <c r="T31" s="226">
        <f t="shared" si="9"/>
        <v>4811.4978516186657</v>
      </c>
      <c r="U31" s="279">
        <f t="shared" si="10"/>
        <v>3589.5045210686126</v>
      </c>
      <c r="V31" s="219">
        <f>IFERROR(VLOOKUP(B31,F_U!A:C,3,0),0)</f>
        <v>1400</v>
      </c>
      <c r="W31" s="279">
        <f>IFERROR(VLOOKUP(B31,F_U!A:B,2,0),0)</f>
        <v>896</v>
      </c>
      <c r="X31" s="219">
        <f>IFERROR(VLOOKUP(B31,F_U!A:C,3,0),0)</f>
        <v>1400</v>
      </c>
      <c r="Y31" s="279">
        <f>IFERROR(VLOOKUP(B31,F_U!A:B,2,0),0)</f>
        <v>896</v>
      </c>
      <c r="Z31" s="219">
        <f>IFERROR(VLOOKUP(B31,F_U!A:C,3,0),0)</f>
        <v>1400</v>
      </c>
      <c r="AA31" s="279">
        <f>IFERROR(VLOOKUP(B31,F_U!A:B,2,0),0)</f>
        <v>896</v>
      </c>
      <c r="AB31" s="224">
        <f t="shared" si="11"/>
        <v>0.39002597483376711</v>
      </c>
      <c r="AC31" s="225"/>
      <c r="AD31" s="219"/>
      <c r="AE31" s="219"/>
      <c r="AF31" s="219"/>
      <c r="AG31" s="223"/>
      <c r="AH31" s="223"/>
      <c r="AI31" s="219"/>
      <c r="AJ31" s="219"/>
      <c r="AK31" s="224">
        <f t="shared" si="12"/>
        <v>0</v>
      </c>
      <c r="AL31" s="226">
        <f t="shared" si="13"/>
        <v>7179.0090421372252</v>
      </c>
      <c r="AM31" s="223">
        <f t="shared" si="14"/>
        <v>2800</v>
      </c>
      <c r="AN31" s="224">
        <f t="shared" si="15"/>
        <v>0.39002597483376711</v>
      </c>
      <c r="AO31" s="88"/>
      <c r="AP31" s="227"/>
      <c r="AQ31" s="221"/>
      <c r="AR31" s="206"/>
      <c r="AS31" s="219"/>
      <c r="AT31" s="219"/>
      <c r="AU31" s="223"/>
      <c r="AV31" s="223"/>
      <c r="AW31" s="219"/>
      <c r="AX31" s="219"/>
      <c r="AY31" s="224">
        <f t="shared" si="16"/>
        <v>0</v>
      </c>
      <c r="AZ31" s="221"/>
      <c r="BA31" s="206"/>
      <c r="BB31" s="219"/>
      <c r="BC31" s="219"/>
      <c r="BD31" s="223"/>
      <c r="BE31" s="223"/>
      <c r="BF31" s="219"/>
      <c r="BG31" s="219"/>
      <c r="BH31" s="224">
        <f t="shared" si="17"/>
        <v>0</v>
      </c>
      <c r="BI31" s="221"/>
      <c r="BJ31" s="206"/>
      <c r="BK31" s="219"/>
      <c r="BL31" s="219"/>
      <c r="BM31" s="223"/>
      <c r="BN31" s="223"/>
      <c r="BO31" s="219"/>
      <c r="BP31" s="219"/>
      <c r="BQ31" s="224">
        <f t="shared" si="18"/>
        <v>0</v>
      </c>
      <c r="BR31" s="226">
        <f t="shared" si="19"/>
        <v>0</v>
      </c>
      <c r="BS31" s="223">
        <f t="shared" si="20"/>
        <v>0</v>
      </c>
      <c r="BT31" s="224">
        <f t="shared" si="21"/>
        <v>0</v>
      </c>
      <c r="BV31" s="227"/>
      <c r="BW31" s="225"/>
      <c r="BX31" s="219"/>
      <c r="BY31" s="219"/>
      <c r="BZ31" s="219"/>
      <c r="CA31" s="223"/>
      <c r="CB31" s="223"/>
      <c r="CC31" s="219"/>
      <c r="CD31" s="219"/>
      <c r="CE31" s="224">
        <f t="shared" si="22"/>
        <v>0</v>
      </c>
      <c r="CF31" s="225"/>
      <c r="CG31" s="219"/>
      <c r="CH31" s="219"/>
      <c r="CI31" s="219"/>
      <c r="CJ31" s="223"/>
      <c r="CK31" s="223"/>
      <c r="CL31" s="219"/>
      <c r="CM31" s="219"/>
      <c r="CN31" s="224">
        <f t="shared" si="23"/>
        <v>0</v>
      </c>
      <c r="CO31" s="225"/>
      <c r="CP31" s="219"/>
      <c r="CQ31" s="219"/>
      <c r="CR31" s="219"/>
      <c r="CS31" s="223"/>
      <c r="CT31" s="223"/>
      <c r="CU31" s="219"/>
      <c r="CV31" s="219"/>
      <c r="CW31" s="224">
        <f t="shared" si="24"/>
        <v>0</v>
      </c>
      <c r="CX31" s="226">
        <f t="shared" si="25"/>
        <v>0</v>
      </c>
      <c r="CY31" s="223">
        <f t="shared" si="26"/>
        <v>0</v>
      </c>
      <c r="CZ31" s="224">
        <f t="shared" si="27"/>
        <v>0</v>
      </c>
      <c r="DB31" s="227"/>
      <c r="DC31" s="221"/>
      <c r="DD31" s="206"/>
      <c r="DE31" s="219"/>
      <c r="DF31" s="219"/>
      <c r="DG31" s="223"/>
      <c r="DH31" s="223"/>
      <c r="DI31" s="219"/>
      <c r="DJ31" s="219"/>
      <c r="DK31" s="224">
        <f t="shared" si="28"/>
        <v>0</v>
      </c>
      <c r="DL31" s="221"/>
      <c r="DM31" s="206"/>
      <c r="DN31" s="219"/>
      <c r="DO31" s="219"/>
      <c r="DP31" s="223"/>
      <c r="DQ31" s="223"/>
      <c r="DR31" s="219"/>
      <c r="DS31" s="219"/>
      <c r="DT31" s="224">
        <f t="shared" si="29"/>
        <v>0</v>
      </c>
      <c r="DU31" s="221"/>
      <c r="DV31" s="206"/>
      <c r="DW31" s="219"/>
      <c r="DX31" s="219"/>
      <c r="DY31" s="223"/>
      <c r="DZ31" s="223"/>
      <c r="EA31" s="219"/>
      <c r="EB31" s="219"/>
      <c r="EC31" s="224">
        <f t="shared" si="30"/>
        <v>0</v>
      </c>
      <c r="ED31" s="226">
        <f t="shared" si="31"/>
        <v>0</v>
      </c>
      <c r="EE31" s="223">
        <f t="shared" si="32"/>
        <v>0</v>
      </c>
      <c r="EF31" s="224">
        <f t="shared" si="33"/>
        <v>0</v>
      </c>
    </row>
    <row r="32" spans="1:136" s="90" customFormat="1" ht="16.5" collapsed="1" thickBot="1" x14ac:dyDescent="0.3">
      <c r="A32" s="231"/>
      <c r="B32" s="475" t="s">
        <v>982</v>
      </c>
      <c r="C32" s="476"/>
      <c r="D32" s="476"/>
      <c r="E32" s="476"/>
      <c r="F32" s="477"/>
      <c r="G32" s="259">
        <f>SUM(G18:G31)</f>
        <v>100</v>
      </c>
      <c r="H32" s="258"/>
      <c r="I32" s="231">
        <f t="shared" ref="I32:Q32" si="38">SUM(I18:I31)</f>
        <v>18770.305581021647</v>
      </c>
      <c r="J32" s="232">
        <f t="shared" si="38"/>
        <v>262784.27813430305</v>
      </c>
      <c r="K32" s="233">
        <f t="shared" si="38"/>
        <v>196044.01446661833</v>
      </c>
      <c r="L32" s="234">
        <f>SUM(L18:L31)</f>
        <v>49154</v>
      </c>
      <c r="M32" s="280">
        <f t="shared" si="38"/>
        <v>38120</v>
      </c>
      <c r="N32" s="234">
        <v>122930</v>
      </c>
      <c r="O32" s="280">
        <v>93825.439999999988</v>
      </c>
      <c r="P32" s="234">
        <f t="shared" si="38"/>
        <v>209394</v>
      </c>
      <c r="Q32" s="280">
        <f t="shared" si="38"/>
        <v>162735.84</v>
      </c>
      <c r="R32" s="235">
        <f>IFERROR((Q32/K32),0)</f>
        <v>0.83009848805003972</v>
      </c>
      <c r="S32" s="231">
        <f t="shared" ref="S32:Z32" si="39">SUM(S18:S31)</f>
        <v>18770.305581021647</v>
      </c>
      <c r="T32" s="234">
        <f t="shared" si="39"/>
        <v>262784.27813430305</v>
      </c>
      <c r="U32" s="280">
        <f t="shared" si="39"/>
        <v>196044.01446661833</v>
      </c>
      <c r="V32" s="234">
        <f t="shared" si="39"/>
        <v>209394</v>
      </c>
      <c r="W32" s="280">
        <f t="shared" si="39"/>
        <v>162735.84</v>
      </c>
      <c r="X32" s="234">
        <f t="shared" si="39"/>
        <v>209394</v>
      </c>
      <c r="Y32" s="280">
        <f t="shared" si="39"/>
        <v>162735.84</v>
      </c>
      <c r="Z32" s="234">
        <f t="shared" si="39"/>
        <v>209394</v>
      </c>
      <c r="AA32" s="280">
        <f>SUM(AA18:AA31)</f>
        <v>162735.84</v>
      </c>
      <c r="AB32" s="235">
        <f>IFERROR((AA32/U32),0)</f>
        <v>0.83009848805003972</v>
      </c>
      <c r="AC32" s="231">
        <f t="shared" ref="AC32:AJ32" si="40">SUM(AC18:AC31)</f>
        <v>0</v>
      </c>
      <c r="AD32" s="234">
        <f t="shared" si="40"/>
        <v>0</v>
      </c>
      <c r="AE32" s="234">
        <f t="shared" si="40"/>
        <v>0</v>
      </c>
      <c r="AF32" s="234">
        <f t="shared" si="40"/>
        <v>0</v>
      </c>
      <c r="AG32" s="234">
        <f t="shared" si="40"/>
        <v>0</v>
      </c>
      <c r="AH32" s="234">
        <f t="shared" si="40"/>
        <v>0</v>
      </c>
      <c r="AI32" s="234">
        <f t="shared" si="40"/>
        <v>0</v>
      </c>
      <c r="AJ32" s="234">
        <f t="shared" si="40"/>
        <v>0</v>
      </c>
      <c r="AK32" s="235">
        <f>IFERROR((AI32/AD32),0)</f>
        <v>0</v>
      </c>
      <c r="AL32" s="236">
        <f>SUM(AL18:AL31)</f>
        <v>392088.02893323667</v>
      </c>
      <c r="AM32" s="234">
        <f>SUM(AM18:AM31)</f>
        <v>418788</v>
      </c>
      <c r="AN32" s="237">
        <f t="shared" si="15"/>
        <v>1.0680968790080294</v>
      </c>
      <c r="AO32" s="88"/>
      <c r="AP32" s="94"/>
      <c r="AQ32" s="231">
        <f t="shared" ref="AQ32:AX32" si="41">SUM(AQ18:AQ31)</f>
        <v>0</v>
      </c>
      <c r="AR32" s="234">
        <f t="shared" si="41"/>
        <v>0</v>
      </c>
      <c r="AS32" s="234">
        <f t="shared" si="41"/>
        <v>0</v>
      </c>
      <c r="AT32" s="234">
        <f t="shared" si="41"/>
        <v>0</v>
      </c>
      <c r="AU32" s="234">
        <f t="shared" si="41"/>
        <v>0</v>
      </c>
      <c r="AV32" s="234">
        <f t="shared" si="41"/>
        <v>0</v>
      </c>
      <c r="AW32" s="234">
        <f t="shared" si="41"/>
        <v>0</v>
      </c>
      <c r="AX32" s="234">
        <f t="shared" si="41"/>
        <v>0</v>
      </c>
      <c r="AY32" s="235">
        <f>IFERROR((AW32/AR32),0)</f>
        <v>0</v>
      </c>
      <c r="AZ32" s="231">
        <f t="shared" ref="AZ32:BG32" si="42">SUM(AZ18:AZ31)</f>
        <v>0</v>
      </c>
      <c r="BA32" s="234">
        <f t="shared" si="42"/>
        <v>0</v>
      </c>
      <c r="BB32" s="234">
        <f t="shared" si="42"/>
        <v>0</v>
      </c>
      <c r="BC32" s="234">
        <f t="shared" si="42"/>
        <v>0</v>
      </c>
      <c r="BD32" s="234">
        <f t="shared" si="42"/>
        <v>0</v>
      </c>
      <c r="BE32" s="234">
        <f t="shared" si="42"/>
        <v>0</v>
      </c>
      <c r="BF32" s="234">
        <f t="shared" si="42"/>
        <v>0</v>
      </c>
      <c r="BG32" s="234">
        <f t="shared" si="42"/>
        <v>0</v>
      </c>
      <c r="BH32" s="235">
        <f>IFERROR((BF32/BA32),0)</f>
        <v>0</v>
      </c>
      <c r="BI32" s="231">
        <f t="shared" ref="BI32:BP32" si="43">SUM(BI18:BI31)</f>
        <v>0</v>
      </c>
      <c r="BJ32" s="234">
        <f t="shared" si="43"/>
        <v>0</v>
      </c>
      <c r="BK32" s="234">
        <f t="shared" si="43"/>
        <v>0</v>
      </c>
      <c r="BL32" s="234">
        <f t="shared" si="43"/>
        <v>0</v>
      </c>
      <c r="BM32" s="234">
        <f t="shared" si="43"/>
        <v>0</v>
      </c>
      <c r="BN32" s="234">
        <f t="shared" si="43"/>
        <v>0</v>
      </c>
      <c r="BO32" s="234">
        <f t="shared" si="43"/>
        <v>0</v>
      </c>
      <c r="BP32" s="234">
        <f t="shared" si="43"/>
        <v>0</v>
      </c>
      <c r="BQ32" s="235">
        <f>IFERROR((BO32/BJ32),0)</f>
        <v>0</v>
      </c>
      <c r="BR32" s="236">
        <f>SUM(BR18:BR31)</f>
        <v>0</v>
      </c>
      <c r="BS32" s="234">
        <f>SUM(BS18:BS31)</f>
        <v>0</v>
      </c>
      <c r="BT32" s="237">
        <f t="shared" si="21"/>
        <v>0</v>
      </c>
      <c r="BV32" s="94"/>
      <c r="BW32" s="231">
        <f t="shared" ref="BW32:CD32" si="44">SUM(BW18:BW31)</f>
        <v>0</v>
      </c>
      <c r="BX32" s="234">
        <f t="shared" si="44"/>
        <v>0</v>
      </c>
      <c r="BY32" s="234">
        <f t="shared" si="44"/>
        <v>0</v>
      </c>
      <c r="BZ32" s="234">
        <f t="shared" si="44"/>
        <v>0</v>
      </c>
      <c r="CA32" s="234">
        <f t="shared" si="44"/>
        <v>0</v>
      </c>
      <c r="CB32" s="234">
        <f t="shared" si="44"/>
        <v>0</v>
      </c>
      <c r="CC32" s="234">
        <f t="shared" si="44"/>
        <v>0</v>
      </c>
      <c r="CD32" s="234">
        <f t="shared" si="44"/>
        <v>0</v>
      </c>
      <c r="CE32" s="235">
        <f>IFERROR((CC32/BX32),0)</f>
        <v>0</v>
      </c>
      <c r="CF32" s="231">
        <f t="shared" ref="CF32:CM32" si="45">SUM(CF18:CF31)</f>
        <v>0</v>
      </c>
      <c r="CG32" s="234">
        <f t="shared" si="45"/>
        <v>0</v>
      </c>
      <c r="CH32" s="234">
        <f t="shared" si="45"/>
        <v>0</v>
      </c>
      <c r="CI32" s="234">
        <f t="shared" si="45"/>
        <v>0</v>
      </c>
      <c r="CJ32" s="234">
        <f t="shared" si="45"/>
        <v>0</v>
      </c>
      <c r="CK32" s="234">
        <f t="shared" si="45"/>
        <v>0</v>
      </c>
      <c r="CL32" s="234">
        <f t="shared" si="45"/>
        <v>0</v>
      </c>
      <c r="CM32" s="234">
        <f t="shared" si="45"/>
        <v>0</v>
      </c>
      <c r="CN32" s="235">
        <f>IFERROR((CL32/CG32),0)</f>
        <v>0</v>
      </c>
      <c r="CO32" s="231">
        <f t="shared" ref="CO32:CV32" si="46">SUM(CO18:CO31)</f>
        <v>0</v>
      </c>
      <c r="CP32" s="234">
        <f t="shared" si="46"/>
        <v>0</v>
      </c>
      <c r="CQ32" s="234">
        <f t="shared" si="46"/>
        <v>0</v>
      </c>
      <c r="CR32" s="234">
        <f t="shared" si="46"/>
        <v>0</v>
      </c>
      <c r="CS32" s="234">
        <f t="shared" si="46"/>
        <v>0</v>
      </c>
      <c r="CT32" s="234">
        <f t="shared" si="46"/>
        <v>0</v>
      </c>
      <c r="CU32" s="234">
        <f t="shared" si="46"/>
        <v>0</v>
      </c>
      <c r="CV32" s="234">
        <f t="shared" si="46"/>
        <v>0</v>
      </c>
      <c r="CW32" s="235">
        <f>IFERROR((CU32/CP32),0)</f>
        <v>0</v>
      </c>
      <c r="CX32" s="236">
        <f>SUM(CX18:CX31)</f>
        <v>0</v>
      </c>
      <c r="CY32" s="234">
        <f>SUM(CY18:CY31)</f>
        <v>0</v>
      </c>
      <c r="CZ32" s="237">
        <f t="shared" si="27"/>
        <v>0</v>
      </c>
      <c r="DB32" s="94"/>
      <c r="DC32" s="231">
        <f t="shared" ref="DC32:DJ32" si="47">SUM(DC18:DC31)</f>
        <v>0</v>
      </c>
      <c r="DD32" s="234">
        <f t="shared" si="47"/>
        <v>0</v>
      </c>
      <c r="DE32" s="234">
        <f t="shared" si="47"/>
        <v>0</v>
      </c>
      <c r="DF32" s="234">
        <f t="shared" si="47"/>
        <v>0</v>
      </c>
      <c r="DG32" s="234">
        <f t="shared" si="47"/>
        <v>0</v>
      </c>
      <c r="DH32" s="234">
        <f t="shared" si="47"/>
        <v>0</v>
      </c>
      <c r="DI32" s="234">
        <f t="shared" si="47"/>
        <v>0</v>
      </c>
      <c r="DJ32" s="234">
        <f t="shared" si="47"/>
        <v>0</v>
      </c>
      <c r="DK32" s="235">
        <f>IFERROR((DI32/DD32),0)</f>
        <v>0</v>
      </c>
      <c r="DL32" s="231">
        <f t="shared" ref="DL32:DS32" si="48">SUM(DL18:DL31)</f>
        <v>0</v>
      </c>
      <c r="DM32" s="234">
        <f t="shared" si="48"/>
        <v>0</v>
      </c>
      <c r="DN32" s="234">
        <f t="shared" si="48"/>
        <v>0</v>
      </c>
      <c r="DO32" s="234">
        <f t="shared" si="48"/>
        <v>0</v>
      </c>
      <c r="DP32" s="234">
        <f t="shared" si="48"/>
        <v>0</v>
      </c>
      <c r="DQ32" s="234">
        <f t="shared" si="48"/>
        <v>0</v>
      </c>
      <c r="DR32" s="234">
        <f t="shared" si="48"/>
        <v>0</v>
      </c>
      <c r="DS32" s="234">
        <f t="shared" si="48"/>
        <v>0</v>
      </c>
      <c r="DT32" s="235">
        <f>IFERROR((DR32/DM32),0)</f>
        <v>0</v>
      </c>
      <c r="DU32" s="231">
        <f t="shared" ref="DU32:EB32" si="49">SUM(DU18:DU31)</f>
        <v>0</v>
      </c>
      <c r="DV32" s="234">
        <f t="shared" si="49"/>
        <v>0</v>
      </c>
      <c r="DW32" s="234">
        <f t="shared" si="49"/>
        <v>0</v>
      </c>
      <c r="DX32" s="234">
        <f t="shared" si="49"/>
        <v>0</v>
      </c>
      <c r="DY32" s="234">
        <f t="shared" si="49"/>
        <v>0</v>
      </c>
      <c r="DZ32" s="234">
        <f t="shared" si="49"/>
        <v>0</v>
      </c>
      <c r="EA32" s="234">
        <f t="shared" si="49"/>
        <v>0</v>
      </c>
      <c r="EB32" s="234">
        <f t="shared" si="49"/>
        <v>0</v>
      </c>
      <c r="EC32" s="235">
        <f>IFERROR((EA32/DV32),0)</f>
        <v>0</v>
      </c>
      <c r="ED32" s="236">
        <f>SUM(ED18:ED31)</f>
        <v>0</v>
      </c>
      <c r="EE32" s="234">
        <f>SUM(EE18:EE31)</f>
        <v>0</v>
      </c>
      <c r="EF32" s="237">
        <f t="shared" si="33"/>
        <v>0</v>
      </c>
    </row>
    <row r="33" spans="1:136" s="90" customFormat="1" x14ac:dyDescent="0.25">
      <c r="G33" s="238"/>
      <c r="H33" s="92"/>
      <c r="I33" s="92"/>
      <c r="J33" s="239" t="b">
        <f>J32=J16</f>
        <v>1</v>
      </c>
      <c r="K33" s="240" t="b">
        <f>K32=K16</f>
        <v>1</v>
      </c>
      <c r="L33" s="92"/>
      <c r="M33" s="92"/>
      <c r="N33" s="92"/>
      <c r="O33" s="92"/>
      <c r="P33" s="92"/>
      <c r="Q33" s="92"/>
      <c r="R33" s="92"/>
      <c r="S33" s="92"/>
      <c r="T33" s="239" t="b">
        <f>T32=T16</f>
        <v>1</v>
      </c>
      <c r="U33" s="240" t="b">
        <f>U32=U16</f>
        <v>1</v>
      </c>
      <c r="V33" s="92"/>
      <c r="W33" s="92"/>
      <c r="X33" s="92"/>
      <c r="Y33" s="92"/>
      <c r="Z33" s="92"/>
      <c r="AA33" s="92"/>
      <c r="AB33" s="92"/>
      <c r="AL33" s="88"/>
      <c r="AM33" s="88"/>
      <c r="AN33" s="88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R33" s="88"/>
      <c r="BS33" s="88"/>
      <c r="BT33" s="88"/>
      <c r="BW33" s="92"/>
      <c r="BX33" s="92"/>
      <c r="BY33" s="92"/>
      <c r="BZ33" s="92"/>
      <c r="CA33" s="92"/>
      <c r="CB33" s="92"/>
      <c r="CC33" s="92"/>
      <c r="CD33" s="92"/>
      <c r="CE33" s="92"/>
      <c r="CF33" s="92"/>
      <c r="CG33" s="92"/>
      <c r="CH33" s="92"/>
      <c r="CI33" s="92"/>
      <c r="CJ33" s="92"/>
      <c r="CK33" s="92"/>
      <c r="CL33" s="92"/>
      <c r="CM33" s="92"/>
      <c r="CN33" s="92"/>
      <c r="CX33" s="88"/>
      <c r="CY33" s="88"/>
      <c r="CZ33" s="88"/>
      <c r="DC33" s="92"/>
      <c r="DD33" s="92"/>
      <c r="DE33" s="92"/>
      <c r="DF33" s="92"/>
      <c r="DG33" s="92"/>
      <c r="DH33" s="92"/>
      <c r="DI33" s="92"/>
      <c r="DJ33" s="92"/>
      <c r="DK33" s="92"/>
      <c r="DL33" s="92"/>
      <c r="DM33" s="92"/>
      <c r="DN33" s="92"/>
      <c r="DO33" s="92"/>
      <c r="DP33" s="92"/>
      <c r="DQ33" s="92"/>
      <c r="DR33" s="92"/>
      <c r="DS33" s="92"/>
      <c r="DT33" s="92"/>
      <c r="ED33" s="88"/>
      <c r="EE33" s="88"/>
      <c r="EF33" s="88"/>
    </row>
    <row r="34" spans="1:136" s="90" customFormat="1" ht="16.5" hidden="1" thickBot="1" x14ac:dyDescent="0.3">
      <c r="G34" s="238"/>
      <c r="H34" s="92"/>
      <c r="I34" s="481" t="s">
        <v>952</v>
      </c>
      <c r="J34" s="482"/>
      <c r="K34" s="482"/>
      <c r="L34" s="482"/>
      <c r="M34" s="482"/>
      <c r="N34" s="482"/>
      <c r="O34" s="482"/>
      <c r="P34" s="482"/>
      <c r="Q34" s="482"/>
      <c r="R34" s="482"/>
      <c r="S34" s="482"/>
      <c r="T34" s="482"/>
      <c r="U34" s="482"/>
      <c r="V34" s="482"/>
      <c r="W34" s="482"/>
      <c r="X34" s="482"/>
      <c r="Y34" s="482"/>
      <c r="Z34" s="482"/>
      <c r="AA34" s="482"/>
      <c r="AB34" s="482"/>
      <c r="AC34" s="482"/>
      <c r="AD34" s="482"/>
      <c r="AE34" s="482"/>
      <c r="AF34" s="482"/>
      <c r="AG34" s="482"/>
      <c r="AH34" s="482"/>
      <c r="AI34" s="482"/>
      <c r="AJ34" s="482"/>
      <c r="AK34" s="482"/>
      <c r="AL34" s="482"/>
      <c r="AM34" s="482"/>
      <c r="AN34" s="483"/>
      <c r="AQ34" s="478" t="s">
        <v>953</v>
      </c>
      <c r="AR34" s="479"/>
      <c r="AS34" s="479"/>
      <c r="AT34" s="479"/>
      <c r="AU34" s="479"/>
      <c r="AV34" s="479"/>
      <c r="AW34" s="479"/>
      <c r="AX34" s="479"/>
      <c r="AY34" s="479"/>
      <c r="AZ34" s="479"/>
      <c r="BA34" s="479"/>
      <c r="BB34" s="479"/>
      <c r="BC34" s="479"/>
      <c r="BD34" s="479"/>
      <c r="BE34" s="479"/>
      <c r="BF34" s="479"/>
      <c r="BG34" s="479"/>
      <c r="BH34" s="479"/>
      <c r="BI34" s="479"/>
      <c r="BJ34" s="479"/>
      <c r="BK34" s="479"/>
      <c r="BL34" s="479"/>
      <c r="BM34" s="479"/>
      <c r="BN34" s="479"/>
      <c r="BO34" s="479"/>
      <c r="BP34" s="479"/>
      <c r="BQ34" s="479"/>
      <c r="BR34" s="479"/>
      <c r="BS34" s="479"/>
      <c r="BT34" s="480"/>
      <c r="BW34" s="478" t="s">
        <v>954</v>
      </c>
      <c r="BX34" s="479"/>
      <c r="BY34" s="479"/>
      <c r="BZ34" s="479"/>
      <c r="CA34" s="479"/>
      <c r="CB34" s="479"/>
      <c r="CC34" s="479"/>
      <c r="CD34" s="479"/>
      <c r="CE34" s="479"/>
      <c r="CF34" s="479"/>
      <c r="CG34" s="479"/>
      <c r="CH34" s="479"/>
      <c r="CI34" s="479"/>
      <c r="CJ34" s="479"/>
      <c r="CK34" s="479"/>
      <c r="CL34" s="479"/>
      <c r="CM34" s="479"/>
      <c r="CN34" s="479"/>
      <c r="CO34" s="479"/>
      <c r="CP34" s="479"/>
      <c r="CQ34" s="479"/>
      <c r="CR34" s="479"/>
      <c r="CS34" s="479"/>
      <c r="CT34" s="479"/>
      <c r="CU34" s="479"/>
      <c r="CV34" s="479"/>
      <c r="CW34" s="479"/>
      <c r="CX34" s="479"/>
      <c r="CY34" s="479"/>
      <c r="CZ34" s="480"/>
      <c r="DA34" s="186"/>
      <c r="DB34" s="186"/>
      <c r="DC34" s="478" t="s">
        <v>955</v>
      </c>
      <c r="DD34" s="479"/>
      <c r="DE34" s="479"/>
      <c r="DF34" s="479"/>
      <c r="DG34" s="479"/>
      <c r="DH34" s="479"/>
      <c r="DI34" s="479"/>
      <c r="DJ34" s="479"/>
      <c r="DK34" s="479"/>
      <c r="DL34" s="479"/>
      <c r="DM34" s="479"/>
      <c r="DN34" s="479"/>
      <c r="DO34" s="479"/>
      <c r="DP34" s="479"/>
      <c r="DQ34" s="479"/>
      <c r="DR34" s="479"/>
      <c r="DS34" s="479"/>
      <c r="DT34" s="479"/>
      <c r="DU34" s="479"/>
      <c r="DV34" s="479"/>
      <c r="DW34" s="479"/>
      <c r="DX34" s="479"/>
      <c r="DY34" s="479"/>
      <c r="DZ34" s="479"/>
      <c r="EA34" s="479"/>
      <c r="EB34" s="479"/>
      <c r="EC34" s="479"/>
      <c r="ED34" s="479"/>
      <c r="EE34" s="479"/>
      <c r="EF34" s="480"/>
    </row>
    <row r="35" spans="1:136" hidden="1" x14ac:dyDescent="0.25">
      <c r="A35" s="90"/>
      <c r="B35" s="187" t="s">
        <v>983</v>
      </c>
      <c r="C35" s="90"/>
      <c r="D35" s="90"/>
      <c r="E35" s="90"/>
      <c r="F35" s="90"/>
      <c r="I35" s="422">
        <v>46023</v>
      </c>
      <c r="J35" s="423"/>
      <c r="K35" s="423"/>
      <c r="L35" s="423"/>
      <c r="M35" s="423"/>
      <c r="N35" s="423"/>
      <c r="O35" s="423"/>
      <c r="P35" s="423"/>
      <c r="Q35" s="423"/>
      <c r="R35" s="440"/>
      <c r="S35" s="422">
        <v>46054</v>
      </c>
      <c r="T35" s="423"/>
      <c r="U35" s="423"/>
      <c r="V35" s="423"/>
      <c r="W35" s="423"/>
      <c r="X35" s="423"/>
      <c r="Y35" s="423"/>
      <c r="Z35" s="423"/>
      <c r="AA35" s="423"/>
      <c r="AB35" s="440"/>
      <c r="AC35" s="422">
        <v>46082</v>
      </c>
      <c r="AD35" s="423"/>
      <c r="AE35" s="423"/>
      <c r="AF35" s="423"/>
      <c r="AG35" s="423"/>
      <c r="AH35" s="423"/>
      <c r="AI35" s="423"/>
      <c r="AJ35" s="423"/>
      <c r="AK35" s="440"/>
      <c r="AL35" s="441" t="s">
        <v>957</v>
      </c>
      <c r="AM35" s="442"/>
      <c r="AN35" s="443"/>
      <c r="AP35" s="90"/>
      <c r="AQ35" s="422">
        <v>46113</v>
      </c>
      <c r="AR35" s="423"/>
      <c r="AS35" s="423"/>
      <c r="AT35" s="423"/>
      <c r="AU35" s="423"/>
      <c r="AV35" s="423"/>
      <c r="AW35" s="423"/>
      <c r="AX35" s="423"/>
      <c r="AY35" s="440"/>
      <c r="AZ35" s="422">
        <v>46143</v>
      </c>
      <c r="BA35" s="423"/>
      <c r="BB35" s="423"/>
      <c r="BC35" s="423"/>
      <c r="BD35" s="423"/>
      <c r="BE35" s="423"/>
      <c r="BF35" s="423"/>
      <c r="BG35" s="423"/>
      <c r="BH35" s="440"/>
      <c r="BI35" s="422">
        <v>46174</v>
      </c>
      <c r="BJ35" s="423"/>
      <c r="BK35" s="423"/>
      <c r="BL35" s="423"/>
      <c r="BM35" s="423"/>
      <c r="BN35" s="423"/>
      <c r="BO35" s="423"/>
      <c r="BP35" s="423"/>
      <c r="BQ35" s="440"/>
      <c r="BR35" s="464" t="s">
        <v>958</v>
      </c>
      <c r="BS35" s="465"/>
      <c r="BT35" s="466"/>
      <c r="BV35" s="90"/>
      <c r="BW35" s="422">
        <v>46204</v>
      </c>
      <c r="BX35" s="423"/>
      <c r="BY35" s="423"/>
      <c r="BZ35" s="423"/>
      <c r="CA35" s="423"/>
      <c r="CB35" s="423"/>
      <c r="CC35" s="423"/>
      <c r="CD35" s="423"/>
      <c r="CE35" s="440"/>
      <c r="CF35" s="422">
        <v>46235</v>
      </c>
      <c r="CG35" s="423"/>
      <c r="CH35" s="423"/>
      <c r="CI35" s="423"/>
      <c r="CJ35" s="423"/>
      <c r="CK35" s="423"/>
      <c r="CL35" s="423"/>
      <c r="CM35" s="423"/>
      <c r="CN35" s="440"/>
      <c r="CO35" s="422">
        <v>46266</v>
      </c>
      <c r="CP35" s="423"/>
      <c r="CQ35" s="423"/>
      <c r="CR35" s="423"/>
      <c r="CS35" s="423"/>
      <c r="CT35" s="423"/>
      <c r="CU35" s="423"/>
      <c r="CV35" s="423"/>
      <c r="CW35" s="440"/>
      <c r="CX35" s="464" t="s">
        <v>959</v>
      </c>
      <c r="CY35" s="465"/>
      <c r="CZ35" s="466"/>
      <c r="DA35" s="193"/>
      <c r="DB35" s="193"/>
      <c r="DC35" s="422">
        <v>46296</v>
      </c>
      <c r="DD35" s="423"/>
      <c r="DE35" s="423"/>
      <c r="DF35" s="423"/>
      <c r="DG35" s="423"/>
      <c r="DH35" s="423"/>
      <c r="DI35" s="423"/>
      <c r="DJ35" s="423"/>
      <c r="DK35" s="440"/>
      <c r="DL35" s="422">
        <v>46327</v>
      </c>
      <c r="DM35" s="423"/>
      <c r="DN35" s="423"/>
      <c r="DO35" s="423"/>
      <c r="DP35" s="423"/>
      <c r="DQ35" s="423"/>
      <c r="DR35" s="423"/>
      <c r="DS35" s="423"/>
      <c r="DT35" s="440"/>
      <c r="DU35" s="422">
        <v>46357</v>
      </c>
      <c r="DV35" s="423"/>
      <c r="DW35" s="423"/>
      <c r="DX35" s="423"/>
      <c r="DY35" s="423"/>
      <c r="DZ35" s="423"/>
      <c r="EA35" s="423"/>
      <c r="EB35" s="423"/>
      <c r="EC35" s="440"/>
      <c r="ED35" s="464" t="s">
        <v>960</v>
      </c>
      <c r="EE35" s="465"/>
      <c r="EF35" s="466"/>
    </row>
    <row r="36" spans="1:136" ht="16.5" hidden="1" thickBot="1" x14ac:dyDescent="0.3">
      <c r="A36" s="90"/>
      <c r="B36" s="90"/>
      <c r="C36" s="90"/>
      <c r="D36" s="90"/>
      <c r="E36" s="90"/>
      <c r="F36" s="90"/>
      <c r="I36" s="194"/>
      <c r="J36" s="241">
        <f>AF3*AD6%</f>
        <v>58227.548543382014</v>
      </c>
      <c r="K36" s="242">
        <f>AF4*AD6%</f>
        <v>43439.289633455453</v>
      </c>
      <c r="L36" s="448">
        <v>10</v>
      </c>
      <c r="M36" s="449"/>
      <c r="N36" s="467">
        <v>20</v>
      </c>
      <c r="O36" s="468"/>
      <c r="P36" s="467">
        <v>30</v>
      </c>
      <c r="Q36" s="468"/>
      <c r="R36" s="305" t="s">
        <v>961</v>
      </c>
      <c r="S36" s="391"/>
      <c r="T36" s="392">
        <f>AG3*AD6%</f>
        <v>58227.548543382014</v>
      </c>
      <c r="U36" s="392">
        <f>AG4*AD6%</f>
        <v>43439.289633455453</v>
      </c>
      <c r="V36" s="469">
        <v>10</v>
      </c>
      <c r="W36" s="470"/>
      <c r="X36" s="471">
        <v>20</v>
      </c>
      <c r="Y36" s="472"/>
      <c r="Z36" s="471">
        <v>30</v>
      </c>
      <c r="AA36" s="472"/>
      <c r="AB36" s="243" t="s">
        <v>961</v>
      </c>
      <c r="AC36" s="473">
        <f>AH3*AD6</f>
        <v>5822754.8543382017</v>
      </c>
      <c r="AD36" s="474"/>
      <c r="AE36" s="469">
        <v>10</v>
      </c>
      <c r="AF36" s="470"/>
      <c r="AG36" s="471">
        <v>20</v>
      </c>
      <c r="AH36" s="472"/>
      <c r="AI36" s="471">
        <v>30</v>
      </c>
      <c r="AJ36" s="472"/>
      <c r="AK36" s="243" t="s">
        <v>961</v>
      </c>
      <c r="AL36" s="221" t="s">
        <v>962</v>
      </c>
      <c r="AM36" s="206" t="s">
        <v>963</v>
      </c>
      <c r="AN36" s="244" t="s">
        <v>964</v>
      </c>
      <c r="AQ36" s="486"/>
      <c r="AR36" s="487"/>
      <c r="AS36" s="484">
        <v>10</v>
      </c>
      <c r="AT36" s="485"/>
      <c r="AU36" s="484">
        <v>20</v>
      </c>
      <c r="AV36" s="485"/>
      <c r="AW36" s="484">
        <v>30</v>
      </c>
      <c r="AX36" s="485"/>
      <c r="AY36" s="201" t="s">
        <v>964</v>
      </c>
      <c r="AZ36" s="486"/>
      <c r="BA36" s="487"/>
      <c r="BB36" s="484">
        <v>10</v>
      </c>
      <c r="BC36" s="485"/>
      <c r="BD36" s="484">
        <v>20</v>
      </c>
      <c r="BE36" s="485"/>
      <c r="BF36" s="484">
        <v>31</v>
      </c>
      <c r="BG36" s="485"/>
      <c r="BH36" s="201" t="s">
        <v>964</v>
      </c>
      <c r="BI36" s="486"/>
      <c r="BJ36" s="487"/>
      <c r="BK36" s="484">
        <v>10</v>
      </c>
      <c r="BL36" s="485"/>
      <c r="BM36" s="484">
        <v>20</v>
      </c>
      <c r="BN36" s="485"/>
      <c r="BO36" s="484">
        <v>30</v>
      </c>
      <c r="BP36" s="485"/>
      <c r="BQ36" s="201" t="s">
        <v>964</v>
      </c>
      <c r="BR36" s="202" t="s">
        <v>962</v>
      </c>
      <c r="BS36" s="203" t="s">
        <v>963</v>
      </c>
      <c r="BT36" s="204" t="s">
        <v>964</v>
      </c>
      <c r="BW36" s="486"/>
      <c r="BX36" s="487"/>
      <c r="BY36" s="484">
        <v>10</v>
      </c>
      <c r="BZ36" s="485"/>
      <c r="CA36" s="484">
        <v>20</v>
      </c>
      <c r="CB36" s="485"/>
      <c r="CC36" s="484">
        <v>30</v>
      </c>
      <c r="CD36" s="485"/>
      <c r="CE36" s="205" t="s">
        <v>964</v>
      </c>
      <c r="CF36" s="486"/>
      <c r="CG36" s="487"/>
      <c r="CH36" s="484">
        <v>10</v>
      </c>
      <c r="CI36" s="485"/>
      <c r="CJ36" s="484">
        <v>20</v>
      </c>
      <c r="CK36" s="485"/>
      <c r="CL36" s="484">
        <v>30</v>
      </c>
      <c r="CM36" s="485"/>
      <c r="CN36" s="205" t="s">
        <v>964</v>
      </c>
      <c r="CO36" s="486"/>
      <c r="CP36" s="487"/>
      <c r="CQ36" s="484">
        <v>10</v>
      </c>
      <c r="CR36" s="485"/>
      <c r="CS36" s="484">
        <v>20</v>
      </c>
      <c r="CT36" s="485"/>
      <c r="CU36" s="484">
        <v>30</v>
      </c>
      <c r="CV36" s="485"/>
      <c r="CW36" s="205" t="s">
        <v>964</v>
      </c>
      <c r="CX36" s="202" t="s">
        <v>962</v>
      </c>
      <c r="CY36" s="203" t="s">
        <v>963</v>
      </c>
      <c r="CZ36" s="204" t="s">
        <v>964</v>
      </c>
      <c r="DA36" s="193"/>
      <c r="DB36" s="193"/>
      <c r="DC36" s="486"/>
      <c r="DD36" s="487"/>
      <c r="DE36" s="484">
        <v>10</v>
      </c>
      <c r="DF36" s="485"/>
      <c r="DG36" s="484">
        <v>20</v>
      </c>
      <c r="DH36" s="485"/>
      <c r="DI36" s="484">
        <v>30</v>
      </c>
      <c r="DJ36" s="485"/>
      <c r="DK36" s="205" t="s">
        <v>964</v>
      </c>
      <c r="DL36" s="486"/>
      <c r="DM36" s="487"/>
      <c r="DN36" s="484">
        <v>10</v>
      </c>
      <c r="DO36" s="485"/>
      <c r="DP36" s="484">
        <v>20</v>
      </c>
      <c r="DQ36" s="485"/>
      <c r="DR36" s="484">
        <v>30</v>
      </c>
      <c r="DS36" s="485"/>
      <c r="DT36" s="205" t="s">
        <v>964</v>
      </c>
      <c r="DU36" s="486"/>
      <c r="DV36" s="487"/>
      <c r="DW36" s="484">
        <v>10</v>
      </c>
      <c r="DX36" s="485"/>
      <c r="DY36" s="484">
        <v>20</v>
      </c>
      <c r="DZ36" s="485"/>
      <c r="EA36" s="484">
        <v>30</v>
      </c>
      <c r="EB36" s="485"/>
      <c r="EC36" s="205" t="s">
        <v>964</v>
      </c>
      <c r="ED36" s="202" t="s">
        <v>962</v>
      </c>
      <c r="EE36" s="203" t="s">
        <v>963</v>
      </c>
      <c r="EF36" s="204" t="s">
        <v>964</v>
      </c>
    </row>
    <row r="37" spans="1:136" s="90" customFormat="1" hidden="1" x14ac:dyDescent="0.25">
      <c r="A37" s="188" t="s">
        <v>965</v>
      </c>
      <c r="B37" s="427" t="s">
        <v>966</v>
      </c>
      <c r="C37" s="427"/>
      <c r="D37" s="427" t="s">
        <v>967</v>
      </c>
      <c r="E37" s="427"/>
      <c r="F37" s="189" t="s">
        <v>968</v>
      </c>
      <c r="G37" s="384" t="s">
        <v>969</v>
      </c>
      <c r="H37" s="256" t="s">
        <v>970</v>
      </c>
      <c r="I37" s="188" t="s">
        <v>971</v>
      </c>
      <c r="J37" s="189" t="s">
        <v>972</v>
      </c>
      <c r="K37" s="209" t="s">
        <v>972</v>
      </c>
      <c r="L37" s="189" t="s">
        <v>972</v>
      </c>
      <c r="M37" s="385" t="s">
        <v>468</v>
      </c>
      <c r="N37" s="189" t="s">
        <v>972</v>
      </c>
      <c r="O37" s="385" t="s">
        <v>468</v>
      </c>
      <c r="P37" s="189" t="s">
        <v>972</v>
      </c>
      <c r="Q37" s="385" t="s">
        <v>468</v>
      </c>
      <c r="R37" s="328" t="s">
        <v>468</v>
      </c>
      <c r="S37" s="221" t="s">
        <v>971</v>
      </c>
      <c r="T37" s="184" t="s">
        <v>972</v>
      </c>
      <c r="U37" s="254" t="s">
        <v>973</v>
      </c>
      <c r="V37" s="206" t="s">
        <v>972</v>
      </c>
      <c r="W37" s="206" t="s">
        <v>468</v>
      </c>
      <c r="X37" s="206" t="s">
        <v>972</v>
      </c>
      <c r="Y37" s="206" t="s">
        <v>468</v>
      </c>
      <c r="Z37" s="206" t="s">
        <v>972</v>
      </c>
      <c r="AA37" s="206" t="s">
        <v>468</v>
      </c>
      <c r="AB37" s="185" t="s">
        <v>468</v>
      </c>
      <c r="AC37" s="221" t="s">
        <v>971</v>
      </c>
      <c r="AD37" s="206" t="s">
        <v>972</v>
      </c>
      <c r="AE37" s="206" t="s">
        <v>972</v>
      </c>
      <c r="AF37" s="206" t="s">
        <v>468</v>
      </c>
      <c r="AG37" s="206" t="s">
        <v>972</v>
      </c>
      <c r="AH37" s="206" t="s">
        <v>468</v>
      </c>
      <c r="AI37" s="206" t="s">
        <v>972</v>
      </c>
      <c r="AJ37" s="206" t="s">
        <v>468</v>
      </c>
      <c r="AK37" s="206" t="s">
        <v>972</v>
      </c>
      <c r="AL37" s="221" t="s">
        <v>972</v>
      </c>
      <c r="AM37" s="206" t="s">
        <v>972</v>
      </c>
      <c r="AN37" s="244"/>
      <c r="AP37" s="206" t="s">
        <v>969</v>
      </c>
      <c r="AQ37" s="190" t="s">
        <v>971</v>
      </c>
      <c r="AR37" s="191" t="s">
        <v>972</v>
      </c>
      <c r="AS37" s="191" t="s">
        <v>972</v>
      </c>
      <c r="AT37" s="191" t="s">
        <v>974</v>
      </c>
      <c r="AU37" s="191" t="s">
        <v>972</v>
      </c>
      <c r="AV37" s="191" t="s">
        <v>974</v>
      </c>
      <c r="AW37" s="191" t="s">
        <v>972</v>
      </c>
      <c r="AX37" s="191" t="s">
        <v>974</v>
      </c>
      <c r="AY37" s="192" t="s">
        <v>972</v>
      </c>
      <c r="AZ37" s="190" t="s">
        <v>971</v>
      </c>
      <c r="BA37" s="191" t="s">
        <v>972</v>
      </c>
      <c r="BB37" s="191" t="s">
        <v>972</v>
      </c>
      <c r="BC37" s="191" t="s">
        <v>974</v>
      </c>
      <c r="BD37" s="191" t="s">
        <v>972</v>
      </c>
      <c r="BE37" s="191" t="s">
        <v>974</v>
      </c>
      <c r="BF37" s="191" t="s">
        <v>972</v>
      </c>
      <c r="BG37" s="191" t="s">
        <v>974</v>
      </c>
      <c r="BH37" s="192" t="s">
        <v>972</v>
      </c>
      <c r="BI37" s="190" t="s">
        <v>971</v>
      </c>
      <c r="BJ37" s="191" t="s">
        <v>972</v>
      </c>
      <c r="BK37" s="191" t="s">
        <v>972</v>
      </c>
      <c r="BL37" s="191" t="s">
        <v>974</v>
      </c>
      <c r="BM37" s="191" t="s">
        <v>972</v>
      </c>
      <c r="BN37" s="191" t="s">
        <v>974</v>
      </c>
      <c r="BO37" s="191" t="s">
        <v>972</v>
      </c>
      <c r="BP37" s="191" t="s">
        <v>974</v>
      </c>
      <c r="BQ37" s="192" t="s">
        <v>972</v>
      </c>
      <c r="BR37" s="190" t="s">
        <v>972</v>
      </c>
      <c r="BS37" s="191" t="s">
        <v>972</v>
      </c>
      <c r="BT37" s="192" t="s">
        <v>972</v>
      </c>
      <c r="BV37" s="206" t="s">
        <v>969</v>
      </c>
      <c r="BW37" s="190" t="s">
        <v>971</v>
      </c>
      <c r="BX37" s="191" t="s">
        <v>972</v>
      </c>
      <c r="BY37" s="191" t="s">
        <v>972</v>
      </c>
      <c r="BZ37" s="191" t="s">
        <v>974</v>
      </c>
      <c r="CA37" s="191" t="s">
        <v>972</v>
      </c>
      <c r="CB37" s="191" t="s">
        <v>974</v>
      </c>
      <c r="CC37" s="191" t="s">
        <v>972</v>
      </c>
      <c r="CD37" s="191" t="s">
        <v>974</v>
      </c>
      <c r="CE37" s="192" t="s">
        <v>972</v>
      </c>
      <c r="CF37" s="190" t="s">
        <v>971</v>
      </c>
      <c r="CG37" s="191" t="s">
        <v>972</v>
      </c>
      <c r="CH37" s="191" t="s">
        <v>972</v>
      </c>
      <c r="CI37" s="191" t="s">
        <v>974</v>
      </c>
      <c r="CJ37" s="191" t="s">
        <v>972</v>
      </c>
      <c r="CK37" s="191" t="s">
        <v>974</v>
      </c>
      <c r="CL37" s="191" t="s">
        <v>972</v>
      </c>
      <c r="CM37" s="191" t="s">
        <v>974</v>
      </c>
      <c r="CN37" s="192" t="s">
        <v>972</v>
      </c>
      <c r="CO37" s="190" t="s">
        <v>971</v>
      </c>
      <c r="CP37" s="191" t="s">
        <v>972</v>
      </c>
      <c r="CQ37" s="191" t="s">
        <v>972</v>
      </c>
      <c r="CR37" s="191" t="s">
        <v>974</v>
      </c>
      <c r="CS37" s="191" t="s">
        <v>972</v>
      </c>
      <c r="CT37" s="191" t="s">
        <v>974</v>
      </c>
      <c r="CU37" s="191" t="s">
        <v>972</v>
      </c>
      <c r="CV37" s="191" t="s">
        <v>974</v>
      </c>
      <c r="CW37" s="192" t="s">
        <v>972</v>
      </c>
      <c r="CX37" s="190" t="s">
        <v>972</v>
      </c>
      <c r="CY37" s="191" t="s">
        <v>972</v>
      </c>
      <c r="CZ37" s="192" t="s">
        <v>972</v>
      </c>
      <c r="DA37" s="213"/>
      <c r="DB37" s="214" t="s">
        <v>969</v>
      </c>
      <c r="DC37" s="190" t="s">
        <v>971</v>
      </c>
      <c r="DD37" s="191" t="s">
        <v>972</v>
      </c>
      <c r="DE37" s="191" t="s">
        <v>972</v>
      </c>
      <c r="DF37" s="191" t="s">
        <v>974</v>
      </c>
      <c r="DG37" s="191" t="s">
        <v>972</v>
      </c>
      <c r="DH37" s="191" t="s">
        <v>974</v>
      </c>
      <c r="DI37" s="191" t="s">
        <v>972</v>
      </c>
      <c r="DJ37" s="191" t="s">
        <v>974</v>
      </c>
      <c r="DK37" s="192" t="s">
        <v>972</v>
      </c>
      <c r="DL37" s="190" t="s">
        <v>971</v>
      </c>
      <c r="DM37" s="191" t="s">
        <v>972</v>
      </c>
      <c r="DN37" s="191" t="s">
        <v>972</v>
      </c>
      <c r="DO37" s="191" t="s">
        <v>974</v>
      </c>
      <c r="DP37" s="191" t="s">
        <v>972</v>
      </c>
      <c r="DQ37" s="191" t="s">
        <v>974</v>
      </c>
      <c r="DR37" s="191" t="s">
        <v>972</v>
      </c>
      <c r="DS37" s="191" t="s">
        <v>974</v>
      </c>
      <c r="DT37" s="192" t="s">
        <v>972</v>
      </c>
      <c r="DU37" s="190" t="s">
        <v>971</v>
      </c>
      <c r="DV37" s="191" t="s">
        <v>972</v>
      </c>
      <c r="DW37" s="191" t="s">
        <v>972</v>
      </c>
      <c r="DX37" s="191" t="s">
        <v>974</v>
      </c>
      <c r="DY37" s="191" t="s">
        <v>972</v>
      </c>
      <c r="DZ37" s="191" t="s">
        <v>974</v>
      </c>
      <c r="EA37" s="191" t="s">
        <v>972</v>
      </c>
      <c r="EB37" s="191" t="s">
        <v>974</v>
      </c>
      <c r="EC37" s="192" t="s">
        <v>972</v>
      </c>
      <c r="ED37" s="215" t="s">
        <v>972</v>
      </c>
      <c r="EE37" s="216" t="s">
        <v>972</v>
      </c>
      <c r="EF37" s="192" t="s">
        <v>972</v>
      </c>
    </row>
    <row r="38" spans="1:136" s="90" customFormat="1" hidden="1" outlineLevel="1" x14ac:dyDescent="0.25">
      <c r="A38" s="257">
        <v>1</v>
      </c>
      <c r="B38" s="217" t="s">
        <v>350</v>
      </c>
      <c r="C38" s="217" t="s">
        <v>84</v>
      </c>
      <c r="D38" s="217" t="s">
        <v>154</v>
      </c>
      <c r="E38" s="218" t="s">
        <v>458</v>
      </c>
      <c r="F38" s="219" t="s">
        <v>984</v>
      </c>
      <c r="G38" s="220">
        <f>VLOOKUP(B38,'Cons%'!B:S,18,0)</f>
        <v>6.1843350348900969</v>
      </c>
      <c r="H38" s="207"/>
      <c r="I38" s="221">
        <f>J38/14</f>
        <v>257.21333460900087</v>
      </c>
      <c r="J38" s="282">
        <f t="shared" ref="J38:J61" si="50">$J$36*G38%</f>
        <v>3600.9866845260121</v>
      </c>
      <c r="K38" s="222">
        <f t="shared" ref="K38:K61" si="51">$K$36*G38%</f>
        <v>2686.4312077091677</v>
      </c>
      <c r="L38" s="219">
        <v>600</v>
      </c>
      <c r="M38" s="279">
        <v>600</v>
      </c>
      <c r="N38" s="223">
        <v>600</v>
      </c>
      <c r="O38" s="281">
        <v>600</v>
      </c>
      <c r="P38" s="223">
        <v>4120</v>
      </c>
      <c r="Q38" s="281">
        <v>3112</v>
      </c>
      <c r="R38" s="278">
        <f t="shared" ref="R38:R61" si="52">IFERROR((P38/K38),0)</f>
        <v>1.5336331666252851</v>
      </c>
      <c r="S38" s="221">
        <f t="shared" ref="S38:S61" si="53">T38/14</f>
        <v>257.21333460900087</v>
      </c>
      <c r="T38" s="226">
        <f>$T$36*G38%</f>
        <v>3600.9866845260121</v>
      </c>
      <c r="U38" s="279">
        <f>$U$36*G38%</f>
        <v>2686.4312077091677</v>
      </c>
      <c r="V38" s="219">
        <f>IFERROR(VLOOKUP(B38,F_U!A:C,3,0),0)</f>
        <v>4120</v>
      </c>
      <c r="W38" s="279">
        <f>IFERROR(VLOOKUP(B38,F_U!A:B,2,0),0)</f>
        <v>3112</v>
      </c>
      <c r="X38" s="219">
        <f>IFERROR(VLOOKUP(B38,F_U!A:C,3,0),0)</f>
        <v>4120</v>
      </c>
      <c r="Y38" s="279">
        <f>IFERROR(VLOOKUP(B38,F_U!A:B,2,0),0)</f>
        <v>3112</v>
      </c>
      <c r="Z38" s="219">
        <f>IFERROR(VLOOKUP(B38,F_U!A:C,3,0),0)</f>
        <v>4120</v>
      </c>
      <c r="AA38" s="279">
        <f>IFERROR(VLOOKUP(B38,F_U!A:B,2,0),0)</f>
        <v>3112</v>
      </c>
      <c r="AB38" s="224">
        <f t="shared" ref="AB38:AB61" si="54">IFERROR((Z38/U38),0)</f>
        <v>1.5336331666252851</v>
      </c>
      <c r="AC38" s="225"/>
      <c r="AD38" s="219"/>
      <c r="AE38" s="219"/>
      <c r="AF38" s="219"/>
      <c r="AG38" s="219"/>
      <c r="AH38" s="219"/>
      <c r="AI38" s="219"/>
      <c r="AJ38" s="219"/>
      <c r="AK38" s="224">
        <f t="shared" ref="AK38:AK62" si="55">IFERROR((AI38/AD38),0)</f>
        <v>0</v>
      </c>
      <c r="AL38" s="226">
        <f>+AD38+U38+K38</f>
        <v>5372.8624154183353</v>
      </c>
      <c r="AM38" s="223">
        <f t="shared" ref="AM38:AM61" si="56">+AI38+Z38+P38</f>
        <v>8240</v>
      </c>
      <c r="AN38" s="224">
        <f t="shared" ref="AN38:AN62" si="57">IFERROR((AM38/AL38),0)</f>
        <v>1.5336331666252851</v>
      </c>
      <c r="AP38" s="227"/>
      <c r="AQ38" s="221"/>
      <c r="AR38" s="206"/>
      <c r="AS38" s="219"/>
      <c r="AT38" s="219"/>
      <c r="AU38" s="219"/>
      <c r="AV38" s="219"/>
      <c r="AW38" s="219"/>
      <c r="AX38" s="219"/>
      <c r="AY38" s="224">
        <f t="shared" ref="AY38:AY62" si="58">IFERROR((AW38/AR38),0)</f>
        <v>0</v>
      </c>
      <c r="AZ38" s="221"/>
      <c r="BA38" s="206"/>
      <c r="BB38" s="219"/>
      <c r="BC38" s="219"/>
      <c r="BD38" s="219"/>
      <c r="BE38" s="219"/>
      <c r="BF38" s="219"/>
      <c r="BG38" s="219"/>
      <c r="BH38" s="224">
        <f t="shared" ref="BH38:BH62" si="59">IFERROR((BF38/BA38),0)</f>
        <v>0</v>
      </c>
      <c r="BI38" s="221"/>
      <c r="BJ38" s="206"/>
      <c r="BK38" s="219"/>
      <c r="BL38" s="219"/>
      <c r="BM38" s="219"/>
      <c r="BN38" s="219"/>
      <c r="BO38" s="219"/>
      <c r="BP38" s="219"/>
      <c r="BQ38" s="224">
        <f t="shared" ref="BQ38:BQ62" si="60">IFERROR((BO38/BJ38),0)</f>
        <v>0</v>
      </c>
      <c r="BR38" s="226">
        <f>+BJ38+BA38+AR38</f>
        <v>0</v>
      </c>
      <c r="BS38" s="223">
        <f t="shared" ref="BS38:BS61" si="61">+BO38+BF38+AW38</f>
        <v>0</v>
      </c>
      <c r="BT38" s="224">
        <f t="shared" ref="BT38:BT62" si="62">IFERROR((BS38/BR38),0)</f>
        <v>0</v>
      </c>
      <c r="BV38" s="227"/>
      <c r="BW38" s="225"/>
      <c r="BX38" s="219"/>
      <c r="BY38" s="219"/>
      <c r="BZ38" s="219"/>
      <c r="CA38" s="219"/>
      <c r="CB38" s="219"/>
      <c r="CC38" s="219"/>
      <c r="CD38" s="219"/>
      <c r="CE38" s="224">
        <f t="shared" ref="CE38:CE62" si="63">IFERROR((CC38/BX38),0)</f>
        <v>0</v>
      </c>
      <c r="CF38" s="225"/>
      <c r="CG38" s="219"/>
      <c r="CH38" s="219"/>
      <c r="CI38" s="219"/>
      <c r="CJ38" s="219"/>
      <c r="CK38" s="219"/>
      <c r="CL38" s="219"/>
      <c r="CM38" s="219"/>
      <c r="CN38" s="224">
        <f t="shared" ref="CN38:CN62" si="64">IFERROR((CL38/CG38),0)</f>
        <v>0</v>
      </c>
      <c r="CO38" s="225"/>
      <c r="CP38" s="219"/>
      <c r="CQ38" s="219"/>
      <c r="CR38" s="219"/>
      <c r="CS38" s="219"/>
      <c r="CT38" s="219"/>
      <c r="CU38" s="219"/>
      <c r="CV38" s="219"/>
      <c r="CW38" s="224">
        <f t="shared" ref="CW38:CW62" si="65">IFERROR((CU38/CP38),0)</f>
        <v>0</v>
      </c>
      <c r="CX38" s="226">
        <f>+CP38+CG38+BX38</f>
        <v>0</v>
      </c>
      <c r="CY38" s="223">
        <f t="shared" ref="CY38:CY61" si="66">+CU38+CL38+CC38</f>
        <v>0</v>
      </c>
      <c r="CZ38" s="224">
        <f t="shared" ref="CZ38:CZ62" si="67">IFERROR((CY38/CX38),0)</f>
        <v>0</v>
      </c>
      <c r="DB38" s="227">
        <v>6.5071100775831872E-3</v>
      </c>
      <c r="DC38" s="221"/>
      <c r="DD38" s="206"/>
      <c r="DE38" s="219"/>
      <c r="DF38" s="219"/>
      <c r="DG38" s="219"/>
      <c r="DH38" s="219"/>
      <c r="DI38" s="219"/>
      <c r="DJ38" s="219"/>
      <c r="DK38" s="224">
        <f t="shared" ref="DK38:DK62" si="68">IFERROR((DI38/DD38),0)</f>
        <v>0</v>
      </c>
      <c r="DL38" s="221"/>
      <c r="DM38" s="206"/>
      <c r="DN38" s="219"/>
      <c r="DO38" s="219"/>
      <c r="DP38" s="219"/>
      <c r="DQ38" s="219"/>
      <c r="DR38" s="219"/>
      <c r="DS38" s="219"/>
      <c r="DT38" s="224">
        <f t="shared" ref="DT38:DT62" si="69">IFERROR((DR38/DM38),0)</f>
        <v>0</v>
      </c>
      <c r="DU38" s="221"/>
      <c r="DV38" s="206"/>
      <c r="DW38" s="219"/>
      <c r="DX38" s="219"/>
      <c r="DY38" s="219"/>
      <c r="DZ38" s="219"/>
      <c r="EA38" s="219"/>
      <c r="EB38" s="219"/>
      <c r="EC38" s="224">
        <f t="shared" ref="EC38:EC62" si="70">IFERROR((EA38/DV38),0)</f>
        <v>0</v>
      </c>
      <c r="ED38" s="226">
        <f>+DV38+DM38+DD38</f>
        <v>0</v>
      </c>
      <c r="EE38" s="223">
        <f t="shared" ref="EE38:EE61" si="71">+EA38+DR38+DI38</f>
        <v>0</v>
      </c>
      <c r="EF38" s="224">
        <f t="shared" ref="EF38:EF62" si="72">IFERROR((EE38/ED38),0)</f>
        <v>0</v>
      </c>
    </row>
    <row r="39" spans="1:136" s="90" customFormat="1" hidden="1" outlineLevel="1" x14ac:dyDescent="0.25">
      <c r="A39" s="257">
        <v>2</v>
      </c>
      <c r="B39" s="217" t="s">
        <v>186</v>
      </c>
      <c r="C39" s="217" t="s">
        <v>985</v>
      </c>
      <c r="D39" s="217" t="s">
        <v>981</v>
      </c>
      <c r="E39" s="218" t="s">
        <v>537</v>
      </c>
      <c r="F39" s="219" t="s">
        <v>984</v>
      </c>
      <c r="G39" s="220">
        <f>VLOOKUP(B39,'Cons%'!B:S,18,0)</f>
        <v>5.5264396670729985</v>
      </c>
      <c r="H39" s="207"/>
      <c r="I39" s="221">
        <f t="shared" ref="I39:I61" si="73">J39/14</f>
        <v>229.85073856183212</v>
      </c>
      <c r="J39" s="282">
        <f t="shared" si="50"/>
        <v>3217.9103398656498</v>
      </c>
      <c r="K39" s="222">
        <f t="shared" si="51"/>
        <v>2400.646133398011</v>
      </c>
      <c r="L39" s="219">
        <v>0</v>
      </c>
      <c r="M39" s="279">
        <v>0</v>
      </c>
      <c r="N39" s="223">
        <v>0</v>
      </c>
      <c r="O39" s="281">
        <v>0</v>
      </c>
      <c r="P39" s="223">
        <v>0</v>
      </c>
      <c r="Q39" s="281">
        <v>0</v>
      </c>
      <c r="R39" s="278">
        <f t="shared" si="52"/>
        <v>0</v>
      </c>
      <c r="S39" s="221">
        <f t="shared" si="53"/>
        <v>229.85073856183212</v>
      </c>
      <c r="T39" s="226">
        <f t="shared" ref="T39:T61" si="74">$T$36*G39%</f>
        <v>3217.9103398656498</v>
      </c>
      <c r="U39" s="279">
        <f t="shared" ref="U39:U61" si="75">$U$36*G39%</f>
        <v>2400.646133398011</v>
      </c>
      <c r="V39" s="219">
        <f>IFERROR(VLOOKUP(B39,F_U!A:C,3,0),0)</f>
        <v>0</v>
      </c>
      <c r="W39" s="279">
        <f>IFERROR(VLOOKUP(B39,F_U!A:B,2,0),0)</f>
        <v>0</v>
      </c>
      <c r="X39" s="219">
        <f>IFERROR(VLOOKUP(B39,F_U!A:C,3,0),0)</f>
        <v>0</v>
      </c>
      <c r="Y39" s="279">
        <f>IFERROR(VLOOKUP(B39,F_U!A:B,2,0),0)</f>
        <v>0</v>
      </c>
      <c r="Z39" s="219">
        <f>IFERROR(VLOOKUP(B39,F_U!A:C,3,0),0)</f>
        <v>0</v>
      </c>
      <c r="AA39" s="279">
        <f>IFERROR(VLOOKUP(B39,F_U!A:B,2,0),0)</f>
        <v>0</v>
      </c>
      <c r="AB39" s="224">
        <f t="shared" si="54"/>
        <v>0</v>
      </c>
      <c r="AC39" s="225"/>
      <c r="AD39" s="219"/>
      <c r="AE39" s="219"/>
      <c r="AF39" s="219"/>
      <c r="AG39" s="219"/>
      <c r="AH39" s="219"/>
      <c r="AI39" s="219"/>
      <c r="AJ39" s="219"/>
      <c r="AK39" s="224">
        <f t="shared" si="55"/>
        <v>0</v>
      </c>
      <c r="AL39" s="226">
        <f t="shared" ref="AL39:AL61" si="76">+AD39+U39+K39</f>
        <v>4801.292266796022</v>
      </c>
      <c r="AM39" s="223">
        <f t="shared" si="56"/>
        <v>0</v>
      </c>
      <c r="AN39" s="224">
        <f t="shared" si="57"/>
        <v>0</v>
      </c>
      <c r="AP39" s="227"/>
      <c r="AQ39" s="221"/>
      <c r="AR39" s="206"/>
      <c r="AS39" s="219"/>
      <c r="AT39" s="219"/>
      <c r="AU39" s="219"/>
      <c r="AV39" s="219"/>
      <c r="AW39" s="219"/>
      <c r="AX39" s="219"/>
      <c r="AY39" s="224">
        <f t="shared" si="58"/>
        <v>0</v>
      </c>
      <c r="AZ39" s="221"/>
      <c r="BA39" s="206"/>
      <c r="BB39" s="219"/>
      <c r="BC39" s="219"/>
      <c r="BD39" s="219"/>
      <c r="BE39" s="219"/>
      <c r="BF39" s="219"/>
      <c r="BG39" s="219"/>
      <c r="BH39" s="224">
        <f t="shared" si="59"/>
        <v>0</v>
      </c>
      <c r="BI39" s="221"/>
      <c r="BJ39" s="206"/>
      <c r="BK39" s="219"/>
      <c r="BL39" s="219"/>
      <c r="BM39" s="219"/>
      <c r="BN39" s="219"/>
      <c r="BO39" s="219"/>
      <c r="BP39" s="219"/>
      <c r="BQ39" s="224">
        <f t="shared" si="60"/>
        <v>0</v>
      </c>
      <c r="BR39" s="226">
        <f t="shared" ref="BR39:BR61" si="77">+BJ39+BA39+AR39</f>
        <v>0</v>
      </c>
      <c r="BS39" s="223">
        <f t="shared" si="61"/>
        <v>0</v>
      </c>
      <c r="BT39" s="224">
        <f t="shared" si="62"/>
        <v>0</v>
      </c>
      <c r="BV39" s="227"/>
      <c r="BW39" s="225"/>
      <c r="BX39" s="219"/>
      <c r="BY39" s="219"/>
      <c r="BZ39" s="219"/>
      <c r="CA39" s="219"/>
      <c r="CB39" s="219"/>
      <c r="CC39" s="219"/>
      <c r="CD39" s="219"/>
      <c r="CE39" s="224">
        <f t="shared" si="63"/>
        <v>0</v>
      </c>
      <c r="CF39" s="225"/>
      <c r="CG39" s="219"/>
      <c r="CH39" s="219"/>
      <c r="CI39" s="219"/>
      <c r="CJ39" s="219"/>
      <c r="CK39" s="219"/>
      <c r="CL39" s="219"/>
      <c r="CM39" s="219"/>
      <c r="CN39" s="224">
        <f t="shared" si="64"/>
        <v>0</v>
      </c>
      <c r="CO39" s="225"/>
      <c r="CP39" s="219"/>
      <c r="CQ39" s="219"/>
      <c r="CR39" s="219"/>
      <c r="CS39" s="219"/>
      <c r="CT39" s="219"/>
      <c r="CU39" s="219"/>
      <c r="CV39" s="219"/>
      <c r="CW39" s="224">
        <f t="shared" si="65"/>
        <v>0</v>
      </c>
      <c r="CX39" s="226">
        <f t="shared" ref="CX39:CX61" si="78">+CP39+CG39+BX39</f>
        <v>0</v>
      </c>
      <c r="CY39" s="223">
        <f t="shared" si="66"/>
        <v>0</v>
      </c>
      <c r="CZ39" s="224">
        <f t="shared" si="67"/>
        <v>0</v>
      </c>
      <c r="DB39" s="227">
        <v>7.9492931080608273E-2</v>
      </c>
      <c r="DC39" s="221"/>
      <c r="DD39" s="206"/>
      <c r="DE39" s="219"/>
      <c r="DF39" s="219"/>
      <c r="DG39" s="219"/>
      <c r="DH39" s="219"/>
      <c r="DI39" s="219"/>
      <c r="DJ39" s="219"/>
      <c r="DK39" s="224">
        <f t="shared" si="68"/>
        <v>0</v>
      </c>
      <c r="DL39" s="221"/>
      <c r="DM39" s="206"/>
      <c r="DN39" s="219"/>
      <c r="DO39" s="219"/>
      <c r="DP39" s="219"/>
      <c r="DQ39" s="219"/>
      <c r="DR39" s="219"/>
      <c r="DS39" s="219"/>
      <c r="DT39" s="224">
        <f t="shared" si="69"/>
        <v>0</v>
      </c>
      <c r="DU39" s="221"/>
      <c r="DV39" s="206"/>
      <c r="DW39" s="219"/>
      <c r="DX39" s="219"/>
      <c r="DY39" s="219"/>
      <c r="DZ39" s="219"/>
      <c r="EA39" s="219"/>
      <c r="EB39" s="219"/>
      <c r="EC39" s="224">
        <f t="shared" si="70"/>
        <v>0</v>
      </c>
      <c r="ED39" s="226">
        <f t="shared" ref="ED39:ED61" si="79">+DV39+DM39+DD39</f>
        <v>0</v>
      </c>
      <c r="EE39" s="223">
        <f t="shared" si="71"/>
        <v>0</v>
      </c>
      <c r="EF39" s="224">
        <f t="shared" si="72"/>
        <v>0</v>
      </c>
    </row>
    <row r="40" spans="1:136" s="90" customFormat="1" hidden="1" outlineLevel="1" x14ac:dyDescent="0.25">
      <c r="A40" s="257">
        <v>3</v>
      </c>
      <c r="B40" s="217" t="s">
        <v>230</v>
      </c>
      <c r="C40" s="217" t="s">
        <v>75</v>
      </c>
      <c r="D40" s="217" t="s">
        <v>975</v>
      </c>
      <c r="E40" s="218" t="s">
        <v>457</v>
      </c>
      <c r="F40" s="219" t="s">
        <v>984</v>
      </c>
      <c r="G40" s="220">
        <f>VLOOKUP(B40,'Cons%'!B:S,18,0)</f>
        <v>6.2532145594574606</v>
      </c>
      <c r="H40" s="207"/>
      <c r="I40" s="221">
        <f t="shared" si="73"/>
        <v>260.07811022356606</v>
      </c>
      <c r="J40" s="282">
        <f t="shared" si="50"/>
        <v>3641.0935431299249</v>
      </c>
      <c r="K40" s="222">
        <f t="shared" si="51"/>
        <v>2716.3519838841321</v>
      </c>
      <c r="L40" s="219">
        <v>1400</v>
      </c>
      <c r="M40" s="279">
        <v>896</v>
      </c>
      <c r="N40" s="223">
        <v>1400</v>
      </c>
      <c r="O40" s="281">
        <v>896</v>
      </c>
      <c r="P40" s="223">
        <v>3400</v>
      </c>
      <c r="Q40" s="281">
        <v>2392</v>
      </c>
      <c r="R40" s="278">
        <f t="shared" si="52"/>
        <v>1.2516787294768459</v>
      </c>
      <c r="S40" s="221">
        <f t="shared" si="53"/>
        <v>260.07811022356606</v>
      </c>
      <c r="T40" s="226">
        <f t="shared" si="74"/>
        <v>3641.0935431299249</v>
      </c>
      <c r="U40" s="279">
        <f t="shared" si="75"/>
        <v>2716.3519838841321</v>
      </c>
      <c r="V40" s="219">
        <f>IFERROR(VLOOKUP(B40,F_U!A:C,3,0),0)</f>
        <v>3400</v>
      </c>
      <c r="W40" s="279">
        <f>IFERROR(VLOOKUP(B40,F_U!A:B,2,0),0)</f>
        <v>2392</v>
      </c>
      <c r="X40" s="219">
        <f>IFERROR(VLOOKUP(B40,F_U!A:C,3,0),0)</f>
        <v>3400</v>
      </c>
      <c r="Y40" s="279">
        <f>IFERROR(VLOOKUP(B40,F_U!A:B,2,0),0)</f>
        <v>2392</v>
      </c>
      <c r="Z40" s="219">
        <f>IFERROR(VLOOKUP(B40,F_U!A:C,3,0),0)</f>
        <v>3400</v>
      </c>
      <c r="AA40" s="279">
        <f>IFERROR(VLOOKUP(B40,F_U!A:B,2,0),0)</f>
        <v>2392</v>
      </c>
      <c r="AB40" s="224">
        <f t="shared" si="54"/>
        <v>1.2516787294768459</v>
      </c>
      <c r="AC40" s="225"/>
      <c r="AD40" s="219"/>
      <c r="AE40" s="219"/>
      <c r="AF40" s="219"/>
      <c r="AG40" s="219"/>
      <c r="AH40" s="219"/>
      <c r="AI40" s="219"/>
      <c r="AJ40" s="219"/>
      <c r="AK40" s="224">
        <f t="shared" si="55"/>
        <v>0</v>
      </c>
      <c r="AL40" s="226">
        <f t="shared" si="76"/>
        <v>5432.7039677682642</v>
      </c>
      <c r="AM40" s="223">
        <f t="shared" si="56"/>
        <v>6800</v>
      </c>
      <c r="AN40" s="224">
        <f t="shared" si="57"/>
        <v>1.2516787294768459</v>
      </c>
      <c r="AP40" s="227"/>
      <c r="AQ40" s="221"/>
      <c r="AR40" s="206"/>
      <c r="AS40" s="219"/>
      <c r="AT40" s="219"/>
      <c r="AU40" s="219"/>
      <c r="AV40" s="219"/>
      <c r="AW40" s="219"/>
      <c r="AX40" s="219"/>
      <c r="AY40" s="224">
        <f t="shared" si="58"/>
        <v>0</v>
      </c>
      <c r="AZ40" s="221"/>
      <c r="BA40" s="206"/>
      <c r="BB40" s="219"/>
      <c r="BC40" s="219"/>
      <c r="BD40" s="219"/>
      <c r="BE40" s="219"/>
      <c r="BF40" s="219"/>
      <c r="BG40" s="219"/>
      <c r="BH40" s="224">
        <f t="shared" si="59"/>
        <v>0</v>
      </c>
      <c r="BI40" s="221"/>
      <c r="BJ40" s="206"/>
      <c r="BK40" s="219"/>
      <c r="BL40" s="219"/>
      <c r="BM40" s="219"/>
      <c r="BN40" s="219"/>
      <c r="BO40" s="219"/>
      <c r="BP40" s="219"/>
      <c r="BQ40" s="224">
        <f t="shared" si="60"/>
        <v>0</v>
      </c>
      <c r="BR40" s="226">
        <f t="shared" si="77"/>
        <v>0</v>
      </c>
      <c r="BS40" s="223">
        <f t="shared" si="61"/>
        <v>0</v>
      </c>
      <c r="BT40" s="224">
        <f t="shared" si="62"/>
        <v>0</v>
      </c>
      <c r="BV40" s="227"/>
      <c r="BW40" s="225"/>
      <c r="BX40" s="219"/>
      <c r="BY40" s="219"/>
      <c r="BZ40" s="219"/>
      <c r="CA40" s="219"/>
      <c r="CB40" s="219"/>
      <c r="CC40" s="219"/>
      <c r="CD40" s="219"/>
      <c r="CE40" s="224">
        <f t="shared" si="63"/>
        <v>0</v>
      </c>
      <c r="CF40" s="225"/>
      <c r="CG40" s="219"/>
      <c r="CH40" s="219"/>
      <c r="CI40" s="219"/>
      <c r="CJ40" s="219"/>
      <c r="CK40" s="219"/>
      <c r="CL40" s="219"/>
      <c r="CM40" s="219"/>
      <c r="CN40" s="224">
        <f t="shared" si="64"/>
        <v>0</v>
      </c>
      <c r="CO40" s="225"/>
      <c r="CP40" s="219"/>
      <c r="CQ40" s="219"/>
      <c r="CR40" s="219"/>
      <c r="CS40" s="219"/>
      <c r="CT40" s="219"/>
      <c r="CU40" s="219"/>
      <c r="CV40" s="219"/>
      <c r="CW40" s="224">
        <f t="shared" si="65"/>
        <v>0</v>
      </c>
      <c r="CX40" s="226">
        <f t="shared" si="78"/>
        <v>0</v>
      </c>
      <c r="CY40" s="223">
        <f t="shared" si="66"/>
        <v>0</v>
      </c>
      <c r="CZ40" s="224">
        <f t="shared" si="67"/>
        <v>0</v>
      </c>
      <c r="DB40" s="227">
        <v>5.0603996460395505E-2</v>
      </c>
      <c r="DC40" s="221"/>
      <c r="DD40" s="206"/>
      <c r="DE40" s="219"/>
      <c r="DF40" s="219"/>
      <c r="DG40" s="219"/>
      <c r="DH40" s="219"/>
      <c r="DI40" s="219"/>
      <c r="DJ40" s="219"/>
      <c r="DK40" s="224">
        <f t="shared" si="68"/>
        <v>0</v>
      </c>
      <c r="DL40" s="221"/>
      <c r="DM40" s="206"/>
      <c r="DN40" s="219"/>
      <c r="DO40" s="219"/>
      <c r="DP40" s="219"/>
      <c r="DQ40" s="219"/>
      <c r="DR40" s="219"/>
      <c r="DS40" s="219"/>
      <c r="DT40" s="224">
        <f t="shared" si="69"/>
        <v>0</v>
      </c>
      <c r="DU40" s="221"/>
      <c r="DV40" s="206"/>
      <c r="DW40" s="219"/>
      <c r="DX40" s="219"/>
      <c r="DY40" s="219"/>
      <c r="DZ40" s="219"/>
      <c r="EA40" s="219"/>
      <c r="EB40" s="219"/>
      <c r="EC40" s="224">
        <f t="shared" si="70"/>
        <v>0</v>
      </c>
      <c r="ED40" s="226">
        <f t="shared" si="79"/>
        <v>0</v>
      </c>
      <c r="EE40" s="223">
        <f t="shared" si="71"/>
        <v>0</v>
      </c>
      <c r="EF40" s="224">
        <f t="shared" si="72"/>
        <v>0</v>
      </c>
    </row>
    <row r="41" spans="1:136" s="90" customFormat="1" hidden="1" outlineLevel="1" x14ac:dyDescent="0.25">
      <c r="A41" s="257">
        <v>4</v>
      </c>
      <c r="B41" s="217" t="s">
        <v>310</v>
      </c>
      <c r="C41" s="217" t="s">
        <v>99</v>
      </c>
      <c r="D41" s="217" t="s">
        <v>986</v>
      </c>
      <c r="E41" s="218" t="s">
        <v>465</v>
      </c>
      <c r="F41" s="219" t="s">
        <v>984</v>
      </c>
      <c r="G41" s="220">
        <f>VLOOKUP(B41,'Cons%'!B:S,18,0)</f>
        <v>5.3413455623843173</v>
      </c>
      <c r="H41" s="207"/>
      <c r="I41" s="221">
        <f t="shared" si="73"/>
        <v>222.15247001479352</v>
      </c>
      <c r="J41" s="282">
        <f t="shared" si="50"/>
        <v>3110.1345802071091</v>
      </c>
      <c r="K41" s="222">
        <f t="shared" si="51"/>
        <v>2320.2425691678436</v>
      </c>
      <c r="L41" s="219">
        <v>700</v>
      </c>
      <c r="M41" s="279">
        <v>448</v>
      </c>
      <c r="N41" s="223">
        <v>2920</v>
      </c>
      <c r="O41" s="281">
        <v>1912</v>
      </c>
      <c r="P41" s="223">
        <v>4860</v>
      </c>
      <c r="Q41" s="281">
        <v>3196.8</v>
      </c>
      <c r="R41" s="278">
        <f t="shared" si="52"/>
        <v>2.0946085829909769</v>
      </c>
      <c r="S41" s="221">
        <f t="shared" si="53"/>
        <v>222.15247001479352</v>
      </c>
      <c r="T41" s="226">
        <f t="shared" si="74"/>
        <v>3110.1345802071091</v>
      </c>
      <c r="U41" s="279">
        <f t="shared" si="75"/>
        <v>2320.2425691678436</v>
      </c>
      <c r="V41" s="219">
        <f>IFERROR(VLOOKUP(B41,F_U!A:C,3,0),0)</f>
        <v>4860</v>
      </c>
      <c r="W41" s="279">
        <f>IFERROR(VLOOKUP(B41,F_U!A:B,2,0),0)</f>
        <v>3196.8</v>
      </c>
      <c r="X41" s="219">
        <f>IFERROR(VLOOKUP(B41,F_U!A:C,3,0),0)</f>
        <v>4860</v>
      </c>
      <c r="Y41" s="279">
        <f>IFERROR(VLOOKUP(B41,F_U!A:B,2,0),0)</f>
        <v>3196.8</v>
      </c>
      <c r="Z41" s="219">
        <f>IFERROR(VLOOKUP(B41,F_U!A:C,3,0),0)</f>
        <v>4860</v>
      </c>
      <c r="AA41" s="279">
        <f>IFERROR(VLOOKUP(B41,F_U!A:B,2,0),0)</f>
        <v>3196.8</v>
      </c>
      <c r="AB41" s="224">
        <f t="shared" si="54"/>
        <v>2.0946085829909769</v>
      </c>
      <c r="AC41" s="225"/>
      <c r="AD41" s="219"/>
      <c r="AE41" s="219"/>
      <c r="AF41" s="219"/>
      <c r="AG41" s="219"/>
      <c r="AH41" s="219"/>
      <c r="AI41" s="219"/>
      <c r="AJ41" s="219"/>
      <c r="AK41" s="224">
        <f t="shared" si="55"/>
        <v>0</v>
      </c>
      <c r="AL41" s="226">
        <f t="shared" si="76"/>
        <v>4640.4851383356872</v>
      </c>
      <c r="AM41" s="223">
        <f t="shared" si="56"/>
        <v>9720</v>
      </c>
      <c r="AN41" s="224">
        <f t="shared" si="57"/>
        <v>2.0946085829909769</v>
      </c>
      <c r="AP41" s="227"/>
      <c r="AQ41" s="221"/>
      <c r="AR41" s="206"/>
      <c r="AS41" s="219"/>
      <c r="AT41" s="219"/>
      <c r="AU41" s="219"/>
      <c r="AV41" s="219"/>
      <c r="AW41" s="219"/>
      <c r="AX41" s="219"/>
      <c r="AY41" s="224">
        <f t="shared" si="58"/>
        <v>0</v>
      </c>
      <c r="AZ41" s="221"/>
      <c r="BA41" s="206"/>
      <c r="BB41" s="219"/>
      <c r="BC41" s="219"/>
      <c r="BD41" s="219"/>
      <c r="BE41" s="219"/>
      <c r="BF41" s="219"/>
      <c r="BG41" s="219"/>
      <c r="BH41" s="224">
        <f t="shared" si="59"/>
        <v>0</v>
      </c>
      <c r="BI41" s="221"/>
      <c r="BJ41" s="206"/>
      <c r="BK41" s="219"/>
      <c r="BL41" s="219"/>
      <c r="BM41" s="219"/>
      <c r="BN41" s="219"/>
      <c r="BO41" s="219"/>
      <c r="BP41" s="219"/>
      <c r="BQ41" s="224">
        <f t="shared" si="60"/>
        <v>0</v>
      </c>
      <c r="BR41" s="226">
        <f t="shared" si="77"/>
        <v>0</v>
      </c>
      <c r="BS41" s="223">
        <f t="shared" si="61"/>
        <v>0</v>
      </c>
      <c r="BT41" s="224">
        <f t="shared" si="62"/>
        <v>0</v>
      </c>
      <c r="BV41" s="227"/>
      <c r="BW41" s="225"/>
      <c r="BX41" s="219"/>
      <c r="BY41" s="219"/>
      <c r="BZ41" s="219"/>
      <c r="CA41" s="219"/>
      <c r="CB41" s="219"/>
      <c r="CC41" s="219"/>
      <c r="CD41" s="219"/>
      <c r="CE41" s="224">
        <f t="shared" si="63"/>
        <v>0</v>
      </c>
      <c r="CF41" s="225"/>
      <c r="CG41" s="219"/>
      <c r="CH41" s="219"/>
      <c r="CI41" s="219"/>
      <c r="CJ41" s="219"/>
      <c r="CK41" s="219"/>
      <c r="CL41" s="219"/>
      <c r="CM41" s="219"/>
      <c r="CN41" s="224">
        <f t="shared" si="64"/>
        <v>0</v>
      </c>
      <c r="CO41" s="225"/>
      <c r="CP41" s="219"/>
      <c r="CQ41" s="219"/>
      <c r="CR41" s="219"/>
      <c r="CS41" s="219"/>
      <c r="CT41" s="219"/>
      <c r="CU41" s="219"/>
      <c r="CV41" s="219"/>
      <c r="CW41" s="224">
        <f t="shared" si="65"/>
        <v>0</v>
      </c>
      <c r="CX41" s="226">
        <f t="shared" si="78"/>
        <v>0</v>
      </c>
      <c r="CY41" s="223">
        <f t="shared" si="66"/>
        <v>0</v>
      </c>
      <c r="CZ41" s="224">
        <f t="shared" si="67"/>
        <v>0</v>
      </c>
      <c r="DB41" s="227">
        <v>3.7453954273249213E-2</v>
      </c>
      <c r="DC41" s="221"/>
      <c r="DD41" s="206"/>
      <c r="DE41" s="219"/>
      <c r="DF41" s="219"/>
      <c r="DG41" s="219"/>
      <c r="DH41" s="219"/>
      <c r="DI41" s="219"/>
      <c r="DJ41" s="219"/>
      <c r="DK41" s="224">
        <f t="shared" si="68"/>
        <v>0</v>
      </c>
      <c r="DL41" s="221"/>
      <c r="DM41" s="206"/>
      <c r="DN41" s="219"/>
      <c r="DO41" s="219"/>
      <c r="DP41" s="219"/>
      <c r="DQ41" s="219"/>
      <c r="DR41" s="219"/>
      <c r="DS41" s="219"/>
      <c r="DT41" s="224">
        <f t="shared" si="69"/>
        <v>0</v>
      </c>
      <c r="DU41" s="221"/>
      <c r="DV41" s="206"/>
      <c r="DW41" s="219"/>
      <c r="DX41" s="219"/>
      <c r="DY41" s="219"/>
      <c r="DZ41" s="219"/>
      <c r="EA41" s="219"/>
      <c r="EB41" s="219"/>
      <c r="EC41" s="224">
        <f t="shared" si="70"/>
        <v>0</v>
      </c>
      <c r="ED41" s="226">
        <f t="shared" si="79"/>
        <v>0</v>
      </c>
      <c r="EE41" s="223">
        <f t="shared" si="71"/>
        <v>0</v>
      </c>
      <c r="EF41" s="224">
        <f t="shared" si="72"/>
        <v>0</v>
      </c>
    </row>
    <row r="42" spans="1:136" s="90" customFormat="1" hidden="1" outlineLevel="1" x14ac:dyDescent="0.25">
      <c r="A42" s="257">
        <v>5</v>
      </c>
      <c r="B42" s="217" t="s">
        <v>366</v>
      </c>
      <c r="C42" s="217" t="s">
        <v>100</v>
      </c>
      <c r="D42" s="217" t="s">
        <v>975</v>
      </c>
      <c r="E42" s="218" t="s">
        <v>457</v>
      </c>
      <c r="F42" s="219" t="s">
        <v>984</v>
      </c>
      <c r="G42" s="220">
        <f>VLOOKUP(B42,'Cons%'!B:S,18,0)</f>
        <v>6.309015693284187</v>
      </c>
      <c r="H42" s="207"/>
      <c r="I42" s="221">
        <f t="shared" si="73"/>
        <v>262.39894110118854</v>
      </c>
      <c r="J42" s="282">
        <f t="shared" si="50"/>
        <v>3673.5851754166392</v>
      </c>
      <c r="K42" s="222">
        <f t="shared" si="51"/>
        <v>2740.5916000258753</v>
      </c>
      <c r="L42" s="219">
        <v>0</v>
      </c>
      <c r="M42" s="279">
        <v>0</v>
      </c>
      <c r="N42" s="223">
        <v>0</v>
      </c>
      <c r="O42" s="281">
        <v>0</v>
      </c>
      <c r="P42" s="223">
        <v>3600</v>
      </c>
      <c r="Q42" s="281">
        <v>3600</v>
      </c>
      <c r="R42" s="278">
        <f t="shared" si="52"/>
        <v>1.3135849938261543</v>
      </c>
      <c r="S42" s="221">
        <f t="shared" si="53"/>
        <v>262.39894110118854</v>
      </c>
      <c r="T42" s="226">
        <f t="shared" si="74"/>
        <v>3673.5851754166392</v>
      </c>
      <c r="U42" s="279">
        <f t="shared" si="75"/>
        <v>2740.5916000258753</v>
      </c>
      <c r="V42" s="219">
        <f>IFERROR(VLOOKUP(B42,F_U!A:C,3,0),0)</f>
        <v>3600</v>
      </c>
      <c r="W42" s="279">
        <f>IFERROR(VLOOKUP(B42,F_U!A:B,2,0),0)</f>
        <v>3600</v>
      </c>
      <c r="X42" s="219">
        <f>IFERROR(VLOOKUP(B42,F_U!A:C,3,0),0)</f>
        <v>3600</v>
      </c>
      <c r="Y42" s="279">
        <f>IFERROR(VLOOKUP(B42,F_U!A:B,2,0),0)</f>
        <v>3600</v>
      </c>
      <c r="Z42" s="219">
        <f>IFERROR(VLOOKUP(B42,F_U!A:C,3,0),0)</f>
        <v>3600</v>
      </c>
      <c r="AA42" s="279">
        <f>IFERROR(VLOOKUP(B42,F_U!A:B,2,0),0)</f>
        <v>3600</v>
      </c>
      <c r="AB42" s="224">
        <f t="shared" si="54"/>
        <v>1.3135849938261543</v>
      </c>
      <c r="AC42" s="225"/>
      <c r="AD42" s="219"/>
      <c r="AE42" s="219"/>
      <c r="AF42" s="219"/>
      <c r="AG42" s="219"/>
      <c r="AH42" s="219"/>
      <c r="AI42" s="219"/>
      <c r="AJ42" s="219"/>
      <c r="AK42" s="224">
        <f t="shared" si="55"/>
        <v>0</v>
      </c>
      <c r="AL42" s="226">
        <f t="shared" si="76"/>
        <v>5481.1832000517506</v>
      </c>
      <c r="AM42" s="223">
        <f t="shared" si="56"/>
        <v>7200</v>
      </c>
      <c r="AN42" s="224">
        <f t="shared" si="57"/>
        <v>1.3135849938261543</v>
      </c>
      <c r="AP42" s="227"/>
      <c r="AQ42" s="221"/>
      <c r="AR42" s="206"/>
      <c r="AS42" s="219"/>
      <c r="AT42" s="219"/>
      <c r="AU42" s="219"/>
      <c r="AV42" s="219"/>
      <c r="AW42" s="219"/>
      <c r="AX42" s="219"/>
      <c r="AY42" s="224">
        <f t="shared" si="58"/>
        <v>0</v>
      </c>
      <c r="AZ42" s="221"/>
      <c r="BA42" s="206"/>
      <c r="BB42" s="219"/>
      <c r="BC42" s="219"/>
      <c r="BD42" s="219"/>
      <c r="BE42" s="219"/>
      <c r="BF42" s="219"/>
      <c r="BG42" s="219"/>
      <c r="BH42" s="224">
        <f t="shared" si="59"/>
        <v>0</v>
      </c>
      <c r="BI42" s="221"/>
      <c r="BJ42" s="206"/>
      <c r="BK42" s="219"/>
      <c r="BL42" s="219"/>
      <c r="BM42" s="219"/>
      <c r="BN42" s="219"/>
      <c r="BO42" s="219"/>
      <c r="BP42" s="219"/>
      <c r="BQ42" s="224">
        <f t="shared" si="60"/>
        <v>0</v>
      </c>
      <c r="BR42" s="226">
        <f t="shared" si="77"/>
        <v>0</v>
      </c>
      <c r="BS42" s="223">
        <f t="shared" si="61"/>
        <v>0</v>
      </c>
      <c r="BT42" s="224">
        <f t="shared" si="62"/>
        <v>0</v>
      </c>
      <c r="BV42" s="227"/>
      <c r="BW42" s="225"/>
      <c r="BX42" s="219"/>
      <c r="BY42" s="219"/>
      <c r="BZ42" s="219"/>
      <c r="CA42" s="219"/>
      <c r="CB42" s="219"/>
      <c r="CC42" s="219"/>
      <c r="CD42" s="219"/>
      <c r="CE42" s="224">
        <f t="shared" si="63"/>
        <v>0</v>
      </c>
      <c r="CF42" s="225"/>
      <c r="CG42" s="219"/>
      <c r="CH42" s="219"/>
      <c r="CI42" s="219"/>
      <c r="CJ42" s="219"/>
      <c r="CK42" s="219"/>
      <c r="CL42" s="219"/>
      <c r="CM42" s="219"/>
      <c r="CN42" s="224">
        <f t="shared" si="64"/>
        <v>0</v>
      </c>
      <c r="CO42" s="225"/>
      <c r="CP42" s="219"/>
      <c r="CQ42" s="219"/>
      <c r="CR42" s="219"/>
      <c r="CS42" s="219"/>
      <c r="CT42" s="219"/>
      <c r="CU42" s="219"/>
      <c r="CV42" s="219"/>
      <c r="CW42" s="224">
        <f t="shared" si="65"/>
        <v>0</v>
      </c>
      <c r="CX42" s="226">
        <f t="shared" si="78"/>
        <v>0</v>
      </c>
      <c r="CY42" s="223">
        <f t="shared" si="66"/>
        <v>0</v>
      </c>
      <c r="CZ42" s="224">
        <f t="shared" si="67"/>
        <v>0</v>
      </c>
      <c r="DB42" s="227">
        <v>2.9901426131335777E-2</v>
      </c>
      <c r="DC42" s="221"/>
      <c r="DD42" s="206"/>
      <c r="DE42" s="219"/>
      <c r="DF42" s="219"/>
      <c r="DG42" s="219"/>
      <c r="DH42" s="219"/>
      <c r="DI42" s="219"/>
      <c r="DJ42" s="219"/>
      <c r="DK42" s="224">
        <f t="shared" si="68"/>
        <v>0</v>
      </c>
      <c r="DL42" s="221"/>
      <c r="DM42" s="206"/>
      <c r="DN42" s="219"/>
      <c r="DO42" s="219"/>
      <c r="DP42" s="219"/>
      <c r="DQ42" s="219"/>
      <c r="DR42" s="219"/>
      <c r="DS42" s="219"/>
      <c r="DT42" s="224">
        <f t="shared" si="69"/>
        <v>0</v>
      </c>
      <c r="DU42" s="221"/>
      <c r="DV42" s="206"/>
      <c r="DW42" s="219"/>
      <c r="DX42" s="219"/>
      <c r="DY42" s="219"/>
      <c r="DZ42" s="219"/>
      <c r="EA42" s="219"/>
      <c r="EB42" s="219"/>
      <c r="EC42" s="224">
        <f t="shared" si="70"/>
        <v>0</v>
      </c>
      <c r="ED42" s="226">
        <f t="shared" si="79"/>
        <v>0</v>
      </c>
      <c r="EE42" s="223">
        <f t="shared" si="71"/>
        <v>0</v>
      </c>
      <c r="EF42" s="224">
        <f t="shared" si="72"/>
        <v>0</v>
      </c>
    </row>
    <row r="43" spans="1:136" s="90" customFormat="1" hidden="1" outlineLevel="1" x14ac:dyDescent="0.25">
      <c r="A43" s="257">
        <v>6</v>
      </c>
      <c r="B43" s="217" t="s">
        <v>375</v>
      </c>
      <c r="C43" s="217" t="s">
        <v>104</v>
      </c>
      <c r="D43" s="217" t="s">
        <v>154</v>
      </c>
      <c r="E43" s="218" t="s">
        <v>458</v>
      </c>
      <c r="F43" s="219" t="s">
        <v>984</v>
      </c>
      <c r="G43" s="220">
        <f>VLOOKUP(B43,'Cons%'!B:S,18,0)</f>
        <v>5.3743467016865294</v>
      </c>
      <c r="H43" s="207"/>
      <c r="I43" s="221">
        <f t="shared" si="73"/>
        <v>223.52502390101245</v>
      </c>
      <c r="J43" s="282">
        <f t="shared" si="50"/>
        <v>3129.3503346141742</v>
      </c>
      <c r="K43" s="222">
        <f t="shared" si="51"/>
        <v>2334.5780296516718</v>
      </c>
      <c r="L43" s="219">
        <v>0</v>
      </c>
      <c r="M43" s="279">
        <v>0</v>
      </c>
      <c r="N43" s="223">
        <v>2660</v>
      </c>
      <c r="O43" s="281">
        <v>2004.8</v>
      </c>
      <c r="P43" s="223">
        <v>2660</v>
      </c>
      <c r="Q43" s="281">
        <v>2004.8</v>
      </c>
      <c r="R43" s="278">
        <f t="shared" si="52"/>
        <v>1.1393922011665989</v>
      </c>
      <c r="S43" s="221">
        <f t="shared" si="53"/>
        <v>223.52502390101245</v>
      </c>
      <c r="T43" s="226">
        <f t="shared" si="74"/>
        <v>3129.3503346141742</v>
      </c>
      <c r="U43" s="279">
        <f t="shared" si="75"/>
        <v>2334.5780296516718</v>
      </c>
      <c r="V43" s="219">
        <f>IFERROR(VLOOKUP(B43,F_U!A:C,3,0),0)</f>
        <v>2660</v>
      </c>
      <c r="W43" s="279">
        <f>IFERROR(VLOOKUP(B43,F_U!A:B,2,0),0)</f>
        <v>2004.8</v>
      </c>
      <c r="X43" s="219">
        <f>IFERROR(VLOOKUP(B43,F_U!A:C,3,0),0)</f>
        <v>2660</v>
      </c>
      <c r="Y43" s="279">
        <f>IFERROR(VLOOKUP(B43,F_U!A:B,2,0),0)</f>
        <v>2004.8</v>
      </c>
      <c r="Z43" s="219">
        <f>IFERROR(VLOOKUP(B43,F_U!A:C,3,0),0)</f>
        <v>2660</v>
      </c>
      <c r="AA43" s="279">
        <f>IFERROR(VLOOKUP(B43,F_U!A:B,2,0),0)</f>
        <v>2004.8</v>
      </c>
      <c r="AB43" s="224">
        <f t="shared" si="54"/>
        <v>1.1393922011665989</v>
      </c>
      <c r="AC43" s="225"/>
      <c r="AD43" s="219"/>
      <c r="AE43" s="219"/>
      <c r="AF43" s="219"/>
      <c r="AG43" s="219"/>
      <c r="AH43" s="219"/>
      <c r="AI43" s="219"/>
      <c r="AJ43" s="219"/>
      <c r="AK43" s="224">
        <f t="shared" si="55"/>
        <v>0</v>
      </c>
      <c r="AL43" s="226">
        <f t="shared" si="76"/>
        <v>4669.1560593033437</v>
      </c>
      <c r="AM43" s="223">
        <f t="shared" si="56"/>
        <v>5320</v>
      </c>
      <c r="AN43" s="224">
        <f t="shared" si="57"/>
        <v>1.1393922011665989</v>
      </c>
      <c r="AP43" s="227"/>
      <c r="AQ43" s="221"/>
      <c r="AR43" s="206"/>
      <c r="AS43" s="219"/>
      <c r="AT43" s="219"/>
      <c r="AU43" s="219"/>
      <c r="AV43" s="219"/>
      <c r="AW43" s="219"/>
      <c r="AX43" s="219"/>
      <c r="AY43" s="224">
        <f t="shared" si="58"/>
        <v>0</v>
      </c>
      <c r="AZ43" s="221"/>
      <c r="BA43" s="206"/>
      <c r="BB43" s="219"/>
      <c r="BC43" s="219"/>
      <c r="BD43" s="219"/>
      <c r="BE43" s="219"/>
      <c r="BF43" s="219"/>
      <c r="BG43" s="219"/>
      <c r="BH43" s="224">
        <f t="shared" si="59"/>
        <v>0</v>
      </c>
      <c r="BI43" s="221"/>
      <c r="BJ43" s="206"/>
      <c r="BK43" s="219"/>
      <c r="BL43" s="219"/>
      <c r="BM43" s="219"/>
      <c r="BN43" s="219"/>
      <c r="BO43" s="219"/>
      <c r="BP43" s="219"/>
      <c r="BQ43" s="224">
        <f t="shared" si="60"/>
        <v>0</v>
      </c>
      <c r="BR43" s="226">
        <f t="shared" si="77"/>
        <v>0</v>
      </c>
      <c r="BS43" s="223">
        <f t="shared" si="61"/>
        <v>0</v>
      </c>
      <c r="BT43" s="224">
        <f t="shared" si="62"/>
        <v>0</v>
      </c>
      <c r="BV43" s="227"/>
      <c r="BW43" s="225"/>
      <c r="BX43" s="219"/>
      <c r="BY43" s="219"/>
      <c r="BZ43" s="219"/>
      <c r="CA43" s="219"/>
      <c r="CB43" s="219"/>
      <c r="CC43" s="219"/>
      <c r="CD43" s="219"/>
      <c r="CE43" s="224">
        <f t="shared" si="63"/>
        <v>0</v>
      </c>
      <c r="CF43" s="225"/>
      <c r="CG43" s="219"/>
      <c r="CH43" s="219"/>
      <c r="CI43" s="219"/>
      <c r="CJ43" s="219"/>
      <c r="CK43" s="219"/>
      <c r="CL43" s="219"/>
      <c r="CM43" s="219"/>
      <c r="CN43" s="224">
        <f t="shared" si="64"/>
        <v>0</v>
      </c>
      <c r="CO43" s="225"/>
      <c r="CP43" s="219"/>
      <c r="CQ43" s="219"/>
      <c r="CR43" s="219"/>
      <c r="CS43" s="219"/>
      <c r="CT43" s="219"/>
      <c r="CU43" s="219"/>
      <c r="CV43" s="219"/>
      <c r="CW43" s="224">
        <f t="shared" si="65"/>
        <v>0</v>
      </c>
      <c r="CX43" s="226">
        <f t="shared" si="78"/>
        <v>0</v>
      </c>
      <c r="CY43" s="223">
        <f t="shared" si="66"/>
        <v>0</v>
      </c>
      <c r="CZ43" s="224">
        <f t="shared" si="67"/>
        <v>0</v>
      </c>
      <c r="DB43" s="227">
        <v>2.3785318873088705E-2</v>
      </c>
      <c r="DC43" s="221"/>
      <c r="DD43" s="206"/>
      <c r="DE43" s="219"/>
      <c r="DF43" s="219"/>
      <c r="DG43" s="219"/>
      <c r="DH43" s="219"/>
      <c r="DI43" s="219"/>
      <c r="DJ43" s="219"/>
      <c r="DK43" s="224">
        <f t="shared" si="68"/>
        <v>0</v>
      </c>
      <c r="DL43" s="221"/>
      <c r="DM43" s="206"/>
      <c r="DN43" s="219"/>
      <c r="DO43" s="219"/>
      <c r="DP43" s="219"/>
      <c r="DQ43" s="219"/>
      <c r="DR43" s="219"/>
      <c r="DS43" s="219"/>
      <c r="DT43" s="224">
        <f t="shared" si="69"/>
        <v>0</v>
      </c>
      <c r="DU43" s="221"/>
      <c r="DV43" s="206"/>
      <c r="DW43" s="219"/>
      <c r="DX43" s="219"/>
      <c r="DY43" s="219"/>
      <c r="DZ43" s="219"/>
      <c r="EA43" s="219"/>
      <c r="EB43" s="219"/>
      <c r="EC43" s="224">
        <f t="shared" si="70"/>
        <v>0</v>
      </c>
      <c r="ED43" s="226">
        <f t="shared" si="79"/>
        <v>0</v>
      </c>
      <c r="EE43" s="223">
        <f t="shared" si="71"/>
        <v>0</v>
      </c>
      <c r="EF43" s="224">
        <f t="shared" si="72"/>
        <v>0</v>
      </c>
    </row>
    <row r="44" spans="1:136" s="90" customFormat="1" hidden="1" outlineLevel="1" x14ac:dyDescent="0.25">
      <c r="A44" s="257">
        <v>7</v>
      </c>
      <c r="B44" s="217" t="s">
        <v>411</v>
      </c>
      <c r="C44" s="217" t="s">
        <v>987</v>
      </c>
      <c r="D44" s="217" t="s">
        <v>988</v>
      </c>
      <c r="E44" s="218" t="s">
        <v>476</v>
      </c>
      <c r="F44" s="219" t="s">
        <v>984</v>
      </c>
      <c r="G44" s="220">
        <f>VLOOKUP(B44,'Cons%'!B:S,18,0)</f>
        <v>4.730017984531055</v>
      </c>
      <c r="H44" s="207"/>
      <c r="I44" s="221">
        <f t="shared" si="73"/>
        <v>196.7266798609657</v>
      </c>
      <c r="J44" s="282">
        <f t="shared" si="50"/>
        <v>2754.1735180535197</v>
      </c>
      <c r="K44" s="222">
        <f t="shared" si="51"/>
        <v>2054.6862120149772</v>
      </c>
      <c r="L44" s="219">
        <v>0</v>
      </c>
      <c r="M44" s="279">
        <v>0</v>
      </c>
      <c r="N44" s="223">
        <v>0</v>
      </c>
      <c r="O44" s="281">
        <v>0</v>
      </c>
      <c r="P44" s="223">
        <v>2920</v>
      </c>
      <c r="Q44" s="281">
        <v>1876</v>
      </c>
      <c r="R44" s="278">
        <f t="shared" si="52"/>
        <v>1.4211415752561225</v>
      </c>
      <c r="S44" s="221">
        <f t="shared" si="53"/>
        <v>196.7266798609657</v>
      </c>
      <c r="T44" s="226">
        <f t="shared" si="74"/>
        <v>2754.1735180535197</v>
      </c>
      <c r="U44" s="279">
        <f t="shared" si="75"/>
        <v>2054.6862120149772</v>
      </c>
      <c r="V44" s="219">
        <f>IFERROR(VLOOKUP(B44,F_U!A:C,3,0),0)</f>
        <v>2920</v>
      </c>
      <c r="W44" s="279">
        <f>IFERROR(VLOOKUP(B44,F_U!A:B,2,0),0)</f>
        <v>1876</v>
      </c>
      <c r="X44" s="219">
        <f>IFERROR(VLOOKUP(B44,F_U!A:C,3,0),0)</f>
        <v>2920</v>
      </c>
      <c r="Y44" s="279">
        <f>IFERROR(VLOOKUP(B44,F_U!A:B,2,0),0)</f>
        <v>1876</v>
      </c>
      <c r="Z44" s="219">
        <f>IFERROR(VLOOKUP(B44,F_U!A:C,3,0),0)</f>
        <v>2920</v>
      </c>
      <c r="AA44" s="279">
        <f>IFERROR(VLOOKUP(B44,F_U!A:B,2,0),0)</f>
        <v>1876</v>
      </c>
      <c r="AB44" s="224">
        <f t="shared" si="54"/>
        <v>1.4211415752561225</v>
      </c>
      <c r="AC44" s="225"/>
      <c r="AD44" s="219"/>
      <c r="AE44" s="219"/>
      <c r="AF44" s="219"/>
      <c r="AG44" s="219"/>
      <c r="AH44" s="219"/>
      <c r="AI44" s="219"/>
      <c r="AJ44" s="219"/>
      <c r="AK44" s="224">
        <f t="shared" si="55"/>
        <v>0</v>
      </c>
      <c r="AL44" s="226">
        <f t="shared" si="76"/>
        <v>4109.3724240299543</v>
      </c>
      <c r="AM44" s="223">
        <f t="shared" si="56"/>
        <v>5840</v>
      </c>
      <c r="AN44" s="224">
        <f t="shared" si="57"/>
        <v>1.4211415752561225</v>
      </c>
      <c r="AP44" s="227"/>
      <c r="AQ44" s="221"/>
      <c r="AR44" s="206"/>
      <c r="AS44" s="219"/>
      <c r="AT44" s="219"/>
      <c r="AU44" s="219"/>
      <c r="AV44" s="219"/>
      <c r="AW44" s="219"/>
      <c r="AX44" s="219"/>
      <c r="AY44" s="224">
        <f t="shared" si="58"/>
        <v>0</v>
      </c>
      <c r="AZ44" s="221"/>
      <c r="BA44" s="206"/>
      <c r="BB44" s="219"/>
      <c r="BC44" s="219"/>
      <c r="BD44" s="219"/>
      <c r="BE44" s="219"/>
      <c r="BF44" s="219"/>
      <c r="BG44" s="219"/>
      <c r="BH44" s="224">
        <f t="shared" si="59"/>
        <v>0</v>
      </c>
      <c r="BI44" s="221"/>
      <c r="BJ44" s="206"/>
      <c r="BK44" s="219"/>
      <c r="BL44" s="219"/>
      <c r="BM44" s="219"/>
      <c r="BN44" s="219"/>
      <c r="BO44" s="219"/>
      <c r="BP44" s="219"/>
      <c r="BQ44" s="224">
        <f t="shared" si="60"/>
        <v>0</v>
      </c>
      <c r="BR44" s="226">
        <f t="shared" si="77"/>
        <v>0</v>
      </c>
      <c r="BS44" s="223">
        <f t="shared" si="61"/>
        <v>0</v>
      </c>
      <c r="BT44" s="224">
        <f t="shared" si="62"/>
        <v>0</v>
      </c>
      <c r="BV44" s="227"/>
      <c r="BW44" s="225"/>
      <c r="BX44" s="219"/>
      <c r="BY44" s="219"/>
      <c r="BZ44" s="219"/>
      <c r="CA44" s="219"/>
      <c r="CB44" s="219"/>
      <c r="CC44" s="219"/>
      <c r="CD44" s="219"/>
      <c r="CE44" s="224">
        <f t="shared" si="63"/>
        <v>0</v>
      </c>
      <c r="CF44" s="225"/>
      <c r="CG44" s="219"/>
      <c r="CH44" s="219"/>
      <c r="CI44" s="219"/>
      <c r="CJ44" s="219"/>
      <c r="CK44" s="219"/>
      <c r="CL44" s="219"/>
      <c r="CM44" s="219"/>
      <c r="CN44" s="224">
        <f t="shared" si="64"/>
        <v>0</v>
      </c>
      <c r="CO44" s="225"/>
      <c r="CP44" s="219"/>
      <c r="CQ44" s="219"/>
      <c r="CR44" s="219"/>
      <c r="CS44" s="219"/>
      <c r="CT44" s="219"/>
      <c r="CU44" s="219"/>
      <c r="CV44" s="219"/>
      <c r="CW44" s="224">
        <f t="shared" si="65"/>
        <v>0</v>
      </c>
      <c r="CX44" s="226">
        <f t="shared" si="78"/>
        <v>0</v>
      </c>
      <c r="CY44" s="223">
        <f t="shared" si="66"/>
        <v>0</v>
      </c>
      <c r="CZ44" s="224">
        <f t="shared" si="67"/>
        <v>0</v>
      </c>
      <c r="DB44" s="227">
        <v>2.1945547712633497E-2</v>
      </c>
      <c r="DC44" s="221"/>
      <c r="DD44" s="206"/>
      <c r="DE44" s="219"/>
      <c r="DF44" s="219"/>
      <c r="DG44" s="219"/>
      <c r="DH44" s="219"/>
      <c r="DI44" s="219"/>
      <c r="DJ44" s="219"/>
      <c r="DK44" s="224">
        <f t="shared" si="68"/>
        <v>0</v>
      </c>
      <c r="DL44" s="221"/>
      <c r="DM44" s="206"/>
      <c r="DN44" s="219"/>
      <c r="DO44" s="219"/>
      <c r="DP44" s="219"/>
      <c r="DQ44" s="219"/>
      <c r="DR44" s="219"/>
      <c r="DS44" s="219"/>
      <c r="DT44" s="224">
        <f t="shared" si="69"/>
        <v>0</v>
      </c>
      <c r="DU44" s="221"/>
      <c r="DV44" s="206"/>
      <c r="DW44" s="219"/>
      <c r="DX44" s="219"/>
      <c r="DY44" s="219"/>
      <c r="DZ44" s="219"/>
      <c r="EA44" s="219"/>
      <c r="EB44" s="219"/>
      <c r="EC44" s="224">
        <f t="shared" si="70"/>
        <v>0</v>
      </c>
      <c r="ED44" s="226">
        <f t="shared" si="79"/>
        <v>0</v>
      </c>
      <c r="EE44" s="223">
        <f t="shared" si="71"/>
        <v>0</v>
      </c>
      <c r="EF44" s="224">
        <f t="shared" si="72"/>
        <v>0</v>
      </c>
    </row>
    <row r="45" spans="1:136" s="90" customFormat="1" hidden="1" outlineLevel="1" x14ac:dyDescent="0.25">
      <c r="A45" s="257">
        <v>8</v>
      </c>
      <c r="B45" s="217" t="s">
        <v>345</v>
      </c>
      <c r="C45" s="217" t="s">
        <v>546</v>
      </c>
      <c r="D45" s="217" t="s">
        <v>154</v>
      </c>
      <c r="E45" s="218" t="s">
        <v>458</v>
      </c>
      <c r="F45" s="219" t="s">
        <v>984</v>
      </c>
      <c r="G45" s="220">
        <f>VLOOKUP(B45,'Cons%'!B:S,18,0)</f>
        <v>5.9030624446947559</v>
      </c>
      <c r="H45" s="207"/>
      <c r="I45" s="221">
        <f t="shared" si="73"/>
        <v>245.51489646648514</v>
      </c>
      <c r="J45" s="282">
        <f t="shared" si="50"/>
        <v>3437.2085505307919</v>
      </c>
      <c r="K45" s="222">
        <f t="shared" si="51"/>
        <v>2564.2483925946913</v>
      </c>
      <c r="L45" s="219">
        <v>840</v>
      </c>
      <c r="M45" s="279">
        <v>840</v>
      </c>
      <c r="N45" s="223">
        <v>840</v>
      </c>
      <c r="O45" s="281">
        <v>840</v>
      </c>
      <c r="P45" s="223">
        <v>840</v>
      </c>
      <c r="Q45" s="281">
        <v>840</v>
      </c>
      <c r="R45" s="278">
        <f t="shared" si="52"/>
        <v>0.32758136942811045</v>
      </c>
      <c r="S45" s="221">
        <f t="shared" si="53"/>
        <v>245.51489646648514</v>
      </c>
      <c r="T45" s="226">
        <f t="shared" si="74"/>
        <v>3437.2085505307919</v>
      </c>
      <c r="U45" s="279">
        <f t="shared" si="75"/>
        <v>2564.2483925946913</v>
      </c>
      <c r="V45" s="219">
        <f>IFERROR(VLOOKUP(B45,F_U!A:C,3,0),0)</f>
        <v>840</v>
      </c>
      <c r="W45" s="279">
        <f>IFERROR(VLOOKUP(B45,F_U!A:B,2,0),0)</f>
        <v>840</v>
      </c>
      <c r="X45" s="219">
        <f>IFERROR(VLOOKUP(B45,F_U!A:C,3,0),0)</f>
        <v>840</v>
      </c>
      <c r="Y45" s="279">
        <f>IFERROR(VLOOKUP(B45,F_U!A:B,2,0),0)</f>
        <v>840</v>
      </c>
      <c r="Z45" s="219">
        <f>IFERROR(VLOOKUP(B45,F_U!A:C,3,0),0)</f>
        <v>840</v>
      </c>
      <c r="AA45" s="279">
        <f>IFERROR(VLOOKUP(B45,F_U!A:B,2,0),0)</f>
        <v>840</v>
      </c>
      <c r="AB45" s="224">
        <f t="shared" si="54"/>
        <v>0.32758136942811045</v>
      </c>
      <c r="AC45" s="225"/>
      <c r="AD45" s="219"/>
      <c r="AE45" s="219"/>
      <c r="AF45" s="219"/>
      <c r="AG45" s="219"/>
      <c r="AH45" s="219"/>
      <c r="AI45" s="219"/>
      <c r="AJ45" s="219"/>
      <c r="AK45" s="224">
        <f t="shared" si="55"/>
        <v>0</v>
      </c>
      <c r="AL45" s="226">
        <f t="shared" si="76"/>
        <v>5128.4967851893825</v>
      </c>
      <c r="AM45" s="223">
        <f t="shared" si="56"/>
        <v>1680</v>
      </c>
      <c r="AN45" s="224">
        <f t="shared" si="57"/>
        <v>0.32758136942811045</v>
      </c>
      <c r="AP45" s="227"/>
      <c r="AQ45" s="221"/>
      <c r="AR45" s="206"/>
      <c r="AS45" s="219"/>
      <c r="AT45" s="219"/>
      <c r="AU45" s="219"/>
      <c r="AV45" s="219"/>
      <c r="AW45" s="219"/>
      <c r="AX45" s="219"/>
      <c r="AY45" s="224">
        <f t="shared" si="58"/>
        <v>0</v>
      </c>
      <c r="AZ45" s="221"/>
      <c r="BA45" s="206"/>
      <c r="BB45" s="219"/>
      <c r="BC45" s="219"/>
      <c r="BD45" s="219"/>
      <c r="BE45" s="219"/>
      <c r="BF45" s="219"/>
      <c r="BG45" s="219"/>
      <c r="BH45" s="224">
        <f t="shared" si="59"/>
        <v>0</v>
      </c>
      <c r="BI45" s="221"/>
      <c r="BJ45" s="206"/>
      <c r="BK45" s="219"/>
      <c r="BL45" s="219"/>
      <c r="BM45" s="219"/>
      <c r="BN45" s="219"/>
      <c r="BO45" s="219"/>
      <c r="BP45" s="219"/>
      <c r="BQ45" s="224">
        <f t="shared" si="60"/>
        <v>0</v>
      </c>
      <c r="BR45" s="226">
        <f t="shared" si="77"/>
        <v>0</v>
      </c>
      <c r="BS45" s="223">
        <f t="shared" si="61"/>
        <v>0</v>
      </c>
      <c r="BT45" s="224">
        <f t="shared" si="62"/>
        <v>0</v>
      </c>
      <c r="BV45" s="227"/>
      <c r="BW45" s="225"/>
      <c r="BX45" s="219"/>
      <c r="BY45" s="219"/>
      <c r="BZ45" s="219"/>
      <c r="CA45" s="219"/>
      <c r="CB45" s="219"/>
      <c r="CC45" s="219"/>
      <c r="CD45" s="219"/>
      <c r="CE45" s="224">
        <f t="shared" si="63"/>
        <v>0</v>
      </c>
      <c r="CF45" s="225"/>
      <c r="CG45" s="219"/>
      <c r="CH45" s="219"/>
      <c r="CI45" s="219"/>
      <c r="CJ45" s="219"/>
      <c r="CK45" s="219"/>
      <c r="CL45" s="219"/>
      <c r="CM45" s="219"/>
      <c r="CN45" s="224">
        <f t="shared" si="64"/>
        <v>0</v>
      </c>
      <c r="CO45" s="225"/>
      <c r="CP45" s="219"/>
      <c r="CQ45" s="219"/>
      <c r="CR45" s="219"/>
      <c r="CS45" s="219"/>
      <c r="CT45" s="219"/>
      <c r="CU45" s="219"/>
      <c r="CV45" s="219"/>
      <c r="CW45" s="224">
        <f t="shared" si="65"/>
        <v>0</v>
      </c>
      <c r="CX45" s="226">
        <f t="shared" si="78"/>
        <v>0</v>
      </c>
      <c r="CY45" s="223">
        <f t="shared" si="66"/>
        <v>0</v>
      </c>
      <c r="CZ45" s="224">
        <f t="shared" si="67"/>
        <v>0</v>
      </c>
      <c r="DB45" s="227">
        <v>2.0167513839441886E-2</v>
      </c>
      <c r="DC45" s="221"/>
      <c r="DD45" s="206"/>
      <c r="DE45" s="219"/>
      <c r="DF45" s="219"/>
      <c r="DG45" s="219"/>
      <c r="DH45" s="219"/>
      <c r="DI45" s="219"/>
      <c r="DJ45" s="219"/>
      <c r="DK45" s="224">
        <f t="shared" si="68"/>
        <v>0</v>
      </c>
      <c r="DL45" s="221"/>
      <c r="DM45" s="206"/>
      <c r="DN45" s="219"/>
      <c r="DO45" s="219"/>
      <c r="DP45" s="219"/>
      <c r="DQ45" s="219"/>
      <c r="DR45" s="219"/>
      <c r="DS45" s="219"/>
      <c r="DT45" s="224">
        <f t="shared" si="69"/>
        <v>0</v>
      </c>
      <c r="DU45" s="221"/>
      <c r="DV45" s="206"/>
      <c r="DW45" s="219"/>
      <c r="DX45" s="219"/>
      <c r="DY45" s="219"/>
      <c r="DZ45" s="219"/>
      <c r="EA45" s="219"/>
      <c r="EB45" s="219"/>
      <c r="EC45" s="224">
        <f t="shared" si="70"/>
        <v>0</v>
      </c>
      <c r="ED45" s="226">
        <f t="shared" si="79"/>
        <v>0</v>
      </c>
      <c r="EE45" s="223">
        <f t="shared" si="71"/>
        <v>0</v>
      </c>
      <c r="EF45" s="224">
        <f t="shared" si="72"/>
        <v>0</v>
      </c>
    </row>
    <row r="46" spans="1:136" s="90" customFormat="1" hidden="1" outlineLevel="1" x14ac:dyDescent="0.25">
      <c r="A46" s="257">
        <v>9</v>
      </c>
      <c r="B46" s="217" t="s">
        <v>923</v>
      </c>
      <c r="C46" s="217" t="s">
        <v>986</v>
      </c>
      <c r="D46" s="217" t="s">
        <v>986</v>
      </c>
      <c r="E46" s="218" t="s">
        <v>465</v>
      </c>
      <c r="F46" s="219" t="s">
        <v>984</v>
      </c>
      <c r="G46" s="220">
        <f>VLOOKUP(B46,'Cons%'!B:S,18,0)</f>
        <v>3.1388137777533265</v>
      </c>
      <c r="H46" s="207"/>
      <c r="I46" s="221">
        <f t="shared" ref="I46" si="80">J46/14</f>
        <v>130.54673686626293</v>
      </c>
      <c r="J46" s="282">
        <f t="shared" ref="J46" si="81">$J$36*G46%</f>
        <v>1827.6543161276809</v>
      </c>
      <c r="K46" s="222">
        <f t="shared" ref="K46" si="82">$K$36*G46%</f>
        <v>1363.4784079730721</v>
      </c>
      <c r="L46" s="219"/>
      <c r="M46" s="279"/>
      <c r="N46" s="223">
        <v>700</v>
      </c>
      <c r="O46" s="281">
        <v>448</v>
      </c>
      <c r="P46" s="223">
        <v>1400</v>
      </c>
      <c r="Q46" s="281">
        <v>896</v>
      </c>
      <c r="R46" s="278">
        <f t="shared" ref="R46" si="83">IFERROR((P46/K46),0)</f>
        <v>1.0267856035074441</v>
      </c>
      <c r="S46" s="221">
        <f t="shared" si="53"/>
        <v>130.54673686626293</v>
      </c>
      <c r="T46" s="226">
        <f t="shared" si="74"/>
        <v>1827.6543161276809</v>
      </c>
      <c r="U46" s="279">
        <f t="shared" si="75"/>
        <v>1363.4784079730721</v>
      </c>
      <c r="V46" s="219">
        <f>IFERROR(VLOOKUP(B46,F_U!A:C,3,0),0)</f>
        <v>1400</v>
      </c>
      <c r="W46" s="279">
        <f>IFERROR(VLOOKUP(B46,F_U!A:B,2,0),0)</f>
        <v>896</v>
      </c>
      <c r="X46" s="219">
        <f>IFERROR(VLOOKUP(B46,F_U!A:C,3,0),0)</f>
        <v>1400</v>
      </c>
      <c r="Y46" s="279">
        <f>IFERROR(VLOOKUP(B46,F_U!A:B,2,0),0)</f>
        <v>896</v>
      </c>
      <c r="Z46" s="219">
        <f>IFERROR(VLOOKUP(B46,F_U!A:C,3,0),0)</f>
        <v>1400</v>
      </c>
      <c r="AA46" s="279">
        <f>IFERROR(VLOOKUP(B46,F_U!A:B,2,0),0)</f>
        <v>896</v>
      </c>
      <c r="AB46" s="224">
        <f t="shared" si="54"/>
        <v>1.0267856035074441</v>
      </c>
      <c r="AC46" s="225"/>
      <c r="AD46" s="219"/>
      <c r="AE46" s="219"/>
      <c r="AF46" s="219"/>
      <c r="AG46" s="219"/>
      <c r="AH46" s="219"/>
      <c r="AI46" s="219"/>
      <c r="AJ46" s="219"/>
      <c r="AK46" s="224"/>
      <c r="AL46" s="226">
        <f t="shared" ref="AL46" si="84">+AD46+U46+K46</f>
        <v>2726.9568159461442</v>
      </c>
      <c r="AM46" s="223">
        <f t="shared" ref="AM46" si="85">+AI46+Z46+P46</f>
        <v>2800</v>
      </c>
      <c r="AN46" s="224">
        <f t="shared" ref="AN46" si="86">IFERROR((AM46/AL46),0)</f>
        <v>1.0267856035074441</v>
      </c>
      <c r="AP46" s="227"/>
      <c r="AQ46" s="221"/>
      <c r="AR46" s="206"/>
      <c r="AS46" s="219"/>
      <c r="AT46" s="219"/>
      <c r="AU46" s="219"/>
      <c r="AV46" s="219"/>
      <c r="AW46" s="219"/>
      <c r="AX46" s="219"/>
      <c r="AY46" s="224"/>
      <c r="AZ46" s="221"/>
      <c r="BA46" s="206"/>
      <c r="BB46" s="219"/>
      <c r="BC46" s="219"/>
      <c r="BD46" s="219"/>
      <c r="BE46" s="219"/>
      <c r="BF46" s="219"/>
      <c r="BG46" s="219"/>
      <c r="BH46" s="224"/>
      <c r="BI46" s="221"/>
      <c r="BJ46" s="206"/>
      <c r="BK46" s="219"/>
      <c r="BL46" s="219"/>
      <c r="BM46" s="219"/>
      <c r="BN46" s="219"/>
      <c r="BO46" s="219"/>
      <c r="BP46" s="219"/>
      <c r="BQ46" s="224"/>
      <c r="BR46" s="226"/>
      <c r="BS46" s="223"/>
      <c r="BT46" s="224"/>
      <c r="BV46" s="227"/>
      <c r="BW46" s="225"/>
      <c r="BX46" s="219"/>
      <c r="BY46" s="219"/>
      <c r="BZ46" s="219"/>
      <c r="CA46" s="219"/>
      <c r="CB46" s="219"/>
      <c r="CC46" s="219"/>
      <c r="CD46" s="219"/>
      <c r="CE46" s="224"/>
      <c r="CF46" s="225"/>
      <c r="CG46" s="219"/>
      <c r="CH46" s="219"/>
      <c r="CI46" s="219"/>
      <c r="CJ46" s="219"/>
      <c r="CK46" s="219"/>
      <c r="CL46" s="219"/>
      <c r="CM46" s="219"/>
      <c r="CN46" s="224"/>
      <c r="CO46" s="225"/>
      <c r="CP46" s="219"/>
      <c r="CQ46" s="219"/>
      <c r="CR46" s="219"/>
      <c r="CS46" s="219"/>
      <c r="CT46" s="219"/>
      <c r="CU46" s="219"/>
      <c r="CV46" s="219"/>
      <c r="CW46" s="224"/>
      <c r="CX46" s="226"/>
      <c r="CY46" s="223"/>
      <c r="CZ46" s="224"/>
      <c r="DB46" s="227"/>
      <c r="DC46" s="221"/>
      <c r="DD46" s="206"/>
      <c r="DE46" s="219"/>
      <c r="DF46" s="219"/>
      <c r="DG46" s="219"/>
      <c r="DH46" s="219"/>
      <c r="DI46" s="219"/>
      <c r="DJ46" s="219"/>
      <c r="DK46" s="224"/>
      <c r="DL46" s="221"/>
      <c r="DM46" s="206"/>
      <c r="DN46" s="219"/>
      <c r="DO46" s="219"/>
      <c r="DP46" s="219"/>
      <c r="DQ46" s="219"/>
      <c r="DR46" s="219"/>
      <c r="DS46" s="219"/>
      <c r="DT46" s="224"/>
      <c r="DU46" s="221"/>
      <c r="DV46" s="206"/>
      <c r="DW46" s="219"/>
      <c r="DX46" s="219"/>
      <c r="DY46" s="219"/>
      <c r="DZ46" s="219"/>
      <c r="EA46" s="219"/>
      <c r="EB46" s="219"/>
      <c r="EC46" s="224"/>
      <c r="ED46" s="226"/>
      <c r="EE46" s="223"/>
      <c r="EF46" s="224"/>
    </row>
    <row r="47" spans="1:136" s="90" customFormat="1" hidden="1" outlineLevel="1" x14ac:dyDescent="0.25">
      <c r="A47" s="257">
        <v>10</v>
      </c>
      <c r="B47" s="217" t="s">
        <v>232</v>
      </c>
      <c r="C47" s="217" t="s">
        <v>76</v>
      </c>
      <c r="D47" s="217" t="s">
        <v>975</v>
      </c>
      <c r="E47" s="218" t="s">
        <v>457</v>
      </c>
      <c r="F47" s="219" t="s">
        <v>984</v>
      </c>
      <c r="G47" s="220">
        <f>VLOOKUP(B47,'Cons%'!B:S,18,0)</f>
        <v>5.4894365402041512</v>
      </c>
      <c r="H47" s="207"/>
      <c r="I47" s="221">
        <f t="shared" si="73"/>
        <v>228.31173758610871</v>
      </c>
      <c r="J47" s="282">
        <f t="shared" si="50"/>
        <v>3196.364326205522</v>
      </c>
      <c r="K47" s="222">
        <f t="shared" si="51"/>
        <v>2384.5722379440176</v>
      </c>
      <c r="L47" s="219">
        <v>0</v>
      </c>
      <c r="M47" s="279">
        <v>0</v>
      </c>
      <c r="N47" s="223">
        <v>0</v>
      </c>
      <c r="O47" s="281">
        <v>0</v>
      </c>
      <c r="P47" s="223">
        <v>2400</v>
      </c>
      <c r="Q47" s="281">
        <v>2400</v>
      </c>
      <c r="R47" s="278">
        <f t="shared" si="52"/>
        <v>1.0064698237321106</v>
      </c>
      <c r="S47" s="221">
        <f t="shared" si="53"/>
        <v>228.31173758610871</v>
      </c>
      <c r="T47" s="226">
        <f t="shared" si="74"/>
        <v>3196.364326205522</v>
      </c>
      <c r="U47" s="279">
        <f t="shared" si="75"/>
        <v>2384.5722379440176</v>
      </c>
      <c r="V47" s="219">
        <f>IFERROR(VLOOKUP(B47,F_U!A:C,3,0),0)</f>
        <v>2400</v>
      </c>
      <c r="W47" s="279">
        <f>IFERROR(VLOOKUP(B47,F_U!A:B,2,0),0)</f>
        <v>2400</v>
      </c>
      <c r="X47" s="219">
        <f>IFERROR(VLOOKUP(B47,F_U!A:C,3,0),0)</f>
        <v>2400</v>
      </c>
      <c r="Y47" s="279">
        <f>IFERROR(VLOOKUP(B47,F_U!A:B,2,0),0)</f>
        <v>2400</v>
      </c>
      <c r="Z47" s="219">
        <f>IFERROR(VLOOKUP(B47,F_U!A:C,3,0),0)</f>
        <v>2400</v>
      </c>
      <c r="AA47" s="279">
        <f>IFERROR(VLOOKUP(B47,F_U!A:B,2,0),0)</f>
        <v>2400</v>
      </c>
      <c r="AB47" s="224">
        <f t="shared" si="54"/>
        <v>1.0064698237321106</v>
      </c>
      <c r="AC47" s="225"/>
      <c r="AD47" s="219"/>
      <c r="AE47" s="219"/>
      <c r="AF47" s="219"/>
      <c r="AG47" s="219"/>
      <c r="AH47" s="219"/>
      <c r="AI47" s="219"/>
      <c r="AJ47" s="219"/>
      <c r="AK47" s="224">
        <f t="shared" si="55"/>
        <v>0</v>
      </c>
      <c r="AL47" s="226">
        <f t="shared" si="76"/>
        <v>4769.1444758880352</v>
      </c>
      <c r="AM47" s="223">
        <f t="shared" si="56"/>
        <v>4800</v>
      </c>
      <c r="AN47" s="224">
        <f t="shared" si="57"/>
        <v>1.0064698237321106</v>
      </c>
      <c r="AP47" s="227"/>
      <c r="AQ47" s="221"/>
      <c r="AR47" s="206"/>
      <c r="AS47" s="219"/>
      <c r="AT47" s="219"/>
      <c r="AU47" s="219"/>
      <c r="AV47" s="219"/>
      <c r="AW47" s="219"/>
      <c r="AX47" s="219"/>
      <c r="AY47" s="224">
        <f t="shared" si="58"/>
        <v>0</v>
      </c>
      <c r="AZ47" s="221"/>
      <c r="BA47" s="206"/>
      <c r="BB47" s="219"/>
      <c r="BC47" s="219"/>
      <c r="BD47" s="219"/>
      <c r="BE47" s="219"/>
      <c r="BF47" s="219"/>
      <c r="BG47" s="219"/>
      <c r="BH47" s="224">
        <f t="shared" si="59"/>
        <v>0</v>
      </c>
      <c r="BI47" s="221"/>
      <c r="BJ47" s="206"/>
      <c r="BK47" s="219"/>
      <c r="BL47" s="219"/>
      <c r="BM47" s="219"/>
      <c r="BN47" s="219"/>
      <c r="BO47" s="219"/>
      <c r="BP47" s="219"/>
      <c r="BQ47" s="224">
        <f t="shared" si="60"/>
        <v>0</v>
      </c>
      <c r="BR47" s="226">
        <f t="shared" si="77"/>
        <v>0</v>
      </c>
      <c r="BS47" s="223">
        <f t="shared" si="61"/>
        <v>0</v>
      </c>
      <c r="BT47" s="224">
        <f t="shared" si="62"/>
        <v>0</v>
      </c>
      <c r="BV47" s="227"/>
      <c r="BW47" s="225"/>
      <c r="BX47" s="219"/>
      <c r="BY47" s="219"/>
      <c r="BZ47" s="219"/>
      <c r="CA47" s="219"/>
      <c r="CB47" s="219"/>
      <c r="CC47" s="219"/>
      <c r="CD47" s="219"/>
      <c r="CE47" s="224">
        <f t="shared" si="63"/>
        <v>0</v>
      </c>
      <c r="CF47" s="225"/>
      <c r="CG47" s="219"/>
      <c r="CH47" s="219"/>
      <c r="CI47" s="219"/>
      <c r="CJ47" s="219"/>
      <c r="CK47" s="219"/>
      <c r="CL47" s="219"/>
      <c r="CM47" s="219"/>
      <c r="CN47" s="224">
        <f t="shared" si="64"/>
        <v>0</v>
      </c>
      <c r="CO47" s="225"/>
      <c r="CP47" s="219"/>
      <c r="CQ47" s="219"/>
      <c r="CR47" s="219"/>
      <c r="CS47" s="219"/>
      <c r="CT47" s="219"/>
      <c r="CU47" s="219"/>
      <c r="CV47" s="219"/>
      <c r="CW47" s="224">
        <f t="shared" si="65"/>
        <v>0</v>
      </c>
      <c r="CX47" s="226">
        <f t="shared" si="78"/>
        <v>0</v>
      </c>
      <c r="CY47" s="223">
        <f t="shared" si="66"/>
        <v>0</v>
      </c>
      <c r="CZ47" s="224">
        <f t="shared" si="67"/>
        <v>0</v>
      </c>
      <c r="DB47" s="227">
        <v>1.5125635379581413E-2</v>
      </c>
      <c r="DC47" s="221"/>
      <c r="DD47" s="206"/>
      <c r="DE47" s="219"/>
      <c r="DF47" s="219"/>
      <c r="DG47" s="219"/>
      <c r="DH47" s="219"/>
      <c r="DI47" s="219"/>
      <c r="DJ47" s="219"/>
      <c r="DK47" s="224">
        <f t="shared" si="68"/>
        <v>0</v>
      </c>
      <c r="DL47" s="221"/>
      <c r="DM47" s="206"/>
      <c r="DN47" s="219"/>
      <c r="DO47" s="219"/>
      <c r="DP47" s="219"/>
      <c r="DQ47" s="219"/>
      <c r="DR47" s="219"/>
      <c r="DS47" s="219"/>
      <c r="DT47" s="224">
        <f t="shared" si="69"/>
        <v>0</v>
      </c>
      <c r="DU47" s="221"/>
      <c r="DV47" s="206"/>
      <c r="DW47" s="219"/>
      <c r="DX47" s="219"/>
      <c r="DY47" s="219"/>
      <c r="DZ47" s="219"/>
      <c r="EA47" s="219"/>
      <c r="EB47" s="219"/>
      <c r="EC47" s="224">
        <f t="shared" si="70"/>
        <v>0</v>
      </c>
      <c r="ED47" s="226">
        <f t="shared" si="79"/>
        <v>0</v>
      </c>
      <c r="EE47" s="223">
        <f t="shared" si="71"/>
        <v>0</v>
      </c>
      <c r="EF47" s="224">
        <f t="shared" si="72"/>
        <v>0</v>
      </c>
    </row>
    <row r="48" spans="1:136" s="90" customFormat="1" hidden="1" outlineLevel="1" x14ac:dyDescent="0.25">
      <c r="A48" s="257">
        <v>11</v>
      </c>
      <c r="B48" s="217" t="s">
        <v>175</v>
      </c>
      <c r="C48" s="217" t="s">
        <v>561</v>
      </c>
      <c r="D48" s="217" t="s">
        <v>981</v>
      </c>
      <c r="E48" s="218" t="s">
        <v>537</v>
      </c>
      <c r="F48" s="219" t="s">
        <v>984</v>
      </c>
      <c r="G48" s="220">
        <f>VLOOKUP(B48,'Cons%'!B:S,18,0)</f>
        <v>3.9248424991200426</v>
      </c>
      <c r="H48" s="207"/>
      <c r="I48" s="221">
        <f t="shared" si="73"/>
        <v>163.23854081617219</v>
      </c>
      <c r="J48" s="282">
        <f t="shared" si="50"/>
        <v>2285.3395714264107</v>
      </c>
      <c r="K48" s="222">
        <f t="shared" si="51"/>
        <v>1704.9237008497066</v>
      </c>
      <c r="L48" s="219">
        <v>0</v>
      </c>
      <c r="M48" s="279">
        <v>0</v>
      </c>
      <c r="N48" s="223">
        <v>0</v>
      </c>
      <c r="O48" s="281">
        <v>0</v>
      </c>
      <c r="P48" s="223">
        <v>1300</v>
      </c>
      <c r="Q48" s="281">
        <v>1048</v>
      </c>
      <c r="R48" s="278">
        <f t="shared" si="52"/>
        <v>0.76249746504908156</v>
      </c>
      <c r="S48" s="221">
        <f t="shared" si="53"/>
        <v>163.23854081617219</v>
      </c>
      <c r="T48" s="226">
        <f t="shared" si="74"/>
        <v>2285.3395714264107</v>
      </c>
      <c r="U48" s="279">
        <f t="shared" si="75"/>
        <v>1704.9237008497066</v>
      </c>
      <c r="V48" s="219">
        <f>IFERROR(VLOOKUP(B48,F_U!A:C,3,0),0)</f>
        <v>1300</v>
      </c>
      <c r="W48" s="279">
        <f>IFERROR(VLOOKUP(B48,F_U!A:B,2,0),0)</f>
        <v>1048</v>
      </c>
      <c r="X48" s="219">
        <f>IFERROR(VLOOKUP(B48,F_U!A:C,3,0),0)</f>
        <v>1300</v>
      </c>
      <c r="Y48" s="279">
        <f>IFERROR(VLOOKUP(B48,F_U!A:B,2,0),0)</f>
        <v>1048</v>
      </c>
      <c r="Z48" s="219">
        <f>IFERROR(VLOOKUP(B48,F_U!A:C,3,0),0)</f>
        <v>1300</v>
      </c>
      <c r="AA48" s="279">
        <f>IFERROR(VLOOKUP(B48,F_U!A:B,2,0),0)</f>
        <v>1048</v>
      </c>
      <c r="AB48" s="224">
        <f t="shared" si="54"/>
        <v>0.76249746504908156</v>
      </c>
      <c r="AC48" s="225"/>
      <c r="AD48" s="219"/>
      <c r="AE48" s="219"/>
      <c r="AF48" s="219"/>
      <c r="AG48" s="219"/>
      <c r="AH48" s="219"/>
      <c r="AI48" s="219"/>
      <c r="AJ48" s="219"/>
      <c r="AK48" s="224">
        <f t="shared" si="55"/>
        <v>0</v>
      </c>
      <c r="AL48" s="226">
        <f t="shared" si="76"/>
        <v>3409.8474016994132</v>
      </c>
      <c r="AM48" s="223">
        <f t="shared" si="56"/>
        <v>2600</v>
      </c>
      <c r="AN48" s="224">
        <f t="shared" si="57"/>
        <v>0.76249746504908156</v>
      </c>
      <c r="AP48" s="227"/>
      <c r="AQ48" s="221"/>
      <c r="AR48" s="206"/>
      <c r="AS48" s="219"/>
      <c r="AT48" s="219"/>
      <c r="AU48" s="219"/>
      <c r="AV48" s="219"/>
      <c r="AW48" s="219"/>
      <c r="AX48" s="219"/>
      <c r="AY48" s="224">
        <f t="shared" si="58"/>
        <v>0</v>
      </c>
      <c r="AZ48" s="221"/>
      <c r="BA48" s="206"/>
      <c r="BB48" s="219"/>
      <c r="BC48" s="219"/>
      <c r="BD48" s="219"/>
      <c r="BE48" s="219"/>
      <c r="BF48" s="219"/>
      <c r="BG48" s="219"/>
      <c r="BH48" s="224">
        <f t="shared" si="59"/>
        <v>0</v>
      </c>
      <c r="BI48" s="221"/>
      <c r="BJ48" s="206"/>
      <c r="BK48" s="219"/>
      <c r="BL48" s="219"/>
      <c r="BM48" s="219"/>
      <c r="BN48" s="219"/>
      <c r="BO48" s="219"/>
      <c r="BP48" s="219"/>
      <c r="BQ48" s="224">
        <f t="shared" si="60"/>
        <v>0</v>
      </c>
      <c r="BR48" s="226">
        <f t="shared" si="77"/>
        <v>0</v>
      </c>
      <c r="BS48" s="223">
        <f t="shared" si="61"/>
        <v>0</v>
      </c>
      <c r="BT48" s="224">
        <f t="shared" si="62"/>
        <v>0</v>
      </c>
      <c r="BV48" s="227"/>
      <c r="BW48" s="225"/>
      <c r="BX48" s="219"/>
      <c r="BY48" s="219"/>
      <c r="BZ48" s="219"/>
      <c r="CA48" s="219"/>
      <c r="CB48" s="219"/>
      <c r="CC48" s="219"/>
      <c r="CD48" s="219"/>
      <c r="CE48" s="224">
        <f t="shared" si="63"/>
        <v>0</v>
      </c>
      <c r="CF48" s="225"/>
      <c r="CG48" s="219"/>
      <c r="CH48" s="219"/>
      <c r="CI48" s="219"/>
      <c r="CJ48" s="219"/>
      <c r="CK48" s="219"/>
      <c r="CL48" s="219"/>
      <c r="CM48" s="219"/>
      <c r="CN48" s="224">
        <f t="shared" si="64"/>
        <v>0</v>
      </c>
      <c r="CO48" s="225"/>
      <c r="CP48" s="219"/>
      <c r="CQ48" s="219"/>
      <c r="CR48" s="219"/>
      <c r="CS48" s="219"/>
      <c r="CT48" s="219"/>
      <c r="CU48" s="219"/>
      <c r="CV48" s="219"/>
      <c r="CW48" s="224">
        <f t="shared" si="65"/>
        <v>0</v>
      </c>
      <c r="CX48" s="226">
        <f t="shared" si="78"/>
        <v>0</v>
      </c>
      <c r="CY48" s="223">
        <f t="shared" si="66"/>
        <v>0</v>
      </c>
      <c r="CZ48" s="224">
        <f t="shared" si="67"/>
        <v>0</v>
      </c>
      <c r="DB48" s="227">
        <v>1.4961002613545153E-2</v>
      </c>
      <c r="DC48" s="221"/>
      <c r="DD48" s="206"/>
      <c r="DE48" s="219"/>
      <c r="DF48" s="219"/>
      <c r="DG48" s="219"/>
      <c r="DH48" s="219"/>
      <c r="DI48" s="219"/>
      <c r="DJ48" s="219"/>
      <c r="DK48" s="224">
        <f t="shared" si="68"/>
        <v>0</v>
      </c>
      <c r="DL48" s="221"/>
      <c r="DM48" s="206"/>
      <c r="DN48" s="219"/>
      <c r="DO48" s="219"/>
      <c r="DP48" s="219"/>
      <c r="DQ48" s="219"/>
      <c r="DR48" s="219"/>
      <c r="DS48" s="219"/>
      <c r="DT48" s="224">
        <f t="shared" si="69"/>
        <v>0</v>
      </c>
      <c r="DU48" s="221"/>
      <c r="DV48" s="206"/>
      <c r="DW48" s="219"/>
      <c r="DX48" s="219"/>
      <c r="DY48" s="219"/>
      <c r="DZ48" s="219"/>
      <c r="EA48" s="219"/>
      <c r="EB48" s="219"/>
      <c r="EC48" s="224">
        <f t="shared" si="70"/>
        <v>0</v>
      </c>
      <c r="ED48" s="226">
        <f t="shared" si="79"/>
        <v>0</v>
      </c>
      <c r="EE48" s="223">
        <f t="shared" si="71"/>
        <v>0</v>
      </c>
      <c r="EF48" s="224">
        <f t="shared" si="72"/>
        <v>0</v>
      </c>
    </row>
    <row r="49" spans="1:136" s="90" customFormat="1" hidden="1" outlineLevel="1" x14ac:dyDescent="0.25">
      <c r="A49" s="257">
        <v>12</v>
      </c>
      <c r="B49" s="217" t="s">
        <v>365</v>
      </c>
      <c r="C49" s="217" t="s">
        <v>989</v>
      </c>
      <c r="D49" s="217" t="s">
        <v>975</v>
      </c>
      <c r="E49" s="218" t="s">
        <v>457</v>
      </c>
      <c r="F49" s="219" t="s">
        <v>984</v>
      </c>
      <c r="G49" s="220">
        <f>VLOOKUP(B49,'Cons%'!B:S,18,0)</f>
        <v>3.8890600220536551</v>
      </c>
      <c r="H49" s="207"/>
      <c r="I49" s="221">
        <f t="shared" si="73"/>
        <v>161.75030801589679</v>
      </c>
      <c r="J49" s="282">
        <f t="shared" si="50"/>
        <v>2264.5043122225552</v>
      </c>
      <c r="K49" s="222">
        <f t="shared" si="51"/>
        <v>1689.3800469988139</v>
      </c>
      <c r="L49" s="219">
        <v>0</v>
      </c>
      <c r="M49" s="279">
        <v>0</v>
      </c>
      <c r="N49" s="223">
        <v>0</v>
      </c>
      <c r="O49" s="281">
        <v>0</v>
      </c>
      <c r="P49" s="223">
        <v>600</v>
      </c>
      <c r="Q49" s="281">
        <v>600</v>
      </c>
      <c r="R49" s="278">
        <f t="shared" si="52"/>
        <v>0.35515987125922366</v>
      </c>
      <c r="S49" s="221">
        <f t="shared" si="53"/>
        <v>161.75030801589679</v>
      </c>
      <c r="T49" s="226">
        <f t="shared" si="74"/>
        <v>2264.5043122225552</v>
      </c>
      <c r="U49" s="279">
        <f t="shared" si="75"/>
        <v>1689.3800469988139</v>
      </c>
      <c r="V49" s="219">
        <f>IFERROR(VLOOKUP(B49,F_U!A:C,3,0),0)</f>
        <v>600</v>
      </c>
      <c r="W49" s="279">
        <f>IFERROR(VLOOKUP(B49,F_U!A:B,2,0),0)</f>
        <v>600</v>
      </c>
      <c r="X49" s="219">
        <f>IFERROR(VLOOKUP(B49,F_U!A:C,3,0),0)</f>
        <v>600</v>
      </c>
      <c r="Y49" s="279">
        <f>IFERROR(VLOOKUP(B49,F_U!A:B,2,0),0)</f>
        <v>600</v>
      </c>
      <c r="Z49" s="219">
        <f>IFERROR(VLOOKUP(B49,F_U!A:C,3,0),0)</f>
        <v>600</v>
      </c>
      <c r="AA49" s="279">
        <f>IFERROR(VLOOKUP(B49,F_U!A:B,2,0),0)</f>
        <v>600</v>
      </c>
      <c r="AB49" s="224">
        <f t="shared" si="54"/>
        <v>0.35515987125922366</v>
      </c>
      <c r="AC49" s="225"/>
      <c r="AD49" s="219"/>
      <c r="AE49" s="219"/>
      <c r="AF49" s="219"/>
      <c r="AG49" s="219"/>
      <c r="AH49" s="219"/>
      <c r="AI49" s="219"/>
      <c r="AJ49" s="219"/>
      <c r="AK49" s="224">
        <f t="shared" si="55"/>
        <v>0</v>
      </c>
      <c r="AL49" s="226">
        <f t="shared" si="76"/>
        <v>3378.7600939976278</v>
      </c>
      <c r="AM49" s="223">
        <f t="shared" si="56"/>
        <v>1200</v>
      </c>
      <c r="AN49" s="224">
        <f t="shared" si="57"/>
        <v>0.35515987125922366</v>
      </c>
      <c r="AP49" s="227"/>
      <c r="AQ49" s="221"/>
      <c r="AR49" s="206"/>
      <c r="AS49" s="219"/>
      <c r="AT49" s="219"/>
      <c r="AU49" s="219"/>
      <c r="AV49" s="219"/>
      <c r="AW49" s="219"/>
      <c r="AX49" s="219"/>
      <c r="AY49" s="224">
        <f t="shared" si="58"/>
        <v>0</v>
      </c>
      <c r="AZ49" s="221"/>
      <c r="BA49" s="206"/>
      <c r="BB49" s="219"/>
      <c r="BC49" s="219"/>
      <c r="BD49" s="219"/>
      <c r="BE49" s="219"/>
      <c r="BF49" s="219"/>
      <c r="BG49" s="219"/>
      <c r="BH49" s="224">
        <f t="shared" si="59"/>
        <v>0</v>
      </c>
      <c r="BI49" s="221"/>
      <c r="BJ49" s="206"/>
      <c r="BK49" s="219"/>
      <c r="BL49" s="219"/>
      <c r="BM49" s="219"/>
      <c r="BN49" s="219"/>
      <c r="BO49" s="219"/>
      <c r="BP49" s="219"/>
      <c r="BQ49" s="224">
        <f t="shared" si="60"/>
        <v>0</v>
      </c>
      <c r="BR49" s="226">
        <f t="shared" si="77"/>
        <v>0</v>
      </c>
      <c r="BS49" s="223">
        <f t="shared" si="61"/>
        <v>0</v>
      </c>
      <c r="BT49" s="224">
        <f t="shared" si="62"/>
        <v>0</v>
      </c>
      <c r="BV49" s="227"/>
      <c r="BW49" s="225"/>
      <c r="BX49" s="219"/>
      <c r="BY49" s="219"/>
      <c r="BZ49" s="219"/>
      <c r="CA49" s="219"/>
      <c r="CB49" s="219"/>
      <c r="CC49" s="219"/>
      <c r="CD49" s="219"/>
      <c r="CE49" s="224">
        <f t="shared" si="63"/>
        <v>0</v>
      </c>
      <c r="CF49" s="225"/>
      <c r="CG49" s="219"/>
      <c r="CH49" s="219"/>
      <c r="CI49" s="219"/>
      <c r="CJ49" s="219"/>
      <c r="CK49" s="219"/>
      <c r="CL49" s="219"/>
      <c r="CM49" s="219"/>
      <c r="CN49" s="224">
        <f t="shared" si="64"/>
        <v>0</v>
      </c>
      <c r="CO49" s="225"/>
      <c r="CP49" s="219"/>
      <c r="CQ49" s="219"/>
      <c r="CR49" s="219"/>
      <c r="CS49" s="219"/>
      <c r="CT49" s="219"/>
      <c r="CU49" s="219"/>
      <c r="CV49" s="219"/>
      <c r="CW49" s="224">
        <f t="shared" si="65"/>
        <v>0</v>
      </c>
      <c r="CX49" s="226">
        <f t="shared" si="78"/>
        <v>0</v>
      </c>
      <c r="CY49" s="223">
        <f t="shared" si="66"/>
        <v>0</v>
      </c>
      <c r="CZ49" s="224">
        <f t="shared" si="67"/>
        <v>0</v>
      </c>
      <c r="DB49" s="227">
        <v>1.2765213096536531E-2</v>
      </c>
      <c r="DC49" s="221"/>
      <c r="DD49" s="206"/>
      <c r="DE49" s="219"/>
      <c r="DF49" s="219"/>
      <c r="DG49" s="219"/>
      <c r="DH49" s="219"/>
      <c r="DI49" s="219"/>
      <c r="DJ49" s="219"/>
      <c r="DK49" s="224">
        <f t="shared" si="68"/>
        <v>0</v>
      </c>
      <c r="DL49" s="221"/>
      <c r="DM49" s="206"/>
      <c r="DN49" s="219"/>
      <c r="DO49" s="219"/>
      <c r="DP49" s="219"/>
      <c r="DQ49" s="219"/>
      <c r="DR49" s="219"/>
      <c r="DS49" s="219"/>
      <c r="DT49" s="224">
        <f t="shared" si="69"/>
        <v>0</v>
      </c>
      <c r="DU49" s="221"/>
      <c r="DV49" s="206"/>
      <c r="DW49" s="219"/>
      <c r="DX49" s="219"/>
      <c r="DY49" s="219"/>
      <c r="DZ49" s="219"/>
      <c r="EA49" s="219"/>
      <c r="EB49" s="219"/>
      <c r="EC49" s="224">
        <f t="shared" si="70"/>
        <v>0</v>
      </c>
      <c r="ED49" s="226">
        <f t="shared" si="79"/>
        <v>0</v>
      </c>
      <c r="EE49" s="223">
        <f t="shared" si="71"/>
        <v>0</v>
      </c>
      <c r="EF49" s="224">
        <f t="shared" si="72"/>
        <v>0</v>
      </c>
    </row>
    <row r="50" spans="1:136" s="90" customFormat="1" hidden="1" outlineLevel="1" x14ac:dyDescent="0.25">
      <c r="A50" s="257">
        <v>13</v>
      </c>
      <c r="B50" s="217" t="s">
        <v>203</v>
      </c>
      <c r="C50" s="217" t="s">
        <v>77</v>
      </c>
      <c r="D50" s="217" t="s">
        <v>154</v>
      </c>
      <c r="E50" s="218" t="s">
        <v>458</v>
      </c>
      <c r="F50" s="219" t="s">
        <v>984</v>
      </c>
      <c r="G50" s="220">
        <f>VLOOKUP(B50,'Cons%'!B:S,18,0)</f>
        <v>3.1248634942966453</v>
      </c>
      <c r="H50" s="207"/>
      <c r="I50" s="221">
        <f t="shared" si="73"/>
        <v>129.96652914685734</v>
      </c>
      <c r="J50" s="282">
        <f t="shared" si="50"/>
        <v>1819.5314080560026</v>
      </c>
      <c r="K50" s="222">
        <f t="shared" si="51"/>
        <v>1357.4185039376364</v>
      </c>
      <c r="L50" s="219">
        <v>0</v>
      </c>
      <c r="M50" s="279">
        <v>0</v>
      </c>
      <c r="N50" s="223">
        <v>2856</v>
      </c>
      <c r="O50" s="281">
        <v>1827.84</v>
      </c>
      <c r="P50" s="223">
        <v>2856</v>
      </c>
      <c r="Q50" s="281">
        <v>1827.84</v>
      </c>
      <c r="R50" s="278">
        <f t="shared" si="52"/>
        <v>2.1039937143299858</v>
      </c>
      <c r="S50" s="221">
        <f t="shared" si="53"/>
        <v>129.96652914685734</v>
      </c>
      <c r="T50" s="226">
        <f t="shared" si="74"/>
        <v>1819.5314080560026</v>
      </c>
      <c r="U50" s="279">
        <f t="shared" si="75"/>
        <v>1357.4185039376364</v>
      </c>
      <c r="V50" s="219">
        <f>IFERROR(VLOOKUP(B50,F_U!A:C,3,0),0)</f>
        <v>2856</v>
      </c>
      <c r="W50" s="279">
        <f>IFERROR(VLOOKUP(B50,F_U!A:B,2,0),0)</f>
        <v>1827.84</v>
      </c>
      <c r="X50" s="219">
        <f>IFERROR(VLOOKUP(B50,F_U!A:C,3,0),0)</f>
        <v>2856</v>
      </c>
      <c r="Y50" s="279">
        <f>IFERROR(VLOOKUP(B50,F_U!A:B,2,0),0)</f>
        <v>1827.84</v>
      </c>
      <c r="Z50" s="219">
        <f>IFERROR(VLOOKUP(B50,F_U!A:C,3,0),0)</f>
        <v>2856</v>
      </c>
      <c r="AA50" s="279">
        <f>IFERROR(VLOOKUP(B50,F_U!A:B,2,0),0)</f>
        <v>1827.84</v>
      </c>
      <c r="AB50" s="224">
        <f t="shared" si="54"/>
        <v>2.1039937143299858</v>
      </c>
      <c r="AC50" s="225"/>
      <c r="AD50" s="219"/>
      <c r="AE50" s="219"/>
      <c r="AF50" s="219"/>
      <c r="AG50" s="219"/>
      <c r="AH50" s="219"/>
      <c r="AI50" s="219"/>
      <c r="AJ50" s="219"/>
      <c r="AK50" s="224">
        <f t="shared" si="55"/>
        <v>0</v>
      </c>
      <c r="AL50" s="226">
        <f t="shared" si="76"/>
        <v>2714.8370078752728</v>
      </c>
      <c r="AM50" s="223">
        <f t="shared" si="56"/>
        <v>5712</v>
      </c>
      <c r="AN50" s="224">
        <f t="shared" si="57"/>
        <v>2.1039937143299858</v>
      </c>
      <c r="AP50" s="227"/>
      <c r="AQ50" s="221"/>
      <c r="AR50" s="206"/>
      <c r="AS50" s="219"/>
      <c r="AT50" s="219"/>
      <c r="AU50" s="219"/>
      <c r="AV50" s="219"/>
      <c r="AW50" s="219"/>
      <c r="AX50" s="219"/>
      <c r="AY50" s="224">
        <f t="shared" si="58"/>
        <v>0</v>
      </c>
      <c r="AZ50" s="221"/>
      <c r="BA50" s="206"/>
      <c r="BB50" s="219"/>
      <c r="BC50" s="219"/>
      <c r="BD50" s="219"/>
      <c r="BE50" s="219"/>
      <c r="BF50" s="219"/>
      <c r="BG50" s="219"/>
      <c r="BH50" s="224">
        <f t="shared" si="59"/>
        <v>0</v>
      </c>
      <c r="BI50" s="221"/>
      <c r="BJ50" s="206"/>
      <c r="BK50" s="219"/>
      <c r="BL50" s="219"/>
      <c r="BM50" s="219"/>
      <c r="BN50" s="219"/>
      <c r="BO50" s="219"/>
      <c r="BP50" s="219"/>
      <c r="BQ50" s="224">
        <f t="shared" si="60"/>
        <v>0</v>
      </c>
      <c r="BR50" s="226">
        <f t="shared" si="77"/>
        <v>0</v>
      </c>
      <c r="BS50" s="223">
        <f t="shared" si="61"/>
        <v>0</v>
      </c>
      <c r="BT50" s="224">
        <f t="shared" si="62"/>
        <v>0</v>
      </c>
      <c r="BV50" s="227"/>
      <c r="BW50" s="225"/>
      <c r="BX50" s="219"/>
      <c r="BY50" s="219"/>
      <c r="BZ50" s="219"/>
      <c r="CA50" s="219"/>
      <c r="CB50" s="219"/>
      <c r="CC50" s="219"/>
      <c r="CD50" s="219"/>
      <c r="CE50" s="224">
        <f t="shared" si="63"/>
        <v>0</v>
      </c>
      <c r="CF50" s="225"/>
      <c r="CG50" s="219"/>
      <c r="CH50" s="219"/>
      <c r="CI50" s="219"/>
      <c r="CJ50" s="219"/>
      <c r="CK50" s="219"/>
      <c r="CL50" s="219"/>
      <c r="CM50" s="219"/>
      <c r="CN50" s="224">
        <f t="shared" si="64"/>
        <v>0</v>
      </c>
      <c r="CO50" s="225"/>
      <c r="CP50" s="219"/>
      <c r="CQ50" s="219"/>
      <c r="CR50" s="219"/>
      <c r="CS50" s="219"/>
      <c r="CT50" s="219"/>
      <c r="CU50" s="219"/>
      <c r="CV50" s="219"/>
      <c r="CW50" s="224">
        <f t="shared" si="65"/>
        <v>0</v>
      </c>
      <c r="CX50" s="226">
        <f t="shared" si="78"/>
        <v>0</v>
      </c>
      <c r="CY50" s="223">
        <f t="shared" si="66"/>
        <v>0</v>
      </c>
      <c r="CZ50" s="224">
        <f t="shared" si="67"/>
        <v>0</v>
      </c>
      <c r="DB50" s="227">
        <v>1.2388615644228586E-2</v>
      </c>
      <c r="DC50" s="221"/>
      <c r="DD50" s="206"/>
      <c r="DE50" s="219"/>
      <c r="DF50" s="219"/>
      <c r="DG50" s="219"/>
      <c r="DH50" s="219"/>
      <c r="DI50" s="219"/>
      <c r="DJ50" s="219"/>
      <c r="DK50" s="224">
        <f t="shared" si="68"/>
        <v>0</v>
      </c>
      <c r="DL50" s="221"/>
      <c r="DM50" s="206"/>
      <c r="DN50" s="219"/>
      <c r="DO50" s="219"/>
      <c r="DP50" s="219"/>
      <c r="DQ50" s="219"/>
      <c r="DR50" s="219"/>
      <c r="DS50" s="219"/>
      <c r="DT50" s="224">
        <f t="shared" si="69"/>
        <v>0</v>
      </c>
      <c r="DU50" s="221"/>
      <c r="DV50" s="206"/>
      <c r="DW50" s="219"/>
      <c r="DX50" s="219"/>
      <c r="DY50" s="219"/>
      <c r="DZ50" s="219"/>
      <c r="EA50" s="219"/>
      <c r="EB50" s="219"/>
      <c r="EC50" s="224">
        <f t="shared" si="70"/>
        <v>0</v>
      </c>
      <c r="ED50" s="226">
        <f t="shared" si="79"/>
        <v>0</v>
      </c>
      <c r="EE50" s="223">
        <f t="shared" si="71"/>
        <v>0</v>
      </c>
      <c r="EF50" s="224">
        <f t="shared" si="72"/>
        <v>0</v>
      </c>
    </row>
    <row r="51" spans="1:136" s="90" customFormat="1" hidden="1" outlineLevel="1" x14ac:dyDescent="0.25">
      <c r="A51" s="257">
        <v>14</v>
      </c>
      <c r="B51" s="217" t="s">
        <v>403</v>
      </c>
      <c r="C51" s="217" t="s">
        <v>550</v>
      </c>
      <c r="D51" s="217" t="s">
        <v>975</v>
      </c>
      <c r="E51" s="218" t="s">
        <v>457</v>
      </c>
      <c r="F51" s="219" t="s">
        <v>984</v>
      </c>
      <c r="G51" s="220">
        <f>VLOOKUP(B51,'Cons%'!B:S,18,0)</f>
        <v>4.0330269473266078</v>
      </c>
      <c r="H51" s="207"/>
      <c r="I51" s="221">
        <f t="shared" si="73"/>
        <v>167.73805168016276</v>
      </c>
      <c r="J51" s="282">
        <f t="shared" si="50"/>
        <v>2348.3327235222787</v>
      </c>
      <c r="K51" s="222">
        <f t="shared" si="51"/>
        <v>1751.9182566445122</v>
      </c>
      <c r="L51" s="219">
        <v>0</v>
      </c>
      <c r="M51" s="279">
        <v>0</v>
      </c>
      <c r="N51" s="223">
        <v>1660</v>
      </c>
      <c r="O51" s="281">
        <v>1408</v>
      </c>
      <c r="P51" s="223">
        <v>1660</v>
      </c>
      <c r="Q51" s="281">
        <v>1408</v>
      </c>
      <c r="R51" s="278">
        <f t="shared" si="52"/>
        <v>0.94753279367008525</v>
      </c>
      <c r="S51" s="221">
        <f t="shared" si="53"/>
        <v>167.73805168016276</v>
      </c>
      <c r="T51" s="226">
        <f t="shared" si="74"/>
        <v>2348.3327235222787</v>
      </c>
      <c r="U51" s="279">
        <f t="shared" si="75"/>
        <v>1751.9182566445122</v>
      </c>
      <c r="V51" s="219">
        <f>IFERROR(VLOOKUP(B51,F_U!A:C,3,0),0)</f>
        <v>1660</v>
      </c>
      <c r="W51" s="279">
        <f>IFERROR(VLOOKUP(B51,F_U!A:B,2,0),0)</f>
        <v>1408</v>
      </c>
      <c r="X51" s="219">
        <f>IFERROR(VLOOKUP(B51,F_U!A:C,3,0),0)</f>
        <v>1660</v>
      </c>
      <c r="Y51" s="279">
        <f>IFERROR(VLOOKUP(B51,F_U!A:B,2,0),0)</f>
        <v>1408</v>
      </c>
      <c r="Z51" s="219">
        <f>IFERROR(VLOOKUP(B51,F_U!A:C,3,0),0)</f>
        <v>1660</v>
      </c>
      <c r="AA51" s="279">
        <f>IFERROR(VLOOKUP(B51,F_U!A:B,2,0),0)</f>
        <v>1408</v>
      </c>
      <c r="AB51" s="224">
        <f t="shared" si="54"/>
        <v>0.94753279367008525</v>
      </c>
      <c r="AC51" s="225"/>
      <c r="AD51" s="206"/>
      <c r="AE51" s="219"/>
      <c r="AF51" s="219"/>
      <c r="AG51" s="219"/>
      <c r="AH51" s="219"/>
      <c r="AI51" s="219"/>
      <c r="AJ51" s="219"/>
      <c r="AK51" s="224">
        <f t="shared" si="55"/>
        <v>0</v>
      </c>
      <c r="AL51" s="226">
        <f t="shared" si="76"/>
        <v>3503.8365132890244</v>
      </c>
      <c r="AM51" s="223">
        <f t="shared" si="56"/>
        <v>3320</v>
      </c>
      <c r="AN51" s="224">
        <f t="shared" si="57"/>
        <v>0.94753279367008525</v>
      </c>
      <c r="AP51" s="227"/>
      <c r="AQ51" s="221"/>
      <c r="AR51" s="206"/>
      <c r="AS51" s="219"/>
      <c r="AT51" s="219"/>
      <c r="AU51" s="219"/>
      <c r="AV51" s="219"/>
      <c r="AW51" s="219"/>
      <c r="AX51" s="219"/>
      <c r="AY51" s="224">
        <f t="shared" si="58"/>
        <v>0</v>
      </c>
      <c r="AZ51" s="221"/>
      <c r="BA51" s="206"/>
      <c r="BB51" s="219"/>
      <c r="BC51" s="219"/>
      <c r="BD51" s="219"/>
      <c r="BE51" s="219"/>
      <c r="BF51" s="219"/>
      <c r="BG51" s="219"/>
      <c r="BH51" s="224">
        <f t="shared" si="59"/>
        <v>0</v>
      </c>
      <c r="BI51" s="221"/>
      <c r="BJ51" s="206"/>
      <c r="BK51" s="219"/>
      <c r="BL51" s="219"/>
      <c r="BM51" s="219"/>
      <c r="BN51" s="219"/>
      <c r="BO51" s="219"/>
      <c r="BP51" s="219"/>
      <c r="BQ51" s="224">
        <f t="shared" si="60"/>
        <v>0</v>
      </c>
      <c r="BR51" s="226">
        <f t="shared" si="77"/>
        <v>0</v>
      </c>
      <c r="BS51" s="223">
        <f t="shared" si="61"/>
        <v>0</v>
      </c>
      <c r="BT51" s="224">
        <f t="shared" si="62"/>
        <v>0</v>
      </c>
      <c r="BV51" s="227"/>
      <c r="BW51" s="225"/>
      <c r="BX51" s="219"/>
      <c r="BY51" s="219"/>
      <c r="BZ51" s="219"/>
      <c r="CA51" s="219"/>
      <c r="CB51" s="219"/>
      <c r="CC51" s="219"/>
      <c r="CD51" s="219"/>
      <c r="CE51" s="224">
        <f t="shared" si="63"/>
        <v>0</v>
      </c>
      <c r="CF51" s="225"/>
      <c r="CG51" s="219"/>
      <c r="CH51" s="219"/>
      <c r="CI51" s="219"/>
      <c r="CJ51" s="219"/>
      <c r="CK51" s="219"/>
      <c r="CL51" s="219"/>
      <c r="CM51" s="219"/>
      <c r="CN51" s="224">
        <f t="shared" si="64"/>
        <v>0</v>
      </c>
      <c r="CO51" s="225"/>
      <c r="CP51" s="219"/>
      <c r="CQ51" s="219"/>
      <c r="CR51" s="219"/>
      <c r="CS51" s="219"/>
      <c r="CT51" s="219"/>
      <c r="CU51" s="219"/>
      <c r="CV51" s="219"/>
      <c r="CW51" s="224">
        <f t="shared" si="65"/>
        <v>0</v>
      </c>
      <c r="CX51" s="226">
        <f t="shared" si="78"/>
        <v>0</v>
      </c>
      <c r="CY51" s="223">
        <f t="shared" si="66"/>
        <v>0</v>
      </c>
      <c r="CZ51" s="224">
        <f t="shared" si="67"/>
        <v>0</v>
      </c>
      <c r="DB51" s="227">
        <v>1.2244561973946858E-2</v>
      </c>
      <c r="DC51" s="221"/>
      <c r="DD51" s="206"/>
      <c r="DE51" s="219"/>
      <c r="DF51" s="219"/>
      <c r="DG51" s="219"/>
      <c r="DH51" s="219"/>
      <c r="DI51" s="219"/>
      <c r="DJ51" s="219"/>
      <c r="DK51" s="224">
        <f t="shared" si="68"/>
        <v>0</v>
      </c>
      <c r="DL51" s="221"/>
      <c r="DM51" s="206"/>
      <c r="DN51" s="219"/>
      <c r="DO51" s="219"/>
      <c r="DP51" s="219"/>
      <c r="DQ51" s="219"/>
      <c r="DR51" s="219"/>
      <c r="DS51" s="219"/>
      <c r="DT51" s="224">
        <f t="shared" si="69"/>
        <v>0</v>
      </c>
      <c r="DU51" s="221"/>
      <c r="DV51" s="206"/>
      <c r="DW51" s="219"/>
      <c r="DX51" s="219"/>
      <c r="DY51" s="219"/>
      <c r="DZ51" s="219"/>
      <c r="EA51" s="219"/>
      <c r="EB51" s="219"/>
      <c r="EC51" s="224">
        <f t="shared" si="70"/>
        <v>0</v>
      </c>
      <c r="ED51" s="226">
        <f t="shared" si="79"/>
        <v>0</v>
      </c>
      <c r="EE51" s="223">
        <f t="shared" si="71"/>
        <v>0</v>
      </c>
      <c r="EF51" s="224">
        <f t="shared" si="72"/>
        <v>0</v>
      </c>
    </row>
    <row r="52" spans="1:136" s="90" customFormat="1" hidden="1" outlineLevel="1" x14ac:dyDescent="0.25">
      <c r="A52" s="257">
        <v>15</v>
      </c>
      <c r="B52" s="217" t="s">
        <v>364</v>
      </c>
      <c r="C52" s="217" t="s">
        <v>562</v>
      </c>
      <c r="D52" s="217" t="s">
        <v>975</v>
      </c>
      <c r="E52" s="218" t="s">
        <v>457</v>
      </c>
      <c r="F52" s="219" t="s">
        <v>984</v>
      </c>
      <c r="G52" s="220">
        <f>VLOOKUP(B52,'Cons%'!B:S,18,0)</f>
        <v>3.918285865895403</v>
      </c>
      <c r="H52" s="207"/>
      <c r="I52" s="221">
        <f t="shared" si="73"/>
        <v>162.96584318805159</v>
      </c>
      <c r="J52" s="282">
        <f t="shared" si="50"/>
        <v>2281.5218046327223</v>
      </c>
      <c r="K52" s="222">
        <f t="shared" si="51"/>
        <v>1702.0755459530521</v>
      </c>
      <c r="L52" s="219">
        <v>0</v>
      </c>
      <c r="M52" s="279">
        <v>0</v>
      </c>
      <c r="N52" s="223">
        <v>0</v>
      </c>
      <c r="O52" s="281">
        <v>0</v>
      </c>
      <c r="P52" s="223">
        <v>0</v>
      </c>
      <c r="Q52" s="281">
        <v>0</v>
      </c>
      <c r="R52" s="278">
        <f t="shared" si="52"/>
        <v>0</v>
      </c>
      <c r="S52" s="221">
        <f t="shared" si="53"/>
        <v>162.96584318805159</v>
      </c>
      <c r="T52" s="226">
        <f t="shared" si="74"/>
        <v>2281.5218046327223</v>
      </c>
      <c r="U52" s="279">
        <f t="shared" si="75"/>
        <v>1702.0755459530521</v>
      </c>
      <c r="V52" s="219">
        <f>IFERROR(VLOOKUP(B52,F_U!A:C,3,0),0)</f>
        <v>1400</v>
      </c>
      <c r="W52" s="279">
        <f>IFERROR(VLOOKUP(B52,F_U!A:B,2,0),0)</f>
        <v>896</v>
      </c>
      <c r="X52" s="219">
        <f>IFERROR(VLOOKUP(B52,F_U!A:C,3,0),0)</f>
        <v>1400</v>
      </c>
      <c r="Y52" s="279">
        <f>IFERROR(VLOOKUP(B52,F_U!A:B,2,0),0)</f>
        <v>896</v>
      </c>
      <c r="Z52" s="219">
        <f>IFERROR(VLOOKUP(B52,F_U!A:C,3,0),0)</f>
        <v>1400</v>
      </c>
      <c r="AA52" s="279">
        <f>IFERROR(VLOOKUP(B52,F_U!A:B,2,0),0)</f>
        <v>896</v>
      </c>
      <c r="AB52" s="224">
        <f t="shared" si="54"/>
        <v>0.82252518305002176</v>
      </c>
      <c r="AC52" s="225"/>
      <c r="AD52" s="206"/>
      <c r="AE52" s="219"/>
      <c r="AF52" s="219"/>
      <c r="AG52" s="219"/>
      <c r="AH52" s="219"/>
      <c r="AI52" s="219"/>
      <c r="AJ52" s="219"/>
      <c r="AK52" s="224">
        <f t="shared" si="55"/>
        <v>0</v>
      </c>
      <c r="AL52" s="226">
        <f t="shared" si="76"/>
        <v>3404.1510919061043</v>
      </c>
      <c r="AM52" s="223">
        <f t="shared" si="56"/>
        <v>1400</v>
      </c>
      <c r="AN52" s="224">
        <f t="shared" si="57"/>
        <v>0.41126259152501088</v>
      </c>
      <c r="AP52" s="227"/>
      <c r="AQ52" s="221"/>
      <c r="AR52" s="206"/>
      <c r="AS52" s="219"/>
      <c r="AT52" s="219"/>
      <c r="AU52" s="219"/>
      <c r="AV52" s="219"/>
      <c r="AW52" s="219"/>
      <c r="AX52" s="219"/>
      <c r="AY52" s="224">
        <f t="shared" si="58"/>
        <v>0</v>
      </c>
      <c r="AZ52" s="221"/>
      <c r="BA52" s="206"/>
      <c r="BB52" s="219"/>
      <c r="BC52" s="219"/>
      <c r="BD52" s="219"/>
      <c r="BE52" s="219"/>
      <c r="BF52" s="219"/>
      <c r="BG52" s="219"/>
      <c r="BH52" s="224">
        <f t="shared" si="59"/>
        <v>0</v>
      </c>
      <c r="BI52" s="221"/>
      <c r="BJ52" s="206"/>
      <c r="BK52" s="219"/>
      <c r="BL52" s="219"/>
      <c r="BM52" s="219"/>
      <c r="BN52" s="219"/>
      <c r="BO52" s="219"/>
      <c r="BP52" s="219"/>
      <c r="BQ52" s="224">
        <f t="shared" si="60"/>
        <v>0</v>
      </c>
      <c r="BR52" s="226">
        <f t="shared" si="77"/>
        <v>0</v>
      </c>
      <c r="BS52" s="223">
        <f t="shared" si="61"/>
        <v>0</v>
      </c>
      <c r="BT52" s="224">
        <f t="shared" si="62"/>
        <v>0</v>
      </c>
      <c r="BV52" s="227"/>
      <c r="BW52" s="225"/>
      <c r="BX52" s="219"/>
      <c r="BY52" s="219"/>
      <c r="BZ52" s="219"/>
      <c r="CA52" s="219"/>
      <c r="CB52" s="219"/>
      <c r="CC52" s="219"/>
      <c r="CD52" s="219"/>
      <c r="CE52" s="224">
        <f t="shared" si="63"/>
        <v>0</v>
      </c>
      <c r="CF52" s="225"/>
      <c r="CG52" s="219"/>
      <c r="CH52" s="219"/>
      <c r="CI52" s="219"/>
      <c r="CJ52" s="219"/>
      <c r="CK52" s="219"/>
      <c r="CL52" s="219"/>
      <c r="CM52" s="219"/>
      <c r="CN52" s="224">
        <f t="shared" si="64"/>
        <v>0</v>
      </c>
      <c r="CO52" s="225"/>
      <c r="CP52" s="219"/>
      <c r="CQ52" s="219"/>
      <c r="CR52" s="219"/>
      <c r="CS52" s="219"/>
      <c r="CT52" s="219"/>
      <c r="CU52" s="219"/>
      <c r="CV52" s="219"/>
      <c r="CW52" s="224">
        <f t="shared" si="65"/>
        <v>0</v>
      </c>
      <c r="CX52" s="226">
        <f t="shared" si="78"/>
        <v>0</v>
      </c>
      <c r="CY52" s="223">
        <f t="shared" si="66"/>
        <v>0</v>
      </c>
      <c r="CZ52" s="224">
        <f t="shared" si="67"/>
        <v>0</v>
      </c>
      <c r="DB52" s="227">
        <v>1.1740374127960812E-2</v>
      </c>
      <c r="DC52" s="221"/>
      <c r="DD52" s="206"/>
      <c r="DE52" s="219"/>
      <c r="DF52" s="219"/>
      <c r="DG52" s="219"/>
      <c r="DH52" s="219"/>
      <c r="DI52" s="219"/>
      <c r="DJ52" s="219"/>
      <c r="DK52" s="224">
        <f t="shared" si="68"/>
        <v>0</v>
      </c>
      <c r="DL52" s="221"/>
      <c r="DM52" s="206"/>
      <c r="DN52" s="219"/>
      <c r="DO52" s="219"/>
      <c r="DP52" s="219"/>
      <c r="DQ52" s="219"/>
      <c r="DR52" s="219"/>
      <c r="DS52" s="219"/>
      <c r="DT52" s="224">
        <f t="shared" si="69"/>
        <v>0</v>
      </c>
      <c r="DU52" s="221"/>
      <c r="DV52" s="206"/>
      <c r="DW52" s="219"/>
      <c r="DX52" s="219"/>
      <c r="DY52" s="219"/>
      <c r="DZ52" s="219"/>
      <c r="EA52" s="219"/>
      <c r="EB52" s="219"/>
      <c r="EC52" s="224">
        <f t="shared" si="70"/>
        <v>0</v>
      </c>
      <c r="ED52" s="226">
        <f t="shared" si="79"/>
        <v>0</v>
      </c>
      <c r="EE52" s="223">
        <f t="shared" si="71"/>
        <v>0</v>
      </c>
      <c r="EF52" s="224">
        <f t="shared" si="72"/>
        <v>0</v>
      </c>
    </row>
    <row r="53" spans="1:136" s="90" customFormat="1" hidden="1" outlineLevel="1" x14ac:dyDescent="0.25">
      <c r="A53" s="257">
        <v>16</v>
      </c>
      <c r="B53" s="217" t="s">
        <v>305</v>
      </c>
      <c r="C53" s="217" t="s">
        <v>559</v>
      </c>
      <c r="D53" s="217" t="s">
        <v>154</v>
      </c>
      <c r="E53" s="218" t="s">
        <v>458</v>
      </c>
      <c r="F53" s="219" t="s">
        <v>984</v>
      </c>
      <c r="G53" s="220">
        <f>VLOOKUP(B53,'Cons%'!B:S,18,0)</f>
        <v>3.3777123819489963</v>
      </c>
      <c r="H53" s="207"/>
      <c r="I53" s="221">
        <f t="shared" si="73"/>
        <v>140.48279406108404</v>
      </c>
      <c r="J53" s="282">
        <f t="shared" si="50"/>
        <v>1966.7591168551767</v>
      </c>
      <c r="K53" s="222">
        <f t="shared" si="51"/>
        <v>1467.2542645799115</v>
      </c>
      <c r="L53" s="219">
        <v>0</v>
      </c>
      <c r="M53" s="279">
        <v>0</v>
      </c>
      <c r="N53" s="223">
        <v>2600</v>
      </c>
      <c r="O53" s="281">
        <v>2096</v>
      </c>
      <c r="P53" s="223">
        <v>2600</v>
      </c>
      <c r="Q53" s="281">
        <v>2096</v>
      </c>
      <c r="R53" s="278">
        <f t="shared" si="52"/>
        <v>1.7720173406648125</v>
      </c>
      <c r="S53" s="221">
        <f t="shared" si="53"/>
        <v>140.48279406108404</v>
      </c>
      <c r="T53" s="226">
        <f t="shared" si="74"/>
        <v>1966.7591168551767</v>
      </c>
      <c r="U53" s="279">
        <f t="shared" si="75"/>
        <v>1467.2542645799115</v>
      </c>
      <c r="V53" s="219">
        <f>IFERROR(VLOOKUP(B53,F_U!A:C,3,0),0)</f>
        <v>2600</v>
      </c>
      <c r="W53" s="279">
        <f>IFERROR(VLOOKUP(B53,F_U!A:B,2,0),0)</f>
        <v>2096</v>
      </c>
      <c r="X53" s="219">
        <f>IFERROR(VLOOKUP(B53,F_U!A:C,3,0),0)</f>
        <v>2600</v>
      </c>
      <c r="Y53" s="279">
        <f>IFERROR(VLOOKUP(B53,F_U!A:B,2,0),0)</f>
        <v>2096</v>
      </c>
      <c r="Z53" s="219">
        <f>IFERROR(VLOOKUP(B53,F_U!A:C,3,0),0)</f>
        <v>2600</v>
      </c>
      <c r="AA53" s="279">
        <f>IFERROR(VLOOKUP(B53,F_U!A:B,2,0),0)</f>
        <v>2096</v>
      </c>
      <c r="AB53" s="224">
        <f t="shared" si="54"/>
        <v>1.7720173406648125</v>
      </c>
      <c r="AC53" s="225"/>
      <c r="AD53" s="206"/>
      <c r="AE53" s="219"/>
      <c r="AF53" s="219"/>
      <c r="AG53" s="219"/>
      <c r="AH53" s="219"/>
      <c r="AI53" s="219"/>
      <c r="AJ53" s="219"/>
      <c r="AK53" s="224">
        <f t="shared" si="55"/>
        <v>0</v>
      </c>
      <c r="AL53" s="226">
        <f t="shared" si="76"/>
        <v>2934.508529159823</v>
      </c>
      <c r="AM53" s="223">
        <f t="shared" si="56"/>
        <v>5200</v>
      </c>
      <c r="AN53" s="224">
        <f t="shared" si="57"/>
        <v>1.7720173406648125</v>
      </c>
      <c r="AP53" s="227"/>
      <c r="AQ53" s="221"/>
      <c r="AR53" s="206"/>
      <c r="AS53" s="219"/>
      <c r="AT53" s="219"/>
      <c r="AU53" s="219"/>
      <c r="AV53" s="219"/>
      <c r="AW53" s="219"/>
      <c r="AX53" s="219"/>
      <c r="AY53" s="224">
        <f t="shared" si="58"/>
        <v>0</v>
      </c>
      <c r="AZ53" s="221"/>
      <c r="BA53" s="206"/>
      <c r="BB53" s="219"/>
      <c r="BC53" s="219"/>
      <c r="BD53" s="219"/>
      <c r="BE53" s="219"/>
      <c r="BF53" s="219"/>
      <c r="BG53" s="219"/>
      <c r="BH53" s="224">
        <f t="shared" si="59"/>
        <v>0</v>
      </c>
      <c r="BI53" s="221"/>
      <c r="BJ53" s="206"/>
      <c r="BK53" s="219"/>
      <c r="BL53" s="219"/>
      <c r="BM53" s="219"/>
      <c r="BN53" s="219"/>
      <c r="BO53" s="219"/>
      <c r="BP53" s="219"/>
      <c r="BQ53" s="224">
        <f t="shared" si="60"/>
        <v>0</v>
      </c>
      <c r="BR53" s="226">
        <f t="shared" si="77"/>
        <v>0</v>
      </c>
      <c r="BS53" s="223">
        <f t="shared" si="61"/>
        <v>0</v>
      </c>
      <c r="BT53" s="224">
        <f t="shared" si="62"/>
        <v>0</v>
      </c>
      <c r="BV53" s="227"/>
      <c r="BW53" s="225"/>
      <c r="BX53" s="219"/>
      <c r="BY53" s="219"/>
      <c r="BZ53" s="219"/>
      <c r="CA53" s="219"/>
      <c r="CB53" s="219"/>
      <c r="CC53" s="219"/>
      <c r="CD53" s="219"/>
      <c r="CE53" s="224">
        <f t="shared" si="63"/>
        <v>0</v>
      </c>
      <c r="CF53" s="225"/>
      <c r="CG53" s="219"/>
      <c r="CH53" s="219"/>
      <c r="CI53" s="219"/>
      <c r="CJ53" s="219"/>
      <c r="CK53" s="219"/>
      <c r="CL53" s="219"/>
      <c r="CM53" s="219"/>
      <c r="CN53" s="224">
        <f t="shared" si="64"/>
        <v>0</v>
      </c>
      <c r="CO53" s="225"/>
      <c r="CP53" s="219"/>
      <c r="CQ53" s="219"/>
      <c r="CR53" s="219"/>
      <c r="CS53" s="219"/>
      <c r="CT53" s="219"/>
      <c r="CU53" s="219"/>
      <c r="CV53" s="219"/>
      <c r="CW53" s="224">
        <f t="shared" si="65"/>
        <v>0</v>
      </c>
      <c r="CX53" s="226">
        <f t="shared" si="78"/>
        <v>0</v>
      </c>
      <c r="CY53" s="223">
        <f t="shared" si="66"/>
        <v>0</v>
      </c>
      <c r="CZ53" s="224">
        <f t="shared" si="67"/>
        <v>0</v>
      </c>
      <c r="DB53" s="227">
        <v>1.0991295042495828E-2</v>
      </c>
      <c r="DC53" s="221"/>
      <c r="DD53" s="206"/>
      <c r="DE53" s="219"/>
      <c r="DF53" s="219"/>
      <c r="DG53" s="219"/>
      <c r="DH53" s="219"/>
      <c r="DI53" s="219"/>
      <c r="DJ53" s="219"/>
      <c r="DK53" s="224">
        <f t="shared" si="68"/>
        <v>0</v>
      </c>
      <c r="DL53" s="221"/>
      <c r="DM53" s="206"/>
      <c r="DN53" s="219"/>
      <c r="DO53" s="219"/>
      <c r="DP53" s="219"/>
      <c r="DQ53" s="219"/>
      <c r="DR53" s="219"/>
      <c r="DS53" s="219"/>
      <c r="DT53" s="224">
        <f t="shared" si="69"/>
        <v>0</v>
      </c>
      <c r="DU53" s="221"/>
      <c r="DV53" s="206"/>
      <c r="DW53" s="219"/>
      <c r="DX53" s="219"/>
      <c r="DY53" s="219"/>
      <c r="DZ53" s="219"/>
      <c r="EA53" s="219"/>
      <c r="EB53" s="219"/>
      <c r="EC53" s="224">
        <f t="shared" si="70"/>
        <v>0</v>
      </c>
      <c r="ED53" s="226">
        <f t="shared" si="79"/>
        <v>0</v>
      </c>
      <c r="EE53" s="223">
        <f t="shared" si="71"/>
        <v>0</v>
      </c>
      <c r="EF53" s="224">
        <f t="shared" si="72"/>
        <v>0</v>
      </c>
    </row>
    <row r="54" spans="1:136" s="90" customFormat="1" hidden="1" outlineLevel="1" x14ac:dyDescent="0.25">
      <c r="A54" s="257">
        <v>17</v>
      </c>
      <c r="B54" s="217" t="s">
        <v>312</v>
      </c>
      <c r="C54" s="217" t="s">
        <v>86</v>
      </c>
      <c r="D54" s="217" t="s">
        <v>986</v>
      </c>
      <c r="E54" s="218" t="s">
        <v>465</v>
      </c>
      <c r="F54" s="219" t="s">
        <v>984</v>
      </c>
      <c r="G54" s="220">
        <f>VLOOKUP(B54,'Cons%'!B:S,18,0)</f>
        <v>3.3006370658508311</v>
      </c>
      <c r="H54" s="207"/>
      <c r="I54" s="221">
        <f t="shared" si="73"/>
        <v>137.27714641136802</v>
      </c>
      <c r="J54" s="282">
        <f t="shared" si="50"/>
        <v>1921.8800497591524</v>
      </c>
      <c r="K54" s="222">
        <f t="shared" si="51"/>
        <v>1433.7732947841282</v>
      </c>
      <c r="L54" s="219">
        <v>0</v>
      </c>
      <c r="M54" s="279">
        <v>0</v>
      </c>
      <c r="N54" s="223">
        <v>0</v>
      </c>
      <c r="O54" s="281">
        <v>0</v>
      </c>
      <c r="P54" s="223">
        <v>1400</v>
      </c>
      <c r="Q54" s="281">
        <v>896</v>
      </c>
      <c r="R54" s="278">
        <f t="shared" si="52"/>
        <v>0.97644446656456019</v>
      </c>
      <c r="S54" s="221">
        <f t="shared" si="53"/>
        <v>137.27714641136802</v>
      </c>
      <c r="T54" s="226">
        <f t="shared" si="74"/>
        <v>1921.8800497591524</v>
      </c>
      <c r="U54" s="279">
        <f t="shared" si="75"/>
        <v>1433.7732947841282</v>
      </c>
      <c r="V54" s="219">
        <f>IFERROR(VLOOKUP(B54,F_U!A:C,3,0),0)</f>
        <v>1400</v>
      </c>
      <c r="W54" s="279">
        <f>IFERROR(VLOOKUP(B54,F_U!A:B,2,0),0)</f>
        <v>896</v>
      </c>
      <c r="X54" s="219">
        <f>IFERROR(VLOOKUP(B54,F_U!A:C,3,0),0)</f>
        <v>1400</v>
      </c>
      <c r="Y54" s="279">
        <f>IFERROR(VLOOKUP(B54,F_U!A:B,2,0),0)</f>
        <v>896</v>
      </c>
      <c r="Z54" s="219">
        <f>IFERROR(VLOOKUP(B54,F_U!A:C,3,0),0)</f>
        <v>1400</v>
      </c>
      <c r="AA54" s="279">
        <f>IFERROR(VLOOKUP(B54,F_U!A:B,2,0),0)</f>
        <v>896</v>
      </c>
      <c r="AB54" s="224">
        <f t="shared" si="54"/>
        <v>0.97644446656456019</v>
      </c>
      <c r="AC54" s="225"/>
      <c r="AD54" s="206"/>
      <c r="AE54" s="219"/>
      <c r="AF54" s="219"/>
      <c r="AG54" s="219"/>
      <c r="AH54" s="219"/>
      <c r="AI54" s="219"/>
      <c r="AJ54" s="219"/>
      <c r="AK54" s="224">
        <f t="shared" si="55"/>
        <v>0</v>
      </c>
      <c r="AL54" s="226">
        <f t="shared" si="76"/>
        <v>2867.5465895682564</v>
      </c>
      <c r="AM54" s="223">
        <f t="shared" si="56"/>
        <v>2800</v>
      </c>
      <c r="AN54" s="224">
        <f t="shared" si="57"/>
        <v>0.97644446656456019</v>
      </c>
      <c r="AP54" s="227"/>
      <c r="AQ54" s="221"/>
      <c r="AR54" s="206"/>
      <c r="AS54" s="219"/>
      <c r="AT54" s="219"/>
      <c r="AU54" s="219"/>
      <c r="AV54" s="219"/>
      <c r="AW54" s="219"/>
      <c r="AX54" s="219"/>
      <c r="AY54" s="224">
        <f t="shared" si="58"/>
        <v>0</v>
      </c>
      <c r="AZ54" s="221"/>
      <c r="BA54" s="206"/>
      <c r="BB54" s="219"/>
      <c r="BC54" s="219"/>
      <c r="BD54" s="219"/>
      <c r="BE54" s="219"/>
      <c r="BF54" s="219"/>
      <c r="BG54" s="219"/>
      <c r="BH54" s="224">
        <f t="shared" si="59"/>
        <v>0</v>
      </c>
      <c r="BI54" s="221"/>
      <c r="BJ54" s="206"/>
      <c r="BK54" s="219"/>
      <c r="BL54" s="219"/>
      <c r="BM54" s="219"/>
      <c r="BN54" s="219"/>
      <c r="BO54" s="219"/>
      <c r="BP54" s="219"/>
      <c r="BQ54" s="224">
        <f t="shared" si="60"/>
        <v>0</v>
      </c>
      <c r="BR54" s="226">
        <f t="shared" si="77"/>
        <v>0</v>
      </c>
      <c r="BS54" s="223">
        <f t="shared" si="61"/>
        <v>0</v>
      </c>
      <c r="BT54" s="224">
        <f t="shared" si="62"/>
        <v>0</v>
      </c>
      <c r="BV54" s="227"/>
      <c r="BW54" s="225"/>
      <c r="BX54" s="219"/>
      <c r="BY54" s="219"/>
      <c r="BZ54" s="219"/>
      <c r="CA54" s="219"/>
      <c r="CB54" s="219"/>
      <c r="CC54" s="219"/>
      <c r="CD54" s="219"/>
      <c r="CE54" s="224">
        <f t="shared" si="63"/>
        <v>0</v>
      </c>
      <c r="CF54" s="225"/>
      <c r="CG54" s="219"/>
      <c r="CH54" s="219"/>
      <c r="CI54" s="219"/>
      <c r="CJ54" s="219"/>
      <c r="CK54" s="219"/>
      <c r="CL54" s="219"/>
      <c r="CM54" s="219"/>
      <c r="CN54" s="224">
        <f t="shared" si="64"/>
        <v>0</v>
      </c>
      <c r="CO54" s="225"/>
      <c r="CP54" s="219"/>
      <c r="CQ54" s="219"/>
      <c r="CR54" s="219"/>
      <c r="CS54" s="219"/>
      <c r="CT54" s="219"/>
      <c r="CU54" s="219"/>
      <c r="CV54" s="219"/>
      <c r="CW54" s="224">
        <f t="shared" si="65"/>
        <v>0</v>
      </c>
      <c r="CX54" s="226">
        <f t="shared" si="78"/>
        <v>0</v>
      </c>
      <c r="CY54" s="223">
        <f t="shared" si="66"/>
        <v>0</v>
      </c>
      <c r="CZ54" s="224">
        <f t="shared" si="67"/>
        <v>0</v>
      </c>
      <c r="DB54" s="227">
        <v>1.0804025271129581E-2</v>
      </c>
      <c r="DC54" s="221"/>
      <c r="DD54" s="206"/>
      <c r="DE54" s="219"/>
      <c r="DF54" s="219"/>
      <c r="DG54" s="219"/>
      <c r="DH54" s="219"/>
      <c r="DI54" s="219"/>
      <c r="DJ54" s="219"/>
      <c r="DK54" s="224">
        <f t="shared" si="68"/>
        <v>0</v>
      </c>
      <c r="DL54" s="221"/>
      <c r="DM54" s="206"/>
      <c r="DN54" s="219"/>
      <c r="DO54" s="219"/>
      <c r="DP54" s="219"/>
      <c r="DQ54" s="219"/>
      <c r="DR54" s="219"/>
      <c r="DS54" s="219"/>
      <c r="DT54" s="224">
        <f t="shared" si="69"/>
        <v>0</v>
      </c>
      <c r="DU54" s="221"/>
      <c r="DV54" s="206"/>
      <c r="DW54" s="219"/>
      <c r="DX54" s="219"/>
      <c r="DY54" s="219"/>
      <c r="DZ54" s="219"/>
      <c r="EA54" s="219"/>
      <c r="EB54" s="219"/>
      <c r="EC54" s="224">
        <f t="shared" si="70"/>
        <v>0</v>
      </c>
      <c r="ED54" s="226">
        <f t="shared" si="79"/>
        <v>0</v>
      </c>
      <c r="EE54" s="223">
        <f t="shared" si="71"/>
        <v>0</v>
      </c>
      <c r="EF54" s="224">
        <f t="shared" si="72"/>
        <v>0</v>
      </c>
    </row>
    <row r="55" spans="1:136" s="90" customFormat="1" hidden="1" outlineLevel="1" x14ac:dyDescent="0.25">
      <c r="A55" s="257">
        <v>18</v>
      </c>
      <c r="B55" s="217" t="s">
        <v>356</v>
      </c>
      <c r="C55" s="217" t="s">
        <v>922</v>
      </c>
      <c r="D55" s="217" t="s">
        <v>990</v>
      </c>
      <c r="E55" s="218" t="s">
        <v>459</v>
      </c>
      <c r="F55" s="219" t="s">
        <v>984</v>
      </c>
      <c r="G55" s="220">
        <f>VLOOKUP(B55,'Cons%'!B:S,18,0)</f>
        <v>3.2277468347896709</v>
      </c>
      <c r="H55" s="207"/>
      <c r="I55" s="221">
        <f t="shared" si="73"/>
        <v>134.24556107747372</v>
      </c>
      <c r="J55" s="282">
        <f t="shared" si="50"/>
        <v>1879.437855084632</v>
      </c>
      <c r="K55" s="222">
        <f t="shared" si="51"/>
        <v>1402.1102961989759</v>
      </c>
      <c r="L55" s="219">
        <v>0</v>
      </c>
      <c r="M55" s="279">
        <v>0</v>
      </c>
      <c r="N55" s="223">
        <v>1400</v>
      </c>
      <c r="O55" s="281">
        <v>896</v>
      </c>
      <c r="P55" s="223">
        <v>1400</v>
      </c>
      <c r="Q55" s="281">
        <v>896</v>
      </c>
      <c r="R55" s="278">
        <f t="shared" si="52"/>
        <v>0.99849491426979975</v>
      </c>
      <c r="S55" s="221">
        <f t="shared" si="53"/>
        <v>134.24556107747372</v>
      </c>
      <c r="T55" s="226">
        <f t="shared" si="74"/>
        <v>1879.437855084632</v>
      </c>
      <c r="U55" s="279">
        <f t="shared" si="75"/>
        <v>1402.1102961989759</v>
      </c>
      <c r="V55" s="219">
        <f>IFERROR(VLOOKUP(B55,F_U!A:C,3,0),0)</f>
        <v>1400</v>
      </c>
      <c r="W55" s="279">
        <f>IFERROR(VLOOKUP(B55,F_U!A:B,2,0),0)</f>
        <v>896</v>
      </c>
      <c r="X55" s="219">
        <f>IFERROR(VLOOKUP(B55,F_U!A:C,3,0),0)</f>
        <v>1400</v>
      </c>
      <c r="Y55" s="279">
        <f>IFERROR(VLOOKUP(B55,F_U!A:B,2,0),0)</f>
        <v>896</v>
      </c>
      <c r="Z55" s="219">
        <f>IFERROR(VLOOKUP(B55,F_U!A:C,3,0),0)</f>
        <v>1400</v>
      </c>
      <c r="AA55" s="279">
        <f>IFERROR(VLOOKUP(B55,F_U!A:B,2,0),0)</f>
        <v>896</v>
      </c>
      <c r="AB55" s="224">
        <f t="shared" si="54"/>
        <v>0.99849491426979975</v>
      </c>
      <c r="AC55" s="225"/>
      <c r="AD55" s="206"/>
      <c r="AE55" s="219"/>
      <c r="AF55" s="219"/>
      <c r="AG55" s="219"/>
      <c r="AH55" s="219"/>
      <c r="AI55" s="219"/>
      <c r="AJ55" s="219"/>
      <c r="AK55" s="224">
        <f t="shared" si="55"/>
        <v>0</v>
      </c>
      <c r="AL55" s="226">
        <f t="shared" si="76"/>
        <v>2804.2205923979518</v>
      </c>
      <c r="AM55" s="223">
        <f t="shared" si="56"/>
        <v>2800</v>
      </c>
      <c r="AN55" s="224">
        <f t="shared" si="57"/>
        <v>0.99849491426979975</v>
      </c>
      <c r="AP55" s="227"/>
      <c r="AQ55" s="221"/>
      <c r="AR55" s="206"/>
      <c r="AS55" s="219"/>
      <c r="AT55" s="219"/>
      <c r="AU55" s="219"/>
      <c r="AV55" s="219"/>
      <c r="AW55" s="219"/>
      <c r="AX55" s="219"/>
      <c r="AY55" s="224">
        <f t="shared" si="58"/>
        <v>0</v>
      </c>
      <c r="AZ55" s="221"/>
      <c r="BA55" s="206"/>
      <c r="BB55" s="219"/>
      <c r="BC55" s="219"/>
      <c r="BD55" s="219"/>
      <c r="BE55" s="219"/>
      <c r="BF55" s="219"/>
      <c r="BG55" s="219"/>
      <c r="BH55" s="224">
        <f t="shared" si="59"/>
        <v>0</v>
      </c>
      <c r="BI55" s="221"/>
      <c r="BJ55" s="206"/>
      <c r="BK55" s="219"/>
      <c r="BL55" s="219"/>
      <c r="BM55" s="219"/>
      <c r="BN55" s="219"/>
      <c r="BO55" s="219"/>
      <c r="BP55" s="219"/>
      <c r="BQ55" s="224">
        <f t="shared" si="60"/>
        <v>0</v>
      </c>
      <c r="BR55" s="226">
        <f t="shared" si="77"/>
        <v>0</v>
      </c>
      <c r="BS55" s="223">
        <f t="shared" si="61"/>
        <v>0</v>
      </c>
      <c r="BT55" s="224">
        <f t="shared" si="62"/>
        <v>0</v>
      </c>
      <c r="BV55" s="227"/>
      <c r="BW55" s="225"/>
      <c r="BX55" s="219"/>
      <c r="BY55" s="219"/>
      <c r="BZ55" s="219"/>
      <c r="CA55" s="219"/>
      <c r="CB55" s="219"/>
      <c r="CC55" s="219"/>
      <c r="CD55" s="219"/>
      <c r="CE55" s="224">
        <f t="shared" si="63"/>
        <v>0</v>
      </c>
      <c r="CF55" s="225"/>
      <c r="CG55" s="219"/>
      <c r="CH55" s="219"/>
      <c r="CI55" s="219"/>
      <c r="CJ55" s="219"/>
      <c r="CK55" s="219"/>
      <c r="CL55" s="219"/>
      <c r="CM55" s="219"/>
      <c r="CN55" s="224">
        <f t="shared" si="64"/>
        <v>0</v>
      </c>
      <c r="CO55" s="225"/>
      <c r="CP55" s="219"/>
      <c r="CQ55" s="219"/>
      <c r="CR55" s="219"/>
      <c r="CS55" s="219"/>
      <c r="CT55" s="219"/>
      <c r="CU55" s="219"/>
      <c r="CV55" s="219"/>
      <c r="CW55" s="224">
        <f t="shared" si="65"/>
        <v>0</v>
      </c>
      <c r="CX55" s="226">
        <f t="shared" si="78"/>
        <v>0</v>
      </c>
      <c r="CY55" s="223">
        <f t="shared" si="66"/>
        <v>0</v>
      </c>
      <c r="CZ55" s="224">
        <f t="shared" si="67"/>
        <v>0</v>
      </c>
      <c r="DB55" s="227">
        <v>1.0443891095425262E-2</v>
      </c>
      <c r="DC55" s="221"/>
      <c r="DD55" s="206"/>
      <c r="DE55" s="219"/>
      <c r="DF55" s="219"/>
      <c r="DG55" s="219"/>
      <c r="DH55" s="219"/>
      <c r="DI55" s="219"/>
      <c r="DJ55" s="219"/>
      <c r="DK55" s="224">
        <f t="shared" si="68"/>
        <v>0</v>
      </c>
      <c r="DL55" s="221"/>
      <c r="DM55" s="206"/>
      <c r="DN55" s="219"/>
      <c r="DO55" s="219"/>
      <c r="DP55" s="219"/>
      <c r="DQ55" s="219"/>
      <c r="DR55" s="219"/>
      <c r="DS55" s="219"/>
      <c r="DT55" s="224">
        <f t="shared" si="69"/>
        <v>0</v>
      </c>
      <c r="DU55" s="221"/>
      <c r="DV55" s="206"/>
      <c r="DW55" s="219"/>
      <c r="DX55" s="219"/>
      <c r="DY55" s="219"/>
      <c r="DZ55" s="219"/>
      <c r="EA55" s="219"/>
      <c r="EB55" s="219"/>
      <c r="EC55" s="224">
        <f t="shared" si="70"/>
        <v>0</v>
      </c>
      <c r="ED55" s="226">
        <f t="shared" si="79"/>
        <v>0</v>
      </c>
      <c r="EE55" s="223">
        <f t="shared" si="71"/>
        <v>0</v>
      </c>
      <c r="EF55" s="224">
        <f t="shared" si="72"/>
        <v>0</v>
      </c>
    </row>
    <row r="56" spans="1:136" s="90" customFormat="1" hidden="1" outlineLevel="1" x14ac:dyDescent="0.25">
      <c r="A56" s="257">
        <v>19</v>
      </c>
      <c r="B56" s="217" t="s">
        <v>309</v>
      </c>
      <c r="C56" s="217" t="s">
        <v>118</v>
      </c>
      <c r="D56" s="217" t="s">
        <v>986</v>
      </c>
      <c r="E56" s="218" t="s">
        <v>465</v>
      </c>
      <c r="F56" s="219" t="s">
        <v>984</v>
      </c>
      <c r="G56" s="220">
        <f>VLOOKUP(B56,'Cons%'!B:S,18,0)</f>
        <v>3.0760375021982602</v>
      </c>
      <c r="H56" s="207"/>
      <c r="I56" s="221">
        <f t="shared" si="73"/>
        <v>127.93580212893768</v>
      </c>
      <c r="J56" s="282">
        <f>$J$36*G56%</f>
        <v>1791.1012298051276</v>
      </c>
      <c r="K56" s="222">
        <f t="shared" si="51"/>
        <v>1336.2088398136109</v>
      </c>
      <c r="L56" s="219">
        <v>686</v>
      </c>
      <c r="M56" s="279">
        <v>439.04</v>
      </c>
      <c r="N56" s="223">
        <v>1036</v>
      </c>
      <c r="O56" s="281">
        <v>663.04</v>
      </c>
      <c r="P56" s="223">
        <v>2086</v>
      </c>
      <c r="Q56" s="281">
        <v>1335.04</v>
      </c>
      <c r="R56" s="278">
        <f t="shared" si="52"/>
        <v>1.5611332134960119</v>
      </c>
      <c r="S56" s="221">
        <f t="shared" si="53"/>
        <v>127.93580212893768</v>
      </c>
      <c r="T56" s="226">
        <f t="shared" si="74"/>
        <v>1791.1012298051276</v>
      </c>
      <c r="U56" s="279">
        <f t="shared" si="75"/>
        <v>1336.2088398136109</v>
      </c>
      <c r="V56" s="219">
        <f>IFERROR(VLOOKUP(B56,F_U!A:C,3,0),0)</f>
        <v>2086</v>
      </c>
      <c r="W56" s="279">
        <f>IFERROR(VLOOKUP(B56,F_U!A:B,2,0),0)</f>
        <v>1335.04</v>
      </c>
      <c r="X56" s="219">
        <f>IFERROR(VLOOKUP(B56,F_U!A:C,3,0),0)</f>
        <v>2086</v>
      </c>
      <c r="Y56" s="279">
        <f>IFERROR(VLOOKUP(B56,F_U!A:B,2,0),0)</f>
        <v>1335.04</v>
      </c>
      <c r="Z56" s="219">
        <f>IFERROR(VLOOKUP(B56,F_U!A:C,3,0),0)</f>
        <v>2086</v>
      </c>
      <c r="AA56" s="279">
        <f>IFERROR(VLOOKUP(B56,F_U!A:B,2,0),0)</f>
        <v>1335.04</v>
      </c>
      <c r="AB56" s="224">
        <f t="shared" si="54"/>
        <v>1.5611332134960119</v>
      </c>
      <c r="AC56" s="225"/>
      <c r="AD56" s="206"/>
      <c r="AE56" s="219"/>
      <c r="AF56" s="219"/>
      <c r="AG56" s="219"/>
      <c r="AH56" s="219"/>
      <c r="AI56" s="219"/>
      <c r="AJ56" s="219"/>
      <c r="AK56" s="224">
        <f t="shared" si="55"/>
        <v>0</v>
      </c>
      <c r="AL56" s="226">
        <f t="shared" si="76"/>
        <v>2672.4176796272218</v>
      </c>
      <c r="AM56" s="223">
        <f t="shared" si="56"/>
        <v>4172</v>
      </c>
      <c r="AN56" s="224">
        <f t="shared" si="57"/>
        <v>1.5611332134960119</v>
      </c>
      <c r="AP56" s="227"/>
      <c r="AQ56" s="221"/>
      <c r="AR56" s="206"/>
      <c r="AS56" s="219"/>
      <c r="AT56" s="219"/>
      <c r="AU56" s="219"/>
      <c r="AV56" s="219"/>
      <c r="AW56" s="219"/>
      <c r="AX56" s="219"/>
      <c r="AY56" s="224">
        <f t="shared" si="58"/>
        <v>0</v>
      </c>
      <c r="AZ56" s="221"/>
      <c r="BA56" s="206"/>
      <c r="BB56" s="219"/>
      <c r="BC56" s="219"/>
      <c r="BD56" s="219"/>
      <c r="BE56" s="219"/>
      <c r="BF56" s="219"/>
      <c r="BG56" s="219"/>
      <c r="BH56" s="224">
        <f t="shared" si="59"/>
        <v>0</v>
      </c>
      <c r="BI56" s="221"/>
      <c r="BJ56" s="206"/>
      <c r="BK56" s="219"/>
      <c r="BL56" s="219"/>
      <c r="BM56" s="219"/>
      <c r="BN56" s="219"/>
      <c r="BO56" s="219"/>
      <c r="BP56" s="219"/>
      <c r="BQ56" s="224">
        <f t="shared" si="60"/>
        <v>0</v>
      </c>
      <c r="BR56" s="226">
        <f t="shared" si="77"/>
        <v>0</v>
      </c>
      <c r="BS56" s="223">
        <f t="shared" si="61"/>
        <v>0</v>
      </c>
      <c r="BT56" s="224">
        <f t="shared" si="62"/>
        <v>0</v>
      </c>
      <c r="BV56" s="227"/>
      <c r="BW56" s="225"/>
      <c r="BX56" s="219"/>
      <c r="BY56" s="219"/>
      <c r="BZ56" s="219"/>
      <c r="CA56" s="219"/>
      <c r="CB56" s="219"/>
      <c r="CC56" s="219"/>
      <c r="CD56" s="219"/>
      <c r="CE56" s="224">
        <f t="shared" si="63"/>
        <v>0</v>
      </c>
      <c r="CF56" s="225"/>
      <c r="CG56" s="219"/>
      <c r="CH56" s="219"/>
      <c r="CI56" s="219"/>
      <c r="CJ56" s="219"/>
      <c r="CK56" s="219"/>
      <c r="CL56" s="219"/>
      <c r="CM56" s="219"/>
      <c r="CN56" s="224">
        <f t="shared" si="64"/>
        <v>0</v>
      </c>
      <c r="CO56" s="225"/>
      <c r="CP56" s="219"/>
      <c r="CQ56" s="219"/>
      <c r="CR56" s="219"/>
      <c r="CS56" s="219"/>
      <c r="CT56" s="219"/>
      <c r="CU56" s="219"/>
      <c r="CV56" s="219"/>
      <c r="CW56" s="224">
        <f t="shared" si="65"/>
        <v>0</v>
      </c>
      <c r="CX56" s="226">
        <f t="shared" si="78"/>
        <v>0</v>
      </c>
      <c r="CY56" s="223">
        <f t="shared" si="66"/>
        <v>0</v>
      </c>
      <c r="CZ56" s="224">
        <f t="shared" si="67"/>
        <v>0</v>
      </c>
      <c r="DB56" s="227">
        <v>8.9004589138353216E-3</v>
      </c>
      <c r="DC56" s="221"/>
      <c r="DD56" s="206"/>
      <c r="DE56" s="219"/>
      <c r="DF56" s="219"/>
      <c r="DG56" s="219"/>
      <c r="DH56" s="219"/>
      <c r="DI56" s="219"/>
      <c r="DJ56" s="219"/>
      <c r="DK56" s="224">
        <f t="shared" si="68"/>
        <v>0</v>
      </c>
      <c r="DL56" s="221"/>
      <c r="DM56" s="206"/>
      <c r="DN56" s="219"/>
      <c r="DO56" s="219"/>
      <c r="DP56" s="219"/>
      <c r="DQ56" s="219"/>
      <c r="DR56" s="219"/>
      <c r="DS56" s="219"/>
      <c r="DT56" s="224">
        <f t="shared" si="69"/>
        <v>0</v>
      </c>
      <c r="DU56" s="221"/>
      <c r="DV56" s="206"/>
      <c r="DW56" s="219"/>
      <c r="DX56" s="219"/>
      <c r="DY56" s="219"/>
      <c r="DZ56" s="219"/>
      <c r="EA56" s="219"/>
      <c r="EB56" s="219"/>
      <c r="EC56" s="224">
        <f t="shared" si="70"/>
        <v>0</v>
      </c>
      <c r="ED56" s="226">
        <f t="shared" si="79"/>
        <v>0</v>
      </c>
      <c r="EE56" s="223">
        <f t="shared" si="71"/>
        <v>0</v>
      </c>
      <c r="EF56" s="224">
        <f t="shared" si="72"/>
        <v>0</v>
      </c>
    </row>
    <row r="57" spans="1:136" hidden="1" outlineLevel="1" x14ac:dyDescent="0.25">
      <c r="A57" s="257">
        <v>20</v>
      </c>
      <c r="B57" s="217" t="s">
        <v>296</v>
      </c>
      <c r="C57" s="217" t="s">
        <v>991</v>
      </c>
      <c r="D57" s="217" t="s">
        <v>147</v>
      </c>
      <c r="E57" s="246" t="s">
        <v>454</v>
      </c>
      <c r="F57" s="219" t="s">
        <v>984</v>
      </c>
      <c r="G57" s="220">
        <f>VLOOKUP(B57,'Cons%'!B:S,18,0)</f>
        <v>3.1056121031264246</v>
      </c>
      <c r="H57" s="207"/>
      <c r="I57" s="221">
        <f t="shared" si="73"/>
        <v>129.16584249407757</v>
      </c>
      <c r="J57" s="282">
        <f t="shared" si="50"/>
        <v>1808.321794917086</v>
      </c>
      <c r="K57" s="222">
        <f t="shared" si="51"/>
        <v>1349.0558363687348</v>
      </c>
      <c r="L57" s="219">
        <v>470</v>
      </c>
      <c r="M57" s="279">
        <v>344</v>
      </c>
      <c r="N57" s="223">
        <v>1000</v>
      </c>
      <c r="O57" s="281">
        <v>748</v>
      </c>
      <c r="P57" s="223">
        <v>1470</v>
      </c>
      <c r="Q57" s="281">
        <v>1092</v>
      </c>
      <c r="R57" s="278">
        <f t="shared" si="52"/>
        <v>1.0896509694934582</v>
      </c>
      <c r="S57" s="221">
        <f t="shared" si="53"/>
        <v>129.16584249407757</v>
      </c>
      <c r="T57" s="226">
        <f t="shared" si="74"/>
        <v>1808.321794917086</v>
      </c>
      <c r="U57" s="279">
        <f t="shared" si="75"/>
        <v>1349.0558363687348</v>
      </c>
      <c r="V57" s="219">
        <f>IFERROR(VLOOKUP(B57,F_U!A:C,3,0),0)</f>
        <v>1470</v>
      </c>
      <c r="W57" s="279">
        <f>IFERROR(VLOOKUP(B57,F_U!A:B,2,0),0)</f>
        <v>1092</v>
      </c>
      <c r="X57" s="219">
        <f>IFERROR(VLOOKUP(B57,F_U!A:C,3,0),0)</f>
        <v>1470</v>
      </c>
      <c r="Y57" s="279">
        <f>IFERROR(VLOOKUP(B57,F_U!A:B,2,0),0)</f>
        <v>1092</v>
      </c>
      <c r="Z57" s="219">
        <f>IFERROR(VLOOKUP(B57,F_U!A:C,3,0),0)</f>
        <v>1470</v>
      </c>
      <c r="AA57" s="279">
        <f>IFERROR(VLOOKUP(B57,F_U!A:B,2,0),0)</f>
        <v>1092</v>
      </c>
      <c r="AB57" s="224">
        <f t="shared" si="54"/>
        <v>1.0896509694934582</v>
      </c>
      <c r="AC57" s="225"/>
      <c r="AD57" s="206"/>
      <c r="AE57" s="219"/>
      <c r="AF57" s="219"/>
      <c r="AG57" s="219"/>
      <c r="AH57" s="219"/>
      <c r="AI57" s="219"/>
      <c r="AJ57" s="219"/>
      <c r="AK57" s="224">
        <f t="shared" si="55"/>
        <v>0</v>
      </c>
      <c r="AL57" s="226">
        <f t="shared" si="76"/>
        <v>2698.1116727374697</v>
      </c>
      <c r="AM57" s="223">
        <f t="shared" si="56"/>
        <v>2940</v>
      </c>
      <c r="AN57" s="224">
        <f t="shared" si="57"/>
        <v>1.0896509694934582</v>
      </c>
      <c r="AP57" s="227"/>
      <c r="AQ57" s="221"/>
      <c r="AR57" s="206"/>
      <c r="AS57" s="219"/>
      <c r="AT57" s="219"/>
      <c r="AU57" s="219"/>
      <c r="AV57" s="219"/>
      <c r="AW57" s="219"/>
      <c r="AX57" s="219"/>
      <c r="AY57" s="224">
        <f t="shared" si="58"/>
        <v>0</v>
      </c>
      <c r="AZ57" s="221"/>
      <c r="BA57" s="206"/>
      <c r="BB57" s="219"/>
      <c r="BC57" s="219"/>
      <c r="BD57" s="219"/>
      <c r="BE57" s="219"/>
      <c r="BF57" s="219"/>
      <c r="BG57" s="219"/>
      <c r="BH57" s="224">
        <f t="shared" si="59"/>
        <v>0</v>
      </c>
      <c r="BI57" s="221"/>
      <c r="BJ57" s="206"/>
      <c r="BK57" s="219"/>
      <c r="BL57" s="219"/>
      <c r="BM57" s="219"/>
      <c r="BN57" s="219"/>
      <c r="BO57" s="219"/>
      <c r="BP57" s="219"/>
      <c r="BQ57" s="224">
        <f t="shared" si="60"/>
        <v>0</v>
      </c>
      <c r="BR57" s="226">
        <f t="shared" si="77"/>
        <v>0</v>
      </c>
      <c r="BS57" s="223">
        <f t="shared" si="61"/>
        <v>0</v>
      </c>
      <c r="BT57" s="224">
        <f t="shared" si="62"/>
        <v>0</v>
      </c>
      <c r="BV57" s="227"/>
      <c r="BW57" s="225"/>
      <c r="BX57" s="219"/>
      <c r="BY57" s="219"/>
      <c r="BZ57" s="219"/>
      <c r="CA57" s="219"/>
      <c r="CB57" s="219"/>
      <c r="CC57" s="219"/>
      <c r="CD57" s="219"/>
      <c r="CE57" s="224">
        <f t="shared" si="63"/>
        <v>0</v>
      </c>
      <c r="CF57" s="225"/>
      <c r="CG57" s="219"/>
      <c r="CH57" s="219"/>
      <c r="CI57" s="219"/>
      <c r="CJ57" s="219"/>
      <c r="CK57" s="219"/>
      <c r="CL57" s="219"/>
      <c r="CM57" s="219"/>
      <c r="CN57" s="224">
        <f t="shared" si="64"/>
        <v>0</v>
      </c>
      <c r="CO57" s="225"/>
      <c r="CP57" s="219"/>
      <c r="CQ57" s="219"/>
      <c r="CR57" s="219"/>
      <c r="CS57" s="219"/>
      <c r="CT57" s="219"/>
      <c r="CU57" s="219"/>
      <c r="CV57" s="219"/>
      <c r="CW57" s="224">
        <f t="shared" si="65"/>
        <v>0</v>
      </c>
      <c r="CX57" s="226">
        <f t="shared" si="78"/>
        <v>0</v>
      </c>
      <c r="CY57" s="223">
        <f t="shared" si="66"/>
        <v>0</v>
      </c>
      <c r="CZ57" s="224">
        <f t="shared" si="67"/>
        <v>0</v>
      </c>
      <c r="DB57" s="227">
        <v>7.4269956578107916E-3</v>
      </c>
      <c r="DC57" s="221"/>
      <c r="DD57" s="206"/>
      <c r="DE57" s="219"/>
      <c r="DF57" s="219"/>
      <c r="DG57" s="219"/>
      <c r="DH57" s="219"/>
      <c r="DI57" s="219"/>
      <c r="DJ57" s="219"/>
      <c r="DK57" s="224">
        <f t="shared" si="68"/>
        <v>0</v>
      </c>
      <c r="DL57" s="221"/>
      <c r="DM57" s="206"/>
      <c r="DN57" s="219"/>
      <c r="DO57" s="219"/>
      <c r="DP57" s="219"/>
      <c r="DQ57" s="219"/>
      <c r="DR57" s="219"/>
      <c r="DS57" s="219"/>
      <c r="DT57" s="224">
        <f t="shared" si="69"/>
        <v>0</v>
      </c>
      <c r="DU57" s="221"/>
      <c r="DV57" s="206"/>
      <c r="DW57" s="219"/>
      <c r="DX57" s="219"/>
      <c r="DY57" s="219"/>
      <c r="DZ57" s="219"/>
      <c r="EA57" s="219"/>
      <c r="EB57" s="219"/>
      <c r="EC57" s="224">
        <f t="shared" si="70"/>
        <v>0</v>
      </c>
      <c r="ED57" s="226">
        <f t="shared" si="79"/>
        <v>0</v>
      </c>
      <c r="EE57" s="223">
        <f t="shared" si="71"/>
        <v>0</v>
      </c>
      <c r="EF57" s="224">
        <f t="shared" si="72"/>
        <v>0</v>
      </c>
    </row>
    <row r="58" spans="1:136" hidden="1" outlineLevel="1" x14ac:dyDescent="0.25">
      <c r="A58" s="257">
        <v>21</v>
      </c>
      <c r="B58" s="217" t="s">
        <v>77</v>
      </c>
      <c r="C58" s="217" t="s">
        <v>549</v>
      </c>
      <c r="D58" s="217" t="s">
        <v>147</v>
      </c>
      <c r="E58" s="247" t="s">
        <v>454</v>
      </c>
      <c r="F58" s="219" t="s">
        <v>984</v>
      </c>
      <c r="G58" s="220">
        <f>VLOOKUP(B58,'Cons%'!B:S,18,0)</f>
        <v>2.9823090352236821</v>
      </c>
      <c r="H58" s="207"/>
      <c r="I58" s="221">
        <f t="shared" si="73"/>
        <v>124.03753151418123</v>
      </c>
      <c r="J58" s="282">
        <f t="shared" si="50"/>
        <v>1736.5254411985372</v>
      </c>
      <c r="K58" s="222">
        <f t="shared" si="51"/>
        <v>1295.4938595755261</v>
      </c>
      <c r="L58" s="219">
        <v>0</v>
      </c>
      <c r="M58" s="279">
        <v>0</v>
      </c>
      <c r="N58" s="223">
        <v>66</v>
      </c>
      <c r="O58" s="281">
        <v>66</v>
      </c>
      <c r="P58" s="223">
        <v>66</v>
      </c>
      <c r="Q58" s="281">
        <v>66</v>
      </c>
      <c r="R58" s="278">
        <f t="shared" si="52"/>
        <v>5.0945822330354516E-2</v>
      </c>
      <c r="S58" s="221">
        <f t="shared" si="53"/>
        <v>124.03753151418123</v>
      </c>
      <c r="T58" s="226">
        <f t="shared" si="74"/>
        <v>1736.5254411985372</v>
      </c>
      <c r="U58" s="279">
        <f t="shared" si="75"/>
        <v>1295.4938595755261</v>
      </c>
      <c r="V58" s="219">
        <f>IFERROR(VLOOKUP(B58,F_U!A:C,3,0),0)</f>
        <v>66</v>
      </c>
      <c r="W58" s="279">
        <f>IFERROR(VLOOKUP(B58,F_U!A:B,2,0),0)</f>
        <v>66</v>
      </c>
      <c r="X58" s="219">
        <f>IFERROR(VLOOKUP(B58,F_U!A:C,3,0),0)</f>
        <v>66</v>
      </c>
      <c r="Y58" s="279">
        <f>IFERROR(VLOOKUP(B58,F_U!A:B,2,0),0)</f>
        <v>66</v>
      </c>
      <c r="Z58" s="219">
        <f>IFERROR(VLOOKUP(B58,F_U!A:C,3,0),0)</f>
        <v>66</v>
      </c>
      <c r="AA58" s="279">
        <f>IFERROR(VLOOKUP(B58,F_U!A:B,2,0),0)</f>
        <v>66</v>
      </c>
      <c r="AB58" s="224">
        <f t="shared" si="54"/>
        <v>5.0945822330354516E-2</v>
      </c>
      <c r="AC58" s="225"/>
      <c r="AD58" s="206"/>
      <c r="AE58" s="219"/>
      <c r="AF58" s="219"/>
      <c r="AG58" s="219"/>
      <c r="AH58" s="219"/>
      <c r="AI58" s="219"/>
      <c r="AJ58" s="219"/>
      <c r="AK58" s="224">
        <f t="shared" si="55"/>
        <v>0</v>
      </c>
      <c r="AL58" s="226">
        <f t="shared" si="76"/>
        <v>2590.9877191510523</v>
      </c>
      <c r="AM58" s="223">
        <f t="shared" si="56"/>
        <v>132</v>
      </c>
      <c r="AN58" s="224">
        <f t="shared" si="57"/>
        <v>5.0945822330354516E-2</v>
      </c>
      <c r="AP58" s="227"/>
      <c r="AQ58" s="221"/>
      <c r="AR58" s="206"/>
      <c r="AS58" s="219"/>
      <c r="AT58" s="219"/>
      <c r="AU58" s="219"/>
      <c r="AV58" s="219"/>
      <c r="AW58" s="219"/>
      <c r="AX58" s="219"/>
      <c r="AY58" s="224">
        <f t="shared" si="58"/>
        <v>0</v>
      </c>
      <c r="AZ58" s="221"/>
      <c r="BA58" s="206"/>
      <c r="BB58" s="219"/>
      <c r="BC58" s="219"/>
      <c r="BD58" s="219"/>
      <c r="BE58" s="219"/>
      <c r="BF58" s="219"/>
      <c r="BG58" s="219"/>
      <c r="BH58" s="224">
        <f t="shared" si="59"/>
        <v>0</v>
      </c>
      <c r="BI58" s="221"/>
      <c r="BJ58" s="206"/>
      <c r="BK58" s="219"/>
      <c r="BL58" s="219"/>
      <c r="BM58" s="219"/>
      <c r="BN58" s="219"/>
      <c r="BO58" s="219"/>
      <c r="BP58" s="219"/>
      <c r="BQ58" s="224">
        <f t="shared" si="60"/>
        <v>0</v>
      </c>
      <c r="BR58" s="226">
        <f t="shared" si="77"/>
        <v>0</v>
      </c>
      <c r="BS58" s="223">
        <f t="shared" si="61"/>
        <v>0</v>
      </c>
      <c r="BT58" s="224">
        <f t="shared" si="62"/>
        <v>0</v>
      </c>
      <c r="BV58" s="227"/>
      <c r="BW58" s="225"/>
      <c r="BX58" s="219"/>
      <c r="BY58" s="219"/>
      <c r="BZ58" s="219"/>
      <c r="CA58" s="219"/>
      <c r="CB58" s="219"/>
      <c r="CC58" s="219"/>
      <c r="CD58" s="219"/>
      <c r="CE58" s="224">
        <f t="shared" si="63"/>
        <v>0</v>
      </c>
      <c r="CF58" s="225"/>
      <c r="CG58" s="219"/>
      <c r="CH58" s="219"/>
      <c r="CI58" s="219"/>
      <c r="CJ58" s="219"/>
      <c r="CK58" s="219"/>
      <c r="CL58" s="219"/>
      <c r="CM58" s="219"/>
      <c r="CN58" s="224">
        <f t="shared" si="64"/>
        <v>0</v>
      </c>
      <c r="CO58" s="225"/>
      <c r="CP58" s="219"/>
      <c r="CQ58" s="219"/>
      <c r="CR58" s="219"/>
      <c r="CS58" s="219"/>
      <c r="CT58" s="219"/>
      <c r="CU58" s="219"/>
      <c r="CV58" s="219"/>
      <c r="CW58" s="224">
        <f t="shared" si="65"/>
        <v>0</v>
      </c>
      <c r="CX58" s="226">
        <f t="shared" si="78"/>
        <v>0</v>
      </c>
      <c r="CY58" s="223">
        <f t="shared" si="66"/>
        <v>0</v>
      </c>
      <c r="CZ58" s="224">
        <f t="shared" si="67"/>
        <v>0</v>
      </c>
      <c r="DB58" s="227">
        <v>7.1821044183318543E-3</v>
      </c>
      <c r="DC58" s="221"/>
      <c r="DD58" s="206"/>
      <c r="DE58" s="219"/>
      <c r="DF58" s="219"/>
      <c r="DG58" s="219"/>
      <c r="DH58" s="219"/>
      <c r="DI58" s="219"/>
      <c r="DJ58" s="219"/>
      <c r="DK58" s="224">
        <f t="shared" si="68"/>
        <v>0</v>
      </c>
      <c r="DL58" s="221"/>
      <c r="DM58" s="206"/>
      <c r="DN58" s="219"/>
      <c r="DO58" s="219"/>
      <c r="DP58" s="219"/>
      <c r="DQ58" s="219"/>
      <c r="DR58" s="219"/>
      <c r="DS58" s="219"/>
      <c r="DT58" s="224">
        <f t="shared" si="69"/>
        <v>0</v>
      </c>
      <c r="DU58" s="221"/>
      <c r="DV58" s="206"/>
      <c r="DW58" s="219"/>
      <c r="DX58" s="219"/>
      <c r="DY58" s="219"/>
      <c r="DZ58" s="219"/>
      <c r="EA58" s="219"/>
      <c r="EB58" s="219"/>
      <c r="EC58" s="224">
        <f t="shared" si="70"/>
        <v>0</v>
      </c>
      <c r="ED58" s="226">
        <f t="shared" si="79"/>
        <v>0</v>
      </c>
      <c r="EE58" s="223">
        <f t="shared" si="71"/>
        <v>0</v>
      </c>
      <c r="EF58" s="224">
        <f t="shared" si="72"/>
        <v>0</v>
      </c>
    </row>
    <row r="59" spans="1:136" hidden="1" outlineLevel="1" x14ac:dyDescent="0.25">
      <c r="A59" s="257">
        <v>22</v>
      </c>
      <c r="B59" s="217" t="s">
        <v>75</v>
      </c>
      <c r="C59" s="217" t="s">
        <v>992</v>
      </c>
      <c r="D59" s="217" t="s">
        <v>975</v>
      </c>
      <c r="E59" s="247" t="s">
        <v>457</v>
      </c>
      <c r="F59" s="219" t="s">
        <v>984</v>
      </c>
      <c r="G59" s="220">
        <f>VLOOKUP(B59,'Cons%'!B:S,18,0)</f>
        <v>2.7607610960772595</v>
      </c>
      <c r="H59" s="207"/>
      <c r="I59" s="221">
        <f t="shared" si="73"/>
        <v>114.82310767037083</v>
      </c>
      <c r="J59" s="282">
        <f t="shared" si="50"/>
        <v>1607.5235073851916</v>
      </c>
      <c r="K59" s="222">
        <f t="shared" si="51"/>
        <v>1199.2550086127601</v>
      </c>
      <c r="L59" s="219">
        <v>0</v>
      </c>
      <c r="M59" s="279">
        <v>0</v>
      </c>
      <c r="N59" s="223">
        <v>0</v>
      </c>
      <c r="O59" s="281">
        <v>0</v>
      </c>
      <c r="P59" s="223">
        <v>640</v>
      </c>
      <c r="Q59" s="281">
        <v>539.20000000000005</v>
      </c>
      <c r="R59" s="278">
        <f t="shared" si="52"/>
        <v>0.53366464630430932</v>
      </c>
      <c r="S59" s="221">
        <f t="shared" si="53"/>
        <v>114.82310767037083</v>
      </c>
      <c r="T59" s="226">
        <f t="shared" si="74"/>
        <v>1607.5235073851916</v>
      </c>
      <c r="U59" s="279">
        <f t="shared" si="75"/>
        <v>1199.2550086127601</v>
      </c>
      <c r="V59" s="219">
        <f>IFERROR(VLOOKUP(B59,F_U!A:C,3,0),0)</f>
        <v>640</v>
      </c>
      <c r="W59" s="279">
        <f>IFERROR(VLOOKUP(B59,F_U!A:B,2,0),0)</f>
        <v>539.20000000000005</v>
      </c>
      <c r="X59" s="219">
        <f>IFERROR(VLOOKUP(B59,F_U!A:C,3,0),0)</f>
        <v>640</v>
      </c>
      <c r="Y59" s="279">
        <f>IFERROR(VLOOKUP(B59,F_U!A:B,2,0),0)</f>
        <v>539.20000000000005</v>
      </c>
      <c r="Z59" s="219">
        <f>IFERROR(VLOOKUP(B59,F_U!A:C,3,0),0)</f>
        <v>640</v>
      </c>
      <c r="AA59" s="279">
        <f>IFERROR(VLOOKUP(B59,F_U!A:B,2,0),0)</f>
        <v>539.20000000000005</v>
      </c>
      <c r="AB59" s="224">
        <f t="shared" si="54"/>
        <v>0.53366464630430932</v>
      </c>
      <c r="AC59" s="225"/>
      <c r="AD59" s="206"/>
      <c r="AE59" s="219"/>
      <c r="AF59" s="219"/>
      <c r="AG59" s="219"/>
      <c r="AH59" s="219"/>
      <c r="AI59" s="219"/>
      <c r="AJ59" s="219"/>
      <c r="AK59" s="224">
        <f t="shared" si="55"/>
        <v>0</v>
      </c>
      <c r="AL59" s="226">
        <f t="shared" si="76"/>
        <v>2398.5100172255202</v>
      </c>
      <c r="AM59" s="223">
        <f t="shared" si="56"/>
        <v>1280</v>
      </c>
      <c r="AN59" s="224">
        <f t="shared" si="57"/>
        <v>0.53366464630430932</v>
      </c>
      <c r="AP59" s="227"/>
      <c r="AQ59" s="221"/>
      <c r="AR59" s="206"/>
      <c r="AS59" s="219"/>
      <c r="AT59" s="219"/>
      <c r="AU59" s="219"/>
      <c r="AV59" s="219"/>
      <c r="AW59" s="219"/>
      <c r="AX59" s="219"/>
      <c r="AY59" s="224">
        <f t="shared" si="58"/>
        <v>0</v>
      </c>
      <c r="AZ59" s="221"/>
      <c r="BA59" s="206"/>
      <c r="BB59" s="219"/>
      <c r="BC59" s="219"/>
      <c r="BD59" s="219"/>
      <c r="BE59" s="219"/>
      <c r="BF59" s="219"/>
      <c r="BG59" s="219"/>
      <c r="BH59" s="224">
        <f t="shared" si="59"/>
        <v>0</v>
      </c>
      <c r="BI59" s="221"/>
      <c r="BJ59" s="206"/>
      <c r="BK59" s="219"/>
      <c r="BL59" s="219"/>
      <c r="BM59" s="219"/>
      <c r="BN59" s="219"/>
      <c r="BO59" s="219"/>
      <c r="BP59" s="219"/>
      <c r="BQ59" s="224">
        <f t="shared" si="60"/>
        <v>0</v>
      </c>
      <c r="BR59" s="226">
        <f t="shared" si="77"/>
        <v>0</v>
      </c>
      <c r="BS59" s="223">
        <f t="shared" si="61"/>
        <v>0</v>
      </c>
      <c r="BT59" s="224">
        <f t="shared" si="62"/>
        <v>0</v>
      </c>
      <c r="BV59" s="227"/>
      <c r="BW59" s="225"/>
      <c r="BX59" s="219"/>
      <c r="BY59" s="219"/>
      <c r="BZ59" s="219"/>
      <c r="CA59" s="219"/>
      <c r="CB59" s="219"/>
      <c r="CC59" s="219"/>
      <c r="CD59" s="219"/>
      <c r="CE59" s="224">
        <f t="shared" si="63"/>
        <v>0</v>
      </c>
      <c r="CF59" s="225"/>
      <c r="CG59" s="219"/>
      <c r="CH59" s="219"/>
      <c r="CI59" s="219"/>
      <c r="CJ59" s="219"/>
      <c r="CK59" s="219"/>
      <c r="CL59" s="219"/>
      <c r="CM59" s="219"/>
      <c r="CN59" s="224">
        <f t="shared" si="64"/>
        <v>0</v>
      </c>
      <c r="CO59" s="225"/>
      <c r="CP59" s="219"/>
      <c r="CQ59" s="219"/>
      <c r="CR59" s="219"/>
      <c r="CS59" s="219"/>
      <c r="CT59" s="219"/>
      <c r="CU59" s="219"/>
      <c r="CV59" s="219"/>
      <c r="CW59" s="224">
        <f t="shared" si="65"/>
        <v>0</v>
      </c>
      <c r="CX59" s="226">
        <f t="shared" si="78"/>
        <v>0</v>
      </c>
      <c r="CY59" s="223">
        <f t="shared" si="66"/>
        <v>0</v>
      </c>
      <c r="CZ59" s="224">
        <f t="shared" si="67"/>
        <v>0</v>
      </c>
      <c r="DB59" s="227">
        <v>6.8569547054102417E-3</v>
      </c>
      <c r="DC59" s="221"/>
      <c r="DD59" s="206"/>
      <c r="DE59" s="219"/>
      <c r="DF59" s="219"/>
      <c r="DG59" s="219"/>
      <c r="DH59" s="219"/>
      <c r="DI59" s="219"/>
      <c r="DJ59" s="219"/>
      <c r="DK59" s="224">
        <f t="shared" si="68"/>
        <v>0</v>
      </c>
      <c r="DL59" s="221"/>
      <c r="DM59" s="206"/>
      <c r="DN59" s="219"/>
      <c r="DO59" s="219"/>
      <c r="DP59" s="219"/>
      <c r="DQ59" s="219"/>
      <c r="DR59" s="219"/>
      <c r="DS59" s="219"/>
      <c r="DT59" s="224">
        <f t="shared" si="69"/>
        <v>0</v>
      </c>
      <c r="DU59" s="221"/>
      <c r="DV59" s="206"/>
      <c r="DW59" s="219"/>
      <c r="DX59" s="219"/>
      <c r="DY59" s="219"/>
      <c r="DZ59" s="219"/>
      <c r="EA59" s="219"/>
      <c r="EB59" s="219"/>
      <c r="EC59" s="224">
        <f t="shared" si="70"/>
        <v>0</v>
      </c>
      <c r="ED59" s="226">
        <f t="shared" si="79"/>
        <v>0</v>
      </c>
      <c r="EE59" s="223">
        <f t="shared" si="71"/>
        <v>0</v>
      </c>
      <c r="EF59" s="224">
        <f t="shared" si="72"/>
        <v>0</v>
      </c>
    </row>
    <row r="60" spans="1:136" hidden="1" outlineLevel="1" x14ac:dyDescent="0.25">
      <c r="A60" s="257">
        <v>23</v>
      </c>
      <c r="B60" s="217" t="s">
        <v>76</v>
      </c>
      <c r="C60" s="217" t="s">
        <v>993</v>
      </c>
      <c r="D60" s="217" t="s">
        <v>986</v>
      </c>
      <c r="E60" s="246" t="s">
        <v>465</v>
      </c>
      <c r="F60" s="219" t="s">
        <v>984</v>
      </c>
      <c r="G60" s="220">
        <f>VLOOKUP(B60,'Cons%'!B:S,18,0)</f>
        <v>2.4901255970176392</v>
      </c>
      <c r="H60" s="207"/>
      <c r="I60" s="221">
        <f t="shared" si="73"/>
        <v>103.56707791390193</v>
      </c>
      <c r="J60" s="282">
        <f t="shared" si="50"/>
        <v>1449.939090794627</v>
      </c>
      <c r="K60" s="222">
        <f t="shared" si="51"/>
        <v>1081.6928703253041</v>
      </c>
      <c r="L60" s="219">
        <v>0</v>
      </c>
      <c r="M60" s="279">
        <v>0</v>
      </c>
      <c r="N60" s="223">
        <v>700</v>
      </c>
      <c r="O60" s="281">
        <v>448</v>
      </c>
      <c r="P60" s="223">
        <v>1400</v>
      </c>
      <c r="Q60" s="281">
        <v>896</v>
      </c>
      <c r="R60" s="278">
        <f t="shared" si="52"/>
        <v>1.294267567446358</v>
      </c>
      <c r="S60" s="221">
        <f t="shared" si="53"/>
        <v>103.56707791390193</v>
      </c>
      <c r="T60" s="226">
        <f t="shared" si="74"/>
        <v>1449.939090794627</v>
      </c>
      <c r="U60" s="279">
        <f t="shared" si="75"/>
        <v>1081.6928703253041</v>
      </c>
      <c r="V60" s="219">
        <f>IFERROR(VLOOKUP(B60,F_U!A:C,3,0),0)</f>
        <v>1400</v>
      </c>
      <c r="W60" s="279">
        <f>IFERROR(VLOOKUP(B60,F_U!A:B,2,0),0)</f>
        <v>896</v>
      </c>
      <c r="X60" s="219">
        <f>IFERROR(VLOOKUP(B60,F_U!A:C,3,0),0)</f>
        <v>1400</v>
      </c>
      <c r="Y60" s="279">
        <f>IFERROR(VLOOKUP(B60,F_U!A:B,2,0),0)</f>
        <v>896</v>
      </c>
      <c r="Z60" s="219">
        <f>IFERROR(VLOOKUP(B60,F_U!A:C,3,0),0)</f>
        <v>1400</v>
      </c>
      <c r="AA60" s="279">
        <f>IFERROR(VLOOKUP(B60,F_U!A:B,2,0),0)</f>
        <v>896</v>
      </c>
      <c r="AB60" s="224">
        <f t="shared" si="54"/>
        <v>1.294267567446358</v>
      </c>
      <c r="AC60" s="225"/>
      <c r="AD60" s="206"/>
      <c r="AE60" s="219"/>
      <c r="AF60" s="219"/>
      <c r="AG60" s="219"/>
      <c r="AH60" s="219"/>
      <c r="AI60" s="219"/>
      <c r="AJ60" s="219"/>
      <c r="AK60" s="224">
        <f t="shared" si="55"/>
        <v>0</v>
      </c>
      <c r="AL60" s="226">
        <f t="shared" si="76"/>
        <v>2163.3857406506081</v>
      </c>
      <c r="AM60" s="223">
        <f t="shared" si="56"/>
        <v>2800</v>
      </c>
      <c r="AN60" s="224">
        <f t="shared" si="57"/>
        <v>1.294267567446358</v>
      </c>
      <c r="AP60" s="227"/>
      <c r="AQ60" s="221"/>
      <c r="AR60" s="206"/>
      <c r="AS60" s="219"/>
      <c r="AT60" s="219"/>
      <c r="AU60" s="219"/>
      <c r="AV60" s="219"/>
      <c r="AW60" s="219"/>
      <c r="AX60" s="219"/>
      <c r="AY60" s="224">
        <f t="shared" si="58"/>
        <v>0</v>
      </c>
      <c r="AZ60" s="221"/>
      <c r="BA60" s="206"/>
      <c r="BB60" s="219"/>
      <c r="BC60" s="219"/>
      <c r="BD60" s="219"/>
      <c r="BE60" s="219"/>
      <c r="BF60" s="219"/>
      <c r="BG60" s="219"/>
      <c r="BH60" s="224">
        <f t="shared" si="59"/>
        <v>0</v>
      </c>
      <c r="BI60" s="221"/>
      <c r="BJ60" s="206"/>
      <c r="BK60" s="219"/>
      <c r="BL60" s="219"/>
      <c r="BM60" s="219"/>
      <c r="BN60" s="219"/>
      <c r="BO60" s="219"/>
      <c r="BP60" s="219"/>
      <c r="BQ60" s="224">
        <f t="shared" si="60"/>
        <v>0</v>
      </c>
      <c r="BR60" s="226">
        <f t="shared" si="77"/>
        <v>0</v>
      </c>
      <c r="BS60" s="223">
        <f t="shared" si="61"/>
        <v>0</v>
      </c>
      <c r="BT60" s="224">
        <f t="shared" si="62"/>
        <v>0</v>
      </c>
      <c r="BV60" s="227"/>
      <c r="BW60" s="225"/>
      <c r="BX60" s="219"/>
      <c r="BY60" s="219"/>
      <c r="BZ60" s="219"/>
      <c r="CA60" s="219"/>
      <c r="CB60" s="219"/>
      <c r="CC60" s="219"/>
      <c r="CD60" s="219"/>
      <c r="CE60" s="224">
        <f t="shared" si="63"/>
        <v>0</v>
      </c>
      <c r="CF60" s="225"/>
      <c r="CG60" s="219"/>
      <c r="CH60" s="219"/>
      <c r="CI60" s="219"/>
      <c r="CJ60" s="219"/>
      <c r="CK60" s="219"/>
      <c r="CL60" s="219"/>
      <c r="CM60" s="219"/>
      <c r="CN60" s="224">
        <f t="shared" si="64"/>
        <v>0</v>
      </c>
      <c r="CO60" s="225"/>
      <c r="CP60" s="219"/>
      <c r="CQ60" s="219"/>
      <c r="CR60" s="219"/>
      <c r="CS60" s="219"/>
      <c r="CT60" s="219"/>
      <c r="CU60" s="219"/>
      <c r="CV60" s="219"/>
      <c r="CW60" s="224">
        <f t="shared" si="65"/>
        <v>0</v>
      </c>
      <c r="CX60" s="226">
        <f t="shared" si="78"/>
        <v>0</v>
      </c>
      <c r="CY60" s="223">
        <f t="shared" si="66"/>
        <v>0</v>
      </c>
      <c r="CZ60" s="224">
        <f t="shared" si="67"/>
        <v>0</v>
      </c>
      <c r="DB60" s="227">
        <v>4.1981355339246375E-3</v>
      </c>
      <c r="DC60" s="221"/>
      <c r="DD60" s="206"/>
      <c r="DE60" s="219"/>
      <c r="DF60" s="219"/>
      <c r="DG60" s="219"/>
      <c r="DH60" s="219"/>
      <c r="DI60" s="219"/>
      <c r="DJ60" s="219"/>
      <c r="DK60" s="224">
        <f t="shared" si="68"/>
        <v>0</v>
      </c>
      <c r="DL60" s="221"/>
      <c r="DM60" s="206"/>
      <c r="DN60" s="219"/>
      <c r="DO60" s="219"/>
      <c r="DP60" s="219"/>
      <c r="DQ60" s="219"/>
      <c r="DR60" s="219"/>
      <c r="DS60" s="219"/>
      <c r="DT60" s="224">
        <f t="shared" si="69"/>
        <v>0</v>
      </c>
      <c r="DU60" s="221"/>
      <c r="DV60" s="206"/>
      <c r="DW60" s="219"/>
      <c r="DX60" s="219"/>
      <c r="DY60" s="219"/>
      <c r="DZ60" s="219"/>
      <c r="EA60" s="219"/>
      <c r="EB60" s="219"/>
      <c r="EC60" s="224">
        <f t="shared" si="70"/>
        <v>0</v>
      </c>
      <c r="ED60" s="226">
        <f t="shared" si="79"/>
        <v>0</v>
      </c>
      <c r="EE60" s="223">
        <f t="shared" si="71"/>
        <v>0</v>
      </c>
      <c r="EF60" s="224">
        <f t="shared" si="72"/>
        <v>0</v>
      </c>
    </row>
    <row r="61" spans="1:136" hidden="1" outlineLevel="1" x14ac:dyDescent="0.25">
      <c r="A61" s="257">
        <v>24</v>
      </c>
      <c r="B61" s="217" t="s">
        <v>185</v>
      </c>
      <c r="C61" s="217" t="s">
        <v>97</v>
      </c>
      <c r="D61" s="217" t="s">
        <v>988</v>
      </c>
      <c r="E61" s="246" t="s">
        <v>476</v>
      </c>
      <c r="F61" s="219" t="s">
        <v>984</v>
      </c>
      <c r="G61" s="220">
        <f>VLOOKUP(B61,'Cons%'!B:S,18,0)</f>
        <v>2.5389515891160244</v>
      </c>
      <c r="H61" s="207"/>
      <c r="I61" s="221">
        <f t="shared" si="73"/>
        <v>105.59780493182159</v>
      </c>
      <c r="J61" s="282">
        <f t="shared" si="50"/>
        <v>1478.3692690455023</v>
      </c>
      <c r="K61" s="222">
        <f t="shared" si="51"/>
        <v>1102.9025344493298</v>
      </c>
      <c r="L61" s="219">
        <v>0</v>
      </c>
      <c r="M61" s="279">
        <v>0</v>
      </c>
      <c r="N61" s="223">
        <v>0</v>
      </c>
      <c r="O61" s="281">
        <v>0</v>
      </c>
      <c r="P61" s="223">
        <v>0</v>
      </c>
      <c r="Q61" s="281">
        <v>0</v>
      </c>
      <c r="R61" s="278">
        <f t="shared" si="52"/>
        <v>0</v>
      </c>
      <c r="S61" s="221">
        <f t="shared" si="53"/>
        <v>105.59780493182159</v>
      </c>
      <c r="T61" s="226">
        <f t="shared" si="74"/>
        <v>1478.3692690455023</v>
      </c>
      <c r="U61" s="279">
        <f t="shared" si="75"/>
        <v>1102.9025344493298</v>
      </c>
      <c r="V61" s="219">
        <f>IFERROR(VLOOKUP(B61,F_U!A:C,3,0),0)</f>
        <v>0</v>
      </c>
      <c r="W61" s="279">
        <f>IFERROR(VLOOKUP(B61,F_U!A:B,2,0),0)</f>
        <v>0</v>
      </c>
      <c r="X61" s="219">
        <f>IFERROR(VLOOKUP(B61,F_U!A:C,3,0),0)</f>
        <v>0</v>
      </c>
      <c r="Y61" s="279">
        <f>IFERROR(VLOOKUP(B61,F_U!A:B,2,0),0)</f>
        <v>0</v>
      </c>
      <c r="Z61" s="219">
        <f>IFERROR(VLOOKUP(B61,F_U!A:C,3,0),0)</f>
        <v>0</v>
      </c>
      <c r="AA61" s="279">
        <f>IFERROR(VLOOKUP(B61,F_U!A:B,2,0),0)</f>
        <v>0</v>
      </c>
      <c r="AB61" s="224">
        <f t="shared" si="54"/>
        <v>0</v>
      </c>
      <c r="AC61" s="225"/>
      <c r="AD61" s="206"/>
      <c r="AE61" s="219"/>
      <c r="AF61" s="219"/>
      <c r="AG61" s="219"/>
      <c r="AH61" s="219"/>
      <c r="AI61" s="219"/>
      <c r="AJ61" s="219"/>
      <c r="AK61" s="224">
        <f t="shared" si="55"/>
        <v>0</v>
      </c>
      <c r="AL61" s="226">
        <f t="shared" si="76"/>
        <v>2205.8050688986596</v>
      </c>
      <c r="AM61" s="223">
        <f t="shared" si="56"/>
        <v>0</v>
      </c>
      <c r="AN61" s="224">
        <f t="shared" si="57"/>
        <v>0</v>
      </c>
      <c r="AP61" s="227"/>
      <c r="AQ61" s="221"/>
      <c r="AR61" s="206"/>
      <c r="AS61" s="219"/>
      <c r="AT61" s="219"/>
      <c r="AU61" s="219"/>
      <c r="AV61" s="219"/>
      <c r="AW61" s="219"/>
      <c r="AX61" s="219"/>
      <c r="AY61" s="224">
        <f t="shared" si="58"/>
        <v>0</v>
      </c>
      <c r="AZ61" s="221"/>
      <c r="BA61" s="206"/>
      <c r="BB61" s="219"/>
      <c r="BC61" s="219"/>
      <c r="BD61" s="219"/>
      <c r="BE61" s="219"/>
      <c r="BF61" s="219"/>
      <c r="BG61" s="219"/>
      <c r="BH61" s="224">
        <f t="shared" si="59"/>
        <v>0</v>
      </c>
      <c r="BI61" s="221"/>
      <c r="BJ61" s="206"/>
      <c r="BK61" s="219"/>
      <c r="BL61" s="219"/>
      <c r="BM61" s="219"/>
      <c r="BN61" s="219"/>
      <c r="BO61" s="219"/>
      <c r="BP61" s="219"/>
      <c r="BQ61" s="224">
        <f t="shared" si="60"/>
        <v>0</v>
      </c>
      <c r="BR61" s="226">
        <f t="shared" si="77"/>
        <v>0</v>
      </c>
      <c r="BS61" s="223">
        <f t="shared" si="61"/>
        <v>0</v>
      </c>
      <c r="BT61" s="224">
        <f t="shared" si="62"/>
        <v>0</v>
      </c>
      <c r="BV61" s="227"/>
      <c r="BW61" s="225"/>
      <c r="BX61" s="219"/>
      <c r="BY61" s="219"/>
      <c r="BZ61" s="219"/>
      <c r="CA61" s="219"/>
      <c r="CB61" s="219"/>
      <c r="CC61" s="219"/>
      <c r="CD61" s="219"/>
      <c r="CE61" s="224">
        <f t="shared" si="63"/>
        <v>0</v>
      </c>
      <c r="CF61" s="225"/>
      <c r="CG61" s="219"/>
      <c r="CH61" s="219"/>
      <c r="CI61" s="219"/>
      <c r="CJ61" s="219"/>
      <c r="CK61" s="219"/>
      <c r="CL61" s="219"/>
      <c r="CM61" s="219"/>
      <c r="CN61" s="224">
        <f t="shared" si="64"/>
        <v>0</v>
      </c>
      <c r="CO61" s="225"/>
      <c r="CP61" s="219"/>
      <c r="CQ61" s="219"/>
      <c r="CR61" s="219"/>
      <c r="CS61" s="219"/>
      <c r="CT61" s="219"/>
      <c r="CU61" s="219"/>
      <c r="CV61" s="219"/>
      <c r="CW61" s="224">
        <f t="shared" si="65"/>
        <v>0</v>
      </c>
      <c r="CX61" s="226">
        <f t="shared" si="78"/>
        <v>0</v>
      </c>
      <c r="CY61" s="223">
        <f t="shared" si="66"/>
        <v>0</v>
      </c>
      <c r="CZ61" s="224">
        <f t="shared" si="67"/>
        <v>0</v>
      </c>
      <c r="DB61" s="227">
        <v>3.6231555985429979E-2</v>
      </c>
      <c r="DC61" s="221"/>
      <c r="DD61" s="206"/>
      <c r="DE61" s="219"/>
      <c r="DF61" s="219"/>
      <c r="DG61" s="219"/>
      <c r="DH61" s="219"/>
      <c r="DI61" s="219"/>
      <c r="DJ61" s="219"/>
      <c r="DK61" s="224">
        <f t="shared" si="68"/>
        <v>0</v>
      </c>
      <c r="DL61" s="221"/>
      <c r="DM61" s="206"/>
      <c r="DN61" s="219"/>
      <c r="DO61" s="219"/>
      <c r="DP61" s="219"/>
      <c r="DQ61" s="219"/>
      <c r="DR61" s="219"/>
      <c r="DS61" s="219"/>
      <c r="DT61" s="224">
        <f t="shared" si="69"/>
        <v>0</v>
      </c>
      <c r="DU61" s="221"/>
      <c r="DV61" s="206"/>
      <c r="DW61" s="219"/>
      <c r="DX61" s="219"/>
      <c r="DY61" s="219"/>
      <c r="DZ61" s="219"/>
      <c r="EA61" s="219"/>
      <c r="EB61" s="219"/>
      <c r="EC61" s="224">
        <f t="shared" si="70"/>
        <v>0</v>
      </c>
      <c r="ED61" s="226">
        <f t="shared" si="79"/>
        <v>0</v>
      </c>
      <c r="EE61" s="223">
        <f t="shared" si="71"/>
        <v>0</v>
      </c>
      <c r="EF61" s="224">
        <f t="shared" si="72"/>
        <v>0</v>
      </c>
    </row>
    <row r="62" spans="1:136" s="90" customFormat="1" ht="16.5" collapsed="1" thickBot="1" x14ac:dyDescent="0.3">
      <c r="A62" s="231"/>
      <c r="B62" s="488" t="s">
        <v>1246</v>
      </c>
      <c r="C62" s="488"/>
      <c r="D62" s="488"/>
      <c r="E62" s="488"/>
      <c r="F62" s="488"/>
      <c r="G62" s="259">
        <f>SUM(G38:G61)</f>
        <v>100</v>
      </c>
      <c r="H62" s="258"/>
      <c r="I62" s="231">
        <f t="shared" ref="I62:Q62" si="87">SUM(I38:I61)</f>
        <v>4159.1106102415733</v>
      </c>
      <c r="J62" s="232">
        <f t="shared" si="87"/>
        <v>58227.548543382021</v>
      </c>
      <c r="K62" s="233">
        <f t="shared" si="87"/>
        <v>43439.289633455461</v>
      </c>
      <c r="L62" s="234">
        <f t="shared" si="87"/>
        <v>4696</v>
      </c>
      <c r="M62" s="280">
        <f t="shared" si="87"/>
        <v>3567.04</v>
      </c>
      <c r="N62" s="234">
        <v>20438</v>
      </c>
      <c r="O62" s="280">
        <v>14853.68</v>
      </c>
      <c r="P62" s="234">
        <f>SUM(P38:P61)</f>
        <v>43678</v>
      </c>
      <c r="Q62" s="280">
        <f t="shared" si="87"/>
        <v>33017.68</v>
      </c>
      <c r="R62" s="235">
        <f>IFERROR((Q62/K62),0)</f>
        <v>0.76008793602763958</v>
      </c>
      <c r="S62" s="231">
        <f t="shared" ref="S62:AA62" si="88">SUM(S38:S61)</f>
        <v>4159.1106102415733</v>
      </c>
      <c r="T62" s="234">
        <f t="shared" si="88"/>
        <v>58227.548543382021</v>
      </c>
      <c r="U62" s="280">
        <f t="shared" si="88"/>
        <v>43439.289633455461</v>
      </c>
      <c r="V62" s="234">
        <f t="shared" si="88"/>
        <v>45078</v>
      </c>
      <c r="W62" s="280">
        <f t="shared" si="88"/>
        <v>33913.68</v>
      </c>
      <c r="X62" s="234">
        <f t="shared" si="88"/>
        <v>45078</v>
      </c>
      <c r="Y62" s="280">
        <f t="shared" si="88"/>
        <v>33913.68</v>
      </c>
      <c r="Z62" s="234">
        <f t="shared" si="88"/>
        <v>45078</v>
      </c>
      <c r="AA62" s="280">
        <f t="shared" si="88"/>
        <v>33913.68</v>
      </c>
      <c r="AB62" s="235">
        <f>IFERROR((AA62/U62),0)</f>
        <v>0.78071442434180227</v>
      </c>
      <c r="AC62" s="231">
        <f t="shared" ref="AC62:AJ62" si="89">SUM(AC38:AC61)</f>
        <v>0</v>
      </c>
      <c r="AD62" s="234">
        <f t="shared" si="89"/>
        <v>0</v>
      </c>
      <c r="AE62" s="234">
        <f t="shared" si="89"/>
        <v>0</v>
      </c>
      <c r="AF62" s="234">
        <f t="shared" si="89"/>
        <v>0</v>
      </c>
      <c r="AG62" s="234">
        <f t="shared" si="89"/>
        <v>0</v>
      </c>
      <c r="AH62" s="234">
        <f t="shared" si="89"/>
        <v>0</v>
      </c>
      <c r="AI62" s="234">
        <f t="shared" si="89"/>
        <v>0</v>
      </c>
      <c r="AJ62" s="234">
        <f t="shared" si="89"/>
        <v>0</v>
      </c>
      <c r="AK62" s="235">
        <f t="shared" si="55"/>
        <v>0</v>
      </c>
      <c r="AL62" s="231">
        <f>SUM(AL38:AL61)</f>
        <v>86878.579266910921</v>
      </c>
      <c r="AM62" s="234">
        <f>SUM(AM38:AM61)</f>
        <v>88756</v>
      </c>
      <c r="AN62" s="237">
        <f t="shared" si="57"/>
        <v>1.0216097080423152</v>
      </c>
      <c r="AP62" s="94"/>
      <c r="AQ62" s="231">
        <f t="shared" ref="AQ62:AX62" si="90">SUM(AQ38:AQ61)</f>
        <v>0</v>
      </c>
      <c r="AR62" s="234">
        <f t="shared" si="90"/>
        <v>0</v>
      </c>
      <c r="AS62" s="234">
        <f t="shared" si="90"/>
        <v>0</v>
      </c>
      <c r="AT62" s="234">
        <f t="shared" si="90"/>
        <v>0</v>
      </c>
      <c r="AU62" s="234">
        <f t="shared" si="90"/>
        <v>0</v>
      </c>
      <c r="AV62" s="234">
        <f t="shared" si="90"/>
        <v>0</v>
      </c>
      <c r="AW62" s="234">
        <f t="shared" si="90"/>
        <v>0</v>
      </c>
      <c r="AX62" s="234">
        <f t="shared" si="90"/>
        <v>0</v>
      </c>
      <c r="AY62" s="235">
        <f t="shared" si="58"/>
        <v>0</v>
      </c>
      <c r="AZ62" s="231">
        <f t="shared" ref="AZ62:BG62" si="91">SUM(AZ38:AZ61)</f>
        <v>0</v>
      </c>
      <c r="BA62" s="234">
        <f t="shared" si="91"/>
        <v>0</v>
      </c>
      <c r="BB62" s="234">
        <f t="shared" si="91"/>
        <v>0</v>
      </c>
      <c r="BC62" s="234">
        <f t="shared" si="91"/>
        <v>0</v>
      </c>
      <c r="BD62" s="234">
        <f t="shared" si="91"/>
        <v>0</v>
      </c>
      <c r="BE62" s="234">
        <f t="shared" si="91"/>
        <v>0</v>
      </c>
      <c r="BF62" s="234">
        <f t="shared" si="91"/>
        <v>0</v>
      </c>
      <c r="BG62" s="234">
        <f t="shared" si="91"/>
        <v>0</v>
      </c>
      <c r="BH62" s="235">
        <f t="shared" si="59"/>
        <v>0</v>
      </c>
      <c r="BI62" s="231">
        <f t="shared" ref="BI62:BP62" si="92">SUM(BI38:BI61)</f>
        <v>0</v>
      </c>
      <c r="BJ62" s="234">
        <f t="shared" si="92"/>
        <v>0</v>
      </c>
      <c r="BK62" s="234">
        <f t="shared" si="92"/>
        <v>0</v>
      </c>
      <c r="BL62" s="234">
        <f t="shared" si="92"/>
        <v>0</v>
      </c>
      <c r="BM62" s="234">
        <f t="shared" si="92"/>
        <v>0</v>
      </c>
      <c r="BN62" s="234">
        <f t="shared" si="92"/>
        <v>0</v>
      </c>
      <c r="BO62" s="234">
        <f t="shared" si="92"/>
        <v>0</v>
      </c>
      <c r="BP62" s="234">
        <f t="shared" si="92"/>
        <v>0</v>
      </c>
      <c r="BQ62" s="235">
        <f t="shared" si="60"/>
        <v>0</v>
      </c>
      <c r="BR62" s="231">
        <f>SUM(BR38:BR61)</f>
        <v>0</v>
      </c>
      <c r="BS62" s="234">
        <f>SUM(BS38:BS61)</f>
        <v>0</v>
      </c>
      <c r="BT62" s="237">
        <f t="shared" si="62"/>
        <v>0</v>
      </c>
      <c r="BV62" s="94"/>
      <c r="BW62" s="231">
        <f t="shared" ref="BW62:CD62" si="93">SUM(BW38:BW61)</f>
        <v>0</v>
      </c>
      <c r="BX62" s="234">
        <f t="shared" si="93"/>
        <v>0</v>
      </c>
      <c r="BY62" s="234">
        <f t="shared" si="93"/>
        <v>0</v>
      </c>
      <c r="BZ62" s="234">
        <f t="shared" si="93"/>
        <v>0</v>
      </c>
      <c r="CA62" s="234">
        <f t="shared" si="93"/>
        <v>0</v>
      </c>
      <c r="CB62" s="234">
        <f t="shared" si="93"/>
        <v>0</v>
      </c>
      <c r="CC62" s="234">
        <f t="shared" si="93"/>
        <v>0</v>
      </c>
      <c r="CD62" s="234">
        <f t="shared" si="93"/>
        <v>0</v>
      </c>
      <c r="CE62" s="235">
        <f t="shared" si="63"/>
        <v>0</v>
      </c>
      <c r="CF62" s="231">
        <f t="shared" ref="CF62:CM62" si="94">SUM(CF38:CF61)</f>
        <v>0</v>
      </c>
      <c r="CG62" s="234">
        <f t="shared" si="94"/>
        <v>0</v>
      </c>
      <c r="CH62" s="234">
        <f t="shared" si="94"/>
        <v>0</v>
      </c>
      <c r="CI62" s="234">
        <f t="shared" si="94"/>
        <v>0</v>
      </c>
      <c r="CJ62" s="234">
        <f t="shared" si="94"/>
        <v>0</v>
      </c>
      <c r="CK62" s="234">
        <f t="shared" si="94"/>
        <v>0</v>
      </c>
      <c r="CL62" s="234">
        <f t="shared" si="94"/>
        <v>0</v>
      </c>
      <c r="CM62" s="234">
        <f t="shared" si="94"/>
        <v>0</v>
      </c>
      <c r="CN62" s="235">
        <f t="shared" si="64"/>
        <v>0</v>
      </c>
      <c r="CO62" s="231">
        <f t="shared" ref="CO62:CV62" si="95">SUM(CO38:CO61)</f>
        <v>0</v>
      </c>
      <c r="CP62" s="234">
        <f t="shared" si="95"/>
        <v>0</v>
      </c>
      <c r="CQ62" s="234">
        <f t="shared" si="95"/>
        <v>0</v>
      </c>
      <c r="CR62" s="234">
        <f t="shared" si="95"/>
        <v>0</v>
      </c>
      <c r="CS62" s="234">
        <f t="shared" si="95"/>
        <v>0</v>
      </c>
      <c r="CT62" s="234">
        <f t="shared" si="95"/>
        <v>0</v>
      </c>
      <c r="CU62" s="234">
        <f t="shared" si="95"/>
        <v>0</v>
      </c>
      <c r="CV62" s="234">
        <f t="shared" si="95"/>
        <v>0</v>
      </c>
      <c r="CW62" s="235">
        <f t="shared" si="65"/>
        <v>0</v>
      </c>
      <c r="CX62" s="231">
        <f>SUM(CX38:CX61)</f>
        <v>0</v>
      </c>
      <c r="CY62" s="234">
        <f>SUM(CY38:CY61)</f>
        <v>0</v>
      </c>
      <c r="CZ62" s="237">
        <f t="shared" si="67"/>
        <v>0</v>
      </c>
      <c r="DB62" s="94"/>
      <c r="DC62" s="231">
        <f t="shared" ref="DC62:DJ62" si="96">SUM(DC38:DC61)</f>
        <v>0</v>
      </c>
      <c r="DD62" s="234">
        <f t="shared" si="96"/>
        <v>0</v>
      </c>
      <c r="DE62" s="234">
        <f t="shared" si="96"/>
        <v>0</v>
      </c>
      <c r="DF62" s="234">
        <f t="shared" si="96"/>
        <v>0</v>
      </c>
      <c r="DG62" s="234">
        <f t="shared" si="96"/>
        <v>0</v>
      </c>
      <c r="DH62" s="234">
        <f t="shared" si="96"/>
        <v>0</v>
      </c>
      <c r="DI62" s="234">
        <f t="shared" si="96"/>
        <v>0</v>
      </c>
      <c r="DJ62" s="234">
        <f t="shared" si="96"/>
        <v>0</v>
      </c>
      <c r="DK62" s="235">
        <f t="shared" si="68"/>
        <v>0</v>
      </c>
      <c r="DL62" s="231">
        <f t="shared" ref="DL62:DS62" si="97">SUM(DL38:DL61)</f>
        <v>0</v>
      </c>
      <c r="DM62" s="234">
        <f t="shared" si="97"/>
        <v>0</v>
      </c>
      <c r="DN62" s="234">
        <f t="shared" si="97"/>
        <v>0</v>
      </c>
      <c r="DO62" s="234">
        <f t="shared" si="97"/>
        <v>0</v>
      </c>
      <c r="DP62" s="234">
        <f t="shared" si="97"/>
        <v>0</v>
      </c>
      <c r="DQ62" s="234">
        <f t="shared" si="97"/>
        <v>0</v>
      </c>
      <c r="DR62" s="234">
        <f t="shared" si="97"/>
        <v>0</v>
      </c>
      <c r="DS62" s="234">
        <f t="shared" si="97"/>
        <v>0</v>
      </c>
      <c r="DT62" s="235">
        <f t="shared" si="69"/>
        <v>0</v>
      </c>
      <c r="DU62" s="231">
        <f t="shared" ref="DU62:EB62" si="98">SUM(DU38:DU61)</f>
        <v>0</v>
      </c>
      <c r="DV62" s="234">
        <f t="shared" si="98"/>
        <v>0</v>
      </c>
      <c r="DW62" s="234">
        <f t="shared" si="98"/>
        <v>0</v>
      </c>
      <c r="DX62" s="234">
        <f t="shared" si="98"/>
        <v>0</v>
      </c>
      <c r="DY62" s="234">
        <f t="shared" si="98"/>
        <v>0</v>
      </c>
      <c r="DZ62" s="234">
        <f t="shared" si="98"/>
        <v>0</v>
      </c>
      <c r="EA62" s="234">
        <f t="shared" si="98"/>
        <v>0</v>
      </c>
      <c r="EB62" s="234">
        <f t="shared" si="98"/>
        <v>0</v>
      </c>
      <c r="EC62" s="235">
        <f t="shared" si="70"/>
        <v>0</v>
      </c>
      <c r="ED62" s="231">
        <f>SUM(ED38:ED61)</f>
        <v>0</v>
      </c>
      <c r="EE62" s="234">
        <f>SUM(EE38:EE61)</f>
        <v>0</v>
      </c>
      <c r="EF62" s="237">
        <f t="shared" si="72"/>
        <v>0</v>
      </c>
    </row>
    <row r="63" spans="1:136" x14ac:dyDescent="0.25">
      <c r="H63" s="88"/>
      <c r="I63" s="88"/>
      <c r="J63" s="248" t="b">
        <f>J62=J36</f>
        <v>1</v>
      </c>
      <c r="K63" s="249" t="b">
        <f>K62=K36</f>
        <v>1</v>
      </c>
      <c r="L63" s="88"/>
      <c r="M63" s="88"/>
      <c r="N63" s="88"/>
      <c r="O63" s="88"/>
      <c r="R63" s="88"/>
      <c r="S63" s="88"/>
      <c r="T63" s="248" t="b">
        <f>T62=T36</f>
        <v>1</v>
      </c>
      <c r="U63" s="249" t="b">
        <f>U62=U36</f>
        <v>1</v>
      </c>
      <c r="V63" s="88"/>
      <c r="Y63" s="88"/>
      <c r="Z63" s="88"/>
      <c r="AA63" s="88"/>
      <c r="AB63" s="88"/>
    </row>
    <row r="64" spans="1:136" ht="16.5" hidden="1" thickBot="1" x14ac:dyDescent="0.3">
      <c r="H64" s="88"/>
      <c r="I64" s="88"/>
      <c r="J64" s="248"/>
      <c r="K64" s="249"/>
      <c r="L64" s="88"/>
      <c r="M64" s="88"/>
      <c r="N64" s="88"/>
      <c r="O64" s="88"/>
      <c r="R64" s="88"/>
      <c r="S64" s="88"/>
      <c r="T64" s="88"/>
      <c r="U64" s="88"/>
      <c r="V64" s="88"/>
      <c r="Y64" s="88"/>
      <c r="Z64" s="88"/>
      <c r="AA64" s="88"/>
      <c r="AB64" s="88"/>
    </row>
    <row r="65" spans="1:136" ht="16.5" hidden="1" thickBot="1" x14ac:dyDescent="0.3">
      <c r="H65" s="156"/>
      <c r="I65" s="489" t="s">
        <v>994</v>
      </c>
      <c r="J65" s="490"/>
      <c r="K65" s="490"/>
      <c r="L65" s="490"/>
      <c r="M65" s="490"/>
      <c r="N65" s="490"/>
      <c r="O65" s="490"/>
      <c r="P65" s="490"/>
      <c r="Q65" s="490"/>
      <c r="R65" s="490"/>
      <c r="S65" s="490"/>
      <c r="T65" s="490"/>
      <c r="U65" s="490"/>
      <c r="V65" s="490"/>
      <c r="W65" s="490"/>
      <c r="X65" s="490"/>
      <c r="Y65" s="490"/>
      <c r="Z65" s="490"/>
      <c r="AA65" s="490"/>
      <c r="AB65" s="490"/>
      <c r="AC65" s="490"/>
      <c r="AD65" s="490"/>
      <c r="AE65" s="490"/>
      <c r="AF65" s="490"/>
      <c r="AG65" s="490"/>
      <c r="AH65" s="490"/>
      <c r="AI65" s="490"/>
      <c r="AJ65" s="490"/>
      <c r="AK65" s="490"/>
      <c r="AL65" s="490"/>
      <c r="AM65" s="490"/>
      <c r="AN65" s="491"/>
      <c r="AQ65" s="419" t="s">
        <v>953</v>
      </c>
      <c r="AR65" s="420"/>
      <c r="AS65" s="420"/>
      <c r="AT65" s="420"/>
      <c r="AU65" s="420"/>
      <c r="AV65" s="420"/>
      <c r="AW65" s="420"/>
      <c r="AX65" s="420"/>
      <c r="AY65" s="420"/>
      <c r="AZ65" s="420"/>
      <c r="BA65" s="420"/>
      <c r="BB65" s="420"/>
      <c r="BC65" s="420"/>
      <c r="BD65" s="420"/>
      <c r="BE65" s="420"/>
      <c r="BF65" s="420"/>
      <c r="BG65" s="420"/>
      <c r="BH65" s="420"/>
      <c r="BI65" s="420"/>
      <c r="BJ65" s="420"/>
      <c r="BK65" s="420"/>
      <c r="BL65" s="420"/>
      <c r="BM65" s="420"/>
      <c r="BN65" s="420"/>
      <c r="BO65" s="420"/>
      <c r="BP65" s="420"/>
      <c r="BQ65" s="420"/>
      <c r="BR65" s="420"/>
      <c r="BS65" s="420"/>
      <c r="BT65" s="421"/>
      <c r="BW65" s="419" t="s">
        <v>954</v>
      </c>
      <c r="BX65" s="420"/>
      <c r="BY65" s="420"/>
      <c r="BZ65" s="420"/>
      <c r="CA65" s="420"/>
      <c r="CB65" s="420"/>
      <c r="CC65" s="420"/>
      <c r="CD65" s="420"/>
      <c r="CE65" s="420"/>
      <c r="CF65" s="420"/>
      <c r="CG65" s="420"/>
      <c r="CH65" s="420"/>
      <c r="CI65" s="420"/>
      <c r="CJ65" s="420"/>
      <c r="CK65" s="420"/>
      <c r="CL65" s="420"/>
      <c r="CM65" s="420"/>
      <c r="CN65" s="420"/>
      <c r="CO65" s="420"/>
      <c r="CP65" s="420"/>
      <c r="CQ65" s="420"/>
      <c r="CR65" s="420"/>
      <c r="CS65" s="420"/>
      <c r="CT65" s="420"/>
      <c r="CU65" s="420"/>
      <c r="CV65" s="420"/>
      <c r="CW65" s="420"/>
      <c r="CX65" s="420"/>
      <c r="CY65" s="420"/>
      <c r="CZ65" s="421"/>
      <c r="DA65" s="186"/>
      <c r="DB65" s="186"/>
      <c r="DC65" s="419" t="s">
        <v>955</v>
      </c>
      <c r="DD65" s="420"/>
      <c r="DE65" s="420"/>
      <c r="DF65" s="420"/>
      <c r="DG65" s="420"/>
      <c r="DH65" s="420"/>
      <c r="DI65" s="420"/>
      <c r="DJ65" s="420"/>
      <c r="DK65" s="420"/>
      <c r="DL65" s="420"/>
      <c r="DM65" s="420"/>
      <c r="DN65" s="420"/>
      <c r="DO65" s="420"/>
      <c r="DP65" s="420"/>
      <c r="DQ65" s="420"/>
      <c r="DR65" s="420"/>
      <c r="DS65" s="420"/>
      <c r="DT65" s="420"/>
      <c r="DU65" s="420"/>
      <c r="DV65" s="420"/>
      <c r="DW65" s="420"/>
      <c r="DX65" s="420"/>
      <c r="DY65" s="420"/>
      <c r="DZ65" s="420"/>
      <c r="EA65" s="420"/>
      <c r="EB65" s="420"/>
      <c r="EC65" s="420"/>
      <c r="ED65" s="420"/>
      <c r="EE65" s="420"/>
      <c r="EF65" s="421"/>
    </row>
    <row r="66" spans="1:136" hidden="1" x14ac:dyDescent="0.25">
      <c r="A66" s="90"/>
      <c r="B66" s="187" t="s">
        <v>995</v>
      </c>
      <c r="C66" s="90"/>
      <c r="D66" s="90"/>
      <c r="E66" s="90"/>
      <c r="F66" s="90"/>
      <c r="I66" s="422">
        <v>46023</v>
      </c>
      <c r="J66" s="423"/>
      <c r="K66" s="424"/>
      <c r="L66" s="424"/>
      <c r="M66" s="424"/>
      <c r="N66" s="424"/>
      <c r="O66" s="424"/>
      <c r="P66" s="424"/>
      <c r="Q66" s="424"/>
      <c r="R66" s="425"/>
      <c r="S66" s="422">
        <v>46054</v>
      </c>
      <c r="T66" s="423"/>
      <c r="U66" s="424"/>
      <c r="V66" s="424"/>
      <c r="W66" s="424"/>
      <c r="X66" s="424"/>
      <c r="Y66" s="424"/>
      <c r="Z66" s="424"/>
      <c r="AA66" s="424"/>
      <c r="AB66" s="425"/>
      <c r="AC66" s="422">
        <v>46082</v>
      </c>
      <c r="AD66" s="424"/>
      <c r="AE66" s="424"/>
      <c r="AF66" s="424"/>
      <c r="AG66" s="424"/>
      <c r="AH66" s="424"/>
      <c r="AI66" s="424"/>
      <c r="AJ66" s="424"/>
      <c r="AK66" s="425"/>
      <c r="AL66" s="426" t="s">
        <v>957</v>
      </c>
      <c r="AM66" s="427"/>
      <c r="AN66" s="428"/>
      <c r="AP66" s="90"/>
      <c r="AQ66" s="429">
        <v>46113</v>
      </c>
      <c r="AR66" s="430"/>
      <c r="AS66" s="430"/>
      <c r="AT66" s="430"/>
      <c r="AU66" s="430"/>
      <c r="AV66" s="430"/>
      <c r="AW66" s="430"/>
      <c r="AX66" s="430"/>
      <c r="AY66" s="431"/>
      <c r="AZ66" s="429">
        <v>46143</v>
      </c>
      <c r="BA66" s="430"/>
      <c r="BB66" s="430"/>
      <c r="BC66" s="430"/>
      <c r="BD66" s="430"/>
      <c r="BE66" s="430"/>
      <c r="BF66" s="430"/>
      <c r="BG66" s="430"/>
      <c r="BH66" s="431"/>
      <c r="BI66" s="429">
        <v>46174</v>
      </c>
      <c r="BJ66" s="430"/>
      <c r="BK66" s="430"/>
      <c r="BL66" s="430"/>
      <c r="BM66" s="430"/>
      <c r="BN66" s="430"/>
      <c r="BO66" s="430"/>
      <c r="BP66" s="430"/>
      <c r="BQ66" s="431"/>
      <c r="BR66" s="432" t="s">
        <v>958</v>
      </c>
      <c r="BS66" s="433"/>
      <c r="BT66" s="434"/>
      <c r="BV66" s="90"/>
      <c r="BW66" s="429">
        <v>46204</v>
      </c>
      <c r="BX66" s="430"/>
      <c r="BY66" s="430"/>
      <c r="BZ66" s="430"/>
      <c r="CA66" s="430"/>
      <c r="CB66" s="430"/>
      <c r="CC66" s="430"/>
      <c r="CD66" s="430"/>
      <c r="CE66" s="431"/>
      <c r="CF66" s="429">
        <v>46235</v>
      </c>
      <c r="CG66" s="430"/>
      <c r="CH66" s="430"/>
      <c r="CI66" s="430"/>
      <c r="CJ66" s="430"/>
      <c r="CK66" s="430"/>
      <c r="CL66" s="430"/>
      <c r="CM66" s="430"/>
      <c r="CN66" s="431"/>
      <c r="CO66" s="429">
        <v>46266</v>
      </c>
      <c r="CP66" s="430"/>
      <c r="CQ66" s="430"/>
      <c r="CR66" s="430"/>
      <c r="CS66" s="430"/>
      <c r="CT66" s="430"/>
      <c r="CU66" s="430"/>
      <c r="CV66" s="430"/>
      <c r="CW66" s="431"/>
      <c r="CX66" s="432" t="s">
        <v>959</v>
      </c>
      <c r="CY66" s="433"/>
      <c r="CZ66" s="434"/>
      <c r="DA66" s="193"/>
      <c r="DB66" s="193"/>
      <c r="DC66" s="429">
        <v>46296</v>
      </c>
      <c r="DD66" s="430"/>
      <c r="DE66" s="430"/>
      <c r="DF66" s="430"/>
      <c r="DG66" s="430"/>
      <c r="DH66" s="430"/>
      <c r="DI66" s="430"/>
      <c r="DJ66" s="430"/>
      <c r="DK66" s="431"/>
      <c r="DL66" s="429">
        <v>46327</v>
      </c>
      <c r="DM66" s="430"/>
      <c r="DN66" s="430"/>
      <c r="DO66" s="430"/>
      <c r="DP66" s="430"/>
      <c r="DQ66" s="430"/>
      <c r="DR66" s="430"/>
      <c r="DS66" s="430"/>
      <c r="DT66" s="431"/>
      <c r="DU66" s="429">
        <v>46357</v>
      </c>
      <c r="DV66" s="430"/>
      <c r="DW66" s="430"/>
      <c r="DX66" s="430"/>
      <c r="DY66" s="430"/>
      <c r="DZ66" s="430"/>
      <c r="EA66" s="430"/>
      <c r="EB66" s="430"/>
      <c r="EC66" s="431"/>
      <c r="ED66" s="432" t="s">
        <v>960</v>
      </c>
      <c r="EE66" s="433"/>
      <c r="EF66" s="434"/>
    </row>
    <row r="67" spans="1:136" ht="16.5" hidden="1" thickBot="1" x14ac:dyDescent="0.3">
      <c r="A67" s="90"/>
      <c r="B67" s="90"/>
      <c r="C67" s="90"/>
      <c r="D67" s="90"/>
      <c r="E67" s="90"/>
      <c r="F67" s="90"/>
      <c r="I67" s="194"/>
      <c r="J67" s="241">
        <f>AF3*AD7%</f>
        <v>13193.612520565628</v>
      </c>
      <c r="K67" s="242">
        <f>AF4*AD7%</f>
        <v>9842.7835265198355</v>
      </c>
      <c r="L67" s="492">
        <v>10</v>
      </c>
      <c r="M67" s="492"/>
      <c r="N67" s="463">
        <v>20</v>
      </c>
      <c r="O67" s="463"/>
      <c r="P67" s="463">
        <v>30</v>
      </c>
      <c r="Q67" s="463"/>
      <c r="R67" s="305" t="s">
        <v>961</v>
      </c>
      <c r="S67" s="394"/>
      <c r="T67" s="393">
        <f>AG3*AD7%</f>
        <v>13193.612520565628</v>
      </c>
      <c r="U67" s="389">
        <f>AG4*AD7%</f>
        <v>9842.7835265198355</v>
      </c>
      <c r="V67" s="493">
        <v>10</v>
      </c>
      <c r="W67" s="493"/>
      <c r="X67" s="452">
        <v>20</v>
      </c>
      <c r="Y67" s="452"/>
      <c r="Z67" s="452">
        <v>30</v>
      </c>
      <c r="AA67" s="452"/>
      <c r="AB67" s="197" t="s">
        <v>961</v>
      </c>
      <c r="AC67" s="494">
        <f>AH3*AD7</f>
        <v>1319361.2520565628</v>
      </c>
      <c r="AD67" s="495"/>
      <c r="AE67" s="469">
        <v>10</v>
      </c>
      <c r="AF67" s="470"/>
      <c r="AG67" s="497">
        <v>20</v>
      </c>
      <c r="AH67" s="497"/>
      <c r="AI67" s="497">
        <v>30</v>
      </c>
      <c r="AJ67" s="497"/>
      <c r="AK67" s="250" t="s">
        <v>961</v>
      </c>
      <c r="AL67" s="221" t="s">
        <v>962</v>
      </c>
      <c r="AM67" s="206" t="s">
        <v>963</v>
      </c>
      <c r="AN67" s="244" t="s">
        <v>964</v>
      </c>
      <c r="AQ67" s="453"/>
      <c r="AR67" s="454"/>
      <c r="AS67" s="455">
        <v>10</v>
      </c>
      <c r="AT67" s="455"/>
      <c r="AU67" s="455">
        <v>20</v>
      </c>
      <c r="AV67" s="455"/>
      <c r="AW67" s="455">
        <v>30</v>
      </c>
      <c r="AX67" s="455"/>
      <c r="AY67" s="201" t="s">
        <v>964</v>
      </c>
      <c r="AZ67" s="453"/>
      <c r="BA67" s="454"/>
      <c r="BB67" s="455">
        <v>10</v>
      </c>
      <c r="BC67" s="455"/>
      <c r="BD67" s="455">
        <v>20</v>
      </c>
      <c r="BE67" s="455"/>
      <c r="BF67" s="455">
        <v>31</v>
      </c>
      <c r="BG67" s="455"/>
      <c r="BH67" s="201" t="s">
        <v>964</v>
      </c>
      <c r="BI67" s="453"/>
      <c r="BJ67" s="454"/>
      <c r="BK67" s="455">
        <v>10</v>
      </c>
      <c r="BL67" s="455"/>
      <c r="BM67" s="455">
        <v>20</v>
      </c>
      <c r="BN67" s="455"/>
      <c r="BO67" s="455">
        <v>30</v>
      </c>
      <c r="BP67" s="455"/>
      <c r="BQ67" s="201" t="s">
        <v>964</v>
      </c>
      <c r="BR67" s="202" t="s">
        <v>962</v>
      </c>
      <c r="BS67" s="203" t="s">
        <v>963</v>
      </c>
      <c r="BT67" s="204" t="s">
        <v>964</v>
      </c>
      <c r="BW67" s="457"/>
      <c r="BX67" s="458"/>
      <c r="BY67" s="456">
        <v>10</v>
      </c>
      <c r="BZ67" s="456"/>
      <c r="CA67" s="456">
        <v>20</v>
      </c>
      <c r="CB67" s="456"/>
      <c r="CC67" s="456">
        <v>30</v>
      </c>
      <c r="CD67" s="456"/>
      <c r="CE67" s="205" t="s">
        <v>964</v>
      </c>
      <c r="CF67" s="457"/>
      <c r="CG67" s="458"/>
      <c r="CH67" s="456">
        <v>10</v>
      </c>
      <c r="CI67" s="456"/>
      <c r="CJ67" s="456">
        <v>20</v>
      </c>
      <c r="CK67" s="456"/>
      <c r="CL67" s="456">
        <v>30</v>
      </c>
      <c r="CM67" s="456"/>
      <c r="CN67" s="205" t="s">
        <v>964</v>
      </c>
      <c r="CO67" s="457"/>
      <c r="CP67" s="458"/>
      <c r="CQ67" s="456">
        <v>10</v>
      </c>
      <c r="CR67" s="456"/>
      <c r="CS67" s="456">
        <v>20</v>
      </c>
      <c r="CT67" s="456"/>
      <c r="CU67" s="456">
        <v>30</v>
      </c>
      <c r="CV67" s="456"/>
      <c r="CW67" s="205" t="s">
        <v>964</v>
      </c>
      <c r="CX67" s="202" t="s">
        <v>962</v>
      </c>
      <c r="CY67" s="203" t="s">
        <v>963</v>
      </c>
      <c r="CZ67" s="204" t="s">
        <v>964</v>
      </c>
      <c r="DA67" s="193"/>
      <c r="DB67" s="193"/>
      <c r="DC67" s="457"/>
      <c r="DD67" s="458"/>
      <c r="DE67" s="456">
        <v>10</v>
      </c>
      <c r="DF67" s="456"/>
      <c r="DG67" s="456">
        <v>20</v>
      </c>
      <c r="DH67" s="456"/>
      <c r="DI67" s="456">
        <v>30</v>
      </c>
      <c r="DJ67" s="456"/>
      <c r="DK67" s="205" t="s">
        <v>964</v>
      </c>
      <c r="DL67" s="457"/>
      <c r="DM67" s="458"/>
      <c r="DN67" s="456">
        <v>10</v>
      </c>
      <c r="DO67" s="456"/>
      <c r="DP67" s="456">
        <v>20</v>
      </c>
      <c r="DQ67" s="456"/>
      <c r="DR67" s="456">
        <v>30</v>
      </c>
      <c r="DS67" s="456"/>
      <c r="DT67" s="205" t="s">
        <v>964</v>
      </c>
      <c r="DU67" s="457"/>
      <c r="DV67" s="458"/>
      <c r="DW67" s="456">
        <v>10</v>
      </c>
      <c r="DX67" s="456"/>
      <c r="DY67" s="456">
        <v>20</v>
      </c>
      <c r="DZ67" s="456"/>
      <c r="EA67" s="456">
        <v>30</v>
      </c>
      <c r="EB67" s="456"/>
      <c r="EC67" s="205" t="s">
        <v>964</v>
      </c>
      <c r="ED67" s="202" t="s">
        <v>962</v>
      </c>
      <c r="EE67" s="203" t="s">
        <v>963</v>
      </c>
      <c r="EF67" s="204" t="s">
        <v>964</v>
      </c>
    </row>
    <row r="68" spans="1:136" s="90" customFormat="1" hidden="1" x14ac:dyDescent="0.25">
      <c r="A68" s="188" t="s">
        <v>965</v>
      </c>
      <c r="B68" s="189" t="s">
        <v>996</v>
      </c>
      <c r="C68" s="189" t="s">
        <v>997</v>
      </c>
      <c r="D68" s="427" t="s">
        <v>998</v>
      </c>
      <c r="E68" s="427"/>
      <c r="F68" s="189" t="s">
        <v>999</v>
      </c>
      <c r="G68" s="384" t="s">
        <v>969</v>
      </c>
      <c r="H68" s="256" t="s">
        <v>970</v>
      </c>
      <c r="I68" s="188" t="s">
        <v>971</v>
      </c>
      <c r="J68" s="189" t="s">
        <v>972</v>
      </c>
      <c r="K68" s="209" t="s">
        <v>972</v>
      </c>
      <c r="L68" s="189" t="s">
        <v>972</v>
      </c>
      <c r="M68" s="385" t="s">
        <v>468</v>
      </c>
      <c r="N68" s="189" t="s">
        <v>972</v>
      </c>
      <c r="O68" s="385" t="s">
        <v>468</v>
      </c>
      <c r="P68" s="189" t="s">
        <v>972</v>
      </c>
      <c r="Q68" s="385" t="s">
        <v>468</v>
      </c>
      <c r="R68" s="328" t="s">
        <v>468</v>
      </c>
      <c r="S68" s="210" t="s">
        <v>971</v>
      </c>
      <c r="T68" s="184" t="s">
        <v>972</v>
      </c>
      <c r="U68" s="254" t="s">
        <v>973</v>
      </c>
      <c r="V68" s="211" t="s">
        <v>972</v>
      </c>
      <c r="W68" s="211" t="s">
        <v>468</v>
      </c>
      <c r="X68" s="211" t="s">
        <v>972</v>
      </c>
      <c r="Y68" s="211" t="s">
        <v>468</v>
      </c>
      <c r="Z68" s="211" t="s">
        <v>972</v>
      </c>
      <c r="AA68" s="211" t="s">
        <v>468</v>
      </c>
      <c r="AB68" s="185" t="s">
        <v>468</v>
      </c>
      <c r="AC68" s="221" t="s">
        <v>971</v>
      </c>
      <c r="AD68" s="206" t="s">
        <v>972</v>
      </c>
      <c r="AE68" s="206" t="s">
        <v>972</v>
      </c>
      <c r="AF68" s="206" t="s">
        <v>468</v>
      </c>
      <c r="AG68" s="206" t="s">
        <v>972</v>
      </c>
      <c r="AH68" s="206" t="s">
        <v>468</v>
      </c>
      <c r="AI68" s="206" t="s">
        <v>972</v>
      </c>
      <c r="AJ68" s="206" t="s">
        <v>468</v>
      </c>
      <c r="AK68" s="211" t="s">
        <v>972</v>
      </c>
      <c r="AL68" s="221" t="s">
        <v>972</v>
      </c>
      <c r="AM68" s="206" t="s">
        <v>972</v>
      </c>
      <c r="AN68" s="244"/>
      <c r="AP68" s="206" t="s">
        <v>969</v>
      </c>
      <c r="AQ68" s="190" t="s">
        <v>971</v>
      </c>
      <c r="AR68" s="191" t="s">
        <v>972</v>
      </c>
      <c r="AS68" s="191" t="s">
        <v>972</v>
      </c>
      <c r="AT68" s="191" t="s">
        <v>974</v>
      </c>
      <c r="AU68" s="191" t="s">
        <v>972</v>
      </c>
      <c r="AV68" s="191" t="s">
        <v>974</v>
      </c>
      <c r="AW68" s="191" t="s">
        <v>972</v>
      </c>
      <c r="AX68" s="191" t="s">
        <v>974</v>
      </c>
      <c r="AY68" s="192" t="s">
        <v>972</v>
      </c>
      <c r="AZ68" s="190" t="s">
        <v>971</v>
      </c>
      <c r="BA68" s="191" t="s">
        <v>972</v>
      </c>
      <c r="BB68" s="191" t="s">
        <v>972</v>
      </c>
      <c r="BC68" s="191" t="s">
        <v>974</v>
      </c>
      <c r="BD68" s="191" t="s">
        <v>972</v>
      </c>
      <c r="BE68" s="191" t="s">
        <v>974</v>
      </c>
      <c r="BF68" s="191" t="s">
        <v>972</v>
      </c>
      <c r="BG68" s="191" t="s">
        <v>974</v>
      </c>
      <c r="BH68" s="192" t="s">
        <v>972</v>
      </c>
      <c r="BI68" s="190" t="s">
        <v>971</v>
      </c>
      <c r="BJ68" s="191" t="s">
        <v>972</v>
      </c>
      <c r="BK68" s="191" t="s">
        <v>972</v>
      </c>
      <c r="BL68" s="191" t="s">
        <v>974</v>
      </c>
      <c r="BM68" s="191" t="s">
        <v>972</v>
      </c>
      <c r="BN68" s="191" t="s">
        <v>974</v>
      </c>
      <c r="BO68" s="191" t="s">
        <v>972</v>
      </c>
      <c r="BP68" s="191" t="s">
        <v>974</v>
      </c>
      <c r="BQ68" s="192" t="s">
        <v>972</v>
      </c>
      <c r="BR68" s="190" t="s">
        <v>972</v>
      </c>
      <c r="BS68" s="191" t="s">
        <v>972</v>
      </c>
      <c r="BT68" s="192" t="s">
        <v>972</v>
      </c>
      <c r="BV68" s="206" t="s">
        <v>969</v>
      </c>
      <c r="BW68" s="190" t="s">
        <v>971</v>
      </c>
      <c r="BX68" s="191" t="s">
        <v>972</v>
      </c>
      <c r="BY68" s="191" t="s">
        <v>972</v>
      </c>
      <c r="BZ68" s="191" t="s">
        <v>974</v>
      </c>
      <c r="CA68" s="191" t="s">
        <v>972</v>
      </c>
      <c r="CB68" s="191" t="s">
        <v>974</v>
      </c>
      <c r="CC68" s="191" t="s">
        <v>972</v>
      </c>
      <c r="CD68" s="191" t="s">
        <v>974</v>
      </c>
      <c r="CE68" s="192" t="s">
        <v>972</v>
      </c>
      <c r="CF68" s="190" t="s">
        <v>971</v>
      </c>
      <c r="CG68" s="191" t="s">
        <v>972</v>
      </c>
      <c r="CH68" s="191" t="s">
        <v>972</v>
      </c>
      <c r="CI68" s="191" t="s">
        <v>974</v>
      </c>
      <c r="CJ68" s="191" t="s">
        <v>972</v>
      </c>
      <c r="CK68" s="191" t="s">
        <v>974</v>
      </c>
      <c r="CL68" s="191" t="s">
        <v>972</v>
      </c>
      <c r="CM68" s="191" t="s">
        <v>974</v>
      </c>
      <c r="CN68" s="192" t="s">
        <v>972</v>
      </c>
      <c r="CO68" s="190" t="s">
        <v>971</v>
      </c>
      <c r="CP68" s="191" t="s">
        <v>972</v>
      </c>
      <c r="CQ68" s="191" t="s">
        <v>972</v>
      </c>
      <c r="CR68" s="191" t="s">
        <v>974</v>
      </c>
      <c r="CS68" s="191" t="s">
        <v>972</v>
      </c>
      <c r="CT68" s="191" t="s">
        <v>974</v>
      </c>
      <c r="CU68" s="191" t="s">
        <v>972</v>
      </c>
      <c r="CV68" s="191" t="s">
        <v>974</v>
      </c>
      <c r="CW68" s="192" t="s">
        <v>972</v>
      </c>
      <c r="CX68" s="190" t="s">
        <v>972</v>
      </c>
      <c r="CY68" s="191" t="s">
        <v>972</v>
      </c>
      <c r="CZ68" s="192" t="s">
        <v>972</v>
      </c>
      <c r="DA68" s="213"/>
      <c r="DB68" s="214" t="s">
        <v>969</v>
      </c>
      <c r="DC68" s="190" t="s">
        <v>971</v>
      </c>
      <c r="DD68" s="191" t="s">
        <v>972</v>
      </c>
      <c r="DE68" s="191" t="s">
        <v>972</v>
      </c>
      <c r="DF68" s="191" t="s">
        <v>974</v>
      </c>
      <c r="DG68" s="191" t="s">
        <v>972</v>
      </c>
      <c r="DH68" s="191" t="s">
        <v>974</v>
      </c>
      <c r="DI68" s="191" t="s">
        <v>972</v>
      </c>
      <c r="DJ68" s="191" t="s">
        <v>974</v>
      </c>
      <c r="DK68" s="192" t="s">
        <v>972</v>
      </c>
      <c r="DL68" s="190" t="s">
        <v>971</v>
      </c>
      <c r="DM68" s="191" t="s">
        <v>972</v>
      </c>
      <c r="DN68" s="191" t="s">
        <v>972</v>
      </c>
      <c r="DO68" s="191" t="s">
        <v>974</v>
      </c>
      <c r="DP68" s="191" t="s">
        <v>972</v>
      </c>
      <c r="DQ68" s="191" t="s">
        <v>974</v>
      </c>
      <c r="DR68" s="191" t="s">
        <v>972</v>
      </c>
      <c r="DS68" s="191" t="s">
        <v>974</v>
      </c>
      <c r="DT68" s="192" t="s">
        <v>972</v>
      </c>
      <c r="DU68" s="190" t="s">
        <v>971</v>
      </c>
      <c r="DV68" s="191" t="s">
        <v>972</v>
      </c>
      <c r="DW68" s="191" t="s">
        <v>972</v>
      </c>
      <c r="DX68" s="191" t="s">
        <v>974</v>
      </c>
      <c r="DY68" s="191" t="s">
        <v>972</v>
      </c>
      <c r="DZ68" s="191" t="s">
        <v>974</v>
      </c>
      <c r="EA68" s="191" t="s">
        <v>972</v>
      </c>
      <c r="EB68" s="191" t="s">
        <v>974</v>
      </c>
      <c r="EC68" s="192" t="s">
        <v>972</v>
      </c>
      <c r="ED68" s="215" t="s">
        <v>972</v>
      </c>
      <c r="EE68" s="216" t="s">
        <v>972</v>
      </c>
      <c r="EF68" s="192" t="s">
        <v>972</v>
      </c>
    </row>
    <row r="69" spans="1:136" s="90" customFormat="1" hidden="1" outlineLevel="1" x14ac:dyDescent="0.25">
      <c r="A69" s="257">
        <v>1</v>
      </c>
      <c r="B69" s="217" t="s">
        <v>388</v>
      </c>
      <c r="C69" s="217" t="s">
        <v>566</v>
      </c>
      <c r="D69" s="217" t="s">
        <v>147</v>
      </c>
      <c r="E69" s="245" t="s">
        <v>457</v>
      </c>
      <c r="F69" s="219" t="s">
        <v>1000</v>
      </c>
      <c r="G69" s="220">
        <v>11.703918283708935</v>
      </c>
      <c r="H69" s="207"/>
      <c r="I69" s="221">
        <f>J69/14</f>
        <v>110.29783057687085</v>
      </c>
      <c r="J69" s="282">
        <f>$J$67*G69%</f>
        <v>1544.1696280761919</v>
      </c>
      <c r="K69" s="222">
        <f>$K$67*G69%</f>
        <v>1151.9913407862462</v>
      </c>
      <c r="L69" s="219">
        <v>0</v>
      </c>
      <c r="M69" s="279">
        <v>0</v>
      </c>
      <c r="N69" s="223">
        <v>0</v>
      </c>
      <c r="O69" s="281">
        <v>0</v>
      </c>
      <c r="P69" s="223">
        <v>880</v>
      </c>
      <c r="Q69" s="281">
        <v>779.2</v>
      </c>
      <c r="R69" s="278">
        <f t="shared" ref="R69:R82" si="99">IFERROR((P69/K69),0)</f>
        <v>0.76389463083931763</v>
      </c>
      <c r="S69" s="221">
        <f t="shared" ref="S69:S82" si="100">T69/14</f>
        <v>110.29783057687085</v>
      </c>
      <c r="T69" s="226">
        <f>$T$67*G69%</f>
        <v>1544.1696280761919</v>
      </c>
      <c r="U69" s="279">
        <f>$U$67*G69%</f>
        <v>1151.9913407862462</v>
      </c>
      <c r="V69" s="219">
        <f>IFERROR(VLOOKUP(B69,F_U!A:C,3,0),0)</f>
        <v>880</v>
      </c>
      <c r="W69" s="279">
        <f>IFERROR(VLOOKUP(B69,F_U!A:B,2,0),0)</f>
        <v>779.2</v>
      </c>
      <c r="X69" s="219">
        <f>IFERROR(VLOOKUP(B69,F_U!A:C,3,0),0)</f>
        <v>880</v>
      </c>
      <c r="Y69" s="279">
        <f>IFERROR(VLOOKUP(B69,F_U!A:B,2,0),0)</f>
        <v>779.2</v>
      </c>
      <c r="Z69" s="219">
        <f>IFERROR(VLOOKUP(B69,F_U!A:C,3,0),0)</f>
        <v>880</v>
      </c>
      <c r="AA69" s="279">
        <f>IFERROR(VLOOKUP(B69,F_U!A:B,2,0),0)</f>
        <v>779.2</v>
      </c>
      <c r="AB69" s="224">
        <f t="shared" ref="AB69:AB82" si="101">IFERROR((Z69/U69),0)</f>
        <v>0.76389463083931763</v>
      </c>
      <c r="AC69" s="225"/>
      <c r="AD69" s="219"/>
      <c r="AE69" s="219"/>
      <c r="AF69" s="219"/>
      <c r="AG69" s="219"/>
      <c r="AH69" s="219"/>
      <c r="AI69" s="219"/>
      <c r="AJ69" s="219"/>
      <c r="AK69" s="224">
        <f t="shared" ref="AK69:AK82" si="102">IFERROR((AI69/AD69),0)</f>
        <v>0</v>
      </c>
      <c r="AL69" s="226">
        <f t="shared" ref="AL69:AL82" si="103">+AD69+U69+K69</f>
        <v>2303.9826815724923</v>
      </c>
      <c r="AM69" s="223">
        <f t="shared" ref="AM69:AM82" si="104">+AI69+Z69+P69</f>
        <v>1760</v>
      </c>
      <c r="AN69" s="224">
        <f t="shared" ref="AN69:AN83" si="105">IFERROR((AM69/AL69),0)</f>
        <v>0.76389463083931763</v>
      </c>
      <c r="AP69" s="227"/>
      <c r="AQ69" s="221"/>
      <c r="AR69" s="206"/>
      <c r="AS69" s="219"/>
      <c r="AT69" s="219"/>
      <c r="AU69" s="219"/>
      <c r="AV69" s="219"/>
      <c r="AW69" s="219"/>
      <c r="AX69" s="219"/>
      <c r="AY69" s="224">
        <f t="shared" ref="AY69:AY82" si="106">IFERROR((AW69/AR69),0)</f>
        <v>0</v>
      </c>
      <c r="AZ69" s="221"/>
      <c r="BA69" s="206"/>
      <c r="BB69" s="219"/>
      <c r="BC69" s="219"/>
      <c r="BD69" s="219"/>
      <c r="BE69" s="219"/>
      <c r="BF69" s="219"/>
      <c r="BG69" s="219"/>
      <c r="BH69" s="224">
        <f t="shared" ref="BH69:BH82" si="107">IFERROR((BF69/BA69),0)</f>
        <v>0</v>
      </c>
      <c r="BI69" s="221"/>
      <c r="BJ69" s="206"/>
      <c r="BK69" s="219"/>
      <c r="BL69" s="219"/>
      <c r="BM69" s="219"/>
      <c r="BN69" s="219"/>
      <c r="BO69" s="219"/>
      <c r="BP69" s="219"/>
      <c r="BQ69" s="224">
        <f t="shared" ref="BQ69:BQ82" si="108">IFERROR((BO69/BJ69),0)</f>
        <v>0</v>
      </c>
      <c r="BR69" s="226">
        <f t="shared" ref="BR69:BR82" si="109">+BJ69+BA69+AR69</f>
        <v>0</v>
      </c>
      <c r="BS69" s="223">
        <f t="shared" ref="BS69:BS82" si="110">+BO69+BF69+AW69</f>
        <v>0</v>
      </c>
      <c r="BT69" s="224">
        <f t="shared" ref="BT69:BT83" si="111">IFERROR((BS69/BR69),0)</f>
        <v>0</v>
      </c>
      <c r="BV69" s="227"/>
      <c r="BW69" s="225"/>
      <c r="BX69" s="219"/>
      <c r="BY69" s="219"/>
      <c r="BZ69" s="219"/>
      <c r="CA69" s="219"/>
      <c r="CB69" s="219"/>
      <c r="CC69" s="219"/>
      <c r="CD69" s="219"/>
      <c r="CE69" s="224">
        <f t="shared" ref="CE69:CE82" si="112">IFERROR((CC69/BX69),0)</f>
        <v>0</v>
      </c>
      <c r="CF69" s="225"/>
      <c r="CG69" s="219"/>
      <c r="CH69" s="219"/>
      <c r="CI69" s="219"/>
      <c r="CJ69" s="219"/>
      <c r="CK69" s="219"/>
      <c r="CL69" s="219"/>
      <c r="CM69" s="219"/>
      <c r="CN69" s="224">
        <f t="shared" ref="CN69:CN82" si="113">IFERROR((CL69/CG69),0)</f>
        <v>0</v>
      </c>
      <c r="CO69" s="225"/>
      <c r="CP69" s="219"/>
      <c r="CQ69" s="219"/>
      <c r="CR69" s="219"/>
      <c r="CS69" s="219"/>
      <c r="CT69" s="219"/>
      <c r="CU69" s="219"/>
      <c r="CV69" s="219"/>
      <c r="CW69" s="224">
        <f t="shared" ref="CW69:CW82" si="114">IFERROR((CU69/CP69),0)</f>
        <v>0</v>
      </c>
      <c r="CX69" s="226">
        <f t="shared" ref="CX69:CX82" si="115">+CP69+CG69+BX69</f>
        <v>0</v>
      </c>
      <c r="CY69" s="223">
        <f t="shared" ref="CY69:CY82" si="116">+CU69+CL69+CC69</f>
        <v>0</v>
      </c>
      <c r="CZ69" s="224">
        <f t="shared" ref="CZ69:CZ83" si="117">IFERROR((CY69/CX69),0)</f>
        <v>0</v>
      </c>
      <c r="DB69" s="227"/>
      <c r="DC69" s="221"/>
      <c r="DD69" s="206"/>
      <c r="DE69" s="219"/>
      <c r="DF69" s="219"/>
      <c r="DG69" s="219"/>
      <c r="DH69" s="219"/>
      <c r="DI69" s="219"/>
      <c r="DJ69" s="219"/>
      <c r="DK69" s="224">
        <f t="shared" ref="DK69:DK82" si="118">IFERROR((DI69/DD69),0)</f>
        <v>0</v>
      </c>
      <c r="DL69" s="221"/>
      <c r="DM69" s="206"/>
      <c r="DN69" s="219"/>
      <c r="DO69" s="219"/>
      <c r="DP69" s="219"/>
      <c r="DQ69" s="219"/>
      <c r="DR69" s="219"/>
      <c r="DS69" s="219"/>
      <c r="DT69" s="224">
        <f t="shared" ref="DT69:DT82" si="119">IFERROR((DR69/DM69),0)</f>
        <v>0</v>
      </c>
      <c r="DU69" s="221"/>
      <c r="DV69" s="206"/>
      <c r="DW69" s="219"/>
      <c r="DX69" s="219"/>
      <c r="DY69" s="219"/>
      <c r="DZ69" s="219"/>
      <c r="EA69" s="219"/>
      <c r="EB69" s="219"/>
      <c r="EC69" s="224">
        <f t="shared" ref="EC69:EC82" si="120">IFERROR((EA69/DV69),0)</f>
        <v>0</v>
      </c>
      <c r="ED69" s="226">
        <f t="shared" ref="ED69:ED82" si="121">+DV69+DM69+DD69</f>
        <v>0</v>
      </c>
      <c r="EE69" s="223">
        <f t="shared" ref="EE69:EE82" si="122">+EA69+DR69+DI69</f>
        <v>0</v>
      </c>
      <c r="EF69" s="224">
        <f t="shared" ref="EF69:EF83" si="123">IFERROR((EE69/ED69),0)</f>
        <v>0</v>
      </c>
    </row>
    <row r="70" spans="1:136" s="90" customFormat="1" hidden="1" outlineLevel="1" x14ac:dyDescent="0.25">
      <c r="A70" s="257">
        <v>2</v>
      </c>
      <c r="B70" s="217" t="s">
        <v>423</v>
      </c>
      <c r="C70" s="217" t="s">
        <v>80</v>
      </c>
      <c r="D70" s="217" t="s">
        <v>147</v>
      </c>
      <c r="E70" s="245" t="s">
        <v>462</v>
      </c>
      <c r="F70" s="219" t="s">
        <v>1000</v>
      </c>
      <c r="G70" s="220">
        <v>10.411886378399116</v>
      </c>
      <c r="H70" s="207"/>
      <c r="I70" s="221">
        <f t="shared" ref="I70:I82" si="124">J70/14</f>
        <v>98.121710346252343</v>
      </c>
      <c r="J70" s="282">
        <f t="shared" ref="J70:J82" si="125">$J$67*G70%</f>
        <v>1373.7039448475327</v>
      </c>
      <c r="K70" s="222">
        <f t="shared" ref="K70:K82" si="126">$K$67*G70%</f>
        <v>1024.8194372530309</v>
      </c>
      <c r="L70" s="219">
        <v>0</v>
      </c>
      <c r="M70" s="279">
        <v>0</v>
      </c>
      <c r="N70" s="223">
        <v>0</v>
      </c>
      <c r="O70" s="281">
        <v>0</v>
      </c>
      <c r="P70" s="223">
        <v>0</v>
      </c>
      <c r="Q70" s="281">
        <v>0</v>
      </c>
      <c r="R70" s="278">
        <f t="shared" si="99"/>
        <v>0</v>
      </c>
      <c r="S70" s="221">
        <f t="shared" si="100"/>
        <v>98.121710346252343</v>
      </c>
      <c r="T70" s="226">
        <f t="shared" ref="T70:T82" si="127">$T$67*G70%</f>
        <v>1373.7039448475327</v>
      </c>
      <c r="U70" s="279">
        <f t="shared" ref="U70:U82" si="128">$U$67*G70%</f>
        <v>1024.8194372530309</v>
      </c>
      <c r="V70" s="219">
        <f>IFERROR(VLOOKUP(B70,F_U!A:C,3,0),0)</f>
        <v>0</v>
      </c>
      <c r="W70" s="279">
        <f>IFERROR(VLOOKUP(B70,F_U!A:B,2,0),0)</f>
        <v>0</v>
      </c>
      <c r="X70" s="219">
        <f>IFERROR(VLOOKUP(B70,F_U!A:C,3,0),0)</f>
        <v>0</v>
      </c>
      <c r="Y70" s="279">
        <f>IFERROR(VLOOKUP(B70,F_U!A:B,2,0),0)</f>
        <v>0</v>
      </c>
      <c r="Z70" s="219">
        <f>IFERROR(VLOOKUP(B70,F_U!A:C,3,0),0)</f>
        <v>0</v>
      </c>
      <c r="AA70" s="279">
        <f>IFERROR(VLOOKUP(B70,F_U!A:B,2,0),0)</f>
        <v>0</v>
      </c>
      <c r="AB70" s="224">
        <f t="shared" si="101"/>
        <v>0</v>
      </c>
      <c r="AC70" s="225"/>
      <c r="AD70" s="219"/>
      <c r="AE70" s="219"/>
      <c r="AF70" s="219"/>
      <c r="AG70" s="219"/>
      <c r="AH70" s="219"/>
      <c r="AI70" s="219"/>
      <c r="AJ70" s="219"/>
      <c r="AK70" s="224">
        <f t="shared" si="102"/>
        <v>0</v>
      </c>
      <c r="AL70" s="226">
        <f t="shared" si="103"/>
        <v>2049.6388745060617</v>
      </c>
      <c r="AM70" s="223">
        <f t="shared" si="104"/>
        <v>0</v>
      </c>
      <c r="AN70" s="224">
        <f t="shared" si="105"/>
        <v>0</v>
      </c>
      <c r="AP70" s="227"/>
      <c r="AQ70" s="221"/>
      <c r="AR70" s="206"/>
      <c r="AS70" s="219"/>
      <c r="AT70" s="219"/>
      <c r="AU70" s="219"/>
      <c r="AV70" s="219"/>
      <c r="AW70" s="219"/>
      <c r="AX70" s="219"/>
      <c r="AY70" s="224">
        <f t="shared" si="106"/>
        <v>0</v>
      </c>
      <c r="AZ70" s="221"/>
      <c r="BA70" s="206"/>
      <c r="BB70" s="219"/>
      <c r="BC70" s="219"/>
      <c r="BD70" s="219"/>
      <c r="BE70" s="219"/>
      <c r="BF70" s="219"/>
      <c r="BG70" s="219"/>
      <c r="BH70" s="224">
        <f t="shared" si="107"/>
        <v>0</v>
      </c>
      <c r="BI70" s="221"/>
      <c r="BJ70" s="206"/>
      <c r="BK70" s="219"/>
      <c r="BL70" s="219"/>
      <c r="BM70" s="219"/>
      <c r="BN70" s="219"/>
      <c r="BO70" s="219"/>
      <c r="BP70" s="219"/>
      <c r="BQ70" s="224">
        <f t="shared" si="108"/>
        <v>0</v>
      </c>
      <c r="BR70" s="226">
        <f t="shared" si="109"/>
        <v>0</v>
      </c>
      <c r="BS70" s="223">
        <f t="shared" si="110"/>
        <v>0</v>
      </c>
      <c r="BT70" s="224">
        <f t="shared" si="111"/>
        <v>0</v>
      </c>
      <c r="BV70" s="227"/>
      <c r="BW70" s="225"/>
      <c r="BX70" s="219"/>
      <c r="BY70" s="219"/>
      <c r="BZ70" s="219"/>
      <c r="CA70" s="219"/>
      <c r="CB70" s="219"/>
      <c r="CC70" s="219"/>
      <c r="CD70" s="219"/>
      <c r="CE70" s="224">
        <f t="shared" si="112"/>
        <v>0</v>
      </c>
      <c r="CF70" s="225"/>
      <c r="CG70" s="219"/>
      <c r="CH70" s="219"/>
      <c r="CI70" s="219"/>
      <c r="CJ70" s="219"/>
      <c r="CK70" s="219"/>
      <c r="CL70" s="219"/>
      <c r="CM70" s="219"/>
      <c r="CN70" s="224">
        <f t="shared" si="113"/>
        <v>0</v>
      </c>
      <c r="CO70" s="225"/>
      <c r="CP70" s="219"/>
      <c r="CQ70" s="219"/>
      <c r="CR70" s="219"/>
      <c r="CS70" s="219"/>
      <c r="CT70" s="219"/>
      <c r="CU70" s="219"/>
      <c r="CV70" s="219"/>
      <c r="CW70" s="224">
        <f t="shared" si="114"/>
        <v>0</v>
      </c>
      <c r="CX70" s="226">
        <f t="shared" si="115"/>
        <v>0</v>
      </c>
      <c r="CY70" s="223">
        <f t="shared" si="116"/>
        <v>0</v>
      </c>
      <c r="CZ70" s="224">
        <f t="shared" si="117"/>
        <v>0</v>
      </c>
      <c r="DB70" s="227"/>
      <c r="DC70" s="221"/>
      <c r="DD70" s="206"/>
      <c r="DE70" s="219"/>
      <c r="DF70" s="219"/>
      <c r="DG70" s="219"/>
      <c r="DH70" s="219"/>
      <c r="DI70" s="219"/>
      <c r="DJ70" s="219"/>
      <c r="DK70" s="224">
        <f t="shared" si="118"/>
        <v>0</v>
      </c>
      <c r="DL70" s="221"/>
      <c r="DM70" s="206"/>
      <c r="DN70" s="219"/>
      <c r="DO70" s="219"/>
      <c r="DP70" s="219"/>
      <c r="DQ70" s="219"/>
      <c r="DR70" s="219"/>
      <c r="DS70" s="219"/>
      <c r="DT70" s="224">
        <f t="shared" si="119"/>
        <v>0</v>
      </c>
      <c r="DU70" s="221"/>
      <c r="DV70" s="206"/>
      <c r="DW70" s="219"/>
      <c r="DX70" s="219"/>
      <c r="DY70" s="219"/>
      <c r="DZ70" s="219"/>
      <c r="EA70" s="219"/>
      <c r="EB70" s="219"/>
      <c r="EC70" s="224">
        <f t="shared" si="120"/>
        <v>0</v>
      </c>
      <c r="ED70" s="226">
        <f t="shared" si="121"/>
        <v>0</v>
      </c>
      <c r="EE70" s="223">
        <f t="shared" si="122"/>
        <v>0</v>
      </c>
      <c r="EF70" s="224">
        <f t="shared" si="123"/>
        <v>0</v>
      </c>
    </row>
    <row r="71" spans="1:136" s="90" customFormat="1" hidden="1" outlineLevel="1" x14ac:dyDescent="0.25">
      <c r="A71" s="257">
        <v>3</v>
      </c>
      <c r="B71" s="217" t="s">
        <v>259</v>
      </c>
      <c r="C71" s="217" t="s">
        <v>1001</v>
      </c>
      <c r="D71" s="217" t="s">
        <v>147</v>
      </c>
      <c r="E71" s="245" t="s">
        <v>458</v>
      </c>
      <c r="F71" s="219" t="s">
        <v>1000</v>
      </c>
      <c r="G71" s="220">
        <v>11.944992529455767</v>
      </c>
      <c r="H71" s="207"/>
      <c r="I71" s="221">
        <f t="shared" si="124"/>
        <v>112.56971642477892</v>
      </c>
      <c r="J71" s="282">
        <f t="shared" si="125"/>
        <v>1575.9760299469049</v>
      </c>
      <c r="K71" s="222">
        <f t="shared" si="126"/>
        <v>1175.7197569332973</v>
      </c>
      <c r="L71" s="219">
        <v>1160</v>
      </c>
      <c r="M71" s="279">
        <v>640</v>
      </c>
      <c r="N71" s="223">
        <v>1160</v>
      </c>
      <c r="O71" s="281">
        <v>640</v>
      </c>
      <c r="P71" s="223">
        <v>2960</v>
      </c>
      <c r="Q71" s="281">
        <v>2440</v>
      </c>
      <c r="R71" s="278">
        <f t="shared" si="99"/>
        <v>2.5176067532629984</v>
      </c>
      <c r="S71" s="221">
        <f t="shared" si="100"/>
        <v>112.56971642477892</v>
      </c>
      <c r="T71" s="226">
        <f t="shared" si="127"/>
        <v>1575.9760299469049</v>
      </c>
      <c r="U71" s="279">
        <f t="shared" si="128"/>
        <v>1175.7197569332973</v>
      </c>
      <c r="V71" s="219">
        <f>IFERROR(VLOOKUP(B71,F_U!A:C,3,0),0)</f>
        <v>2960</v>
      </c>
      <c r="W71" s="279">
        <f>IFERROR(VLOOKUP(B71,F_U!A:B,2,0),0)</f>
        <v>2440</v>
      </c>
      <c r="X71" s="219">
        <f>IFERROR(VLOOKUP(B71,F_U!A:C,3,0),0)</f>
        <v>2960</v>
      </c>
      <c r="Y71" s="279">
        <f>IFERROR(VLOOKUP(B71,F_U!A:B,2,0),0)</f>
        <v>2440</v>
      </c>
      <c r="Z71" s="219">
        <f>IFERROR(VLOOKUP(B71,F_U!A:C,3,0),0)</f>
        <v>2960</v>
      </c>
      <c r="AA71" s="279">
        <f>IFERROR(VLOOKUP(B71,F_U!A:B,2,0),0)</f>
        <v>2440</v>
      </c>
      <c r="AB71" s="224">
        <f t="shared" si="101"/>
        <v>2.5176067532629984</v>
      </c>
      <c r="AC71" s="225"/>
      <c r="AD71" s="219"/>
      <c r="AE71" s="219"/>
      <c r="AF71" s="219"/>
      <c r="AG71" s="219"/>
      <c r="AH71" s="219"/>
      <c r="AI71" s="219"/>
      <c r="AJ71" s="219"/>
      <c r="AK71" s="224">
        <f t="shared" si="102"/>
        <v>0</v>
      </c>
      <c r="AL71" s="226">
        <f t="shared" si="103"/>
        <v>2351.4395138665946</v>
      </c>
      <c r="AM71" s="223">
        <f t="shared" si="104"/>
        <v>5920</v>
      </c>
      <c r="AN71" s="224">
        <f t="shared" si="105"/>
        <v>2.5176067532629984</v>
      </c>
      <c r="AP71" s="227"/>
      <c r="AQ71" s="221"/>
      <c r="AR71" s="206"/>
      <c r="AS71" s="219"/>
      <c r="AT71" s="219"/>
      <c r="AU71" s="219"/>
      <c r="AV71" s="219"/>
      <c r="AW71" s="219"/>
      <c r="AX71" s="219"/>
      <c r="AY71" s="224">
        <f t="shared" si="106"/>
        <v>0</v>
      </c>
      <c r="AZ71" s="221"/>
      <c r="BA71" s="206"/>
      <c r="BB71" s="219"/>
      <c r="BC71" s="219"/>
      <c r="BD71" s="219"/>
      <c r="BE71" s="219"/>
      <c r="BF71" s="219"/>
      <c r="BG71" s="219"/>
      <c r="BH71" s="224">
        <f t="shared" si="107"/>
        <v>0</v>
      </c>
      <c r="BI71" s="221"/>
      <c r="BJ71" s="206"/>
      <c r="BK71" s="219"/>
      <c r="BL71" s="219"/>
      <c r="BM71" s="219"/>
      <c r="BN71" s="219"/>
      <c r="BO71" s="219"/>
      <c r="BP71" s="219"/>
      <c r="BQ71" s="224">
        <f t="shared" si="108"/>
        <v>0</v>
      </c>
      <c r="BR71" s="226">
        <f t="shared" si="109"/>
        <v>0</v>
      </c>
      <c r="BS71" s="223">
        <f t="shared" si="110"/>
        <v>0</v>
      </c>
      <c r="BT71" s="224">
        <f t="shared" si="111"/>
        <v>0</v>
      </c>
      <c r="BV71" s="227"/>
      <c r="BW71" s="225"/>
      <c r="BX71" s="219"/>
      <c r="BY71" s="219"/>
      <c r="BZ71" s="219"/>
      <c r="CA71" s="219"/>
      <c r="CB71" s="219"/>
      <c r="CC71" s="219"/>
      <c r="CD71" s="219"/>
      <c r="CE71" s="224">
        <f t="shared" si="112"/>
        <v>0</v>
      </c>
      <c r="CF71" s="225"/>
      <c r="CG71" s="219"/>
      <c r="CH71" s="219"/>
      <c r="CI71" s="219"/>
      <c r="CJ71" s="219"/>
      <c r="CK71" s="219"/>
      <c r="CL71" s="219"/>
      <c r="CM71" s="219"/>
      <c r="CN71" s="224">
        <f t="shared" si="113"/>
        <v>0</v>
      </c>
      <c r="CO71" s="225"/>
      <c r="CP71" s="219"/>
      <c r="CQ71" s="219"/>
      <c r="CR71" s="219"/>
      <c r="CS71" s="219"/>
      <c r="CT71" s="219"/>
      <c r="CU71" s="219"/>
      <c r="CV71" s="219"/>
      <c r="CW71" s="224">
        <f t="shared" si="114"/>
        <v>0</v>
      </c>
      <c r="CX71" s="226">
        <f t="shared" si="115"/>
        <v>0</v>
      </c>
      <c r="CY71" s="223">
        <f t="shared" si="116"/>
        <v>0</v>
      </c>
      <c r="CZ71" s="224">
        <f t="shared" si="117"/>
        <v>0</v>
      </c>
      <c r="DB71" s="227"/>
      <c r="DC71" s="221"/>
      <c r="DD71" s="206"/>
      <c r="DE71" s="219"/>
      <c r="DF71" s="219"/>
      <c r="DG71" s="219"/>
      <c r="DH71" s="219"/>
      <c r="DI71" s="219"/>
      <c r="DJ71" s="219"/>
      <c r="DK71" s="224">
        <f t="shared" si="118"/>
        <v>0</v>
      </c>
      <c r="DL71" s="221"/>
      <c r="DM71" s="206"/>
      <c r="DN71" s="219"/>
      <c r="DO71" s="219"/>
      <c r="DP71" s="219"/>
      <c r="DQ71" s="219"/>
      <c r="DR71" s="219"/>
      <c r="DS71" s="219"/>
      <c r="DT71" s="224">
        <f t="shared" si="119"/>
        <v>0</v>
      </c>
      <c r="DU71" s="221"/>
      <c r="DV71" s="206"/>
      <c r="DW71" s="219"/>
      <c r="DX71" s="219"/>
      <c r="DY71" s="219"/>
      <c r="DZ71" s="219"/>
      <c r="EA71" s="219"/>
      <c r="EB71" s="219"/>
      <c r="EC71" s="224">
        <f t="shared" si="120"/>
        <v>0</v>
      </c>
      <c r="ED71" s="226">
        <f t="shared" si="121"/>
        <v>0</v>
      </c>
      <c r="EE71" s="223">
        <f t="shared" si="122"/>
        <v>0</v>
      </c>
      <c r="EF71" s="224">
        <f t="shared" si="123"/>
        <v>0</v>
      </c>
    </row>
    <row r="72" spans="1:136" s="90" customFormat="1" hidden="1" outlineLevel="1" x14ac:dyDescent="0.25">
      <c r="A72" s="257">
        <v>4</v>
      </c>
      <c r="B72" s="217" t="s">
        <v>405</v>
      </c>
      <c r="C72" s="217" t="s">
        <v>568</v>
      </c>
      <c r="D72" s="217" t="s">
        <v>1002</v>
      </c>
      <c r="E72" s="245" t="s">
        <v>454</v>
      </c>
      <c r="F72" s="219" t="s">
        <v>1000</v>
      </c>
      <c r="G72" s="220">
        <v>9.4247424897691161</v>
      </c>
      <c r="H72" s="207"/>
      <c r="I72" s="221">
        <f t="shared" si="124"/>
        <v>88.818857511517635</v>
      </c>
      <c r="J72" s="282">
        <f t="shared" si="125"/>
        <v>1243.4640051612469</v>
      </c>
      <c r="K72" s="222">
        <f t="shared" si="126"/>
        <v>927.65700119991004</v>
      </c>
      <c r="L72" s="219">
        <v>0</v>
      </c>
      <c r="M72" s="279">
        <v>0</v>
      </c>
      <c r="N72" s="223">
        <v>0</v>
      </c>
      <c r="O72" s="281">
        <v>0</v>
      </c>
      <c r="P72" s="223">
        <v>0</v>
      </c>
      <c r="Q72" s="281">
        <v>0</v>
      </c>
      <c r="R72" s="278">
        <f t="shared" si="99"/>
        <v>0</v>
      </c>
      <c r="S72" s="221">
        <f t="shared" si="100"/>
        <v>88.818857511517635</v>
      </c>
      <c r="T72" s="226">
        <f t="shared" si="127"/>
        <v>1243.4640051612469</v>
      </c>
      <c r="U72" s="279">
        <f t="shared" si="128"/>
        <v>927.65700119991004</v>
      </c>
      <c r="V72" s="219">
        <f>IFERROR(VLOOKUP(B72,F_U!A:C,3,0),0)</f>
        <v>0</v>
      </c>
      <c r="W72" s="279">
        <f>IFERROR(VLOOKUP(B72,F_U!A:B,2,0),0)</f>
        <v>0</v>
      </c>
      <c r="X72" s="219">
        <f>IFERROR(VLOOKUP(B72,F_U!A:C,3,0),0)</f>
        <v>0</v>
      </c>
      <c r="Y72" s="279">
        <f>IFERROR(VLOOKUP(B72,F_U!A:B,2,0),0)</f>
        <v>0</v>
      </c>
      <c r="Z72" s="219">
        <f>IFERROR(VLOOKUP(B72,F_U!A:C,3,0),0)</f>
        <v>0</v>
      </c>
      <c r="AA72" s="279">
        <f>IFERROR(VLOOKUP(B72,F_U!A:B,2,0),0)</f>
        <v>0</v>
      </c>
      <c r="AB72" s="224">
        <f t="shared" si="101"/>
        <v>0</v>
      </c>
      <c r="AC72" s="225"/>
      <c r="AD72" s="219"/>
      <c r="AE72" s="219"/>
      <c r="AF72" s="219"/>
      <c r="AG72" s="219"/>
      <c r="AH72" s="219"/>
      <c r="AI72" s="219"/>
      <c r="AJ72" s="219"/>
      <c r="AK72" s="224">
        <f t="shared" si="102"/>
        <v>0</v>
      </c>
      <c r="AL72" s="226">
        <f t="shared" si="103"/>
        <v>1855.3140023998201</v>
      </c>
      <c r="AM72" s="223">
        <f t="shared" si="104"/>
        <v>0</v>
      </c>
      <c r="AN72" s="224">
        <f t="shared" si="105"/>
        <v>0</v>
      </c>
      <c r="AP72" s="227"/>
      <c r="AQ72" s="221"/>
      <c r="AR72" s="206"/>
      <c r="AS72" s="219"/>
      <c r="AT72" s="219"/>
      <c r="AU72" s="219"/>
      <c r="AV72" s="219"/>
      <c r="AW72" s="219"/>
      <c r="AX72" s="219"/>
      <c r="AY72" s="224">
        <f t="shared" si="106"/>
        <v>0</v>
      </c>
      <c r="AZ72" s="221"/>
      <c r="BA72" s="206"/>
      <c r="BB72" s="219"/>
      <c r="BC72" s="219"/>
      <c r="BD72" s="219"/>
      <c r="BE72" s="219"/>
      <c r="BF72" s="219"/>
      <c r="BG72" s="219"/>
      <c r="BH72" s="224">
        <f t="shared" si="107"/>
        <v>0</v>
      </c>
      <c r="BI72" s="221"/>
      <c r="BJ72" s="206"/>
      <c r="BK72" s="219"/>
      <c r="BL72" s="219"/>
      <c r="BM72" s="219"/>
      <c r="BN72" s="219"/>
      <c r="BO72" s="219"/>
      <c r="BP72" s="219"/>
      <c r="BQ72" s="224">
        <f t="shared" si="108"/>
        <v>0</v>
      </c>
      <c r="BR72" s="226">
        <f t="shared" si="109"/>
        <v>0</v>
      </c>
      <c r="BS72" s="223">
        <f t="shared" si="110"/>
        <v>0</v>
      </c>
      <c r="BT72" s="224">
        <f t="shared" si="111"/>
        <v>0</v>
      </c>
      <c r="BV72" s="227"/>
      <c r="BW72" s="225"/>
      <c r="BX72" s="219"/>
      <c r="BY72" s="219"/>
      <c r="BZ72" s="219"/>
      <c r="CA72" s="219"/>
      <c r="CB72" s="219"/>
      <c r="CC72" s="219"/>
      <c r="CD72" s="219"/>
      <c r="CE72" s="224">
        <f t="shared" si="112"/>
        <v>0</v>
      </c>
      <c r="CF72" s="225"/>
      <c r="CG72" s="219"/>
      <c r="CH72" s="219"/>
      <c r="CI72" s="219"/>
      <c r="CJ72" s="219"/>
      <c r="CK72" s="219"/>
      <c r="CL72" s="219"/>
      <c r="CM72" s="219"/>
      <c r="CN72" s="224">
        <f t="shared" si="113"/>
        <v>0</v>
      </c>
      <c r="CO72" s="225"/>
      <c r="CP72" s="219"/>
      <c r="CQ72" s="219"/>
      <c r="CR72" s="219"/>
      <c r="CS72" s="219"/>
      <c r="CT72" s="219"/>
      <c r="CU72" s="219"/>
      <c r="CV72" s="219"/>
      <c r="CW72" s="224">
        <f t="shared" si="114"/>
        <v>0</v>
      </c>
      <c r="CX72" s="226">
        <f t="shared" si="115"/>
        <v>0</v>
      </c>
      <c r="CY72" s="223">
        <f t="shared" si="116"/>
        <v>0</v>
      </c>
      <c r="CZ72" s="224">
        <f t="shared" si="117"/>
        <v>0</v>
      </c>
      <c r="DB72" s="227"/>
      <c r="DC72" s="221"/>
      <c r="DD72" s="206"/>
      <c r="DE72" s="219"/>
      <c r="DF72" s="219"/>
      <c r="DG72" s="219"/>
      <c r="DH72" s="219"/>
      <c r="DI72" s="219"/>
      <c r="DJ72" s="219"/>
      <c r="DK72" s="224">
        <f t="shared" si="118"/>
        <v>0</v>
      </c>
      <c r="DL72" s="221"/>
      <c r="DM72" s="206"/>
      <c r="DN72" s="219"/>
      <c r="DO72" s="219"/>
      <c r="DP72" s="219"/>
      <c r="DQ72" s="219"/>
      <c r="DR72" s="219"/>
      <c r="DS72" s="219"/>
      <c r="DT72" s="224">
        <f t="shared" si="119"/>
        <v>0</v>
      </c>
      <c r="DU72" s="221"/>
      <c r="DV72" s="206"/>
      <c r="DW72" s="219"/>
      <c r="DX72" s="219"/>
      <c r="DY72" s="219"/>
      <c r="DZ72" s="219"/>
      <c r="EA72" s="219"/>
      <c r="EB72" s="219"/>
      <c r="EC72" s="224">
        <f t="shared" si="120"/>
        <v>0</v>
      </c>
      <c r="ED72" s="226">
        <f t="shared" si="121"/>
        <v>0</v>
      </c>
      <c r="EE72" s="223">
        <f t="shared" si="122"/>
        <v>0</v>
      </c>
      <c r="EF72" s="224">
        <f t="shared" si="123"/>
        <v>0</v>
      </c>
    </row>
    <row r="73" spans="1:136" s="90" customFormat="1" hidden="1" outlineLevel="1" x14ac:dyDescent="0.25">
      <c r="A73" s="257">
        <v>5</v>
      </c>
      <c r="B73" s="217" t="s">
        <v>418</v>
      </c>
      <c r="C73" s="217" t="s">
        <v>615</v>
      </c>
      <c r="D73" s="217" t="s">
        <v>147</v>
      </c>
      <c r="E73" s="245" t="s">
        <v>537</v>
      </c>
      <c r="F73" s="219" t="s">
        <v>1000</v>
      </c>
      <c r="G73" s="220">
        <v>8.4533550877892356</v>
      </c>
      <c r="H73" s="207"/>
      <c r="I73" s="221">
        <f t="shared" si="124"/>
        <v>79.664493947888005</v>
      </c>
      <c r="J73" s="282">
        <f t="shared" si="125"/>
        <v>1115.3029152704321</v>
      </c>
      <c r="K73" s="222">
        <f t="shared" si="126"/>
        <v>832.0454420191453</v>
      </c>
      <c r="L73" s="219">
        <v>2900</v>
      </c>
      <c r="M73" s="279">
        <v>2396</v>
      </c>
      <c r="N73" s="223">
        <v>2900</v>
      </c>
      <c r="O73" s="281">
        <v>2396</v>
      </c>
      <c r="P73" s="223">
        <v>2900</v>
      </c>
      <c r="Q73" s="281">
        <v>2396</v>
      </c>
      <c r="R73" s="278">
        <f t="shared" si="99"/>
        <v>3.4853865588909398</v>
      </c>
      <c r="S73" s="221">
        <f t="shared" si="100"/>
        <v>79.664493947888005</v>
      </c>
      <c r="T73" s="226">
        <f t="shared" si="127"/>
        <v>1115.3029152704321</v>
      </c>
      <c r="U73" s="279">
        <f t="shared" si="128"/>
        <v>832.0454420191453</v>
      </c>
      <c r="V73" s="219">
        <f>IFERROR(VLOOKUP(B73,F_U!A:C,3,0),0)</f>
        <v>2900</v>
      </c>
      <c r="W73" s="279">
        <f>IFERROR(VLOOKUP(B73,F_U!A:B,2,0),0)</f>
        <v>2396</v>
      </c>
      <c r="X73" s="219">
        <f>IFERROR(VLOOKUP(B73,F_U!A:C,3,0),0)</f>
        <v>2900</v>
      </c>
      <c r="Y73" s="279">
        <f>IFERROR(VLOOKUP(B73,F_U!A:B,2,0),0)</f>
        <v>2396</v>
      </c>
      <c r="Z73" s="219">
        <f>IFERROR(VLOOKUP(B73,F_U!A:C,3,0),0)</f>
        <v>2900</v>
      </c>
      <c r="AA73" s="279">
        <f>IFERROR(VLOOKUP(B73,F_U!A:B,2,0),0)</f>
        <v>2396</v>
      </c>
      <c r="AB73" s="224">
        <f>IFERROR((Z73/U73),0)</f>
        <v>3.4853865588909398</v>
      </c>
      <c r="AC73" s="225"/>
      <c r="AD73" s="219"/>
      <c r="AE73" s="219"/>
      <c r="AF73" s="219"/>
      <c r="AG73" s="219"/>
      <c r="AH73" s="219"/>
      <c r="AI73" s="219"/>
      <c r="AJ73" s="219"/>
      <c r="AK73" s="224">
        <f t="shared" si="102"/>
        <v>0</v>
      </c>
      <c r="AL73" s="226">
        <f t="shared" si="103"/>
        <v>1664.0908840382906</v>
      </c>
      <c r="AM73" s="223">
        <f t="shared" si="104"/>
        <v>5800</v>
      </c>
      <c r="AN73" s="224">
        <f t="shared" si="105"/>
        <v>3.4853865588909398</v>
      </c>
      <c r="AP73" s="227"/>
      <c r="AQ73" s="221"/>
      <c r="AR73" s="206"/>
      <c r="AS73" s="219"/>
      <c r="AT73" s="219"/>
      <c r="AU73" s="219"/>
      <c r="AV73" s="219"/>
      <c r="AW73" s="219"/>
      <c r="AX73" s="219"/>
      <c r="AY73" s="224">
        <f t="shared" si="106"/>
        <v>0</v>
      </c>
      <c r="AZ73" s="221"/>
      <c r="BA73" s="206"/>
      <c r="BB73" s="219"/>
      <c r="BC73" s="219"/>
      <c r="BD73" s="219"/>
      <c r="BE73" s="219"/>
      <c r="BF73" s="219"/>
      <c r="BG73" s="219"/>
      <c r="BH73" s="224">
        <f t="shared" si="107"/>
        <v>0</v>
      </c>
      <c r="BI73" s="221"/>
      <c r="BJ73" s="206"/>
      <c r="BK73" s="219"/>
      <c r="BL73" s="219"/>
      <c r="BM73" s="219"/>
      <c r="BN73" s="219"/>
      <c r="BO73" s="219"/>
      <c r="BP73" s="219"/>
      <c r="BQ73" s="224">
        <f t="shared" si="108"/>
        <v>0</v>
      </c>
      <c r="BR73" s="226">
        <f t="shared" si="109"/>
        <v>0</v>
      </c>
      <c r="BS73" s="223">
        <f t="shared" si="110"/>
        <v>0</v>
      </c>
      <c r="BT73" s="224">
        <f t="shared" si="111"/>
        <v>0</v>
      </c>
      <c r="BV73" s="227"/>
      <c r="BW73" s="225"/>
      <c r="BX73" s="219"/>
      <c r="BY73" s="219"/>
      <c r="BZ73" s="219"/>
      <c r="CA73" s="219"/>
      <c r="CB73" s="219"/>
      <c r="CC73" s="219"/>
      <c r="CD73" s="219"/>
      <c r="CE73" s="224">
        <f t="shared" si="112"/>
        <v>0</v>
      </c>
      <c r="CF73" s="225"/>
      <c r="CG73" s="219"/>
      <c r="CH73" s="219"/>
      <c r="CI73" s="219"/>
      <c r="CJ73" s="219"/>
      <c r="CK73" s="219"/>
      <c r="CL73" s="219"/>
      <c r="CM73" s="219"/>
      <c r="CN73" s="224">
        <f t="shared" si="113"/>
        <v>0</v>
      </c>
      <c r="CO73" s="225"/>
      <c r="CP73" s="219"/>
      <c r="CQ73" s="219"/>
      <c r="CR73" s="219"/>
      <c r="CS73" s="219"/>
      <c r="CT73" s="219"/>
      <c r="CU73" s="219"/>
      <c r="CV73" s="219"/>
      <c r="CW73" s="224">
        <f t="shared" si="114"/>
        <v>0</v>
      </c>
      <c r="CX73" s="226">
        <f t="shared" si="115"/>
        <v>0</v>
      </c>
      <c r="CY73" s="223">
        <f t="shared" si="116"/>
        <v>0</v>
      </c>
      <c r="CZ73" s="224">
        <f t="shared" si="117"/>
        <v>0</v>
      </c>
      <c r="DB73" s="227"/>
      <c r="DC73" s="221"/>
      <c r="DD73" s="206"/>
      <c r="DE73" s="219"/>
      <c r="DF73" s="219"/>
      <c r="DG73" s="219"/>
      <c r="DH73" s="219"/>
      <c r="DI73" s="219"/>
      <c r="DJ73" s="219"/>
      <c r="DK73" s="224">
        <f t="shared" si="118"/>
        <v>0</v>
      </c>
      <c r="DL73" s="221"/>
      <c r="DM73" s="206"/>
      <c r="DN73" s="219"/>
      <c r="DO73" s="219"/>
      <c r="DP73" s="219"/>
      <c r="DQ73" s="219"/>
      <c r="DR73" s="219"/>
      <c r="DS73" s="219"/>
      <c r="DT73" s="224">
        <f t="shared" si="119"/>
        <v>0</v>
      </c>
      <c r="DU73" s="221"/>
      <c r="DV73" s="206"/>
      <c r="DW73" s="219"/>
      <c r="DX73" s="219"/>
      <c r="DY73" s="219"/>
      <c r="DZ73" s="219"/>
      <c r="EA73" s="219"/>
      <c r="EB73" s="219"/>
      <c r="EC73" s="224">
        <f t="shared" si="120"/>
        <v>0</v>
      </c>
      <c r="ED73" s="226">
        <f t="shared" si="121"/>
        <v>0</v>
      </c>
      <c r="EE73" s="223">
        <f t="shared" si="122"/>
        <v>0</v>
      </c>
      <c r="EF73" s="224">
        <f t="shared" si="123"/>
        <v>0</v>
      </c>
    </row>
    <row r="74" spans="1:136" s="90" customFormat="1" hidden="1" outlineLevel="1" x14ac:dyDescent="0.25">
      <c r="A74" s="257">
        <v>6</v>
      </c>
      <c r="B74" s="217" t="s">
        <v>308</v>
      </c>
      <c r="C74" s="217" t="s">
        <v>1003</v>
      </c>
      <c r="D74" s="217" t="s">
        <v>147</v>
      </c>
      <c r="E74" s="245" t="s">
        <v>454</v>
      </c>
      <c r="F74" s="219" t="s">
        <v>1000</v>
      </c>
      <c r="G74" s="220">
        <v>6.176542766846933</v>
      </c>
      <c r="H74" s="207"/>
      <c r="I74" s="221">
        <f t="shared" si="124"/>
        <v>58.207794273200548</v>
      </c>
      <c r="J74" s="282">
        <f t="shared" si="125"/>
        <v>814.9091198248077</v>
      </c>
      <c r="K74" s="222">
        <f t="shared" si="126"/>
        <v>607.94373396366245</v>
      </c>
      <c r="L74" s="219">
        <v>0</v>
      </c>
      <c r="M74" s="279">
        <v>0</v>
      </c>
      <c r="N74" s="223">
        <v>700</v>
      </c>
      <c r="O74" s="281">
        <v>448</v>
      </c>
      <c r="P74" s="223">
        <v>700</v>
      </c>
      <c r="Q74" s="281">
        <v>448</v>
      </c>
      <c r="R74" s="278">
        <f t="shared" si="99"/>
        <v>1.1514223453479</v>
      </c>
      <c r="S74" s="221">
        <f t="shared" si="100"/>
        <v>58.207794273200548</v>
      </c>
      <c r="T74" s="226">
        <f t="shared" si="127"/>
        <v>814.9091198248077</v>
      </c>
      <c r="U74" s="279">
        <f t="shared" si="128"/>
        <v>607.94373396366245</v>
      </c>
      <c r="V74" s="219">
        <f>IFERROR(VLOOKUP(B74,F_U!A:C,3,0),0)</f>
        <v>700</v>
      </c>
      <c r="W74" s="279">
        <f>IFERROR(VLOOKUP(B74,F_U!A:B,2,0),0)</f>
        <v>448</v>
      </c>
      <c r="X74" s="219">
        <f>IFERROR(VLOOKUP(B74,F_U!A:C,3,0),0)</f>
        <v>700</v>
      </c>
      <c r="Y74" s="279">
        <f>IFERROR(VLOOKUP(B74,F_U!A:B,2,0),0)</f>
        <v>448</v>
      </c>
      <c r="Z74" s="219">
        <f>IFERROR(VLOOKUP(B74,F_U!A:C,3,0),0)</f>
        <v>700</v>
      </c>
      <c r="AA74" s="279">
        <f>IFERROR(VLOOKUP(B74,F_U!A:B,2,0),0)</f>
        <v>448</v>
      </c>
      <c r="AB74" s="224">
        <f>IFERROR((Z74/U74),0)</f>
        <v>1.1514223453479</v>
      </c>
      <c r="AC74" s="225"/>
      <c r="AD74" s="219"/>
      <c r="AE74" s="219"/>
      <c r="AF74" s="219"/>
      <c r="AG74" s="219"/>
      <c r="AH74" s="219"/>
      <c r="AI74" s="219"/>
      <c r="AJ74" s="219"/>
      <c r="AK74" s="224">
        <f t="shared" si="102"/>
        <v>0</v>
      </c>
      <c r="AL74" s="226">
        <f t="shared" si="103"/>
        <v>1215.8874679273249</v>
      </c>
      <c r="AM74" s="223">
        <f t="shared" si="104"/>
        <v>1400</v>
      </c>
      <c r="AN74" s="224">
        <f t="shared" si="105"/>
        <v>1.1514223453479</v>
      </c>
      <c r="AP74" s="227"/>
      <c r="AQ74" s="221"/>
      <c r="AR74" s="206"/>
      <c r="AS74" s="219"/>
      <c r="AT74" s="219"/>
      <c r="AU74" s="219"/>
      <c r="AV74" s="219"/>
      <c r="AW74" s="219"/>
      <c r="AX74" s="219"/>
      <c r="AY74" s="224">
        <f t="shared" si="106"/>
        <v>0</v>
      </c>
      <c r="AZ74" s="221"/>
      <c r="BA74" s="206"/>
      <c r="BB74" s="219"/>
      <c r="BC74" s="219"/>
      <c r="BD74" s="219"/>
      <c r="BE74" s="219"/>
      <c r="BF74" s="219"/>
      <c r="BG74" s="219"/>
      <c r="BH74" s="224">
        <f t="shared" si="107"/>
        <v>0</v>
      </c>
      <c r="BI74" s="221"/>
      <c r="BJ74" s="206"/>
      <c r="BK74" s="219"/>
      <c r="BL74" s="219"/>
      <c r="BM74" s="219"/>
      <c r="BN74" s="219"/>
      <c r="BO74" s="219"/>
      <c r="BP74" s="219"/>
      <c r="BQ74" s="224">
        <f t="shared" si="108"/>
        <v>0</v>
      </c>
      <c r="BR74" s="226">
        <f t="shared" si="109"/>
        <v>0</v>
      </c>
      <c r="BS74" s="223">
        <f t="shared" si="110"/>
        <v>0</v>
      </c>
      <c r="BT74" s="224">
        <f t="shared" si="111"/>
        <v>0</v>
      </c>
      <c r="BV74" s="227"/>
      <c r="BW74" s="225"/>
      <c r="BX74" s="219"/>
      <c r="BY74" s="219"/>
      <c r="BZ74" s="219"/>
      <c r="CA74" s="219"/>
      <c r="CB74" s="219"/>
      <c r="CC74" s="219"/>
      <c r="CD74" s="219"/>
      <c r="CE74" s="224">
        <f t="shared" si="112"/>
        <v>0</v>
      </c>
      <c r="CF74" s="225"/>
      <c r="CG74" s="219"/>
      <c r="CH74" s="219"/>
      <c r="CI74" s="219"/>
      <c r="CJ74" s="219"/>
      <c r="CK74" s="219"/>
      <c r="CL74" s="219"/>
      <c r="CM74" s="219"/>
      <c r="CN74" s="224">
        <f t="shared" si="113"/>
        <v>0</v>
      </c>
      <c r="CO74" s="225"/>
      <c r="CP74" s="219"/>
      <c r="CQ74" s="219"/>
      <c r="CR74" s="219"/>
      <c r="CS74" s="219"/>
      <c r="CT74" s="219"/>
      <c r="CU74" s="219"/>
      <c r="CV74" s="219"/>
      <c r="CW74" s="224">
        <f t="shared" si="114"/>
        <v>0</v>
      </c>
      <c r="CX74" s="226">
        <f t="shared" si="115"/>
        <v>0</v>
      </c>
      <c r="CY74" s="223">
        <f t="shared" si="116"/>
        <v>0</v>
      </c>
      <c r="CZ74" s="224">
        <f t="shared" si="117"/>
        <v>0</v>
      </c>
      <c r="DB74" s="227"/>
      <c r="DC74" s="221"/>
      <c r="DD74" s="206"/>
      <c r="DE74" s="219"/>
      <c r="DF74" s="219"/>
      <c r="DG74" s="219"/>
      <c r="DH74" s="219"/>
      <c r="DI74" s="219"/>
      <c r="DJ74" s="219"/>
      <c r="DK74" s="224">
        <f t="shared" si="118"/>
        <v>0</v>
      </c>
      <c r="DL74" s="221"/>
      <c r="DM74" s="206"/>
      <c r="DN74" s="219"/>
      <c r="DO74" s="219"/>
      <c r="DP74" s="219"/>
      <c r="DQ74" s="219"/>
      <c r="DR74" s="219"/>
      <c r="DS74" s="219"/>
      <c r="DT74" s="224">
        <f t="shared" si="119"/>
        <v>0</v>
      </c>
      <c r="DU74" s="221"/>
      <c r="DV74" s="206"/>
      <c r="DW74" s="219"/>
      <c r="DX74" s="219"/>
      <c r="DY74" s="219"/>
      <c r="DZ74" s="219"/>
      <c r="EA74" s="219"/>
      <c r="EB74" s="219"/>
      <c r="EC74" s="224">
        <f t="shared" si="120"/>
        <v>0</v>
      </c>
      <c r="ED74" s="226">
        <f t="shared" si="121"/>
        <v>0</v>
      </c>
      <c r="EE74" s="223">
        <f t="shared" si="122"/>
        <v>0</v>
      </c>
      <c r="EF74" s="224">
        <f t="shared" si="123"/>
        <v>0</v>
      </c>
    </row>
    <row r="75" spans="1:136" s="90" customFormat="1" hidden="1" outlineLevel="1" x14ac:dyDescent="0.25">
      <c r="A75" s="257">
        <v>7</v>
      </c>
      <c r="B75" s="217" t="s">
        <v>183</v>
      </c>
      <c r="C75" s="217" t="s">
        <v>580</v>
      </c>
      <c r="D75" s="217" t="s">
        <v>1002</v>
      </c>
      <c r="E75" s="245" t="s">
        <v>475</v>
      </c>
      <c r="F75" s="219" t="s">
        <v>1000</v>
      </c>
      <c r="G75" s="220">
        <v>5.1039199381400335</v>
      </c>
      <c r="H75" s="207"/>
      <c r="I75" s="221">
        <f t="shared" si="124"/>
        <v>48.099387142720637</v>
      </c>
      <c r="J75" s="282">
        <f t="shared" si="125"/>
        <v>673.39141999808896</v>
      </c>
      <c r="K75" s="222">
        <f t="shared" si="126"/>
        <v>502.36779087800858</v>
      </c>
      <c r="L75" s="219">
        <v>1200</v>
      </c>
      <c r="M75" s="279">
        <v>840</v>
      </c>
      <c r="N75" s="223">
        <v>1200</v>
      </c>
      <c r="O75" s="281">
        <v>840</v>
      </c>
      <c r="P75" s="223">
        <v>1200</v>
      </c>
      <c r="Q75" s="281">
        <v>840</v>
      </c>
      <c r="R75" s="278">
        <f t="shared" si="99"/>
        <v>2.3886881718724666</v>
      </c>
      <c r="S75" s="221">
        <f t="shared" si="100"/>
        <v>48.099387142720637</v>
      </c>
      <c r="T75" s="226">
        <f t="shared" si="127"/>
        <v>673.39141999808896</v>
      </c>
      <c r="U75" s="279">
        <f t="shared" si="128"/>
        <v>502.36779087800858</v>
      </c>
      <c r="V75" s="219">
        <f>IFERROR(VLOOKUP(B75,F_U!A:C,3,0),0)</f>
        <v>1200</v>
      </c>
      <c r="W75" s="279">
        <f>IFERROR(VLOOKUP(B75,F_U!A:B,2,0),0)</f>
        <v>840</v>
      </c>
      <c r="X75" s="219">
        <f>IFERROR(VLOOKUP(B75,F_U!A:C,3,0),0)</f>
        <v>1200</v>
      </c>
      <c r="Y75" s="279">
        <f>IFERROR(VLOOKUP(B75,F_U!A:B,2,0),0)</f>
        <v>840</v>
      </c>
      <c r="Z75" s="219">
        <f>IFERROR(VLOOKUP(B75,F_U!A:C,3,0),0)</f>
        <v>1200</v>
      </c>
      <c r="AA75" s="279">
        <f>IFERROR(VLOOKUP(B75,F_U!A:B,2,0),0)</f>
        <v>840</v>
      </c>
      <c r="AB75" s="224">
        <f t="shared" si="101"/>
        <v>2.3886881718724666</v>
      </c>
      <c r="AC75" s="225"/>
      <c r="AD75" s="219"/>
      <c r="AE75" s="219"/>
      <c r="AF75" s="219"/>
      <c r="AG75" s="219"/>
      <c r="AH75" s="219"/>
      <c r="AI75" s="219"/>
      <c r="AJ75" s="219"/>
      <c r="AK75" s="224">
        <f t="shared" si="102"/>
        <v>0</v>
      </c>
      <c r="AL75" s="226">
        <f t="shared" si="103"/>
        <v>1004.7355817560172</v>
      </c>
      <c r="AM75" s="223">
        <f t="shared" si="104"/>
        <v>2400</v>
      </c>
      <c r="AN75" s="224">
        <f t="shared" si="105"/>
        <v>2.3886881718724666</v>
      </c>
      <c r="AP75" s="227"/>
      <c r="AQ75" s="221"/>
      <c r="AR75" s="206"/>
      <c r="AS75" s="219"/>
      <c r="AT75" s="219"/>
      <c r="AU75" s="219"/>
      <c r="AV75" s="219"/>
      <c r="AW75" s="219"/>
      <c r="AX75" s="219"/>
      <c r="AY75" s="224">
        <f t="shared" si="106"/>
        <v>0</v>
      </c>
      <c r="AZ75" s="221"/>
      <c r="BA75" s="206"/>
      <c r="BB75" s="219"/>
      <c r="BC75" s="219"/>
      <c r="BD75" s="219"/>
      <c r="BE75" s="219"/>
      <c r="BF75" s="219"/>
      <c r="BG75" s="219"/>
      <c r="BH75" s="224">
        <f t="shared" si="107"/>
        <v>0</v>
      </c>
      <c r="BI75" s="221"/>
      <c r="BJ75" s="206"/>
      <c r="BK75" s="219"/>
      <c r="BL75" s="219"/>
      <c r="BM75" s="219"/>
      <c r="BN75" s="219"/>
      <c r="BO75" s="219"/>
      <c r="BP75" s="219"/>
      <c r="BQ75" s="224">
        <f t="shared" si="108"/>
        <v>0</v>
      </c>
      <c r="BR75" s="226">
        <f t="shared" si="109"/>
        <v>0</v>
      </c>
      <c r="BS75" s="223">
        <f t="shared" si="110"/>
        <v>0</v>
      </c>
      <c r="BT75" s="224">
        <f t="shared" si="111"/>
        <v>0</v>
      </c>
      <c r="BV75" s="227"/>
      <c r="BW75" s="225"/>
      <c r="BX75" s="219"/>
      <c r="BY75" s="219"/>
      <c r="BZ75" s="219"/>
      <c r="CA75" s="219"/>
      <c r="CB75" s="219"/>
      <c r="CC75" s="219"/>
      <c r="CD75" s="219"/>
      <c r="CE75" s="224">
        <f t="shared" si="112"/>
        <v>0</v>
      </c>
      <c r="CF75" s="225"/>
      <c r="CG75" s="219"/>
      <c r="CH75" s="219"/>
      <c r="CI75" s="219"/>
      <c r="CJ75" s="219"/>
      <c r="CK75" s="219"/>
      <c r="CL75" s="219"/>
      <c r="CM75" s="219"/>
      <c r="CN75" s="224">
        <f t="shared" si="113"/>
        <v>0</v>
      </c>
      <c r="CO75" s="225"/>
      <c r="CP75" s="219"/>
      <c r="CQ75" s="219"/>
      <c r="CR75" s="219"/>
      <c r="CS75" s="219"/>
      <c r="CT75" s="219"/>
      <c r="CU75" s="219"/>
      <c r="CV75" s="219"/>
      <c r="CW75" s="224">
        <f t="shared" si="114"/>
        <v>0</v>
      </c>
      <c r="CX75" s="226">
        <f t="shared" si="115"/>
        <v>0</v>
      </c>
      <c r="CY75" s="223">
        <f t="shared" si="116"/>
        <v>0</v>
      </c>
      <c r="CZ75" s="224">
        <f t="shared" si="117"/>
        <v>0</v>
      </c>
      <c r="DB75" s="227"/>
      <c r="DC75" s="221"/>
      <c r="DD75" s="206"/>
      <c r="DE75" s="219"/>
      <c r="DF75" s="219"/>
      <c r="DG75" s="219"/>
      <c r="DH75" s="219"/>
      <c r="DI75" s="219"/>
      <c r="DJ75" s="219"/>
      <c r="DK75" s="224">
        <f t="shared" si="118"/>
        <v>0</v>
      </c>
      <c r="DL75" s="221"/>
      <c r="DM75" s="206"/>
      <c r="DN75" s="219"/>
      <c r="DO75" s="219"/>
      <c r="DP75" s="219"/>
      <c r="DQ75" s="219"/>
      <c r="DR75" s="219"/>
      <c r="DS75" s="219"/>
      <c r="DT75" s="224">
        <f t="shared" si="119"/>
        <v>0</v>
      </c>
      <c r="DU75" s="221"/>
      <c r="DV75" s="206"/>
      <c r="DW75" s="219"/>
      <c r="DX75" s="219"/>
      <c r="DY75" s="219"/>
      <c r="DZ75" s="219"/>
      <c r="EA75" s="219"/>
      <c r="EB75" s="219"/>
      <c r="EC75" s="224">
        <f t="shared" si="120"/>
        <v>0</v>
      </c>
      <c r="ED75" s="226">
        <f t="shared" si="121"/>
        <v>0</v>
      </c>
      <c r="EE75" s="223">
        <f t="shared" si="122"/>
        <v>0</v>
      </c>
      <c r="EF75" s="224">
        <f t="shared" si="123"/>
        <v>0</v>
      </c>
    </row>
    <row r="76" spans="1:136" s="90" customFormat="1" hidden="1" outlineLevel="1" x14ac:dyDescent="0.25">
      <c r="A76" s="257">
        <v>8</v>
      </c>
      <c r="B76" s="217" t="s">
        <v>414</v>
      </c>
      <c r="C76" s="217" t="s">
        <v>85</v>
      </c>
      <c r="D76" s="217" t="s">
        <v>986</v>
      </c>
      <c r="E76" s="245" t="s">
        <v>460</v>
      </c>
      <c r="F76" s="219" t="s">
        <v>1000</v>
      </c>
      <c r="G76" s="220">
        <v>5.3206504120124301</v>
      </c>
      <c r="H76" s="207"/>
      <c r="I76" s="221">
        <f t="shared" si="124"/>
        <v>50.14185706677133</v>
      </c>
      <c r="J76" s="282">
        <f t="shared" si="125"/>
        <v>701.98599893479866</v>
      </c>
      <c r="K76" s="222">
        <f t="shared" si="126"/>
        <v>523.70010225726924</v>
      </c>
      <c r="L76" s="219">
        <v>0</v>
      </c>
      <c r="M76" s="279">
        <v>0</v>
      </c>
      <c r="N76" s="223">
        <v>0</v>
      </c>
      <c r="O76" s="281">
        <v>0</v>
      </c>
      <c r="P76" s="223">
        <v>0</v>
      </c>
      <c r="Q76" s="281">
        <v>0</v>
      </c>
      <c r="R76" s="278">
        <f t="shared" si="99"/>
        <v>0</v>
      </c>
      <c r="S76" s="221">
        <f t="shared" si="100"/>
        <v>50.14185706677133</v>
      </c>
      <c r="T76" s="226">
        <f t="shared" si="127"/>
        <v>701.98599893479866</v>
      </c>
      <c r="U76" s="279">
        <f t="shared" si="128"/>
        <v>523.70010225726924</v>
      </c>
      <c r="V76" s="219">
        <f>IFERROR(VLOOKUP(B76,F_U!A:C,3,0),0)</f>
        <v>0</v>
      </c>
      <c r="W76" s="279">
        <f>IFERROR(VLOOKUP(B76,F_U!A:B,2,0),0)</f>
        <v>0</v>
      </c>
      <c r="X76" s="219">
        <f>IFERROR(VLOOKUP(B76,F_U!A:C,3,0),0)</f>
        <v>0</v>
      </c>
      <c r="Y76" s="279">
        <f>IFERROR(VLOOKUP(B76,F_U!A:B,2,0),0)</f>
        <v>0</v>
      </c>
      <c r="Z76" s="219">
        <f>IFERROR(VLOOKUP(B76,F_U!A:C,3,0),0)</f>
        <v>0</v>
      </c>
      <c r="AA76" s="279">
        <f>IFERROR(VLOOKUP(B76,F_U!A:B,2,0),0)</f>
        <v>0</v>
      </c>
      <c r="AB76" s="224">
        <f t="shared" si="101"/>
        <v>0</v>
      </c>
      <c r="AC76" s="225"/>
      <c r="AD76" s="219"/>
      <c r="AE76" s="219"/>
      <c r="AF76" s="219"/>
      <c r="AG76" s="219"/>
      <c r="AH76" s="219"/>
      <c r="AI76" s="219"/>
      <c r="AJ76" s="219"/>
      <c r="AK76" s="224">
        <f t="shared" si="102"/>
        <v>0</v>
      </c>
      <c r="AL76" s="226">
        <f t="shared" si="103"/>
        <v>1047.4002045145385</v>
      </c>
      <c r="AM76" s="223">
        <f t="shared" si="104"/>
        <v>0</v>
      </c>
      <c r="AN76" s="224">
        <f t="shared" si="105"/>
        <v>0</v>
      </c>
      <c r="AP76" s="227"/>
      <c r="AQ76" s="221"/>
      <c r="AR76" s="206"/>
      <c r="AS76" s="219"/>
      <c r="AT76" s="219"/>
      <c r="AU76" s="219"/>
      <c r="AV76" s="219"/>
      <c r="AW76" s="219"/>
      <c r="AX76" s="219"/>
      <c r="AY76" s="224">
        <f t="shared" si="106"/>
        <v>0</v>
      </c>
      <c r="AZ76" s="221"/>
      <c r="BA76" s="206"/>
      <c r="BB76" s="219"/>
      <c r="BC76" s="219"/>
      <c r="BD76" s="219"/>
      <c r="BE76" s="219"/>
      <c r="BF76" s="219"/>
      <c r="BG76" s="219"/>
      <c r="BH76" s="224">
        <f t="shared" si="107"/>
        <v>0</v>
      </c>
      <c r="BI76" s="221"/>
      <c r="BJ76" s="206"/>
      <c r="BK76" s="219"/>
      <c r="BL76" s="219"/>
      <c r="BM76" s="219"/>
      <c r="BN76" s="219"/>
      <c r="BO76" s="219"/>
      <c r="BP76" s="219"/>
      <c r="BQ76" s="224">
        <f t="shared" si="108"/>
        <v>0</v>
      </c>
      <c r="BR76" s="226">
        <f t="shared" si="109"/>
        <v>0</v>
      </c>
      <c r="BS76" s="223">
        <f t="shared" si="110"/>
        <v>0</v>
      </c>
      <c r="BT76" s="224">
        <f t="shared" si="111"/>
        <v>0</v>
      </c>
      <c r="BV76" s="227"/>
      <c r="BW76" s="225"/>
      <c r="BX76" s="219"/>
      <c r="BY76" s="219"/>
      <c r="BZ76" s="219"/>
      <c r="CA76" s="219"/>
      <c r="CB76" s="219"/>
      <c r="CC76" s="219"/>
      <c r="CD76" s="219"/>
      <c r="CE76" s="224">
        <f t="shared" si="112"/>
        <v>0</v>
      </c>
      <c r="CF76" s="225"/>
      <c r="CG76" s="219"/>
      <c r="CH76" s="219"/>
      <c r="CI76" s="219"/>
      <c r="CJ76" s="219"/>
      <c r="CK76" s="219"/>
      <c r="CL76" s="219"/>
      <c r="CM76" s="219"/>
      <c r="CN76" s="224">
        <f t="shared" si="113"/>
        <v>0</v>
      </c>
      <c r="CO76" s="225"/>
      <c r="CP76" s="219"/>
      <c r="CQ76" s="219"/>
      <c r="CR76" s="219"/>
      <c r="CS76" s="219"/>
      <c r="CT76" s="219"/>
      <c r="CU76" s="219"/>
      <c r="CV76" s="219"/>
      <c r="CW76" s="224">
        <f t="shared" si="114"/>
        <v>0</v>
      </c>
      <c r="CX76" s="226">
        <f t="shared" si="115"/>
        <v>0</v>
      </c>
      <c r="CY76" s="223">
        <f t="shared" si="116"/>
        <v>0</v>
      </c>
      <c r="CZ76" s="224">
        <f t="shared" si="117"/>
        <v>0</v>
      </c>
      <c r="DB76" s="227"/>
      <c r="DC76" s="221"/>
      <c r="DD76" s="206"/>
      <c r="DE76" s="219"/>
      <c r="DF76" s="219"/>
      <c r="DG76" s="219"/>
      <c r="DH76" s="219"/>
      <c r="DI76" s="219"/>
      <c r="DJ76" s="219"/>
      <c r="DK76" s="224">
        <f t="shared" si="118"/>
        <v>0</v>
      </c>
      <c r="DL76" s="221"/>
      <c r="DM76" s="206"/>
      <c r="DN76" s="219"/>
      <c r="DO76" s="219"/>
      <c r="DP76" s="219"/>
      <c r="DQ76" s="219"/>
      <c r="DR76" s="219"/>
      <c r="DS76" s="219"/>
      <c r="DT76" s="224">
        <f t="shared" si="119"/>
        <v>0</v>
      </c>
      <c r="DU76" s="221"/>
      <c r="DV76" s="206"/>
      <c r="DW76" s="219"/>
      <c r="DX76" s="219"/>
      <c r="DY76" s="219"/>
      <c r="DZ76" s="219"/>
      <c r="EA76" s="219"/>
      <c r="EB76" s="219"/>
      <c r="EC76" s="224">
        <f t="shared" si="120"/>
        <v>0</v>
      </c>
      <c r="ED76" s="226">
        <f t="shared" si="121"/>
        <v>0</v>
      </c>
      <c r="EE76" s="223">
        <f t="shared" si="122"/>
        <v>0</v>
      </c>
      <c r="EF76" s="224">
        <f t="shared" si="123"/>
        <v>0</v>
      </c>
    </row>
    <row r="77" spans="1:136" s="90" customFormat="1" hidden="1" outlineLevel="1" x14ac:dyDescent="0.25">
      <c r="A77" s="257">
        <v>9</v>
      </c>
      <c r="B77" s="217" t="s">
        <v>420</v>
      </c>
      <c r="C77" s="217" t="s">
        <v>583</v>
      </c>
      <c r="D77" s="217" t="s">
        <v>147</v>
      </c>
      <c r="E77" s="245" t="s">
        <v>460</v>
      </c>
      <c r="F77" s="219" t="s">
        <v>1000</v>
      </c>
      <c r="G77" s="220">
        <v>5.2941795144402288</v>
      </c>
      <c r="H77" s="207"/>
      <c r="I77" s="221">
        <f t="shared" si="124"/>
        <v>49.892395091314761</v>
      </c>
      <c r="J77" s="282">
        <f t="shared" si="125"/>
        <v>698.49353127840664</v>
      </c>
      <c r="K77" s="222">
        <f t="shared" si="126"/>
        <v>521.09462911171067</v>
      </c>
      <c r="L77" s="219">
        <v>0</v>
      </c>
      <c r="M77" s="279">
        <v>0</v>
      </c>
      <c r="N77" s="223">
        <v>0</v>
      </c>
      <c r="O77" s="281">
        <v>0</v>
      </c>
      <c r="P77" s="223">
        <v>0</v>
      </c>
      <c r="Q77" s="281">
        <v>0</v>
      </c>
      <c r="R77" s="278">
        <f t="shared" si="99"/>
        <v>0</v>
      </c>
      <c r="S77" s="221">
        <f t="shared" si="100"/>
        <v>49.892395091314761</v>
      </c>
      <c r="T77" s="226">
        <f t="shared" si="127"/>
        <v>698.49353127840664</v>
      </c>
      <c r="U77" s="279">
        <f t="shared" si="128"/>
        <v>521.09462911171067</v>
      </c>
      <c r="V77" s="219">
        <f>IFERROR(VLOOKUP(B77,F_U!A:C,3,0),0)</f>
        <v>0</v>
      </c>
      <c r="W77" s="279">
        <f>IFERROR(VLOOKUP(B77,F_U!A:B,2,0),0)</f>
        <v>0</v>
      </c>
      <c r="X77" s="219">
        <f>IFERROR(VLOOKUP(B77,F_U!A:C,3,0),0)</f>
        <v>0</v>
      </c>
      <c r="Y77" s="279">
        <f>IFERROR(VLOOKUP(B77,F_U!A:B,2,0),0)</f>
        <v>0</v>
      </c>
      <c r="Z77" s="219">
        <f>IFERROR(VLOOKUP(B77,F_U!A:C,3,0),0)</f>
        <v>0</v>
      </c>
      <c r="AA77" s="279">
        <f>IFERROR(VLOOKUP(B77,F_U!A:B,2,0),0)</f>
        <v>0</v>
      </c>
      <c r="AB77" s="224">
        <f t="shared" si="101"/>
        <v>0</v>
      </c>
      <c r="AC77" s="225"/>
      <c r="AD77" s="219"/>
      <c r="AE77" s="219"/>
      <c r="AF77" s="219"/>
      <c r="AG77" s="219"/>
      <c r="AH77" s="219"/>
      <c r="AI77" s="219"/>
      <c r="AJ77" s="219"/>
      <c r="AK77" s="224">
        <f t="shared" si="102"/>
        <v>0</v>
      </c>
      <c r="AL77" s="226">
        <f t="shared" si="103"/>
        <v>1042.1892582234213</v>
      </c>
      <c r="AM77" s="223">
        <f t="shared" si="104"/>
        <v>0</v>
      </c>
      <c r="AN77" s="224">
        <f t="shared" si="105"/>
        <v>0</v>
      </c>
      <c r="AP77" s="227"/>
      <c r="AQ77" s="221"/>
      <c r="AR77" s="206"/>
      <c r="AS77" s="219"/>
      <c r="AT77" s="219"/>
      <c r="AU77" s="219"/>
      <c r="AV77" s="219"/>
      <c r="AW77" s="219"/>
      <c r="AX77" s="219"/>
      <c r="AY77" s="224">
        <f t="shared" si="106"/>
        <v>0</v>
      </c>
      <c r="AZ77" s="221"/>
      <c r="BA77" s="206"/>
      <c r="BB77" s="219"/>
      <c r="BC77" s="219"/>
      <c r="BD77" s="219"/>
      <c r="BE77" s="219"/>
      <c r="BF77" s="219"/>
      <c r="BG77" s="219"/>
      <c r="BH77" s="224">
        <f t="shared" si="107"/>
        <v>0</v>
      </c>
      <c r="BI77" s="221"/>
      <c r="BJ77" s="206"/>
      <c r="BK77" s="219"/>
      <c r="BL77" s="219"/>
      <c r="BM77" s="219"/>
      <c r="BN77" s="219"/>
      <c r="BO77" s="219"/>
      <c r="BP77" s="219"/>
      <c r="BQ77" s="224">
        <f t="shared" si="108"/>
        <v>0</v>
      </c>
      <c r="BR77" s="226">
        <f t="shared" si="109"/>
        <v>0</v>
      </c>
      <c r="BS77" s="223">
        <f t="shared" si="110"/>
        <v>0</v>
      </c>
      <c r="BT77" s="224">
        <f t="shared" si="111"/>
        <v>0</v>
      </c>
      <c r="BV77" s="227"/>
      <c r="BW77" s="225"/>
      <c r="BX77" s="219"/>
      <c r="BY77" s="219"/>
      <c r="BZ77" s="219"/>
      <c r="CA77" s="219"/>
      <c r="CB77" s="219"/>
      <c r="CC77" s="219"/>
      <c r="CD77" s="219"/>
      <c r="CE77" s="224">
        <f t="shared" si="112"/>
        <v>0</v>
      </c>
      <c r="CF77" s="225"/>
      <c r="CG77" s="219"/>
      <c r="CH77" s="219"/>
      <c r="CI77" s="219"/>
      <c r="CJ77" s="219"/>
      <c r="CK77" s="219"/>
      <c r="CL77" s="219"/>
      <c r="CM77" s="219"/>
      <c r="CN77" s="224">
        <f t="shared" si="113"/>
        <v>0</v>
      </c>
      <c r="CO77" s="225"/>
      <c r="CP77" s="219"/>
      <c r="CQ77" s="219"/>
      <c r="CR77" s="219"/>
      <c r="CS77" s="219"/>
      <c r="CT77" s="219"/>
      <c r="CU77" s="219"/>
      <c r="CV77" s="219"/>
      <c r="CW77" s="224">
        <f t="shared" si="114"/>
        <v>0</v>
      </c>
      <c r="CX77" s="226">
        <f t="shared" si="115"/>
        <v>0</v>
      </c>
      <c r="CY77" s="223">
        <f t="shared" si="116"/>
        <v>0</v>
      </c>
      <c r="CZ77" s="224">
        <f t="shared" si="117"/>
        <v>0</v>
      </c>
      <c r="DB77" s="227"/>
      <c r="DC77" s="221"/>
      <c r="DD77" s="206"/>
      <c r="DE77" s="219"/>
      <c r="DF77" s="219"/>
      <c r="DG77" s="219"/>
      <c r="DH77" s="219"/>
      <c r="DI77" s="219"/>
      <c r="DJ77" s="219"/>
      <c r="DK77" s="224">
        <f t="shared" si="118"/>
        <v>0</v>
      </c>
      <c r="DL77" s="221"/>
      <c r="DM77" s="206"/>
      <c r="DN77" s="219"/>
      <c r="DO77" s="219"/>
      <c r="DP77" s="219"/>
      <c r="DQ77" s="219"/>
      <c r="DR77" s="219"/>
      <c r="DS77" s="219"/>
      <c r="DT77" s="224">
        <f t="shared" si="119"/>
        <v>0</v>
      </c>
      <c r="DU77" s="221"/>
      <c r="DV77" s="206"/>
      <c r="DW77" s="219"/>
      <c r="DX77" s="219"/>
      <c r="DY77" s="219"/>
      <c r="DZ77" s="219"/>
      <c r="EA77" s="219"/>
      <c r="EB77" s="219"/>
      <c r="EC77" s="224">
        <f t="shared" si="120"/>
        <v>0</v>
      </c>
      <c r="ED77" s="226">
        <f t="shared" si="121"/>
        <v>0</v>
      </c>
      <c r="EE77" s="223">
        <f t="shared" si="122"/>
        <v>0</v>
      </c>
      <c r="EF77" s="224">
        <f t="shared" si="123"/>
        <v>0</v>
      </c>
    </row>
    <row r="78" spans="1:136" s="90" customFormat="1" hidden="1" outlineLevel="1" x14ac:dyDescent="0.25">
      <c r="A78" s="257">
        <v>10</v>
      </c>
      <c r="B78" s="217" t="s">
        <v>254</v>
      </c>
      <c r="C78" s="217" t="s">
        <v>622</v>
      </c>
      <c r="D78" s="217" t="s">
        <v>154</v>
      </c>
      <c r="E78" s="245" t="s">
        <v>465</v>
      </c>
      <c r="F78" s="219" t="s">
        <v>1000</v>
      </c>
      <c r="G78" s="220">
        <v>5.6329439774178036</v>
      </c>
      <c r="H78" s="207"/>
      <c r="I78" s="221">
        <f t="shared" si="124"/>
        <v>53.08491442007449</v>
      </c>
      <c r="J78" s="282">
        <f t="shared" si="125"/>
        <v>743.18880188104288</v>
      </c>
      <c r="K78" s="222">
        <f t="shared" si="126"/>
        <v>554.4384818673708</v>
      </c>
      <c r="L78" s="219">
        <v>0</v>
      </c>
      <c r="M78" s="279">
        <v>0</v>
      </c>
      <c r="N78" s="223">
        <v>350</v>
      </c>
      <c r="O78" s="281">
        <v>224</v>
      </c>
      <c r="P78" s="223">
        <v>700</v>
      </c>
      <c r="Q78" s="281">
        <v>448</v>
      </c>
      <c r="R78" s="278">
        <f t="shared" si="99"/>
        <v>1.2625386276262287</v>
      </c>
      <c r="S78" s="221">
        <f t="shared" si="100"/>
        <v>53.08491442007449</v>
      </c>
      <c r="T78" s="226">
        <f t="shared" si="127"/>
        <v>743.18880188104288</v>
      </c>
      <c r="U78" s="279">
        <f t="shared" si="128"/>
        <v>554.4384818673708</v>
      </c>
      <c r="V78" s="219">
        <f>IFERROR(VLOOKUP(B78,F_U!A:C,3,0),0)</f>
        <v>700</v>
      </c>
      <c r="W78" s="279">
        <f>IFERROR(VLOOKUP(B78,F_U!A:B,2,0),0)</f>
        <v>448</v>
      </c>
      <c r="X78" s="219">
        <f>IFERROR(VLOOKUP(B78,F_U!A:C,3,0),0)</f>
        <v>700</v>
      </c>
      <c r="Y78" s="279">
        <f>IFERROR(VLOOKUP(B78,F_U!A:B,2,0),0)</f>
        <v>448</v>
      </c>
      <c r="Z78" s="219">
        <f>IFERROR(VLOOKUP(B78,F_U!A:C,3,0),0)</f>
        <v>700</v>
      </c>
      <c r="AA78" s="279">
        <f>IFERROR(VLOOKUP(B78,F_U!A:B,2,0),0)</f>
        <v>448</v>
      </c>
      <c r="AB78" s="224">
        <f t="shared" si="101"/>
        <v>1.2625386276262287</v>
      </c>
      <c r="AC78" s="225"/>
      <c r="AD78" s="219"/>
      <c r="AE78" s="219"/>
      <c r="AF78" s="219"/>
      <c r="AG78" s="219"/>
      <c r="AH78" s="219"/>
      <c r="AI78" s="219"/>
      <c r="AJ78" s="219"/>
      <c r="AK78" s="224">
        <f t="shared" si="102"/>
        <v>0</v>
      </c>
      <c r="AL78" s="226">
        <f t="shared" si="103"/>
        <v>1108.8769637347416</v>
      </c>
      <c r="AM78" s="223">
        <f t="shared" si="104"/>
        <v>1400</v>
      </c>
      <c r="AN78" s="224">
        <f t="shared" si="105"/>
        <v>1.2625386276262287</v>
      </c>
      <c r="AP78" s="227"/>
      <c r="AQ78" s="221"/>
      <c r="AR78" s="206"/>
      <c r="AS78" s="219"/>
      <c r="AT78" s="219"/>
      <c r="AU78" s="219"/>
      <c r="AV78" s="219"/>
      <c r="AW78" s="219"/>
      <c r="AX78" s="219"/>
      <c r="AY78" s="224">
        <f t="shared" si="106"/>
        <v>0</v>
      </c>
      <c r="AZ78" s="221"/>
      <c r="BA78" s="206"/>
      <c r="BB78" s="219"/>
      <c r="BC78" s="219"/>
      <c r="BD78" s="219"/>
      <c r="BE78" s="219"/>
      <c r="BF78" s="219"/>
      <c r="BG78" s="219"/>
      <c r="BH78" s="224">
        <f t="shared" si="107"/>
        <v>0</v>
      </c>
      <c r="BI78" s="221"/>
      <c r="BJ78" s="206"/>
      <c r="BK78" s="219"/>
      <c r="BL78" s="219"/>
      <c r="BM78" s="219"/>
      <c r="BN78" s="219"/>
      <c r="BO78" s="219"/>
      <c r="BP78" s="219"/>
      <c r="BQ78" s="224">
        <f t="shared" si="108"/>
        <v>0</v>
      </c>
      <c r="BR78" s="226">
        <f t="shared" si="109"/>
        <v>0</v>
      </c>
      <c r="BS78" s="223">
        <f t="shared" si="110"/>
        <v>0</v>
      </c>
      <c r="BT78" s="224">
        <f t="shared" si="111"/>
        <v>0</v>
      </c>
      <c r="BV78" s="227"/>
      <c r="BW78" s="225"/>
      <c r="BX78" s="219"/>
      <c r="BY78" s="219"/>
      <c r="BZ78" s="219"/>
      <c r="CA78" s="219"/>
      <c r="CB78" s="219"/>
      <c r="CC78" s="219"/>
      <c r="CD78" s="219"/>
      <c r="CE78" s="224">
        <f t="shared" si="112"/>
        <v>0</v>
      </c>
      <c r="CF78" s="225"/>
      <c r="CG78" s="219"/>
      <c r="CH78" s="219"/>
      <c r="CI78" s="219"/>
      <c r="CJ78" s="219"/>
      <c r="CK78" s="219"/>
      <c r="CL78" s="219"/>
      <c r="CM78" s="219"/>
      <c r="CN78" s="224">
        <f t="shared" si="113"/>
        <v>0</v>
      </c>
      <c r="CO78" s="225"/>
      <c r="CP78" s="219"/>
      <c r="CQ78" s="219"/>
      <c r="CR78" s="219"/>
      <c r="CS78" s="219"/>
      <c r="CT78" s="219"/>
      <c r="CU78" s="219"/>
      <c r="CV78" s="219"/>
      <c r="CW78" s="224">
        <f t="shared" si="114"/>
        <v>0</v>
      </c>
      <c r="CX78" s="226">
        <f t="shared" si="115"/>
        <v>0</v>
      </c>
      <c r="CY78" s="223">
        <f t="shared" si="116"/>
        <v>0</v>
      </c>
      <c r="CZ78" s="224">
        <f t="shared" si="117"/>
        <v>0</v>
      </c>
      <c r="DB78" s="227"/>
      <c r="DC78" s="221"/>
      <c r="DD78" s="206"/>
      <c r="DE78" s="219"/>
      <c r="DF78" s="219"/>
      <c r="DG78" s="219"/>
      <c r="DH78" s="219"/>
      <c r="DI78" s="219"/>
      <c r="DJ78" s="219"/>
      <c r="DK78" s="224">
        <f t="shared" si="118"/>
        <v>0</v>
      </c>
      <c r="DL78" s="221"/>
      <c r="DM78" s="206"/>
      <c r="DN78" s="219"/>
      <c r="DO78" s="219"/>
      <c r="DP78" s="219"/>
      <c r="DQ78" s="219"/>
      <c r="DR78" s="219"/>
      <c r="DS78" s="219"/>
      <c r="DT78" s="224">
        <f t="shared" si="119"/>
        <v>0</v>
      </c>
      <c r="DU78" s="221"/>
      <c r="DV78" s="206"/>
      <c r="DW78" s="219"/>
      <c r="DX78" s="219"/>
      <c r="DY78" s="219"/>
      <c r="DZ78" s="219"/>
      <c r="EA78" s="219"/>
      <c r="EB78" s="219"/>
      <c r="EC78" s="224">
        <f t="shared" si="120"/>
        <v>0</v>
      </c>
      <c r="ED78" s="226">
        <f t="shared" si="121"/>
        <v>0</v>
      </c>
      <c r="EE78" s="223">
        <f t="shared" si="122"/>
        <v>0</v>
      </c>
      <c r="EF78" s="224">
        <f t="shared" si="123"/>
        <v>0</v>
      </c>
    </row>
    <row r="79" spans="1:136" s="90" customFormat="1" hidden="1" outlineLevel="1" x14ac:dyDescent="0.25">
      <c r="A79" s="257">
        <v>11</v>
      </c>
      <c r="B79" s="217" t="s">
        <v>351</v>
      </c>
      <c r="C79" s="217" t="s">
        <v>74</v>
      </c>
      <c r="D79" s="217" t="s">
        <v>147</v>
      </c>
      <c r="E79" s="245" t="s">
        <v>454</v>
      </c>
      <c r="F79" s="219" t="s">
        <v>1000</v>
      </c>
      <c r="G79" s="220">
        <v>5.4840057873575461</v>
      </c>
      <c r="H79" s="207"/>
      <c r="I79" s="221">
        <f t="shared" si="124"/>
        <v>51.681319584953485</v>
      </c>
      <c r="J79" s="282">
        <f t="shared" si="125"/>
        <v>723.53847418934879</v>
      </c>
      <c r="K79" s="222">
        <f t="shared" si="126"/>
        <v>539.77881823142297</v>
      </c>
      <c r="L79" s="219">
        <v>0</v>
      </c>
      <c r="M79" s="279">
        <v>0</v>
      </c>
      <c r="N79" s="223">
        <v>140</v>
      </c>
      <c r="O79" s="281">
        <v>89.600000000000009</v>
      </c>
      <c r="P79" s="223">
        <v>280</v>
      </c>
      <c r="Q79" s="281">
        <v>179.20000000000002</v>
      </c>
      <c r="R79" s="278">
        <f t="shared" si="99"/>
        <v>0.51873098858791034</v>
      </c>
      <c r="S79" s="221">
        <f t="shared" si="100"/>
        <v>51.681319584953485</v>
      </c>
      <c r="T79" s="226">
        <f t="shared" si="127"/>
        <v>723.53847418934879</v>
      </c>
      <c r="U79" s="279">
        <f t="shared" si="128"/>
        <v>539.77881823142297</v>
      </c>
      <c r="V79" s="219">
        <f>IFERROR(VLOOKUP(B79,F_U!A:C,3,0),0)</f>
        <v>280</v>
      </c>
      <c r="W79" s="279">
        <f>IFERROR(VLOOKUP(B79,F_U!A:B,2,0),0)</f>
        <v>179.20000000000002</v>
      </c>
      <c r="X79" s="219">
        <f>IFERROR(VLOOKUP(B79,F_U!A:C,3,0),0)</f>
        <v>280</v>
      </c>
      <c r="Y79" s="279">
        <f>IFERROR(VLOOKUP(B79,F_U!A:B,2,0),0)</f>
        <v>179.20000000000002</v>
      </c>
      <c r="Z79" s="219">
        <f>IFERROR(VLOOKUP(B79,F_U!A:C,3,0),0)</f>
        <v>280</v>
      </c>
      <c r="AA79" s="279">
        <f>IFERROR(VLOOKUP(B79,F_U!A:B,2,0),0)</f>
        <v>179.20000000000002</v>
      </c>
      <c r="AB79" s="224">
        <f t="shared" si="101"/>
        <v>0.51873098858791034</v>
      </c>
      <c r="AC79" s="225"/>
      <c r="AD79" s="219"/>
      <c r="AE79" s="219"/>
      <c r="AF79" s="219"/>
      <c r="AG79" s="219"/>
      <c r="AH79" s="219"/>
      <c r="AI79" s="219"/>
      <c r="AJ79" s="219"/>
      <c r="AK79" s="224">
        <f t="shared" si="102"/>
        <v>0</v>
      </c>
      <c r="AL79" s="226">
        <f t="shared" si="103"/>
        <v>1079.5576364628459</v>
      </c>
      <c r="AM79" s="223">
        <f t="shared" si="104"/>
        <v>560</v>
      </c>
      <c r="AN79" s="224">
        <f t="shared" si="105"/>
        <v>0.51873098858791034</v>
      </c>
      <c r="AP79" s="227"/>
      <c r="AQ79" s="221"/>
      <c r="AR79" s="206"/>
      <c r="AS79" s="219"/>
      <c r="AT79" s="219"/>
      <c r="AU79" s="219"/>
      <c r="AV79" s="219"/>
      <c r="AW79" s="219"/>
      <c r="AX79" s="219"/>
      <c r="AY79" s="224">
        <f t="shared" si="106"/>
        <v>0</v>
      </c>
      <c r="AZ79" s="221"/>
      <c r="BA79" s="206"/>
      <c r="BB79" s="219"/>
      <c r="BC79" s="219"/>
      <c r="BD79" s="219"/>
      <c r="BE79" s="219"/>
      <c r="BF79" s="219"/>
      <c r="BG79" s="219"/>
      <c r="BH79" s="224">
        <f t="shared" si="107"/>
        <v>0</v>
      </c>
      <c r="BI79" s="221"/>
      <c r="BJ79" s="206"/>
      <c r="BK79" s="219"/>
      <c r="BL79" s="219"/>
      <c r="BM79" s="219"/>
      <c r="BN79" s="219"/>
      <c r="BO79" s="219"/>
      <c r="BP79" s="219"/>
      <c r="BQ79" s="224">
        <f t="shared" si="108"/>
        <v>0</v>
      </c>
      <c r="BR79" s="226">
        <f t="shared" si="109"/>
        <v>0</v>
      </c>
      <c r="BS79" s="223">
        <f t="shared" si="110"/>
        <v>0</v>
      </c>
      <c r="BT79" s="224">
        <f t="shared" si="111"/>
        <v>0</v>
      </c>
      <c r="BV79" s="227"/>
      <c r="BW79" s="225"/>
      <c r="BX79" s="219"/>
      <c r="BY79" s="219"/>
      <c r="BZ79" s="219"/>
      <c r="CA79" s="219"/>
      <c r="CB79" s="219"/>
      <c r="CC79" s="219"/>
      <c r="CD79" s="219"/>
      <c r="CE79" s="224">
        <f t="shared" si="112"/>
        <v>0</v>
      </c>
      <c r="CF79" s="225"/>
      <c r="CG79" s="219"/>
      <c r="CH79" s="219"/>
      <c r="CI79" s="219"/>
      <c r="CJ79" s="219"/>
      <c r="CK79" s="219"/>
      <c r="CL79" s="219"/>
      <c r="CM79" s="219"/>
      <c r="CN79" s="224">
        <f t="shared" si="113"/>
        <v>0</v>
      </c>
      <c r="CO79" s="225"/>
      <c r="CP79" s="219"/>
      <c r="CQ79" s="219"/>
      <c r="CR79" s="219"/>
      <c r="CS79" s="219"/>
      <c r="CT79" s="219"/>
      <c r="CU79" s="219"/>
      <c r="CV79" s="219"/>
      <c r="CW79" s="224">
        <f t="shared" si="114"/>
        <v>0</v>
      </c>
      <c r="CX79" s="226">
        <f t="shared" si="115"/>
        <v>0</v>
      </c>
      <c r="CY79" s="223">
        <f t="shared" si="116"/>
        <v>0</v>
      </c>
      <c r="CZ79" s="224">
        <f t="shared" si="117"/>
        <v>0</v>
      </c>
      <c r="DB79" s="227"/>
      <c r="DC79" s="221"/>
      <c r="DD79" s="206"/>
      <c r="DE79" s="219"/>
      <c r="DF79" s="219"/>
      <c r="DG79" s="219"/>
      <c r="DH79" s="219"/>
      <c r="DI79" s="219"/>
      <c r="DJ79" s="219"/>
      <c r="DK79" s="224">
        <f t="shared" si="118"/>
        <v>0</v>
      </c>
      <c r="DL79" s="221"/>
      <c r="DM79" s="206"/>
      <c r="DN79" s="219"/>
      <c r="DO79" s="219"/>
      <c r="DP79" s="219"/>
      <c r="DQ79" s="219"/>
      <c r="DR79" s="219"/>
      <c r="DS79" s="219"/>
      <c r="DT79" s="224">
        <f t="shared" si="119"/>
        <v>0</v>
      </c>
      <c r="DU79" s="221"/>
      <c r="DV79" s="206"/>
      <c r="DW79" s="219"/>
      <c r="DX79" s="219"/>
      <c r="DY79" s="219"/>
      <c r="DZ79" s="219"/>
      <c r="EA79" s="219"/>
      <c r="EB79" s="219"/>
      <c r="EC79" s="224">
        <f t="shared" si="120"/>
        <v>0</v>
      </c>
      <c r="ED79" s="226">
        <f t="shared" si="121"/>
        <v>0</v>
      </c>
      <c r="EE79" s="223">
        <f t="shared" si="122"/>
        <v>0</v>
      </c>
      <c r="EF79" s="224">
        <f t="shared" si="123"/>
        <v>0</v>
      </c>
    </row>
    <row r="80" spans="1:136" s="90" customFormat="1" hidden="1" outlineLevel="1" x14ac:dyDescent="0.25">
      <c r="A80" s="257">
        <v>12</v>
      </c>
      <c r="B80" s="217" t="s">
        <v>428</v>
      </c>
      <c r="C80" s="217">
        <v>155</v>
      </c>
      <c r="D80" s="217" t="s">
        <v>147</v>
      </c>
      <c r="E80" s="245" t="s">
        <v>465</v>
      </c>
      <c r="F80" s="219" t="s">
        <v>1000</v>
      </c>
      <c r="G80" s="220">
        <v>4.9853523760978833</v>
      </c>
      <c r="H80" s="207"/>
      <c r="I80" s="221">
        <f t="shared" si="124"/>
        <v>46.982005377654737</v>
      </c>
      <c r="J80" s="282">
        <f t="shared" si="125"/>
        <v>657.74807528716633</v>
      </c>
      <c r="K80" s="222">
        <f t="shared" si="126"/>
        <v>490.69744241352765</v>
      </c>
      <c r="L80" s="219">
        <v>420</v>
      </c>
      <c r="M80" s="279">
        <v>268.8</v>
      </c>
      <c r="N80" s="223">
        <v>700</v>
      </c>
      <c r="O80" s="281">
        <v>448</v>
      </c>
      <c r="P80" s="223">
        <v>1120</v>
      </c>
      <c r="Q80" s="281">
        <v>716.8</v>
      </c>
      <c r="R80" s="278">
        <f t="shared" si="99"/>
        <v>2.2824655341409694</v>
      </c>
      <c r="S80" s="221">
        <f t="shared" si="100"/>
        <v>46.982005377654737</v>
      </c>
      <c r="T80" s="226">
        <f t="shared" si="127"/>
        <v>657.74807528716633</v>
      </c>
      <c r="U80" s="279">
        <f t="shared" si="128"/>
        <v>490.69744241352765</v>
      </c>
      <c r="V80" s="219">
        <f>IFERROR(VLOOKUP(B80,F_U!A:C,3,0),0)</f>
        <v>1120</v>
      </c>
      <c r="W80" s="279">
        <f>IFERROR(VLOOKUP(B80,F_U!A:B,2,0),0)</f>
        <v>716.8</v>
      </c>
      <c r="X80" s="219">
        <f>IFERROR(VLOOKUP(B80,F_U!A:C,3,0),0)</f>
        <v>1120</v>
      </c>
      <c r="Y80" s="279">
        <f>IFERROR(VLOOKUP(B80,F_U!A:B,2,0),0)</f>
        <v>716.8</v>
      </c>
      <c r="Z80" s="219">
        <f>IFERROR(VLOOKUP(B80,F_U!A:C,3,0),0)</f>
        <v>1120</v>
      </c>
      <c r="AA80" s="279">
        <f>IFERROR(VLOOKUP(B80,F_U!A:B,2,0),0)</f>
        <v>716.8</v>
      </c>
      <c r="AB80" s="224">
        <f t="shared" si="101"/>
        <v>2.2824655341409694</v>
      </c>
      <c r="AC80" s="225"/>
      <c r="AD80" s="219"/>
      <c r="AE80" s="219"/>
      <c r="AF80" s="219"/>
      <c r="AG80" s="219"/>
      <c r="AH80" s="219"/>
      <c r="AI80" s="219"/>
      <c r="AJ80" s="219"/>
      <c r="AK80" s="224">
        <f t="shared" si="102"/>
        <v>0</v>
      </c>
      <c r="AL80" s="226">
        <f t="shared" si="103"/>
        <v>981.39488482705531</v>
      </c>
      <c r="AM80" s="223">
        <f t="shared" si="104"/>
        <v>2240</v>
      </c>
      <c r="AN80" s="224">
        <f t="shared" si="105"/>
        <v>2.2824655341409694</v>
      </c>
      <c r="AP80" s="227"/>
      <c r="AQ80" s="221"/>
      <c r="AR80" s="206"/>
      <c r="AS80" s="219"/>
      <c r="AT80" s="219"/>
      <c r="AU80" s="219"/>
      <c r="AV80" s="219"/>
      <c r="AW80" s="219"/>
      <c r="AX80" s="219"/>
      <c r="AY80" s="224">
        <f t="shared" si="106"/>
        <v>0</v>
      </c>
      <c r="AZ80" s="221"/>
      <c r="BA80" s="206"/>
      <c r="BB80" s="219"/>
      <c r="BC80" s="219"/>
      <c r="BD80" s="219"/>
      <c r="BE80" s="219"/>
      <c r="BF80" s="219"/>
      <c r="BG80" s="219"/>
      <c r="BH80" s="224">
        <f t="shared" si="107"/>
        <v>0</v>
      </c>
      <c r="BI80" s="221"/>
      <c r="BJ80" s="206"/>
      <c r="BK80" s="219"/>
      <c r="BL80" s="219"/>
      <c r="BM80" s="219"/>
      <c r="BN80" s="219"/>
      <c r="BO80" s="219"/>
      <c r="BP80" s="219"/>
      <c r="BQ80" s="224">
        <f t="shared" si="108"/>
        <v>0</v>
      </c>
      <c r="BR80" s="226">
        <f t="shared" si="109"/>
        <v>0</v>
      </c>
      <c r="BS80" s="223">
        <f t="shared" si="110"/>
        <v>0</v>
      </c>
      <c r="BT80" s="224">
        <f t="shared" si="111"/>
        <v>0</v>
      </c>
      <c r="BV80" s="227"/>
      <c r="BW80" s="225"/>
      <c r="BX80" s="219"/>
      <c r="BY80" s="219"/>
      <c r="BZ80" s="219"/>
      <c r="CA80" s="219"/>
      <c r="CB80" s="219"/>
      <c r="CC80" s="219"/>
      <c r="CD80" s="219"/>
      <c r="CE80" s="224">
        <f t="shared" si="112"/>
        <v>0</v>
      </c>
      <c r="CF80" s="225"/>
      <c r="CG80" s="219"/>
      <c r="CH80" s="219"/>
      <c r="CI80" s="219"/>
      <c r="CJ80" s="219"/>
      <c r="CK80" s="219"/>
      <c r="CL80" s="219"/>
      <c r="CM80" s="219"/>
      <c r="CN80" s="224">
        <f t="shared" si="113"/>
        <v>0</v>
      </c>
      <c r="CO80" s="225"/>
      <c r="CP80" s="219"/>
      <c r="CQ80" s="219"/>
      <c r="CR80" s="219"/>
      <c r="CS80" s="219"/>
      <c r="CT80" s="219"/>
      <c r="CU80" s="219"/>
      <c r="CV80" s="219"/>
      <c r="CW80" s="224">
        <f t="shared" si="114"/>
        <v>0</v>
      </c>
      <c r="CX80" s="226">
        <f t="shared" si="115"/>
        <v>0</v>
      </c>
      <c r="CY80" s="223">
        <f t="shared" si="116"/>
        <v>0</v>
      </c>
      <c r="CZ80" s="224">
        <f t="shared" si="117"/>
        <v>0</v>
      </c>
      <c r="DB80" s="227"/>
      <c r="DC80" s="221"/>
      <c r="DD80" s="206"/>
      <c r="DE80" s="219"/>
      <c r="DF80" s="219"/>
      <c r="DG80" s="219"/>
      <c r="DH80" s="219"/>
      <c r="DI80" s="219"/>
      <c r="DJ80" s="219"/>
      <c r="DK80" s="224">
        <f t="shared" si="118"/>
        <v>0</v>
      </c>
      <c r="DL80" s="221"/>
      <c r="DM80" s="206"/>
      <c r="DN80" s="219"/>
      <c r="DO80" s="219"/>
      <c r="DP80" s="219"/>
      <c r="DQ80" s="219"/>
      <c r="DR80" s="219"/>
      <c r="DS80" s="219"/>
      <c r="DT80" s="224">
        <f t="shared" si="119"/>
        <v>0</v>
      </c>
      <c r="DU80" s="221"/>
      <c r="DV80" s="206"/>
      <c r="DW80" s="219"/>
      <c r="DX80" s="219"/>
      <c r="DY80" s="219"/>
      <c r="DZ80" s="219"/>
      <c r="EA80" s="219"/>
      <c r="EB80" s="219"/>
      <c r="EC80" s="224">
        <f t="shared" si="120"/>
        <v>0</v>
      </c>
      <c r="ED80" s="226">
        <f t="shared" si="121"/>
        <v>0</v>
      </c>
      <c r="EE80" s="223">
        <f t="shared" si="122"/>
        <v>0</v>
      </c>
      <c r="EF80" s="224">
        <f t="shared" si="123"/>
        <v>0</v>
      </c>
    </row>
    <row r="81" spans="1:136" s="90" customFormat="1" hidden="1" outlineLevel="1" x14ac:dyDescent="0.25">
      <c r="A81" s="257">
        <v>13</v>
      </c>
      <c r="B81" s="217" t="s">
        <v>297</v>
      </c>
      <c r="C81" s="217" t="s">
        <v>596</v>
      </c>
      <c r="D81" s="217" t="s">
        <v>986</v>
      </c>
      <c r="E81" s="245" t="s">
        <v>454</v>
      </c>
      <c r="F81" s="219" t="s">
        <v>1000</v>
      </c>
      <c r="G81" s="220">
        <v>5.2941795144402288</v>
      </c>
      <c r="H81" s="207"/>
      <c r="I81" s="221">
        <f t="shared" si="124"/>
        <v>49.892395091314761</v>
      </c>
      <c r="J81" s="282">
        <f t="shared" si="125"/>
        <v>698.49353127840664</v>
      </c>
      <c r="K81" s="222">
        <f t="shared" si="126"/>
        <v>521.09462911171067</v>
      </c>
      <c r="L81" s="219">
        <v>0</v>
      </c>
      <c r="M81" s="279">
        <v>0</v>
      </c>
      <c r="N81" s="223">
        <v>0</v>
      </c>
      <c r="O81" s="281">
        <v>0</v>
      </c>
      <c r="P81" s="223">
        <v>0</v>
      </c>
      <c r="Q81" s="281">
        <v>0</v>
      </c>
      <c r="R81" s="278">
        <f t="shared" si="99"/>
        <v>0</v>
      </c>
      <c r="S81" s="221">
        <f t="shared" si="100"/>
        <v>49.892395091314761</v>
      </c>
      <c r="T81" s="226">
        <f t="shared" si="127"/>
        <v>698.49353127840664</v>
      </c>
      <c r="U81" s="279">
        <f t="shared" si="128"/>
        <v>521.09462911171067</v>
      </c>
      <c r="V81" s="219">
        <f>IFERROR(VLOOKUP(B81,F_U!A:C,3,0),0)</f>
        <v>0</v>
      </c>
      <c r="W81" s="279">
        <f>IFERROR(VLOOKUP(B81,F_U!A:B,2,0),0)</f>
        <v>0</v>
      </c>
      <c r="X81" s="219">
        <f>IFERROR(VLOOKUP(B81,F_U!A:C,3,0),0)</f>
        <v>0</v>
      </c>
      <c r="Y81" s="279">
        <f>IFERROR(VLOOKUP(B81,F_U!A:B,2,0),0)</f>
        <v>0</v>
      </c>
      <c r="Z81" s="219">
        <f>IFERROR(VLOOKUP(B81,F_U!A:C,3,0),0)</f>
        <v>0</v>
      </c>
      <c r="AA81" s="279">
        <f>IFERROR(VLOOKUP(B81,F_U!A:B,2,0),0)</f>
        <v>0</v>
      </c>
      <c r="AB81" s="224">
        <f t="shared" si="101"/>
        <v>0</v>
      </c>
      <c r="AC81" s="225"/>
      <c r="AD81" s="219"/>
      <c r="AE81" s="219"/>
      <c r="AF81" s="219"/>
      <c r="AG81" s="219"/>
      <c r="AH81" s="219"/>
      <c r="AI81" s="219"/>
      <c r="AJ81" s="219"/>
      <c r="AK81" s="224">
        <f t="shared" si="102"/>
        <v>0</v>
      </c>
      <c r="AL81" s="226">
        <f t="shared" si="103"/>
        <v>1042.1892582234213</v>
      </c>
      <c r="AM81" s="223">
        <f t="shared" si="104"/>
        <v>0</v>
      </c>
      <c r="AN81" s="224">
        <f t="shared" si="105"/>
        <v>0</v>
      </c>
      <c r="AP81" s="227"/>
      <c r="AQ81" s="221"/>
      <c r="AR81" s="206"/>
      <c r="AS81" s="219"/>
      <c r="AT81" s="219"/>
      <c r="AU81" s="219"/>
      <c r="AV81" s="219"/>
      <c r="AW81" s="219"/>
      <c r="AX81" s="219"/>
      <c r="AY81" s="224">
        <f t="shared" si="106"/>
        <v>0</v>
      </c>
      <c r="AZ81" s="221"/>
      <c r="BA81" s="206"/>
      <c r="BB81" s="219"/>
      <c r="BC81" s="219"/>
      <c r="BD81" s="219"/>
      <c r="BE81" s="219"/>
      <c r="BF81" s="219"/>
      <c r="BG81" s="219"/>
      <c r="BH81" s="224">
        <f t="shared" si="107"/>
        <v>0</v>
      </c>
      <c r="BI81" s="221"/>
      <c r="BJ81" s="206"/>
      <c r="BK81" s="219"/>
      <c r="BL81" s="219"/>
      <c r="BM81" s="219"/>
      <c r="BN81" s="219"/>
      <c r="BO81" s="219"/>
      <c r="BP81" s="219"/>
      <c r="BQ81" s="224">
        <f t="shared" si="108"/>
        <v>0</v>
      </c>
      <c r="BR81" s="226">
        <f t="shared" si="109"/>
        <v>0</v>
      </c>
      <c r="BS81" s="223">
        <f t="shared" si="110"/>
        <v>0</v>
      </c>
      <c r="BT81" s="224">
        <f t="shared" si="111"/>
        <v>0</v>
      </c>
      <c r="BV81" s="227"/>
      <c r="BW81" s="225"/>
      <c r="BX81" s="219"/>
      <c r="BY81" s="219"/>
      <c r="BZ81" s="219"/>
      <c r="CA81" s="219"/>
      <c r="CB81" s="219"/>
      <c r="CC81" s="219"/>
      <c r="CD81" s="219"/>
      <c r="CE81" s="224">
        <f t="shared" si="112"/>
        <v>0</v>
      </c>
      <c r="CF81" s="225"/>
      <c r="CG81" s="219"/>
      <c r="CH81" s="219"/>
      <c r="CI81" s="219"/>
      <c r="CJ81" s="219"/>
      <c r="CK81" s="219"/>
      <c r="CL81" s="219"/>
      <c r="CM81" s="219"/>
      <c r="CN81" s="224">
        <f t="shared" si="113"/>
        <v>0</v>
      </c>
      <c r="CO81" s="225"/>
      <c r="CP81" s="219"/>
      <c r="CQ81" s="219"/>
      <c r="CR81" s="219"/>
      <c r="CS81" s="219"/>
      <c r="CT81" s="219"/>
      <c r="CU81" s="219"/>
      <c r="CV81" s="219"/>
      <c r="CW81" s="224">
        <f t="shared" si="114"/>
        <v>0</v>
      </c>
      <c r="CX81" s="226">
        <f t="shared" si="115"/>
        <v>0</v>
      </c>
      <c r="CY81" s="223">
        <f t="shared" si="116"/>
        <v>0</v>
      </c>
      <c r="CZ81" s="224">
        <f t="shared" si="117"/>
        <v>0</v>
      </c>
      <c r="DB81" s="227"/>
      <c r="DC81" s="221"/>
      <c r="DD81" s="206"/>
      <c r="DE81" s="219"/>
      <c r="DF81" s="219"/>
      <c r="DG81" s="219"/>
      <c r="DH81" s="219"/>
      <c r="DI81" s="219"/>
      <c r="DJ81" s="219"/>
      <c r="DK81" s="224">
        <f t="shared" si="118"/>
        <v>0</v>
      </c>
      <c r="DL81" s="221"/>
      <c r="DM81" s="206"/>
      <c r="DN81" s="219"/>
      <c r="DO81" s="219"/>
      <c r="DP81" s="219"/>
      <c r="DQ81" s="219"/>
      <c r="DR81" s="219"/>
      <c r="DS81" s="219"/>
      <c r="DT81" s="224">
        <f t="shared" si="119"/>
        <v>0</v>
      </c>
      <c r="DU81" s="221"/>
      <c r="DV81" s="206"/>
      <c r="DW81" s="219"/>
      <c r="DX81" s="219"/>
      <c r="DY81" s="219"/>
      <c r="DZ81" s="219"/>
      <c r="EA81" s="219"/>
      <c r="EB81" s="219"/>
      <c r="EC81" s="224">
        <f t="shared" si="120"/>
        <v>0</v>
      </c>
      <c r="ED81" s="226">
        <f t="shared" si="121"/>
        <v>0</v>
      </c>
      <c r="EE81" s="223">
        <f t="shared" si="122"/>
        <v>0</v>
      </c>
      <c r="EF81" s="224">
        <f t="shared" si="123"/>
        <v>0</v>
      </c>
    </row>
    <row r="82" spans="1:136" s="90" customFormat="1" hidden="1" outlineLevel="1" x14ac:dyDescent="0.25">
      <c r="A82" s="257">
        <v>14</v>
      </c>
      <c r="B82" s="217" t="s">
        <v>279</v>
      </c>
      <c r="C82" s="217" t="s">
        <v>1004</v>
      </c>
      <c r="D82" s="217" t="s">
        <v>147</v>
      </c>
      <c r="E82" s="245" t="s">
        <v>454</v>
      </c>
      <c r="F82" s="219" t="s">
        <v>1000</v>
      </c>
      <c r="G82" s="220">
        <v>4.7693309441247402</v>
      </c>
      <c r="H82" s="207"/>
      <c r="I82" s="221">
        <f t="shared" si="124"/>
        <v>44.946217470803752</v>
      </c>
      <c r="J82" s="282">
        <f t="shared" si="125"/>
        <v>629.24704459125257</v>
      </c>
      <c r="K82" s="222">
        <f t="shared" si="126"/>
        <v>469.4349204935229</v>
      </c>
      <c r="L82" s="219">
        <v>140</v>
      </c>
      <c r="M82" s="279">
        <v>89.600000000000009</v>
      </c>
      <c r="N82" s="223">
        <v>280</v>
      </c>
      <c r="O82" s="281">
        <v>179.20000000000002</v>
      </c>
      <c r="P82" s="223">
        <v>502</v>
      </c>
      <c r="Q82" s="281">
        <v>325.60000000000002</v>
      </c>
      <c r="R82" s="278">
        <f t="shared" si="99"/>
        <v>1.0693708075066954</v>
      </c>
      <c r="S82" s="221">
        <f t="shared" si="100"/>
        <v>44.946217470803752</v>
      </c>
      <c r="T82" s="226">
        <f t="shared" si="127"/>
        <v>629.24704459125257</v>
      </c>
      <c r="U82" s="279">
        <f t="shared" si="128"/>
        <v>469.4349204935229</v>
      </c>
      <c r="V82" s="219">
        <f>IFERROR(VLOOKUP(B82,F_U!A:C,3,0),0)</f>
        <v>502</v>
      </c>
      <c r="W82" s="279">
        <f>IFERROR(VLOOKUP(B82,F_U!A:B,2,0),0)</f>
        <v>325.60000000000002</v>
      </c>
      <c r="X82" s="219">
        <f>IFERROR(VLOOKUP(B82,F_U!A:C,3,0),0)</f>
        <v>502</v>
      </c>
      <c r="Y82" s="279">
        <f>IFERROR(VLOOKUP(B82,F_U!A:B,2,0),0)</f>
        <v>325.60000000000002</v>
      </c>
      <c r="Z82" s="219">
        <f>IFERROR(VLOOKUP(B82,F_U!A:C,3,0),0)</f>
        <v>502</v>
      </c>
      <c r="AA82" s="279">
        <f>IFERROR(VLOOKUP(B82,F_U!A:B,2,0),0)</f>
        <v>325.60000000000002</v>
      </c>
      <c r="AB82" s="224">
        <f t="shared" si="101"/>
        <v>1.0693708075066954</v>
      </c>
      <c r="AC82" s="225"/>
      <c r="AD82" s="219"/>
      <c r="AE82" s="219"/>
      <c r="AF82" s="219"/>
      <c r="AG82" s="219"/>
      <c r="AH82" s="219"/>
      <c r="AI82" s="219"/>
      <c r="AJ82" s="219"/>
      <c r="AK82" s="224">
        <f t="shared" si="102"/>
        <v>0</v>
      </c>
      <c r="AL82" s="226">
        <f t="shared" si="103"/>
        <v>938.86984098704579</v>
      </c>
      <c r="AM82" s="223">
        <f t="shared" si="104"/>
        <v>1004</v>
      </c>
      <c r="AN82" s="224">
        <f t="shared" si="105"/>
        <v>1.0693708075066954</v>
      </c>
      <c r="AP82" s="227"/>
      <c r="AQ82" s="221"/>
      <c r="AR82" s="206"/>
      <c r="AS82" s="219"/>
      <c r="AT82" s="219"/>
      <c r="AU82" s="219"/>
      <c r="AV82" s="219"/>
      <c r="AW82" s="219"/>
      <c r="AX82" s="219"/>
      <c r="AY82" s="224">
        <f t="shared" si="106"/>
        <v>0</v>
      </c>
      <c r="AZ82" s="221"/>
      <c r="BA82" s="206"/>
      <c r="BB82" s="219"/>
      <c r="BC82" s="219"/>
      <c r="BD82" s="219"/>
      <c r="BE82" s="219"/>
      <c r="BF82" s="219"/>
      <c r="BG82" s="219"/>
      <c r="BH82" s="224">
        <f t="shared" si="107"/>
        <v>0</v>
      </c>
      <c r="BI82" s="221"/>
      <c r="BJ82" s="206"/>
      <c r="BK82" s="219"/>
      <c r="BL82" s="219"/>
      <c r="BM82" s="219"/>
      <c r="BN82" s="219"/>
      <c r="BO82" s="219"/>
      <c r="BP82" s="219"/>
      <c r="BQ82" s="224">
        <f t="shared" si="108"/>
        <v>0</v>
      </c>
      <c r="BR82" s="226">
        <f t="shared" si="109"/>
        <v>0</v>
      </c>
      <c r="BS82" s="223">
        <f t="shared" si="110"/>
        <v>0</v>
      </c>
      <c r="BT82" s="224">
        <f t="shared" si="111"/>
        <v>0</v>
      </c>
      <c r="BV82" s="227"/>
      <c r="BW82" s="225"/>
      <c r="BX82" s="219"/>
      <c r="BY82" s="219"/>
      <c r="BZ82" s="219"/>
      <c r="CA82" s="219"/>
      <c r="CB82" s="219"/>
      <c r="CC82" s="219"/>
      <c r="CD82" s="219"/>
      <c r="CE82" s="224">
        <f t="shared" si="112"/>
        <v>0</v>
      </c>
      <c r="CF82" s="225"/>
      <c r="CG82" s="219"/>
      <c r="CH82" s="219"/>
      <c r="CI82" s="219"/>
      <c r="CJ82" s="219"/>
      <c r="CK82" s="219"/>
      <c r="CL82" s="219"/>
      <c r="CM82" s="219"/>
      <c r="CN82" s="224">
        <f t="shared" si="113"/>
        <v>0</v>
      </c>
      <c r="CO82" s="225"/>
      <c r="CP82" s="219"/>
      <c r="CQ82" s="219"/>
      <c r="CR82" s="219"/>
      <c r="CS82" s="219"/>
      <c r="CT82" s="219"/>
      <c r="CU82" s="219"/>
      <c r="CV82" s="219"/>
      <c r="CW82" s="224">
        <f t="shared" si="114"/>
        <v>0</v>
      </c>
      <c r="CX82" s="226">
        <f t="shared" si="115"/>
        <v>0</v>
      </c>
      <c r="CY82" s="223">
        <f t="shared" si="116"/>
        <v>0</v>
      </c>
      <c r="CZ82" s="224">
        <f t="shared" si="117"/>
        <v>0</v>
      </c>
      <c r="DB82" s="227"/>
      <c r="DC82" s="221"/>
      <c r="DD82" s="206"/>
      <c r="DE82" s="219"/>
      <c r="DF82" s="219"/>
      <c r="DG82" s="219"/>
      <c r="DH82" s="219"/>
      <c r="DI82" s="219"/>
      <c r="DJ82" s="219"/>
      <c r="DK82" s="224">
        <f t="shared" si="118"/>
        <v>0</v>
      </c>
      <c r="DL82" s="221"/>
      <c r="DM82" s="206"/>
      <c r="DN82" s="219"/>
      <c r="DO82" s="219"/>
      <c r="DP82" s="219"/>
      <c r="DQ82" s="219"/>
      <c r="DR82" s="219"/>
      <c r="DS82" s="219"/>
      <c r="DT82" s="224">
        <f t="shared" si="119"/>
        <v>0</v>
      </c>
      <c r="DU82" s="221"/>
      <c r="DV82" s="206"/>
      <c r="DW82" s="219"/>
      <c r="DX82" s="219"/>
      <c r="DY82" s="219"/>
      <c r="DZ82" s="219"/>
      <c r="EA82" s="219"/>
      <c r="EB82" s="219"/>
      <c r="EC82" s="224">
        <f t="shared" si="120"/>
        <v>0</v>
      </c>
      <c r="ED82" s="226">
        <f t="shared" si="121"/>
        <v>0</v>
      </c>
      <c r="EE82" s="223">
        <f t="shared" si="122"/>
        <v>0</v>
      </c>
      <c r="EF82" s="224">
        <f t="shared" si="123"/>
        <v>0</v>
      </c>
    </row>
    <row r="83" spans="1:136" s="90" customFormat="1" ht="16.5" collapsed="1" thickBot="1" x14ac:dyDescent="0.3">
      <c r="A83" s="231"/>
      <c r="B83" s="488" t="s">
        <v>1005</v>
      </c>
      <c r="C83" s="488"/>
      <c r="D83" s="488"/>
      <c r="E83" s="488"/>
      <c r="F83" s="488"/>
      <c r="G83" s="259">
        <f>SUM(G69:G82)</f>
        <v>100.00000000000001</v>
      </c>
      <c r="H83" s="258"/>
      <c r="I83" s="231">
        <f t="shared" ref="I83:Q83" si="129">SUM(I69:I82)</f>
        <v>942.40089432611614</v>
      </c>
      <c r="J83" s="232">
        <f t="shared" si="129"/>
        <v>13193.61252056563</v>
      </c>
      <c r="K83" s="233">
        <f t="shared" si="129"/>
        <v>9842.7835265198355</v>
      </c>
      <c r="L83" s="234">
        <f t="shared" si="129"/>
        <v>5820</v>
      </c>
      <c r="M83" s="280">
        <f>SUM(M69:M82)</f>
        <v>4234.4000000000005</v>
      </c>
      <c r="N83" s="234">
        <v>7430</v>
      </c>
      <c r="O83" s="280">
        <v>5264.8</v>
      </c>
      <c r="P83" s="234">
        <f t="shared" si="129"/>
        <v>11242</v>
      </c>
      <c r="Q83" s="280">
        <f t="shared" si="129"/>
        <v>8572.7999999999993</v>
      </c>
      <c r="R83" s="235">
        <f>IFERROR((Q83/K83),0)</f>
        <v>0.87097313243778396</v>
      </c>
      <c r="S83" s="231">
        <f t="shared" ref="S83:AA83" si="130">SUM(S69:S82)</f>
        <v>942.40089432611614</v>
      </c>
      <c r="T83" s="234">
        <f t="shared" si="130"/>
        <v>13193.61252056563</v>
      </c>
      <c r="U83" s="280">
        <f t="shared" si="130"/>
        <v>9842.7835265198355</v>
      </c>
      <c r="V83" s="234">
        <f t="shared" si="130"/>
        <v>11242</v>
      </c>
      <c r="W83" s="280">
        <f t="shared" si="130"/>
        <v>8572.7999999999993</v>
      </c>
      <c r="X83" s="234">
        <f t="shared" si="130"/>
        <v>11242</v>
      </c>
      <c r="Y83" s="280">
        <f t="shared" si="130"/>
        <v>8572.7999999999993</v>
      </c>
      <c r="Z83" s="234">
        <f t="shared" si="130"/>
        <v>11242</v>
      </c>
      <c r="AA83" s="280">
        <f t="shared" si="130"/>
        <v>8572.7999999999993</v>
      </c>
      <c r="AB83" s="235">
        <f>IFERROR((AA83/U83),0)</f>
        <v>0.87097313243778396</v>
      </c>
      <c r="AC83" s="231">
        <f t="shared" ref="AC83:AJ83" si="131">SUM(AC69:AC82)</f>
        <v>0</v>
      </c>
      <c r="AD83" s="234">
        <f t="shared" si="131"/>
        <v>0</v>
      </c>
      <c r="AE83" s="234">
        <f t="shared" si="131"/>
        <v>0</v>
      </c>
      <c r="AF83" s="234">
        <f t="shared" si="131"/>
        <v>0</v>
      </c>
      <c r="AG83" s="234">
        <f t="shared" si="131"/>
        <v>0</v>
      </c>
      <c r="AH83" s="234">
        <f t="shared" si="131"/>
        <v>0</v>
      </c>
      <c r="AI83" s="234">
        <f t="shared" si="131"/>
        <v>0</v>
      </c>
      <c r="AJ83" s="234">
        <f t="shared" si="131"/>
        <v>0</v>
      </c>
      <c r="AK83" s="251">
        <f>IFERROR((AI83/AD83),0)</f>
        <v>0</v>
      </c>
      <c r="AL83" s="231">
        <f>SUM(AL69:AL82)</f>
        <v>19685.567053039671</v>
      </c>
      <c r="AM83" s="234">
        <f>SUM(AM69:AM82)</f>
        <v>22484</v>
      </c>
      <c r="AN83" s="237">
        <f t="shared" si="105"/>
        <v>1.1421565830143674</v>
      </c>
      <c r="AP83" s="94"/>
      <c r="AQ83" s="231">
        <f t="shared" ref="AQ83:AX83" si="132">SUM(AQ69:AQ82)</f>
        <v>0</v>
      </c>
      <c r="AR83" s="234">
        <f t="shared" si="132"/>
        <v>0</v>
      </c>
      <c r="AS83" s="234">
        <f t="shared" si="132"/>
        <v>0</v>
      </c>
      <c r="AT83" s="234">
        <f t="shared" si="132"/>
        <v>0</v>
      </c>
      <c r="AU83" s="234">
        <f t="shared" si="132"/>
        <v>0</v>
      </c>
      <c r="AV83" s="234">
        <f t="shared" si="132"/>
        <v>0</v>
      </c>
      <c r="AW83" s="234">
        <f t="shared" si="132"/>
        <v>0</v>
      </c>
      <c r="AX83" s="234">
        <f t="shared" si="132"/>
        <v>0</v>
      </c>
      <c r="AY83" s="251">
        <f>IFERROR((AW83/AR83),0)</f>
        <v>0</v>
      </c>
      <c r="AZ83" s="231">
        <f t="shared" ref="AZ83:BG83" si="133">SUM(AZ69:AZ82)</f>
        <v>0</v>
      </c>
      <c r="BA83" s="234">
        <f t="shared" si="133"/>
        <v>0</v>
      </c>
      <c r="BB83" s="234">
        <f t="shared" si="133"/>
        <v>0</v>
      </c>
      <c r="BC83" s="234">
        <f t="shared" si="133"/>
        <v>0</v>
      </c>
      <c r="BD83" s="234">
        <f t="shared" si="133"/>
        <v>0</v>
      </c>
      <c r="BE83" s="234">
        <f t="shared" si="133"/>
        <v>0</v>
      </c>
      <c r="BF83" s="234">
        <f t="shared" si="133"/>
        <v>0</v>
      </c>
      <c r="BG83" s="234">
        <f t="shared" si="133"/>
        <v>0</v>
      </c>
      <c r="BH83" s="251">
        <f>IFERROR((BF83/BA83),0)</f>
        <v>0</v>
      </c>
      <c r="BI83" s="231">
        <f t="shared" ref="BI83:BP83" si="134">SUM(BI69:BI82)</f>
        <v>0</v>
      </c>
      <c r="BJ83" s="234">
        <f t="shared" si="134"/>
        <v>0</v>
      </c>
      <c r="BK83" s="234">
        <f t="shared" si="134"/>
        <v>0</v>
      </c>
      <c r="BL83" s="234">
        <f t="shared" si="134"/>
        <v>0</v>
      </c>
      <c r="BM83" s="234">
        <f t="shared" si="134"/>
        <v>0</v>
      </c>
      <c r="BN83" s="234">
        <f t="shared" si="134"/>
        <v>0</v>
      </c>
      <c r="BO83" s="234">
        <f t="shared" si="134"/>
        <v>0</v>
      </c>
      <c r="BP83" s="234">
        <f t="shared" si="134"/>
        <v>0</v>
      </c>
      <c r="BQ83" s="251">
        <f>IFERROR((BO83/BJ83),0)</f>
        <v>0</v>
      </c>
      <c r="BR83" s="231">
        <f>SUM(BR69:BR82)</f>
        <v>0</v>
      </c>
      <c r="BS83" s="234">
        <f>SUM(BS69:BS82)</f>
        <v>0</v>
      </c>
      <c r="BT83" s="237">
        <f t="shared" si="111"/>
        <v>0</v>
      </c>
      <c r="BV83" s="94"/>
      <c r="BW83" s="231">
        <f t="shared" ref="BW83:CD83" si="135">SUM(BW69:BW82)</f>
        <v>0</v>
      </c>
      <c r="BX83" s="234">
        <f t="shared" si="135"/>
        <v>0</v>
      </c>
      <c r="BY83" s="234">
        <f t="shared" si="135"/>
        <v>0</v>
      </c>
      <c r="BZ83" s="234">
        <f t="shared" si="135"/>
        <v>0</v>
      </c>
      <c r="CA83" s="234">
        <f t="shared" si="135"/>
        <v>0</v>
      </c>
      <c r="CB83" s="234">
        <f t="shared" si="135"/>
        <v>0</v>
      </c>
      <c r="CC83" s="234">
        <f t="shared" si="135"/>
        <v>0</v>
      </c>
      <c r="CD83" s="234">
        <f t="shared" si="135"/>
        <v>0</v>
      </c>
      <c r="CE83" s="251">
        <f>IFERROR((CC83/BX83),0)</f>
        <v>0</v>
      </c>
      <c r="CF83" s="231">
        <f t="shared" ref="CF83:CM83" si="136">SUM(CF69:CF82)</f>
        <v>0</v>
      </c>
      <c r="CG83" s="234">
        <f t="shared" si="136"/>
        <v>0</v>
      </c>
      <c r="CH83" s="234">
        <f t="shared" si="136"/>
        <v>0</v>
      </c>
      <c r="CI83" s="234">
        <f t="shared" si="136"/>
        <v>0</v>
      </c>
      <c r="CJ83" s="234">
        <f t="shared" si="136"/>
        <v>0</v>
      </c>
      <c r="CK83" s="234">
        <f t="shared" si="136"/>
        <v>0</v>
      </c>
      <c r="CL83" s="234">
        <f t="shared" si="136"/>
        <v>0</v>
      </c>
      <c r="CM83" s="234">
        <f t="shared" si="136"/>
        <v>0</v>
      </c>
      <c r="CN83" s="251">
        <f>IFERROR((CL83/CG83),0)</f>
        <v>0</v>
      </c>
      <c r="CO83" s="231">
        <f t="shared" ref="CO83:CV83" si="137">SUM(CO69:CO82)</f>
        <v>0</v>
      </c>
      <c r="CP83" s="234">
        <f t="shared" si="137"/>
        <v>0</v>
      </c>
      <c r="CQ83" s="234">
        <f t="shared" si="137"/>
        <v>0</v>
      </c>
      <c r="CR83" s="234">
        <f t="shared" si="137"/>
        <v>0</v>
      </c>
      <c r="CS83" s="234">
        <f t="shared" si="137"/>
        <v>0</v>
      </c>
      <c r="CT83" s="234">
        <f t="shared" si="137"/>
        <v>0</v>
      </c>
      <c r="CU83" s="234">
        <f t="shared" si="137"/>
        <v>0</v>
      </c>
      <c r="CV83" s="234">
        <f t="shared" si="137"/>
        <v>0</v>
      </c>
      <c r="CW83" s="251">
        <f>IFERROR((CU83/CP83),0)</f>
        <v>0</v>
      </c>
      <c r="CX83" s="231">
        <f>SUM(CX69:CX82)</f>
        <v>0</v>
      </c>
      <c r="CY83" s="234">
        <f>SUM(CY69:CY82)</f>
        <v>0</v>
      </c>
      <c r="CZ83" s="237">
        <f t="shared" si="117"/>
        <v>0</v>
      </c>
      <c r="DB83" s="94"/>
      <c r="DC83" s="231">
        <f t="shared" ref="DC83:DJ83" si="138">SUM(DC69:DC82)</f>
        <v>0</v>
      </c>
      <c r="DD83" s="234">
        <f t="shared" si="138"/>
        <v>0</v>
      </c>
      <c r="DE83" s="234">
        <f t="shared" si="138"/>
        <v>0</v>
      </c>
      <c r="DF83" s="234">
        <f t="shared" si="138"/>
        <v>0</v>
      </c>
      <c r="DG83" s="234">
        <f t="shared" si="138"/>
        <v>0</v>
      </c>
      <c r="DH83" s="234">
        <f t="shared" si="138"/>
        <v>0</v>
      </c>
      <c r="DI83" s="234">
        <f t="shared" si="138"/>
        <v>0</v>
      </c>
      <c r="DJ83" s="234">
        <f t="shared" si="138"/>
        <v>0</v>
      </c>
      <c r="DK83" s="251">
        <f>IFERROR((DI83/DD83),0)</f>
        <v>0</v>
      </c>
      <c r="DL83" s="231">
        <f t="shared" ref="DL83:DS83" si="139">SUM(DL69:DL82)</f>
        <v>0</v>
      </c>
      <c r="DM83" s="234">
        <f t="shared" si="139"/>
        <v>0</v>
      </c>
      <c r="DN83" s="234">
        <f t="shared" si="139"/>
        <v>0</v>
      </c>
      <c r="DO83" s="234">
        <f t="shared" si="139"/>
        <v>0</v>
      </c>
      <c r="DP83" s="234">
        <f t="shared" si="139"/>
        <v>0</v>
      </c>
      <c r="DQ83" s="234">
        <f t="shared" si="139"/>
        <v>0</v>
      </c>
      <c r="DR83" s="234">
        <f t="shared" si="139"/>
        <v>0</v>
      </c>
      <c r="DS83" s="234">
        <f t="shared" si="139"/>
        <v>0</v>
      </c>
      <c r="DT83" s="251">
        <f>IFERROR((DR83/DM83),0)</f>
        <v>0</v>
      </c>
      <c r="DU83" s="231">
        <f t="shared" ref="DU83:EB83" si="140">SUM(DU69:DU82)</f>
        <v>0</v>
      </c>
      <c r="DV83" s="234">
        <f t="shared" si="140"/>
        <v>0</v>
      </c>
      <c r="DW83" s="234">
        <f t="shared" si="140"/>
        <v>0</v>
      </c>
      <c r="DX83" s="234">
        <f t="shared" si="140"/>
        <v>0</v>
      </c>
      <c r="DY83" s="234">
        <f t="shared" si="140"/>
        <v>0</v>
      </c>
      <c r="DZ83" s="234">
        <f t="shared" si="140"/>
        <v>0</v>
      </c>
      <c r="EA83" s="234">
        <f t="shared" si="140"/>
        <v>0</v>
      </c>
      <c r="EB83" s="234">
        <f t="shared" si="140"/>
        <v>0</v>
      </c>
      <c r="EC83" s="251">
        <f>IFERROR((EA83/DV83),0)</f>
        <v>0</v>
      </c>
      <c r="ED83" s="231">
        <f>SUM(ED69:ED82)</f>
        <v>0</v>
      </c>
      <c r="EE83" s="234">
        <f>SUM(EE69:EE82)</f>
        <v>0</v>
      </c>
      <c r="EF83" s="237">
        <f t="shared" si="123"/>
        <v>0</v>
      </c>
    </row>
    <row r="84" spans="1:136" s="90" customFormat="1" x14ac:dyDescent="0.25">
      <c r="A84" s="88"/>
      <c r="B84" s="88"/>
      <c r="C84" s="88"/>
      <c r="D84" s="88"/>
      <c r="E84" s="88"/>
      <c r="F84" s="88"/>
      <c r="G84" s="89"/>
      <c r="H84" s="88"/>
      <c r="I84" s="88"/>
      <c r="J84" s="248" t="b">
        <f>J83=J67</f>
        <v>1</v>
      </c>
      <c r="K84" s="248" t="b">
        <f>K83=K67</f>
        <v>1</v>
      </c>
      <c r="L84" s="88"/>
      <c r="M84" s="88"/>
      <c r="N84" s="88"/>
      <c r="O84" s="88"/>
      <c r="P84" s="88"/>
      <c r="Q84" s="88"/>
      <c r="R84" s="88"/>
      <c r="S84" s="88"/>
      <c r="T84" s="248" t="b">
        <f>T83=T67</f>
        <v>1</v>
      </c>
      <c r="U84" s="248" t="b">
        <f>U83=U67</f>
        <v>1</v>
      </c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  <c r="BV84" s="88"/>
      <c r="BW84" s="88"/>
      <c r="BX84" s="88"/>
      <c r="BY84" s="88"/>
      <c r="BZ84" s="88"/>
      <c r="CA84" s="88"/>
      <c r="CB84" s="88"/>
      <c r="CC84" s="88"/>
      <c r="CD84" s="88"/>
      <c r="CE84" s="88"/>
      <c r="CF84" s="88"/>
      <c r="CG84" s="88"/>
      <c r="CH84" s="88"/>
      <c r="CI84" s="88"/>
      <c r="CJ84" s="88"/>
      <c r="CK84" s="88"/>
      <c r="CL84" s="88"/>
      <c r="CM84" s="88"/>
      <c r="CN84" s="88"/>
      <c r="CO84" s="88"/>
      <c r="CP84" s="88"/>
      <c r="CQ84" s="88"/>
      <c r="DB84" s="88"/>
      <c r="DC84" s="88"/>
      <c r="DD84" s="88"/>
      <c r="DE84" s="88"/>
      <c r="DF84" s="88"/>
      <c r="DG84" s="88"/>
      <c r="DH84" s="88"/>
      <c r="DI84" s="88"/>
      <c r="DJ84" s="88"/>
      <c r="DK84" s="88"/>
      <c r="DL84" s="88"/>
      <c r="DM84" s="88"/>
      <c r="DN84" s="88"/>
      <c r="DO84" s="88"/>
      <c r="DP84" s="88"/>
      <c r="DQ84" s="88"/>
      <c r="DR84" s="88"/>
      <c r="DS84" s="88"/>
      <c r="DT84" s="88"/>
      <c r="DU84" s="88"/>
      <c r="DV84" s="88"/>
      <c r="DW84" s="88"/>
    </row>
    <row r="85" spans="1:136" s="90" customFormat="1" ht="16.5" hidden="1" thickBot="1" x14ac:dyDescent="0.3">
      <c r="A85" s="88"/>
      <c r="B85" s="88"/>
      <c r="C85" s="88"/>
      <c r="D85" s="88"/>
      <c r="E85" s="88"/>
      <c r="F85" s="88"/>
      <c r="G85" s="89"/>
      <c r="H85" s="88"/>
      <c r="I85" s="88"/>
      <c r="J85" s="248"/>
      <c r="K85" s="249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P85" s="88"/>
      <c r="AQ85" s="419" t="s">
        <v>953</v>
      </c>
      <c r="AR85" s="420"/>
      <c r="AS85" s="420"/>
      <c r="AT85" s="420"/>
      <c r="AU85" s="420"/>
      <c r="AV85" s="420"/>
      <c r="AW85" s="420"/>
      <c r="AX85" s="420"/>
      <c r="AY85" s="420"/>
      <c r="AZ85" s="420"/>
      <c r="BA85" s="420"/>
      <c r="BB85" s="420"/>
      <c r="BC85" s="420"/>
      <c r="BD85" s="420"/>
      <c r="BE85" s="420"/>
      <c r="BF85" s="420"/>
      <c r="BG85" s="420"/>
      <c r="BH85" s="420"/>
      <c r="BI85" s="420"/>
      <c r="BJ85" s="420"/>
      <c r="BK85" s="420"/>
      <c r="BL85" s="420"/>
      <c r="BM85" s="420"/>
      <c r="BN85" s="420"/>
      <c r="BO85" s="420"/>
      <c r="BP85" s="420"/>
      <c r="BQ85" s="420"/>
      <c r="BR85" s="420"/>
      <c r="BS85" s="420"/>
      <c r="BT85" s="421"/>
      <c r="BV85" s="88"/>
      <c r="BW85" s="419" t="s">
        <v>954</v>
      </c>
      <c r="BX85" s="420"/>
      <c r="BY85" s="420"/>
      <c r="BZ85" s="420"/>
      <c r="CA85" s="420"/>
      <c r="CB85" s="420"/>
      <c r="CC85" s="420"/>
      <c r="CD85" s="420"/>
      <c r="CE85" s="420"/>
      <c r="CF85" s="420"/>
      <c r="CG85" s="420"/>
      <c r="CH85" s="420"/>
      <c r="CI85" s="420"/>
      <c r="CJ85" s="420"/>
      <c r="CK85" s="420"/>
      <c r="CL85" s="420"/>
      <c r="CM85" s="420"/>
      <c r="CN85" s="420"/>
      <c r="CO85" s="420"/>
      <c r="CP85" s="420"/>
      <c r="CQ85" s="420"/>
      <c r="CR85" s="420"/>
      <c r="CS85" s="420"/>
      <c r="CT85" s="420"/>
      <c r="CU85" s="420"/>
      <c r="CV85" s="420"/>
      <c r="CW85" s="420"/>
      <c r="CX85" s="420"/>
      <c r="CY85" s="420"/>
      <c r="CZ85" s="421"/>
      <c r="DA85" s="186"/>
      <c r="DB85" s="186"/>
      <c r="DC85" s="419" t="s">
        <v>955</v>
      </c>
      <c r="DD85" s="420"/>
      <c r="DE85" s="420"/>
      <c r="DF85" s="420"/>
      <c r="DG85" s="420"/>
      <c r="DH85" s="420"/>
      <c r="DI85" s="420"/>
      <c r="DJ85" s="420"/>
      <c r="DK85" s="420"/>
      <c r="DL85" s="420"/>
      <c r="DM85" s="420"/>
      <c r="DN85" s="420"/>
      <c r="DO85" s="420"/>
      <c r="DP85" s="420"/>
      <c r="DQ85" s="420"/>
      <c r="DR85" s="420"/>
      <c r="DS85" s="420"/>
      <c r="DT85" s="420"/>
      <c r="DU85" s="420"/>
      <c r="DV85" s="420"/>
      <c r="DW85" s="420"/>
      <c r="DX85" s="420"/>
      <c r="DY85" s="420"/>
      <c r="DZ85" s="420"/>
      <c r="EA85" s="420"/>
      <c r="EB85" s="420"/>
      <c r="EC85" s="420"/>
      <c r="ED85" s="420"/>
      <c r="EE85" s="420"/>
      <c r="EF85" s="421"/>
    </row>
    <row r="86" spans="1:136" hidden="1" x14ac:dyDescent="0.25">
      <c r="A86" s="90"/>
      <c r="B86" s="187" t="s">
        <v>1006</v>
      </c>
      <c r="C86" s="90"/>
      <c r="D86" s="90"/>
      <c r="E86" s="90"/>
      <c r="F86" s="90"/>
      <c r="I86" s="429">
        <v>46023</v>
      </c>
      <c r="J86" s="498"/>
      <c r="K86" s="430"/>
      <c r="L86" s="430"/>
      <c r="M86" s="430"/>
      <c r="N86" s="430"/>
      <c r="O86" s="430"/>
      <c r="P86" s="430"/>
      <c r="Q86" s="430"/>
      <c r="R86" s="431"/>
      <c r="S86" s="422">
        <v>46054</v>
      </c>
      <c r="T86" s="423"/>
      <c r="U86" s="424"/>
      <c r="V86" s="424"/>
      <c r="W86" s="424"/>
      <c r="X86" s="424"/>
      <c r="Y86" s="424"/>
      <c r="Z86" s="424"/>
      <c r="AA86" s="424"/>
      <c r="AB86" s="425"/>
      <c r="AC86" s="422">
        <v>46082</v>
      </c>
      <c r="AD86" s="424"/>
      <c r="AE86" s="424"/>
      <c r="AF86" s="424"/>
      <c r="AG86" s="424"/>
      <c r="AH86" s="424"/>
      <c r="AI86" s="424"/>
      <c r="AJ86" s="424"/>
      <c r="AK86" s="425"/>
      <c r="AL86" s="426" t="s">
        <v>957</v>
      </c>
      <c r="AM86" s="427"/>
      <c r="AN86" s="428"/>
      <c r="AP86" s="90"/>
      <c r="AQ86" s="429">
        <v>46113</v>
      </c>
      <c r="AR86" s="430"/>
      <c r="AS86" s="430"/>
      <c r="AT86" s="430"/>
      <c r="AU86" s="430"/>
      <c r="AV86" s="430"/>
      <c r="AW86" s="430"/>
      <c r="AX86" s="430"/>
      <c r="AY86" s="431"/>
      <c r="AZ86" s="429">
        <v>46143</v>
      </c>
      <c r="BA86" s="430"/>
      <c r="BB86" s="430"/>
      <c r="BC86" s="430"/>
      <c r="BD86" s="430"/>
      <c r="BE86" s="430"/>
      <c r="BF86" s="430"/>
      <c r="BG86" s="430"/>
      <c r="BH86" s="431"/>
      <c r="BI86" s="429">
        <v>46174</v>
      </c>
      <c r="BJ86" s="430"/>
      <c r="BK86" s="430"/>
      <c r="BL86" s="430"/>
      <c r="BM86" s="430"/>
      <c r="BN86" s="430"/>
      <c r="BO86" s="430"/>
      <c r="BP86" s="430"/>
      <c r="BQ86" s="431"/>
      <c r="BR86" s="432" t="s">
        <v>958</v>
      </c>
      <c r="BS86" s="433"/>
      <c r="BT86" s="434"/>
      <c r="BV86" s="90"/>
      <c r="BW86" s="429">
        <v>46204</v>
      </c>
      <c r="BX86" s="430"/>
      <c r="BY86" s="430"/>
      <c r="BZ86" s="430"/>
      <c r="CA86" s="430"/>
      <c r="CB86" s="430"/>
      <c r="CC86" s="430"/>
      <c r="CD86" s="430"/>
      <c r="CE86" s="431"/>
      <c r="CF86" s="429">
        <v>46235</v>
      </c>
      <c r="CG86" s="430"/>
      <c r="CH86" s="430"/>
      <c r="CI86" s="430"/>
      <c r="CJ86" s="430"/>
      <c r="CK86" s="430"/>
      <c r="CL86" s="430"/>
      <c r="CM86" s="430"/>
      <c r="CN86" s="431"/>
      <c r="CO86" s="429">
        <v>46266</v>
      </c>
      <c r="CP86" s="430"/>
      <c r="CQ86" s="430"/>
      <c r="CR86" s="430"/>
      <c r="CS86" s="430"/>
      <c r="CT86" s="430"/>
      <c r="CU86" s="430"/>
      <c r="CV86" s="430"/>
      <c r="CW86" s="431"/>
      <c r="CX86" s="432" t="s">
        <v>959</v>
      </c>
      <c r="CY86" s="433"/>
      <c r="CZ86" s="434"/>
      <c r="DA86" s="193"/>
      <c r="DB86" s="193"/>
      <c r="DC86" s="429">
        <v>46296</v>
      </c>
      <c r="DD86" s="430"/>
      <c r="DE86" s="430"/>
      <c r="DF86" s="430"/>
      <c r="DG86" s="430"/>
      <c r="DH86" s="430"/>
      <c r="DI86" s="430"/>
      <c r="DJ86" s="430"/>
      <c r="DK86" s="431"/>
      <c r="DL86" s="429">
        <v>46327</v>
      </c>
      <c r="DM86" s="430"/>
      <c r="DN86" s="430"/>
      <c r="DO86" s="430"/>
      <c r="DP86" s="430"/>
      <c r="DQ86" s="430"/>
      <c r="DR86" s="430"/>
      <c r="DS86" s="430"/>
      <c r="DT86" s="431"/>
      <c r="DU86" s="429">
        <v>46357</v>
      </c>
      <c r="DV86" s="430"/>
      <c r="DW86" s="430"/>
      <c r="DX86" s="430"/>
      <c r="DY86" s="430"/>
      <c r="DZ86" s="430"/>
      <c r="EA86" s="430"/>
      <c r="EB86" s="430"/>
      <c r="EC86" s="431"/>
      <c r="ED86" s="432" t="s">
        <v>960</v>
      </c>
      <c r="EE86" s="433"/>
      <c r="EF86" s="434"/>
    </row>
    <row r="87" spans="1:136" ht="16.5" hidden="1" thickBot="1" x14ac:dyDescent="0.3">
      <c r="A87" s="90"/>
      <c r="B87" s="90"/>
      <c r="C87" s="90"/>
      <c r="D87" s="90"/>
      <c r="E87" s="90"/>
      <c r="F87" s="90"/>
      <c r="I87" s="194"/>
      <c r="J87" s="241">
        <f>AF3*AD8%</f>
        <v>16043.65842178761</v>
      </c>
      <c r="K87" s="242">
        <f>AF4*AD8%</f>
        <v>11968.99306940631</v>
      </c>
      <c r="L87" s="492">
        <v>10</v>
      </c>
      <c r="M87" s="492"/>
      <c r="N87" s="463">
        <v>20</v>
      </c>
      <c r="O87" s="463"/>
      <c r="P87" s="463">
        <v>30</v>
      </c>
      <c r="Q87" s="463"/>
      <c r="R87" s="305" t="s">
        <v>961</v>
      </c>
      <c r="S87" s="391"/>
      <c r="T87" s="392">
        <f>AG3*AD8%</f>
        <v>16043.65842178761</v>
      </c>
      <c r="U87" s="392">
        <f>AG4*AD8%</f>
        <v>11968.99306940631</v>
      </c>
      <c r="V87" s="496">
        <v>10</v>
      </c>
      <c r="W87" s="496"/>
      <c r="X87" s="497">
        <v>20</v>
      </c>
      <c r="Y87" s="497"/>
      <c r="Z87" s="497">
        <v>30</v>
      </c>
      <c r="AA87" s="497"/>
      <c r="AB87" s="243" t="s">
        <v>961</v>
      </c>
      <c r="AC87" s="473">
        <f>AH3*2%</f>
        <v>7004.981952400768</v>
      </c>
      <c r="AD87" s="474"/>
      <c r="AE87" s="496">
        <v>10</v>
      </c>
      <c r="AF87" s="496"/>
      <c r="AG87" s="497">
        <v>20</v>
      </c>
      <c r="AH87" s="497"/>
      <c r="AI87" s="497">
        <v>30</v>
      </c>
      <c r="AJ87" s="497"/>
      <c r="AK87" s="243" t="s">
        <v>961</v>
      </c>
      <c r="AL87" s="221" t="s">
        <v>962</v>
      </c>
      <c r="AM87" s="206" t="s">
        <v>963</v>
      </c>
      <c r="AN87" s="244" t="s">
        <v>964</v>
      </c>
      <c r="AQ87" s="453"/>
      <c r="AR87" s="454"/>
      <c r="AS87" s="455">
        <v>10</v>
      </c>
      <c r="AT87" s="455"/>
      <c r="AU87" s="455">
        <v>20</v>
      </c>
      <c r="AV87" s="455"/>
      <c r="AW87" s="455">
        <v>30</v>
      </c>
      <c r="AX87" s="455"/>
      <c r="AY87" s="201" t="s">
        <v>964</v>
      </c>
      <c r="AZ87" s="453"/>
      <c r="BA87" s="454"/>
      <c r="BB87" s="455">
        <v>10</v>
      </c>
      <c r="BC87" s="455"/>
      <c r="BD87" s="455">
        <v>20</v>
      </c>
      <c r="BE87" s="455"/>
      <c r="BF87" s="455">
        <v>31</v>
      </c>
      <c r="BG87" s="455"/>
      <c r="BH87" s="201" t="s">
        <v>964</v>
      </c>
      <c r="BI87" s="453"/>
      <c r="BJ87" s="454"/>
      <c r="BK87" s="455">
        <v>10</v>
      </c>
      <c r="BL87" s="455"/>
      <c r="BM87" s="455">
        <v>20</v>
      </c>
      <c r="BN87" s="455"/>
      <c r="BO87" s="455">
        <v>30</v>
      </c>
      <c r="BP87" s="455"/>
      <c r="BQ87" s="201" t="s">
        <v>964</v>
      </c>
      <c r="BR87" s="202" t="s">
        <v>962</v>
      </c>
      <c r="BS87" s="203" t="s">
        <v>963</v>
      </c>
      <c r="BT87" s="204" t="s">
        <v>964</v>
      </c>
      <c r="BW87" s="457"/>
      <c r="BX87" s="458"/>
      <c r="BY87" s="456">
        <v>10</v>
      </c>
      <c r="BZ87" s="456"/>
      <c r="CA87" s="456">
        <v>20</v>
      </c>
      <c r="CB87" s="456"/>
      <c r="CC87" s="456">
        <v>30</v>
      </c>
      <c r="CD87" s="456"/>
      <c r="CE87" s="205" t="s">
        <v>964</v>
      </c>
      <c r="CF87" s="457"/>
      <c r="CG87" s="458"/>
      <c r="CH87" s="456">
        <v>10</v>
      </c>
      <c r="CI87" s="456"/>
      <c r="CJ87" s="456">
        <v>20</v>
      </c>
      <c r="CK87" s="456"/>
      <c r="CL87" s="456">
        <v>30</v>
      </c>
      <c r="CM87" s="456"/>
      <c r="CN87" s="205" t="s">
        <v>964</v>
      </c>
      <c r="CO87" s="457"/>
      <c r="CP87" s="458"/>
      <c r="CQ87" s="456">
        <v>10</v>
      </c>
      <c r="CR87" s="456"/>
      <c r="CS87" s="456">
        <v>20</v>
      </c>
      <c r="CT87" s="456"/>
      <c r="CU87" s="456">
        <v>30</v>
      </c>
      <c r="CV87" s="456"/>
      <c r="CW87" s="205" t="s">
        <v>964</v>
      </c>
      <c r="CX87" s="202" t="s">
        <v>962</v>
      </c>
      <c r="CY87" s="203" t="s">
        <v>963</v>
      </c>
      <c r="CZ87" s="204" t="s">
        <v>964</v>
      </c>
      <c r="DA87" s="193"/>
      <c r="DB87" s="193"/>
      <c r="DC87" s="457"/>
      <c r="DD87" s="458"/>
      <c r="DE87" s="456">
        <v>10</v>
      </c>
      <c r="DF87" s="456"/>
      <c r="DG87" s="456">
        <v>20</v>
      </c>
      <c r="DH87" s="456"/>
      <c r="DI87" s="456">
        <v>30</v>
      </c>
      <c r="DJ87" s="456"/>
      <c r="DK87" s="205" t="s">
        <v>964</v>
      </c>
      <c r="DL87" s="457"/>
      <c r="DM87" s="458"/>
      <c r="DN87" s="456">
        <v>10</v>
      </c>
      <c r="DO87" s="456"/>
      <c r="DP87" s="456">
        <v>20</v>
      </c>
      <c r="DQ87" s="456"/>
      <c r="DR87" s="456">
        <v>30</v>
      </c>
      <c r="DS87" s="456"/>
      <c r="DT87" s="205" t="s">
        <v>964</v>
      </c>
      <c r="DU87" s="457"/>
      <c r="DV87" s="458"/>
      <c r="DW87" s="456">
        <v>10</v>
      </c>
      <c r="DX87" s="456"/>
      <c r="DY87" s="456">
        <v>20</v>
      </c>
      <c r="DZ87" s="456"/>
      <c r="EA87" s="456">
        <v>30</v>
      </c>
      <c r="EB87" s="456"/>
      <c r="EC87" s="205" t="s">
        <v>964</v>
      </c>
      <c r="ED87" s="202" t="s">
        <v>962</v>
      </c>
      <c r="EE87" s="203" t="s">
        <v>963</v>
      </c>
      <c r="EF87" s="204" t="s">
        <v>964</v>
      </c>
    </row>
    <row r="88" spans="1:136" s="90" customFormat="1" hidden="1" x14ac:dyDescent="0.25">
      <c r="A88" s="188" t="s">
        <v>965</v>
      </c>
      <c r="B88" s="189" t="s">
        <v>996</v>
      </c>
      <c r="C88" s="189" t="s">
        <v>997</v>
      </c>
      <c r="D88" s="189" t="s">
        <v>998</v>
      </c>
      <c r="E88" s="189" t="s">
        <v>1007</v>
      </c>
      <c r="F88" s="189" t="s">
        <v>999</v>
      </c>
      <c r="G88" s="384"/>
      <c r="H88" s="256"/>
      <c r="I88" s="188" t="s">
        <v>1008</v>
      </c>
      <c r="J88" s="189" t="s">
        <v>972</v>
      </c>
      <c r="K88" s="209" t="s">
        <v>972</v>
      </c>
      <c r="L88" s="189" t="s">
        <v>972</v>
      </c>
      <c r="M88" s="385" t="s">
        <v>468</v>
      </c>
      <c r="N88" s="189" t="s">
        <v>972</v>
      </c>
      <c r="O88" s="385" t="s">
        <v>468</v>
      </c>
      <c r="P88" s="189" t="s">
        <v>972</v>
      </c>
      <c r="Q88" s="385" t="s">
        <v>468</v>
      </c>
      <c r="R88" s="328" t="s">
        <v>468</v>
      </c>
      <c r="S88" s="329" t="s">
        <v>1008</v>
      </c>
      <c r="T88" s="184" t="s">
        <v>972</v>
      </c>
      <c r="U88" s="254" t="s">
        <v>973</v>
      </c>
      <c r="V88" s="206" t="s">
        <v>972</v>
      </c>
      <c r="W88" s="206" t="s">
        <v>468</v>
      </c>
      <c r="X88" s="206" t="s">
        <v>972</v>
      </c>
      <c r="Y88" s="206" t="s">
        <v>468</v>
      </c>
      <c r="Z88" s="206" t="s">
        <v>972</v>
      </c>
      <c r="AA88" s="206" t="s">
        <v>468</v>
      </c>
      <c r="AB88" s="185" t="s">
        <v>468</v>
      </c>
      <c r="AC88" s="221" t="s">
        <v>972</v>
      </c>
      <c r="AD88" s="206" t="s">
        <v>972</v>
      </c>
      <c r="AE88" s="206" t="s">
        <v>972</v>
      </c>
      <c r="AF88" s="206" t="s">
        <v>468</v>
      </c>
      <c r="AG88" s="206" t="s">
        <v>972</v>
      </c>
      <c r="AH88" s="206" t="s">
        <v>468</v>
      </c>
      <c r="AI88" s="206" t="s">
        <v>972</v>
      </c>
      <c r="AJ88" s="206" t="s">
        <v>468</v>
      </c>
      <c r="AK88" s="244" t="s">
        <v>972</v>
      </c>
      <c r="AL88" s="221" t="s">
        <v>972</v>
      </c>
      <c r="AM88" s="206" t="s">
        <v>972</v>
      </c>
      <c r="AN88" s="244"/>
      <c r="AP88" s="206"/>
      <c r="AQ88" s="190" t="s">
        <v>971</v>
      </c>
      <c r="AR88" s="191" t="s">
        <v>972</v>
      </c>
      <c r="AS88" s="191" t="s">
        <v>972</v>
      </c>
      <c r="AT88" s="191" t="s">
        <v>974</v>
      </c>
      <c r="AU88" s="191" t="s">
        <v>972</v>
      </c>
      <c r="AV88" s="191" t="s">
        <v>974</v>
      </c>
      <c r="AW88" s="191" t="s">
        <v>972</v>
      </c>
      <c r="AX88" s="191" t="s">
        <v>974</v>
      </c>
      <c r="AY88" s="192" t="s">
        <v>972</v>
      </c>
      <c r="AZ88" s="190" t="s">
        <v>971</v>
      </c>
      <c r="BA88" s="191" t="s">
        <v>972</v>
      </c>
      <c r="BB88" s="191" t="s">
        <v>972</v>
      </c>
      <c r="BC88" s="191" t="s">
        <v>974</v>
      </c>
      <c r="BD88" s="191" t="s">
        <v>972</v>
      </c>
      <c r="BE88" s="191" t="s">
        <v>974</v>
      </c>
      <c r="BF88" s="191" t="s">
        <v>972</v>
      </c>
      <c r="BG88" s="191" t="s">
        <v>974</v>
      </c>
      <c r="BH88" s="192" t="s">
        <v>972</v>
      </c>
      <c r="BI88" s="190" t="s">
        <v>971</v>
      </c>
      <c r="BJ88" s="191" t="s">
        <v>972</v>
      </c>
      <c r="BK88" s="191" t="s">
        <v>972</v>
      </c>
      <c r="BL88" s="191" t="s">
        <v>974</v>
      </c>
      <c r="BM88" s="191" t="s">
        <v>972</v>
      </c>
      <c r="BN88" s="191" t="s">
        <v>974</v>
      </c>
      <c r="BO88" s="191" t="s">
        <v>972</v>
      </c>
      <c r="BP88" s="191" t="s">
        <v>974</v>
      </c>
      <c r="BQ88" s="192" t="s">
        <v>972</v>
      </c>
      <c r="BR88" s="190" t="s">
        <v>972</v>
      </c>
      <c r="BS88" s="191" t="s">
        <v>972</v>
      </c>
      <c r="BT88" s="192" t="s">
        <v>972</v>
      </c>
      <c r="BV88" s="206"/>
      <c r="BW88" s="190" t="s">
        <v>971</v>
      </c>
      <c r="BX88" s="191" t="s">
        <v>972</v>
      </c>
      <c r="BY88" s="191" t="s">
        <v>972</v>
      </c>
      <c r="BZ88" s="191" t="s">
        <v>974</v>
      </c>
      <c r="CA88" s="191" t="s">
        <v>972</v>
      </c>
      <c r="CB88" s="191" t="s">
        <v>974</v>
      </c>
      <c r="CC88" s="191" t="s">
        <v>972</v>
      </c>
      <c r="CD88" s="191" t="s">
        <v>974</v>
      </c>
      <c r="CE88" s="192" t="s">
        <v>972</v>
      </c>
      <c r="CF88" s="190" t="s">
        <v>971</v>
      </c>
      <c r="CG88" s="191" t="s">
        <v>972</v>
      </c>
      <c r="CH88" s="191" t="s">
        <v>972</v>
      </c>
      <c r="CI88" s="191" t="s">
        <v>974</v>
      </c>
      <c r="CJ88" s="191" t="s">
        <v>972</v>
      </c>
      <c r="CK88" s="191" t="s">
        <v>974</v>
      </c>
      <c r="CL88" s="191" t="s">
        <v>972</v>
      </c>
      <c r="CM88" s="191" t="s">
        <v>974</v>
      </c>
      <c r="CN88" s="192" t="s">
        <v>972</v>
      </c>
      <c r="CO88" s="190" t="s">
        <v>971</v>
      </c>
      <c r="CP88" s="191" t="s">
        <v>972</v>
      </c>
      <c r="CQ88" s="191" t="s">
        <v>972</v>
      </c>
      <c r="CR88" s="191" t="s">
        <v>974</v>
      </c>
      <c r="CS88" s="191" t="s">
        <v>972</v>
      </c>
      <c r="CT88" s="191" t="s">
        <v>974</v>
      </c>
      <c r="CU88" s="191" t="s">
        <v>972</v>
      </c>
      <c r="CV88" s="191" t="s">
        <v>974</v>
      </c>
      <c r="CW88" s="192" t="s">
        <v>972</v>
      </c>
      <c r="CX88" s="190" t="s">
        <v>972</v>
      </c>
      <c r="CY88" s="191" t="s">
        <v>972</v>
      </c>
      <c r="CZ88" s="192" t="s">
        <v>972</v>
      </c>
      <c r="DA88" s="213"/>
      <c r="DB88" s="214" t="s">
        <v>969</v>
      </c>
      <c r="DC88" s="190" t="s">
        <v>971</v>
      </c>
      <c r="DD88" s="191" t="s">
        <v>972</v>
      </c>
      <c r="DE88" s="191" t="s">
        <v>972</v>
      </c>
      <c r="DF88" s="191" t="s">
        <v>974</v>
      </c>
      <c r="DG88" s="191" t="s">
        <v>972</v>
      </c>
      <c r="DH88" s="191" t="s">
        <v>974</v>
      </c>
      <c r="DI88" s="191" t="s">
        <v>972</v>
      </c>
      <c r="DJ88" s="191" t="s">
        <v>974</v>
      </c>
      <c r="DK88" s="192" t="s">
        <v>972</v>
      </c>
      <c r="DL88" s="190" t="s">
        <v>971</v>
      </c>
      <c r="DM88" s="191" t="s">
        <v>972</v>
      </c>
      <c r="DN88" s="191" t="s">
        <v>972</v>
      </c>
      <c r="DO88" s="191" t="s">
        <v>974</v>
      </c>
      <c r="DP88" s="191" t="s">
        <v>972</v>
      </c>
      <c r="DQ88" s="191" t="s">
        <v>974</v>
      </c>
      <c r="DR88" s="191" t="s">
        <v>972</v>
      </c>
      <c r="DS88" s="191" t="s">
        <v>974</v>
      </c>
      <c r="DT88" s="192" t="s">
        <v>972</v>
      </c>
      <c r="DU88" s="190" t="s">
        <v>971</v>
      </c>
      <c r="DV88" s="191" t="s">
        <v>972</v>
      </c>
      <c r="DW88" s="191" t="s">
        <v>972</v>
      </c>
      <c r="DX88" s="191" t="s">
        <v>974</v>
      </c>
      <c r="DY88" s="191" t="s">
        <v>972</v>
      </c>
      <c r="DZ88" s="191" t="s">
        <v>974</v>
      </c>
      <c r="EA88" s="191" t="s">
        <v>972</v>
      </c>
      <c r="EB88" s="191" t="s">
        <v>974</v>
      </c>
      <c r="EC88" s="192" t="s">
        <v>972</v>
      </c>
      <c r="ED88" s="215" t="s">
        <v>972</v>
      </c>
      <c r="EE88" s="216" t="s">
        <v>972</v>
      </c>
      <c r="EF88" s="192" t="s">
        <v>972</v>
      </c>
    </row>
    <row r="89" spans="1:136" hidden="1" outlineLevel="1" x14ac:dyDescent="0.25">
      <c r="A89" s="221">
        <v>1</v>
      </c>
      <c r="B89" s="245" t="s">
        <v>1009</v>
      </c>
      <c r="C89" s="245"/>
      <c r="D89" s="245" t="s">
        <v>1010</v>
      </c>
      <c r="E89" s="218"/>
      <c r="F89" s="219"/>
      <c r="G89" s="220">
        <v>100</v>
      </c>
      <c r="H89" s="207"/>
      <c r="I89" s="221">
        <f>J89/14</f>
        <v>1145.9756015562577</v>
      </c>
      <c r="J89" s="282">
        <f>J87*G89%</f>
        <v>16043.65842178761</v>
      </c>
      <c r="K89" s="222">
        <f>K87*G89%</f>
        <v>11968.99306940631</v>
      </c>
      <c r="L89" s="219">
        <v>7857</v>
      </c>
      <c r="M89" s="279">
        <v>6850.9700000000012</v>
      </c>
      <c r="N89" s="219">
        <v>15915</v>
      </c>
      <c r="O89" s="279">
        <v>13535.749999999993</v>
      </c>
      <c r="P89" s="219">
        <v>34861</v>
      </c>
      <c r="Q89" s="279">
        <v>29199.629999999983</v>
      </c>
      <c r="R89" s="278">
        <f t="shared" ref="R89" si="141">IFERROR((P89/K89),0)</f>
        <v>2.9126092560875039</v>
      </c>
      <c r="S89" s="206">
        <f t="shared" ref="S89" si="142">T89/14</f>
        <v>1145.9756015562577</v>
      </c>
      <c r="T89" s="329">
        <f>T87*G89%</f>
        <v>16043.65842178761</v>
      </c>
      <c r="U89" s="206">
        <f>U87*G89%</f>
        <v>11968.99306940631</v>
      </c>
      <c r="V89" s="219">
        <f>GETPIVOTDATA("Sum of Sales Bot;",WS_Van!$A$8,"Team","Van Sales")</f>
        <v>33461</v>
      </c>
      <c r="W89" s="279">
        <f>GETPIVOTDATA("Sum of Sales Liter",WS_Van!$A$8,"Team","Van Sales")</f>
        <v>28303.629999999979</v>
      </c>
      <c r="X89" s="219">
        <f>GETPIVOTDATA("Sum of Sales Bot;",WS_Van!$A$8,"Team","Van Sales")</f>
        <v>33461</v>
      </c>
      <c r="Y89" s="279">
        <f>GETPIVOTDATA("Sum of Sales Liter",WS_Van!$A$8,"Team","Van Sales")</f>
        <v>28303.629999999979</v>
      </c>
      <c r="Z89" s="219">
        <f>GETPIVOTDATA("Sum of Sales Bot;",WS_Van!$A$8,"Team","Van Sales")</f>
        <v>33461</v>
      </c>
      <c r="AA89" s="279">
        <f>GETPIVOTDATA("Sum of Sales Liter",WS_Van!$A$8,"Team","Van Sales")</f>
        <v>28303.629999999979</v>
      </c>
      <c r="AB89" s="224">
        <f t="shared" ref="AB89" si="143">IFERROR((Z89/U89),0)</f>
        <v>2.7956403521971249</v>
      </c>
      <c r="AC89" s="221"/>
      <c r="AD89" s="206"/>
      <c r="AE89" s="219"/>
      <c r="AF89" s="219"/>
      <c r="AG89" s="219"/>
      <c r="AH89" s="219"/>
      <c r="AI89" s="219"/>
      <c r="AJ89" s="219"/>
      <c r="AK89" s="224">
        <f t="shared" ref="AK89" si="144">IFERROR((AI89/AD89),0)</f>
        <v>0</v>
      </c>
      <c r="AL89" s="226">
        <f t="shared" ref="AL89" si="145">+AD89+U89+K89</f>
        <v>23937.986138812619</v>
      </c>
      <c r="AM89" s="223">
        <f t="shared" ref="AM89" si="146">+AI89+Z89+P89</f>
        <v>68322</v>
      </c>
      <c r="AN89" s="224">
        <f t="shared" ref="AN89:AN90" si="147">IFERROR((AM89/AL89),0)</f>
        <v>2.8541248041423142</v>
      </c>
      <c r="AP89" s="219"/>
      <c r="AQ89" s="221"/>
      <c r="AR89" s="206"/>
      <c r="AS89" s="219"/>
      <c r="AT89" s="219"/>
      <c r="AU89" s="219"/>
      <c r="AV89" s="219"/>
      <c r="AW89" s="219"/>
      <c r="AX89" s="219"/>
      <c r="AY89" s="224">
        <f t="shared" ref="AY89" si="148">IFERROR((AW89/AR89),0)</f>
        <v>0</v>
      </c>
      <c r="AZ89" s="221"/>
      <c r="BA89" s="206"/>
      <c r="BB89" s="219"/>
      <c r="BC89" s="219"/>
      <c r="BD89" s="219"/>
      <c r="BE89" s="219"/>
      <c r="BF89" s="219"/>
      <c r="BG89" s="219"/>
      <c r="BH89" s="224">
        <f t="shared" ref="BH89" si="149">IFERROR((BF89/BA89),0)</f>
        <v>0</v>
      </c>
      <c r="BI89" s="221"/>
      <c r="BJ89" s="206"/>
      <c r="BK89" s="219"/>
      <c r="BL89" s="219"/>
      <c r="BM89" s="219"/>
      <c r="BN89" s="219"/>
      <c r="BO89" s="219"/>
      <c r="BP89" s="219"/>
      <c r="BQ89" s="224">
        <f t="shared" ref="BQ89" si="150">IFERROR((BO89/BJ89),0)</f>
        <v>0</v>
      </c>
      <c r="BR89" s="226">
        <f t="shared" ref="BR89" si="151">+BJ89+BA89+AR89</f>
        <v>0</v>
      </c>
      <c r="BS89" s="223">
        <f t="shared" ref="BS89" si="152">+BO89+BF89+AW89</f>
        <v>0</v>
      </c>
      <c r="BT89" s="224">
        <f t="shared" ref="BT89:BT90" si="153">IFERROR((BS89/BR89),0)</f>
        <v>0</v>
      </c>
      <c r="BV89" s="219"/>
      <c r="BW89" s="221"/>
      <c r="BX89" s="206"/>
      <c r="BY89" s="219"/>
      <c r="BZ89" s="219"/>
      <c r="CA89" s="219"/>
      <c r="CB89" s="219"/>
      <c r="CC89" s="219"/>
      <c r="CD89" s="219"/>
      <c r="CE89" s="224">
        <f t="shared" ref="CE89" si="154">IFERROR((CC89/BX89),0)</f>
        <v>0</v>
      </c>
      <c r="CF89" s="221"/>
      <c r="CG89" s="206"/>
      <c r="CH89" s="219"/>
      <c r="CI89" s="219"/>
      <c r="CJ89" s="219"/>
      <c r="CK89" s="219"/>
      <c r="CL89" s="219"/>
      <c r="CM89" s="219"/>
      <c r="CN89" s="224">
        <f t="shared" ref="CN89" si="155">IFERROR((CL89/CG89),0)</f>
        <v>0</v>
      </c>
      <c r="CO89" s="221"/>
      <c r="CP89" s="206"/>
      <c r="CQ89" s="219"/>
      <c r="CR89" s="219"/>
      <c r="CS89" s="219"/>
      <c r="CT89" s="219"/>
      <c r="CU89" s="219"/>
      <c r="CV89" s="219"/>
      <c r="CW89" s="224">
        <f t="shared" ref="CW89" si="156">IFERROR((CU89/CP89),0)</f>
        <v>0</v>
      </c>
      <c r="CX89" s="226">
        <f t="shared" ref="CX89" si="157">+CP89+CG89+BX89</f>
        <v>0</v>
      </c>
      <c r="CY89" s="223">
        <f t="shared" ref="CY89" si="158">+CU89+CL89+CC89</f>
        <v>0</v>
      </c>
      <c r="CZ89" s="224">
        <f t="shared" ref="CZ89:CZ90" si="159">IFERROR((CY89/CX89),0)</f>
        <v>0</v>
      </c>
      <c r="DB89" s="219"/>
      <c r="DC89" s="221"/>
      <c r="DD89" s="206"/>
      <c r="DE89" s="219"/>
      <c r="DF89" s="219"/>
      <c r="DG89" s="219"/>
      <c r="DH89" s="219"/>
      <c r="DI89" s="219"/>
      <c r="DJ89" s="219"/>
      <c r="DK89" s="224">
        <f t="shared" ref="DK89" si="160">IFERROR((DI89/DD89),0)</f>
        <v>0</v>
      </c>
      <c r="DL89" s="221"/>
      <c r="DM89" s="206"/>
      <c r="DN89" s="219"/>
      <c r="DO89" s="219"/>
      <c r="DP89" s="219"/>
      <c r="DQ89" s="219"/>
      <c r="DR89" s="219"/>
      <c r="DS89" s="219"/>
      <c r="DT89" s="224">
        <f t="shared" ref="DT89" si="161">IFERROR((DR89/DM89),0)</f>
        <v>0</v>
      </c>
      <c r="DU89" s="221"/>
      <c r="DV89" s="206"/>
      <c r="DW89" s="219"/>
      <c r="DX89" s="219"/>
      <c r="DY89" s="219"/>
      <c r="DZ89" s="219"/>
      <c r="EA89" s="219"/>
      <c r="EB89" s="219"/>
      <c r="EC89" s="224">
        <f t="shared" ref="EC89" si="162">IFERROR((EA89/DV89),0)</f>
        <v>0</v>
      </c>
      <c r="ED89" s="226">
        <f t="shared" ref="ED89" si="163">+DV89+DM89+DD89</f>
        <v>0</v>
      </c>
      <c r="EE89" s="223">
        <f t="shared" ref="EE89" si="164">+EA89+DR89+DI89</f>
        <v>0</v>
      </c>
      <c r="EF89" s="224">
        <f t="shared" ref="EF89:EF90" si="165">IFERROR((EE89/ED89),0)</f>
        <v>0</v>
      </c>
    </row>
    <row r="90" spans="1:136" s="90" customFormat="1" ht="16.5" collapsed="1" thickBot="1" x14ac:dyDescent="0.3">
      <c r="A90" s="231"/>
      <c r="B90" s="488" t="s">
        <v>1011</v>
      </c>
      <c r="C90" s="488"/>
      <c r="D90" s="488"/>
      <c r="E90" s="488"/>
      <c r="F90" s="488"/>
      <c r="G90" s="259"/>
      <c r="H90" s="258"/>
      <c r="I90" s="396">
        <f>SUM(I89)</f>
        <v>1145.9756015562577</v>
      </c>
      <c r="J90" s="232">
        <f>SUM(J89)</f>
        <v>16043.65842178761</v>
      </c>
      <c r="K90" s="233">
        <f>SUM(K89)</f>
        <v>11968.99306940631</v>
      </c>
      <c r="L90" s="234">
        <f>SUM(L89)</f>
        <v>7857</v>
      </c>
      <c r="M90" s="280">
        <f t="shared" ref="M90:AM90" si="166">SUM(M89)</f>
        <v>6850.9700000000012</v>
      </c>
      <c r="N90" s="234">
        <v>15915</v>
      </c>
      <c r="O90" s="280">
        <v>13535.749999999993</v>
      </c>
      <c r="P90" s="234">
        <f t="shared" si="166"/>
        <v>34861</v>
      </c>
      <c r="Q90" s="280">
        <f t="shared" si="166"/>
        <v>29199.629999999983</v>
      </c>
      <c r="R90" s="235">
        <f>IFERROR((Q90/K90),0)</f>
        <v>2.4396062250747343</v>
      </c>
      <c r="S90" s="236">
        <f t="shared" si="166"/>
        <v>1145.9756015562577</v>
      </c>
      <c r="T90" s="234">
        <f t="shared" si="166"/>
        <v>16043.65842178761</v>
      </c>
      <c r="U90" s="280">
        <f t="shared" si="166"/>
        <v>11968.99306940631</v>
      </c>
      <c r="V90" s="234">
        <f t="shared" si="166"/>
        <v>33461</v>
      </c>
      <c r="W90" s="280">
        <f t="shared" si="166"/>
        <v>28303.629999999979</v>
      </c>
      <c r="X90" s="234">
        <f t="shared" si="166"/>
        <v>33461</v>
      </c>
      <c r="Y90" s="280">
        <f t="shared" si="166"/>
        <v>28303.629999999979</v>
      </c>
      <c r="Z90" s="234">
        <f t="shared" si="166"/>
        <v>33461</v>
      </c>
      <c r="AA90" s="280">
        <f t="shared" si="166"/>
        <v>28303.629999999979</v>
      </c>
      <c r="AB90" s="235">
        <f>IFERROR((AA90/U90),0)</f>
        <v>2.3647461265848913</v>
      </c>
      <c r="AC90" s="231">
        <f t="shared" si="166"/>
        <v>0</v>
      </c>
      <c r="AD90" s="234">
        <f t="shared" si="166"/>
        <v>0</v>
      </c>
      <c r="AE90" s="234">
        <f t="shared" si="166"/>
        <v>0</v>
      </c>
      <c r="AF90" s="234">
        <f t="shared" si="166"/>
        <v>0</v>
      </c>
      <c r="AG90" s="234">
        <f t="shared" si="166"/>
        <v>0</v>
      </c>
      <c r="AH90" s="234">
        <f t="shared" si="166"/>
        <v>0</v>
      </c>
      <c r="AI90" s="234">
        <f t="shared" si="166"/>
        <v>0</v>
      </c>
      <c r="AJ90" s="234">
        <f t="shared" si="166"/>
        <v>0</v>
      </c>
      <c r="AK90" s="251">
        <f>IFERROR((AI90/AD90),0)</f>
        <v>0</v>
      </c>
      <c r="AL90" s="231">
        <f t="shared" si="166"/>
        <v>23937.986138812619</v>
      </c>
      <c r="AM90" s="234">
        <f t="shared" si="166"/>
        <v>68322</v>
      </c>
      <c r="AN90" s="237">
        <f t="shared" si="147"/>
        <v>2.8541248041423142</v>
      </c>
      <c r="AP90" s="94"/>
      <c r="AQ90" s="231">
        <f t="shared" ref="AQ90:AX90" si="167">SUM(AQ89)</f>
        <v>0</v>
      </c>
      <c r="AR90" s="234">
        <f t="shared" si="167"/>
        <v>0</v>
      </c>
      <c r="AS90" s="234">
        <f t="shared" si="167"/>
        <v>0</v>
      </c>
      <c r="AT90" s="234">
        <f t="shared" si="167"/>
        <v>0</v>
      </c>
      <c r="AU90" s="234">
        <f t="shared" si="167"/>
        <v>0</v>
      </c>
      <c r="AV90" s="234">
        <f t="shared" si="167"/>
        <v>0</v>
      </c>
      <c r="AW90" s="234">
        <f t="shared" si="167"/>
        <v>0</v>
      </c>
      <c r="AX90" s="234">
        <f t="shared" si="167"/>
        <v>0</v>
      </c>
      <c r="AY90" s="251">
        <f>IFERROR((AW90/AR90),0)</f>
        <v>0</v>
      </c>
      <c r="AZ90" s="231">
        <f t="shared" ref="AZ90:BG90" si="168">SUM(AZ89)</f>
        <v>0</v>
      </c>
      <c r="BA90" s="234">
        <f t="shared" si="168"/>
        <v>0</v>
      </c>
      <c r="BB90" s="234">
        <f t="shared" si="168"/>
        <v>0</v>
      </c>
      <c r="BC90" s="234">
        <f t="shared" si="168"/>
        <v>0</v>
      </c>
      <c r="BD90" s="234">
        <f t="shared" si="168"/>
        <v>0</v>
      </c>
      <c r="BE90" s="234">
        <f t="shared" si="168"/>
        <v>0</v>
      </c>
      <c r="BF90" s="234">
        <f t="shared" si="168"/>
        <v>0</v>
      </c>
      <c r="BG90" s="234">
        <f t="shared" si="168"/>
        <v>0</v>
      </c>
      <c r="BH90" s="251">
        <f>IFERROR((BF90/BA90),0)</f>
        <v>0</v>
      </c>
      <c r="BI90" s="231">
        <f t="shared" ref="BI90:BP90" si="169">SUM(BI89)</f>
        <v>0</v>
      </c>
      <c r="BJ90" s="234">
        <f t="shared" si="169"/>
        <v>0</v>
      </c>
      <c r="BK90" s="234">
        <f t="shared" si="169"/>
        <v>0</v>
      </c>
      <c r="BL90" s="234">
        <f t="shared" si="169"/>
        <v>0</v>
      </c>
      <c r="BM90" s="234">
        <f t="shared" si="169"/>
        <v>0</v>
      </c>
      <c r="BN90" s="234">
        <f t="shared" si="169"/>
        <v>0</v>
      </c>
      <c r="BO90" s="234">
        <f t="shared" si="169"/>
        <v>0</v>
      </c>
      <c r="BP90" s="234">
        <f t="shared" si="169"/>
        <v>0</v>
      </c>
      <c r="BQ90" s="251">
        <f>IFERROR((BO90/BJ90),0)</f>
        <v>0</v>
      </c>
      <c r="BR90" s="231">
        <f t="shared" ref="BR90:BS90" si="170">SUM(BR89)</f>
        <v>0</v>
      </c>
      <c r="BS90" s="234">
        <f t="shared" si="170"/>
        <v>0</v>
      </c>
      <c r="BT90" s="237">
        <f t="shared" si="153"/>
        <v>0</v>
      </c>
      <c r="BV90" s="94"/>
      <c r="BW90" s="231">
        <f t="shared" ref="BW90:CD90" si="171">SUM(BW89)</f>
        <v>0</v>
      </c>
      <c r="BX90" s="234">
        <f t="shared" si="171"/>
        <v>0</v>
      </c>
      <c r="BY90" s="234">
        <f t="shared" si="171"/>
        <v>0</v>
      </c>
      <c r="BZ90" s="234">
        <f t="shared" si="171"/>
        <v>0</v>
      </c>
      <c r="CA90" s="234">
        <f t="shared" si="171"/>
        <v>0</v>
      </c>
      <c r="CB90" s="234">
        <f t="shared" si="171"/>
        <v>0</v>
      </c>
      <c r="CC90" s="234">
        <f t="shared" si="171"/>
        <v>0</v>
      </c>
      <c r="CD90" s="234">
        <f t="shared" si="171"/>
        <v>0</v>
      </c>
      <c r="CE90" s="251">
        <f>IFERROR((CC90/BX90),0)</f>
        <v>0</v>
      </c>
      <c r="CF90" s="231">
        <f t="shared" ref="CF90:CM90" si="172">SUM(CF89)</f>
        <v>0</v>
      </c>
      <c r="CG90" s="234">
        <f t="shared" si="172"/>
        <v>0</v>
      </c>
      <c r="CH90" s="234">
        <f t="shared" si="172"/>
        <v>0</v>
      </c>
      <c r="CI90" s="234">
        <f t="shared" si="172"/>
        <v>0</v>
      </c>
      <c r="CJ90" s="234">
        <f t="shared" si="172"/>
        <v>0</v>
      </c>
      <c r="CK90" s="234">
        <f t="shared" si="172"/>
        <v>0</v>
      </c>
      <c r="CL90" s="234">
        <f t="shared" si="172"/>
        <v>0</v>
      </c>
      <c r="CM90" s="234">
        <f t="shared" si="172"/>
        <v>0</v>
      </c>
      <c r="CN90" s="251">
        <f>IFERROR((CL90/CG90),0)</f>
        <v>0</v>
      </c>
      <c r="CO90" s="231">
        <f t="shared" ref="CO90:CV90" si="173">SUM(CO89)</f>
        <v>0</v>
      </c>
      <c r="CP90" s="234">
        <f t="shared" si="173"/>
        <v>0</v>
      </c>
      <c r="CQ90" s="234">
        <f t="shared" si="173"/>
        <v>0</v>
      </c>
      <c r="CR90" s="234">
        <f t="shared" si="173"/>
        <v>0</v>
      </c>
      <c r="CS90" s="234">
        <f t="shared" si="173"/>
        <v>0</v>
      </c>
      <c r="CT90" s="234">
        <f t="shared" si="173"/>
        <v>0</v>
      </c>
      <c r="CU90" s="234">
        <f t="shared" si="173"/>
        <v>0</v>
      </c>
      <c r="CV90" s="234">
        <f t="shared" si="173"/>
        <v>0</v>
      </c>
      <c r="CW90" s="251">
        <f>IFERROR((CU90/CP90),0)</f>
        <v>0</v>
      </c>
      <c r="CX90" s="231">
        <f t="shared" ref="CX90:CY90" si="174">SUM(CX89)</f>
        <v>0</v>
      </c>
      <c r="CY90" s="234">
        <f t="shared" si="174"/>
        <v>0</v>
      </c>
      <c r="CZ90" s="237">
        <f t="shared" si="159"/>
        <v>0</v>
      </c>
      <c r="DB90" s="94"/>
      <c r="DC90" s="231">
        <f t="shared" ref="DC90:DJ90" si="175">SUM(DC89)</f>
        <v>0</v>
      </c>
      <c r="DD90" s="234">
        <f t="shared" si="175"/>
        <v>0</v>
      </c>
      <c r="DE90" s="234">
        <f t="shared" si="175"/>
        <v>0</v>
      </c>
      <c r="DF90" s="234">
        <f t="shared" si="175"/>
        <v>0</v>
      </c>
      <c r="DG90" s="234">
        <f t="shared" si="175"/>
        <v>0</v>
      </c>
      <c r="DH90" s="234">
        <f t="shared" si="175"/>
        <v>0</v>
      </c>
      <c r="DI90" s="234">
        <f t="shared" si="175"/>
        <v>0</v>
      </c>
      <c r="DJ90" s="234">
        <f t="shared" si="175"/>
        <v>0</v>
      </c>
      <c r="DK90" s="251">
        <f>IFERROR((DI90/DD90),0)</f>
        <v>0</v>
      </c>
      <c r="DL90" s="231">
        <f t="shared" ref="DL90:DS90" si="176">SUM(DL89)</f>
        <v>0</v>
      </c>
      <c r="DM90" s="234">
        <f t="shared" si="176"/>
        <v>0</v>
      </c>
      <c r="DN90" s="234">
        <f t="shared" si="176"/>
        <v>0</v>
      </c>
      <c r="DO90" s="234">
        <f t="shared" si="176"/>
        <v>0</v>
      </c>
      <c r="DP90" s="234">
        <f t="shared" si="176"/>
        <v>0</v>
      </c>
      <c r="DQ90" s="234">
        <f t="shared" si="176"/>
        <v>0</v>
      </c>
      <c r="DR90" s="234">
        <f t="shared" si="176"/>
        <v>0</v>
      </c>
      <c r="DS90" s="234">
        <f t="shared" si="176"/>
        <v>0</v>
      </c>
      <c r="DT90" s="251">
        <f>IFERROR((DR90/DM90),0)</f>
        <v>0</v>
      </c>
      <c r="DU90" s="231">
        <f t="shared" ref="DU90:EB90" si="177">SUM(DU89)</f>
        <v>0</v>
      </c>
      <c r="DV90" s="234">
        <f t="shared" si="177"/>
        <v>0</v>
      </c>
      <c r="DW90" s="234">
        <f t="shared" si="177"/>
        <v>0</v>
      </c>
      <c r="DX90" s="234">
        <f t="shared" si="177"/>
        <v>0</v>
      </c>
      <c r="DY90" s="234">
        <f t="shared" si="177"/>
        <v>0</v>
      </c>
      <c r="DZ90" s="234">
        <f t="shared" si="177"/>
        <v>0</v>
      </c>
      <c r="EA90" s="234">
        <f t="shared" si="177"/>
        <v>0</v>
      </c>
      <c r="EB90" s="234">
        <f t="shared" si="177"/>
        <v>0</v>
      </c>
      <c r="EC90" s="251">
        <f>IFERROR((EA90/DV90),0)</f>
        <v>0</v>
      </c>
      <c r="ED90" s="231">
        <f t="shared" ref="ED90:EE90" si="178">SUM(ED89)</f>
        <v>0</v>
      </c>
      <c r="EE90" s="234">
        <f t="shared" si="178"/>
        <v>0</v>
      </c>
      <c r="EF90" s="237">
        <f t="shared" si="165"/>
        <v>0</v>
      </c>
    </row>
    <row r="91" spans="1:136" x14ac:dyDescent="0.25">
      <c r="J91" s="181" t="b">
        <f>J90=J87</f>
        <v>1</v>
      </c>
      <c r="K91" s="182" t="b">
        <f>K90=K87</f>
        <v>1</v>
      </c>
      <c r="T91" s="181" t="b">
        <f>T90=T87</f>
        <v>1</v>
      </c>
      <c r="U91" s="182" t="b">
        <f>U90=U87</f>
        <v>1</v>
      </c>
    </row>
    <row r="92" spans="1:136" x14ac:dyDescent="0.25">
      <c r="I92" s="252">
        <f>SUM(I32,I62,I83,I90)</f>
        <v>25017.792687145593</v>
      </c>
      <c r="J92" s="253">
        <f>SUM(J16,J36,J67,J87)</f>
        <v>350249.09762003837</v>
      </c>
      <c r="K92" s="253">
        <f>SUM(K16,K36,K67,K87)</f>
        <v>261295.08069599996</v>
      </c>
      <c r="L92" s="395">
        <f>L93/AF3</f>
        <v>0.19279707059589768</v>
      </c>
      <c r="M92" s="277">
        <f>M93/AF4</f>
        <v>0.20196480492258984</v>
      </c>
      <c r="N92" s="395">
        <v>0.47598422836325016</v>
      </c>
      <c r="O92" s="277">
        <v>0.48787642319983154</v>
      </c>
      <c r="P92" s="395">
        <v>0.85</v>
      </c>
      <c r="Q92" s="277">
        <v>0.89</v>
      </c>
      <c r="S92" s="252">
        <f>SUM(S32,S62,S83,S90)</f>
        <v>25017.792687145593</v>
      </c>
      <c r="T92" s="253">
        <f>SUM(T16,T36,T67,T87)</f>
        <v>350249.09762003837</v>
      </c>
      <c r="U92" s="253">
        <f>SUM(U16,U36,U67,U87)</f>
        <v>261295.08069599996</v>
      </c>
      <c r="V92" s="388">
        <f>V93/Y6</f>
        <v>0.85417802763177053</v>
      </c>
      <c r="W92" s="277">
        <f>W93/AA6</f>
        <v>0.8937252913373771</v>
      </c>
      <c r="X92" s="388">
        <f>X93/Y6</f>
        <v>0.85417802763177053</v>
      </c>
      <c r="Y92" s="277">
        <f>Y93/AA6</f>
        <v>0.8937252913373771</v>
      </c>
      <c r="Z92" s="388">
        <f>Z93/Y6</f>
        <v>0.85417802763177053</v>
      </c>
      <c r="AA92" s="277">
        <f>AA93/AA6</f>
        <v>0.8937252913373771</v>
      </c>
    </row>
    <row r="93" spans="1:136" x14ac:dyDescent="0.25">
      <c r="J93" s="181" t="b">
        <f>J92=AF3</f>
        <v>1</v>
      </c>
      <c r="K93" s="182" t="b">
        <f>K92=AF4</f>
        <v>1</v>
      </c>
      <c r="L93" s="90">
        <f t="shared" ref="L93:Q93" si="179">SUM(L32+L62+L83+L90)</f>
        <v>67527</v>
      </c>
      <c r="M93" s="300">
        <f t="shared" si="179"/>
        <v>52772.41</v>
      </c>
      <c r="N93" s="90">
        <f>SUM(N32+N62+N83+N90)</f>
        <v>166713</v>
      </c>
      <c r="O93" s="300">
        <f t="shared" si="179"/>
        <v>127479.66999999998</v>
      </c>
      <c r="P93" s="90">
        <f t="shared" si="179"/>
        <v>299175</v>
      </c>
      <c r="Q93" s="300">
        <f t="shared" si="179"/>
        <v>233525.94999999995</v>
      </c>
      <c r="T93" s="181"/>
      <c r="U93" s="182"/>
      <c r="V93" s="90">
        <f t="shared" ref="V93:AA93" si="180">SUM(V32+V62+V83+V90)</f>
        <v>299175</v>
      </c>
      <c r="W93" s="300">
        <f t="shared" si="180"/>
        <v>233525.94999999995</v>
      </c>
      <c r="X93" s="90">
        <f t="shared" si="180"/>
        <v>299175</v>
      </c>
      <c r="Y93" s="300">
        <f t="shared" si="180"/>
        <v>233525.94999999995</v>
      </c>
      <c r="Z93" s="90">
        <f t="shared" si="180"/>
        <v>299175</v>
      </c>
      <c r="AA93" s="300">
        <f t="shared" si="180"/>
        <v>233525.94999999995</v>
      </c>
    </row>
  </sheetData>
  <mergeCells count="277">
    <mergeCell ref="Y6:Z6"/>
    <mergeCell ref="AA6:AB6"/>
    <mergeCell ref="B90:F90"/>
    <mergeCell ref="DE87:DF87"/>
    <mergeCell ref="DG87:DH87"/>
    <mergeCell ref="DI87:DJ87"/>
    <mergeCell ref="DL87:DM87"/>
    <mergeCell ref="DN87:DO87"/>
    <mergeCell ref="DP87:DQ87"/>
    <mergeCell ref="CL87:CM87"/>
    <mergeCell ref="CO87:CP87"/>
    <mergeCell ref="CQ87:CR87"/>
    <mergeCell ref="CS87:CT87"/>
    <mergeCell ref="CU87:CV87"/>
    <mergeCell ref="DC87:DD87"/>
    <mergeCell ref="BY87:BZ87"/>
    <mergeCell ref="CA87:CB87"/>
    <mergeCell ref="CC87:CD87"/>
    <mergeCell ref="CF87:CG87"/>
    <mergeCell ref="CH87:CI87"/>
    <mergeCell ref="CJ87:CK87"/>
    <mergeCell ref="AQ87:AR87"/>
    <mergeCell ref="AS87:AT87"/>
    <mergeCell ref="AU87:AV87"/>
    <mergeCell ref="DL86:DT86"/>
    <mergeCell ref="DU86:EC86"/>
    <mergeCell ref="BF87:BG87"/>
    <mergeCell ref="BI87:BJ87"/>
    <mergeCell ref="BK87:BL87"/>
    <mergeCell ref="BM87:BN87"/>
    <mergeCell ref="BO87:BP87"/>
    <mergeCell ref="BW87:BX87"/>
    <mergeCell ref="BB87:BC87"/>
    <mergeCell ref="BD87:BE87"/>
    <mergeCell ref="DR87:DS87"/>
    <mergeCell ref="DU87:DV87"/>
    <mergeCell ref="DW87:DX87"/>
    <mergeCell ref="DY87:DZ87"/>
    <mergeCell ref="EA87:EB87"/>
    <mergeCell ref="AZ86:BH86"/>
    <mergeCell ref="DC86:DK86"/>
    <mergeCell ref="CC67:CD67"/>
    <mergeCell ref="AZ67:BA67"/>
    <mergeCell ref="BB67:BC67"/>
    <mergeCell ref="BD67:BE67"/>
    <mergeCell ref="BF67:BG67"/>
    <mergeCell ref="BI67:BJ67"/>
    <mergeCell ref="BK67:BL67"/>
    <mergeCell ref="AG67:AH67"/>
    <mergeCell ref="AI67:AJ67"/>
    <mergeCell ref="AQ67:AR67"/>
    <mergeCell ref="AS67:AT67"/>
    <mergeCell ref="AU67:AV67"/>
    <mergeCell ref="AW67:AX67"/>
    <mergeCell ref="ED86:EF86"/>
    <mergeCell ref="L87:M87"/>
    <mergeCell ref="N87:O87"/>
    <mergeCell ref="P87:Q87"/>
    <mergeCell ref="V87:W87"/>
    <mergeCell ref="X87:Y87"/>
    <mergeCell ref="BI86:BQ86"/>
    <mergeCell ref="BR86:BT86"/>
    <mergeCell ref="BW86:CE86"/>
    <mergeCell ref="CF86:CN86"/>
    <mergeCell ref="CO86:CW86"/>
    <mergeCell ref="CX86:CZ86"/>
    <mergeCell ref="I86:R86"/>
    <mergeCell ref="S86:AB86"/>
    <mergeCell ref="AC86:AK86"/>
    <mergeCell ref="AL86:AN86"/>
    <mergeCell ref="AQ86:AY86"/>
    <mergeCell ref="Z87:AA87"/>
    <mergeCell ref="AC87:AD87"/>
    <mergeCell ref="AE87:AF87"/>
    <mergeCell ref="AG87:AH87"/>
    <mergeCell ref="AI87:AJ87"/>
    <mergeCell ref="AW87:AX87"/>
    <mergeCell ref="AZ87:BA87"/>
    <mergeCell ref="D68:E68"/>
    <mergeCell ref="B83:F83"/>
    <mergeCell ref="AQ85:BT85"/>
    <mergeCell ref="BO67:BP67"/>
    <mergeCell ref="BW85:CZ85"/>
    <mergeCell ref="DC85:EF85"/>
    <mergeCell ref="DL67:DM67"/>
    <mergeCell ref="DN67:DO67"/>
    <mergeCell ref="DP67:DQ67"/>
    <mergeCell ref="DR67:DS67"/>
    <mergeCell ref="DU67:DV67"/>
    <mergeCell ref="DW67:DX67"/>
    <mergeCell ref="CS67:CT67"/>
    <mergeCell ref="CU67:CV67"/>
    <mergeCell ref="DC67:DD67"/>
    <mergeCell ref="DE67:DF67"/>
    <mergeCell ref="DG67:DH67"/>
    <mergeCell ref="DI67:DJ67"/>
    <mergeCell ref="CF67:CG67"/>
    <mergeCell ref="CH67:CI67"/>
    <mergeCell ref="CJ67:CK67"/>
    <mergeCell ref="CL67:CM67"/>
    <mergeCell ref="CO67:CP67"/>
    <mergeCell ref="BW67:BX67"/>
    <mergeCell ref="DY67:DZ67"/>
    <mergeCell ref="EA67:EB67"/>
    <mergeCell ref="BY67:BZ67"/>
    <mergeCell ref="CA67:CB67"/>
    <mergeCell ref="ED66:EF66"/>
    <mergeCell ref="L67:M67"/>
    <mergeCell ref="N67:O67"/>
    <mergeCell ref="P67:Q67"/>
    <mergeCell ref="V67:W67"/>
    <mergeCell ref="X67:Y67"/>
    <mergeCell ref="Z67:AA67"/>
    <mergeCell ref="AC67:AD67"/>
    <mergeCell ref="AE67:AF67"/>
    <mergeCell ref="CF66:CN66"/>
    <mergeCell ref="CO66:CW66"/>
    <mergeCell ref="CX66:CZ66"/>
    <mergeCell ref="DC66:DK66"/>
    <mergeCell ref="DL66:DT66"/>
    <mergeCell ref="DU66:EC66"/>
    <mergeCell ref="CQ67:CR67"/>
    <mergeCell ref="BM67:BN67"/>
    <mergeCell ref="I66:R66"/>
    <mergeCell ref="S66:AB66"/>
    <mergeCell ref="AC66:AK66"/>
    <mergeCell ref="AL66:AN66"/>
    <mergeCell ref="AQ66:AY66"/>
    <mergeCell ref="AZ66:BH66"/>
    <mergeCell ref="BI66:BQ66"/>
    <mergeCell ref="BR66:BT66"/>
    <mergeCell ref="BW66:CE66"/>
    <mergeCell ref="B62:F62"/>
    <mergeCell ref="I65:AN65"/>
    <mergeCell ref="AQ65:BT65"/>
    <mergeCell ref="BW65:CZ65"/>
    <mergeCell ref="DP36:DQ36"/>
    <mergeCell ref="DR36:DS36"/>
    <mergeCell ref="BD36:BE36"/>
    <mergeCell ref="BF36:BG36"/>
    <mergeCell ref="BI36:BJ36"/>
    <mergeCell ref="DC65:EF65"/>
    <mergeCell ref="DY36:DZ36"/>
    <mergeCell ref="EA36:EB36"/>
    <mergeCell ref="B37:C37"/>
    <mergeCell ref="D37:E37"/>
    <mergeCell ref="BM36:BN36"/>
    <mergeCell ref="BO36:BP36"/>
    <mergeCell ref="AQ36:AR36"/>
    <mergeCell ref="AS36:AT36"/>
    <mergeCell ref="AU36:AV36"/>
    <mergeCell ref="AW36:AX36"/>
    <mergeCell ref="AZ36:BA36"/>
    <mergeCell ref="DU36:DV36"/>
    <mergeCell ref="DW36:DX36"/>
    <mergeCell ref="DL36:DM36"/>
    <mergeCell ref="DN36:DO36"/>
    <mergeCell ref="BB36:BC36"/>
    <mergeCell ref="B32:F32"/>
    <mergeCell ref="DU35:EC35"/>
    <mergeCell ref="DC34:EF34"/>
    <mergeCell ref="BW34:CZ34"/>
    <mergeCell ref="AQ34:BT34"/>
    <mergeCell ref="I34:AN34"/>
    <mergeCell ref="CJ36:CK36"/>
    <mergeCell ref="CL36:CM36"/>
    <mergeCell ref="CO36:CP36"/>
    <mergeCell ref="CQ36:CR36"/>
    <mergeCell ref="CS36:CT36"/>
    <mergeCell ref="CU36:CV36"/>
    <mergeCell ref="BW36:BX36"/>
    <mergeCell ref="BY36:BZ36"/>
    <mergeCell ref="CA36:CB36"/>
    <mergeCell ref="CC36:CD36"/>
    <mergeCell ref="CF36:CG36"/>
    <mergeCell ref="CH36:CI36"/>
    <mergeCell ref="DL35:DT35"/>
    <mergeCell ref="BK36:BL36"/>
    <mergeCell ref="DC36:DD36"/>
    <mergeCell ref="DE36:DF36"/>
    <mergeCell ref="DG36:DH36"/>
    <mergeCell ref="DI36:DJ36"/>
    <mergeCell ref="Z16:AA16"/>
    <mergeCell ref="AC16:AD16"/>
    <mergeCell ref="AE16:AF16"/>
    <mergeCell ref="N16:O16"/>
    <mergeCell ref="P16:Q16"/>
    <mergeCell ref="ED35:EF35"/>
    <mergeCell ref="L36:M36"/>
    <mergeCell ref="N36:O36"/>
    <mergeCell ref="P36:Q36"/>
    <mergeCell ref="V36:W36"/>
    <mergeCell ref="AZ35:BH35"/>
    <mergeCell ref="BI35:BQ35"/>
    <mergeCell ref="BR35:BT35"/>
    <mergeCell ref="BW35:CE35"/>
    <mergeCell ref="CF35:CN35"/>
    <mergeCell ref="CO35:CW35"/>
    <mergeCell ref="X36:Y36"/>
    <mergeCell ref="Z36:AA36"/>
    <mergeCell ref="AC36:AD36"/>
    <mergeCell ref="AE36:AF36"/>
    <mergeCell ref="AG36:AH36"/>
    <mergeCell ref="AI36:AJ36"/>
    <mergeCell ref="CX35:CZ35"/>
    <mergeCell ref="DC35:DK35"/>
    <mergeCell ref="DW16:DX16"/>
    <mergeCell ref="DY16:DZ16"/>
    <mergeCell ref="EA16:EB16"/>
    <mergeCell ref="CO15:CW15"/>
    <mergeCell ref="CX15:CZ15"/>
    <mergeCell ref="B17:C17"/>
    <mergeCell ref="D17:E17"/>
    <mergeCell ref="DE16:DF16"/>
    <mergeCell ref="DG16:DH16"/>
    <mergeCell ref="DI16:DJ16"/>
    <mergeCell ref="DL16:DM16"/>
    <mergeCell ref="DN16:DO16"/>
    <mergeCell ref="DP16:DQ16"/>
    <mergeCell ref="CL16:CM16"/>
    <mergeCell ref="CO16:CP16"/>
    <mergeCell ref="CQ16:CR16"/>
    <mergeCell ref="CS16:CT16"/>
    <mergeCell ref="CU16:CV16"/>
    <mergeCell ref="DC16:DD16"/>
    <mergeCell ref="BY16:BZ16"/>
    <mergeCell ref="CA16:CB16"/>
    <mergeCell ref="CC16:CD16"/>
    <mergeCell ref="CF16:CG16"/>
    <mergeCell ref="CH16:CI16"/>
    <mergeCell ref="CJ16:CK16"/>
    <mergeCell ref="BF16:BG16"/>
    <mergeCell ref="BI16:BJ16"/>
    <mergeCell ref="BK16:BL16"/>
    <mergeCell ref="BM16:BN16"/>
    <mergeCell ref="BO16:BP16"/>
    <mergeCell ref="BW16:BX16"/>
    <mergeCell ref="DR16:DS16"/>
    <mergeCell ref="DU16:DV16"/>
    <mergeCell ref="O6:P6"/>
    <mergeCell ref="Q6:R6"/>
    <mergeCell ref="E2:F2"/>
    <mergeCell ref="AQ35:AY35"/>
    <mergeCell ref="AL35:AN35"/>
    <mergeCell ref="AC35:AK35"/>
    <mergeCell ref="S35:AB35"/>
    <mergeCell ref="I35:R35"/>
    <mergeCell ref="I14:AN14"/>
    <mergeCell ref="AQ14:BT14"/>
    <mergeCell ref="L16:M16"/>
    <mergeCell ref="V16:W16"/>
    <mergeCell ref="X16:Y16"/>
    <mergeCell ref="BI15:BQ15"/>
    <mergeCell ref="BR15:BT15"/>
    <mergeCell ref="AG16:AH16"/>
    <mergeCell ref="AI16:AJ16"/>
    <mergeCell ref="AQ16:AR16"/>
    <mergeCell ref="AS16:AT16"/>
    <mergeCell ref="AU16:AV16"/>
    <mergeCell ref="AW16:AX16"/>
    <mergeCell ref="AZ16:BA16"/>
    <mergeCell ref="BB16:BC16"/>
    <mergeCell ref="BD16:BE16"/>
    <mergeCell ref="BW14:CZ14"/>
    <mergeCell ref="DC14:EF14"/>
    <mergeCell ref="I15:R15"/>
    <mergeCell ref="S15:AB15"/>
    <mergeCell ref="AC15:AK15"/>
    <mergeCell ref="AL15:AN15"/>
    <mergeCell ref="AQ15:AY15"/>
    <mergeCell ref="AZ15:BH15"/>
    <mergeCell ref="ED15:EF15"/>
    <mergeCell ref="BW15:CE15"/>
    <mergeCell ref="CF15:CN15"/>
    <mergeCell ref="DC15:DK15"/>
    <mergeCell ref="DL15:DT15"/>
    <mergeCell ref="DU15:EC15"/>
  </mergeCells>
  <conditionalFormatting sqref="B83:C83">
    <cfRule type="duplicateValues" dxfId="80" priority="12"/>
    <cfRule type="duplicateValues" dxfId="79" priority="13"/>
  </conditionalFormatting>
  <conditionalFormatting sqref="B89:C90 B65:C65 B57:C62 B32:C34">
    <cfRule type="duplicateValues" dxfId="78" priority="15"/>
  </conditionalFormatting>
  <conditionalFormatting sqref="B90:C90">
    <cfRule type="duplicateValues" dxfId="77" priority="14"/>
  </conditionalFormatting>
  <conditionalFormatting sqref="B89:D89 B65:C65 B57:C62 B32:C34">
    <cfRule type="duplicateValues" dxfId="76" priority="16"/>
  </conditionalFormatting>
  <conditionalFormatting sqref="D89">
    <cfRule type="duplicateValues" dxfId="75" priority="11"/>
  </conditionalFormatting>
  <conditionalFormatting sqref="P8:P12 R8:R12">
    <cfRule type="cellIs" dxfId="74" priority="2" operator="greaterThan">
      <formula>$M$6</formula>
    </cfRule>
  </conditionalFormatting>
  <conditionalFormatting sqref="R18:R32">
    <cfRule type="cellIs" dxfId="73" priority="9" operator="greaterThan">
      <formula>0.996</formula>
    </cfRule>
    <cfRule type="cellIs" dxfId="72" priority="10" operator="between">
      <formula>0.895</formula>
      <formula>0.995</formula>
    </cfRule>
  </conditionalFormatting>
  <conditionalFormatting sqref="R38:R62">
    <cfRule type="cellIs" dxfId="71" priority="7" operator="greaterThan">
      <formula>0.996</formula>
    </cfRule>
    <cfRule type="cellIs" dxfId="70" priority="8" operator="between">
      <formula>0.895</formula>
      <formula>0.995</formula>
    </cfRule>
  </conditionalFormatting>
  <conditionalFormatting sqref="R69:R83">
    <cfRule type="cellIs" dxfId="69" priority="5" operator="greaterThan">
      <formula>0.996</formula>
    </cfRule>
    <cfRule type="cellIs" dxfId="68" priority="6" operator="between">
      <formula>0.895</formula>
      <formula>0.995</formula>
    </cfRule>
  </conditionalFormatting>
  <conditionalFormatting sqref="R89:R90">
    <cfRule type="cellIs" dxfId="67" priority="3" operator="greaterThan">
      <formula>0.996</formula>
    </cfRule>
    <cfRule type="cellIs" dxfId="66" priority="4" operator="between">
      <formula>0.895</formula>
      <formula>0.995</formula>
    </cfRule>
  </conditionalFormatting>
  <conditionalFormatting sqref="Z8:Z12 AB8:AB12">
    <cfRule type="cellIs" dxfId="65" priority="1" operator="greaterThan">
      <formula>$M$6</formula>
    </cfRule>
  </conditionalFormatting>
  <hyperlinks>
    <hyperlink ref="B31" location="'Moe San Char Li'!A1" display="မိုးဆန်းချာလီ" xr:uid="{6BDBA803-6FB3-9442-89B2-A2ECD926423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001B-F1D9-D54A-8678-5EDCD9EC705F}">
  <sheetPr>
    <tabColor theme="8" tint="0.59999389629810485"/>
  </sheetPr>
  <dimension ref="A1:U41"/>
  <sheetViews>
    <sheetView workbookViewId="0">
      <pane xSplit="4" ySplit="2" topLeftCell="F3" activePane="bottomRight" state="frozen"/>
      <selection pane="topRight" activeCell="D1" sqref="D1"/>
      <selection pane="bottomLeft" activeCell="A3" sqref="A3"/>
      <selection pane="bottomRight" activeCell="F18" sqref="F18"/>
    </sheetView>
  </sheetViews>
  <sheetFormatPr defaultColWidth="10.85546875" defaultRowHeight="15.75" outlineLevelCol="1" x14ac:dyDescent="0.25"/>
  <cols>
    <col min="1" max="1" width="6.42578125" style="347" bestFit="1" customWidth="1"/>
    <col min="2" max="2" width="26.28515625" style="406" bestFit="1" customWidth="1"/>
    <col min="3" max="3" width="19.42578125" style="406" customWidth="1"/>
    <col min="4" max="4" width="17" style="406" customWidth="1"/>
    <col min="5" max="5" width="0" style="347" hidden="1" customWidth="1"/>
    <col min="6" max="6" width="10.85546875" style="407"/>
    <col min="7" max="7" width="10.85546875" style="347" outlineLevel="1"/>
    <col min="8" max="8" width="10.85546875" style="370" outlineLevel="1"/>
    <col min="9" max="18" width="0" style="370" hidden="1" customWidth="1" outlineLevel="1"/>
    <col min="19" max="19" width="10.85546875" style="370"/>
    <col min="20" max="20" width="10.85546875" style="371"/>
    <col min="21" max="21" width="6.42578125" style="347" bestFit="1" customWidth="1"/>
    <col min="22" max="16384" width="10.85546875" style="347"/>
  </cols>
  <sheetData>
    <row r="1" spans="1:21" x14ac:dyDescent="0.25">
      <c r="G1" s="503">
        <v>2026</v>
      </c>
      <c r="H1" s="503"/>
      <c r="I1" s="503"/>
      <c r="J1" s="503"/>
      <c r="K1" s="503"/>
      <c r="L1" s="503"/>
      <c r="M1" s="503"/>
      <c r="N1" s="503"/>
      <c r="O1" s="503"/>
      <c r="P1" s="503"/>
      <c r="Q1" s="503"/>
      <c r="R1" s="503"/>
      <c r="S1" s="503"/>
      <c r="T1" s="503"/>
    </row>
    <row r="2" spans="1:21" s="405" customFormat="1" x14ac:dyDescent="0.25">
      <c r="A2" s="408" t="s">
        <v>965</v>
      </c>
      <c r="B2" s="408" t="s">
        <v>966</v>
      </c>
      <c r="C2" s="408" t="s">
        <v>968</v>
      </c>
      <c r="D2" s="408" t="s">
        <v>2</v>
      </c>
      <c r="E2" s="413" t="s">
        <v>1250</v>
      </c>
      <c r="F2" s="415" t="s">
        <v>1249</v>
      </c>
      <c r="G2" s="408" t="s">
        <v>1024</v>
      </c>
      <c r="H2" s="282" t="s">
        <v>1032</v>
      </c>
      <c r="I2" s="282" t="s">
        <v>1033</v>
      </c>
      <c r="J2" s="282" t="s">
        <v>1034</v>
      </c>
      <c r="K2" s="282" t="s">
        <v>1035</v>
      </c>
      <c r="L2" s="282" t="s">
        <v>1036</v>
      </c>
      <c r="M2" s="282" t="s">
        <v>1037</v>
      </c>
      <c r="N2" s="282" t="s">
        <v>1038</v>
      </c>
      <c r="O2" s="282" t="s">
        <v>1039</v>
      </c>
      <c r="P2" s="282" t="s">
        <v>1040</v>
      </c>
      <c r="Q2" s="282" t="s">
        <v>1041</v>
      </c>
      <c r="R2" s="282" t="s">
        <v>1042</v>
      </c>
      <c r="S2" s="282" t="s">
        <v>1020</v>
      </c>
      <c r="T2" s="222" t="s">
        <v>1251</v>
      </c>
      <c r="U2" s="408" t="s">
        <v>1252</v>
      </c>
    </row>
    <row r="3" spans="1:21" x14ac:dyDescent="0.25">
      <c r="A3" s="341">
        <v>1</v>
      </c>
      <c r="B3" s="342" t="s">
        <v>391</v>
      </c>
      <c r="C3" s="342" t="s">
        <v>1247</v>
      </c>
      <c r="D3" s="342" t="s">
        <v>457</v>
      </c>
      <c r="E3" s="343">
        <v>62582.529333333332</v>
      </c>
      <c r="F3" s="414">
        <f t="shared" ref="F3:F40" si="0">E3/12</f>
        <v>5215.2107777777774</v>
      </c>
      <c r="G3" s="343">
        <f>IFERROR(VLOOKUP(B3,F_U!A:D,4,0),0)</f>
        <v>6500</v>
      </c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>
        <f>SUM(G3:R3)</f>
        <v>6500</v>
      </c>
      <c r="T3" s="409">
        <f>IFERROR(AVERAGE(G3:R3),0)</f>
        <v>6500</v>
      </c>
      <c r="U3" s="412">
        <f>G3/F3</f>
        <v>1.2463542274641632</v>
      </c>
    </row>
    <row r="4" spans="1:21" x14ac:dyDescent="0.25">
      <c r="A4" s="341">
        <v>2</v>
      </c>
      <c r="B4" s="342" t="s">
        <v>396</v>
      </c>
      <c r="C4" s="342" t="s">
        <v>1247</v>
      </c>
      <c r="D4" s="342" t="s">
        <v>457</v>
      </c>
      <c r="E4" s="343">
        <v>28735.333333333332</v>
      </c>
      <c r="F4" s="344">
        <f t="shared" si="0"/>
        <v>2394.6111111111109</v>
      </c>
      <c r="G4" s="343">
        <f>IFERROR(VLOOKUP(B4,F_U!A:D,4,0),0)</f>
        <v>3100</v>
      </c>
      <c r="H4" s="343"/>
      <c r="I4" s="343"/>
      <c r="J4" s="343"/>
      <c r="K4" s="343"/>
      <c r="L4" s="343"/>
      <c r="M4" s="343"/>
      <c r="N4" s="343"/>
      <c r="O4" s="343"/>
      <c r="P4" s="343"/>
      <c r="Q4" s="343"/>
      <c r="R4" s="343"/>
      <c r="S4" s="343">
        <f t="shared" ref="S4:S40" si="1">SUM(G4:R4)</f>
        <v>3100</v>
      </c>
      <c r="T4" s="409">
        <f t="shared" ref="T4:T40" si="2">IFERROR(AVERAGE(G4:R4),0)</f>
        <v>3100</v>
      </c>
      <c r="U4" s="412">
        <f t="shared" ref="U4:U41" si="3">G4/F4</f>
        <v>1.2945734635640211</v>
      </c>
    </row>
    <row r="5" spans="1:21" x14ac:dyDescent="0.25">
      <c r="A5" s="341">
        <v>3</v>
      </c>
      <c r="B5" s="342" t="s">
        <v>324</v>
      </c>
      <c r="C5" s="342" t="s">
        <v>1247</v>
      </c>
      <c r="D5" s="342" t="s">
        <v>454</v>
      </c>
      <c r="E5" s="343">
        <v>18165.333333333332</v>
      </c>
      <c r="F5" s="344">
        <f t="shared" si="0"/>
        <v>1513.7777777777776</v>
      </c>
      <c r="G5" s="343">
        <f>IFERROR(VLOOKUP(B5,F_U!A:D,4,0),0)</f>
        <v>1000</v>
      </c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343">
        <f t="shared" si="1"/>
        <v>1000</v>
      </c>
      <c r="T5" s="409">
        <f t="shared" si="2"/>
        <v>1000</v>
      </c>
      <c r="U5" s="412">
        <f t="shared" si="3"/>
        <v>0.6605989430416912</v>
      </c>
    </row>
    <row r="6" spans="1:21" x14ac:dyDescent="0.25">
      <c r="A6" s="341">
        <v>4</v>
      </c>
      <c r="B6" s="342" t="s">
        <v>326</v>
      </c>
      <c r="C6" s="342" t="s">
        <v>1247</v>
      </c>
      <c r="D6" s="342" t="s">
        <v>454</v>
      </c>
      <c r="E6" s="343">
        <v>7580.3733333333339</v>
      </c>
      <c r="F6" s="344">
        <f t="shared" si="0"/>
        <v>631.69777777777779</v>
      </c>
      <c r="G6" s="343">
        <f>IFERROR(VLOOKUP(B6,F_U!A:D,4,0),0)</f>
        <v>432</v>
      </c>
      <c r="H6" s="343"/>
      <c r="I6" s="343"/>
      <c r="J6" s="343"/>
      <c r="K6" s="343"/>
      <c r="L6" s="343"/>
      <c r="M6" s="343"/>
      <c r="N6" s="343"/>
      <c r="O6" s="343"/>
      <c r="P6" s="343"/>
      <c r="Q6" s="343"/>
      <c r="R6" s="343"/>
      <c r="S6" s="343">
        <f t="shared" si="1"/>
        <v>432</v>
      </c>
      <c r="T6" s="409">
        <f t="shared" si="2"/>
        <v>432</v>
      </c>
      <c r="U6" s="412">
        <f t="shared" si="3"/>
        <v>0.6838713308755241</v>
      </c>
    </row>
    <row r="7" spans="1:21" x14ac:dyDescent="0.25">
      <c r="A7" s="341">
        <v>5</v>
      </c>
      <c r="B7" s="342" t="s">
        <v>328</v>
      </c>
      <c r="C7" s="342" t="s">
        <v>1247</v>
      </c>
      <c r="D7" s="342" t="s">
        <v>454</v>
      </c>
      <c r="E7" s="343">
        <v>7497.0133333333333</v>
      </c>
      <c r="F7" s="344">
        <f t="shared" si="0"/>
        <v>624.75111111111107</v>
      </c>
      <c r="G7" s="343">
        <f>IFERROR(VLOOKUP(B7,F_U!A:D,4,0),0)</f>
        <v>405</v>
      </c>
      <c r="H7" s="343"/>
      <c r="I7" s="343"/>
      <c r="J7" s="343"/>
      <c r="K7" s="343"/>
      <c r="L7" s="343"/>
      <c r="M7" s="343"/>
      <c r="N7" s="343"/>
      <c r="O7" s="343"/>
      <c r="P7" s="343"/>
      <c r="Q7" s="343"/>
      <c r="R7" s="343"/>
      <c r="S7" s="343">
        <f t="shared" si="1"/>
        <v>405</v>
      </c>
      <c r="T7" s="409">
        <f t="shared" si="2"/>
        <v>405</v>
      </c>
      <c r="U7" s="412">
        <f t="shared" si="3"/>
        <v>0.64825815080138582</v>
      </c>
    </row>
    <row r="8" spans="1:21" x14ac:dyDescent="0.25">
      <c r="A8" s="341">
        <v>6</v>
      </c>
      <c r="B8" s="342" t="s">
        <v>443</v>
      </c>
      <c r="C8" s="342" t="s">
        <v>1247</v>
      </c>
      <c r="D8" s="342" t="s">
        <v>454</v>
      </c>
      <c r="E8" s="343">
        <v>6495.9800000000005</v>
      </c>
      <c r="F8" s="344">
        <f t="shared" si="0"/>
        <v>541.33166666666671</v>
      </c>
      <c r="G8" s="343">
        <f>IFERROR(VLOOKUP(B8,F_U!A:D,4,0),0)</f>
        <v>600</v>
      </c>
      <c r="H8" s="343"/>
      <c r="I8" s="343"/>
      <c r="J8" s="343"/>
      <c r="K8" s="343"/>
      <c r="L8" s="343"/>
      <c r="M8" s="343"/>
      <c r="N8" s="343"/>
      <c r="O8" s="343"/>
      <c r="P8" s="343"/>
      <c r="Q8" s="343"/>
      <c r="R8" s="343"/>
      <c r="S8" s="343">
        <f t="shared" si="1"/>
        <v>600</v>
      </c>
      <c r="T8" s="409">
        <f t="shared" si="2"/>
        <v>600</v>
      </c>
      <c r="U8" s="412">
        <f t="shared" si="3"/>
        <v>1.1083777967296697</v>
      </c>
    </row>
    <row r="9" spans="1:21" x14ac:dyDescent="0.25">
      <c r="A9" s="341">
        <v>7</v>
      </c>
      <c r="B9" s="342" t="s">
        <v>371</v>
      </c>
      <c r="C9" s="342" t="s">
        <v>1247</v>
      </c>
      <c r="D9" s="342" t="s">
        <v>457</v>
      </c>
      <c r="E9" s="343">
        <v>5990.666666666667</v>
      </c>
      <c r="F9" s="344">
        <f t="shared" si="0"/>
        <v>499.22222222222223</v>
      </c>
      <c r="G9" s="343">
        <f>IFERROR(VLOOKUP(B9,F_U!A:D,4,0),0)</f>
        <v>600</v>
      </c>
      <c r="H9" s="343"/>
      <c r="I9" s="343"/>
      <c r="J9" s="343"/>
      <c r="K9" s="343"/>
      <c r="L9" s="343"/>
      <c r="M9" s="343"/>
      <c r="N9" s="343"/>
      <c r="O9" s="343"/>
      <c r="P9" s="343"/>
      <c r="Q9" s="343"/>
      <c r="R9" s="343"/>
      <c r="S9" s="343">
        <f t="shared" si="1"/>
        <v>600</v>
      </c>
      <c r="T9" s="409">
        <f t="shared" si="2"/>
        <v>600</v>
      </c>
      <c r="U9" s="412">
        <f t="shared" si="3"/>
        <v>1.20186957489428</v>
      </c>
    </row>
    <row r="10" spans="1:21" x14ac:dyDescent="0.25">
      <c r="A10" s="341">
        <v>8</v>
      </c>
      <c r="B10" s="342" t="s">
        <v>399</v>
      </c>
      <c r="C10" s="342" t="s">
        <v>1247</v>
      </c>
      <c r="D10" s="342" t="s">
        <v>457</v>
      </c>
      <c r="E10" s="343">
        <v>5310.666666666667</v>
      </c>
      <c r="F10" s="344">
        <f t="shared" si="0"/>
        <v>442.5555555555556</v>
      </c>
      <c r="G10" s="343">
        <f>IFERROR(VLOOKUP(B10,F_U!A:D,4,0),0)</f>
        <v>200</v>
      </c>
      <c r="H10" s="343"/>
      <c r="I10" s="343"/>
      <c r="J10" s="343"/>
      <c r="K10" s="343"/>
      <c r="L10" s="343"/>
      <c r="M10" s="343"/>
      <c r="N10" s="343"/>
      <c r="O10" s="343"/>
      <c r="P10" s="343"/>
      <c r="Q10" s="343"/>
      <c r="R10" s="343"/>
      <c r="S10" s="343">
        <f t="shared" si="1"/>
        <v>200</v>
      </c>
      <c r="T10" s="409">
        <f t="shared" si="2"/>
        <v>200</v>
      </c>
      <c r="U10" s="412">
        <f t="shared" si="3"/>
        <v>0.45192066281697207</v>
      </c>
    </row>
    <row r="11" spans="1:21" x14ac:dyDescent="0.25">
      <c r="A11" s="341">
        <v>9</v>
      </c>
      <c r="B11" s="342" t="s">
        <v>357</v>
      </c>
      <c r="C11" s="342" t="s">
        <v>1247</v>
      </c>
      <c r="D11" s="342" t="s">
        <v>457</v>
      </c>
      <c r="E11" s="343">
        <v>5229.8666666666659</v>
      </c>
      <c r="F11" s="344">
        <f t="shared" si="0"/>
        <v>435.82222222222214</v>
      </c>
      <c r="G11" s="343">
        <f>IFERROR(VLOOKUP(B11,F_U!A:D,4,0),0)</f>
        <v>800</v>
      </c>
      <c r="H11" s="343"/>
      <c r="I11" s="343"/>
      <c r="J11" s="343"/>
      <c r="K11" s="343"/>
      <c r="L11" s="343"/>
      <c r="M11" s="343"/>
      <c r="N11" s="343"/>
      <c r="O11" s="343"/>
      <c r="P11" s="343"/>
      <c r="Q11" s="343"/>
      <c r="R11" s="343"/>
      <c r="S11" s="343">
        <f t="shared" si="1"/>
        <v>800</v>
      </c>
      <c r="T11" s="409">
        <f t="shared" si="2"/>
        <v>800</v>
      </c>
      <c r="U11" s="412">
        <f t="shared" si="3"/>
        <v>1.8356108504996944</v>
      </c>
    </row>
    <row r="12" spans="1:21" x14ac:dyDescent="0.25">
      <c r="A12" s="341">
        <v>10</v>
      </c>
      <c r="B12" s="342" t="s">
        <v>394</v>
      </c>
      <c r="C12" s="342" t="s">
        <v>1247</v>
      </c>
      <c r="D12" s="342" t="s">
        <v>457</v>
      </c>
      <c r="E12" s="343">
        <v>5197.7333333333327</v>
      </c>
      <c r="F12" s="344">
        <f t="shared" si="0"/>
        <v>433.14444444444439</v>
      </c>
      <c r="G12" s="343">
        <f>IFERROR(VLOOKUP(B12,F_U!A:D,4,0),0)</f>
        <v>450</v>
      </c>
      <c r="H12" s="343"/>
      <c r="I12" s="343"/>
      <c r="J12" s="343"/>
      <c r="K12" s="343"/>
      <c r="L12" s="343"/>
      <c r="M12" s="343"/>
      <c r="N12" s="343"/>
      <c r="O12" s="343"/>
      <c r="P12" s="343"/>
      <c r="Q12" s="343"/>
      <c r="R12" s="343"/>
      <c r="S12" s="343">
        <f t="shared" si="1"/>
        <v>450</v>
      </c>
      <c r="T12" s="409">
        <f t="shared" si="2"/>
        <v>450</v>
      </c>
      <c r="U12" s="412">
        <f t="shared" si="3"/>
        <v>1.0389143985839984</v>
      </c>
    </row>
    <row r="13" spans="1:21" x14ac:dyDescent="0.25">
      <c r="A13" s="341">
        <v>11</v>
      </c>
      <c r="B13" s="342" t="s">
        <v>327</v>
      </c>
      <c r="C13" s="342" t="s">
        <v>1247</v>
      </c>
      <c r="D13" s="342" t="s">
        <v>454</v>
      </c>
      <c r="E13" s="343">
        <v>4793.833333333333</v>
      </c>
      <c r="F13" s="344">
        <f t="shared" si="0"/>
        <v>399.48611111111109</v>
      </c>
      <c r="G13" s="343">
        <f>IFERROR(VLOOKUP(B13,F_U!A:D,4,0),0)</f>
        <v>400</v>
      </c>
      <c r="H13" s="343"/>
      <c r="I13" s="343"/>
      <c r="J13" s="343"/>
      <c r="K13" s="343"/>
      <c r="L13" s="343"/>
      <c r="M13" s="343"/>
      <c r="N13" s="343"/>
      <c r="O13" s="343"/>
      <c r="P13" s="343"/>
      <c r="Q13" s="343"/>
      <c r="R13" s="343"/>
      <c r="S13" s="343">
        <f t="shared" si="1"/>
        <v>400</v>
      </c>
      <c r="T13" s="409">
        <f t="shared" si="2"/>
        <v>400</v>
      </c>
      <c r="U13" s="412">
        <f t="shared" si="3"/>
        <v>1.0012863748565866</v>
      </c>
    </row>
    <row r="14" spans="1:21" x14ac:dyDescent="0.25">
      <c r="A14" s="341">
        <v>12</v>
      </c>
      <c r="B14" s="342" t="s">
        <v>323</v>
      </c>
      <c r="C14" s="342" t="s">
        <v>1247</v>
      </c>
      <c r="D14" s="342" t="s">
        <v>457</v>
      </c>
      <c r="E14" s="343">
        <v>4533.6000000000004</v>
      </c>
      <c r="F14" s="344">
        <f t="shared" si="0"/>
        <v>377.8</v>
      </c>
      <c r="G14" s="343">
        <f>IFERROR(VLOOKUP(B14,F_U!A:D,4,0),0)</f>
        <v>500</v>
      </c>
      <c r="H14" s="343"/>
      <c r="I14" s="343"/>
      <c r="J14" s="343"/>
      <c r="K14" s="343"/>
      <c r="L14" s="343"/>
      <c r="M14" s="343"/>
      <c r="N14" s="343"/>
      <c r="O14" s="343"/>
      <c r="P14" s="343"/>
      <c r="Q14" s="343"/>
      <c r="R14" s="343"/>
      <c r="S14" s="343">
        <f t="shared" si="1"/>
        <v>500</v>
      </c>
      <c r="T14" s="409">
        <f t="shared" si="2"/>
        <v>500</v>
      </c>
      <c r="U14" s="412">
        <f t="shared" si="3"/>
        <v>1.3234515616728428</v>
      </c>
    </row>
    <row r="15" spans="1:21" x14ac:dyDescent="0.25">
      <c r="A15" s="341">
        <v>13</v>
      </c>
      <c r="B15" s="342" t="s">
        <v>182</v>
      </c>
      <c r="C15" s="342" t="s">
        <v>1247</v>
      </c>
      <c r="D15" s="342" t="s">
        <v>537</v>
      </c>
      <c r="E15" s="343">
        <v>3345.7333333333336</v>
      </c>
      <c r="F15" s="344">
        <f t="shared" si="0"/>
        <v>278.81111111111113</v>
      </c>
      <c r="G15" s="343">
        <f>IFERROR(VLOOKUP(B15,F_U!A:D,4,0),0)</f>
        <v>321</v>
      </c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>
        <f t="shared" si="1"/>
        <v>321</v>
      </c>
      <c r="T15" s="409">
        <f t="shared" si="2"/>
        <v>321</v>
      </c>
      <c r="U15" s="412">
        <f t="shared" si="3"/>
        <v>1.1513171003865619</v>
      </c>
    </row>
    <row r="16" spans="1:21" x14ac:dyDescent="0.25">
      <c r="A16" s="341">
        <v>14</v>
      </c>
      <c r="B16" s="342" t="s">
        <v>401</v>
      </c>
      <c r="C16" s="342" t="s">
        <v>1247</v>
      </c>
      <c r="D16" s="342" t="s">
        <v>457</v>
      </c>
      <c r="E16" s="343">
        <v>3086</v>
      </c>
      <c r="F16" s="344">
        <f t="shared" si="0"/>
        <v>257.16666666666669</v>
      </c>
      <c r="G16" s="343">
        <f>IFERROR(VLOOKUP(B16,F_U!A:D,4,0),0)</f>
        <v>100</v>
      </c>
      <c r="H16" s="343"/>
      <c r="I16" s="343"/>
      <c r="J16" s="343"/>
      <c r="K16" s="343"/>
      <c r="L16" s="343"/>
      <c r="M16" s="343"/>
      <c r="N16" s="343"/>
      <c r="O16" s="343"/>
      <c r="P16" s="343"/>
      <c r="Q16" s="343"/>
      <c r="R16" s="343"/>
      <c r="S16" s="343">
        <f t="shared" si="1"/>
        <v>100</v>
      </c>
      <c r="T16" s="409">
        <f t="shared" si="2"/>
        <v>100</v>
      </c>
      <c r="U16" s="412">
        <f t="shared" si="3"/>
        <v>0.3888528839922229</v>
      </c>
    </row>
    <row r="17" spans="1:21" x14ac:dyDescent="0.25">
      <c r="A17" s="341">
        <v>15</v>
      </c>
      <c r="B17" s="342" t="s">
        <v>366</v>
      </c>
      <c r="C17" s="342" t="s">
        <v>1248</v>
      </c>
      <c r="D17" s="342" t="s">
        <v>457</v>
      </c>
      <c r="E17" s="343">
        <v>2412</v>
      </c>
      <c r="F17" s="344">
        <f t="shared" si="0"/>
        <v>201</v>
      </c>
      <c r="G17" s="343">
        <f>IFERROR(VLOOKUP(B17,F_U!A:D,4,0),0)</f>
        <v>300</v>
      </c>
      <c r="H17" s="343"/>
      <c r="I17" s="343"/>
      <c r="J17" s="343"/>
      <c r="K17" s="343"/>
      <c r="L17" s="343"/>
      <c r="M17" s="343"/>
      <c r="N17" s="343"/>
      <c r="O17" s="343"/>
      <c r="P17" s="343"/>
      <c r="Q17" s="343"/>
      <c r="R17" s="343"/>
      <c r="S17" s="343">
        <f t="shared" si="1"/>
        <v>300</v>
      </c>
      <c r="T17" s="409">
        <f t="shared" si="2"/>
        <v>300</v>
      </c>
      <c r="U17" s="412">
        <f t="shared" si="3"/>
        <v>1.4925373134328359</v>
      </c>
    </row>
    <row r="18" spans="1:21" x14ac:dyDescent="0.25">
      <c r="A18" s="341">
        <v>16</v>
      </c>
      <c r="B18" s="342" t="s">
        <v>230</v>
      </c>
      <c r="C18" s="342" t="s">
        <v>1248</v>
      </c>
      <c r="D18" s="342" t="s">
        <v>457</v>
      </c>
      <c r="E18" s="343">
        <v>2390.6666666666665</v>
      </c>
      <c r="F18" s="344">
        <f t="shared" si="0"/>
        <v>199.2222222222222</v>
      </c>
      <c r="G18" s="343">
        <f>IFERROR(VLOOKUP(B18,F_U!A:D,4,0),0)</f>
        <v>250</v>
      </c>
      <c r="H18" s="343"/>
      <c r="I18" s="343"/>
      <c r="J18" s="343"/>
      <c r="K18" s="343"/>
      <c r="L18" s="343"/>
      <c r="M18" s="343"/>
      <c r="N18" s="343"/>
      <c r="O18" s="343"/>
      <c r="P18" s="343"/>
      <c r="Q18" s="343"/>
      <c r="R18" s="343"/>
      <c r="S18" s="343">
        <f t="shared" si="1"/>
        <v>250</v>
      </c>
      <c r="T18" s="409">
        <f t="shared" si="2"/>
        <v>250</v>
      </c>
      <c r="U18" s="412">
        <f t="shared" si="3"/>
        <v>1.2548800892359175</v>
      </c>
    </row>
    <row r="19" spans="1:21" x14ac:dyDescent="0.25">
      <c r="A19" s="341">
        <v>17</v>
      </c>
      <c r="B19" s="342" t="s">
        <v>350</v>
      </c>
      <c r="C19" s="342" t="s">
        <v>1248</v>
      </c>
      <c r="D19" s="342" t="s">
        <v>458</v>
      </c>
      <c r="E19" s="343">
        <v>2364.3333333333335</v>
      </c>
      <c r="F19" s="344">
        <f t="shared" si="0"/>
        <v>197.0277777777778</v>
      </c>
      <c r="G19" s="343">
        <f>IFERROR(VLOOKUP(B19,F_U!A:D,4,0),0)</f>
        <v>310</v>
      </c>
      <c r="H19" s="343"/>
      <c r="I19" s="343"/>
      <c r="J19" s="343"/>
      <c r="K19" s="343"/>
      <c r="L19" s="343"/>
      <c r="M19" s="343"/>
      <c r="N19" s="343"/>
      <c r="O19" s="343"/>
      <c r="P19" s="343"/>
      <c r="Q19" s="343"/>
      <c r="R19" s="343"/>
      <c r="S19" s="343">
        <f t="shared" si="1"/>
        <v>310</v>
      </c>
      <c r="T19" s="409">
        <f t="shared" si="2"/>
        <v>310</v>
      </c>
      <c r="U19" s="412">
        <f t="shared" si="3"/>
        <v>1.5733822078105173</v>
      </c>
    </row>
    <row r="20" spans="1:21" x14ac:dyDescent="0.25">
      <c r="A20" s="341">
        <v>18</v>
      </c>
      <c r="B20" s="342" t="s">
        <v>345</v>
      </c>
      <c r="C20" s="342" t="s">
        <v>1248</v>
      </c>
      <c r="D20" s="342" t="s">
        <v>458</v>
      </c>
      <c r="E20" s="343">
        <v>2256.7999999999997</v>
      </c>
      <c r="F20" s="344">
        <f t="shared" si="0"/>
        <v>188.06666666666663</v>
      </c>
      <c r="G20" s="343">
        <f>IFERROR(VLOOKUP(B20,F_U!A:D,4,0),0)</f>
        <v>70</v>
      </c>
      <c r="H20" s="343"/>
      <c r="I20" s="343"/>
      <c r="J20" s="343"/>
      <c r="K20" s="343"/>
      <c r="L20" s="343"/>
      <c r="M20" s="343"/>
      <c r="N20" s="343"/>
      <c r="O20" s="343"/>
      <c r="P20" s="343"/>
      <c r="Q20" s="343"/>
      <c r="R20" s="343"/>
      <c r="S20" s="343">
        <f t="shared" si="1"/>
        <v>70</v>
      </c>
      <c r="T20" s="409">
        <f t="shared" si="2"/>
        <v>70</v>
      </c>
      <c r="U20" s="412">
        <f t="shared" si="3"/>
        <v>0.37220843672456583</v>
      </c>
    </row>
    <row r="21" spans="1:21" x14ac:dyDescent="0.25">
      <c r="A21" s="341">
        <v>19</v>
      </c>
      <c r="B21" s="342" t="s">
        <v>186</v>
      </c>
      <c r="C21" s="342" t="s">
        <v>1248</v>
      </c>
      <c r="D21" s="342" t="s">
        <v>537</v>
      </c>
      <c r="E21" s="343">
        <v>2112.813333333333</v>
      </c>
      <c r="F21" s="344">
        <f t="shared" si="0"/>
        <v>176.06777777777776</v>
      </c>
      <c r="G21" s="343">
        <f>IFERROR(VLOOKUP(B21,F_U!A:D,4,0),0)</f>
        <v>0</v>
      </c>
      <c r="H21" s="343"/>
      <c r="I21" s="343"/>
      <c r="J21" s="343"/>
      <c r="K21" s="343"/>
      <c r="L21" s="343"/>
      <c r="M21" s="343"/>
      <c r="N21" s="343"/>
      <c r="O21" s="343"/>
      <c r="P21" s="343"/>
      <c r="Q21" s="343"/>
      <c r="R21" s="343"/>
      <c r="S21" s="343">
        <f t="shared" si="1"/>
        <v>0</v>
      </c>
      <c r="T21" s="409">
        <f t="shared" si="2"/>
        <v>0</v>
      </c>
      <c r="U21" s="412">
        <f t="shared" si="3"/>
        <v>0</v>
      </c>
    </row>
    <row r="22" spans="1:21" x14ac:dyDescent="0.25">
      <c r="A22" s="341">
        <v>20</v>
      </c>
      <c r="B22" s="342" t="s">
        <v>232</v>
      </c>
      <c r="C22" s="342" t="s">
        <v>1248</v>
      </c>
      <c r="D22" s="342" t="s">
        <v>457</v>
      </c>
      <c r="E22" s="343">
        <v>2098.6666666666665</v>
      </c>
      <c r="F22" s="344">
        <f t="shared" si="0"/>
        <v>174.88888888888889</v>
      </c>
      <c r="G22" s="343">
        <f>IFERROR(VLOOKUP(B22,F_U!A:D,4,0),0)</f>
        <v>200</v>
      </c>
      <c r="H22" s="343"/>
      <c r="I22" s="343"/>
      <c r="J22" s="343"/>
      <c r="K22" s="343"/>
      <c r="L22" s="343"/>
      <c r="M22" s="343"/>
      <c r="N22" s="343"/>
      <c r="O22" s="343"/>
      <c r="P22" s="343"/>
      <c r="Q22" s="343"/>
      <c r="R22" s="343"/>
      <c r="S22" s="343">
        <f t="shared" si="1"/>
        <v>200</v>
      </c>
      <c r="T22" s="409">
        <f t="shared" si="2"/>
        <v>200</v>
      </c>
      <c r="U22" s="412">
        <f t="shared" si="3"/>
        <v>1.1435832274459974</v>
      </c>
    </row>
    <row r="23" spans="1:21" x14ac:dyDescent="0.25">
      <c r="A23" s="341">
        <v>21</v>
      </c>
      <c r="B23" s="342" t="s">
        <v>375</v>
      </c>
      <c r="C23" s="342" t="s">
        <v>1248</v>
      </c>
      <c r="D23" s="342" t="s">
        <v>458</v>
      </c>
      <c r="E23" s="343">
        <v>2054.6666666666665</v>
      </c>
      <c r="F23" s="344">
        <f t="shared" si="0"/>
        <v>171.2222222222222</v>
      </c>
      <c r="G23" s="343">
        <f>IFERROR(VLOOKUP(B23,F_U!A:D,4,0),0)</f>
        <v>200</v>
      </c>
      <c r="H23" s="343"/>
      <c r="I23" s="343"/>
      <c r="J23" s="343"/>
      <c r="K23" s="343"/>
      <c r="L23" s="343"/>
      <c r="M23" s="343"/>
      <c r="N23" s="343"/>
      <c r="O23" s="343"/>
      <c r="P23" s="343"/>
      <c r="Q23" s="343"/>
      <c r="R23" s="343"/>
      <c r="S23" s="343">
        <f t="shared" si="1"/>
        <v>200</v>
      </c>
      <c r="T23" s="409">
        <f t="shared" si="2"/>
        <v>200</v>
      </c>
      <c r="U23" s="412">
        <f t="shared" si="3"/>
        <v>1.1680726800778716</v>
      </c>
    </row>
    <row r="24" spans="1:21" x14ac:dyDescent="0.25">
      <c r="A24" s="341">
        <v>22</v>
      </c>
      <c r="B24" s="342" t="s">
        <v>310</v>
      </c>
      <c r="C24" s="342" t="s">
        <v>1248</v>
      </c>
      <c r="D24" s="342" t="s">
        <v>465</v>
      </c>
      <c r="E24" s="343">
        <v>2042.05</v>
      </c>
      <c r="F24" s="344">
        <f t="shared" si="0"/>
        <v>170.17083333333332</v>
      </c>
      <c r="G24" s="343">
        <f>IFERROR(VLOOKUP(B24,F_U!A:D,4,0),0)</f>
        <v>350</v>
      </c>
      <c r="H24" s="343"/>
      <c r="I24" s="343"/>
      <c r="J24" s="343"/>
      <c r="K24" s="343"/>
      <c r="L24" s="343"/>
      <c r="M24" s="343"/>
      <c r="N24" s="343"/>
      <c r="O24" s="343"/>
      <c r="P24" s="343"/>
      <c r="Q24" s="343"/>
      <c r="R24" s="343"/>
      <c r="S24" s="343">
        <f t="shared" si="1"/>
        <v>350</v>
      </c>
      <c r="T24" s="409">
        <f t="shared" si="2"/>
        <v>350</v>
      </c>
      <c r="U24" s="412">
        <f t="shared" si="3"/>
        <v>2.0567566905805443</v>
      </c>
    </row>
    <row r="25" spans="1:21" x14ac:dyDescent="0.25">
      <c r="A25" s="341">
        <v>23</v>
      </c>
      <c r="B25" s="342" t="s">
        <v>411</v>
      </c>
      <c r="C25" s="342" t="s">
        <v>1248</v>
      </c>
      <c r="D25" s="342" t="s">
        <v>476</v>
      </c>
      <c r="E25" s="343">
        <v>1808.3333333333333</v>
      </c>
      <c r="F25" s="344">
        <f t="shared" si="0"/>
        <v>150.69444444444443</v>
      </c>
      <c r="G25" s="343">
        <f>IFERROR(VLOOKUP(B25,F_U!A:D,4,0),0)</f>
        <v>210</v>
      </c>
      <c r="H25" s="343"/>
      <c r="I25" s="343"/>
      <c r="J25" s="343"/>
      <c r="K25" s="343"/>
      <c r="L25" s="343"/>
      <c r="M25" s="343"/>
      <c r="N25" s="343"/>
      <c r="O25" s="343"/>
      <c r="P25" s="343"/>
      <c r="Q25" s="343"/>
      <c r="R25" s="343"/>
      <c r="S25" s="343">
        <f t="shared" si="1"/>
        <v>210</v>
      </c>
      <c r="T25" s="409">
        <f t="shared" si="2"/>
        <v>210</v>
      </c>
      <c r="U25" s="412">
        <f t="shared" si="3"/>
        <v>1.3935483870967744</v>
      </c>
    </row>
    <row r="26" spans="1:21" x14ac:dyDescent="0.25">
      <c r="A26" s="341">
        <v>24</v>
      </c>
      <c r="B26" s="342" t="s">
        <v>403</v>
      </c>
      <c r="C26" s="342" t="s">
        <v>1248</v>
      </c>
      <c r="D26" s="342" t="s">
        <v>457</v>
      </c>
      <c r="E26" s="343">
        <v>1541.8666666666668</v>
      </c>
      <c r="F26" s="344">
        <f t="shared" si="0"/>
        <v>128.48888888888891</v>
      </c>
      <c r="G26" s="343">
        <f>IFERROR(VLOOKUP(B26,F_U!A:D,4,0),0)</f>
        <v>130</v>
      </c>
      <c r="H26" s="343"/>
      <c r="I26" s="343"/>
      <c r="J26" s="343"/>
      <c r="K26" s="343"/>
      <c r="L26" s="343"/>
      <c r="M26" s="343"/>
      <c r="N26" s="343"/>
      <c r="O26" s="343"/>
      <c r="P26" s="343"/>
      <c r="Q26" s="343"/>
      <c r="R26" s="343"/>
      <c r="S26" s="343">
        <f t="shared" si="1"/>
        <v>130</v>
      </c>
      <c r="T26" s="409">
        <f t="shared" si="2"/>
        <v>130</v>
      </c>
      <c r="U26" s="412">
        <f t="shared" si="3"/>
        <v>1.0117606364579728</v>
      </c>
    </row>
    <row r="27" spans="1:21" x14ac:dyDescent="0.25">
      <c r="A27" s="341">
        <v>25</v>
      </c>
      <c r="B27" s="342" t="s">
        <v>175</v>
      </c>
      <c r="C27" s="342" t="s">
        <v>1248</v>
      </c>
      <c r="D27" s="342" t="s">
        <v>537</v>
      </c>
      <c r="E27" s="343">
        <v>1500.5066666666664</v>
      </c>
      <c r="F27" s="344">
        <f t="shared" si="0"/>
        <v>125.04222222222221</v>
      </c>
      <c r="G27" s="343">
        <f>IFERROR(VLOOKUP(B27,F_U!A:D,4,0),0)</f>
        <v>100</v>
      </c>
      <c r="H27" s="343"/>
      <c r="I27" s="343"/>
      <c r="J27" s="343"/>
      <c r="K27" s="343"/>
      <c r="L27" s="343"/>
      <c r="M27" s="343"/>
      <c r="N27" s="343"/>
      <c r="O27" s="343"/>
      <c r="P27" s="343"/>
      <c r="Q27" s="343"/>
      <c r="R27" s="343"/>
      <c r="S27" s="343">
        <f t="shared" si="1"/>
        <v>100</v>
      </c>
      <c r="T27" s="409">
        <f t="shared" si="2"/>
        <v>100</v>
      </c>
      <c r="U27" s="412">
        <f t="shared" si="3"/>
        <v>0.79972986902201937</v>
      </c>
    </row>
    <row r="28" spans="1:21" x14ac:dyDescent="0.25">
      <c r="A28" s="341">
        <v>26</v>
      </c>
      <c r="B28" s="342" t="s">
        <v>364</v>
      </c>
      <c r="C28" s="342" t="s">
        <v>1248</v>
      </c>
      <c r="D28" s="342" t="s">
        <v>457</v>
      </c>
      <c r="E28" s="343">
        <v>1498</v>
      </c>
      <c r="F28" s="344">
        <f t="shared" si="0"/>
        <v>124.83333333333333</v>
      </c>
      <c r="G28" s="343">
        <f>IFERROR(VLOOKUP(B28,F_U!A:D,4,0),0)</f>
        <v>100</v>
      </c>
      <c r="H28" s="343"/>
      <c r="I28" s="343"/>
      <c r="J28" s="343"/>
      <c r="K28" s="343"/>
      <c r="L28" s="343"/>
      <c r="M28" s="343"/>
      <c r="N28" s="343"/>
      <c r="O28" s="343"/>
      <c r="P28" s="343"/>
      <c r="Q28" s="343"/>
      <c r="R28" s="343"/>
      <c r="S28" s="343">
        <f t="shared" si="1"/>
        <v>100</v>
      </c>
      <c r="T28" s="409">
        <f t="shared" si="2"/>
        <v>100</v>
      </c>
      <c r="U28" s="412">
        <f t="shared" si="3"/>
        <v>0.80106809078771701</v>
      </c>
    </row>
    <row r="29" spans="1:21" x14ac:dyDescent="0.25">
      <c r="A29" s="341">
        <v>27</v>
      </c>
      <c r="B29" s="342" t="s">
        <v>365</v>
      </c>
      <c r="C29" s="342" t="s">
        <v>1248</v>
      </c>
      <c r="D29" s="342" t="s">
        <v>457</v>
      </c>
      <c r="E29" s="343">
        <v>1486.8266666666666</v>
      </c>
      <c r="F29" s="344">
        <f t="shared" si="0"/>
        <v>123.90222222222222</v>
      </c>
      <c r="G29" s="343">
        <f>IFERROR(VLOOKUP(B29,F_U!A:D,4,0),0)</f>
        <v>50</v>
      </c>
      <c r="H29" s="343"/>
      <c r="I29" s="343"/>
      <c r="J29" s="343"/>
      <c r="K29" s="343"/>
      <c r="L29" s="343"/>
      <c r="M29" s="343"/>
      <c r="N29" s="343"/>
      <c r="O29" s="343"/>
      <c r="P29" s="343"/>
      <c r="Q29" s="343"/>
      <c r="R29" s="343"/>
      <c r="S29" s="343">
        <f t="shared" si="1"/>
        <v>50</v>
      </c>
      <c r="T29" s="409">
        <f t="shared" si="2"/>
        <v>50</v>
      </c>
      <c r="U29" s="412">
        <f t="shared" si="3"/>
        <v>0.40354401320037303</v>
      </c>
    </row>
    <row r="30" spans="1:21" x14ac:dyDescent="0.25">
      <c r="A30" s="341">
        <v>28</v>
      </c>
      <c r="B30" s="342" t="s">
        <v>305</v>
      </c>
      <c r="C30" s="342" t="s">
        <v>1248</v>
      </c>
      <c r="D30" s="342" t="s">
        <v>458</v>
      </c>
      <c r="E30" s="343">
        <v>1291.3333333333333</v>
      </c>
      <c r="F30" s="344">
        <f t="shared" si="0"/>
        <v>107.6111111111111</v>
      </c>
      <c r="G30" s="343">
        <f>IFERROR(VLOOKUP(B30,F_U!A:D,4,0),0)</f>
        <v>200</v>
      </c>
      <c r="H30" s="343"/>
      <c r="I30" s="343"/>
      <c r="J30" s="343"/>
      <c r="K30" s="343"/>
      <c r="L30" s="343"/>
      <c r="M30" s="343"/>
      <c r="N30" s="343"/>
      <c r="O30" s="343"/>
      <c r="P30" s="343"/>
      <c r="Q30" s="343"/>
      <c r="R30" s="343"/>
      <c r="S30" s="343">
        <f t="shared" si="1"/>
        <v>200</v>
      </c>
      <c r="T30" s="409">
        <f t="shared" si="2"/>
        <v>200</v>
      </c>
      <c r="U30" s="412">
        <f t="shared" si="3"/>
        <v>1.8585441404233352</v>
      </c>
    </row>
    <row r="31" spans="1:21" x14ac:dyDescent="0.25">
      <c r="A31" s="341">
        <v>29</v>
      </c>
      <c r="B31" s="342" t="s">
        <v>312</v>
      </c>
      <c r="C31" s="342" t="s">
        <v>1248</v>
      </c>
      <c r="D31" s="342" t="s">
        <v>465</v>
      </c>
      <c r="E31" s="343">
        <v>1261.8666666666666</v>
      </c>
      <c r="F31" s="344">
        <f t="shared" si="0"/>
        <v>105.15555555555555</v>
      </c>
      <c r="G31" s="343">
        <f>IFERROR(VLOOKUP(B31,F_U!A:D,4,0),0)</f>
        <v>100</v>
      </c>
      <c r="H31" s="343"/>
      <c r="I31" s="343"/>
      <c r="J31" s="343"/>
      <c r="K31" s="343"/>
      <c r="L31" s="343"/>
      <c r="M31" s="343"/>
      <c r="N31" s="343"/>
      <c r="O31" s="343"/>
      <c r="P31" s="343"/>
      <c r="Q31" s="343"/>
      <c r="R31" s="343"/>
      <c r="S31" s="343">
        <f t="shared" si="1"/>
        <v>100</v>
      </c>
      <c r="T31" s="409">
        <f t="shared" si="2"/>
        <v>100</v>
      </c>
      <c r="U31" s="412">
        <f t="shared" si="3"/>
        <v>0.95097210481825867</v>
      </c>
    </row>
    <row r="32" spans="1:21" x14ac:dyDescent="0.25">
      <c r="A32" s="341">
        <v>30</v>
      </c>
      <c r="B32" s="342" t="s">
        <v>356</v>
      </c>
      <c r="C32" s="342" t="s">
        <v>1248</v>
      </c>
      <c r="D32" s="342" t="s">
        <v>459</v>
      </c>
      <c r="E32" s="343">
        <v>1234</v>
      </c>
      <c r="F32" s="344">
        <f t="shared" si="0"/>
        <v>102.83333333333333</v>
      </c>
      <c r="G32" s="343">
        <f>IFERROR(VLOOKUP(B32,F_U!A:D,4,0),0)</f>
        <v>100</v>
      </c>
      <c r="H32" s="343"/>
      <c r="I32" s="343"/>
      <c r="J32" s="343"/>
      <c r="K32" s="343"/>
      <c r="L32" s="343"/>
      <c r="M32" s="343"/>
      <c r="N32" s="343"/>
      <c r="O32" s="343"/>
      <c r="P32" s="343"/>
      <c r="Q32" s="343"/>
      <c r="R32" s="343"/>
      <c r="S32" s="343">
        <f t="shared" si="1"/>
        <v>100</v>
      </c>
      <c r="T32" s="409">
        <f t="shared" si="2"/>
        <v>100</v>
      </c>
      <c r="U32" s="412">
        <f t="shared" si="3"/>
        <v>0.97244732576985415</v>
      </c>
    </row>
    <row r="33" spans="1:21" x14ac:dyDescent="0.25">
      <c r="A33" s="341">
        <v>31</v>
      </c>
      <c r="B33" s="342" t="s">
        <v>923</v>
      </c>
      <c r="C33" s="342" t="s">
        <v>1248</v>
      </c>
      <c r="D33" s="342" t="s">
        <v>465</v>
      </c>
      <c r="E33" s="343">
        <v>1200</v>
      </c>
      <c r="F33" s="344">
        <f t="shared" si="0"/>
        <v>100</v>
      </c>
      <c r="G33" s="343">
        <f>IFERROR(VLOOKUP(B33,F_U!A:D,4,0),0)</f>
        <v>100</v>
      </c>
      <c r="H33" s="343"/>
      <c r="I33" s="343"/>
      <c r="J33" s="343"/>
      <c r="K33" s="343"/>
      <c r="L33" s="343"/>
      <c r="M33" s="343"/>
      <c r="N33" s="343"/>
      <c r="O33" s="343"/>
      <c r="P33" s="343"/>
      <c r="Q33" s="343"/>
      <c r="R33" s="343"/>
      <c r="S33" s="343">
        <f t="shared" si="1"/>
        <v>100</v>
      </c>
      <c r="T33" s="409">
        <f t="shared" si="2"/>
        <v>100</v>
      </c>
      <c r="U33" s="412">
        <f t="shared" si="3"/>
        <v>1</v>
      </c>
    </row>
    <row r="34" spans="1:21" x14ac:dyDescent="0.25">
      <c r="A34" s="341">
        <v>32</v>
      </c>
      <c r="B34" s="342" t="s">
        <v>203</v>
      </c>
      <c r="C34" s="342" t="s">
        <v>1248</v>
      </c>
      <c r="D34" s="342" t="s">
        <v>458</v>
      </c>
      <c r="E34" s="343">
        <v>1194.6666666666667</v>
      </c>
      <c r="F34" s="344">
        <f t="shared" si="0"/>
        <v>99.555555555555557</v>
      </c>
      <c r="G34" s="343">
        <f>IFERROR(VLOOKUP(B34,F_U!A:D,4,0),0)</f>
        <v>204</v>
      </c>
      <c r="H34" s="343"/>
      <c r="I34" s="343"/>
      <c r="J34" s="343"/>
      <c r="K34" s="343"/>
      <c r="L34" s="343"/>
      <c r="M34" s="343"/>
      <c r="N34" s="343"/>
      <c r="O34" s="343"/>
      <c r="P34" s="343"/>
      <c r="Q34" s="343"/>
      <c r="R34" s="343"/>
      <c r="S34" s="343">
        <f t="shared" si="1"/>
        <v>204</v>
      </c>
      <c r="T34" s="409">
        <f t="shared" si="2"/>
        <v>204</v>
      </c>
      <c r="U34" s="412">
        <f t="shared" si="3"/>
        <v>2.0491071428571428</v>
      </c>
    </row>
    <row r="35" spans="1:21" x14ac:dyDescent="0.25">
      <c r="A35" s="341">
        <v>33</v>
      </c>
      <c r="B35" s="342" t="s">
        <v>296</v>
      </c>
      <c r="C35" s="342" t="s">
        <v>1248</v>
      </c>
      <c r="D35" s="342" t="s">
        <v>454</v>
      </c>
      <c r="E35" s="343">
        <v>1187.3066666666666</v>
      </c>
      <c r="F35" s="344">
        <f t="shared" si="0"/>
        <v>98.942222222222213</v>
      </c>
      <c r="G35" s="343">
        <f>IFERROR(VLOOKUP(B35,F_U!A:D,4,0),0)</f>
        <v>110</v>
      </c>
      <c r="H35" s="343"/>
      <c r="I35" s="343"/>
      <c r="J35" s="343"/>
      <c r="K35" s="343"/>
      <c r="L35" s="343"/>
      <c r="M35" s="343"/>
      <c r="N35" s="343"/>
      <c r="O35" s="343"/>
      <c r="P35" s="343"/>
      <c r="Q35" s="343"/>
      <c r="R35" s="343"/>
      <c r="S35" s="343">
        <f t="shared" si="1"/>
        <v>110</v>
      </c>
      <c r="T35" s="409">
        <f t="shared" si="2"/>
        <v>110</v>
      </c>
      <c r="U35" s="412">
        <f t="shared" si="3"/>
        <v>1.111759949690055</v>
      </c>
    </row>
    <row r="36" spans="1:21" x14ac:dyDescent="0.25">
      <c r="A36" s="341">
        <v>34</v>
      </c>
      <c r="B36" s="342" t="s">
        <v>309</v>
      </c>
      <c r="C36" s="342" t="s">
        <v>1248</v>
      </c>
      <c r="D36" s="342" t="s">
        <v>465</v>
      </c>
      <c r="E36" s="343">
        <v>1176</v>
      </c>
      <c r="F36" s="344">
        <f t="shared" si="0"/>
        <v>98</v>
      </c>
      <c r="G36" s="343">
        <f>IFERROR(VLOOKUP(B36,F_U!A:D,4,0),0)</f>
        <v>149</v>
      </c>
      <c r="H36" s="343"/>
      <c r="I36" s="343"/>
      <c r="J36" s="343"/>
      <c r="K36" s="343"/>
      <c r="L36" s="343"/>
      <c r="M36" s="343"/>
      <c r="N36" s="343"/>
      <c r="O36" s="343"/>
      <c r="P36" s="343"/>
      <c r="Q36" s="343"/>
      <c r="R36" s="343"/>
      <c r="S36" s="343">
        <f t="shared" si="1"/>
        <v>149</v>
      </c>
      <c r="T36" s="409">
        <f t="shared" si="2"/>
        <v>149</v>
      </c>
      <c r="U36" s="412">
        <f t="shared" si="3"/>
        <v>1.5204081632653061</v>
      </c>
    </row>
    <row r="37" spans="1:21" x14ac:dyDescent="0.25">
      <c r="A37" s="341">
        <v>35</v>
      </c>
      <c r="B37" s="342" t="s">
        <v>77</v>
      </c>
      <c r="C37" s="342" t="s">
        <v>1248</v>
      </c>
      <c r="D37" s="342" t="s">
        <v>454</v>
      </c>
      <c r="E37" s="343">
        <v>1140.1666666666667</v>
      </c>
      <c r="F37" s="344">
        <f t="shared" si="0"/>
        <v>95.0138888888889</v>
      </c>
      <c r="G37" s="343">
        <f>IFERROR(VLOOKUP(B37,F_U!A:D,4,0),0)</f>
        <v>5.5</v>
      </c>
      <c r="H37" s="343"/>
      <c r="I37" s="343"/>
      <c r="J37" s="343"/>
      <c r="K37" s="343"/>
      <c r="L37" s="343"/>
      <c r="M37" s="343"/>
      <c r="N37" s="343"/>
      <c r="O37" s="343"/>
      <c r="P37" s="343"/>
      <c r="Q37" s="343"/>
      <c r="R37" s="343"/>
      <c r="S37" s="343">
        <f t="shared" si="1"/>
        <v>5.5</v>
      </c>
      <c r="T37" s="409">
        <f t="shared" si="2"/>
        <v>5.5</v>
      </c>
      <c r="U37" s="412">
        <f t="shared" si="3"/>
        <v>5.7886273936558978E-2</v>
      </c>
    </row>
    <row r="38" spans="1:21" x14ac:dyDescent="0.25">
      <c r="A38" s="341">
        <v>36</v>
      </c>
      <c r="B38" s="342" t="s">
        <v>75</v>
      </c>
      <c r="C38" s="342" t="s">
        <v>1248</v>
      </c>
      <c r="D38" s="342" t="s">
        <v>457</v>
      </c>
      <c r="E38" s="343">
        <v>1055.4666666666667</v>
      </c>
      <c r="F38" s="344">
        <f t="shared" si="0"/>
        <v>87.955555555555563</v>
      </c>
      <c r="G38" s="343">
        <f>IFERROR(VLOOKUP(B38,F_U!A:D,4,0),0)</f>
        <v>50</v>
      </c>
      <c r="H38" s="343"/>
      <c r="I38" s="343"/>
      <c r="J38" s="343"/>
      <c r="K38" s="343"/>
      <c r="L38" s="343"/>
      <c r="M38" s="343"/>
      <c r="N38" s="343"/>
      <c r="O38" s="343"/>
      <c r="P38" s="343"/>
      <c r="Q38" s="343"/>
      <c r="R38" s="343"/>
      <c r="S38" s="343">
        <f t="shared" si="1"/>
        <v>50</v>
      </c>
      <c r="T38" s="409">
        <f t="shared" si="2"/>
        <v>50</v>
      </c>
      <c r="U38" s="412">
        <f t="shared" si="3"/>
        <v>0.56846892369883772</v>
      </c>
    </row>
    <row r="39" spans="1:21" x14ac:dyDescent="0.25">
      <c r="A39" s="341">
        <v>37</v>
      </c>
      <c r="B39" s="342" t="s">
        <v>185</v>
      </c>
      <c r="C39" s="342" t="s">
        <v>1248</v>
      </c>
      <c r="D39" s="342" t="s">
        <v>476</v>
      </c>
      <c r="E39" s="343">
        <v>970.66666666666663</v>
      </c>
      <c r="F39" s="344">
        <f t="shared" si="0"/>
        <v>80.888888888888886</v>
      </c>
      <c r="G39" s="343">
        <f>IFERROR(VLOOKUP(B39,F_U!A:D,4,0),0)</f>
        <v>0</v>
      </c>
      <c r="H39" s="343"/>
      <c r="I39" s="343"/>
      <c r="J39" s="343"/>
      <c r="K39" s="343"/>
      <c r="L39" s="343"/>
      <c r="M39" s="343"/>
      <c r="N39" s="343"/>
      <c r="O39" s="343"/>
      <c r="P39" s="343"/>
      <c r="Q39" s="343"/>
      <c r="R39" s="343"/>
      <c r="S39" s="343">
        <f t="shared" si="1"/>
        <v>0</v>
      </c>
      <c r="T39" s="409">
        <f t="shared" si="2"/>
        <v>0</v>
      </c>
      <c r="U39" s="412">
        <f t="shared" si="3"/>
        <v>0</v>
      </c>
    </row>
    <row r="40" spans="1:21" x14ac:dyDescent="0.25">
      <c r="A40" s="341">
        <v>38</v>
      </c>
      <c r="B40" s="342" t="s">
        <v>76</v>
      </c>
      <c r="C40" s="342" t="s">
        <v>1248</v>
      </c>
      <c r="D40" s="342" t="s">
        <v>465</v>
      </c>
      <c r="E40" s="343">
        <v>952</v>
      </c>
      <c r="F40" s="344">
        <f t="shared" si="0"/>
        <v>79.333333333333329</v>
      </c>
      <c r="G40" s="343">
        <f>IFERROR(VLOOKUP(B40,F_U!A:D,4,0),0)</f>
        <v>100</v>
      </c>
      <c r="H40" s="343"/>
      <c r="I40" s="343"/>
      <c r="J40" s="343"/>
      <c r="K40" s="343"/>
      <c r="L40" s="343"/>
      <c r="M40" s="343"/>
      <c r="N40" s="343"/>
      <c r="O40" s="343"/>
      <c r="P40" s="343"/>
      <c r="Q40" s="343"/>
      <c r="R40" s="343"/>
      <c r="S40" s="343">
        <f t="shared" si="1"/>
        <v>100</v>
      </c>
      <c r="T40" s="409">
        <f t="shared" si="2"/>
        <v>100</v>
      </c>
      <c r="U40" s="412">
        <f t="shared" si="3"/>
        <v>1.2605042016806725</v>
      </c>
    </row>
    <row r="41" spans="1:21" x14ac:dyDescent="0.25">
      <c r="F41" s="416">
        <f>SUM(F3:F40)</f>
        <v>17231.305500000002</v>
      </c>
      <c r="G41" s="410">
        <f>SUM(G3:G40)</f>
        <v>18796.5</v>
      </c>
      <c r="H41" s="410">
        <f t="shared" ref="H41:S41" si="4">SUM(H3:H40)</f>
        <v>0</v>
      </c>
      <c r="I41" s="410">
        <f t="shared" si="4"/>
        <v>0</v>
      </c>
      <c r="J41" s="410">
        <f t="shared" si="4"/>
        <v>0</v>
      </c>
      <c r="K41" s="410">
        <f t="shared" si="4"/>
        <v>0</v>
      </c>
      <c r="L41" s="410">
        <f t="shared" si="4"/>
        <v>0</v>
      </c>
      <c r="M41" s="410">
        <f t="shared" si="4"/>
        <v>0</v>
      </c>
      <c r="N41" s="410">
        <f t="shared" si="4"/>
        <v>0</v>
      </c>
      <c r="O41" s="410">
        <f t="shared" si="4"/>
        <v>0</v>
      </c>
      <c r="P41" s="410">
        <f t="shared" si="4"/>
        <v>0</v>
      </c>
      <c r="Q41" s="410">
        <f t="shared" si="4"/>
        <v>0</v>
      </c>
      <c r="R41" s="410">
        <f t="shared" si="4"/>
        <v>0</v>
      </c>
      <c r="S41" s="410">
        <f t="shared" si="4"/>
        <v>18796.5</v>
      </c>
      <c r="T41" s="411">
        <f>SUM(T3:T40)</f>
        <v>18796.5</v>
      </c>
      <c r="U41" s="347">
        <f t="shared" si="3"/>
        <v>1.0908343537870648</v>
      </c>
    </row>
  </sheetData>
  <sortState xmlns:xlrd2="http://schemas.microsoft.com/office/spreadsheetml/2017/richdata2" ref="A3:F40">
    <sortCondition descending="1" ref="F2:F40"/>
  </sortState>
  <mergeCells count="1">
    <mergeCell ref="G1:T1"/>
  </mergeCells>
  <phoneticPr fontId="14" type="noConversion"/>
  <conditionalFormatting sqref="U3:U40">
    <cfRule type="cellIs" dxfId="64" priority="1" operator="greaterThan">
      <formula>0.995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5345-CEC4-6A46-8035-71170F04CCF0}">
  <dimension ref="A1:V13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8" sqref="B8"/>
    </sheetView>
  </sheetViews>
  <sheetFormatPr defaultColWidth="10.85546875" defaultRowHeight="15.75" outlineLevelRow="1" outlineLevelCol="1" x14ac:dyDescent="0.25"/>
  <cols>
    <col min="1" max="1" width="7.140625" style="359" bestFit="1" customWidth="1"/>
    <col min="2" max="2" width="28.140625" style="360" bestFit="1" customWidth="1"/>
    <col min="3" max="3" width="14.28515625" style="360" bestFit="1" customWidth="1"/>
    <col min="4" max="4" width="16.85546875" style="360" bestFit="1" customWidth="1"/>
    <col min="5" max="16" width="10.85546875" style="361" customWidth="1" outlineLevel="1"/>
    <col min="17" max="18" width="10.85546875" style="363"/>
    <col min="19" max="19" width="15" style="364" customWidth="1"/>
    <col min="20" max="20" width="15" style="365" customWidth="1"/>
    <col min="21" max="21" width="10.85546875" style="361"/>
    <col min="22" max="22" width="10.85546875" style="376"/>
    <col min="23" max="16384" width="10.85546875" style="366"/>
  </cols>
  <sheetData>
    <row r="1" spans="1:22" s="336" customFormat="1" ht="18.75" x14ac:dyDescent="0.3">
      <c r="A1" s="330"/>
      <c r="B1" s="331" t="s">
        <v>1030</v>
      </c>
      <c r="C1" s="332"/>
      <c r="D1" s="332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4"/>
      <c r="T1" s="335"/>
      <c r="U1" s="504" t="s">
        <v>1057</v>
      </c>
      <c r="V1" s="504"/>
    </row>
    <row r="2" spans="1:22" s="336" customFormat="1" ht="18.75" x14ac:dyDescent="0.3">
      <c r="A2" s="330"/>
      <c r="B2" s="331"/>
      <c r="C2" s="332"/>
      <c r="D2" s="332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4"/>
      <c r="T2" s="335"/>
      <c r="U2" s="368">
        <v>350249</v>
      </c>
      <c r="V2" s="377">
        <v>261295</v>
      </c>
    </row>
    <row r="3" spans="1:22" s="340" customFormat="1" ht="56.25" x14ac:dyDescent="0.25">
      <c r="A3" s="337" t="s">
        <v>965</v>
      </c>
      <c r="B3" s="337" t="s">
        <v>966</v>
      </c>
      <c r="C3" s="337" t="s">
        <v>967</v>
      </c>
      <c r="D3" s="337" t="s">
        <v>1031</v>
      </c>
      <c r="E3" s="338" t="s">
        <v>1024</v>
      </c>
      <c r="F3" s="338" t="s">
        <v>1032</v>
      </c>
      <c r="G3" s="338" t="s">
        <v>1033</v>
      </c>
      <c r="H3" s="338" t="s">
        <v>1034</v>
      </c>
      <c r="I3" s="338" t="s">
        <v>1035</v>
      </c>
      <c r="J3" s="338" t="s">
        <v>1036</v>
      </c>
      <c r="K3" s="338" t="s">
        <v>1037</v>
      </c>
      <c r="L3" s="338" t="s">
        <v>1038</v>
      </c>
      <c r="M3" s="338" t="s">
        <v>1039</v>
      </c>
      <c r="N3" s="338" t="s">
        <v>1040</v>
      </c>
      <c r="O3" s="338" t="s">
        <v>1041</v>
      </c>
      <c r="P3" s="338" t="s">
        <v>1042</v>
      </c>
      <c r="Q3" s="338" t="s">
        <v>1043</v>
      </c>
      <c r="R3" s="338" t="s">
        <v>1044</v>
      </c>
      <c r="S3" s="339" t="s">
        <v>1045</v>
      </c>
      <c r="T3" s="367" t="s">
        <v>1045</v>
      </c>
      <c r="U3" s="338" t="s">
        <v>32</v>
      </c>
      <c r="V3" s="369" t="s">
        <v>468</v>
      </c>
    </row>
    <row r="4" spans="1:22" s="347" customFormat="1" outlineLevel="1" x14ac:dyDescent="0.25">
      <c r="A4" s="341">
        <v>1</v>
      </c>
      <c r="B4" s="342" t="s">
        <v>391</v>
      </c>
      <c r="C4" s="342" t="s">
        <v>975</v>
      </c>
      <c r="D4" s="342" t="s">
        <v>152</v>
      </c>
      <c r="E4" s="343">
        <v>59392</v>
      </c>
      <c r="F4" s="343">
        <v>62460.799999999996</v>
      </c>
      <c r="G4" s="343">
        <v>64698.879999999997</v>
      </c>
      <c r="H4" s="343">
        <v>44855.68</v>
      </c>
      <c r="I4" s="343">
        <v>69524.640000000014</v>
      </c>
      <c r="J4" s="343">
        <v>70776.592000000004</v>
      </c>
      <c r="K4" s="343">
        <v>63118.400000000001</v>
      </c>
      <c r="L4" s="343">
        <v>58536.800000000003</v>
      </c>
      <c r="M4" s="343">
        <v>65730.559999999998</v>
      </c>
      <c r="N4" s="343">
        <v>66326.399999999994</v>
      </c>
      <c r="O4" s="343">
        <v>57672</v>
      </c>
      <c r="P4" s="343">
        <v>67897.600000000006</v>
      </c>
      <c r="Q4" s="344">
        <f t="shared" ref="Q4:Q17" si="0">SUM(E4:P4)</f>
        <v>750990.35199999996</v>
      </c>
      <c r="R4" s="344">
        <f t="shared" ref="R4:R17" si="1">IFERROR(AVERAGE(E4:P4),0)</f>
        <v>62582.529333333332</v>
      </c>
      <c r="S4" s="345">
        <f>R4/$R$18%</f>
        <v>37.131124974929492</v>
      </c>
      <c r="T4" s="346">
        <f t="shared" ref="T4:T17" si="2">R4/$R$134%</f>
        <v>27.749354289725737</v>
      </c>
      <c r="U4" s="370"/>
      <c r="V4" s="371"/>
    </row>
    <row r="5" spans="1:22" s="347" customFormat="1" outlineLevel="1" x14ac:dyDescent="0.25">
      <c r="A5" s="341">
        <v>2</v>
      </c>
      <c r="B5" s="342" t="s">
        <v>396</v>
      </c>
      <c r="C5" s="342" t="s">
        <v>975</v>
      </c>
      <c r="D5" s="342" t="s">
        <v>152</v>
      </c>
      <c r="E5" s="343">
        <v>29008</v>
      </c>
      <c r="F5" s="343">
        <v>29600</v>
      </c>
      <c r="G5" s="343">
        <v>29600</v>
      </c>
      <c r="H5" s="343">
        <v>32272</v>
      </c>
      <c r="I5" s="343">
        <v>32592</v>
      </c>
      <c r="J5" s="343">
        <v>30200</v>
      </c>
      <c r="K5" s="343">
        <v>30512</v>
      </c>
      <c r="L5" s="343">
        <v>20640</v>
      </c>
      <c r="M5" s="343">
        <v>22736</v>
      </c>
      <c r="N5" s="343">
        <v>29008</v>
      </c>
      <c r="O5" s="343">
        <v>31120</v>
      </c>
      <c r="P5" s="343">
        <v>27536</v>
      </c>
      <c r="Q5" s="344">
        <f t="shared" si="0"/>
        <v>344824</v>
      </c>
      <c r="R5" s="344">
        <f t="shared" si="1"/>
        <v>28735.333333333332</v>
      </c>
      <c r="S5" s="345">
        <f t="shared" ref="S5:S17" si="3">R5/$R$18%</f>
        <v>17.049091248984627</v>
      </c>
      <c r="T5" s="346">
        <f t="shared" si="2"/>
        <v>12.741366541018342</v>
      </c>
      <c r="U5" s="370"/>
      <c r="V5" s="371"/>
    </row>
    <row r="6" spans="1:22" s="347" customFormat="1" outlineLevel="1" x14ac:dyDescent="0.25">
      <c r="A6" s="341">
        <v>3</v>
      </c>
      <c r="B6" s="342" t="s">
        <v>324</v>
      </c>
      <c r="C6" s="342" t="s">
        <v>147</v>
      </c>
      <c r="D6" s="342" t="s">
        <v>152</v>
      </c>
      <c r="E6" s="343">
        <v>15720</v>
      </c>
      <c r="F6" s="343">
        <v>20664</v>
      </c>
      <c r="G6" s="343">
        <v>19304</v>
      </c>
      <c r="H6" s="343">
        <v>12092.8</v>
      </c>
      <c r="I6" s="343">
        <v>27569.280000000002</v>
      </c>
      <c r="J6" s="343">
        <v>16789.919999999998</v>
      </c>
      <c r="K6" s="343">
        <v>15872</v>
      </c>
      <c r="L6" s="343">
        <v>20484</v>
      </c>
      <c r="M6" s="343">
        <v>18424</v>
      </c>
      <c r="N6" s="343">
        <v>20816</v>
      </c>
      <c r="O6" s="343">
        <v>15872</v>
      </c>
      <c r="P6" s="343">
        <v>14376</v>
      </c>
      <c r="Q6" s="344">
        <f t="shared" si="0"/>
        <v>217984</v>
      </c>
      <c r="R6" s="344">
        <f t="shared" si="1"/>
        <v>18165.333333333332</v>
      </c>
      <c r="S6" s="345">
        <f t="shared" si="3"/>
        <v>10.777756498441713</v>
      </c>
      <c r="T6" s="346">
        <f t="shared" si="2"/>
        <v>8.054584495503045</v>
      </c>
      <c r="U6" s="370"/>
      <c r="V6" s="371"/>
    </row>
    <row r="7" spans="1:22" s="347" customFormat="1" outlineLevel="1" x14ac:dyDescent="0.25">
      <c r="A7" s="341">
        <v>4</v>
      </c>
      <c r="B7" s="342" t="s">
        <v>326</v>
      </c>
      <c r="C7" s="342" t="s">
        <v>147</v>
      </c>
      <c r="D7" s="342" t="s">
        <v>152</v>
      </c>
      <c r="E7" s="343">
        <v>7526.4000000000005</v>
      </c>
      <c r="F7" s="343">
        <v>7408.64</v>
      </c>
      <c r="G7" s="343">
        <v>8897.2800000000007</v>
      </c>
      <c r="H7" s="343">
        <v>7790.08</v>
      </c>
      <c r="I7" s="343">
        <v>7603.2000000000007</v>
      </c>
      <c r="J7" s="343">
        <v>7494.4000000000005</v>
      </c>
      <c r="K7" s="343">
        <v>7841.2800000000007</v>
      </c>
      <c r="L7" s="343">
        <v>7462.3999999999987</v>
      </c>
      <c r="M7" s="343">
        <v>6668.8</v>
      </c>
      <c r="N7" s="343">
        <v>7193.5999999999995</v>
      </c>
      <c r="O7" s="343">
        <v>8166.4000000000005</v>
      </c>
      <c r="P7" s="343">
        <v>6912</v>
      </c>
      <c r="Q7" s="344">
        <f t="shared" si="0"/>
        <v>90964.48000000001</v>
      </c>
      <c r="R7" s="344">
        <f t="shared" si="1"/>
        <v>7580.3733333333339</v>
      </c>
      <c r="S7" s="345">
        <f t="shared" si="3"/>
        <v>4.4975457622915966</v>
      </c>
      <c r="T7" s="346">
        <f t="shared" si="2"/>
        <v>3.3611691236489696</v>
      </c>
      <c r="U7" s="370"/>
      <c r="V7" s="371"/>
    </row>
    <row r="8" spans="1:22" s="347" customFormat="1" outlineLevel="1" x14ac:dyDescent="0.25">
      <c r="A8" s="341">
        <v>5</v>
      </c>
      <c r="B8" s="342" t="s">
        <v>399</v>
      </c>
      <c r="C8" s="342" t="s">
        <v>975</v>
      </c>
      <c r="D8" s="342" t="s">
        <v>152</v>
      </c>
      <c r="E8" s="343">
        <v>5984</v>
      </c>
      <c r="F8" s="343">
        <v>5088</v>
      </c>
      <c r="G8" s="343">
        <v>8672</v>
      </c>
      <c r="H8" s="343">
        <v>3296</v>
      </c>
      <c r="I8" s="343">
        <v>4784</v>
      </c>
      <c r="J8" s="343">
        <v>6288</v>
      </c>
      <c r="K8" s="343">
        <v>3584</v>
      </c>
      <c r="L8" s="343">
        <v>3888</v>
      </c>
      <c r="M8" s="343">
        <v>6288</v>
      </c>
      <c r="N8" s="343">
        <v>6880</v>
      </c>
      <c r="O8" s="343">
        <v>2992</v>
      </c>
      <c r="P8" s="343">
        <v>5984</v>
      </c>
      <c r="Q8" s="344">
        <f t="shared" si="0"/>
        <v>63728</v>
      </c>
      <c r="R8" s="344">
        <f t="shared" si="1"/>
        <v>5310.666666666667</v>
      </c>
      <c r="S8" s="345">
        <f t="shared" si="3"/>
        <v>3.1508957819504806</v>
      </c>
      <c r="T8" s="346">
        <f t="shared" si="2"/>
        <v>2.3547717297114383</v>
      </c>
      <c r="U8" s="370"/>
      <c r="V8" s="371"/>
    </row>
    <row r="9" spans="1:22" s="347" customFormat="1" outlineLevel="1" x14ac:dyDescent="0.25">
      <c r="A9" s="341">
        <v>6</v>
      </c>
      <c r="B9" s="342" t="s">
        <v>443</v>
      </c>
      <c r="C9" s="342" t="s">
        <v>147</v>
      </c>
      <c r="D9" s="342" t="s">
        <v>152</v>
      </c>
      <c r="E9" s="343">
        <v>8356.7999999999993</v>
      </c>
      <c r="F9" s="343">
        <v>5478.4000000000005</v>
      </c>
      <c r="G9" s="343">
        <v>7001.6</v>
      </c>
      <c r="H9" s="343">
        <v>5568</v>
      </c>
      <c r="I9" s="343">
        <v>7328.4</v>
      </c>
      <c r="J9" s="343">
        <v>9297.6</v>
      </c>
      <c r="K9" s="343">
        <v>5184</v>
      </c>
      <c r="L9" s="343">
        <v>4800</v>
      </c>
      <c r="M9" s="343">
        <v>6668.8</v>
      </c>
      <c r="N9" s="343">
        <v>5906.56</v>
      </c>
      <c r="O9" s="343">
        <v>4976</v>
      </c>
      <c r="P9" s="343">
        <v>7385.6</v>
      </c>
      <c r="Q9" s="344">
        <f t="shared" si="0"/>
        <v>77951.760000000009</v>
      </c>
      <c r="R9" s="344">
        <f t="shared" si="1"/>
        <v>6495.9800000000005</v>
      </c>
      <c r="S9" s="345">
        <f t="shared" si="3"/>
        <v>3.8541594241089663</v>
      </c>
      <c r="T9" s="346">
        <f t="shared" si="2"/>
        <v>2.8803446009485767</v>
      </c>
      <c r="U9" s="370"/>
      <c r="V9" s="371"/>
    </row>
    <row r="10" spans="1:22" s="347" customFormat="1" outlineLevel="1" x14ac:dyDescent="0.25">
      <c r="A10" s="341">
        <v>7</v>
      </c>
      <c r="B10" s="342" t="s">
        <v>323</v>
      </c>
      <c r="C10" s="342" t="s">
        <v>975</v>
      </c>
      <c r="D10" s="342" t="s">
        <v>152</v>
      </c>
      <c r="E10" s="343">
        <v>3592</v>
      </c>
      <c r="F10" s="343">
        <v>3580</v>
      </c>
      <c r="G10" s="343">
        <v>5975.2</v>
      </c>
      <c r="H10" s="343">
        <v>5536</v>
      </c>
      <c r="I10" s="343">
        <v>3592</v>
      </c>
      <c r="J10" s="343">
        <v>5240</v>
      </c>
      <c r="K10" s="343">
        <v>5809.6</v>
      </c>
      <c r="L10" s="343">
        <v>4792</v>
      </c>
      <c r="M10" s="343">
        <v>4971.2</v>
      </c>
      <c r="N10" s="343">
        <v>4100.8</v>
      </c>
      <c r="O10" s="343">
        <v>4070.4</v>
      </c>
      <c r="P10" s="343">
        <v>3144</v>
      </c>
      <c r="Q10" s="344">
        <f t="shared" si="0"/>
        <v>54403.200000000004</v>
      </c>
      <c r="R10" s="344">
        <f t="shared" si="1"/>
        <v>4533.6000000000004</v>
      </c>
      <c r="S10" s="345">
        <f t="shared" si="3"/>
        <v>2.6898508254551907</v>
      </c>
      <c r="T10" s="346">
        <f t="shared" si="2"/>
        <v>2.0102171316507236</v>
      </c>
      <c r="U10" s="370"/>
      <c r="V10" s="371"/>
    </row>
    <row r="11" spans="1:22" s="347" customFormat="1" outlineLevel="1" x14ac:dyDescent="0.25">
      <c r="A11" s="341">
        <v>8</v>
      </c>
      <c r="B11" s="342" t="s">
        <v>401</v>
      </c>
      <c r="C11" s="342" t="s">
        <v>975</v>
      </c>
      <c r="D11" s="342" t="s">
        <v>152</v>
      </c>
      <c r="E11" s="343">
        <v>6584</v>
      </c>
      <c r="F11" s="343">
        <v>6280</v>
      </c>
      <c r="G11" s="343">
        <v>3744</v>
      </c>
      <c r="H11" s="343">
        <v>2032</v>
      </c>
      <c r="I11" s="343">
        <v>2688</v>
      </c>
      <c r="J11" s="343">
        <v>1792</v>
      </c>
      <c r="K11" s="343">
        <v>2992</v>
      </c>
      <c r="L11" s="343">
        <v>2096</v>
      </c>
      <c r="M11" s="343">
        <v>2688</v>
      </c>
      <c r="N11" s="343">
        <v>2096</v>
      </c>
      <c r="O11" s="343">
        <v>1496</v>
      </c>
      <c r="P11" s="343">
        <v>2544</v>
      </c>
      <c r="Q11" s="344">
        <f t="shared" si="0"/>
        <v>37032</v>
      </c>
      <c r="R11" s="344">
        <f t="shared" si="1"/>
        <v>3086</v>
      </c>
      <c r="S11" s="345">
        <f t="shared" si="3"/>
        <v>1.8309686887583196</v>
      </c>
      <c r="T11" s="346">
        <f t="shared" si="2"/>
        <v>1.3683452594569729</v>
      </c>
      <c r="U11" s="370"/>
      <c r="V11" s="371"/>
    </row>
    <row r="12" spans="1:22" s="347" customFormat="1" outlineLevel="1" x14ac:dyDescent="0.25">
      <c r="A12" s="341">
        <v>9</v>
      </c>
      <c r="B12" s="342" t="s">
        <v>394</v>
      </c>
      <c r="C12" s="342" t="s">
        <v>975</v>
      </c>
      <c r="D12" s="342" t="s">
        <v>152</v>
      </c>
      <c r="E12" s="343">
        <v>6128</v>
      </c>
      <c r="F12" s="343">
        <v>9120</v>
      </c>
      <c r="G12" s="343">
        <v>7680</v>
      </c>
      <c r="H12" s="343">
        <v>2302.4</v>
      </c>
      <c r="I12" s="343">
        <v>7176</v>
      </c>
      <c r="J12" s="343">
        <v>4219.2</v>
      </c>
      <c r="K12" s="343">
        <v>3763.2000000000003</v>
      </c>
      <c r="L12" s="343">
        <v>7024</v>
      </c>
      <c r="M12" s="343">
        <v>2696</v>
      </c>
      <c r="N12" s="343">
        <v>5384</v>
      </c>
      <c r="O12" s="343">
        <v>1944</v>
      </c>
      <c r="P12" s="343">
        <v>4936</v>
      </c>
      <c r="Q12" s="344">
        <f t="shared" si="0"/>
        <v>62372.799999999996</v>
      </c>
      <c r="R12" s="344">
        <f t="shared" si="1"/>
        <v>5197.7333333333327</v>
      </c>
      <c r="S12" s="345">
        <f t="shared" si="3"/>
        <v>3.083890792562781</v>
      </c>
      <c r="T12" s="346">
        <f t="shared" si="2"/>
        <v>2.3046966191147624</v>
      </c>
      <c r="U12" s="370"/>
      <c r="V12" s="371"/>
    </row>
    <row r="13" spans="1:22" s="347" customFormat="1" outlineLevel="1" x14ac:dyDescent="0.25">
      <c r="A13" s="341">
        <v>10</v>
      </c>
      <c r="B13" s="342" t="s">
        <v>328</v>
      </c>
      <c r="C13" s="342" t="s">
        <v>147</v>
      </c>
      <c r="D13" s="342" t="s">
        <v>152</v>
      </c>
      <c r="E13" s="343">
        <v>6884.8</v>
      </c>
      <c r="F13" s="343">
        <v>7124.8</v>
      </c>
      <c r="G13" s="343">
        <v>10382.4</v>
      </c>
      <c r="H13" s="343">
        <v>5267.2000000000007</v>
      </c>
      <c r="I13" s="343">
        <v>14213.76</v>
      </c>
      <c r="J13" s="343">
        <v>9360</v>
      </c>
      <c r="K13" s="343">
        <v>6566.4</v>
      </c>
      <c r="L13" s="343">
        <v>8956.7999999999993</v>
      </c>
      <c r="M13" s="343">
        <v>8553.6</v>
      </c>
      <c r="N13" s="343">
        <v>4844.8</v>
      </c>
      <c r="O13" s="343">
        <v>3291.2</v>
      </c>
      <c r="P13" s="343">
        <v>4518.4000000000005</v>
      </c>
      <c r="Q13" s="344">
        <f t="shared" si="0"/>
        <v>89964.160000000003</v>
      </c>
      <c r="R13" s="344">
        <f t="shared" si="1"/>
        <v>7497.0133333333333</v>
      </c>
      <c r="S13" s="345">
        <f t="shared" si="3"/>
        <v>4.4480870617423758</v>
      </c>
      <c r="T13" s="346">
        <f t="shared" si="2"/>
        <v>3.3242069522852837</v>
      </c>
      <c r="U13" s="370"/>
      <c r="V13" s="371"/>
    </row>
    <row r="14" spans="1:22" s="347" customFormat="1" outlineLevel="1" x14ac:dyDescent="0.25">
      <c r="A14" s="341">
        <v>11</v>
      </c>
      <c r="B14" s="342" t="s">
        <v>357</v>
      </c>
      <c r="C14" s="342" t="s">
        <v>975</v>
      </c>
      <c r="D14" s="342" t="s">
        <v>152</v>
      </c>
      <c r="E14" s="343">
        <v>4200</v>
      </c>
      <c r="F14" s="343">
        <v>5400</v>
      </c>
      <c r="G14" s="343">
        <v>4800</v>
      </c>
      <c r="H14" s="343">
        <v>3000</v>
      </c>
      <c r="I14" s="343">
        <v>4200</v>
      </c>
      <c r="J14" s="343">
        <v>3600</v>
      </c>
      <c r="K14" s="343">
        <v>4680</v>
      </c>
      <c r="L14" s="343">
        <v>5520</v>
      </c>
      <c r="M14" s="343">
        <v>4200</v>
      </c>
      <c r="N14" s="343">
        <v>4200</v>
      </c>
      <c r="O14" s="343">
        <v>7979.2</v>
      </c>
      <c r="P14" s="343">
        <v>10979.2</v>
      </c>
      <c r="Q14" s="344">
        <f t="shared" si="0"/>
        <v>62758.399999999994</v>
      </c>
      <c r="R14" s="344">
        <f t="shared" si="1"/>
        <v>5229.8666666666659</v>
      </c>
      <c r="S14" s="345">
        <f t="shared" si="3"/>
        <v>3.1029559666388558</v>
      </c>
      <c r="T14" s="346">
        <f t="shared" si="2"/>
        <v>2.3189446730153511</v>
      </c>
      <c r="U14" s="370"/>
      <c r="V14" s="371"/>
    </row>
    <row r="15" spans="1:22" s="347" customFormat="1" outlineLevel="1" x14ac:dyDescent="0.25">
      <c r="A15" s="341">
        <v>12</v>
      </c>
      <c r="B15" s="342" t="s">
        <v>182</v>
      </c>
      <c r="C15" s="342" t="s">
        <v>168</v>
      </c>
      <c r="D15" s="342" t="s">
        <v>152</v>
      </c>
      <c r="E15" s="343">
        <v>5427.2</v>
      </c>
      <c r="F15" s="343">
        <v>1649.6</v>
      </c>
      <c r="G15" s="343">
        <v>5376</v>
      </c>
      <c r="H15" s="343">
        <v>2764.8</v>
      </c>
      <c r="I15" s="343">
        <v>1218.56</v>
      </c>
      <c r="J15" s="343">
        <v>5850.88</v>
      </c>
      <c r="K15" s="343">
        <v>896</v>
      </c>
      <c r="L15" s="343">
        <v>2016</v>
      </c>
      <c r="M15" s="343">
        <v>1792</v>
      </c>
      <c r="N15" s="343">
        <v>6503.3600000000006</v>
      </c>
      <c r="O15" s="343">
        <v>3546.3999999999996</v>
      </c>
      <c r="P15" s="343">
        <v>3108</v>
      </c>
      <c r="Q15" s="344">
        <f t="shared" si="0"/>
        <v>40148.800000000003</v>
      </c>
      <c r="R15" s="344">
        <f t="shared" si="1"/>
        <v>3345.7333333333336</v>
      </c>
      <c r="S15" s="345">
        <f t="shared" si="3"/>
        <v>1.9850722534894154</v>
      </c>
      <c r="T15" s="346">
        <f t="shared" si="2"/>
        <v>1.4835121017737665</v>
      </c>
      <c r="U15" s="370"/>
      <c r="V15" s="371"/>
    </row>
    <row r="16" spans="1:22" s="347" customFormat="1" outlineLevel="1" x14ac:dyDescent="0.25">
      <c r="A16" s="341">
        <v>13</v>
      </c>
      <c r="B16" s="342" t="s">
        <v>327</v>
      </c>
      <c r="C16" s="342" t="s">
        <v>147</v>
      </c>
      <c r="D16" s="342" t="s">
        <v>152</v>
      </c>
      <c r="E16" s="343">
        <v>8840</v>
      </c>
      <c r="F16" s="343">
        <v>4784</v>
      </c>
      <c r="G16" s="343">
        <v>4606</v>
      </c>
      <c r="H16" s="343">
        <v>2152</v>
      </c>
      <c r="I16" s="343">
        <v>5840</v>
      </c>
      <c r="J16" s="343">
        <v>4192</v>
      </c>
      <c r="K16" s="343">
        <v>5771.2</v>
      </c>
      <c r="L16" s="343">
        <v>4300</v>
      </c>
      <c r="M16" s="343">
        <v>5984</v>
      </c>
      <c r="N16" s="343">
        <v>3669.6</v>
      </c>
      <c r="O16" s="343">
        <v>3648</v>
      </c>
      <c r="P16" s="343">
        <v>3739.2</v>
      </c>
      <c r="Q16" s="344">
        <f t="shared" si="0"/>
        <v>57525.999999999993</v>
      </c>
      <c r="R16" s="344">
        <f t="shared" si="1"/>
        <v>4793.833333333333</v>
      </c>
      <c r="S16" s="345">
        <f t="shared" si="3"/>
        <v>2.8442510474592537</v>
      </c>
      <c r="T16" s="346">
        <f t="shared" si="2"/>
        <v>2.1256056760510322</v>
      </c>
      <c r="U16" s="370"/>
      <c r="V16" s="371"/>
    </row>
    <row r="17" spans="1:22" s="347" customFormat="1" outlineLevel="1" x14ac:dyDescent="0.25">
      <c r="A17" s="341">
        <v>14</v>
      </c>
      <c r="B17" s="342" t="s">
        <v>371</v>
      </c>
      <c r="C17" s="342" t="s">
        <v>975</v>
      </c>
      <c r="D17" s="342" t="s">
        <v>152</v>
      </c>
      <c r="E17" s="343">
        <v>5088</v>
      </c>
      <c r="F17" s="343">
        <v>0</v>
      </c>
      <c r="G17" s="343">
        <v>5392</v>
      </c>
      <c r="H17" s="343">
        <v>1792</v>
      </c>
      <c r="I17" s="343">
        <v>8688</v>
      </c>
      <c r="J17" s="343">
        <v>11392</v>
      </c>
      <c r="K17" s="343">
        <v>6880</v>
      </c>
      <c r="L17" s="343">
        <v>7792</v>
      </c>
      <c r="M17" s="343">
        <v>11680</v>
      </c>
      <c r="N17" s="343">
        <v>2400</v>
      </c>
      <c r="O17" s="343">
        <v>5392</v>
      </c>
      <c r="P17" s="343">
        <v>5392</v>
      </c>
      <c r="Q17" s="344">
        <f t="shared" si="0"/>
        <v>71888</v>
      </c>
      <c r="R17" s="344">
        <f t="shared" si="1"/>
        <v>5990.666666666667</v>
      </c>
      <c r="S17" s="345">
        <f t="shared" si="3"/>
        <v>3.554349673186922</v>
      </c>
      <c r="T17" s="346">
        <f t="shared" si="2"/>
        <v>2.6562865632923658</v>
      </c>
      <c r="U17" s="370"/>
      <c r="V17" s="371"/>
    </row>
    <row r="18" spans="1:22" s="353" customFormat="1" x14ac:dyDescent="0.25">
      <c r="A18" s="348"/>
      <c r="B18" s="349" t="s">
        <v>1046</v>
      </c>
      <c r="C18" s="349"/>
      <c r="D18" s="349"/>
      <c r="E18" s="350">
        <f>SUM(E4:E17)</f>
        <v>172731.2</v>
      </c>
      <c r="F18" s="350">
        <f t="shared" ref="F18:T18" si="4">SUM(F4:F17)</f>
        <v>168638.23999999996</v>
      </c>
      <c r="G18" s="350">
        <f t="shared" si="4"/>
        <v>186129.36000000002</v>
      </c>
      <c r="H18" s="350">
        <f t="shared" si="4"/>
        <v>130720.95999999999</v>
      </c>
      <c r="I18" s="350">
        <f t="shared" si="4"/>
        <v>197017.84000000003</v>
      </c>
      <c r="J18" s="350">
        <f t="shared" si="4"/>
        <v>186492.59200000003</v>
      </c>
      <c r="K18" s="350">
        <f t="shared" si="4"/>
        <v>163470.08000000002</v>
      </c>
      <c r="L18" s="350">
        <f t="shared" si="4"/>
        <v>158308</v>
      </c>
      <c r="M18" s="350">
        <f t="shared" si="4"/>
        <v>169080.96000000002</v>
      </c>
      <c r="N18" s="350">
        <f t="shared" si="4"/>
        <v>169329.11999999997</v>
      </c>
      <c r="O18" s="350">
        <f t="shared" si="4"/>
        <v>152165.6</v>
      </c>
      <c r="P18" s="350">
        <f t="shared" si="4"/>
        <v>168452.00000000003</v>
      </c>
      <c r="Q18" s="350">
        <f>SUM(Q4:Q17)</f>
        <v>2022535.9519999998</v>
      </c>
      <c r="R18" s="350">
        <f>SUM(R4:R17)</f>
        <v>168544.66266666667</v>
      </c>
      <c r="S18" s="351">
        <f t="shared" si="4"/>
        <v>100</v>
      </c>
      <c r="T18" s="352">
        <f t="shared" si="4"/>
        <v>74.73340575719638</v>
      </c>
      <c r="U18" s="372">
        <f>U2*T18%</f>
        <v>261753.00633052274</v>
      </c>
      <c r="V18" s="373"/>
    </row>
    <row r="19" spans="1:22" s="347" customFormat="1" outlineLevel="1" x14ac:dyDescent="0.25">
      <c r="A19" s="341">
        <v>1</v>
      </c>
      <c r="B19" s="342" t="s">
        <v>431</v>
      </c>
      <c r="C19" s="342" t="s">
        <v>276</v>
      </c>
      <c r="D19" s="342" t="s">
        <v>146</v>
      </c>
      <c r="E19" s="343">
        <v>537.6</v>
      </c>
      <c r="F19" s="343">
        <v>554.4</v>
      </c>
      <c r="G19" s="343">
        <v>627.20000000000005</v>
      </c>
      <c r="H19" s="343">
        <v>0</v>
      </c>
      <c r="I19" s="343">
        <v>537.6</v>
      </c>
      <c r="J19" s="343">
        <v>448</v>
      </c>
      <c r="K19" s="343">
        <v>896</v>
      </c>
      <c r="L19" s="343">
        <v>268.8</v>
      </c>
      <c r="M19" s="343">
        <v>0</v>
      </c>
      <c r="N19" s="343">
        <v>0</v>
      </c>
      <c r="O19" s="343">
        <v>0</v>
      </c>
      <c r="P19" s="343">
        <v>0</v>
      </c>
      <c r="Q19" s="344">
        <f t="shared" ref="Q19:Q49" si="5">SUM(E19:P19)</f>
        <v>3869.6000000000004</v>
      </c>
      <c r="R19" s="344">
        <f t="shared" ref="R19:R81" si="6">IFERROR(AVERAGE(E19:P19),0)</f>
        <v>322.4666666666667</v>
      </c>
      <c r="S19" s="345">
        <f t="shared" ref="S19:S50" si="7">R19/$R$93%</f>
        <v>3.1337604542365374</v>
      </c>
      <c r="T19" s="346">
        <f t="shared" ref="T19:T50" si="8">R19/$R$134%</f>
        <v>0.14298306372852407</v>
      </c>
      <c r="U19" s="370"/>
      <c r="V19" s="371"/>
    </row>
    <row r="20" spans="1:22" s="347" customFormat="1" outlineLevel="1" x14ac:dyDescent="0.25">
      <c r="A20" s="341">
        <v>2</v>
      </c>
      <c r="B20" s="342" t="s">
        <v>295</v>
      </c>
      <c r="C20" s="342" t="s">
        <v>154</v>
      </c>
      <c r="D20" s="342" t="s">
        <v>146</v>
      </c>
      <c r="E20" s="343">
        <v>460.8</v>
      </c>
      <c r="F20" s="343">
        <v>768</v>
      </c>
      <c r="G20" s="343">
        <v>460.8</v>
      </c>
      <c r="H20" s="343">
        <v>768</v>
      </c>
      <c r="I20" s="343">
        <v>921.6</v>
      </c>
      <c r="J20" s="343">
        <v>460.8</v>
      </c>
      <c r="K20" s="343">
        <v>460.8</v>
      </c>
      <c r="L20" s="343">
        <v>460.8</v>
      </c>
      <c r="M20" s="343">
        <v>460.8</v>
      </c>
      <c r="N20" s="343">
        <v>460.8</v>
      </c>
      <c r="O20" s="343">
        <v>921.6</v>
      </c>
      <c r="P20" s="343">
        <v>0</v>
      </c>
      <c r="Q20" s="344">
        <f t="shared" si="5"/>
        <v>6604.8000000000011</v>
      </c>
      <c r="R20" s="344">
        <f t="shared" si="6"/>
        <v>550.40000000000009</v>
      </c>
      <c r="S20" s="345">
        <f t="shared" si="7"/>
        <v>5.3488373599704069</v>
      </c>
      <c r="T20" s="346">
        <f t="shared" si="8"/>
        <v>0.24404965353373884</v>
      </c>
      <c r="U20" s="370"/>
      <c r="V20" s="371"/>
    </row>
    <row r="21" spans="1:22" s="347" customFormat="1" outlineLevel="1" x14ac:dyDescent="0.25">
      <c r="A21" s="341">
        <v>3</v>
      </c>
      <c r="B21" s="342" t="s">
        <v>284</v>
      </c>
      <c r="C21" s="342" t="s">
        <v>147</v>
      </c>
      <c r="D21" s="342" t="s">
        <v>146</v>
      </c>
      <c r="E21" s="343">
        <v>514.40000000000009</v>
      </c>
      <c r="F21" s="343">
        <v>299.20000000000005</v>
      </c>
      <c r="G21" s="343">
        <v>825.60000000000014</v>
      </c>
      <c r="H21" s="343">
        <v>299.20000000000005</v>
      </c>
      <c r="I21" s="343">
        <v>418.40000000000003</v>
      </c>
      <c r="J21" s="343">
        <v>299.20000000000005</v>
      </c>
      <c r="K21" s="343">
        <v>344</v>
      </c>
      <c r="L21" s="343">
        <v>299.20000000000005</v>
      </c>
      <c r="M21" s="343">
        <v>359.20000000000005</v>
      </c>
      <c r="N21" s="343">
        <v>328.80000000000007</v>
      </c>
      <c r="O21" s="343">
        <v>269.60000000000002</v>
      </c>
      <c r="P21" s="343">
        <v>180</v>
      </c>
      <c r="Q21" s="344">
        <f t="shared" si="5"/>
        <v>4436.8</v>
      </c>
      <c r="R21" s="344">
        <f t="shared" si="6"/>
        <v>369.73333333333335</v>
      </c>
      <c r="S21" s="345">
        <f t="shared" si="7"/>
        <v>3.5931022284878718</v>
      </c>
      <c r="T21" s="346">
        <f t="shared" si="8"/>
        <v>0.1639413006901787</v>
      </c>
      <c r="U21" s="370"/>
      <c r="V21" s="371"/>
    </row>
    <row r="22" spans="1:22" s="347" customFormat="1" outlineLevel="1" x14ac:dyDescent="0.25">
      <c r="A22" s="341">
        <v>4</v>
      </c>
      <c r="B22" s="342" t="s">
        <v>287</v>
      </c>
      <c r="C22" s="342" t="s">
        <v>986</v>
      </c>
      <c r="D22" s="342" t="s">
        <v>146</v>
      </c>
      <c r="E22" s="343">
        <v>672</v>
      </c>
      <c r="F22" s="343">
        <v>761.60000000000014</v>
      </c>
      <c r="G22" s="343">
        <v>1344</v>
      </c>
      <c r="H22" s="343">
        <v>224</v>
      </c>
      <c r="I22" s="343">
        <v>448</v>
      </c>
      <c r="J22" s="343">
        <v>0</v>
      </c>
      <c r="K22" s="343">
        <v>0</v>
      </c>
      <c r="L22" s="343">
        <v>0</v>
      </c>
      <c r="M22" s="343">
        <v>0</v>
      </c>
      <c r="N22" s="343">
        <v>60</v>
      </c>
      <c r="O22" s="343">
        <v>0</v>
      </c>
      <c r="P22" s="343">
        <v>537.6</v>
      </c>
      <c r="Q22" s="344">
        <f t="shared" si="5"/>
        <v>4047.2000000000003</v>
      </c>
      <c r="R22" s="344">
        <f t="shared" si="6"/>
        <v>337.26666666666671</v>
      </c>
      <c r="S22" s="345">
        <f t="shared" si="7"/>
        <v>3.2775882030148118</v>
      </c>
      <c r="T22" s="346">
        <f t="shared" si="8"/>
        <v>0.14954544540057954</v>
      </c>
      <c r="U22" s="370"/>
      <c r="V22" s="371"/>
    </row>
    <row r="23" spans="1:22" s="347" customFormat="1" outlineLevel="1" x14ac:dyDescent="0.25">
      <c r="A23" s="341">
        <v>5</v>
      </c>
      <c r="B23" s="342" t="s">
        <v>224</v>
      </c>
      <c r="C23" s="342" t="s">
        <v>1002</v>
      </c>
      <c r="D23" s="342" t="s">
        <v>146</v>
      </c>
      <c r="E23" s="343">
        <v>268.8</v>
      </c>
      <c r="F23" s="343">
        <v>448</v>
      </c>
      <c r="G23" s="343">
        <v>448</v>
      </c>
      <c r="H23" s="343">
        <v>448</v>
      </c>
      <c r="I23" s="343">
        <v>448</v>
      </c>
      <c r="J23" s="343">
        <v>672</v>
      </c>
      <c r="K23" s="343">
        <v>0</v>
      </c>
      <c r="L23" s="343">
        <v>268.8</v>
      </c>
      <c r="M23" s="343">
        <v>268.8</v>
      </c>
      <c r="N23" s="343">
        <v>448</v>
      </c>
      <c r="O23" s="343">
        <v>268.8</v>
      </c>
      <c r="P23" s="343">
        <v>268.8</v>
      </c>
      <c r="Q23" s="344">
        <f t="shared" si="5"/>
        <v>4256.0000000000009</v>
      </c>
      <c r="R23" s="344">
        <f t="shared" si="6"/>
        <v>354.66666666666674</v>
      </c>
      <c r="S23" s="345">
        <f t="shared" si="7"/>
        <v>3.4466829887406205</v>
      </c>
      <c r="T23" s="346">
        <f t="shared" si="8"/>
        <v>0.15726067790691506</v>
      </c>
      <c r="U23" s="370"/>
      <c r="V23" s="371"/>
    </row>
    <row r="24" spans="1:22" s="347" customFormat="1" outlineLevel="1" x14ac:dyDescent="0.25">
      <c r="A24" s="341">
        <v>6</v>
      </c>
      <c r="B24" s="342" t="s">
        <v>474</v>
      </c>
      <c r="C24" s="342" t="s">
        <v>981</v>
      </c>
      <c r="D24" s="342" t="s">
        <v>146</v>
      </c>
      <c r="E24" s="343">
        <v>0</v>
      </c>
      <c r="F24" s="343">
        <v>0</v>
      </c>
      <c r="G24" s="343">
        <v>0</v>
      </c>
      <c r="H24" s="343">
        <v>0</v>
      </c>
      <c r="I24" s="343">
        <v>0</v>
      </c>
      <c r="J24" s="343">
        <v>0</v>
      </c>
      <c r="K24" s="343">
        <v>0</v>
      </c>
      <c r="L24" s="343">
        <v>0</v>
      </c>
      <c r="M24" s="343">
        <v>0</v>
      </c>
      <c r="N24" s="343">
        <v>0</v>
      </c>
      <c r="O24" s="343">
        <v>0</v>
      </c>
      <c r="P24" s="343">
        <v>2657.92</v>
      </c>
      <c r="Q24" s="344">
        <f t="shared" si="5"/>
        <v>2657.92</v>
      </c>
      <c r="R24" s="344">
        <f t="shared" si="6"/>
        <v>221.49333333333334</v>
      </c>
      <c r="S24" s="345">
        <f t="shared" si="7"/>
        <v>2.152492398833052</v>
      </c>
      <c r="T24" s="346">
        <f t="shared" si="8"/>
        <v>9.8211066969536562E-2</v>
      </c>
      <c r="U24" s="370"/>
      <c r="V24" s="371"/>
    </row>
    <row r="25" spans="1:22" s="347" customFormat="1" outlineLevel="1" x14ac:dyDescent="0.25">
      <c r="A25" s="341">
        <v>7</v>
      </c>
      <c r="B25" s="342" t="s">
        <v>169</v>
      </c>
      <c r="C25" s="342" t="s">
        <v>981</v>
      </c>
      <c r="D25" s="342" t="s">
        <v>146</v>
      </c>
      <c r="E25" s="343">
        <v>448</v>
      </c>
      <c r="F25" s="343">
        <v>896</v>
      </c>
      <c r="G25" s="343">
        <v>0</v>
      </c>
      <c r="H25" s="343">
        <v>0</v>
      </c>
      <c r="I25" s="343">
        <v>0</v>
      </c>
      <c r="J25" s="343">
        <v>0</v>
      </c>
      <c r="K25" s="343">
        <v>0</v>
      </c>
      <c r="L25" s="343">
        <v>0</v>
      </c>
      <c r="M25" s="343">
        <v>0</v>
      </c>
      <c r="N25" s="343">
        <v>0</v>
      </c>
      <c r="O25" s="343">
        <v>0</v>
      </c>
      <c r="P25" s="343">
        <v>0</v>
      </c>
      <c r="Q25" s="344">
        <f t="shared" si="5"/>
        <v>1344</v>
      </c>
      <c r="R25" s="344">
        <f t="shared" si="6"/>
        <v>112</v>
      </c>
      <c r="S25" s="345">
        <f t="shared" si="7"/>
        <v>1.088426206970722</v>
      </c>
      <c r="T25" s="346">
        <f t="shared" si="8"/>
        <v>4.9661266707446854E-2</v>
      </c>
      <c r="U25" s="370"/>
      <c r="V25" s="371"/>
    </row>
    <row r="26" spans="1:22" s="347" customFormat="1" outlineLevel="1" x14ac:dyDescent="0.25">
      <c r="A26" s="341">
        <v>8</v>
      </c>
      <c r="B26" s="342" t="s">
        <v>288</v>
      </c>
      <c r="C26" s="342" t="s">
        <v>986</v>
      </c>
      <c r="D26" s="342" t="s">
        <v>146</v>
      </c>
      <c r="E26" s="343">
        <v>0</v>
      </c>
      <c r="F26" s="343">
        <v>448</v>
      </c>
      <c r="G26" s="343">
        <v>0</v>
      </c>
      <c r="H26" s="343">
        <v>448</v>
      </c>
      <c r="I26" s="343">
        <v>672</v>
      </c>
      <c r="J26" s="343">
        <v>448</v>
      </c>
      <c r="K26" s="343">
        <v>448</v>
      </c>
      <c r="L26" s="343">
        <v>672</v>
      </c>
      <c r="M26" s="343">
        <v>0</v>
      </c>
      <c r="N26" s="343">
        <v>0</v>
      </c>
      <c r="O26" s="343">
        <v>672</v>
      </c>
      <c r="P26" s="343">
        <v>224</v>
      </c>
      <c r="Q26" s="344">
        <f t="shared" si="5"/>
        <v>4032</v>
      </c>
      <c r="R26" s="344">
        <f t="shared" si="6"/>
        <v>336</v>
      </c>
      <c r="S26" s="345">
        <f t="shared" si="7"/>
        <v>3.265278620912166</v>
      </c>
      <c r="T26" s="346">
        <f t="shared" si="8"/>
        <v>0.14898380012234055</v>
      </c>
      <c r="U26" s="370"/>
      <c r="V26" s="371"/>
    </row>
    <row r="27" spans="1:22" s="347" customFormat="1" outlineLevel="1" x14ac:dyDescent="0.25">
      <c r="A27" s="341">
        <v>9</v>
      </c>
      <c r="B27" s="342" t="s">
        <v>360</v>
      </c>
      <c r="C27" s="342" t="s">
        <v>1047</v>
      </c>
      <c r="D27" s="342" t="s">
        <v>146</v>
      </c>
      <c r="E27" s="343">
        <v>2400</v>
      </c>
      <c r="F27" s="343">
        <v>0</v>
      </c>
      <c r="G27" s="343">
        <v>0</v>
      </c>
      <c r="H27" s="343">
        <v>0</v>
      </c>
      <c r="I27" s="343">
        <v>0</v>
      </c>
      <c r="J27" s="343">
        <v>0</v>
      </c>
      <c r="K27" s="343">
        <v>2520</v>
      </c>
      <c r="L27" s="343">
        <v>0</v>
      </c>
      <c r="M27" s="343">
        <v>0</v>
      </c>
      <c r="N27" s="343">
        <v>0</v>
      </c>
      <c r="O27" s="343">
        <v>0</v>
      </c>
      <c r="P27" s="343">
        <v>2400</v>
      </c>
      <c r="Q27" s="344">
        <f t="shared" si="5"/>
        <v>7320</v>
      </c>
      <c r="R27" s="344">
        <f t="shared" si="6"/>
        <v>610</v>
      </c>
      <c r="S27" s="345">
        <f t="shared" si="7"/>
        <v>5.9280355915369682</v>
      </c>
      <c r="T27" s="346">
        <f t="shared" si="8"/>
        <v>0.27047654188877301</v>
      </c>
      <c r="U27" s="370"/>
      <c r="V27" s="371"/>
    </row>
    <row r="28" spans="1:22" s="347" customFormat="1" outlineLevel="1" x14ac:dyDescent="0.25">
      <c r="A28" s="341">
        <v>10</v>
      </c>
      <c r="B28" s="342" t="s">
        <v>1048</v>
      </c>
      <c r="C28" s="342" t="s">
        <v>988</v>
      </c>
      <c r="D28" s="342" t="s">
        <v>146</v>
      </c>
      <c r="E28" s="343">
        <v>0</v>
      </c>
      <c r="F28" s="343">
        <v>448</v>
      </c>
      <c r="G28" s="343">
        <v>896</v>
      </c>
      <c r="H28" s="343">
        <v>0</v>
      </c>
      <c r="I28" s="343">
        <v>448</v>
      </c>
      <c r="J28" s="343">
        <v>0</v>
      </c>
      <c r="K28" s="343">
        <v>0</v>
      </c>
      <c r="L28" s="343">
        <v>389.6</v>
      </c>
      <c r="M28" s="343">
        <v>0</v>
      </c>
      <c r="N28" s="343">
        <v>448</v>
      </c>
      <c r="O28" s="343">
        <v>0</v>
      </c>
      <c r="P28" s="343">
        <v>0</v>
      </c>
      <c r="Q28" s="344">
        <f t="shared" si="5"/>
        <v>2629.6</v>
      </c>
      <c r="R28" s="344">
        <f t="shared" si="6"/>
        <v>219.13333333333333</v>
      </c>
      <c r="S28" s="345">
        <f t="shared" si="7"/>
        <v>2.1295577037575972</v>
      </c>
      <c r="T28" s="346">
        <f t="shared" si="8"/>
        <v>9.7164633135343917E-2</v>
      </c>
      <c r="U28" s="370"/>
      <c r="V28" s="371"/>
    </row>
    <row r="29" spans="1:22" s="347" customFormat="1" outlineLevel="1" x14ac:dyDescent="0.25">
      <c r="A29" s="341">
        <v>11</v>
      </c>
      <c r="B29" s="342" t="s">
        <v>412</v>
      </c>
      <c r="C29" s="342" t="s">
        <v>988</v>
      </c>
      <c r="D29" s="342" t="s">
        <v>146</v>
      </c>
      <c r="E29" s="343">
        <v>0</v>
      </c>
      <c r="F29" s="343">
        <v>0</v>
      </c>
      <c r="G29" s="343">
        <v>0</v>
      </c>
      <c r="H29" s="343">
        <v>448</v>
      </c>
      <c r="I29" s="343">
        <v>0</v>
      </c>
      <c r="J29" s="343">
        <v>0</v>
      </c>
      <c r="K29" s="343">
        <v>0</v>
      </c>
      <c r="L29" s="343">
        <v>448</v>
      </c>
      <c r="M29" s="343">
        <v>0</v>
      </c>
      <c r="N29" s="343">
        <v>0</v>
      </c>
      <c r="O29" s="343">
        <v>448</v>
      </c>
      <c r="P29" s="343">
        <v>0</v>
      </c>
      <c r="Q29" s="344">
        <f t="shared" si="5"/>
        <v>1344</v>
      </c>
      <c r="R29" s="344">
        <f t="shared" si="6"/>
        <v>112</v>
      </c>
      <c r="S29" s="345">
        <f t="shared" si="7"/>
        <v>1.088426206970722</v>
      </c>
      <c r="T29" s="346">
        <f t="shared" si="8"/>
        <v>4.9661266707446854E-2</v>
      </c>
      <c r="U29" s="370"/>
      <c r="V29" s="371"/>
    </row>
    <row r="30" spans="1:22" s="347" customFormat="1" outlineLevel="1" x14ac:dyDescent="0.25">
      <c r="A30" s="341">
        <v>12</v>
      </c>
      <c r="B30" s="342" t="s">
        <v>289</v>
      </c>
      <c r="C30" s="342" t="s">
        <v>990</v>
      </c>
      <c r="D30" s="342" t="s">
        <v>146</v>
      </c>
      <c r="E30" s="343">
        <v>896</v>
      </c>
      <c r="F30" s="343">
        <v>0</v>
      </c>
      <c r="G30" s="343">
        <v>896</v>
      </c>
      <c r="H30" s="343">
        <v>0</v>
      </c>
      <c r="I30" s="343">
        <v>448</v>
      </c>
      <c r="J30" s="343">
        <v>0</v>
      </c>
      <c r="K30" s="343">
        <v>0</v>
      </c>
      <c r="L30" s="343">
        <v>490</v>
      </c>
      <c r="M30" s="343">
        <v>0</v>
      </c>
      <c r="N30" s="343">
        <v>448</v>
      </c>
      <c r="O30" s="343">
        <v>896</v>
      </c>
      <c r="P30" s="343">
        <v>896</v>
      </c>
      <c r="Q30" s="344">
        <f t="shared" si="5"/>
        <v>4970</v>
      </c>
      <c r="R30" s="344">
        <f t="shared" si="6"/>
        <v>414.16666666666669</v>
      </c>
      <c r="S30" s="345">
        <f t="shared" si="7"/>
        <v>4.024909411193816</v>
      </c>
      <c r="T30" s="346">
        <f t="shared" si="8"/>
        <v>0.18364322584524617</v>
      </c>
      <c r="U30" s="370"/>
      <c r="V30" s="371"/>
    </row>
    <row r="31" spans="1:22" s="347" customFormat="1" outlineLevel="1" x14ac:dyDescent="0.25">
      <c r="A31" s="341">
        <v>13</v>
      </c>
      <c r="B31" s="342" t="s">
        <v>333</v>
      </c>
      <c r="C31" s="342" t="s">
        <v>147</v>
      </c>
      <c r="D31" s="342" t="s">
        <v>146</v>
      </c>
      <c r="E31" s="343">
        <v>0</v>
      </c>
      <c r="F31" s="343">
        <v>0</v>
      </c>
      <c r="G31" s="343">
        <v>0</v>
      </c>
      <c r="H31" s="343">
        <v>0</v>
      </c>
      <c r="I31" s="343">
        <v>0</v>
      </c>
      <c r="J31" s="343">
        <v>0</v>
      </c>
      <c r="K31" s="343">
        <v>0</v>
      </c>
      <c r="L31" s="343">
        <v>0</v>
      </c>
      <c r="M31" s="343">
        <v>0</v>
      </c>
      <c r="N31" s="343">
        <v>0</v>
      </c>
      <c r="O31" s="343">
        <v>0</v>
      </c>
      <c r="P31" s="343">
        <v>0</v>
      </c>
      <c r="Q31" s="344">
        <f t="shared" si="5"/>
        <v>0</v>
      </c>
      <c r="R31" s="344">
        <f t="shared" si="6"/>
        <v>0</v>
      </c>
      <c r="S31" s="345">
        <f t="shared" si="7"/>
        <v>0</v>
      </c>
      <c r="T31" s="346">
        <f t="shared" si="8"/>
        <v>0</v>
      </c>
      <c r="U31" s="370"/>
      <c r="V31" s="371"/>
    </row>
    <row r="32" spans="1:22" s="347" customFormat="1" outlineLevel="1" x14ac:dyDescent="0.25">
      <c r="A32" s="341">
        <v>14</v>
      </c>
      <c r="B32" s="342" t="s">
        <v>417</v>
      </c>
      <c r="C32" s="342" t="s">
        <v>981</v>
      </c>
      <c r="D32" s="342" t="s">
        <v>146</v>
      </c>
      <c r="E32" s="343">
        <v>0</v>
      </c>
      <c r="F32" s="343">
        <v>1344</v>
      </c>
      <c r="G32" s="343">
        <v>0</v>
      </c>
      <c r="H32" s="343">
        <v>0</v>
      </c>
      <c r="I32" s="343">
        <v>0</v>
      </c>
      <c r="J32" s="343">
        <v>1344</v>
      </c>
      <c r="K32" s="343">
        <v>0</v>
      </c>
      <c r="L32" s="343">
        <v>0</v>
      </c>
      <c r="M32" s="343">
        <v>1344</v>
      </c>
      <c r="N32" s="343">
        <v>0</v>
      </c>
      <c r="O32" s="343">
        <v>0</v>
      </c>
      <c r="P32" s="343">
        <v>0</v>
      </c>
      <c r="Q32" s="344">
        <f t="shared" si="5"/>
        <v>4032</v>
      </c>
      <c r="R32" s="344">
        <f t="shared" si="6"/>
        <v>336</v>
      </c>
      <c r="S32" s="345">
        <f t="shared" si="7"/>
        <v>3.265278620912166</v>
      </c>
      <c r="T32" s="346">
        <f t="shared" si="8"/>
        <v>0.14898380012234055</v>
      </c>
      <c r="U32" s="370"/>
      <c r="V32" s="371"/>
    </row>
    <row r="33" spans="1:22" s="347" customFormat="1" outlineLevel="1" x14ac:dyDescent="0.25">
      <c r="A33" s="341">
        <v>15</v>
      </c>
      <c r="B33" s="342" t="s">
        <v>422</v>
      </c>
      <c r="C33" s="342" t="s">
        <v>1049</v>
      </c>
      <c r="D33" s="342" t="s">
        <v>146</v>
      </c>
      <c r="E33" s="343">
        <v>358.40000000000003</v>
      </c>
      <c r="F33" s="343">
        <v>0</v>
      </c>
      <c r="G33" s="343">
        <v>0</v>
      </c>
      <c r="H33" s="343">
        <v>0</v>
      </c>
      <c r="I33" s="343">
        <v>0</v>
      </c>
      <c r="J33" s="343">
        <v>0</v>
      </c>
      <c r="K33" s="343">
        <v>0</v>
      </c>
      <c r="L33" s="343">
        <v>0</v>
      </c>
      <c r="M33" s="343">
        <v>0</v>
      </c>
      <c r="N33" s="343">
        <v>0</v>
      </c>
      <c r="O33" s="343">
        <v>0</v>
      </c>
      <c r="P33" s="343">
        <v>0</v>
      </c>
      <c r="Q33" s="344">
        <f t="shared" si="5"/>
        <v>358.40000000000003</v>
      </c>
      <c r="R33" s="344">
        <f t="shared" si="6"/>
        <v>29.866666666666671</v>
      </c>
      <c r="S33" s="345">
        <f t="shared" si="7"/>
        <v>0.29024698852552594</v>
      </c>
      <c r="T33" s="346">
        <f t="shared" si="8"/>
        <v>1.3243004455319162E-2</v>
      </c>
      <c r="U33" s="370"/>
      <c r="V33" s="371"/>
    </row>
    <row r="34" spans="1:22" s="347" customFormat="1" outlineLevel="1" x14ac:dyDescent="0.25">
      <c r="A34" s="341">
        <v>16</v>
      </c>
      <c r="B34" s="342" t="s">
        <v>432</v>
      </c>
      <c r="C34" s="342" t="s">
        <v>276</v>
      </c>
      <c r="D34" s="342" t="s">
        <v>146</v>
      </c>
      <c r="E34" s="343">
        <v>797.2</v>
      </c>
      <c r="F34" s="343">
        <v>0</v>
      </c>
      <c r="G34" s="343">
        <v>506.4</v>
      </c>
      <c r="H34" s="343">
        <v>422.4</v>
      </c>
      <c r="I34" s="343">
        <v>844.8</v>
      </c>
      <c r="J34" s="343">
        <v>422.4</v>
      </c>
      <c r="K34" s="343">
        <v>422.4</v>
      </c>
      <c r="L34" s="343">
        <v>422.4</v>
      </c>
      <c r="M34" s="343">
        <v>422.4</v>
      </c>
      <c r="N34" s="343">
        <v>422.4</v>
      </c>
      <c r="O34" s="343">
        <v>422.4</v>
      </c>
      <c r="P34" s="343">
        <v>422.4</v>
      </c>
      <c r="Q34" s="344">
        <f t="shared" si="5"/>
        <v>5527.5999999999995</v>
      </c>
      <c r="R34" s="344">
        <f t="shared" si="6"/>
        <v>460.63333333333327</v>
      </c>
      <c r="S34" s="345">
        <f t="shared" si="7"/>
        <v>4.4764767125382159</v>
      </c>
      <c r="T34" s="346">
        <f t="shared" si="8"/>
        <v>0.20424673947327618</v>
      </c>
      <c r="U34" s="370"/>
      <c r="V34" s="371"/>
    </row>
    <row r="35" spans="1:22" s="347" customFormat="1" outlineLevel="1" x14ac:dyDescent="0.25">
      <c r="A35" s="341">
        <v>17</v>
      </c>
      <c r="B35" s="342" t="s">
        <v>181</v>
      </c>
      <c r="C35" s="342" t="s">
        <v>988</v>
      </c>
      <c r="D35" s="342" t="s">
        <v>146</v>
      </c>
      <c r="E35" s="343">
        <v>0</v>
      </c>
      <c r="F35" s="343">
        <v>455.6</v>
      </c>
      <c r="G35" s="343">
        <v>518.4</v>
      </c>
      <c r="H35" s="343">
        <v>0</v>
      </c>
      <c r="I35" s="343">
        <v>600</v>
      </c>
      <c r="J35" s="343">
        <v>0</v>
      </c>
      <c r="K35" s="343">
        <v>0</v>
      </c>
      <c r="L35" s="343">
        <v>600</v>
      </c>
      <c r="M35" s="343">
        <v>179.20000000000002</v>
      </c>
      <c r="N35" s="343">
        <v>0</v>
      </c>
      <c r="O35" s="343">
        <v>0</v>
      </c>
      <c r="P35" s="343">
        <v>300</v>
      </c>
      <c r="Q35" s="344">
        <f t="shared" si="5"/>
        <v>2653.2</v>
      </c>
      <c r="R35" s="344">
        <f t="shared" si="6"/>
        <v>221.1</v>
      </c>
      <c r="S35" s="345">
        <f t="shared" si="7"/>
        <v>2.1486699496538093</v>
      </c>
      <c r="T35" s="346">
        <f t="shared" si="8"/>
        <v>9.8036661330504454E-2</v>
      </c>
      <c r="U35" s="370"/>
      <c r="V35" s="371"/>
    </row>
    <row r="36" spans="1:22" s="347" customFormat="1" outlineLevel="1" x14ac:dyDescent="0.25">
      <c r="A36" s="341">
        <v>18</v>
      </c>
      <c r="B36" s="342" t="s">
        <v>427</v>
      </c>
      <c r="C36" s="342" t="s">
        <v>147</v>
      </c>
      <c r="D36" s="342" t="s">
        <v>146</v>
      </c>
      <c r="E36" s="343">
        <v>344.8</v>
      </c>
      <c r="F36" s="343">
        <v>612.79999999999995</v>
      </c>
      <c r="G36" s="343">
        <v>524</v>
      </c>
      <c r="H36" s="343">
        <v>0</v>
      </c>
      <c r="I36" s="343">
        <v>0</v>
      </c>
      <c r="J36" s="343">
        <v>300</v>
      </c>
      <c r="K36" s="343">
        <v>568.79999999999995</v>
      </c>
      <c r="L36" s="343">
        <v>89.600000000000009</v>
      </c>
      <c r="M36" s="343">
        <v>419.20000000000005</v>
      </c>
      <c r="N36" s="343">
        <v>440.48</v>
      </c>
      <c r="O36" s="343">
        <v>300</v>
      </c>
      <c r="P36" s="343">
        <v>600</v>
      </c>
      <c r="Q36" s="344">
        <f t="shared" si="5"/>
        <v>4199.68</v>
      </c>
      <c r="R36" s="344">
        <f t="shared" si="6"/>
        <v>349.97333333333336</v>
      </c>
      <c r="S36" s="345">
        <f t="shared" si="7"/>
        <v>3.4010727476866087</v>
      </c>
      <c r="T36" s="346">
        <f t="shared" si="8"/>
        <v>0.1551796343496506</v>
      </c>
      <c r="U36" s="370"/>
      <c r="V36" s="371"/>
    </row>
    <row r="37" spans="1:22" s="347" customFormat="1" outlineLevel="1" x14ac:dyDescent="0.25">
      <c r="A37" s="341">
        <v>19</v>
      </c>
      <c r="B37" s="342" t="s">
        <v>80</v>
      </c>
      <c r="C37" s="342" t="s">
        <v>147</v>
      </c>
      <c r="D37" s="342" t="s">
        <v>146</v>
      </c>
      <c r="E37" s="343">
        <v>0</v>
      </c>
      <c r="F37" s="343">
        <v>0</v>
      </c>
      <c r="G37" s="343">
        <v>0</v>
      </c>
      <c r="H37" s="343">
        <v>0</v>
      </c>
      <c r="I37" s="343">
        <v>0</v>
      </c>
      <c r="J37" s="343">
        <v>0</v>
      </c>
      <c r="K37" s="343">
        <v>0</v>
      </c>
      <c r="L37" s="343">
        <v>480</v>
      </c>
      <c r="M37" s="343">
        <v>0</v>
      </c>
      <c r="N37" s="343">
        <v>0</v>
      </c>
      <c r="O37" s="343">
        <v>0</v>
      </c>
      <c r="P37" s="343">
        <v>0</v>
      </c>
      <c r="Q37" s="344">
        <f t="shared" si="5"/>
        <v>480</v>
      </c>
      <c r="R37" s="344">
        <f t="shared" si="6"/>
        <v>40</v>
      </c>
      <c r="S37" s="345">
        <f t="shared" si="7"/>
        <v>0.38872364534668646</v>
      </c>
      <c r="T37" s="346">
        <f t="shared" si="8"/>
        <v>1.7736166681231017E-2</v>
      </c>
      <c r="U37" s="370"/>
      <c r="V37" s="371"/>
    </row>
    <row r="38" spans="1:22" s="347" customFormat="1" outlineLevel="1" x14ac:dyDescent="0.25">
      <c r="A38" s="341">
        <v>20</v>
      </c>
      <c r="B38" s="342" t="s">
        <v>433</v>
      </c>
      <c r="C38" s="342" t="s">
        <v>147</v>
      </c>
      <c r="D38" s="342" t="s">
        <v>146</v>
      </c>
      <c r="E38" s="343">
        <v>358.40000000000003</v>
      </c>
      <c r="F38" s="343">
        <v>89.600000000000009</v>
      </c>
      <c r="G38" s="343">
        <v>134.4</v>
      </c>
      <c r="H38" s="343">
        <v>179.20000000000002</v>
      </c>
      <c r="I38" s="343">
        <v>89.600000000000009</v>
      </c>
      <c r="J38" s="343">
        <v>403.20000000000005</v>
      </c>
      <c r="K38" s="343">
        <v>89.600000000000009</v>
      </c>
      <c r="L38" s="343">
        <v>89.600000000000009</v>
      </c>
      <c r="M38" s="343">
        <v>289.20000000000005</v>
      </c>
      <c r="N38" s="343">
        <v>179.20000000000002</v>
      </c>
      <c r="O38" s="343">
        <v>196</v>
      </c>
      <c r="P38" s="343">
        <v>89.600000000000009</v>
      </c>
      <c r="Q38" s="344">
        <f t="shared" si="5"/>
        <v>2187.6</v>
      </c>
      <c r="R38" s="344">
        <f t="shared" si="6"/>
        <v>182.29999999999998</v>
      </c>
      <c r="S38" s="345">
        <f t="shared" si="7"/>
        <v>1.7716080136675234</v>
      </c>
      <c r="T38" s="346">
        <f t="shared" si="8"/>
        <v>8.0832579649710357E-2</v>
      </c>
      <c r="U38" s="370"/>
      <c r="V38" s="371"/>
    </row>
    <row r="39" spans="1:22" s="347" customFormat="1" outlineLevel="1" x14ac:dyDescent="0.25">
      <c r="A39" s="341">
        <v>21</v>
      </c>
      <c r="B39" s="342" t="s">
        <v>206</v>
      </c>
      <c r="C39" s="342" t="s">
        <v>1002</v>
      </c>
      <c r="D39" s="342" t="s">
        <v>146</v>
      </c>
      <c r="E39" s="343">
        <v>0</v>
      </c>
      <c r="F39" s="343">
        <v>448</v>
      </c>
      <c r="G39" s="343">
        <v>0</v>
      </c>
      <c r="H39" s="343">
        <v>0</v>
      </c>
      <c r="I39" s="343">
        <v>448</v>
      </c>
      <c r="J39" s="343">
        <v>0</v>
      </c>
      <c r="K39" s="343">
        <v>0</v>
      </c>
      <c r="L39" s="343">
        <v>448</v>
      </c>
      <c r="M39" s="343">
        <v>600</v>
      </c>
      <c r="N39" s="343">
        <v>0</v>
      </c>
      <c r="O39" s="343">
        <v>448</v>
      </c>
      <c r="P39" s="343">
        <v>0</v>
      </c>
      <c r="Q39" s="344">
        <f t="shared" si="5"/>
        <v>2392</v>
      </c>
      <c r="R39" s="344">
        <f t="shared" si="6"/>
        <v>199.33333333333334</v>
      </c>
      <c r="S39" s="345">
        <f t="shared" si="7"/>
        <v>1.9371394993109876</v>
      </c>
      <c r="T39" s="346">
        <f t="shared" si="8"/>
        <v>8.8385230628134581E-2</v>
      </c>
      <c r="U39" s="370"/>
      <c r="V39" s="371"/>
    </row>
    <row r="40" spans="1:22" s="347" customFormat="1" outlineLevel="1" x14ac:dyDescent="0.25">
      <c r="A40" s="341">
        <v>22</v>
      </c>
      <c r="B40" s="342" t="s">
        <v>299</v>
      </c>
      <c r="C40" s="342" t="s">
        <v>147</v>
      </c>
      <c r="D40" s="342" t="s">
        <v>146</v>
      </c>
      <c r="E40" s="343">
        <v>0</v>
      </c>
      <c r="F40" s="343">
        <v>0</v>
      </c>
      <c r="G40" s="343">
        <v>0</v>
      </c>
      <c r="H40" s="343">
        <v>0</v>
      </c>
      <c r="I40" s="343">
        <v>0</v>
      </c>
      <c r="J40" s="343">
        <v>0</v>
      </c>
      <c r="K40" s="343">
        <v>0</v>
      </c>
      <c r="L40" s="343">
        <v>0</v>
      </c>
      <c r="M40" s="343">
        <v>0</v>
      </c>
      <c r="N40" s="343">
        <v>0</v>
      </c>
      <c r="O40" s="343">
        <v>0</v>
      </c>
      <c r="P40" s="343">
        <v>0</v>
      </c>
      <c r="Q40" s="344">
        <f t="shared" si="5"/>
        <v>0</v>
      </c>
      <c r="R40" s="344">
        <f t="shared" si="6"/>
        <v>0</v>
      </c>
      <c r="S40" s="345">
        <f t="shared" si="7"/>
        <v>0</v>
      </c>
      <c r="T40" s="346">
        <f t="shared" si="8"/>
        <v>0</v>
      </c>
      <c r="U40" s="370"/>
      <c r="V40" s="371"/>
    </row>
    <row r="41" spans="1:22" s="347" customFormat="1" outlineLevel="1" x14ac:dyDescent="0.25">
      <c r="A41" s="341">
        <v>23</v>
      </c>
      <c r="B41" s="342" t="s">
        <v>331</v>
      </c>
      <c r="C41" s="342" t="s">
        <v>147</v>
      </c>
      <c r="D41" s="342" t="s">
        <v>146</v>
      </c>
      <c r="E41" s="343">
        <v>89.600000000000009</v>
      </c>
      <c r="F41" s="343">
        <v>0</v>
      </c>
      <c r="G41" s="343">
        <v>179.20000000000002</v>
      </c>
      <c r="H41" s="343">
        <v>0</v>
      </c>
      <c r="I41" s="343">
        <v>0</v>
      </c>
      <c r="J41" s="343">
        <v>143.36000000000001</v>
      </c>
      <c r="K41" s="343">
        <v>89.600000000000009</v>
      </c>
      <c r="L41" s="343">
        <v>89.600000000000009</v>
      </c>
      <c r="M41" s="343">
        <v>89.600000000000009</v>
      </c>
      <c r="N41" s="343">
        <v>89.600000000000009</v>
      </c>
      <c r="O41" s="343">
        <v>0</v>
      </c>
      <c r="P41" s="343">
        <v>233.60000000000002</v>
      </c>
      <c r="Q41" s="344">
        <f t="shared" si="5"/>
        <v>1004.1600000000001</v>
      </c>
      <c r="R41" s="344">
        <f t="shared" si="6"/>
        <v>83.68</v>
      </c>
      <c r="S41" s="345">
        <f t="shared" si="7"/>
        <v>0.81320986606526813</v>
      </c>
      <c r="T41" s="346">
        <f t="shared" si="8"/>
        <v>3.7104060697135295E-2</v>
      </c>
      <c r="U41" s="370"/>
      <c r="V41" s="371"/>
    </row>
    <row r="42" spans="1:22" s="347" customFormat="1" outlineLevel="1" x14ac:dyDescent="0.25">
      <c r="A42" s="341">
        <v>24</v>
      </c>
      <c r="B42" s="342" t="s">
        <v>204</v>
      </c>
      <c r="C42" s="342" t="s">
        <v>1002</v>
      </c>
      <c r="D42" s="342" t="s">
        <v>146</v>
      </c>
      <c r="E42" s="343">
        <v>89.600000000000009</v>
      </c>
      <c r="F42" s="343">
        <v>0</v>
      </c>
      <c r="G42" s="343">
        <v>134.4</v>
      </c>
      <c r="H42" s="343">
        <v>0</v>
      </c>
      <c r="I42" s="343">
        <v>179.20000000000002</v>
      </c>
      <c r="J42" s="343">
        <v>224</v>
      </c>
      <c r="K42" s="343">
        <v>134.4</v>
      </c>
      <c r="L42" s="343">
        <v>89.600000000000009</v>
      </c>
      <c r="M42" s="343">
        <v>89.600000000000009</v>
      </c>
      <c r="N42" s="343">
        <v>0</v>
      </c>
      <c r="O42" s="343">
        <v>89.600000000000009</v>
      </c>
      <c r="P42" s="343">
        <v>0</v>
      </c>
      <c r="Q42" s="344">
        <f t="shared" si="5"/>
        <v>1030.4000000000001</v>
      </c>
      <c r="R42" s="344">
        <f t="shared" si="6"/>
        <v>85.866666666666674</v>
      </c>
      <c r="S42" s="345">
        <f t="shared" si="7"/>
        <v>0.834460092010887</v>
      </c>
      <c r="T42" s="346">
        <f t="shared" si="8"/>
        <v>3.807363780904259E-2</v>
      </c>
      <c r="U42" s="370"/>
      <c r="V42" s="371"/>
    </row>
    <row r="43" spans="1:22" s="347" customFormat="1" outlineLevel="1" x14ac:dyDescent="0.25">
      <c r="A43" s="341">
        <v>25</v>
      </c>
      <c r="B43" s="342" t="s">
        <v>429</v>
      </c>
      <c r="C43" s="342" t="s">
        <v>986</v>
      </c>
      <c r="D43" s="342" t="s">
        <v>146</v>
      </c>
      <c r="E43" s="343">
        <v>0</v>
      </c>
      <c r="F43" s="343">
        <v>179.20000000000002</v>
      </c>
      <c r="G43" s="343">
        <v>268.8</v>
      </c>
      <c r="H43" s="343">
        <v>179.20000000000002</v>
      </c>
      <c r="I43" s="343">
        <v>179.20000000000002</v>
      </c>
      <c r="J43" s="343">
        <v>179.20000000000002</v>
      </c>
      <c r="K43" s="343">
        <v>358.40000000000003</v>
      </c>
      <c r="L43" s="343">
        <v>179.20000000000002</v>
      </c>
      <c r="M43" s="343">
        <v>358.40000000000003</v>
      </c>
      <c r="N43" s="343">
        <v>179.20000000000002</v>
      </c>
      <c r="O43" s="343">
        <v>179.20000000000002</v>
      </c>
      <c r="P43" s="343">
        <v>179.20000000000002</v>
      </c>
      <c r="Q43" s="344">
        <f t="shared" si="5"/>
        <v>2419.1999999999998</v>
      </c>
      <c r="R43" s="344">
        <f t="shared" si="6"/>
        <v>201.6</v>
      </c>
      <c r="S43" s="345">
        <f t="shared" si="7"/>
        <v>1.9591671725472997</v>
      </c>
      <c r="T43" s="346">
        <f t="shared" si="8"/>
        <v>8.9390280073404327E-2</v>
      </c>
      <c r="U43" s="370"/>
      <c r="V43" s="371"/>
    </row>
    <row r="44" spans="1:22" s="347" customFormat="1" outlineLevel="1" x14ac:dyDescent="0.25">
      <c r="A44" s="341">
        <v>26</v>
      </c>
      <c r="B44" s="342" t="s">
        <v>257</v>
      </c>
      <c r="C44" s="342" t="s">
        <v>147</v>
      </c>
      <c r="D44" s="342" t="s">
        <v>146</v>
      </c>
      <c r="E44" s="343">
        <v>0</v>
      </c>
      <c r="F44" s="343">
        <v>191.68</v>
      </c>
      <c r="G44" s="343">
        <v>104.80000000000001</v>
      </c>
      <c r="H44" s="343">
        <v>0</v>
      </c>
      <c r="I44" s="343">
        <v>0</v>
      </c>
      <c r="J44" s="343">
        <v>0</v>
      </c>
      <c r="K44" s="343">
        <v>180</v>
      </c>
      <c r="L44" s="343">
        <v>185.60000000000002</v>
      </c>
      <c r="M44" s="343">
        <v>77.759999999999991</v>
      </c>
      <c r="N44" s="343">
        <v>104.80000000000001</v>
      </c>
      <c r="O44" s="343">
        <v>104.80000000000001</v>
      </c>
      <c r="P44" s="343">
        <v>0</v>
      </c>
      <c r="Q44" s="344">
        <f t="shared" si="5"/>
        <v>949.44</v>
      </c>
      <c r="R44" s="344">
        <f t="shared" si="6"/>
        <v>79.12</v>
      </c>
      <c r="S44" s="345">
        <f t="shared" si="7"/>
        <v>0.76889537049574586</v>
      </c>
      <c r="T44" s="346">
        <f t="shared" si="8"/>
        <v>3.5082137695474955E-2</v>
      </c>
      <c r="U44" s="370"/>
      <c r="V44" s="371"/>
    </row>
    <row r="45" spans="1:22" s="347" customFormat="1" outlineLevel="1" x14ac:dyDescent="0.25">
      <c r="A45" s="341">
        <v>27</v>
      </c>
      <c r="B45" s="342" t="s">
        <v>307</v>
      </c>
      <c r="C45" s="342" t="s">
        <v>154</v>
      </c>
      <c r="D45" s="342" t="s">
        <v>146</v>
      </c>
      <c r="E45" s="343">
        <v>0</v>
      </c>
      <c r="F45" s="343">
        <v>0</v>
      </c>
      <c r="G45" s="343">
        <v>0</v>
      </c>
      <c r="H45" s="343">
        <v>0</v>
      </c>
      <c r="I45" s="343">
        <v>0</v>
      </c>
      <c r="J45" s="343">
        <v>0</v>
      </c>
      <c r="K45" s="343">
        <v>0</v>
      </c>
      <c r="L45" s="343">
        <v>0</v>
      </c>
      <c r="M45" s="343">
        <v>0</v>
      </c>
      <c r="N45" s="343">
        <v>0</v>
      </c>
      <c r="O45" s="343">
        <v>0</v>
      </c>
      <c r="P45" s="343">
        <v>0</v>
      </c>
      <c r="Q45" s="344">
        <f t="shared" si="5"/>
        <v>0</v>
      </c>
      <c r="R45" s="344">
        <f t="shared" si="6"/>
        <v>0</v>
      </c>
      <c r="S45" s="345">
        <f t="shared" si="7"/>
        <v>0</v>
      </c>
      <c r="T45" s="346">
        <f t="shared" si="8"/>
        <v>0</v>
      </c>
      <c r="U45" s="370"/>
      <c r="V45" s="371"/>
    </row>
    <row r="46" spans="1:22" s="347" customFormat="1" outlineLevel="1" x14ac:dyDescent="0.25">
      <c r="A46" s="341">
        <v>28</v>
      </c>
      <c r="B46" s="342" t="s">
        <v>74</v>
      </c>
      <c r="C46" s="342" t="s">
        <v>147</v>
      </c>
      <c r="D46" s="342" t="s">
        <v>146</v>
      </c>
      <c r="E46" s="343">
        <v>194.4</v>
      </c>
      <c r="F46" s="343">
        <v>224</v>
      </c>
      <c r="G46" s="343">
        <v>0</v>
      </c>
      <c r="H46" s="343">
        <v>149.60000000000002</v>
      </c>
      <c r="I46" s="343">
        <v>0</v>
      </c>
      <c r="J46" s="343">
        <v>0</v>
      </c>
      <c r="K46" s="343">
        <v>0</v>
      </c>
      <c r="L46" s="343">
        <v>0</v>
      </c>
      <c r="M46" s="343">
        <v>239.52</v>
      </c>
      <c r="N46" s="343">
        <v>44.800000000000004</v>
      </c>
      <c r="O46" s="343">
        <v>104.80000000000001</v>
      </c>
      <c r="P46" s="343">
        <v>0</v>
      </c>
      <c r="Q46" s="344">
        <f t="shared" si="5"/>
        <v>957.11999999999989</v>
      </c>
      <c r="R46" s="344">
        <f t="shared" si="6"/>
        <v>79.759999999999991</v>
      </c>
      <c r="S46" s="345">
        <f t="shared" si="7"/>
        <v>0.77511494882129273</v>
      </c>
      <c r="T46" s="346">
        <f t="shared" si="8"/>
        <v>3.5365916362374648E-2</v>
      </c>
      <c r="U46" s="370"/>
      <c r="V46" s="371"/>
    </row>
    <row r="47" spans="1:22" s="347" customFormat="1" outlineLevel="1" x14ac:dyDescent="0.25">
      <c r="A47" s="341">
        <v>29</v>
      </c>
      <c r="B47" s="342">
        <v>155</v>
      </c>
      <c r="C47" s="342" t="s">
        <v>147</v>
      </c>
      <c r="D47" s="342" t="s">
        <v>146</v>
      </c>
      <c r="E47" s="343">
        <v>0</v>
      </c>
      <c r="F47" s="343">
        <v>0</v>
      </c>
      <c r="G47" s="343">
        <v>0</v>
      </c>
      <c r="H47" s="343">
        <v>0</v>
      </c>
      <c r="I47" s="343">
        <v>0</v>
      </c>
      <c r="J47" s="343">
        <v>0</v>
      </c>
      <c r="K47" s="343">
        <v>0</v>
      </c>
      <c r="L47" s="343">
        <v>0</v>
      </c>
      <c r="M47" s="343">
        <v>0</v>
      </c>
      <c r="N47" s="343">
        <v>0</v>
      </c>
      <c r="O47" s="343">
        <v>0</v>
      </c>
      <c r="P47" s="343">
        <v>0</v>
      </c>
      <c r="Q47" s="344">
        <f t="shared" si="5"/>
        <v>0</v>
      </c>
      <c r="R47" s="344">
        <f t="shared" si="6"/>
        <v>0</v>
      </c>
      <c r="S47" s="345">
        <f t="shared" si="7"/>
        <v>0</v>
      </c>
      <c r="T47" s="346">
        <f t="shared" si="8"/>
        <v>0</v>
      </c>
      <c r="U47" s="370"/>
      <c r="V47" s="371"/>
    </row>
    <row r="48" spans="1:22" s="347" customFormat="1" outlineLevel="1" x14ac:dyDescent="0.25">
      <c r="A48" s="341">
        <v>30</v>
      </c>
      <c r="B48" s="342" t="s">
        <v>292</v>
      </c>
      <c r="C48" s="342" t="s">
        <v>986</v>
      </c>
      <c r="D48" s="342" t="s">
        <v>146</v>
      </c>
      <c r="E48" s="343">
        <v>0</v>
      </c>
      <c r="F48" s="343">
        <v>0</v>
      </c>
      <c r="G48" s="343">
        <v>0</v>
      </c>
      <c r="H48" s="343">
        <v>0</v>
      </c>
      <c r="I48" s="343">
        <v>0</v>
      </c>
      <c r="J48" s="343">
        <v>98.56</v>
      </c>
      <c r="K48" s="343">
        <v>0</v>
      </c>
      <c r="L48" s="343">
        <v>0</v>
      </c>
      <c r="M48" s="343">
        <v>0</v>
      </c>
      <c r="N48" s="343">
        <v>0</v>
      </c>
      <c r="O48" s="343">
        <v>0</v>
      </c>
      <c r="P48" s="343">
        <v>0</v>
      </c>
      <c r="Q48" s="344">
        <f t="shared" si="5"/>
        <v>98.56</v>
      </c>
      <c r="R48" s="344">
        <f t="shared" si="6"/>
        <v>8.2133333333333329</v>
      </c>
      <c r="S48" s="345">
        <f t="shared" si="7"/>
        <v>7.9817921844519621E-2</v>
      </c>
      <c r="T48" s="346">
        <f t="shared" si="8"/>
        <v>3.6418262252127689E-3</v>
      </c>
      <c r="U48" s="370"/>
      <c r="V48" s="371"/>
    </row>
    <row r="49" spans="1:22" s="347" customFormat="1" outlineLevel="1" x14ac:dyDescent="0.25">
      <c r="A49" s="341">
        <v>31</v>
      </c>
      <c r="B49" s="342" t="s">
        <v>212</v>
      </c>
      <c r="C49" s="342" t="s">
        <v>1002</v>
      </c>
      <c r="D49" s="342" t="s">
        <v>146</v>
      </c>
      <c r="E49" s="343">
        <v>0</v>
      </c>
      <c r="F49" s="343">
        <v>0</v>
      </c>
      <c r="G49" s="343">
        <v>0</v>
      </c>
      <c r="H49" s="343">
        <v>0</v>
      </c>
      <c r="I49" s="343">
        <v>0</v>
      </c>
      <c r="J49" s="343">
        <v>0</v>
      </c>
      <c r="K49" s="343">
        <v>0</v>
      </c>
      <c r="L49" s="343">
        <v>0</v>
      </c>
      <c r="M49" s="343">
        <v>0</v>
      </c>
      <c r="N49" s="343">
        <v>0</v>
      </c>
      <c r="O49" s="343">
        <v>0</v>
      </c>
      <c r="P49" s="343">
        <v>224</v>
      </c>
      <c r="Q49" s="344">
        <f t="shared" si="5"/>
        <v>224</v>
      </c>
      <c r="R49" s="344">
        <f t="shared" si="6"/>
        <v>18.666666666666668</v>
      </c>
      <c r="S49" s="345">
        <f t="shared" si="7"/>
        <v>0.18140436782845368</v>
      </c>
      <c r="T49" s="346">
        <f t="shared" si="8"/>
        <v>8.276877784574475E-3</v>
      </c>
      <c r="U49" s="370"/>
      <c r="V49" s="371"/>
    </row>
    <row r="50" spans="1:22" s="347" customFormat="1" outlineLevel="1" x14ac:dyDescent="0.25">
      <c r="A50" s="341">
        <v>32</v>
      </c>
      <c r="B50" s="342" t="s">
        <v>409</v>
      </c>
      <c r="C50" s="342" t="s">
        <v>990</v>
      </c>
      <c r="D50" s="342" t="s">
        <v>146</v>
      </c>
      <c r="E50" s="343">
        <v>120</v>
      </c>
      <c r="F50" s="343">
        <v>120</v>
      </c>
      <c r="G50" s="343">
        <v>0</v>
      </c>
      <c r="H50" s="343">
        <v>0</v>
      </c>
      <c r="I50" s="343">
        <v>120</v>
      </c>
      <c r="J50" s="343">
        <v>0</v>
      </c>
      <c r="K50" s="343">
        <v>0</v>
      </c>
      <c r="L50" s="343">
        <v>0</v>
      </c>
      <c r="M50" s="343">
        <v>0</v>
      </c>
      <c r="N50" s="343">
        <v>0</v>
      </c>
      <c r="O50" s="343">
        <v>120</v>
      </c>
      <c r="P50" s="343">
        <v>0</v>
      </c>
      <c r="Q50" s="344">
        <f t="shared" ref="Q50:Q92" si="9">SUM(E50:P50)</f>
        <v>480</v>
      </c>
      <c r="R50" s="344">
        <f t="shared" si="6"/>
        <v>40</v>
      </c>
      <c r="S50" s="345">
        <f t="shared" si="7"/>
        <v>0.38872364534668646</v>
      </c>
      <c r="T50" s="346">
        <f t="shared" si="8"/>
        <v>1.7736166681231017E-2</v>
      </c>
      <c r="U50" s="370"/>
      <c r="V50" s="371"/>
    </row>
    <row r="51" spans="1:22" s="347" customFormat="1" outlineLevel="1" x14ac:dyDescent="0.25">
      <c r="A51" s="341">
        <v>33</v>
      </c>
      <c r="B51" s="342" t="s">
        <v>290</v>
      </c>
      <c r="C51" s="342" t="s">
        <v>147</v>
      </c>
      <c r="D51" s="342" t="s">
        <v>146</v>
      </c>
      <c r="E51" s="343">
        <v>413.76</v>
      </c>
      <c r="F51" s="343">
        <v>422.72</v>
      </c>
      <c r="G51" s="343">
        <v>360</v>
      </c>
      <c r="H51" s="343">
        <v>404.8</v>
      </c>
      <c r="I51" s="343">
        <v>242.72</v>
      </c>
      <c r="J51" s="343">
        <v>317</v>
      </c>
      <c r="K51" s="343">
        <v>640.72</v>
      </c>
      <c r="L51" s="343">
        <v>386.88</v>
      </c>
      <c r="M51" s="343">
        <v>494.88</v>
      </c>
      <c r="N51" s="343">
        <v>180</v>
      </c>
      <c r="O51" s="343">
        <v>180</v>
      </c>
      <c r="P51" s="343">
        <v>404.8</v>
      </c>
      <c r="Q51" s="344">
        <f t="shared" si="9"/>
        <v>4448.2800000000007</v>
      </c>
      <c r="R51" s="344">
        <f t="shared" si="6"/>
        <v>370.69000000000005</v>
      </c>
      <c r="S51" s="345">
        <f t="shared" ref="S51:S81" si="10">R51/$R$93%</f>
        <v>3.6023992023390807</v>
      </c>
      <c r="T51" s="346">
        <f t="shared" ref="T51:T82" si="11">R51/$R$134%</f>
        <v>0.16436549067663817</v>
      </c>
      <c r="U51" s="370"/>
      <c r="V51" s="371"/>
    </row>
    <row r="52" spans="1:22" s="347" customFormat="1" outlineLevel="1" x14ac:dyDescent="0.25">
      <c r="A52" s="341">
        <v>34</v>
      </c>
      <c r="B52" s="342" t="s">
        <v>301</v>
      </c>
      <c r="C52" s="342" t="s">
        <v>147</v>
      </c>
      <c r="D52" s="342" t="s">
        <v>146</v>
      </c>
      <c r="E52" s="343">
        <v>71.680000000000007</v>
      </c>
      <c r="F52" s="343">
        <v>89.600000000000009</v>
      </c>
      <c r="G52" s="343">
        <v>89.600000000000009</v>
      </c>
      <c r="H52" s="343">
        <v>89.600000000000009</v>
      </c>
      <c r="I52" s="343">
        <v>0</v>
      </c>
      <c r="J52" s="343">
        <v>0</v>
      </c>
      <c r="K52" s="343">
        <v>0</v>
      </c>
      <c r="L52" s="343">
        <v>0</v>
      </c>
      <c r="M52" s="343">
        <v>0</v>
      </c>
      <c r="N52" s="343">
        <v>89.600000000000009</v>
      </c>
      <c r="O52" s="343">
        <v>0</v>
      </c>
      <c r="P52" s="343">
        <v>0</v>
      </c>
      <c r="Q52" s="344">
        <f t="shared" si="9"/>
        <v>430.0800000000001</v>
      </c>
      <c r="R52" s="344">
        <f t="shared" si="6"/>
        <v>35.840000000000011</v>
      </c>
      <c r="S52" s="345">
        <f t="shared" si="10"/>
        <v>0.34829638623063114</v>
      </c>
      <c r="T52" s="346">
        <f t="shared" si="11"/>
        <v>1.5891605346382998E-2</v>
      </c>
      <c r="U52" s="370"/>
      <c r="V52" s="371"/>
    </row>
    <row r="53" spans="1:22" s="347" customFormat="1" outlineLevel="1" x14ac:dyDescent="0.25">
      <c r="A53" s="341">
        <v>35</v>
      </c>
      <c r="B53" s="342">
        <v>745</v>
      </c>
      <c r="C53" s="342" t="s">
        <v>986</v>
      </c>
      <c r="D53" s="342" t="s">
        <v>146</v>
      </c>
      <c r="E53" s="343">
        <v>44.800000000000004</v>
      </c>
      <c r="F53" s="343">
        <v>224</v>
      </c>
      <c r="G53" s="343">
        <v>295.68</v>
      </c>
      <c r="H53" s="343">
        <v>313.60000000000002</v>
      </c>
      <c r="I53" s="343">
        <v>224</v>
      </c>
      <c r="J53" s="343">
        <v>672</v>
      </c>
      <c r="K53" s="343">
        <v>448</v>
      </c>
      <c r="L53" s="343">
        <v>0</v>
      </c>
      <c r="M53" s="343">
        <v>448</v>
      </c>
      <c r="N53" s="343">
        <v>448</v>
      </c>
      <c r="O53" s="343">
        <v>448</v>
      </c>
      <c r="P53" s="343">
        <v>448</v>
      </c>
      <c r="Q53" s="344">
        <f t="shared" si="9"/>
        <v>4014.08</v>
      </c>
      <c r="R53" s="344">
        <f t="shared" si="6"/>
        <v>334.50666666666666</v>
      </c>
      <c r="S53" s="345">
        <f t="shared" si="10"/>
        <v>3.2507662714858898</v>
      </c>
      <c r="T53" s="346">
        <f t="shared" si="11"/>
        <v>0.14832164989957458</v>
      </c>
      <c r="U53" s="370"/>
      <c r="V53" s="371"/>
    </row>
    <row r="54" spans="1:22" s="347" customFormat="1" outlineLevel="1" x14ac:dyDescent="0.25">
      <c r="A54" s="341">
        <v>36</v>
      </c>
      <c r="B54" s="342" t="s">
        <v>250</v>
      </c>
      <c r="C54" s="342" t="s">
        <v>147</v>
      </c>
      <c r="D54" s="342" t="s">
        <v>146</v>
      </c>
      <c r="E54" s="343">
        <v>149.60000000000002</v>
      </c>
      <c r="F54" s="343">
        <v>12</v>
      </c>
      <c r="G54" s="343">
        <v>209.60000000000002</v>
      </c>
      <c r="H54" s="343">
        <v>0</v>
      </c>
      <c r="I54" s="343">
        <v>89.600000000000009</v>
      </c>
      <c r="J54" s="343">
        <v>0</v>
      </c>
      <c r="K54" s="343">
        <v>143.51999999999998</v>
      </c>
      <c r="L54" s="343">
        <v>364.8</v>
      </c>
      <c r="M54" s="343">
        <v>125.60000000000001</v>
      </c>
      <c r="N54" s="343">
        <v>0</v>
      </c>
      <c r="O54" s="343">
        <v>104.80000000000001</v>
      </c>
      <c r="P54" s="343">
        <v>0</v>
      </c>
      <c r="Q54" s="344">
        <f t="shared" si="9"/>
        <v>1199.52</v>
      </c>
      <c r="R54" s="344">
        <f t="shared" si="6"/>
        <v>99.96</v>
      </c>
      <c r="S54" s="345">
        <f t="shared" si="10"/>
        <v>0.97142038972136935</v>
      </c>
      <c r="T54" s="346">
        <f t="shared" si="11"/>
        <v>4.4322680536396313E-2</v>
      </c>
      <c r="U54" s="370"/>
      <c r="V54" s="371"/>
    </row>
    <row r="55" spans="1:22" s="347" customFormat="1" outlineLevel="1" x14ac:dyDescent="0.25">
      <c r="A55" s="341">
        <v>37</v>
      </c>
      <c r="B55" s="342" t="s">
        <v>268</v>
      </c>
      <c r="C55" s="342" t="s">
        <v>147</v>
      </c>
      <c r="D55" s="342" t="s">
        <v>146</v>
      </c>
      <c r="E55" s="343">
        <v>80.800000000000011</v>
      </c>
      <c r="F55" s="343">
        <v>125.60000000000001</v>
      </c>
      <c r="G55" s="343">
        <v>0</v>
      </c>
      <c r="H55" s="343">
        <v>254.4</v>
      </c>
      <c r="I55" s="343">
        <v>60</v>
      </c>
      <c r="J55" s="343">
        <v>149.60000000000002</v>
      </c>
      <c r="K55" s="343">
        <v>209.60000000000002</v>
      </c>
      <c r="L55" s="343">
        <v>60</v>
      </c>
      <c r="M55" s="343">
        <v>146.88</v>
      </c>
      <c r="N55" s="343">
        <v>164.8</v>
      </c>
      <c r="O55" s="343">
        <v>0</v>
      </c>
      <c r="P55" s="343">
        <v>0</v>
      </c>
      <c r="Q55" s="344">
        <f t="shared" si="9"/>
        <v>1251.68</v>
      </c>
      <c r="R55" s="344">
        <f t="shared" si="6"/>
        <v>104.30666666666667</v>
      </c>
      <c r="S55" s="345">
        <f t="shared" si="10"/>
        <v>1.0136616925157094</v>
      </c>
      <c r="T55" s="346">
        <f t="shared" si="11"/>
        <v>4.6250010649090088E-2</v>
      </c>
      <c r="U55" s="370"/>
      <c r="V55" s="371"/>
    </row>
    <row r="56" spans="1:22" s="347" customFormat="1" outlineLevel="1" x14ac:dyDescent="0.25">
      <c r="A56" s="341">
        <v>38</v>
      </c>
      <c r="B56" s="342" t="s">
        <v>300</v>
      </c>
      <c r="C56" s="342" t="s">
        <v>147</v>
      </c>
      <c r="D56" s="342" t="s">
        <v>146</v>
      </c>
      <c r="E56" s="343">
        <v>89.600000000000009</v>
      </c>
      <c r="F56" s="343">
        <v>0</v>
      </c>
      <c r="G56" s="343">
        <v>0</v>
      </c>
      <c r="H56" s="343">
        <v>0</v>
      </c>
      <c r="I56" s="343">
        <v>176.8</v>
      </c>
      <c r="J56" s="343">
        <v>132</v>
      </c>
      <c r="K56" s="343">
        <v>120</v>
      </c>
      <c r="L56" s="343">
        <v>51.800000000000004</v>
      </c>
      <c r="M56" s="343">
        <v>0</v>
      </c>
      <c r="N56" s="343">
        <v>0</v>
      </c>
      <c r="O56" s="343">
        <v>0</v>
      </c>
      <c r="P56" s="343">
        <v>0</v>
      </c>
      <c r="Q56" s="344">
        <f t="shared" si="9"/>
        <v>570.20000000000005</v>
      </c>
      <c r="R56" s="344">
        <f t="shared" si="6"/>
        <v>47.516666666666673</v>
      </c>
      <c r="S56" s="345">
        <f t="shared" si="10"/>
        <v>0.46177129703475134</v>
      </c>
      <c r="T56" s="346">
        <f t="shared" si="11"/>
        <v>2.106908800341235E-2</v>
      </c>
      <c r="U56" s="370"/>
      <c r="V56" s="371"/>
    </row>
    <row r="57" spans="1:22" s="347" customFormat="1" outlineLevel="1" x14ac:dyDescent="0.25">
      <c r="A57" s="341">
        <v>39</v>
      </c>
      <c r="B57" s="342" t="s">
        <v>262</v>
      </c>
      <c r="C57" s="342" t="s">
        <v>147</v>
      </c>
      <c r="D57" s="342" t="s">
        <v>146</v>
      </c>
      <c r="E57" s="343">
        <v>179.20000000000002</v>
      </c>
      <c r="F57" s="343">
        <v>44.800000000000004</v>
      </c>
      <c r="G57" s="343">
        <v>89.600000000000009</v>
      </c>
      <c r="H57" s="343">
        <v>0</v>
      </c>
      <c r="I57" s="343">
        <v>179.20000000000002</v>
      </c>
      <c r="J57" s="343">
        <v>44.800000000000004</v>
      </c>
      <c r="K57" s="343">
        <v>0</v>
      </c>
      <c r="L57" s="343">
        <v>0</v>
      </c>
      <c r="M57" s="343">
        <v>0</v>
      </c>
      <c r="N57" s="343">
        <v>0</v>
      </c>
      <c r="O57" s="343">
        <v>0</v>
      </c>
      <c r="P57" s="343">
        <v>0</v>
      </c>
      <c r="Q57" s="344">
        <f t="shared" si="9"/>
        <v>537.6</v>
      </c>
      <c r="R57" s="344">
        <f t="shared" si="6"/>
        <v>44.800000000000004</v>
      </c>
      <c r="S57" s="345">
        <f t="shared" si="10"/>
        <v>0.43537048278828888</v>
      </c>
      <c r="T57" s="346">
        <f t="shared" si="11"/>
        <v>1.9864506682978744E-2</v>
      </c>
      <c r="U57" s="370"/>
      <c r="V57" s="371"/>
    </row>
    <row r="58" spans="1:22" s="347" customFormat="1" outlineLevel="1" x14ac:dyDescent="0.25">
      <c r="A58" s="341">
        <v>40</v>
      </c>
      <c r="B58" s="342" t="s">
        <v>267</v>
      </c>
      <c r="C58" s="342" t="s">
        <v>147</v>
      </c>
      <c r="D58" s="342" t="s">
        <v>146</v>
      </c>
      <c r="E58" s="343">
        <v>60</v>
      </c>
      <c r="F58" s="343">
        <v>120</v>
      </c>
      <c r="G58" s="343">
        <v>0</v>
      </c>
      <c r="H58" s="343">
        <v>0</v>
      </c>
      <c r="I58" s="343">
        <v>0</v>
      </c>
      <c r="J58" s="343">
        <v>86.88</v>
      </c>
      <c r="K58" s="343">
        <v>149.60000000000002</v>
      </c>
      <c r="L58" s="343">
        <v>26.88</v>
      </c>
      <c r="M58" s="343">
        <v>0</v>
      </c>
      <c r="N58" s="343">
        <v>0</v>
      </c>
      <c r="O58" s="343">
        <v>53.92</v>
      </c>
      <c r="P58" s="343">
        <v>104.80000000000001</v>
      </c>
      <c r="Q58" s="344">
        <f t="shared" si="9"/>
        <v>602.08000000000004</v>
      </c>
      <c r="R58" s="344">
        <f t="shared" si="6"/>
        <v>50.173333333333339</v>
      </c>
      <c r="S58" s="345">
        <f t="shared" si="10"/>
        <v>0.48758902581319374</v>
      </c>
      <c r="T58" s="346">
        <f t="shared" si="11"/>
        <v>2.224706507382411E-2</v>
      </c>
      <c r="U58" s="370"/>
      <c r="V58" s="371"/>
    </row>
    <row r="59" spans="1:22" s="347" customFormat="1" outlineLevel="1" x14ac:dyDescent="0.25">
      <c r="A59" s="341">
        <v>41</v>
      </c>
      <c r="B59" s="342" t="s">
        <v>255</v>
      </c>
      <c r="C59" s="342" t="s">
        <v>986</v>
      </c>
      <c r="D59" s="342" t="s">
        <v>146</v>
      </c>
      <c r="E59" s="343">
        <v>0</v>
      </c>
      <c r="F59" s="343">
        <v>0</v>
      </c>
      <c r="G59" s="343">
        <v>0</v>
      </c>
      <c r="H59" s="343">
        <v>0</v>
      </c>
      <c r="I59" s="343">
        <v>0</v>
      </c>
      <c r="J59" s="343">
        <v>0</v>
      </c>
      <c r="K59" s="343">
        <v>0</v>
      </c>
      <c r="L59" s="343">
        <v>0</v>
      </c>
      <c r="M59" s="343">
        <v>0</v>
      </c>
      <c r="N59" s="343">
        <v>0</v>
      </c>
      <c r="O59" s="343">
        <v>0</v>
      </c>
      <c r="P59" s="343">
        <v>0</v>
      </c>
      <c r="Q59" s="344">
        <f t="shared" si="9"/>
        <v>0</v>
      </c>
      <c r="R59" s="344">
        <f t="shared" si="6"/>
        <v>0</v>
      </c>
      <c r="S59" s="345">
        <f t="shared" si="10"/>
        <v>0</v>
      </c>
      <c r="T59" s="346">
        <f t="shared" si="11"/>
        <v>0</v>
      </c>
      <c r="U59" s="370"/>
      <c r="V59" s="371"/>
    </row>
    <row r="60" spans="1:22" s="347" customFormat="1" outlineLevel="1" x14ac:dyDescent="0.25">
      <c r="A60" s="341">
        <v>42</v>
      </c>
      <c r="B60" s="342" t="s">
        <v>273</v>
      </c>
      <c r="C60" s="342" t="s">
        <v>147</v>
      </c>
      <c r="D60" s="342" t="s">
        <v>146</v>
      </c>
      <c r="E60" s="343">
        <v>89.600000000000009</v>
      </c>
      <c r="F60" s="343">
        <v>0</v>
      </c>
      <c r="G60" s="343">
        <v>134.4</v>
      </c>
      <c r="H60" s="343">
        <v>134.4</v>
      </c>
      <c r="I60" s="343">
        <v>286.72000000000003</v>
      </c>
      <c r="J60" s="343">
        <v>0</v>
      </c>
      <c r="K60" s="343">
        <v>17.920000000000002</v>
      </c>
      <c r="L60" s="343">
        <v>44.8</v>
      </c>
      <c r="M60" s="343">
        <v>44.800000000000004</v>
      </c>
      <c r="N60" s="343">
        <v>53.760000000000005</v>
      </c>
      <c r="O60" s="343">
        <v>44.800000000000004</v>
      </c>
      <c r="P60" s="343">
        <v>44.800000000000004</v>
      </c>
      <c r="Q60" s="344">
        <f t="shared" si="9"/>
        <v>895.99999999999977</v>
      </c>
      <c r="R60" s="344">
        <f t="shared" si="6"/>
        <v>74.666666666666643</v>
      </c>
      <c r="S60" s="345">
        <f t="shared" si="10"/>
        <v>0.72561747131381449</v>
      </c>
      <c r="T60" s="346">
        <f t="shared" si="11"/>
        <v>3.3107511138297886E-2</v>
      </c>
      <c r="U60" s="370"/>
      <c r="V60" s="371"/>
    </row>
    <row r="61" spans="1:22" s="347" customFormat="1" outlineLevel="1" x14ac:dyDescent="0.25">
      <c r="A61" s="341">
        <v>43</v>
      </c>
      <c r="B61" s="342" t="s">
        <v>441</v>
      </c>
      <c r="C61" s="342" t="s">
        <v>147</v>
      </c>
      <c r="D61" s="342" t="s">
        <v>146</v>
      </c>
      <c r="E61" s="343">
        <v>0</v>
      </c>
      <c r="F61" s="343">
        <v>0</v>
      </c>
      <c r="G61" s="343">
        <v>0</v>
      </c>
      <c r="H61" s="343">
        <v>0</v>
      </c>
      <c r="I61" s="343">
        <v>0</v>
      </c>
      <c r="J61" s="343">
        <v>0</v>
      </c>
      <c r="K61" s="343">
        <v>0</v>
      </c>
      <c r="L61" s="343">
        <v>0</v>
      </c>
      <c r="M61" s="343">
        <v>0</v>
      </c>
      <c r="N61" s="343">
        <v>0</v>
      </c>
      <c r="O61" s="343">
        <v>0</v>
      </c>
      <c r="P61" s="343">
        <v>0</v>
      </c>
      <c r="Q61" s="344">
        <f t="shared" si="9"/>
        <v>0</v>
      </c>
      <c r="R61" s="344">
        <f t="shared" si="6"/>
        <v>0</v>
      </c>
      <c r="S61" s="345">
        <f t="shared" si="10"/>
        <v>0</v>
      </c>
      <c r="T61" s="346">
        <f t="shared" si="11"/>
        <v>0</v>
      </c>
      <c r="U61" s="370"/>
      <c r="V61" s="371"/>
    </row>
    <row r="62" spans="1:22" s="347" customFormat="1" outlineLevel="1" x14ac:dyDescent="0.25">
      <c r="A62" s="341">
        <v>44</v>
      </c>
      <c r="B62" s="342" t="s">
        <v>258</v>
      </c>
      <c r="C62" s="342" t="s">
        <v>147</v>
      </c>
      <c r="D62" s="342" t="s">
        <v>146</v>
      </c>
      <c r="E62" s="343">
        <v>0</v>
      </c>
      <c r="F62" s="343">
        <v>0</v>
      </c>
      <c r="G62" s="343">
        <v>0</v>
      </c>
      <c r="H62" s="343">
        <v>0</v>
      </c>
      <c r="I62" s="343">
        <v>0</v>
      </c>
      <c r="J62" s="343">
        <v>72</v>
      </c>
      <c r="K62" s="343">
        <v>0</v>
      </c>
      <c r="L62" s="343">
        <v>0</v>
      </c>
      <c r="M62" s="343">
        <v>240</v>
      </c>
      <c r="N62" s="343">
        <v>0</v>
      </c>
      <c r="O62" s="343">
        <v>120</v>
      </c>
      <c r="P62" s="343">
        <v>120</v>
      </c>
      <c r="Q62" s="344">
        <f t="shared" si="9"/>
        <v>552</v>
      </c>
      <c r="R62" s="344">
        <f t="shared" si="6"/>
        <v>46</v>
      </c>
      <c r="S62" s="345">
        <f t="shared" si="10"/>
        <v>0.44703219214868944</v>
      </c>
      <c r="T62" s="346">
        <f t="shared" si="11"/>
        <v>2.039659168341567E-2</v>
      </c>
      <c r="U62" s="370"/>
      <c r="V62" s="371"/>
    </row>
    <row r="63" spans="1:22" s="347" customFormat="1" outlineLevel="1" x14ac:dyDescent="0.25">
      <c r="A63" s="341">
        <v>45</v>
      </c>
      <c r="B63" s="342" t="s">
        <v>227</v>
      </c>
      <c r="C63" s="342" t="s">
        <v>1002</v>
      </c>
      <c r="D63" s="342" t="s">
        <v>146</v>
      </c>
      <c r="E63" s="343">
        <v>0</v>
      </c>
      <c r="F63" s="343">
        <v>134.4</v>
      </c>
      <c r="G63" s="343">
        <v>89.600000000000009</v>
      </c>
      <c r="H63" s="343">
        <v>0</v>
      </c>
      <c r="I63" s="343">
        <v>0</v>
      </c>
      <c r="J63" s="343">
        <v>0</v>
      </c>
      <c r="K63" s="343">
        <v>0</v>
      </c>
      <c r="L63" s="343">
        <v>44.800000000000004</v>
      </c>
      <c r="M63" s="343">
        <v>0</v>
      </c>
      <c r="N63" s="343">
        <v>0</v>
      </c>
      <c r="O63" s="343">
        <v>89.600000000000009</v>
      </c>
      <c r="P63" s="343">
        <v>0</v>
      </c>
      <c r="Q63" s="344">
        <f t="shared" si="9"/>
        <v>358.40000000000003</v>
      </c>
      <c r="R63" s="344">
        <f t="shared" si="6"/>
        <v>29.866666666666671</v>
      </c>
      <c r="S63" s="345">
        <f t="shared" si="10"/>
        <v>0.29024698852552594</v>
      </c>
      <c r="T63" s="346">
        <f t="shared" si="11"/>
        <v>1.3243004455319162E-2</v>
      </c>
      <c r="U63" s="370"/>
      <c r="V63" s="371"/>
    </row>
    <row r="64" spans="1:22" s="347" customFormat="1" outlineLevel="1" x14ac:dyDescent="0.25">
      <c r="A64" s="341">
        <v>46</v>
      </c>
      <c r="B64" s="342" t="s">
        <v>264</v>
      </c>
      <c r="C64" s="342" t="s">
        <v>147</v>
      </c>
      <c r="D64" s="342" t="s">
        <v>146</v>
      </c>
      <c r="E64" s="343">
        <v>0</v>
      </c>
      <c r="F64" s="343">
        <v>44.800000000000004</v>
      </c>
      <c r="G64" s="343">
        <v>0</v>
      </c>
      <c r="H64" s="343">
        <v>0</v>
      </c>
      <c r="I64" s="343">
        <v>0</v>
      </c>
      <c r="J64" s="343">
        <v>0</v>
      </c>
      <c r="K64" s="343">
        <v>0</v>
      </c>
      <c r="L64" s="343">
        <v>0</v>
      </c>
      <c r="M64" s="343">
        <v>0</v>
      </c>
      <c r="N64" s="343">
        <v>0</v>
      </c>
      <c r="O64" s="343">
        <v>0</v>
      </c>
      <c r="P64" s="343">
        <v>0</v>
      </c>
      <c r="Q64" s="344">
        <f t="shared" si="9"/>
        <v>44.800000000000004</v>
      </c>
      <c r="R64" s="344">
        <f t="shared" si="6"/>
        <v>3.7333333333333338</v>
      </c>
      <c r="S64" s="345">
        <f t="shared" si="10"/>
        <v>3.6280873565690742E-2</v>
      </c>
      <c r="T64" s="346">
        <f t="shared" si="11"/>
        <v>1.6553755569148952E-3</v>
      </c>
      <c r="U64" s="370"/>
      <c r="V64" s="371"/>
    </row>
    <row r="65" spans="1:22" s="347" customFormat="1" outlineLevel="1" x14ac:dyDescent="0.25">
      <c r="A65" s="341">
        <v>47</v>
      </c>
      <c r="B65" s="342" t="s">
        <v>220</v>
      </c>
      <c r="C65" s="342" t="s">
        <v>1002</v>
      </c>
      <c r="D65" s="342" t="s">
        <v>146</v>
      </c>
      <c r="E65" s="343">
        <v>84</v>
      </c>
      <c r="F65" s="343">
        <v>114.80000000000001</v>
      </c>
      <c r="G65" s="343">
        <v>131.60000000000002</v>
      </c>
      <c r="H65" s="343">
        <v>0</v>
      </c>
      <c r="I65" s="343">
        <v>86.800000000000011</v>
      </c>
      <c r="J65" s="343">
        <v>77.28</v>
      </c>
      <c r="K65" s="343">
        <v>0</v>
      </c>
      <c r="L65" s="343">
        <v>42</v>
      </c>
      <c r="M65" s="343">
        <v>0</v>
      </c>
      <c r="N65" s="343">
        <v>128.80000000000001</v>
      </c>
      <c r="O65" s="343">
        <v>0</v>
      </c>
      <c r="P65" s="343">
        <v>0</v>
      </c>
      <c r="Q65" s="344">
        <f t="shared" si="9"/>
        <v>665.28</v>
      </c>
      <c r="R65" s="344">
        <f t="shared" si="6"/>
        <v>55.44</v>
      </c>
      <c r="S65" s="345">
        <f t="shared" si="10"/>
        <v>0.53877097245050742</v>
      </c>
      <c r="T65" s="346">
        <f t="shared" si="11"/>
        <v>2.4582327020186191E-2</v>
      </c>
      <c r="U65" s="370"/>
      <c r="V65" s="371"/>
    </row>
    <row r="66" spans="1:22" s="347" customFormat="1" outlineLevel="1" x14ac:dyDescent="0.25">
      <c r="A66" s="341">
        <v>48</v>
      </c>
      <c r="B66" s="342" t="s">
        <v>303</v>
      </c>
      <c r="C66" s="342" t="s">
        <v>147</v>
      </c>
      <c r="D66" s="342" t="s">
        <v>146</v>
      </c>
      <c r="E66" s="343">
        <v>0</v>
      </c>
      <c r="F66" s="343">
        <v>0</v>
      </c>
      <c r="G66" s="343">
        <v>0</v>
      </c>
      <c r="H66" s="343">
        <v>0</v>
      </c>
      <c r="I66" s="343">
        <v>0</v>
      </c>
      <c r="J66" s="343">
        <v>0</v>
      </c>
      <c r="K66" s="343">
        <v>0</v>
      </c>
      <c r="L66" s="343">
        <v>0</v>
      </c>
      <c r="M66" s="343">
        <v>0</v>
      </c>
      <c r="N66" s="343">
        <v>0</v>
      </c>
      <c r="O66" s="343">
        <v>0</v>
      </c>
      <c r="P66" s="343">
        <v>0</v>
      </c>
      <c r="Q66" s="344">
        <f t="shared" si="9"/>
        <v>0</v>
      </c>
      <c r="R66" s="344">
        <f t="shared" si="6"/>
        <v>0</v>
      </c>
      <c r="S66" s="345">
        <f t="shared" si="10"/>
        <v>0</v>
      </c>
      <c r="T66" s="346">
        <f t="shared" si="11"/>
        <v>0</v>
      </c>
      <c r="U66" s="370"/>
      <c r="V66" s="371"/>
    </row>
    <row r="67" spans="1:22" s="347" customFormat="1" outlineLevel="1" x14ac:dyDescent="0.25">
      <c r="A67" s="341">
        <v>49</v>
      </c>
      <c r="B67" s="342" t="s">
        <v>256</v>
      </c>
      <c r="C67" s="342" t="s">
        <v>147</v>
      </c>
      <c r="D67" s="342" t="s">
        <v>146</v>
      </c>
      <c r="E67" s="343">
        <v>0</v>
      </c>
      <c r="F67" s="343">
        <v>0</v>
      </c>
      <c r="G67" s="343">
        <v>0</v>
      </c>
      <c r="H67" s="343">
        <v>0</v>
      </c>
      <c r="I67" s="343">
        <v>0</v>
      </c>
      <c r="J67" s="343">
        <v>0</v>
      </c>
      <c r="K67" s="343">
        <v>0</v>
      </c>
      <c r="L67" s="343">
        <v>0</v>
      </c>
      <c r="M67" s="343">
        <v>0</v>
      </c>
      <c r="N67" s="343">
        <v>0</v>
      </c>
      <c r="O67" s="343">
        <v>0</v>
      </c>
      <c r="P67" s="343">
        <v>0</v>
      </c>
      <c r="Q67" s="344">
        <f t="shared" si="9"/>
        <v>0</v>
      </c>
      <c r="R67" s="344">
        <f t="shared" si="6"/>
        <v>0</v>
      </c>
      <c r="S67" s="345">
        <f t="shared" si="10"/>
        <v>0</v>
      </c>
      <c r="T67" s="346">
        <f t="shared" si="11"/>
        <v>0</v>
      </c>
      <c r="U67" s="370"/>
      <c r="V67" s="371"/>
    </row>
    <row r="68" spans="1:22" s="347" customFormat="1" outlineLevel="1" x14ac:dyDescent="0.25">
      <c r="A68" s="341">
        <v>50</v>
      </c>
      <c r="B68" s="342" t="s">
        <v>217</v>
      </c>
      <c r="C68" s="342" t="s">
        <v>1002</v>
      </c>
      <c r="D68" s="342" t="s">
        <v>146</v>
      </c>
      <c r="E68" s="343">
        <v>0</v>
      </c>
      <c r="F68" s="343">
        <v>89.600000000000009</v>
      </c>
      <c r="G68" s="343">
        <v>0</v>
      </c>
      <c r="H68" s="343">
        <v>0</v>
      </c>
      <c r="I68" s="343">
        <v>0</v>
      </c>
      <c r="J68" s="343">
        <v>0</v>
      </c>
      <c r="K68" s="343">
        <v>0</v>
      </c>
      <c r="L68" s="343">
        <v>0</v>
      </c>
      <c r="M68" s="343">
        <v>0</v>
      </c>
      <c r="N68" s="343">
        <v>0</v>
      </c>
      <c r="O68" s="343">
        <v>0</v>
      </c>
      <c r="P68" s="343">
        <v>0</v>
      </c>
      <c r="Q68" s="344">
        <f t="shared" si="9"/>
        <v>89.600000000000009</v>
      </c>
      <c r="R68" s="344">
        <f t="shared" si="6"/>
        <v>7.4666666666666677</v>
      </c>
      <c r="S68" s="345">
        <f t="shared" si="10"/>
        <v>7.2561747131381485E-2</v>
      </c>
      <c r="T68" s="346">
        <f t="shared" si="11"/>
        <v>3.3107511138297904E-3</v>
      </c>
      <c r="U68" s="370"/>
      <c r="V68" s="371"/>
    </row>
    <row r="69" spans="1:22" s="347" customFormat="1" outlineLevel="1" x14ac:dyDescent="0.25">
      <c r="A69" s="341">
        <v>51</v>
      </c>
      <c r="B69" s="342" t="s">
        <v>73</v>
      </c>
      <c r="C69" s="342" t="s">
        <v>990</v>
      </c>
      <c r="D69" s="342" t="s">
        <v>146</v>
      </c>
      <c r="E69" s="343">
        <v>114.80000000000001</v>
      </c>
      <c r="F69" s="343">
        <v>0</v>
      </c>
      <c r="G69" s="343">
        <v>221.20000000000005</v>
      </c>
      <c r="H69" s="343">
        <v>114.80000000000001</v>
      </c>
      <c r="I69" s="343">
        <v>114.80000000000001</v>
      </c>
      <c r="J69" s="343">
        <v>114.80000000000001</v>
      </c>
      <c r="K69" s="343">
        <v>114.80000000000001</v>
      </c>
      <c r="L69" s="343">
        <v>42</v>
      </c>
      <c r="M69" s="343">
        <v>114.80000000000001</v>
      </c>
      <c r="N69" s="343">
        <v>89.600000000000009</v>
      </c>
      <c r="O69" s="343">
        <v>89.600000000000009</v>
      </c>
      <c r="P69" s="343">
        <v>0</v>
      </c>
      <c r="Q69" s="344">
        <f t="shared" si="9"/>
        <v>1131.1999999999998</v>
      </c>
      <c r="R69" s="344">
        <f t="shared" si="6"/>
        <v>94.266666666666652</v>
      </c>
      <c r="S69" s="345">
        <f t="shared" si="10"/>
        <v>0.91609205753369094</v>
      </c>
      <c r="T69" s="346">
        <f t="shared" si="11"/>
        <v>4.1798232812101092E-2</v>
      </c>
      <c r="U69" s="370"/>
      <c r="V69" s="371"/>
    </row>
    <row r="70" spans="1:22" s="347" customFormat="1" outlineLevel="1" x14ac:dyDescent="0.25">
      <c r="A70" s="341">
        <v>52</v>
      </c>
      <c r="B70" s="342" t="s">
        <v>376</v>
      </c>
      <c r="C70" s="342" t="s">
        <v>147</v>
      </c>
      <c r="D70" s="342" t="s">
        <v>146</v>
      </c>
      <c r="E70" s="343">
        <v>0</v>
      </c>
      <c r="F70" s="343">
        <v>0</v>
      </c>
      <c r="G70" s="343">
        <v>0</v>
      </c>
      <c r="H70" s="343">
        <v>0</v>
      </c>
      <c r="I70" s="343">
        <v>0</v>
      </c>
      <c r="J70" s="343">
        <v>0</v>
      </c>
      <c r="K70" s="343">
        <v>0</v>
      </c>
      <c r="L70" s="343">
        <v>0</v>
      </c>
      <c r="M70" s="343">
        <v>0</v>
      </c>
      <c r="N70" s="343">
        <v>0</v>
      </c>
      <c r="O70" s="343">
        <v>0</v>
      </c>
      <c r="P70" s="343">
        <v>0</v>
      </c>
      <c r="Q70" s="344">
        <f t="shared" si="9"/>
        <v>0</v>
      </c>
      <c r="R70" s="344">
        <f t="shared" si="6"/>
        <v>0</v>
      </c>
      <c r="S70" s="345">
        <f t="shared" si="10"/>
        <v>0</v>
      </c>
      <c r="T70" s="346">
        <f t="shared" si="11"/>
        <v>0</v>
      </c>
      <c r="U70" s="370"/>
      <c r="V70" s="371"/>
    </row>
    <row r="71" spans="1:22" s="347" customFormat="1" outlineLevel="1" x14ac:dyDescent="0.25">
      <c r="A71" s="341">
        <v>53</v>
      </c>
      <c r="B71" s="342" t="s">
        <v>218</v>
      </c>
      <c r="C71" s="342" t="s">
        <v>1002</v>
      </c>
      <c r="D71" s="342" t="s">
        <v>146</v>
      </c>
      <c r="E71" s="343">
        <v>0</v>
      </c>
      <c r="F71" s="343">
        <v>0</v>
      </c>
      <c r="G71" s="343">
        <v>0</v>
      </c>
      <c r="H71" s="343">
        <v>0</v>
      </c>
      <c r="I71" s="343">
        <v>0</v>
      </c>
      <c r="J71" s="343">
        <v>0</v>
      </c>
      <c r="K71" s="343">
        <v>0</v>
      </c>
      <c r="L71" s="343">
        <v>0</v>
      </c>
      <c r="M71" s="343">
        <v>0</v>
      </c>
      <c r="N71" s="343">
        <v>0</v>
      </c>
      <c r="O71" s="343">
        <v>44.800000000000004</v>
      </c>
      <c r="P71" s="343">
        <v>44.800000000000004</v>
      </c>
      <c r="Q71" s="344">
        <f t="shared" si="9"/>
        <v>89.600000000000009</v>
      </c>
      <c r="R71" s="344">
        <f t="shared" si="6"/>
        <v>7.4666666666666677</v>
      </c>
      <c r="S71" s="345">
        <f t="shared" si="10"/>
        <v>7.2561747131381485E-2</v>
      </c>
      <c r="T71" s="346">
        <f t="shared" si="11"/>
        <v>3.3107511138297904E-3</v>
      </c>
      <c r="U71" s="370"/>
      <c r="V71" s="371"/>
    </row>
    <row r="72" spans="1:22" s="347" customFormat="1" outlineLevel="1" x14ac:dyDescent="0.25">
      <c r="A72" s="341">
        <v>54</v>
      </c>
      <c r="B72" s="342" t="s">
        <v>253</v>
      </c>
      <c r="C72" s="342" t="s">
        <v>147</v>
      </c>
      <c r="D72" s="342" t="s">
        <v>146</v>
      </c>
      <c r="E72" s="343">
        <v>0</v>
      </c>
      <c r="F72" s="343">
        <v>0</v>
      </c>
      <c r="G72" s="343">
        <v>0</v>
      </c>
      <c r="H72" s="343">
        <v>0</v>
      </c>
      <c r="I72" s="343">
        <v>0</v>
      </c>
      <c r="J72" s="343">
        <v>0</v>
      </c>
      <c r="K72" s="343">
        <v>0</v>
      </c>
      <c r="L72" s="343">
        <v>0</v>
      </c>
      <c r="M72" s="343">
        <v>0</v>
      </c>
      <c r="N72" s="343">
        <v>0</v>
      </c>
      <c r="O72" s="343">
        <v>0</v>
      </c>
      <c r="P72" s="343">
        <v>0</v>
      </c>
      <c r="Q72" s="344">
        <f t="shared" si="9"/>
        <v>0</v>
      </c>
      <c r="R72" s="344">
        <f t="shared" si="6"/>
        <v>0</v>
      </c>
      <c r="S72" s="345">
        <f t="shared" si="10"/>
        <v>0</v>
      </c>
      <c r="T72" s="346">
        <f t="shared" si="11"/>
        <v>0</v>
      </c>
      <c r="U72" s="370"/>
      <c r="V72" s="371"/>
    </row>
    <row r="73" spans="1:22" s="347" customFormat="1" outlineLevel="1" x14ac:dyDescent="0.25">
      <c r="A73" s="341">
        <v>55</v>
      </c>
      <c r="B73" s="342" t="s">
        <v>291</v>
      </c>
      <c r="C73" s="342" t="s">
        <v>986</v>
      </c>
      <c r="D73" s="342" t="s">
        <v>146</v>
      </c>
      <c r="E73" s="343">
        <v>0</v>
      </c>
      <c r="F73" s="343">
        <v>89.600000000000009</v>
      </c>
      <c r="G73" s="343">
        <v>89.600000000000009</v>
      </c>
      <c r="H73" s="343">
        <v>0</v>
      </c>
      <c r="I73" s="343">
        <v>89.600000000000009</v>
      </c>
      <c r="J73" s="343">
        <v>89.600000000000009</v>
      </c>
      <c r="K73" s="343">
        <v>0</v>
      </c>
      <c r="L73" s="343">
        <v>0</v>
      </c>
      <c r="M73" s="343">
        <v>0</v>
      </c>
      <c r="N73" s="343">
        <v>0</v>
      </c>
      <c r="O73" s="343">
        <v>0</v>
      </c>
      <c r="P73" s="343">
        <v>0</v>
      </c>
      <c r="Q73" s="344">
        <f t="shared" si="9"/>
        <v>358.40000000000003</v>
      </c>
      <c r="R73" s="344">
        <f t="shared" si="6"/>
        <v>29.866666666666671</v>
      </c>
      <c r="S73" s="345">
        <f t="shared" si="10"/>
        <v>0.29024698852552594</v>
      </c>
      <c r="T73" s="346">
        <f t="shared" si="11"/>
        <v>1.3243004455319162E-2</v>
      </c>
      <c r="U73" s="370"/>
      <c r="V73" s="371"/>
    </row>
    <row r="74" spans="1:22" s="347" customFormat="1" outlineLevel="1" x14ac:dyDescent="0.25">
      <c r="A74" s="341">
        <v>56</v>
      </c>
      <c r="B74" s="342" t="s">
        <v>216</v>
      </c>
      <c r="C74" s="342" t="s">
        <v>1002</v>
      </c>
      <c r="D74" s="342" t="s">
        <v>146</v>
      </c>
      <c r="E74" s="343">
        <v>0</v>
      </c>
      <c r="F74" s="343">
        <v>0</v>
      </c>
      <c r="G74" s="343">
        <v>0</v>
      </c>
      <c r="H74" s="343">
        <v>0</v>
      </c>
      <c r="I74" s="343">
        <v>0</v>
      </c>
      <c r="J74" s="343">
        <v>0</v>
      </c>
      <c r="K74" s="343">
        <v>0</v>
      </c>
      <c r="L74" s="343">
        <v>80.64</v>
      </c>
      <c r="M74" s="343">
        <v>0</v>
      </c>
      <c r="N74" s="343">
        <v>0</v>
      </c>
      <c r="O74" s="343">
        <v>0</v>
      </c>
      <c r="P74" s="343">
        <v>89.600000000000009</v>
      </c>
      <c r="Q74" s="344">
        <f t="shared" si="9"/>
        <v>170.24</v>
      </c>
      <c r="R74" s="344">
        <f t="shared" si="6"/>
        <v>14.186666666666667</v>
      </c>
      <c r="S74" s="345">
        <f t="shared" si="10"/>
        <v>0.13786731954962481</v>
      </c>
      <c r="T74" s="346">
        <f t="shared" si="11"/>
        <v>6.2904271162766015E-3</v>
      </c>
      <c r="U74" s="370"/>
      <c r="V74" s="371"/>
    </row>
    <row r="75" spans="1:22" s="347" customFormat="1" outlineLevel="1" x14ac:dyDescent="0.25">
      <c r="A75" s="341">
        <v>57</v>
      </c>
      <c r="B75" s="342" t="s">
        <v>81</v>
      </c>
      <c r="C75" s="342" t="s">
        <v>147</v>
      </c>
      <c r="D75" s="342" t="s">
        <v>146</v>
      </c>
      <c r="E75" s="343">
        <v>80.640000000000015</v>
      </c>
      <c r="F75" s="343">
        <v>0</v>
      </c>
      <c r="G75" s="343">
        <v>0</v>
      </c>
      <c r="H75" s="343">
        <v>0</v>
      </c>
      <c r="I75" s="343">
        <v>134.4</v>
      </c>
      <c r="J75" s="343">
        <v>44.800000000000004</v>
      </c>
      <c r="K75" s="343">
        <v>0</v>
      </c>
      <c r="L75" s="343">
        <v>44.800000000000004</v>
      </c>
      <c r="M75" s="343">
        <v>44.800000000000004</v>
      </c>
      <c r="N75" s="343">
        <v>0</v>
      </c>
      <c r="O75" s="343">
        <v>44.800000000000004</v>
      </c>
      <c r="P75" s="343">
        <v>0</v>
      </c>
      <c r="Q75" s="344">
        <f t="shared" si="9"/>
        <v>394.24000000000007</v>
      </c>
      <c r="R75" s="344">
        <f t="shared" si="6"/>
        <v>32.853333333333339</v>
      </c>
      <c r="S75" s="345">
        <f t="shared" si="10"/>
        <v>0.31927168737807854</v>
      </c>
      <c r="T75" s="346">
        <f t="shared" si="11"/>
        <v>1.4567304900851079E-2</v>
      </c>
      <c r="U75" s="370"/>
      <c r="V75" s="371"/>
    </row>
    <row r="76" spans="1:22" s="347" customFormat="1" outlineLevel="1" x14ac:dyDescent="0.25">
      <c r="A76" s="341">
        <v>58</v>
      </c>
      <c r="B76" s="342" t="s">
        <v>79</v>
      </c>
      <c r="C76" s="342" t="s">
        <v>147</v>
      </c>
      <c r="D76" s="342" t="s">
        <v>146</v>
      </c>
      <c r="E76" s="343">
        <v>0</v>
      </c>
      <c r="F76" s="343">
        <v>192</v>
      </c>
      <c r="G76" s="343">
        <v>374.4</v>
      </c>
      <c r="H76" s="343">
        <v>140.80000000000001</v>
      </c>
      <c r="I76" s="343">
        <v>329.6</v>
      </c>
      <c r="J76" s="343">
        <v>60</v>
      </c>
      <c r="K76" s="343">
        <v>389.6</v>
      </c>
      <c r="L76" s="343">
        <v>120</v>
      </c>
      <c r="M76" s="343">
        <v>224.8</v>
      </c>
      <c r="N76" s="343">
        <v>164.8</v>
      </c>
      <c r="O76" s="343">
        <v>120</v>
      </c>
      <c r="P76" s="343">
        <v>120</v>
      </c>
      <c r="Q76" s="344">
        <f t="shared" si="9"/>
        <v>2236</v>
      </c>
      <c r="R76" s="344">
        <f t="shared" si="6"/>
        <v>186.33333333333334</v>
      </c>
      <c r="S76" s="345">
        <f t="shared" si="10"/>
        <v>1.8108043145733146</v>
      </c>
      <c r="T76" s="346">
        <f t="shared" si="11"/>
        <v>8.2620976456734496E-2</v>
      </c>
      <c r="U76" s="370"/>
      <c r="V76" s="371"/>
    </row>
    <row r="77" spans="1:22" s="347" customFormat="1" outlineLevel="1" x14ac:dyDescent="0.25">
      <c r="A77" s="341">
        <v>59</v>
      </c>
      <c r="B77" s="342" t="s">
        <v>387</v>
      </c>
      <c r="C77" s="342" t="s">
        <v>990</v>
      </c>
      <c r="D77" s="342" t="s">
        <v>146</v>
      </c>
      <c r="E77" s="343">
        <v>0</v>
      </c>
      <c r="F77" s="343">
        <v>0</v>
      </c>
      <c r="G77" s="343">
        <v>0</v>
      </c>
      <c r="H77" s="343">
        <v>0</v>
      </c>
      <c r="I77" s="343">
        <v>0</v>
      </c>
      <c r="J77" s="343">
        <v>0</v>
      </c>
      <c r="K77" s="343">
        <v>0</v>
      </c>
      <c r="L77" s="343">
        <v>0</v>
      </c>
      <c r="M77" s="343">
        <v>0</v>
      </c>
      <c r="N77" s="343">
        <v>0</v>
      </c>
      <c r="O77" s="343">
        <v>0</v>
      </c>
      <c r="P77" s="343">
        <v>0</v>
      </c>
      <c r="Q77" s="344">
        <f t="shared" si="9"/>
        <v>0</v>
      </c>
      <c r="R77" s="344">
        <f t="shared" si="6"/>
        <v>0</v>
      </c>
      <c r="S77" s="345">
        <f t="shared" si="10"/>
        <v>0</v>
      </c>
      <c r="T77" s="346">
        <f t="shared" si="11"/>
        <v>0</v>
      </c>
      <c r="U77" s="370"/>
      <c r="V77" s="371"/>
    </row>
    <row r="78" spans="1:22" s="347" customFormat="1" outlineLevel="1" x14ac:dyDescent="0.25">
      <c r="A78" s="341">
        <v>60</v>
      </c>
      <c r="B78" s="342" t="s">
        <v>78</v>
      </c>
      <c r="C78" s="342" t="s">
        <v>147</v>
      </c>
      <c r="D78" s="342" t="s">
        <v>146</v>
      </c>
      <c r="E78" s="343">
        <v>275.2</v>
      </c>
      <c r="F78" s="343">
        <v>44.800000000000004</v>
      </c>
      <c r="G78" s="343">
        <v>0</v>
      </c>
      <c r="H78" s="343">
        <v>96</v>
      </c>
      <c r="I78" s="343">
        <v>0</v>
      </c>
      <c r="J78" s="343">
        <v>0</v>
      </c>
      <c r="K78" s="343">
        <v>62.879999999999995</v>
      </c>
      <c r="L78" s="343">
        <v>77.92</v>
      </c>
      <c r="M78" s="343">
        <v>0</v>
      </c>
      <c r="N78" s="343">
        <v>77.92</v>
      </c>
      <c r="O78" s="343">
        <v>137.92000000000002</v>
      </c>
      <c r="P78" s="343">
        <v>224.8</v>
      </c>
      <c r="Q78" s="344">
        <f t="shared" si="9"/>
        <v>997.43999999999983</v>
      </c>
      <c r="R78" s="344">
        <f t="shared" si="6"/>
        <v>83.11999999999999</v>
      </c>
      <c r="S78" s="345">
        <f t="shared" si="10"/>
        <v>0.80776773503041432</v>
      </c>
      <c r="T78" s="346">
        <f t="shared" si="11"/>
        <v>3.6855754363598052E-2</v>
      </c>
      <c r="U78" s="370"/>
      <c r="V78" s="371"/>
    </row>
    <row r="79" spans="1:22" s="347" customFormat="1" outlineLevel="1" x14ac:dyDescent="0.25">
      <c r="A79" s="341">
        <v>61</v>
      </c>
      <c r="B79" s="342" t="s">
        <v>193</v>
      </c>
      <c r="C79" s="342" t="s">
        <v>1050</v>
      </c>
      <c r="D79" s="342" t="s">
        <v>146</v>
      </c>
      <c r="E79" s="343">
        <v>0</v>
      </c>
      <c r="F79" s="343">
        <v>0</v>
      </c>
      <c r="G79" s="343">
        <v>0</v>
      </c>
      <c r="H79" s="343">
        <v>0</v>
      </c>
      <c r="I79" s="343">
        <v>0</v>
      </c>
      <c r="J79" s="343">
        <v>0</v>
      </c>
      <c r="K79" s="343">
        <v>0</v>
      </c>
      <c r="L79" s="343">
        <v>0</v>
      </c>
      <c r="M79" s="343">
        <v>0</v>
      </c>
      <c r="N79" s="343">
        <v>0</v>
      </c>
      <c r="O79" s="343">
        <v>0</v>
      </c>
      <c r="P79" s="343">
        <v>0</v>
      </c>
      <c r="Q79" s="344">
        <f t="shared" si="9"/>
        <v>0</v>
      </c>
      <c r="R79" s="344">
        <f t="shared" si="6"/>
        <v>0</v>
      </c>
      <c r="S79" s="345">
        <f t="shared" si="10"/>
        <v>0</v>
      </c>
      <c r="T79" s="346">
        <f t="shared" si="11"/>
        <v>0</v>
      </c>
      <c r="U79" s="370"/>
      <c r="V79" s="371"/>
    </row>
    <row r="80" spans="1:22" s="347" customFormat="1" outlineLevel="1" x14ac:dyDescent="0.25">
      <c r="A80" s="341">
        <v>62</v>
      </c>
      <c r="B80" s="342" t="s">
        <v>277</v>
      </c>
      <c r="C80" s="342" t="s">
        <v>990</v>
      </c>
      <c r="D80" s="342" t="s">
        <v>146</v>
      </c>
      <c r="E80" s="343">
        <v>0</v>
      </c>
      <c r="F80" s="343">
        <v>224</v>
      </c>
      <c r="G80" s="343">
        <v>0</v>
      </c>
      <c r="H80" s="343">
        <v>0</v>
      </c>
      <c r="I80" s="343">
        <v>224</v>
      </c>
      <c r="J80" s="343">
        <v>0</v>
      </c>
      <c r="K80" s="343">
        <v>0</v>
      </c>
      <c r="L80" s="343">
        <v>224</v>
      </c>
      <c r="M80" s="343">
        <v>0</v>
      </c>
      <c r="N80" s="343">
        <v>0</v>
      </c>
      <c r="O80" s="343">
        <v>224</v>
      </c>
      <c r="P80" s="343">
        <v>0</v>
      </c>
      <c r="Q80" s="344">
        <f t="shared" si="9"/>
        <v>896</v>
      </c>
      <c r="R80" s="344">
        <f t="shared" si="6"/>
        <v>74.666666666666671</v>
      </c>
      <c r="S80" s="345">
        <f t="shared" si="10"/>
        <v>0.72561747131381471</v>
      </c>
      <c r="T80" s="346">
        <f t="shared" si="11"/>
        <v>3.31075111382979E-2</v>
      </c>
      <c r="U80" s="370"/>
      <c r="V80" s="371"/>
    </row>
    <row r="81" spans="1:22" s="347" customFormat="1" outlineLevel="1" x14ac:dyDescent="0.25">
      <c r="A81" s="341">
        <v>63</v>
      </c>
      <c r="B81" s="342" t="s">
        <v>354</v>
      </c>
      <c r="C81" s="342" t="s">
        <v>1051</v>
      </c>
      <c r="D81" s="342" t="s">
        <v>146</v>
      </c>
      <c r="E81" s="343">
        <v>0</v>
      </c>
      <c r="F81" s="343">
        <v>0</v>
      </c>
      <c r="G81" s="343">
        <v>0</v>
      </c>
      <c r="H81" s="343">
        <v>0</v>
      </c>
      <c r="I81" s="343">
        <v>0</v>
      </c>
      <c r="J81" s="343">
        <v>0</v>
      </c>
      <c r="K81" s="343">
        <v>0</v>
      </c>
      <c r="L81" s="343">
        <v>0</v>
      </c>
      <c r="M81" s="343">
        <v>120</v>
      </c>
      <c r="N81" s="343">
        <v>240</v>
      </c>
      <c r="O81" s="343">
        <v>0</v>
      </c>
      <c r="P81" s="343">
        <v>0</v>
      </c>
      <c r="Q81" s="344">
        <f t="shared" si="9"/>
        <v>360</v>
      </c>
      <c r="R81" s="344">
        <f t="shared" si="6"/>
        <v>30</v>
      </c>
      <c r="S81" s="345">
        <f t="shared" si="10"/>
        <v>0.29154273401001485</v>
      </c>
      <c r="T81" s="346">
        <f t="shared" si="11"/>
        <v>1.3302125010923264E-2</v>
      </c>
      <c r="U81" s="370"/>
      <c r="V81" s="371"/>
    </row>
    <row r="82" spans="1:22" s="347" customFormat="1" outlineLevel="1" x14ac:dyDescent="0.25">
      <c r="A82" s="341">
        <v>64</v>
      </c>
      <c r="B82" s="342" t="s">
        <v>304</v>
      </c>
      <c r="C82" s="342" t="s">
        <v>147</v>
      </c>
      <c r="D82" s="342" t="s">
        <v>146</v>
      </c>
      <c r="E82" s="343">
        <v>89.600000000000009</v>
      </c>
      <c r="F82" s="343">
        <v>179.20000000000002</v>
      </c>
      <c r="G82" s="343">
        <v>0</v>
      </c>
      <c r="H82" s="343">
        <v>179.20000000000002</v>
      </c>
      <c r="I82" s="343">
        <v>0</v>
      </c>
      <c r="J82" s="343">
        <v>0</v>
      </c>
      <c r="K82" s="343">
        <v>0</v>
      </c>
      <c r="L82" s="343">
        <v>89.600000000000009</v>
      </c>
      <c r="M82" s="343">
        <v>0</v>
      </c>
      <c r="N82" s="343">
        <v>89.600000000000009</v>
      </c>
      <c r="O82" s="343">
        <v>0</v>
      </c>
      <c r="P82" s="343">
        <v>89.600000000000009</v>
      </c>
      <c r="Q82" s="344">
        <f t="shared" si="9"/>
        <v>716.80000000000007</v>
      </c>
      <c r="R82" s="344">
        <f t="shared" ref="R82:R92" si="12">IFERROR(AVERAGE(E82:P82),0)</f>
        <v>59.733333333333341</v>
      </c>
      <c r="S82" s="345">
        <f t="shared" ref="S82:S92" si="13">R82/$R$93%</f>
        <v>0.58049397705105188</v>
      </c>
      <c r="T82" s="346">
        <f t="shared" si="11"/>
        <v>2.6486008910638324E-2</v>
      </c>
      <c r="U82" s="370"/>
      <c r="V82" s="371"/>
    </row>
    <row r="83" spans="1:22" s="347" customFormat="1" outlineLevel="1" x14ac:dyDescent="0.25">
      <c r="A83" s="341">
        <v>65</v>
      </c>
      <c r="B83" s="342" t="s">
        <v>330</v>
      </c>
      <c r="C83" s="342" t="s">
        <v>990</v>
      </c>
      <c r="D83" s="342" t="s">
        <v>146</v>
      </c>
      <c r="E83" s="343">
        <v>672</v>
      </c>
      <c r="F83" s="343">
        <v>403.20000000000005</v>
      </c>
      <c r="G83" s="343">
        <v>358.40000000000003</v>
      </c>
      <c r="H83" s="343">
        <v>672</v>
      </c>
      <c r="I83" s="343">
        <v>403.20000000000005</v>
      </c>
      <c r="J83" s="343">
        <v>313.60000000000002</v>
      </c>
      <c r="K83" s="343">
        <v>268.8</v>
      </c>
      <c r="L83" s="343">
        <v>224</v>
      </c>
      <c r="M83" s="343">
        <v>268.8</v>
      </c>
      <c r="N83" s="343">
        <v>313.60000000000002</v>
      </c>
      <c r="O83" s="343">
        <v>385.28000000000009</v>
      </c>
      <c r="P83" s="343">
        <v>582.40000000000009</v>
      </c>
      <c r="Q83" s="344">
        <f t="shared" si="9"/>
        <v>4865.2800000000007</v>
      </c>
      <c r="R83" s="344">
        <f t="shared" si="12"/>
        <v>405.44000000000005</v>
      </c>
      <c r="S83" s="345">
        <f t="shared" si="13"/>
        <v>3.9401028692340145</v>
      </c>
      <c r="T83" s="346">
        <f t="shared" ref="T83:T92" si="14">R83/$R$134%</f>
        <v>0.17977378548095763</v>
      </c>
      <c r="U83" s="370"/>
      <c r="V83" s="371"/>
    </row>
    <row r="84" spans="1:22" s="347" customFormat="1" outlineLevel="1" x14ac:dyDescent="0.25">
      <c r="A84" s="341">
        <v>66</v>
      </c>
      <c r="B84" s="342" t="s">
        <v>283</v>
      </c>
      <c r="C84" s="342" t="s">
        <v>986</v>
      </c>
      <c r="D84" s="342" t="s">
        <v>146</v>
      </c>
      <c r="E84" s="343">
        <v>0</v>
      </c>
      <c r="F84" s="343">
        <v>224</v>
      </c>
      <c r="G84" s="343">
        <v>492.8</v>
      </c>
      <c r="H84" s="343">
        <v>224</v>
      </c>
      <c r="I84" s="343">
        <v>224</v>
      </c>
      <c r="J84" s="343">
        <v>448</v>
      </c>
      <c r="K84" s="343">
        <v>224</v>
      </c>
      <c r="L84" s="343">
        <v>448</v>
      </c>
      <c r="M84" s="343">
        <v>537.6</v>
      </c>
      <c r="N84" s="343">
        <v>224</v>
      </c>
      <c r="O84" s="343">
        <v>448</v>
      </c>
      <c r="P84" s="343">
        <v>448</v>
      </c>
      <c r="Q84" s="344">
        <f t="shared" si="9"/>
        <v>3942.4</v>
      </c>
      <c r="R84" s="344">
        <f t="shared" si="12"/>
        <v>328.53333333333336</v>
      </c>
      <c r="S84" s="345">
        <f t="shared" si="13"/>
        <v>3.1927168737807849</v>
      </c>
      <c r="T84" s="346">
        <f t="shared" si="14"/>
        <v>0.14567304900851077</v>
      </c>
      <c r="U84" s="370"/>
      <c r="V84" s="371"/>
    </row>
    <row r="85" spans="1:22" s="347" customFormat="1" outlineLevel="1" x14ac:dyDescent="0.25">
      <c r="A85" s="341">
        <v>67</v>
      </c>
      <c r="B85" s="342" t="s">
        <v>265</v>
      </c>
      <c r="C85" s="342" t="s">
        <v>147</v>
      </c>
      <c r="D85" s="342" t="s">
        <v>146</v>
      </c>
      <c r="E85" s="343">
        <v>0</v>
      </c>
      <c r="F85" s="343">
        <v>0</v>
      </c>
      <c r="G85" s="343">
        <v>120</v>
      </c>
      <c r="H85" s="343">
        <v>240</v>
      </c>
      <c r="I85" s="343">
        <v>0</v>
      </c>
      <c r="J85" s="343">
        <v>240</v>
      </c>
      <c r="K85" s="343">
        <v>0</v>
      </c>
      <c r="L85" s="343">
        <v>0</v>
      </c>
      <c r="M85" s="343">
        <v>0</v>
      </c>
      <c r="N85" s="343">
        <v>240</v>
      </c>
      <c r="O85" s="343">
        <v>600</v>
      </c>
      <c r="P85" s="343">
        <v>1260</v>
      </c>
      <c r="Q85" s="344">
        <f t="shared" si="9"/>
        <v>2700</v>
      </c>
      <c r="R85" s="344">
        <f t="shared" si="12"/>
        <v>225</v>
      </c>
      <c r="S85" s="345">
        <f t="shared" si="13"/>
        <v>2.1865705050751112</v>
      </c>
      <c r="T85" s="346">
        <f t="shared" si="14"/>
        <v>9.976593758192448E-2</v>
      </c>
      <c r="U85" s="370"/>
      <c r="V85" s="371"/>
    </row>
    <row r="86" spans="1:22" s="347" customFormat="1" outlineLevel="1" x14ac:dyDescent="0.25">
      <c r="A86" s="341">
        <v>68</v>
      </c>
      <c r="B86" s="342" t="s">
        <v>407</v>
      </c>
      <c r="C86" s="342" t="s">
        <v>986</v>
      </c>
      <c r="D86" s="342" t="s">
        <v>146</v>
      </c>
      <c r="E86" s="343">
        <v>224</v>
      </c>
      <c r="F86" s="343">
        <v>672</v>
      </c>
      <c r="G86" s="343">
        <v>358.40000000000003</v>
      </c>
      <c r="H86" s="343">
        <v>224</v>
      </c>
      <c r="I86" s="343">
        <v>448</v>
      </c>
      <c r="J86" s="343">
        <v>224</v>
      </c>
      <c r="K86" s="343">
        <v>224</v>
      </c>
      <c r="L86" s="343">
        <v>224</v>
      </c>
      <c r="M86" s="343">
        <v>224</v>
      </c>
      <c r="N86" s="343">
        <v>224</v>
      </c>
      <c r="O86" s="343">
        <v>224</v>
      </c>
      <c r="P86" s="343">
        <v>215.04</v>
      </c>
      <c r="Q86" s="344">
        <f t="shared" si="9"/>
        <v>3485.44</v>
      </c>
      <c r="R86" s="344">
        <f t="shared" si="12"/>
        <v>290.45333333333332</v>
      </c>
      <c r="S86" s="345">
        <f t="shared" si="13"/>
        <v>2.8226519634107392</v>
      </c>
      <c r="T86" s="346">
        <f t="shared" si="14"/>
        <v>0.12878821832797882</v>
      </c>
      <c r="U86" s="370"/>
      <c r="V86" s="371"/>
    </row>
    <row r="87" spans="1:22" s="347" customFormat="1" outlineLevel="1" x14ac:dyDescent="0.25">
      <c r="A87" s="341">
        <v>69</v>
      </c>
      <c r="B87" s="342" t="s">
        <v>208</v>
      </c>
      <c r="C87" s="342" t="s">
        <v>1002</v>
      </c>
      <c r="D87" s="342" t="s">
        <v>146</v>
      </c>
      <c r="E87" s="343">
        <v>224</v>
      </c>
      <c r="F87" s="343">
        <v>0</v>
      </c>
      <c r="G87" s="343">
        <v>448</v>
      </c>
      <c r="H87" s="343">
        <v>0</v>
      </c>
      <c r="I87" s="343">
        <v>0</v>
      </c>
      <c r="J87" s="343">
        <v>448</v>
      </c>
      <c r="K87" s="343">
        <v>448</v>
      </c>
      <c r="L87" s="343">
        <v>268.8</v>
      </c>
      <c r="M87" s="343">
        <v>448</v>
      </c>
      <c r="N87" s="343">
        <v>0</v>
      </c>
      <c r="O87" s="343">
        <v>448</v>
      </c>
      <c r="P87" s="343">
        <v>0</v>
      </c>
      <c r="Q87" s="344">
        <f t="shared" si="9"/>
        <v>2732.8</v>
      </c>
      <c r="R87" s="344">
        <f t="shared" si="12"/>
        <v>227.73333333333335</v>
      </c>
      <c r="S87" s="345">
        <f t="shared" si="13"/>
        <v>2.213133287507135</v>
      </c>
      <c r="T87" s="346">
        <f t="shared" si="14"/>
        <v>0.1009779089718086</v>
      </c>
      <c r="U87" s="370"/>
      <c r="V87" s="371"/>
    </row>
    <row r="88" spans="1:22" s="347" customFormat="1" outlineLevel="1" x14ac:dyDescent="0.25">
      <c r="A88" s="341">
        <v>70</v>
      </c>
      <c r="B88" s="342" t="s">
        <v>332</v>
      </c>
      <c r="C88" s="342" t="s">
        <v>990</v>
      </c>
      <c r="D88" s="342" t="s">
        <v>146</v>
      </c>
      <c r="E88" s="343">
        <v>210</v>
      </c>
      <c r="F88" s="343">
        <v>210</v>
      </c>
      <c r="G88" s="343">
        <v>210</v>
      </c>
      <c r="H88" s="343">
        <v>0</v>
      </c>
      <c r="I88" s="343">
        <v>210</v>
      </c>
      <c r="J88" s="343">
        <v>0</v>
      </c>
      <c r="K88" s="343">
        <v>0</v>
      </c>
      <c r="L88" s="343">
        <v>0</v>
      </c>
      <c r="M88" s="343">
        <v>0</v>
      </c>
      <c r="N88" s="343">
        <v>0</v>
      </c>
      <c r="O88" s="343">
        <v>251.99999999999997</v>
      </c>
      <c r="P88" s="343">
        <v>0</v>
      </c>
      <c r="Q88" s="344">
        <f t="shared" si="9"/>
        <v>1092</v>
      </c>
      <c r="R88" s="344">
        <f t="shared" si="12"/>
        <v>91</v>
      </c>
      <c r="S88" s="345">
        <f t="shared" si="13"/>
        <v>0.88434629316371172</v>
      </c>
      <c r="T88" s="346">
        <f t="shared" si="14"/>
        <v>4.0349779199800567E-2</v>
      </c>
      <c r="U88" s="370"/>
      <c r="V88" s="371"/>
    </row>
    <row r="89" spans="1:22" s="347" customFormat="1" outlineLevel="1" x14ac:dyDescent="0.25">
      <c r="A89" s="341">
        <v>71</v>
      </c>
      <c r="B89" s="342" t="s">
        <v>286</v>
      </c>
      <c r="C89" s="342" t="s">
        <v>147</v>
      </c>
      <c r="D89" s="342" t="s">
        <v>146</v>
      </c>
      <c r="E89" s="343">
        <v>0</v>
      </c>
      <c r="F89" s="343">
        <v>600</v>
      </c>
      <c r="G89" s="343">
        <v>600</v>
      </c>
      <c r="H89" s="343">
        <v>0</v>
      </c>
      <c r="I89" s="343">
        <v>0</v>
      </c>
      <c r="J89" s="343">
        <v>360</v>
      </c>
      <c r="K89" s="343">
        <v>0</v>
      </c>
      <c r="L89" s="343">
        <v>0</v>
      </c>
      <c r="M89" s="343">
        <v>0</v>
      </c>
      <c r="N89" s="343">
        <v>0</v>
      </c>
      <c r="O89" s="343">
        <v>0</v>
      </c>
      <c r="P89" s="343">
        <v>300</v>
      </c>
      <c r="Q89" s="344">
        <f t="shared" si="9"/>
        <v>1860</v>
      </c>
      <c r="R89" s="344">
        <f t="shared" si="12"/>
        <v>155</v>
      </c>
      <c r="S89" s="345">
        <f t="shared" si="13"/>
        <v>1.50630412571841</v>
      </c>
      <c r="T89" s="346">
        <f t="shared" si="14"/>
        <v>6.8727645889770192E-2</v>
      </c>
      <c r="U89" s="370"/>
      <c r="V89" s="371"/>
    </row>
    <row r="90" spans="1:22" s="347" customFormat="1" outlineLevel="1" x14ac:dyDescent="0.25">
      <c r="A90" s="341">
        <v>72</v>
      </c>
      <c r="B90" s="342" t="s">
        <v>274</v>
      </c>
      <c r="C90" s="342" t="s">
        <v>154</v>
      </c>
      <c r="D90" s="342" t="s">
        <v>146</v>
      </c>
      <c r="E90" s="343">
        <v>0</v>
      </c>
      <c r="F90" s="343">
        <v>0</v>
      </c>
      <c r="G90" s="343">
        <v>0</v>
      </c>
      <c r="H90" s="343">
        <v>0</v>
      </c>
      <c r="I90" s="343">
        <v>0</v>
      </c>
      <c r="J90" s="343">
        <v>0</v>
      </c>
      <c r="K90" s="343">
        <v>0</v>
      </c>
      <c r="L90" s="343">
        <v>0</v>
      </c>
      <c r="M90" s="343">
        <v>0</v>
      </c>
      <c r="N90" s="343">
        <v>0</v>
      </c>
      <c r="O90" s="343">
        <v>0</v>
      </c>
      <c r="P90" s="343">
        <v>0</v>
      </c>
      <c r="Q90" s="344">
        <f t="shared" si="9"/>
        <v>0</v>
      </c>
      <c r="R90" s="344">
        <f t="shared" si="12"/>
        <v>0</v>
      </c>
      <c r="S90" s="345">
        <f t="shared" si="13"/>
        <v>0</v>
      </c>
      <c r="T90" s="346">
        <f t="shared" si="14"/>
        <v>0</v>
      </c>
      <c r="U90" s="370"/>
      <c r="V90" s="371"/>
    </row>
    <row r="91" spans="1:22" s="347" customFormat="1" outlineLevel="1" x14ac:dyDescent="0.25">
      <c r="A91" s="341">
        <v>73</v>
      </c>
      <c r="B91" s="342" t="s">
        <v>189</v>
      </c>
      <c r="C91" s="342" t="s">
        <v>1050</v>
      </c>
      <c r="D91" s="342" t="s">
        <v>146</v>
      </c>
      <c r="E91" s="343">
        <v>0</v>
      </c>
      <c r="F91" s="343">
        <v>224</v>
      </c>
      <c r="G91" s="343">
        <v>0</v>
      </c>
      <c r="H91" s="343">
        <v>0</v>
      </c>
      <c r="I91" s="343">
        <v>224</v>
      </c>
      <c r="J91" s="343">
        <v>224</v>
      </c>
      <c r="K91" s="343">
        <v>224</v>
      </c>
      <c r="L91" s="343">
        <v>224</v>
      </c>
      <c r="M91" s="343">
        <v>89.600000000000009</v>
      </c>
      <c r="N91" s="343">
        <v>224</v>
      </c>
      <c r="O91" s="343">
        <v>224</v>
      </c>
      <c r="P91" s="343">
        <v>0</v>
      </c>
      <c r="Q91" s="344">
        <f t="shared" si="9"/>
        <v>1657.6</v>
      </c>
      <c r="R91" s="344">
        <f t="shared" si="12"/>
        <v>138.13333333333333</v>
      </c>
      <c r="S91" s="345">
        <f t="shared" si="13"/>
        <v>1.3423923219305571</v>
      </c>
      <c r="T91" s="346">
        <f t="shared" si="14"/>
        <v>6.124889560585111E-2</v>
      </c>
      <c r="U91" s="370"/>
      <c r="V91" s="371"/>
    </row>
    <row r="92" spans="1:22" s="347" customFormat="1" outlineLevel="1" x14ac:dyDescent="0.25">
      <c r="A92" s="341">
        <v>74</v>
      </c>
      <c r="B92" s="342" t="s">
        <v>1052</v>
      </c>
      <c r="C92" s="342" t="s">
        <v>147</v>
      </c>
      <c r="D92" s="342" t="s">
        <v>146</v>
      </c>
      <c r="E92" s="343">
        <v>224</v>
      </c>
      <c r="F92" s="343">
        <v>313.60000000000002</v>
      </c>
      <c r="G92" s="343">
        <v>224</v>
      </c>
      <c r="H92" s="343">
        <v>0</v>
      </c>
      <c r="I92" s="343">
        <v>0</v>
      </c>
      <c r="J92" s="343">
        <v>224</v>
      </c>
      <c r="K92" s="343">
        <v>224</v>
      </c>
      <c r="L92" s="343">
        <v>224</v>
      </c>
      <c r="M92" s="343">
        <v>0</v>
      </c>
      <c r="N92" s="343">
        <v>197.12</v>
      </c>
      <c r="O92" s="343">
        <v>0</v>
      </c>
      <c r="P92" s="343">
        <v>0</v>
      </c>
      <c r="Q92" s="344">
        <f t="shared" si="9"/>
        <v>1630.7199999999998</v>
      </c>
      <c r="R92" s="344">
        <f t="shared" si="12"/>
        <v>135.89333333333332</v>
      </c>
      <c r="S92" s="345">
        <f t="shared" si="13"/>
        <v>1.3206237977911426</v>
      </c>
      <c r="T92" s="346">
        <f t="shared" si="14"/>
        <v>6.0255670271702172E-2</v>
      </c>
      <c r="U92" s="370"/>
      <c r="V92" s="371"/>
    </row>
    <row r="93" spans="1:22" s="353" customFormat="1" x14ac:dyDescent="0.25">
      <c r="A93" s="348"/>
      <c r="B93" s="349" t="s">
        <v>1053</v>
      </c>
      <c r="C93" s="349"/>
      <c r="D93" s="349"/>
      <c r="E93" s="350">
        <f t="shared" ref="E93:T93" si="15">SUM(E19:E92)</f>
        <v>11927.28</v>
      </c>
      <c r="F93" s="350">
        <f t="shared" si="15"/>
        <v>13086.800000000001</v>
      </c>
      <c r="G93" s="350">
        <f t="shared" si="15"/>
        <v>12764.880000000001</v>
      </c>
      <c r="H93" s="350">
        <f t="shared" si="15"/>
        <v>6653.1999999999989</v>
      </c>
      <c r="I93" s="350">
        <f t="shared" si="15"/>
        <v>10549.840000000002</v>
      </c>
      <c r="J93" s="350">
        <f t="shared" si="15"/>
        <v>9785.0800000000017</v>
      </c>
      <c r="K93" s="350">
        <f t="shared" si="15"/>
        <v>10421.439999999999</v>
      </c>
      <c r="L93" s="350">
        <f t="shared" si="15"/>
        <v>9284.5200000000041</v>
      </c>
      <c r="M93" s="350">
        <f t="shared" si="15"/>
        <v>8770.2400000000034</v>
      </c>
      <c r="N93" s="350">
        <f t="shared" si="15"/>
        <v>6803.6800000000021</v>
      </c>
      <c r="O93" s="350">
        <f t="shared" si="15"/>
        <v>9724.3200000000015</v>
      </c>
      <c r="P93" s="350">
        <f t="shared" si="15"/>
        <v>13709.759999999998</v>
      </c>
      <c r="Q93" s="350">
        <f t="shared" si="15"/>
        <v>123481.04000000001</v>
      </c>
      <c r="R93" s="350">
        <f t="shared" si="15"/>
        <v>10290.086666666666</v>
      </c>
      <c r="S93" s="351">
        <f t="shared" si="15"/>
        <v>100</v>
      </c>
      <c r="T93" s="352">
        <f t="shared" si="15"/>
        <v>4.5626673071078212</v>
      </c>
      <c r="U93" s="372"/>
      <c r="V93" s="373"/>
    </row>
    <row r="94" spans="1:22" s="347" customFormat="1" outlineLevel="1" x14ac:dyDescent="0.25">
      <c r="A94" s="341">
        <v>1</v>
      </c>
      <c r="B94" s="342" t="s">
        <v>403</v>
      </c>
      <c r="C94" s="342" t="s">
        <v>975</v>
      </c>
      <c r="D94" s="342" t="s">
        <v>149</v>
      </c>
      <c r="E94" s="343">
        <v>1136</v>
      </c>
      <c r="F94" s="343">
        <v>688</v>
      </c>
      <c r="G94" s="343">
        <v>1108</v>
      </c>
      <c r="H94" s="343">
        <v>897.59999999999991</v>
      </c>
      <c r="I94" s="343">
        <v>2844</v>
      </c>
      <c r="J94" s="343">
        <v>868.8</v>
      </c>
      <c r="K94" s="343">
        <v>2244.8000000000002</v>
      </c>
      <c r="L94" s="343">
        <v>1168</v>
      </c>
      <c r="M94" s="343">
        <v>1228.8</v>
      </c>
      <c r="N94" s="343">
        <v>1676.8</v>
      </c>
      <c r="O94" s="343">
        <v>2515.1999999999998</v>
      </c>
      <c r="P94" s="343">
        <v>2126.4</v>
      </c>
      <c r="Q94" s="344">
        <f t="shared" ref="Q94:Q117" si="16">SUM(E94:P94)</f>
        <v>18502.400000000001</v>
      </c>
      <c r="R94" s="344">
        <f t="shared" ref="R94:R117" si="17">IFERROR(AVERAGE(E94:P94),0)</f>
        <v>1541.8666666666668</v>
      </c>
      <c r="S94" s="345">
        <f>R94/$R$118%</f>
        <v>4.0330269473266078</v>
      </c>
      <c r="T94" s="346">
        <f>R94/$R$134%</f>
        <v>0.68367010500585168</v>
      </c>
      <c r="U94" s="370"/>
      <c r="V94" s="371"/>
    </row>
    <row r="95" spans="1:22" s="347" customFormat="1" outlineLevel="1" x14ac:dyDescent="0.25">
      <c r="A95" s="341">
        <v>2</v>
      </c>
      <c r="B95" s="342" t="s">
        <v>75</v>
      </c>
      <c r="C95" s="342" t="s">
        <v>975</v>
      </c>
      <c r="D95" s="342" t="s">
        <v>149</v>
      </c>
      <c r="E95" s="343">
        <v>1288</v>
      </c>
      <c r="F95" s="343">
        <v>958.40000000000009</v>
      </c>
      <c r="G95" s="343">
        <v>628.79999999999995</v>
      </c>
      <c r="H95" s="343">
        <v>868.8</v>
      </c>
      <c r="I95" s="343">
        <v>1048</v>
      </c>
      <c r="J95" s="343">
        <v>1379.2</v>
      </c>
      <c r="K95" s="343">
        <v>4547.2</v>
      </c>
      <c r="L95" s="343">
        <v>360</v>
      </c>
      <c r="M95" s="343">
        <v>448</v>
      </c>
      <c r="N95" s="343">
        <v>360</v>
      </c>
      <c r="O95" s="343">
        <v>0</v>
      </c>
      <c r="P95" s="343">
        <v>779.2</v>
      </c>
      <c r="Q95" s="344">
        <f t="shared" si="16"/>
        <v>12665.6</v>
      </c>
      <c r="R95" s="344">
        <f t="shared" si="17"/>
        <v>1055.4666666666667</v>
      </c>
      <c r="S95" s="345">
        <f t="shared" ref="S95:S117" si="18">R95/$R$118%</f>
        <v>2.7607610960772595</v>
      </c>
      <c r="T95" s="346">
        <f t="shared" ref="T95:T117" si="19">R95/$R$134%</f>
        <v>0.46799831816208248</v>
      </c>
      <c r="U95" s="370"/>
      <c r="V95" s="371"/>
    </row>
    <row r="96" spans="1:22" s="347" customFormat="1" outlineLevel="1" x14ac:dyDescent="0.25">
      <c r="A96" s="341">
        <v>3</v>
      </c>
      <c r="B96" s="342" t="s">
        <v>365</v>
      </c>
      <c r="C96" s="342" t="s">
        <v>975</v>
      </c>
      <c r="D96" s="342" t="s">
        <v>149</v>
      </c>
      <c r="E96" s="343">
        <v>1200</v>
      </c>
      <c r="F96" s="343">
        <v>1497.6</v>
      </c>
      <c r="G96" s="343">
        <v>2336</v>
      </c>
      <c r="H96" s="343">
        <v>1289.5999999999999</v>
      </c>
      <c r="I96" s="343">
        <v>2741.12</v>
      </c>
      <c r="J96" s="343">
        <v>2185.6</v>
      </c>
      <c r="K96" s="343">
        <v>2248</v>
      </c>
      <c r="L96" s="343">
        <v>2696</v>
      </c>
      <c r="M96" s="343">
        <v>1648</v>
      </c>
      <c r="N96" s="343">
        <v>0</v>
      </c>
      <c r="O96" s="343">
        <v>0</v>
      </c>
      <c r="P96" s="343">
        <v>0</v>
      </c>
      <c r="Q96" s="344">
        <f t="shared" si="16"/>
        <v>17841.919999999998</v>
      </c>
      <c r="R96" s="344">
        <f t="shared" si="17"/>
        <v>1486.8266666666666</v>
      </c>
      <c r="S96" s="345">
        <f t="shared" si="18"/>
        <v>3.8890600220536551</v>
      </c>
      <c r="T96" s="346">
        <f t="shared" si="19"/>
        <v>0.65926513965247768</v>
      </c>
      <c r="U96" s="370"/>
      <c r="V96" s="371"/>
    </row>
    <row r="97" spans="1:22" s="347" customFormat="1" outlineLevel="1" x14ac:dyDescent="0.25">
      <c r="A97" s="341">
        <v>4</v>
      </c>
      <c r="B97" s="342" t="s">
        <v>364</v>
      </c>
      <c r="C97" s="342" t="s">
        <v>975</v>
      </c>
      <c r="D97" s="342" t="s">
        <v>149</v>
      </c>
      <c r="E97" s="343">
        <v>0</v>
      </c>
      <c r="F97" s="343">
        <v>896</v>
      </c>
      <c r="G97" s="343">
        <v>1496</v>
      </c>
      <c r="H97" s="343">
        <v>0</v>
      </c>
      <c r="I97" s="343">
        <v>1496</v>
      </c>
      <c r="J97" s="343">
        <v>2096</v>
      </c>
      <c r="K97" s="343">
        <v>1200</v>
      </c>
      <c r="L97" s="343">
        <v>5992</v>
      </c>
      <c r="M97" s="343">
        <v>3600</v>
      </c>
      <c r="N97" s="343">
        <v>0</v>
      </c>
      <c r="O97" s="343">
        <v>0</v>
      </c>
      <c r="P97" s="343">
        <v>1200</v>
      </c>
      <c r="Q97" s="344">
        <f t="shared" si="16"/>
        <v>17976</v>
      </c>
      <c r="R97" s="344">
        <f t="shared" si="17"/>
        <v>1498</v>
      </c>
      <c r="S97" s="345">
        <f t="shared" si="18"/>
        <v>3.918285865895403</v>
      </c>
      <c r="T97" s="346">
        <f t="shared" si="19"/>
        <v>0.66421944221210161</v>
      </c>
      <c r="U97" s="370"/>
      <c r="V97" s="371"/>
    </row>
    <row r="98" spans="1:22" s="347" customFormat="1" outlineLevel="1" x14ac:dyDescent="0.25">
      <c r="A98" s="341">
        <v>5</v>
      </c>
      <c r="B98" s="342" t="s">
        <v>345</v>
      </c>
      <c r="C98" s="342" t="s">
        <v>154</v>
      </c>
      <c r="D98" s="342" t="s">
        <v>149</v>
      </c>
      <c r="E98" s="343">
        <v>2674.4</v>
      </c>
      <c r="F98" s="343">
        <v>2308.8000000000002</v>
      </c>
      <c r="G98" s="343">
        <v>3950</v>
      </c>
      <c r="H98" s="343">
        <v>0</v>
      </c>
      <c r="I98" s="343">
        <v>2158.4</v>
      </c>
      <c r="J98" s="343">
        <v>3880</v>
      </c>
      <c r="K98" s="343">
        <v>3026</v>
      </c>
      <c r="L98" s="343">
        <v>1270</v>
      </c>
      <c r="M98" s="343">
        <v>1940</v>
      </c>
      <c r="N98" s="343">
        <v>1789.6</v>
      </c>
      <c r="O98" s="343">
        <v>1454.8</v>
      </c>
      <c r="P98" s="343">
        <v>2629.6</v>
      </c>
      <c r="Q98" s="344">
        <f t="shared" si="16"/>
        <v>27081.599999999995</v>
      </c>
      <c r="R98" s="344">
        <f t="shared" si="17"/>
        <v>2256.7999999999997</v>
      </c>
      <c r="S98" s="345">
        <f t="shared" si="18"/>
        <v>5.9030624446947559</v>
      </c>
      <c r="T98" s="346">
        <f t="shared" si="19"/>
        <v>1.0006745241550539</v>
      </c>
      <c r="U98" s="370"/>
      <c r="V98" s="371"/>
    </row>
    <row r="99" spans="1:22" s="347" customFormat="1" outlineLevel="1" x14ac:dyDescent="0.25">
      <c r="A99" s="341">
        <v>6</v>
      </c>
      <c r="B99" s="342" t="s">
        <v>296</v>
      </c>
      <c r="C99" s="342" t="s">
        <v>147</v>
      </c>
      <c r="D99" s="342" t="s">
        <v>149</v>
      </c>
      <c r="E99" s="343">
        <v>1136</v>
      </c>
      <c r="F99" s="343">
        <v>1028</v>
      </c>
      <c r="G99" s="343">
        <v>1112</v>
      </c>
      <c r="H99" s="343">
        <v>1204.48</v>
      </c>
      <c r="I99" s="343">
        <v>1336</v>
      </c>
      <c r="J99" s="343">
        <v>1136</v>
      </c>
      <c r="K99" s="343">
        <v>1316</v>
      </c>
      <c r="L99" s="343">
        <v>956.8</v>
      </c>
      <c r="M99" s="343">
        <v>1357.6</v>
      </c>
      <c r="N99" s="343">
        <v>1316</v>
      </c>
      <c r="O99" s="343">
        <v>1152.8</v>
      </c>
      <c r="P99" s="343">
        <v>1196</v>
      </c>
      <c r="Q99" s="344">
        <f t="shared" si="16"/>
        <v>14247.679999999998</v>
      </c>
      <c r="R99" s="344">
        <f t="shared" si="17"/>
        <v>1187.3066666666666</v>
      </c>
      <c r="S99" s="345">
        <f t="shared" si="18"/>
        <v>3.1056121031264246</v>
      </c>
      <c r="T99" s="346">
        <f t="shared" si="19"/>
        <v>0.52645672354341988</v>
      </c>
      <c r="U99" s="370"/>
      <c r="V99" s="371"/>
    </row>
    <row r="100" spans="1:22" s="347" customFormat="1" outlineLevel="1" x14ac:dyDescent="0.25">
      <c r="A100" s="341">
        <v>7</v>
      </c>
      <c r="B100" s="342" t="s">
        <v>309</v>
      </c>
      <c r="C100" s="342" t="s">
        <v>986</v>
      </c>
      <c r="D100" s="342" t="s">
        <v>149</v>
      </c>
      <c r="E100" s="343">
        <v>896</v>
      </c>
      <c r="F100" s="343">
        <v>1120</v>
      </c>
      <c r="G100" s="343">
        <v>1344</v>
      </c>
      <c r="H100" s="343">
        <v>627.20000000000005</v>
      </c>
      <c r="I100" s="343">
        <v>1344</v>
      </c>
      <c r="J100" s="343">
        <v>1344</v>
      </c>
      <c r="K100" s="343">
        <v>1120</v>
      </c>
      <c r="L100" s="343">
        <v>1568</v>
      </c>
      <c r="M100" s="343">
        <v>1120</v>
      </c>
      <c r="N100" s="343">
        <v>896</v>
      </c>
      <c r="O100" s="343">
        <v>1344</v>
      </c>
      <c r="P100" s="343">
        <v>1388.8</v>
      </c>
      <c r="Q100" s="344">
        <f t="shared" si="16"/>
        <v>14112</v>
      </c>
      <c r="R100" s="344">
        <f t="shared" si="17"/>
        <v>1176</v>
      </c>
      <c r="S100" s="345">
        <f t="shared" si="18"/>
        <v>3.0760375021982602</v>
      </c>
      <c r="T100" s="346">
        <f t="shared" si="19"/>
        <v>0.52144330042819198</v>
      </c>
      <c r="U100" s="370"/>
      <c r="V100" s="371"/>
    </row>
    <row r="101" spans="1:22" s="347" customFormat="1" outlineLevel="1" x14ac:dyDescent="0.25">
      <c r="A101" s="341">
        <v>8</v>
      </c>
      <c r="B101" s="342" t="s">
        <v>76</v>
      </c>
      <c r="C101" s="342" t="s">
        <v>986</v>
      </c>
      <c r="D101" s="342" t="s">
        <v>149</v>
      </c>
      <c r="E101" s="343">
        <v>896</v>
      </c>
      <c r="F101" s="343">
        <v>896</v>
      </c>
      <c r="G101" s="343">
        <v>1344</v>
      </c>
      <c r="H101" s="343">
        <v>672</v>
      </c>
      <c r="I101" s="343">
        <v>1344</v>
      </c>
      <c r="J101" s="343">
        <v>896</v>
      </c>
      <c r="K101" s="343">
        <v>896</v>
      </c>
      <c r="L101" s="343">
        <v>448</v>
      </c>
      <c r="M101" s="343">
        <v>896</v>
      </c>
      <c r="N101" s="343">
        <v>896</v>
      </c>
      <c r="O101" s="343">
        <v>896</v>
      </c>
      <c r="P101" s="343">
        <v>1344</v>
      </c>
      <c r="Q101" s="344">
        <f t="shared" si="16"/>
        <v>11424</v>
      </c>
      <c r="R101" s="344">
        <f t="shared" si="17"/>
        <v>952</v>
      </c>
      <c r="S101" s="345">
        <f t="shared" si="18"/>
        <v>2.4901255970176392</v>
      </c>
      <c r="T101" s="346">
        <f t="shared" si="19"/>
        <v>0.4221207670132982</v>
      </c>
      <c r="U101" s="370"/>
      <c r="V101" s="371"/>
    </row>
    <row r="102" spans="1:22" s="347" customFormat="1" outlineLevel="1" x14ac:dyDescent="0.25">
      <c r="A102" s="341">
        <v>9</v>
      </c>
      <c r="B102" s="342" t="s">
        <v>77</v>
      </c>
      <c r="C102" s="342" t="s">
        <v>147</v>
      </c>
      <c r="D102" s="342" t="s">
        <v>149</v>
      </c>
      <c r="E102" s="343">
        <v>0</v>
      </c>
      <c r="F102" s="343">
        <v>810</v>
      </c>
      <c r="G102" s="343">
        <v>2096</v>
      </c>
      <c r="H102" s="343">
        <v>0</v>
      </c>
      <c r="I102" s="343">
        <v>1792</v>
      </c>
      <c r="J102" s="343">
        <v>1590</v>
      </c>
      <c r="K102" s="343">
        <v>1200</v>
      </c>
      <c r="L102" s="343">
        <v>1344</v>
      </c>
      <c r="M102" s="343">
        <v>448</v>
      </c>
      <c r="N102" s="343">
        <v>2306</v>
      </c>
      <c r="O102" s="343">
        <v>1200</v>
      </c>
      <c r="P102" s="343">
        <v>896</v>
      </c>
      <c r="Q102" s="344">
        <f t="shared" si="16"/>
        <v>13682</v>
      </c>
      <c r="R102" s="344">
        <f t="shared" si="17"/>
        <v>1140.1666666666667</v>
      </c>
      <c r="S102" s="345">
        <f t="shared" si="18"/>
        <v>2.9823090352236821</v>
      </c>
      <c r="T102" s="346">
        <f t="shared" si="19"/>
        <v>0.50555465110958919</v>
      </c>
      <c r="U102" s="370"/>
      <c r="V102" s="371"/>
    </row>
    <row r="103" spans="1:22" s="347" customFormat="1" outlineLevel="1" x14ac:dyDescent="0.25">
      <c r="A103" s="341">
        <v>10</v>
      </c>
      <c r="B103" s="342" t="s">
        <v>375</v>
      </c>
      <c r="C103" s="342" t="s">
        <v>154</v>
      </c>
      <c r="D103" s="342" t="s">
        <v>149</v>
      </c>
      <c r="E103" s="343">
        <v>2992</v>
      </c>
      <c r="F103" s="343">
        <v>1944</v>
      </c>
      <c r="G103" s="343">
        <v>3888</v>
      </c>
      <c r="H103" s="343">
        <v>0</v>
      </c>
      <c r="I103" s="343">
        <v>2096</v>
      </c>
      <c r="J103" s="343">
        <v>2696</v>
      </c>
      <c r="K103" s="343">
        <v>2568</v>
      </c>
      <c r="L103" s="343">
        <v>2336</v>
      </c>
      <c r="M103" s="343">
        <v>1944</v>
      </c>
      <c r="N103" s="343">
        <v>2096</v>
      </c>
      <c r="O103" s="343">
        <v>1048</v>
      </c>
      <c r="P103" s="343">
        <v>1048</v>
      </c>
      <c r="Q103" s="344">
        <f t="shared" si="16"/>
        <v>24656</v>
      </c>
      <c r="R103" s="344">
        <f t="shared" si="17"/>
        <v>2054.6666666666665</v>
      </c>
      <c r="S103" s="345">
        <f t="shared" si="18"/>
        <v>5.3743467016865294</v>
      </c>
      <c r="T103" s="346">
        <f t="shared" si="19"/>
        <v>0.9110477618592332</v>
      </c>
      <c r="U103" s="370"/>
      <c r="V103" s="371"/>
    </row>
    <row r="104" spans="1:22" s="347" customFormat="1" outlineLevel="1" x14ac:dyDescent="0.25">
      <c r="A104" s="341">
        <v>11</v>
      </c>
      <c r="B104" s="342" t="s">
        <v>350</v>
      </c>
      <c r="C104" s="342" t="s">
        <v>154</v>
      </c>
      <c r="D104" s="342" t="s">
        <v>149</v>
      </c>
      <c r="E104" s="343">
        <v>1792</v>
      </c>
      <c r="F104" s="343">
        <v>1344</v>
      </c>
      <c r="G104" s="343">
        <v>3584</v>
      </c>
      <c r="H104" s="343">
        <v>1792</v>
      </c>
      <c r="I104" s="343">
        <v>1344</v>
      </c>
      <c r="J104" s="343">
        <v>2240</v>
      </c>
      <c r="K104" s="343">
        <v>1960</v>
      </c>
      <c r="L104" s="343">
        <v>2420</v>
      </c>
      <c r="M104" s="343">
        <v>3824</v>
      </c>
      <c r="N104" s="343">
        <v>1912</v>
      </c>
      <c r="O104" s="343">
        <v>3408</v>
      </c>
      <c r="P104" s="343">
        <v>2752</v>
      </c>
      <c r="Q104" s="344">
        <f t="shared" si="16"/>
        <v>28372</v>
      </c>
      <c r="R104" s="344">
        <f t="shared" si="17"/>
        <v>2364.3333333333335</v>
      </c>
      <c r="S104" s="345">
        <f t="shared" si="18"/>
        <v>6.1843350348900969</v>
      </c>
      <c r="T104" s="346">
        <f t="shared" si="19"/>
        <v>1.0483552522497634</v>
      </c>
      <c r="U104" s="370"/>
      <c r="V104" s="371"/>
    </row>
    <row r="105" spans="1:22" s="347" customFormat="1" outlineLevel="1" x14ac:dyDescent="0.25">
      <c r="A105" s="341">
        <v>12</v>
      </c>
      <c r="B105" s="342" t="s">
        <v>186</v>
      </c>
      <c r="C105" s="342" t="s">
        <v>981</v>
      </c>
      <c r="D105" s="342" t="s">
        <v>149</v>
      </c>
      <c r="E105" s="343">
        <v>2240</v>
      </c>
      <c r="F105" s="343">
        <v>2240</v>
      </c>
      <c r="G105" s="343">
        <v>2248.96</v>
      </c>
      <c r="H105" s="343">
        <v>2240</v>
      </c>
      <c r="I105" s="343">
        <v>2240</v>
      </c>
      <c r="J105" s="343">
        <v>2240</v>
      </c>
      <c r="K105" s="343">
        <v>2688</v>
      </c>
      <c r="L105" s="343">
        <v>1344</v>
      </c>
      <c r="M105" s="343">
        <v>1792</v>
      </c>
      <c r="N105" s="343">
        <v>2092</v>
      </c>
      <c r="O105" s="343">
        <v>1809.92</v>
      </c>
      <c r="P105" s="343">
        <v>2178.88</v>
      </c>
      <c r="Q105" s="344">
        <f t="shared" si="16"/>
        <v>25353.759999999998</v>
      </c>
      <c r="R105" s="344">
        <f t="shared" si="17"/>
        <v>2112.813333333333</v>
      </c>
      <c r="S105" s="345">
        <f t="shared" si="18"/>
        <v>5.5264396670729985</v>
      </c>
      <c r="T105" s="346">
        <f t="shared" si="19"/>
        <v>0.93683023615818262</v>
      </c>
      <c r="U105" s="370"/>
      <c r="V105" s="371"/>
    </row>
    <row r="106" spans="1:22" s="347" customFormat="1" outlineLevel="1" x14ac:dyDescent="0.25">
      <c r="A106" s="341">
        <v>13</v>
      </c>
      <c r="B106" s="342" t="s">
        <v>923</v>
      </c>
      <c r="C106" s="342" t="s">
        <v>986</v>
      </c>
      <c r="D106" s="342" t="s">
        <v>149</v>
      </c>
      <c r="E106" s="343">
        <v>0</v>
      </c>
      <c r="F106" s="343">
        <v>420</v>
      </c>
      <c r="G106" s="343">
        <v>0</v>
      </c>
      <c r="H106" s="343">
        <v>1260</v>
      </c>
      <c r="I106" s="343">
        <v>840</v>
      </c>
      <c r="J106" s="343">
        <v>0</v>
      </c>
      <c r="K106" s="343">
        <v>0</v>
      </c>
      <c r="L106" s="343">
        <v>420</v>
      </c>
      <c r="M106" s="343">
        <v>0</v>
      </c>
      <c r="N106" s="343">
        <v>0</v>
      </c>
      <c r="O106" s="343">
        <v>840</v>
      </c>
      <c r="P106" s="343">
        <v>0</v>
      </c>
      <c r="Q106" s="344">
        <f>SUM(E106:P106)</f>
        <v>3780</v>
      </c>
      <c r="R106" s="344">
        <v>1200</v>
      </c>
      <c r="S106" s="345">
        <f t="shared" si="18"/>
        <v>3.1388137777533265</v>
      </c>
      <c r="T106" s="346">
        <f t="shared" si="19"/>
        <v>0.53208500043693052</v>
      </c>
      <c r="U106" s="370"/>
      <c r="V106" s="371"/>
    </row>
    <row r="107" spans="1:22" s="347" customFormat="1" outlineLevel="1" x14ac:dyDescent="0.25">
      <c r="A107" s="341">
        <v>14</v>
      </c>
      <c r="B107" s="342" t="s">
        <v>411</v>
      </c>
      <c r="C107" s="342" t="s">
        <v>988</v>
      </c>
      <c r="D107" s="342" t="s">
        <v>149</v>
      </c>
      <c r="E107" s="343">
        <v>1792</v>
      </c>
      <c r="F107" s="343">
        <v>0</v>
      </c>
      <c r="G107" s="343">
        <v>2212</v>
      </c>
      <c r="H107" s="343">
        <v>2632</v>
      </c>
      <c r="I107" s="343">
        <v>2240</v>
      </c>
      <c r="J107" s="343">
        <v>2212</v>
      </c>
      <c r="K107" s="343">
        <v>1792</v>
      </c>
      <c r="L107" s="343">
        <v>2156</v>
      </c>
      <c r="M107" s="343">
        <v>2240</v>
      </c>
      <c r="N107" s="343">
        <v>0</v>
      </c>
      <c r="O107" s="343">
        <v>2632</v>
      </c>
      <c r="P107" s="343">
        <v>1792</v>
      </c>
      <c r="Q107" s="344">
        <f t="shared" si="16"/>
        <v>21700</v>
      </c>
      <c r="R107" s="344">
        <f t="shared" si="17"/>
        <v>1808.3333333333333</v>
      </c>
      <c r="S107" s="345">
        <f t="shared" si="18"/>
        <v>4.730017984531055</v>
      </c>
      <c r="T107" s="346">
        <f t="shared" si="19"/>
        <v>0.80182253538065229</v>
      </c>
      <c r="U107" s="370"/>
      <c r="V107" s="371"/>
    </row>
    <row r="108" spans="1:22" s="347" customFormat="1" outlineLevel="1" x14ac:dyDescent="0.25">
      <c r="A108" s="341">
        <v>15</v>
      </c>
      <c r="B108" s="342" t="s">
        <v>232</v>
      </c>
      <c r="C108" s="342" t="s">
        <v>975</v>
      </c>
      <c r="D108" s="342" t="s">
        <v>149</v>
      </c>
      <c r="E108" s="343">
        <v>0</v>
      </c>
      <c r="F108" s="343">
        <v>0</v>
      </c>
      <c r="G108" s="343">
        <v>1200</v>
      </c>
      <c r="H108" s="343">
        <v>896</v>
      </c>
      <c r="I108" s="343">
        <v>4800</v>
      </c>
      <c r="J108" s="343">
        <v>4192</v>
      </c>
      <c r="K108" s="343">
        <v>2400</v>
      </c>
      <c r="L108" s="343">
        <v>3600</v>
      </c>
      <c r="M108" s="343">
        <v>6000</v>
      </c>
      <c r="N108" s="343">
        <v>0</v>
      </c>
      <c r="O108" s="343">
        <v>0</v>
      </c>
      <c r="P108" s="343">
        <v>2096</v>
      </c>
      <c r="Q108" s="344">
        <f t="shared" si="16"/>
        <v>25184</v>
      </c>
      <c r="R108" s="344">
        <f t="shared" si="17"/>
        <v>2098.6666666666665</v>
      </c>
      <c r="S108" s="345">
        <f t="shared" si="18"/>
        <v>5.4894365402041512</v>
      </c>
      <c r="T108" s="346">
        <f t="shared" si="19"/>
        <v>0.93055754520858736</v>
      </c>
      <c r="U108" s="370"/>
      <c r="V108" s="371"/>
    </row>
    <row r="109" spans="1:22" s="347" customFormat="1" outlineLevel="1" x14ac:dyDescent="0.25">
      <c r="A109" s="341">
        <v>16</v>
      </c>
      <c r="B109" s="342" t="s">
        <v>356</v>
      </c>
      <c r="C109" s="342" t="s">
        <v>990</v>
      </c>
      <c r="D109" s="342" t="s">
        <v>149</v>
      </c>
      <c r="E109" s="343">
        <v>448</v>
      </c>
      <c r="F109" s="343">
        <v>2112</v>
      </c>
      <c r="G109" s="343">
        <v>1016</v>
      </c>
      <c r="H109" s="343">
        <v>1843.2</v>
      </c>
      <c r="I109" s="343">
        <v>896</v>
      </c>
      <c r="J109" s="343">
        <v>2112</v>
      </c>
      <c r="K109" s="343">
        <v>1664</v>
      </c>
      <c r="L109" s="343">
        <v>450.79999999999995</v>
      </c>
      <c r="M109" s="343">
        <v>2154</v>
      </c>
      <c r="N109" s="343">
        <v>0</v>
      </c>
      <c r="O109" s="343">
        <v>2112</v>
      </c>
      <c r="P109" s="343">
        <v>0</v>
      </c>
      <c r="Q109" s="344">
        <f t="shared" si="16"/>
        <v>14808</v>
      </c>
      <c r="R109" s="344">
        <f t="shared" si="17"/>
        <v>1234</v>
      </c>
      <c r="S109" s="345">
        <f t="shared" si="18"/>
        <v>3.2277468347896709</v>
      </c>
      <c r="T109" s="346">
        <f t="shared" si="19"/>
        <v>0.54716074211597687</v>
      </c>
      <c r="U109" s="370"/>
      <c r="V109" s="371"/>
    </row>
    <row r="110" spans="1:22" s="347" customFormat="1" outlineLevel="1" x14ac:dyDescent="0.25">
      <c r="A110" s="341">
        <v>17</v>
      </c>
      <c r="B110" s="342" t="s">
        <v>203</v>
      </c>
      <c r="C110" s="342" t="s">
        <v>154</v>
      </c>
      <c r="D110" s="342" t="s">
        <v>149</v>
      </c>
      <c r="E110" s="343">
        <v>1792</v>
      </c>
      <c r="F110" s="343">
        <v>0</v>
      </c>
      <c r="G110" s="343">
        <v>1792</v>
      </c>
      <c r="H110" s="343">
        <v>1792</v>
      </c>
      <c r="I110" s="343">
        <v>0</v>
      </c>
      <c r="J110" s="343">
        <v>1792</v>
      </c>
      <c r="K110" s="343">
        <v>1792</v>
      </c>
      <c r="L110" s="343">
        <v>0</v>
      </c>
      <c r="M110" s="343">
        <v>1792</v>
      </c>
      <c r="N110" s="343">
        <v>1792</v>
      </c>
      <c r="O110" s="343">
        <v>1792</v>
      </c>
      <c r="P110" s="343">
        <v>0</v>
      </c>
      <c r="Q110" s="344">
        <f t="shared" si="16"/>
        <v>14336</v>
      </c>
      <c r="R110" s="344">
        <f t="shared" si="17"/>
        <v>1194.6666666666667</v>
      </c>
      <c r="S110" s="345">
        <f t="shared" si="18"/>
        <v>3.1248634942966453</v>
      </c>
      <c r="T110" s="346">
        <f t="shared" si="19"/>
        <v>0.5297201782127664</v>
      </c>
      <c r="U110" s="370"/>
      <c r="V110" s="371"/>
    </row>
    <row r="111" spans="1:22" s="347" customFormat="1" outlineLevel="1" x14ac:dyDescent="0.25">
      <c r="A111" s="341">
        <v>18</v>
      </c>
      <c r="B111" s="342" t="s">
        <v>366</v>
      </c>
      <c r="C111" s="342" t="s">
        <v>975</v>
      </c>
      <c r="D111" s="342" t="s">
        <v>149</v>
      </c>
      <c r="E111" s="343">
        <v>0</v>
      </c>
      <c r="F111" s="343">
        <v>0</v>
      </c>
      <c r="G111" s="343">
        <v>3296</v>
      </c>
      <c r="H111" s="343">
        <v>1200</v>
      </c>
      <c r="I111" s="343">
        <v>2400</v>
      </c>
      <c r="J111" s="343">
        <v>4800</v>
      </c>
      <c r="K111" s="343">
        <v>3600</v>
      </c>
      <c r="L111" s="343">
        <v>7648</v>
      </c>
      <c r="M111" s="343">
        <v>3600</v>
      </c>
      <c r="N111" s="343">
        <v>0</v>
      </c>
      <c r="O111" s="343">
        <v>2400</v>
      </c>
      <c r="P111" s="343">
        <v>0</v>
      </c>
      <c r="Q111" s="344">
        <f t="shared" si="16"/>
        <v>28944</v>
      </c>
      <c r="R111" s="344">
        <f t="shared" si="17"/>
        <v>2412</v>
      </c>
      <c r="S111" s="345">
        <f t="shared" si="18"/>
        <v>6.309015693284187</v>
      </c>
      <c r="T111" s="346">
        <f t="shared" si="19"/>
        <v>1.0694908508782304</v>
      </c>
      <c r="U111" s="370"/>
      <c r="V111" s="371"/>
    </row>
    <row r="112" spans="1:22" s="347" customFormat="1" outlineLevel="1" x14ac:dyDescent="0.25">
      <c r="A112" s="341">
        <v>19</v>
      </c>
      <c r="B112" s="342" t="s">
        <v>312</v>
      </c>
      <c r="C112" s="342" t="s">
        <v>986</v>
      </c>
      <c r="D112" s="342" t="s">
        <v>149</v>
      </c>
      <c r="E112" s="343">
        <v>896</v>
      </c>
      <c r="F112" s="343">
        <v>1792</v>
      </c>
      <c r="G112" s="343">
        <v>1792</v>
      </c>
      <c r="H112" s="343">
        <v>1120</v>
      </c>
      <c r="I112" s="343">
        <v>1926.3999999999999</v>
      </c>
      <c r="J112" s="343">
        <v>896</v>
      </c>
      <c r="K112" s="343">
        <v>896</v>
      </c>
      <c r="L112" s="343">
        <v>448</v>
      </c>
      <c r="M112" s="343">
        <v>1792</v>
      </c>
      <c r="N112" s="343">
        <v>896</v>
      </c>
      <c r="O112" s="343">
        <v>896</v>
      </c>
      <c r="P112" s="343">
        <v>1792</v>
      </c>
      <c r="Q112" s="344">
        <f t="shared" si="16"/>
        <v>15142.4</v>
      </c>
      <c r="R112" s="344">
        <f t="shared" si="17"/>
        <v>1261.8666666666666</v>
      </c>
      <c r="S112" s="345">
        <f t="shared" si="18"/>
        <v>3.3006370658508311</v>
      </c>
      <c r="T112" s="346">
        <f t="shared" si="19"/>
        <v>0.55951693823723447</v>
      </c>
      <c r="U112" s="370"/>
      <c r="V112" s="371"/>
    </row>
    <row r="113" spans="1:22" s="347" customFormat="1" outlineLevel="1" x14ac:dyDescent="0.25">
      <c r="A113" s="341">
        <v>20</v>
      </c>
      <c r="B113" s="342" t="s">
        <v>175</v>
      </c>
      <c r="C113" s="342" t="s">
        <v>981</v>
      </c>
      <c r="D113" s="342" t="s">
        <v>149</v>
      </c>
      <c r="E113" s="343">
        <v>2240</v>
      </c>
      <c r="F113" s="343">
        <v>0</v>
      </c>
      <c r="G113" s="343">
        <v>2240</v>
      </c>
      <c r="H113" s="343">
        <v>2433.2799999999997</v>
      </c>
      <c r="I113" s="343">
        <v>0</v>
      </c>
      <c r="J113" s="343">
        <v>3136</v>
      </c>
      <c r="K113" s="343">
        <v>0</v>
      </c>
      <c r="L113" s="343">
        <v>4936</v>
      </c>
      <c r="M113" s="343">
        <v>628.79999999999995</v>
      </c>
      <c r="N113" s="343">
        <v>1792</v>
      </c>
      <c r="O113" s="343">
        <v>600</v>
      </c>
      <c r="P113" s="343">
        <v>0</v>
      </c>
      <c r="Q113" s="344">
        <f t="shared" si="16"/>
        <v>18006.079999999998</v>
      </c>
      <c r="R113" s="344">
        <f t="shared" si="17"/>
        <v>1500.5066666666664</v>
      </c>
      <c r="S113" s="345">
        <f t="shared" si="18"/>
        <v>3.9248424991200426</v>
      </c>
      <c r="T113" s="346">
        <f t="shared" si="19"/>
        <v>0.6653309086574587</v>
      </c>
      <c r="U113" s="370"/>
      <c r="V113" s="371"/>
    </row>
    <row r="114" spans="1:22" s="347" customFormat="1" outlineLevel="1" x14ac:dyDescent="0.25">
      <c r="A114" s="341">
        <v>21</v>
      </c>
      <c r="B114" s="342" t="s">
        <v>305</v>
      </c>
      <c r="C114" s="342" t="s">
        <v>154</v>
      </c>
      <c r="D114" s="342" t="s">
        <v>149</v>
      </c>
      <c r="E114" s="343">
        <v>0</v>
      </c>
      <c r="F114" s="343">
        <v>896</v>
      </c>
      <c r="G114" s="343">
        <v>2688</v>
      </c>
      <c r="H114" s="343">
        <v>0</v>
      </c>
      <c r="I114" s="343">
        <v>1496</v>
      </c>
      <c r="J114" s="343">
        <v>1792</v>
      </c>
      <c r="K114" s="343">
        <v>0</v>
      </c>
      <c r="L114" s="343">
        <v>448</v>
      </c>
      <c r="M114" s="343">
        <v>2192</v>
      </c>
      <c r="N114" s="343">
        <v>1792</v>
      </c>
      <c r="O114" s="343">
        <v>3296</v>
      </c>
      <c r="P114" s="343">
        <v>896</v>
      </c>
      <c r="Q114" s="344">
        <f t="shared" si="16"/>
        <v>15496</v>
      </c>
      <c r="R114" s="344">
        <f t="shared" si="17"/>
        <v>1291.3333333333333</v>
      </c>
      <c r="S114" s="345">
        <f t="shared" si="18"/>
        <v>3.3777123819489963</v>
      </c>
      <c r="T114" s="346">
        <f t="shared" si="19"/>
        <v>0.57258258102574133</v>
      </c>
      <c r="U114" s="370"/>
      <c r="V114" s="371"/>
    </row>
    <row r="115" spans="1:22" s="347" customFormat="1" outlineLevel="1" x14ac:dyDescent="0.25">
      <c r="A115" s="341">
        <v>22</v>
      </c>
      <c r="B115" s="342" t="s">
        <v>185</v>
      </c>
      <c r="C115" s="342" t="s">
        <v>988</v>
      </c>
      <c r="D115" s="342" t="s">
        <v>149</v>
      </c>
      <c r="E115" s="343">
        <v>0</v>
      </c>
      <c r="F115" s="343">
        <v>896</v>
      </c>
      <c r="G115" s="343">
        <v>1792</v>
      </c>
      <c r="H115" s="343">
        <v>0</v>
      </c>
      <c r="I115" s="343">
        <v>1792</v>
      </c>
      <c r="J115" s="343">
        <v>0</v>
      </c>
      <c r="K115" s="343">
        <v>1792</v>
      </c>
      <c r="L115" s="343">
        <v>896</v>
      </c>
      <c r="M115" s="343">
        <v>896</v>
      </c>
      <c r="N115" s="343">
        <v>896</v>
      </c>
      <c r="O115" s="343">
        <v>896</v>
      </c>
      <c r="P115" s="343">
        <v>1792</v>
      </c>
      <c r="Q115" s="344">
        <f t="shared" si="16"/>
        <v>11648</v>
      </c>
      <c r="R115" s="344">
        <f t="shared" si="17"/>
        <v>970.66666666666663</v>
      </c>
      <c r="S115" s="345">
        <f t="shared" si="18"/>
        <v>2.5389515891160244</v>
      </c>
      <c r="T115" s="346">
        <f t="shared" si="19"/>
        <v>0.43039764479787268</v>
      </c>
      <c r="U115" s="370"/>
      <c r="V115" s="371"/>
    </row>
    <row r="116" spans="1:22" s="347" customFormat="1" outlineLevel="1" x14ac:dyDescent="0.25">
      <c r="A116" s="341">
        <v>23</v>
      </c>
      <c r="B116" s="342" t="s">
        <v>230</v>
      </c>
      <c r="C116" s="342" t="s">
        <v>975</v>
      </c>
      <c r="D116" s="342" t="s">
        <v>149</v>
      </c>
      <c r="E116" s="343">
        <v>600</v>
      </c>
      <c r="F116" s="343">
        <v>0</v>
      </c>
      <c r="G116" s="343">
        <v>2392</v>
      </c>
      <c r="H116" s="343">
        <v>1792</v>
      </c>
      <c r="I116" s="343">
        <v>1048</v>
      </c>
      <c r="J116" s="343">
        <v>2140</v>
      </c>
      <c r="K116" s="343">
        <v>1196</v>
      </c>
      <c r="L116" s="343">
        <v>4876</v>
      </c>
      <c r="M116" s="343">
        <v>4184</v>
      </c>
      <c r="N116" s="343">
        <v>4040</v>
      </c>
      <c r="O116" s="343">
        <v>2544</v>
      </c>
      <c r="P116" s="343">
        <v>3876</v>
      </c>
      <c r="Q116" s="344">
        <f t="shared" si="16"/>
        <v>28688</v>
      </c>
      <c r="R116" s="344">
        <f t="shared" si="17"/>
        <v>2390.6666666666665</v>
      </c>
      <c r="S116" s="345">
        <f t="shared" si="18"/>
        <v>6.2532145594574606</v>
      </c>
      <c r="T116" s="346">
        <f t="shared" si="19"/>
        <v>1.0600315619815737</v>
      </c>
      <c r="U116" s="370"/>
      <c r="V116" s="371"/>
    </row>
    <row r="117" spans="1:22" s="347" customFormat="1" outlineLevel="1" x14ac:dyDescent="0.25">
      <c r="A117" s="341">
        <v>24</v>
      </c>
      <c r="B117" s="342" t="s">
        <v>310</v>
      </c>
      <c r="C117" s="342" t="s">
        <v>986</v>
      </c>
      <c r="D117" s="342" t="s">
        <v>149</v>
      </c>
      <c r="E117" s="343">
        <v>1344</v>
      </c>
      <c r="F117" s="343">
        <v>1612.8</v>
      </c>
      <c r="G117" s="343">
        <v>2016</v>
      </c>
      <c r="H117" s="343">
        <v>1120</v>
      </c>
      <c r="I117" s="343">
        <v>2239</v>
      </c>
      <c r="J117" s="343">
        <v>2016</v>
      </c>
      <c r="K117" s="343">
        <v>2688</v>
      </c>
      <c r="L117" s="343">
        <v>2240</v>
      </c>
      <c r="M117" s="343">
        <v>2060.8000000000002</v>
      </c>
      <c r="N117" s="343">
        <v>2240</v>
      </c>
      <c r="O117" s="343">
        <v>2688</v>
      </c>
      <c r="P117" s="343">
        <v>2240</v>
      </c>
      <c r="Q117" s="344">
        <f t="shared" si="16"/>
        <v>24504.6</v>
      </c>
      <c r="R117" s="344">
        <f t="shared" si="17"/>
        <v>2042.05</v>
      </c>
      <c r="S117" s="345">
        <f t="shared" si="18"/>
        <v>5.3413455623843173</v>
      </c>
      <c r="T117" s="346">
        <f t="shared" si="19"/>
        <v>0.90545347928519504</v>
      </c>
      <c r="U117" s="370"/>
      <c r="V117" s="371"/>
    </row>
    <row r="118" spans="1:22" s="353" customFormat="1" x14ac:dyDescent="0.25">
      <c r="A118" s="348"/>
      <c r="B118" s="349" t="s">
        <v>1054</v>
      </c>
      <c r="C118" s="349"/>
      <c r="D118" s="349"/>
      <c r="E118" s="350">
        <f>SUM(E94:E117)</f>
        <v>25362.400000000001</v>
      </c>
      <c r="F118" s="350">
        <f t="shared" ref="F118:T118" si="20">SUM(F94:F117)</f>
        <v>23459.599999999999</v>
      </c>
      <c r="G118" s="350">
        <f t="shared" si="20"/>
        <v>47571.759999999995</v>
      </c>
      <c r="H118" s="350">
        <f t="shared" si="20"/>
        <v>25680.16</v>
      </c>
      <c r="I118" s="350">
        <f t="shared" si="20"/>
        <v>41460.920000000006</v>
      </c>
      <c r="J118" s="350">
        <f t="shared" si="20"/>
        <v>47639.6</v>
      </c>
      <c r="K118" s="350">
        <f t="shared" si="20"/>
        <v>42834</v>
      </c>
      <c r="L118" s="350">
        <f t="shared" si="20"/>
        <v>50021.599999999999</v>
      </c>
      <c r="M118" s="350">
        <f t="shared" si="20"/>
        <v>47786.000000000007</v>
      </c>
      <c r="N118" s="350">
        <f t="shared" si="20"/>
        <v>28788.400000000001</v>
      </c>
      <c r="O118" s="350">
        <f t="shared" si="20"/>
        <v>35524.720000000001</v>
      </c>
      <c r="P118" s="350">
        <f t="shared" si="20"/>
        <v>32022.880000000001</v>
      </c>
      <c r="Q118" s="350">
        <f>SUM(Q94:Q117)</f>
        <v>448152.04</v>
      </c>
      <c r="R118" s="350">
        <f>SUM(R94:R117)</f>
        <v>38231.003333333327</v>
      </c>
      <c r="S118" s="351">
        <f t="shared" si="20"/>
        <v>100.00000000000003</v>
      </c>
      <c r="T118" s="352">
        <f t="shared" si="20"/>
        <v>16.951786187767468</v>
      </c>
      <c r="U118" s="372"/>
      <c r="V118" s="373"/>
    </row>
    <row r="119" spans="1:22" s="347" customFormat="1" outlineLevel="1" x14ac:dyDescent="0.25">
      <c r="A119" s="341">
        <v>1</v>
      </c>
      <c r="B119" s="342" t="s">
        <v>308</v>
      </c>
      <c r="C119" s="342" t="s">
        <v>147</v>
      </c>
      <c r="D119" s="342" t="s">
        <v>469</v>
      </c>
      <c r="E119" s="343">
        <v>448</v>
      </c>
      <c r="F119" s="343">
        <v>448</v>
      </c>
      <c r="G119" s="343">
        <v>896</v>
      </c>
      <c r="H119" s="343">
        <v>448</v>
      </c>
      <c r="I119" s="343">
        <v>448</v>
      </c>
      <c r="J119" s="343">
        <v>896</v>
      </c>
      <c r="K119" s="343">
        <v>448</v>
      </c>
      <c r="L119" s="343">
        <v>448</v>
      </c>
      <c r="M119" s="343">
        <v>448</v>
      </c>
      <c r="N119" s="343">
        <v>448</v>
      </c>
      <c r="O119" s="343">
        <v>448</v>
      </c>
      <c r="P119" s="343">
        <v>448</v>
      </c>
      <c r="Q119" s="344">
        <f t="shared" ref="Q119:Q132" si="21">SUM(E119:P119)</f>
        <v>6272</v>
      </c>
      <c r="R119" s="344">
        <f t="shared" ref="R119:R132" si="22">IFERROR(AVERAGE(E119:P119),0)</f>
        <v>522.66666666666663</v>
      </c>
      <c r="S119" s="345">
        <f>R119/$R$133%</f>
        <v>6.176542766846933</v>
      </c>
      <c r="T119" s="346">
        <f t="shared" ref="T119:T132" si="23">R119/$R$134%</f>
        <v>0.23175257796808529</v>
      </c>
      <c r="U119" s="370"/>
      <c r="V119" s="371"/>
    </row>
    <row r="120" spans="1:22" s="347" customFormat="1" outlineLevel="1" x14ac:dyDescent="0.25">
      <c r="A120" s="341">
        <v>2</v>
      </c>
      <c r="B120" s="342" t="s">
        <v>428</v>
      </c>
      <c r="C120" s="342" t="s">
        <v>986</v>
      </c>
      <c r="D120" s="342" t="s">
        <v>469</v>
      </c>
      <c r="E120" s="343">
        <v>448</v>
      </c>
      <c r="F120" s="343">
        <v>448</v>
      </c>
      <c r="G120" s="343">
        <v>896</v>
      </c>
      <c r="H120" s="343">
        <v>672</v>
      </c>
      <c r="I120" s="343">
        <v>0</v>
      </c>
      <c r="J120" s="343">
        <v>268.8</v>
      </c>
      <c r="K120" s="343">
        <v>448</v>
      </c>
      <c r="L120" s="343">
        <v>0</v>
      </c>
      <c r="M120" s="343">
        <v>268.8</v>
      </c>
      <c r="N120" s="343">
        <v>448</v>
      </c>
      <c r="O120" s="343">
        <v>716.8</v>
      </c>
      <c r="P120" s="343">
        <v>448</v>
      </c>
      <c r="Q120" s="344">
        <f t="shared" si="21"/>
        <v>5062.4000000000005</v>
      </c>
      <c r="R120" s="344">
        <f t="shared" si="22"/>
        <v>421.86666666666673</v>
      </c>
      <c r="S120" s="345">
        <f t="shared" ref="S120:S132" si="24">R120/$R$133%</f>
        <v>4.9853523760978833</v>
      </c>
      <c r="T120" s="346">
        <f t="shared" si="23"/>
        <v>0.18705743793138316</v>
      </c>
      <c r="U120" s="370"/>
      <c r="V120" s="371"/>
    </row>
    <row r="121" spans="1:22" s="347" customFormat="1" outlineLevel="1" x14ac:dyDescent="0.25">
      <c r="A121" s="341">
        <v>3</v>
      </c>
      <c r="B121" s="342" t="s">
        <v>351</v>
      </c>
      <c r="C121" s="342" t="s">
        <v>147</v>
      </c>
      <c r="D121" s="342" t="s">
        <v>469</v>
      </c>
      <c r="E121" s="343">
        <v>675.2</v>
      </c>
      <c r="F121" s="343">
        <v>896</v>
      </c>
      <c r="G121" s="343">
        <v>851.2</v>
      </c>
      <c r="H121" s="343">
        <v>492.8</v>
      </c>
      <c r="I121" s="343">
        <v>821.6</v>
      </c>
      <c r="J121" s="343">
        <v>305.64</v>
      </c>
      <c r="K121" s="343">
        <v>325.60000000000002</v>
      </c>
      <c r="L121" s="343">
        <v>448.32</v>
      </c>
      <c r="M121" s="343">
        <v>146</v>
      </c>
      <c r="N121" s="343">
        <v>0</v>
      </c>
      <c r="O121" s="343">
        <v>203.20000000000002</v>
      </c>
      <c r="P121" s="343">
        <v>403.20000000000005</v>
      </c>
      <c r="Q121" s="344">
        <f t="shared" si="21"/>
        <v>5568.7599999999993</v>
      </c>
      <c r="R121" s="344">
        <f t="shared" si="22"/>
        <v>464.06333333333328</v>
      </c>
      <c r="S121" s="345">
        <f t="shared" si="24"/>
        <v>5.4840057873575461</v>
      </c>
      <c r="T121" s="346">
        <f t="shared" si="23"/>
        <v>0.20576761576619174</v>
      </c>
      <c r="U121" s="370"/>
      <c r="V121" s="371"/>
    </row>
    <row r="122" spans="1:22" s="347" customFormat="1" outlineLevel="1" x14ac:dyDescent="0.25">
      <c r="A122" s="341">
        <v>4</v>
      </c>
      <c r="B122" s="342" t="s">
        <v>405</v>
      </c>
      <c r="C122" s="342" t="s">
        <v>147</v>
      </c>
      <c r="D122" s="342" t="s">
        <v>469</v>
      </c>
      <c r="E122" s="343">
        <v>120</v>
      </c>
      <c r="F122" s="343">
        <v>0</v>
      </c>
      <c r="G122" s="343">
        <v>832</v>
      </c>
      <c r="H122" s="343">
        <v>914.4</v>
      </c>
      <c r="I122" s="343">
        <v>4188</v>
      </c>
      <c r="J122" s="343">
        <v>448</v>
      </c>
      <c r="K122" s="343">
        <v>224</v>
      </c>
      <c r="L122" s="343">
        <v>448</v>
      </c>
      <c r="M122" s="343">
        <v>448</v>
      </c>
      <c r="N122" s="343">
        <v>300</v>
      </c>
      <c r="O122" s="343">
        <v>300</v>
      </c>
      <c r="P122" s="343">
        <v>1348</v>
      </c>
      <c r="Q122" s="344">
        <f t="shared" si="21"/>
        <v>9570.4</v>
      </c>
      <c r="R122" s="344">
        <f t="shared" si="22"/>
        <v>797.5333333333333</v>
      </c>
      <c r="S122" s="345">
        <f t="shared" si="24"/>
        <v>9.4247424897691161</v>
      </c>
      <c r="T122" s="346">
        <f t="shared" si="23"/>
        <v>0.35362960334594445</v>
      </c>
      <c r="U122" s="370"/>
      <c r="V122" s="371"/>
    </row>
    <row r="123" spans="1:22" s="347" customFormat="1" outlineLevel="1" x14ac:dyDescent="0.25">
      <c r="A123" s="341">
        <v>5</v>
      </c>
      <c r="B123" s="342" t="s">
        <v>388</v>
      </c>
      <c r="C123" s="342" t="s">
        <v>975</v>
      </c>
      <c r="D123" s="342" t="s">
        <v>469</v>
      </c>
      <c r="E123" s="343">
        <v>0</v>
      </c>
      <c r="F123" s="343">
        <v>0</v>
      </c>
      <c r="G123" s="343">
        <v>1139.2</v>
      </c>
      <c r="H123" s="343">
        <v>1200</v>
      </c>
      <c r="I123" s="343">
        <v>1852.8000000000002</v>
      </c>
      <c r="J123" s="343">
        <v>1200</v>
      </c>
      <c r="K123" s="343">
        <v>896</v>
      </c>
      <c r="L123" s="343">
        <v>448</v>
      </c>
      <c r="M123" s="343">
        <v>1108.8</v>
      </c>
      <c r="N123" s="343">
        <v>1913.6000000000001</v>
      </c>
      <c r="O123" s="343">
        <v>987.2</v>
      </c>
      <c r="P123" s="343">
        <v>1139.2</v>
      </c>
      <c r="Q123" s="344">
        <f t="shared" si="21"/>
        <v>11884.800000000001</v>
      </c>
      <c r="R123" s="344">
        <f t="shared" si="22"/>
        <v>990.40000000000009</v>
      </c>
      <c r="S123" s="345">
        <f t="shared" si="24"/>
        <v>11.703918283708935</v>
      </c>
      <c r="T123" s="346">
        <f t="shared" si="23"/>
        <v>0.43914748702728007</v>
      </c>
      <c r="U123" s="370"/>
      <c r="V123" s="371"/>
    </row>
    <row r="124" spans="1:22" s="347" customFormat="1" outlineLevel="1" x14ac:dyDescent="0.25">
      <c r="A124" s="341">
        <v>6</v>
      </c>
      <c r="B124" s="342" t="s">
        <v>418</v>
      </c>
      <c r="C124" s="342" t="s">
        <v>981</v>
      </c>
      <c r="D124" s="342" t="s">
        <v>469</v>
      </c>
      <c r="E124" s="343">
        <v>0</v>
      </c>
      <c r="F124" s="343">
        <v>2152</v>
      </c>
      <c r="G124" s="343">
        <v>0</v>
      </c>
      <c r="H124" s="343">
        <v>0</v>
      </c>
      <c r="I124" s="343">
        <v>0</v>
      </c>
      <c r="J124" s="343">
        <v>0</v>
      </c>
      <c r="K124" s="343">
        <v>0</v>
      </c>
      <c r="L124" s="343">
        <v>896</v>
      </c>
      <c r="M124" s="343">
        <v>0</v>
      </c>
      <c r="N124" s="343">
        <v>1792</v>
      </c>
      <c r="O124" s="343">
        <v>2096</v>
      </c>
      <c r="P124" s="343">
        <v>1648</v>
      </c>
      <c r="Q124" s="344">
        <f t="shared" si="21"/>
        <v>8584</v>
      </c>
      <c r="R124" s="344">
        <f t="shared" si="22"/>
        <v>715.33333333333337</v>
      </c>
      <c r="S124" s="345">
        <f t="shared" si="24"/>
        <v>8.4533550877892356</v>
      </c>
      <c r="T124" s="346">
        <f t="shared" si="23"/>
        <v>0.31718178081601472</v>
      </c>
      <c r="U124" s="370"/>
      <c r="V124" s="371"/>
    </row>
    <row r="125" spans="1:22" s="347" customFormat="1" outlineLevel="1" x14ac:dyDescent="0.25">
      <c r="A125" s="341">
        <v>7</v>
      </c>
      <c r="B125" s="342" t="s">
        <v>423</v>
      </c>
      <c r="C125" s="342" t="s">
        <v>1049</v>
      </c>
      <c r="D125" s="342" t="s">
        <v>469</v>
      </c>
      <c r="E125" s="343">
        <v>0</v>
      </c>
      <c r="F125" s="343">
        <v>0</v>
      </c>
      <c r="G125" s="343">
        <v>537.6</v>
      </c>
      <c r="H125" s="343">
        <v>1075.2</v>
      </c>
      <c r="I125" s="343">
        <v>1792</v>
      </c>
      <c r="J125" s="343">
        <v>0</v>
      </c>
      <c r="K125" s="343">
        <v>1792</v>
      </c>
      <c r="L125" s="343">
        <v>1792</v>
      </c>
      <c r="M125" s="343">
        <v>0</v>
      </c>
      <c r="N125" s="343">
        <v>1792</v>
      </c>
      <c r="O125" s="343">
        <v>0</v>
      </c>
      <c r="P125" s="343">
        <v>1792</v>
      </c>
      <c r="Q125" s="344">
        <f t="shared" si="21"/>
        <v>10572.8</v>
      </c>
      <c r="R125" s="344">
        <f t="shared" si="22"/>
        <v>881.06666666666661</v>
      </c>
      <c r="S125" s="345">
        <f t="shared" si="24"/>
        <v>10.411886378399116</v>
      </c>
      <c r="T125" s="346">
        <f t="shared" si="23"/>
        <v>0.39066863143191521</v>
      </c>
      <c r="U125" s="370"/>
      <c r="V125" s="371"/>
    </row>
    <row r="126" spans="1:22" s="347" customFormat="1" outlineLevel="1" x14ac:dyDescent="0.25">
      <c r="A126" s="341">
        <v>8</v>
      </c>
      <c r="B126" s="342" t="s">
        <v>183</v>
      </c>
      <c r="C126" s="342" t="s">
        <v>981</v>
      </c>
      <c r="D126" s="342" t="s">
        <v>469</v>
      </c>
      <c r="E126" s="343">
        <v>0</v>
      </c>
      <c r="F126" s="343">
        <v>0</v>
      </c>
      <c r="G126" s="343">
        <v>1288</v>
      </c>
      <c r="H126" s="343">
        <v>411.59999999999997</v>
      </c>
      <c r="I126" s="343">
        <v>0</v>
      </c>
      <c r="J126" s="343">
        <v>0</v>
      </c>
      <c r="K126" s="343">
        <v>1803.2</v>
      </c>
      <c r="L126" s="343">
        <v>0</v>
      </c>
      <c r="M126" s="343">
        <v>840</v>
      </c>
      <c r="N126" s="343">
        <v>0</v>
      </c>
      <c r="O126" s="343">
        <v>840</v>
      </c>
      <c r="P126" s="343">
        <v>0</v>
      </c>
      <c r="Q126" s="344">
        <f t="shared" si="21"/>
        <v>5182.8</v>
      </c>
      <c r="R126" s="344">
        <f t="shared" si="22"/>
        <v>431.90000000000003</v>
      </c>
      <c r="S126" s="345">
        <f t="shared" si="24"/>
        <v>5.1039199381400335</v>
      </c>
      <c r="T126" s="346">
        <f t="shared" si="23"/>
        <v>0.19150625974059193</v>
      </c>
      <c r="U126" s="370"/>
      <c r="V126" s="371"/>
    </row>
    <row r="127" spans="1:22" s="347" customFormat="1" outlineLevel="1" x14ac:dyDescent="0.25">
      <c r="A127" s="341">
        <v>9</v>
      </c>
      <c r="B127" s="342" t="s">
        <v>259</v>
      </c>
      <c r="C127" s="342" t="s">
        <v>154</v>
      </c>
      <c r="D127" s="342" t="s">
        <v>469</v>
      </c>
      <c r="E127" s="343">
        <v>2470</v>
      </c>
      <c r="F127" s="343">
        <v>0</v>
      </c>
      <c r="G127" s="343">
        <v>1200</v>
      </c>
      <c r="H127" s="343">
        <v>1200</v>
      </c>
      <c r="I127" s="343">
        <v>280</v>
      </c>
      <c r="J127" s="343">
        <v>989.2</v>
      </c>
      <c r="K127" s="343">
        <v>1610.4</v>
      </c>
      <c r="L127" s="343">
        <v>1320</v>
      </c>
      <c r="M127" s="343">
        <v>0</v>
      </c>
      <c r="N127" s="343">
        <v>1260</v>
      </c>
      <c r="O127" s="343">
        <v>1200</v>
      </c>
      <c r="P127" s="343">
        <v>600</v>
      </c>
      <c r="Q127" s="344">
        <f t="shared" si="21"/>
        <v>12129.6</v>
      </c>
      <c r="R127" s="344">
        <f t="shared" si="22"/>
        <v>1010.8000000000001</v>
      </c>
      <c r="S127" s="345">
        <f t="shared" si="24"/>
        <v>11.944992529455767</v>
      </c>
      <c r="T127" s="346">
        <f t="shared" si="23"/>
        <v>0.44819293203470784</v>
      </c>
      <c r="U127" s="370"/>
      <c r="V127" s="371"/>
    </row>
    <row r="128" spans="1:22" s="347" customFormat="1" outlineLevel="1" x14ac:dyDescent="0.25">
      <c r="A128" s="341">
        <v>10</v>
      </c>
      <c r="B128" s="342" t="s">
        <v>297</v>
      </c>
      <c r="C128" s="342" t="s">
        <v>147</v>
      </c>
      <c r="D128" s="342" t="s">
        <v>469</v>
      </c>
      <c r="E128" s="343">
        <v>0</v>
      </c>
      <c r="F128" s="343">
        <v>896</v>
      </c>
      <c r="G128" s="343">
        <v>0</v>
      </c>
      <c r="H128" s="343">
        <v>896</v>
      </c>
      <c r="I128" s="343">
        <v>896</v>
      </c>
      <c r="J128" s="343">
        <v>0</v>
      </c>
      <c r="K128" s="343">
        <v>896</v>
      </c>
      <c r="L128" s="343">
        <v>0</v>
      </c>
      <c r="M128" s="343">
        <v>896</v>
      </c>
      <c r="N128" s="343">
        <v>0</v>
      </c>
      <c r="O128" s="343">
        <v>0</v>
      </c>
      <c r="P128" s="343">
        <v>896</v>
      </c>
      <c r="Q128" s="344">
        <f t="shared" si="21"/>
        <v>5376</v>
      </c>
      <c r="R128" s="344">
        <f t="shared" si="22"/>
        <v>448</v>
      </c>
      <c r="S128" s="345">
        <f t="shared" si="24"/>
        <v>5.2941795144402288</v>
      </c>
      <c r="T128" s="346">
        <f t="shared" si="23"/>
        <v>0.19864506682978741</v>
      </c>
      <c r="U128" s="370"/>
      <c r="V128" s="371"/>
    </row>
    <row r="129" spans="1:22" s="347" customFormat="1" outlineLevel="1" x14ac:dyDescent="0.25">
      <c r="A129" s="341">
        <v>11</v>
      </c>
      <c r="B129" s="342" t="s">
        <v>420</v>
      </c>
      <c r="C129" s="342" t="s">
        <v>1050</v>
      </c>
      <c r="D129" s="342" t="s">
        <v>469</v>
      </c>
      <c r="E129" s="343">
        <v>0</v>
      </c>
      <c r="F129" s="343">
        <v>896</v>
      </c>
      <c r="G129" s="343">
        <v>1792</v>
      </c>
      <c r="H129" s="343">
        <v>896</v>
      </c>
      <c r="I129" s="343">
        <v>0</v>
      </c>
      <c r="J129" s="343">
        <v>0</v>
      </c>
      <c r="K129" s="343">
        <v>896</v>
      </c>
      <c r="L129" s="343">
        <v>0</v>
      </c>
      <c r="M129" s="343">
        <v>0</v>
      </c>
      <c r="N129" s="343">
        <v>896</v>
      </c>
      <c r="O129" s="343">
        <v>0</v>
      </c>
      <c r="P129" s="343">
        <v>0</v>
      </c>
      <c r="Q129" s="344">
        <f t="shared" si="21"/>
        <v>5376</v>
      </c>
      <c r="R129" s="344">
        <f t="shared" si="22"/>
        <v>448</v>
      </c>
      <c r="S129" s="345">
        <f t="shared" si="24"/>
        <v>5.2941795144402288</v>
      </c>
      <c r="T129" s="346">
        <f t="shared" si="23"/>
        <v>0.19864506682978741</v>
      </c>
      <c r="U129" s="370"/>
      <c r="V129" s="371"/>
    </row>
    <row r="130" spans="1:22" s="347" customFormat="1" outlineLevel="1" x14ac:dyDescent="0.25">
      <c r="A130" s="341">
        <v>12</v>
      </c>
      <c r="B130" s="342" t="s">
        <v>414</v>
      </c>
      <c r="C130" s="342" t="s">
        <v>1050</v>
      </c>
      <c r="D130" s="342" t="s">
        <v>469</v>
      </c>
      <c r="E130" s="343">
        <v>0</v>
      </c>
      <c r="F130" s="343">
        <v>896</v>
      </c>
      <c r="G130" s="343">
        <v>0</v>
      </c>
      <c r="H130" s="343">
        <v>922.88</v>
      </c>
      <c r="I130" s="343">
        <v>896</v>
      </c>
      <c r="J130" s="343">
        <v>0</v>
      </c>
      <c r="K130" s="343">
        <v>896</v>
      </c>
      <c r="L130" s="343">
        <v>896</v>
      </c>
      <c r="M130" s="343">
        <v>0</v>
      </c>
      <c r="N130" s="343">
        <v>0</v>
      </c>
      <c r="O130" s="343">
        <v>896</v>
      </c>
      <c r="P130" s="343">
        <v>0</v>
      </c>
      <c r="Q130" s="344">
        <f t="shared" si="21"/>
        <v>5402.88</v>
      </c>
      <c r="R130" s="344">
        <f t="shared" si="22"/>
        <v>450.24</v>
      </c>
      <c r="S130" s="345">
        <f t="shared" si="24"/>
        <v>5.3206504120124301</v>
      </c>
      <c r="T130" s="346">
        <f t="shared" si="23"/>
        <v>0.19963829216393633</v>
      </c>
      <c r="U130" s="370"/>
      <c r="V130" s="371"/>
    </row>
    <row r="131" spans="1:22" s="347" customFormat="1" outlineLevel="1" x14ac:dyDescent="0.25">
      <c r="A131" s="341">
        <v>13</v>
      </c>
      <c r="B131" s="342" t="s">
        <v>279</v>
      </c>
      <c r="C131" s="342" t="s">
        <v>147</v>
      </c>
      <c r="D131" s="342" t="s">
        <v>469</v>
      </c>
      <c r="E131" s="343">
        <v>268.8</v>
      </c>
      <c r="F131" s="343">
        <v>179.20000000000002</v>
      </c>
      <c r="G131" s="343">
        <v>958.40000000000009</v>
      </c>
      <c r="H131" s="343">
        <v>89.600000000000009</v>
      </c>
      <c r="I131" s="343">
        <v>546.56000000000006</v>
      </c>
      <c r="J131" s="343">
        <v>626.08000000000004</v>
      </c>
      <c r="K131" s="343">
        <v>716.8</v>
      </c>
      <c r="L131" s="343">
        <v>358.40000000000003</v>
      </c>
      <c r="M131" s="343">
        <v>268.8</v>
      </c>
      <c r="N131" s="343">
        <v>358.40000000000003</v>
      </c>
      <c r="O131" s="343">
        <v>179.20000000000002</v>
      </c>
      <c r="P131" s="343">
        <v>292.8</v>
      </c>
      <c r="Q131" s="344">
        <f t="shared" si="21"/>
        <v>4843.04</v>
      </c>
      <c r="R131" s="344">
        <f t="shared" si="22"/>
        <v>403.58666666666664</v>
      </c>
      <c r="S131" s="345">
        <f t="shared" si="24"/>
        <v>4.7693309441247402</v>
      </c>
      <c r="T131" s="346">
        <f t="shared" si="23"/>
        <v>0.17895200975806055</v>
      </c>
      <c r="U131" s="370"/>
      <c r="V131" s="371"/>
    </row>
    <row r="132" spans="1:22" s="347" customFormat="1" outlineLevel="1" x14ac:dyDescent="0.25">
      <c r="A132" s="341">
        <v>14</v>
      </c>
      <c r="B132" s="342" t="s">
        <v>254</v>
      </c>
      <c r="C132" s="342" t="s">
        <v>986</v>
      </c>
      <c r="D132" s="342" t="s">
        <v>469</v>
      </c>
      <c r="E132" s="343">
        <v>448</v>
      </c>
      <c r="F132" s="343">
        <v>448</v>
      </c>
      <c r="G132" s="343">
        <v>448</v>
      </c>
      <c r="H132" s="343">
        <v>344</v>
      </c>
      <c r="I132" s="343">
        <v>448</v>
      </c>
      <c r="J132" s="343">
        <v>672</v>
      </c>
      <c r="K132" s="343">
        <v>672</v>
      </c>
      <c r="L132" s="343">
        <v>224</v>
      </c>
      <c r="M132" s="343">
        <v>448</v>
      </c>
      <c r="N132" s="343">
        <v>448</v>
      </c>
      <c r="O132" s="343">
        <v>672</v>
      </c>
      <c r="P132" s="343">
        <v>448</v>
      </c>
      <c r="Q132" s="344">
        <f t="shared" si="21"/>
        <v>5720</v>
      </c>
      <c r="R132" s="344">
        <f t="shared" si="22"/>
        <v>476.66666666666669</v>
      </c>
      <c r="S132" s="345">
        <f t="shared" si="24"/>
        <v>5.6329439774178036</v>
      </c>
      <c r="T132" s="346">
        <f t="shared" si="23"/>
        <v>0.21135598628466964</v>
      </c>
      <c r="U132" s="370"/>
      <c r="V132" s="371"/>
    </row>
    <row r="133" spans="1:22" s="353" customFormat="1" x14ac:dyDescent="0.25">
      <c r="A133" s="348"/>
      <c r="B133" s="349" t="s">
        <v>1055</v>
      </c>
      <c r="C133" s="349"/>
      <c r="D133" s="349"/>
      <c r="E133" s="350">
        <f>SUM(E119:E132)</f>
        <v>4878</v>
      </c>
      <c r="F133" s="350">
        <f t="shared" ref="F133:T133" si="25">SUM(F119:F132)</f>
        <v>7259.2</v>
      </c>
      <c r="G133" s="350">
        <f t="shared" si="25"/>
        <v>10838.4</v>
      </c>
      <c r="H133" s="350">
        <f t="shared" si="25"/>
        <v>9562.48</v>
      </c>
      <c r="I133" s="350">
        <f t="shared" si="25"/>
        <v>12168.960000000001</v>
      </c>
      <c r="J133" s="350">
        <f t="shared" si="25"/>
        <v>5405.72</v>
      </c>
      <c r="K133" s="350">
        <f t="shared" si="25"/>
        <v>11624</v>
      </c>
      <c r="L133" s="350">
        <f t="shared" si="25"/>
        <v>7278.7199999999993</v>
      </c>
      <c r="M133" s="350">
        <f t="shared" si="25"/>
        <v>4872.4000000000005</v>
      </c>
      <c r="N133" s="350">
        <f t="shared" si="25"/>
        <v>9656</v>
      </c>
      <c r="O133" s="350">
        <f t="shared" si="25"/>
        <v>8538.4</v>
      </c>
      <c r="P133" s="350">
        <f t="shared" si="25"/>
        <v>9463.1999999999989</v>
      </c>
      <c r="Q133" s="350">
        <f>SUM(Q119:Q132)</f>
        <v>101545.48000000001</v>
      </c>
      <c r="R133" s="350">
        <f>SUM(R119:R132)</f>
        <v>8462.123333333333</v>
      </c>
      <c r="S133" s="351">
        <f>SUM(S119:S132)</f>
        <v>100.00000000000001</v>
      </c>
      <c r="T133" s="352">
        <f t="shared" si="25"/>
        <v>3.7521407479283559</v>
      </c>
      <c r="U133" s="372"/>
      <c r="V133" s="373"/>
    </row>
    <row r="134" spans="1:22" s="358" customFormat="1" x14ac:dyDescent="0.25">
      <c r="A134" s="354"/>
      <c r="B134" s="355" t="s">
        <v>1056</v>
      </c>
      <c r="C134" s="355"/>
      <c r="D134" s="355"/>
      <c r="E134" s="356">
        <f t="shared" ref="E134:R134" si="26">SUM(E18,E93,E118,E133)</f>
        <v>214898.88</v>
      </c>
      <c r="F134" s="356">
        <f t="shared" si="26"/>
        <v>212443.83999999997</v>
      </c>
      <c r="G134" s="356">
        <f t="shared" si="26"/>
        <v>257304.4</v>
      </c>
      <c r="H134" s="356">
        <f t="shared" si="26"/>
        <v>172616.80000000002</v>
      </c>
      <c r="I134" s="356">
        <f t="shared" si="26"/>
        <v>261197.56000000003</v>
      </c>
      <c r="J134" s="356">
        <f t="shared" si="26"/>
        <v>249322.99200000003</v>
      </c>
      <c r="K134" s="356">
        <f t="shared" si="26"/>
        <v>228349.52000000002</v>
      </c>
      <c r="L134" s="356">
        <f t="shared" si="26"/>
        <v>224892.84000000003</v>
      </c>
      <c r="M134" s="356">
        <f t="shared" si="26"/>
        <v>230509.6</v>
      </c>
      <c r="N134" s="356">
        <f t="shared" si="26"/>
        <v>214577.19999999995</v>
      </c>
      <c r="O134" s="356">
        <f t="shared" si="26"/>
        <v>205953.04</v>
      </c>
      <c r="P134" s="356">
        <f t="shared" si="26"/>
        <v>223647.84000000005</v>
      </c>
      <c r="Q134" s="356">
        <f t="shared" si="26"/>
        <v>2695714.5119999996</v>
      </c>
      <c r="R134" s="356">
        <f t="shared" si="26"/>
        <v>225527.87599999999</v>
      </c>
      <c r="S134" s="356"/>
      <c r="T134" s="357">
        <f>SUM(T18,T93,T118,T133)</f>
        <v>100.00000000000001</v>
      </c>
      <c r="U134" s="374"/>
      <c r="V134" s="375"/>
    </row>
    <row r="135" spans="1:22" x14ac:dyDescent="0.25">
      <c r="Q135" s="362" t="b">
        <f>Q134=SUM(Q18,Q93,Q118,Q133)</f>
        <v>1</v>
      </c>
    </row>
  </sheetData>
  <mergeCells count="1">
    <mergeCell ref="U1:V1"/>
  </mergeCells>
  <conditionalFormatting sqref="B4:B131">
    <cfRule type="duplicateValues" dxfId="63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67356-00C9-4316-A840-E5654204AE42}">
  <sheetPr>
    <tabColor theme="8" tint="0.39997558519241921"/>
  </sheetPr>
  <dimension ref="A1:AH103"/>
  <sheetViews>
    <sheetView zoomScale="82" zoomScaleNormal="82" workbookViewId="0">
      <pane xSplit="2" ySplit="4" topLeftCell="C56" activePane="bottomRight" state="frozen"/>
      <selection sqref="A1:E1"/>
      <selection pane="topRight" sqref="A1:E1"/>
      <selection pane="bottomLeft" sqref="A1:E1"/>
      <selection pane="bottomRight" activeCell="P77" sqref="P77"/>
    </sheetView>
  </sheetViews>
  <sheetFormatPr defaultColWidth="9.140625" defaultRowHeight="18" x14ac:dyDescent="0.25"/>
  <cols>
    <col min="1" max="1" width="9.140625" style="41"/>
    <col min="2" max="2" width="12.42578125" style="14" customWidth="1"/>
    <col min="3" max="4" width="11.42578125" style="18" customWidth="1"/>
    <col min="5" max="5" width="11.42578125" style="18" bestFit="1" customWidth="1"/>
    <col min="6" max="6" width="11.42578125" style="18" customWidth="1"/>
    <col min="7" max="10" width="9.28515625" style="18" bestFit="1" customWidth="1"/>
    <col min="11" max="11" width="9.140625" style="18"/>
    <col min="12" max="13" width="9.28515625" style="18" bestFit="1" customWidth="1"/>
    <col min="14" max="14" width="9.85546875" style="18" bestFit="1" customWidth="1"/>
    <col min="15" max="17" width="9.28515625" style="18" bestFit="1" customWidth="1"/>
    <col min="18" max="18" width="9.85546875" style="18" bestFit="1" customWidth="1"/>
    <col min="19" max="20" width="9.28515625" style="18" bestFit="1" customWidth="1"/>
    <col min="21" max="21" width="9.140625" style="18"/>
    <col min="22" max="22" width="9.28515625" style="18" bestFit="1" customWidth="1"/>
    <col min="23" max="23" width="9.140625" style="18"/>
    <col min="24" max="24" width="9.28515625" style="18" bestFit="1" customWidth="1"/>
    <col min="25" max="25" width="9.140625" style="18"/>
    <col min="26" max="26" width="9.28515625" style="18" bestFit="1" customWidth="1"/>
    <col min="27" max="27" width="9.85546875" style="18" bestFit="1" customWidth="1"/>
    <col min="28" max="28" width="11" style="18" bestFit="1" customWidth="1"/>
    <col min="29" max="29" width="9.140625" style="18"/>
    <col min="30" max="30" width="10.7109375" style="18" customWidth="1"/>
    <col min="31" max="31" width="11.85546875" style="18" customWidth="1"/>
    <col min="32" max="16384" width="9.140625" style="18"/>
  </cols>
  <sheetData>
    <row r="1" spans="1:34" x14ac:dyDescent="0.25">
      <c r="A1" s="28"/>
      <c r="B1" s="29"/>
      <c r="C1" s="516" t="s">
        <v>140</v>
      </c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  <c r="R1" s="516"/>
      <c r="S1" s="516"/>
      <c r="T1" s="516"/>
      <c r="U1" s="516"/>
      <c r="V1" s="516"/>
      <c r="W1" s="516"/>
      <c r="X1" s="516"/>
      <c r="Y1" s="516"/>
      <c r="Z1" s="516"/>
      <c r="AA1" s="516"/>
      <c r="AB1" s="516"/>
      <c r="AD1" s="18" t="s">
        <v>135</v>
      </c>
      <c r="AE1" s="18">
        <f>AA35</f>
        <v>0</v>
      </c>
      <c r="AG1" s="30">
        <v>12</v>
      </c>
      <c r="AH1" s="31">
        <v>14</v>
      </c>
    </row>
    <row r="2" spans="1:34" s="21" customFormat="1" x14ac:dyDescent="0.25">
      <c r="A2" s="505" t="s">
        <v>1</v>
      </c>
      <c r="B2" s="506" t="s">
        <v>0</v>
      </c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  <c r="R2" s="507"/>
      <c r="S2" s="507"/>
      <c r="T2" s="507"/>
      <c r="U2" s="507"/>
      <c r="V2" s="507"/>
      <c r="W2" s="507"/>
      <c r="X2" s="507"/>
      <c r="Y2" s="507"/>
      <c r="Z2" s="507"/>
      <c r="AA2" s="507"/>
      <c r="AB2" s="507"/>
      <c r="AD2" s="18" t="s">
        <v>137</v>
      </c>
      <c r="AE2" s="21">
        <f>AB35</f>
        <v>0</v>
      </c>
      <c r="AG2" s="32">
        <v>24</v>
      </c>
      <c r="AH2" s="33">
        <v>40</v>
      </c>
    </row>
    <row r="3" spans="1:34" s="21" customFormat="1" ht="38.450000000000003" customHeight="1" x14ac:dyDescent="0.25">
      <c r="A3" s="505"/>
      <c r="B3" s="506"/>
      <c r="C3" s="508" t="s">
        <v>37</v>
      </c>
      <c r="D3" s="509"/>
      <c r="E3" s="510" t="s">
        <v>50</v>
      </c>
      <c r="F3" s="510"/>
      <c r="G3" s="511" t="s">
        <v>52</v>
      </c>
      <c r="H3" s="511"/>
      <c r="I3" s="512" t="s">
        <v>56</v>
      </c>
      <c r="J3" s="512"/>
      <c r="K3" s="510" t="s">
        <v>58</v>
      </c>
      <c r="L3" s="510"/>
      <c r="M3" s="511" t="s">
        <v>60</v>
      </c>
      <c r="N3" s="511"/>
      <c r="O3" s="513" t="s">
        <v>42</v>
      </c>
      <c r="P3" s="514"/>
      <c r="Q3" s="515" t="s">
        <v>45</v>
      </c>
      <c r="R3" s="515"/>
      <c r="S3" s="511" t="s">
        <v>48</v>
      </c>
      <c r="T3" s="511"/>
      <c r="U3" s="512" t="s">
        <v>55</v>
      </c>
      <c r="V3" s="512"/>
      <c r="W3" s="511" t="s">
        <v>39</v>
      </c>
      <c r="X3" s="511"/>
      <c r="Y3" s="511" t="s">
        <v>11</v>
      </c>
      <c r="Z3" s="511"/>
      <c r="AA3" s="517" t="s">
        <v>138</v>
      </c>
      <c r="AB3" s="517"/>
    </row>
    <row r="4" spans="1:34" s="27" customFormat="1" x14ac:dyDescent="0.25">
      <c r="A4" s="505"/>
      <c r="B4" s="506"/>
      <c r="C4" s="34" t="s">
        <v>3</v>
      </c>
      <c r="D4" s="34" t="s">
        <v>4</v>
      </c>
      <c r="E4" s="23" t="s">
        <v>3</v>
      </c>
      <c r="F4" s="23" t="s">
        <v>4</v>
      </c>
      <c r="G4" s="35" t="s">
        <v>3</v>
      </c>
      <c r="H4" s="35" t="s">
        <v>4</v>
      </c>
      <c r="I4" s="19" t="s">
        <v>3</v>
      </c>
      <c r="J4" s="19" t="s">
        <v>4</v>
      </c>
      <c r="K4" s="23" t="s">
        <v>3</v>
      </c>
      <c r="L4" s="23" t="s">
        <v>4</v>
      </c>
      <c r="M4" s="35" t="s">
        <v>3</v>
      </c>
      <c r="N4" s="35" t="s">
        <v>4</v>
      </c>
      <c r="O4" s="35" t="s">
        <v>3</v>
      </c>
      <c r="P4" s="35" t="s">
        <v>4</v>
      </c>
      <c r="Q4" s="36" t="s">
        <v>3</v>
      </c>
      <c r="R4" s="36" t="s">
        <v>4</v>
      </c>
      <c r="S4" s="35" t="s">
        <v>3</v>
      </c>
      <c r="T4" s="35" t="s">
        <v>4</v>
      </c>
      <c r="U4" s="19" t="s">
        <v>3</v>
      </c>
      <c r="V4" s="19" t="s">
        <v>4</v>
      </c>
      <c r="W4" s="35" t="s">
        <v>3</v>
      </c>
      <c r="X4" s="35" t="s">
        <v>4</v>
      </c>
      <c r="Y4" s="35" t="s">
        <v>3</v>
      </c>
      <c r="Z4" s="35" t="s">
        <v>4</v>
      </c>
      <c r="AA4" s="22" t="s">
        <v>3</v>
      </c>
      <c r="AB4" s="22" t="s">
        <v>4</v>
      </c>
      <c r="AG4" s="37"/>
    </row>
    <row r="5" spans="1:34" ht="25.35" customHeight="1" x14ac:dyDescent="0.25">
      <c r="A5" s="38">
        <v>1</v>
      </c>
      <c r="B5" s="39">
        <v>45597</v>
      </c>
      <c r="C5" s="20"/>
      <c r="D5" s="20"/>
      <c r="E5" s="20"/>
      <c r="F5" s="20">
        <f>E5*14</f>
        <v>0</v>
      </c>
      <c r="G5" s="20"/>
      <c r="H5" s="20"/>
      <c r="I5" s="20"/>
      <c r="J5" s="20"/>
      <c r="K5" s="20"/>
      <c r="L5" s="20">
        <f>K5*24</f>
        <v>0</v>
      </c>
      <c r="M5" s="20"/>
      <c r="N5" s="20">
        <f>M5*14</f>
        <v>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>
        <f>C5+E5+G5+I5+K5+M5+O5+Q5+S5+U5+W5+Y5</f>
        <v>0</v>
      </c>
      <c r="AB5" s="20">
        <f>D5+F5+H5+J5+L5+N5+P5+R5+T5+V5+X5+Z5</f>
        <v>0</v>
      </c>
    </row>
    <row r="6" spans="1:34" ht="25.35" customHeight="1" x14ac:dyDescent="0.25">
      <c r="A6" s="38">
        <v>2</v>
      </c>
      <c r="B6" s="39">
        <v>45598</v>
      </c>
      <c r="C6" s="20"/>
      <c r="D6" s="20"/>
      <c r="E6" s="20"/>
      <c r="F6" s="20">
        <f t="shared" ref="F6:F34" si="0">E6*14</f>
        <v>0</v>
      </c>
      <c r="G6" s="20"/>
      <c r="H6" s="20"/>
      <c r="I6" s="20"/>
      <c r="J6" s="20"/>
      <c r="K6" s="20"/>
      <c r="L6" s="20">
        <f t="shared" ref="L6:L27" si="1">K6*24</f>
        <v>0</v>
      </c>
      <c r="M6" s="20"/>
      <c r="N6" s="20">
        <f t="shared" ref="N6:N34" si="2">M6*14</f>
        <v>0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>
        <f t="shared" ref="AA6:AB34" si="3">C6+E6+G6+I6+K6+M6+O6+Q6+S6+U6+W6+Y6</f>
        <v>0</v>
      </c>
      <c r="AB6" s="20">
        <f t="shared" si="3"/>
        <v>0</v>
      </c>
    </row>
    <row r="7" spans="1:34" ht="25.35" customHeight="1" x14ac:dyDescent="0.25">
      <c r="A7" s="38">
        <v>3</v>
      </c>
      <c r="B7" s="39">
        <v>45599</v>
      </c>
      <c r="C7" s="20"/>
      <c r="D7" s="20"/>
      <c r="E7" s="20"/>
      <c r="F7" s="20">
        <f t="shared" si="0"/>
        <v>0</v>
      </c>
      <c r="G7" s="20"/>
      <c r="H7" s="20"/>
      <c r="I7" s="20"/>
      <c r="J7" s="20"/>
      <c r="K7" s="20"/>
      <c r="L7" s="20">
        <f t="shared" si="1"/>
        <v>0</v>
      </c>
      <c r="M7" s="20"/>
      <c r="N7" s="20">
        <f t="shared" si="2"/>
        <v>0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>
        <f t="shared" si="3"/>
        <v>0</v>
      </c>
      <c r="AB7" s="20">
        <f t="shared" si="3"/>
        <v>0</v>
      </c>
    </row>
    <row r="8" spans="1:34" ht="25.35" customHeight="1" x14ac:dyDescent="0.25">
      <c r="A8" s="38">
        <v>4</v>
      </c>
      <c r="B8" s="39">
        <v>45600</v>
      </c>
      <c r="C8" s="20"/>
      <c r="D8" s="20"/>
      <c r="E8" s="20"/>
      <c r="F8" s="20">
        <f t="shared" si="0"/>
        <v>0</v>
      </c>
      <c r="G8" s="20"/>
      <c r="H8" s="20"/>
      <c r="I8" s="20"/>
      <c r="J8" s="20"/>
      <c r="K8" s="20"/>
      <c r="L8" s="20">
        <f t="shared" si="1"/>
        <v>0</v>
      </c>
      <c r="M8" s="20"/>
      <c r="N8" s="20">
        <f t="shared" si="2"/>
        <v>0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f t="shared" si="3"/>
        <v>0</v>
      </c>
      <c r="AB8" s="20">
        <f t="shared" si="3"/>
        <v>0</v>
      </c>
    </row>
    <row r="9" spans="1:34" ht="25.35" customHeight="1" x14ac:dyDescent="0.25">
      <c r="A9" s="38">
        <v>5</v>
      </c>
      <c r="B9" s="39">
        <v>45601</v>
      </c>
      <c r="C9" s="20"/>
      <c r="D9" s="20"/>
      <c r="E9" s="20"/>
      <c r="F9" s="20">
        <f t="shared" si="0"/>
        <v>0</v>
      </c>
      <c r="G9" s="20"/>
      <c r="H9" s="20"/>
      <c r="I9" s="20"/>
      <c r="J9" s="20"/>
      <c r="K9" s="20"/>
      <c r="L9" s="20">
        <f t="shared" si="1"/>
        <v>0</v>
      </c>
      <c r="M9" s="20"/>
      <c r="N9" s="20">
        <f t="shared" si="2"/>
        <v>0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>
        <f t="shared" si="3"/>
        <v>0</v>
      </c>
      <c r="AB9" s="20">
        <f t="shared" si="3"/>
        <v>0</v>
      </c>
    </row>
    <row r="10" spans="1:34" ht="25.35" customHeight="1" x14ac:dyDescent="0.5">
      <c r="A10" s="38">
        <v>6</v>
      </c>
      <c r="B10" s="39">
        <v>45602</v>
      </c>
      <c r="C10" s="20"/>
      <c r="D10" s="20"/>
      <c r="E10" s="20"/>
      <c r="F10" s="20">
        <f t="shared" si="0"/>
        <v>0</v>
      </c>
      <c r="G10" s="20"/>
      <c r="H10" s="20"/>
      <c r="I10" s="20"/>
      <c r="J10" s="20"/>
      <c r="K10" s="17"/>
      <c r="L10" s="20">
        <f t="shared" si="1"/>
        <v>0</v>
      </c>
      <c r="M10" s="20"/>
      <c r="N10" s="20">
        <f t="shared" si="2"/>
        <v>0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>
        <f t="shared" si="3"/>
        <v>0</v>
      </c>
      <c r="AB10" s="20">
        <f t="shared" si="3"/>
        <v>0</v>
      </c>
    </row>
    <row r="11" spans="1:34" ht="25.35" customHeight="1" x14ac:dyDescent="0.25">
      <c r="A11" s="38">
        <v>7</v>
      </c>
      <c r="B11" s="39">
        <v>45603</v>
      </c>
      <c r="C11" s="20"/>
      <c r="D11" s="20"/>
      <c r="E11" s="20"/>
      <c r="F11" s="20">
        <f t="shared" si="0"/>
        <v>0</v>
      </c>
      <c r="G11" s="20"/>
      <c r="H11" s="20"/>
      <c r="I11" s="20"/>
      <c r="J11" s="20"/>
      <c r="K11" s="20"/>
      <c r="L11" s="20">
        <f t="shared" si="1"/>
        <v>0</v>
      </c>
      <c r="M11" s="20"/>
      <c r="N11" s="20">
        <f t="shared" si="2"/>
        <v>0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>
        <f t="shared" si="3"/>
        <v>0</v>
      </c>
      <c r="AB11" s="20">
        <f t="shared" si="3"/>
        <v>0</v>
      </c>
    </row>
    <row r="12" spans="1:34" ht="25.35" customHeight="1" x14ac:dyDescent="0.25">
      <c r="A12" s="38">
        <v>8</v>
      </c>
      <c r="B12" s="39">
        <v>45604</v>
      </c>
      <c r="C12" s="20"/>
      <c r="D12" s="20"/>
      <c r="E12" s="20"/>
      <c r="F12" s="20">
        <f t="shared" si="0"/>
        <v>0</v>
      </c>
      <c r="G12" s="20"/>
      <c r="H12" s="20"/>
      <c r="I12" s="20"/>
      <c r="J12" s="20"/>
      <c r="K12" s="20"/>
      <c r="L12" s="20">
        <f t="shared" si="1"/>
        <v>0</v>
      </c>
      <c r="M12" s="20"/>
      <c r="N12" s="20">
        <f t="shared" si="2"/>
        <v>0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>
        <f t="shared" si="3"/>
        <v>0</v>
      </c>
      <c r="AB12" s="20">
        <f t="shared" si="3"/>
        <v>0</v>
      </c>
    </row>
    <row r="13" spans="1:34" ht="25.35" customHeight="1" x14ac:dyDescent="0.25">
      <c r="A13" s="38">
        <v>9</v>
      </c>
      <c r="B13" s="39">
        <v>45605</v>
      </c>
      <c r="C13" s="20"/>
      <c r="D13" s="20"/>
      <c r="E13" s="20"/>
      <c r="F13" s="20">
        <f t="shared" si="0"/>
        <v>0</v>
      </c>
      <c r="G13" s="20"/>
      <c r="H13" s="20"/>
      <c r="I13" s="20"/>
      <c r="J13" s="20"/>
      <c r="K13" s="20"/>
      <c r="L13" s="20">
        <f t="shared" si="1"/>
        <v>0</v>
      </c>
      <c r="M13" s="20"/>
      <c r="N13" s="20">
        <f t="shared" si="2"/>
        <v>0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>
        <f t="shared" si="3"/>
        <v>0</v>
      </c>
      <c r="AB13" s="20">
        <f t="shared" si="3"/>
        <v>0</v>
      </c>
    </row>
    <row r="14" spans="1:34" ht="25.35" customHeight="1" x14ac:dyDescent="0.25">
      <c r="A14" s="38">
        <v>10</v>
      </c>
      <c r="B14" s="39">
        <v>45606</v>
      </c>
      <c r="C14" s="20"/>
      <c r="D14" s="20"/>
      <c r="E14" s="20"/>
      <c r="F14" s="20">
        <f t="shared" si="0"/>
        <v>0</v>
      </c>
      <c r="G14" s="20"/>
      <c r="H14" s="20"/>
      <c r="I14" s="20"/>
      <c r="J14" s="20"/>
      <c r="K14" s="20"/>
      <c r="L14" s="20">
        <f t="shared" si="1"/>
        <v>0</v>
      </c>
      <c r="M14" s="20"/>
      <c r="N14" s="20">
        <f t="shared" si="2"/>
        <v>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>
        <f>C14+E14+G14+I14+K14+M14+O14+Q14+S14+U14+W14+Y14</f>
        <v>0</v>
      </c>
      <c r="AB14" s="20">
        <f>D14+F14+H14+J14+L14+N14+P14+R14+T14+V14+X14+Z14</f>
        <v>0</v>
      </c>
    </row>
    <row r="15" spans="1:34" ht="25.35" customHeight="1" x14ac:dyDescent="0.25">
      <c r="A15" s="38">
        <v>11</v>
      </c>
      <c r="B15" s="39">
        <v>45607</v>
      </c>
      <c r="C15" s="20"/>
      <c r="D15" s="20"/>
      <c r="E15" s="20"/>
      <c r="F15" s="20">
        <f t="shared" si="0"/>
        <v>0</v>
      </c>
      <c r="G15" s="20"/>
      <c r="H15" s="20"/>
      <c r="I15" s="20"/>
      <c r="J15" s="20"/>
      <c r="K15" s="20"/>
      <c r="L15" s="20">
        <f t="shared" si="1"/>
        <v>0</v>
      </c>
      <c r="M15" s="20"/>
      <c r="N15" s="20">
        <f t="shared" si="2"/>
        <v>0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>
        <f t="shared" si="3"/>
        <v>0</v>
      </c>
      <c r="AB15" s="20">
        <f t="shared" si="3"/>
        <v>0</v>
      </c>
    </row>
    <row r="16" spans="1:34" ht="25.35" customHeight="1" x14ac:dyDescent="0.25">
      <c r="A16" s="38">
        <v>12</v>
      </c>
      <c r="B16" s="39">
        <v>45608</v>
      </c>
      <c r="C16" s="20"/>
      <c r="D16" s="20"/>
      <c r="E16" s="20"/>
      <c r="F16" s="20">
        <f t="shared" si="0"/>
        <v>0</v>
      </c>
      <c r="G16" s="20"/>
      <c r="H16" s="20"/>
      <c r="I16" s="20"/>
      <c r="J16" s="20"/>
      <c r="K16" s="20"/>
      <c r="L16" s="20">
        <f t="shared" si="1"/>
        <v>0</v>
      </c>
      <c r="M16" s="20"/>
      <c r="N16" s="20">
        <f t="shared" si="2"/>
        <v>0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>
        <f t="shared" si="3"/>
        <v>0</v>
      </c>
      <c r="AB16" s="20">
        <f t="shared" si="3"/>
        <v>0</v>
      </c>
    </row>
    <row r="17" spans="1:28" ht="25.35" customHeight="1" x14ac:dyDescent="0.25">
      <c r="A17" s="38">
        <v>13</v>
      </c>
      <c r="B17" s="39">
        <v>45609</v>
      </c>
      <c r="C17" s="20"/>
      <c r="D17" s="20"/>
      <c r="E17" s="20"/>
      <c r="F17" s="20">
        <f t="shared" si="0"/>
        <v>0</v>
      </c>
      <c r="G17" s="20"/>
      <c r="H17" s="20"/>
      <c r="I17" s="20"/>
      <c r="J17" s="20"/>
      <c r="K17" s="20"/>
      <c r="L17" s="20">
        <f t="shared" si="1"/>
        <v>0</v>
      </c>
      <c r="M17" s="20"/>
      <c r="N17" s="20">
        <f t="shared" si="2"/>
        <v>0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>
        <f t="shared" si="3"/>
        <v>0</v>
      </c>
      <c r="AB17" s="20">
        <f t="shared" si="3"/>
        <v>0</v>
      </c>
    </row>
    <row r="18" spans="1:28" ht="25.35" customHeight="1" x14ac:dyDescent="0.25">
      <c r="A18" s="38">
        <v>14</v>
      </c>
      <c r="B18" s="39">
        <v>45610</v>
      </c>
      <c r="C18" s="20"/>
      <c r="D18" s="20"/>
      <c r="E18" s="20"/>
      <c r="F18" s="20">
        <f t="shared" si="0"/>
        <v>0</v>
      </c>
      <c r="G18" s="20"/>
      <c r="H18" s="20"/>
      <c r="I18" s="20"/>
      <c r="J18" s="20"/>
      <c r="K18" s="20"/>
      <c r="L18" s="20">
        <f t="shared" si="1"/>
        <v>0</v>
      </c>
      <c r="M18" s="20"/>
      <c r="N18" s="20">
        <f t="shared" si="2"/>
        <v>0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>
        <f t="shared" si="3"/>
        <v>0</v>
      </c>
      <c r="AB18" s="20">
        <f t="shared" si="3"/>
        <v>0</v>
      </c>
    </row>
    <row r="19" spans="1:28" ht="25.35" customHeight="1" x14ac:dyDescent="0.25">
      <c r="A19" s="38">
        <v>15</v>
      </c>
      <c r="B19" s="39">
        <v>45611</v>
      </c>
      <c r="C19" s="40"/>
      <c r="D19" s="40"/>
      <c r="E19" s="40"/>
      <c r="F19" s="20">
        <f t="shared" si="0"/>
        <v>0</v>
      </c>
      <c r="G19" s="40"/>
      <c r="H19" s="40"/>
      <c r="I19" s="40"/>
      <c r="J19" s="40"/>
      <c r="K19" s="40"/>
      <c r="L19" s="20">
        <f t="shared" si="1"/>
        <v>0</v>
      </c>
      <c r="M19" s="40"/>
      <c r="N19" s="20">
        <f t="shared" si="2"/>
        <v>0</v>
      </c>
      <c r="O19" s="40"/>
      <c r="P19" s="40"/>
      <c r="Q19" s="40"/>
      <c r="R19" s="40"/>
      <c r="S19" s="40"/>
      <c r="T19" s="40"/>
      <c r="U19" s="40"/>
      <c r="V19" s="20"/>
      <c r="W19" s="20"/>
      <c r="X19" s="20"/>
      <c r="Y19" s="20"/>
      <c r="Z19" s="20"/>
      <c r="AA19" s="20">
        <f t="shared" si="3"/>
        <v>0</v>
      </c>
      <c r="AB19" s="20">
        <f t="shared" si="3"/>
        <v>0</v>
      </c>
    </row>
    <row r="20" spans="1:28" ht="25.35" customHeight="1" x14ac:dyDescent="0.25">
      <c r="A20" s="38">
        <v>16</v>
      </c>
      <c r="B20" s="39">
        <v>45612</v>
      </c>
      <c r="C20" s="40"/>
      <c r="D20" s="40"/>
      <c r="E20" s="40"/>
      <c r="F20" s="20">
        <f t="shared" si="0"/>
        <v>0</v>
      </c>
      <c r="G20" s="40"/>
      <c r="H20" s="40"/>
      <c r="I20" s="40"/>
      <c r="J20" s="40"/>
      <c r="K20" s="40"/>
      <c r="L20" s="20">
        <f t="shared" si="1"/>
        <v>0</v>
      </c>
      <c r="M20" s="40"/>
      <c r="N20" s="20">
        <f t="shared" si="2"/>
        <v>0</v>
      </c>
      <c r="O20" s="40"/>
      <c r="P20" s="40"/>
      <c r="Q20" s="40"/>
      <c r="R20" s="40"/>
      <c r="S20" s="40"/>
      <c r="T20" s="40"/>
      <c r="U20" s="40"/>
      <c r="V20" s="20"/>
      <c r="W20" s="20"/>
      <c r="X20" s="20"/>
      <c r="Y20" s="20"/>
      <c r="Z20" s="20"/>
      <c r="AA20" s="20">
        <f t="shared" si="3"/>
        <v>0</v>
      </c>
      <c r="AB20" s="20">
        <f t="shared" si="3"/>
        <v>0</v>
      </c>
    </row>
    <row r="21" spans="1:28" ht="25.35" customHeight="1" x14ac:dyDescent="0.25">
      <c r="A21" s="38">
        <v>17</v>
      </c>
      <c r="B21" s="39">
        <v>45613</v>
      </c>
      <c r="C21" s="40"/>
      <c r="D21" s="40"/>
      <c r="E21" s="40"/>
      <c r="F21" s="20">
        <f t="shared" si="0"/>
        <v>0</v>
      </c>
      <c r="G21" s="40"/>
      <c r="H21" s="40"/>
      <c r="I21" s="40"/>
      <c r="J21" s="40"/>
      <c r="K21" s="40"/>
      <c r="L21" s="20">
        <f t="shared" si="1"/>
        <v>0</v>
      </c>
      <c r="M21" s="40"/>
      <c r="N21" s="20">
        <f t="shared" si="2"/>
        <v>0</v>
      </c>
      <c r="O21" s="40"/>
      <c r="P21" s="40"/>
      <c r="Q21" s="40"/>
      <c r="R21" s="40"/>
      <c r="S21" s="40"/>
      <c r="T21" s="40"/>
      <c r="U21" s="40"/>
      <c r="V21" s="20"/>
      <c r="W21" s="20"/>
      <c r="X21" s="20"/>
      <c r="Y21" s="20"/>
      <c r="Z21" s="20"/>
      <c r="AA21" s="20">
        <f t="shared" si="3"/>
        <v>0</v>
      </c>
      <c r="AB21" s="20">
        <f t="shared" si="3"/>
        <v>0</v>
      </c>
    </row>
    <row r="22" spans="1:28" ht="25.35" customHeight="1" x14ac:dyDescent="0.25">
      <c r="A22" s="38">
        <v>18</v>
      </c>
      <c r="B22" s="39">
        <v>45614</v>
      </c>
      <c r="C22" s="40"/>
      <c r="D22" s="40"/>
      <c r="E22" s="40"/>
      <c r="F22" s="20">
        <f t="shared" si="0"/>
        <v>0</v>
      </c>
      <c r="G22" s="40"/>
      <c r="H22" s="40"/>
      <c r="I22" s="40"/>
      <c r="J22" s="40"/>
      <c r="K22" s="40"/>
      <c r="L22" s="20">
        <f t="shared" si="1"/>
        <v>0</v>
      </c>
      <c r="M22" s="40"/>
      <c r="N22" s="20">
        <f t="shared" si="2"/>
        <v>0</v>
      </c>
      <c r="O22" s="40"/>
      <c r="P22" s="40"/>
      <c r="Q22" s="40"/>
      <c r="R22" s="40"/>
      <c r="S22" s="40"/>
      <c r="T22" s="40"/>
      <c r="U22" s="40"/>
      <c r="V22" s="20"/>
      <c r="W22" s="20"/>
      <c r="X22" s="20"/>
      <c r="Y22" s="20"/>
      <c r="Z22" s="20"/>
      <c r="AA22" s="20">
        <f t="shared" si="3"/>
        <v>0</v>
      </c>
      <c r="AB22" s="20">
        <f t="shared" si="3"/>
        <v>0</v>
      </c>
    </row>
    <row r="23" spans="1:28" ht="25.35" customHeight="1" x14ac:dyDescent="0.25">
      <c r="A23" s="38">
        <v>19</v>
      </c>
      <c r="B23" s="39">
        <v>45615</v>
      </c>
      <c r="C23" s="40"/>
      <c r="D23" s="40"/>
      <c r="E23" s="40"/>
      <c r="F23" s="20"/>
      <c r="G23" s="40"/>
      <c r="H23" s="40"/>
      <c r="I23" s="40"/>
      <c r="J23" s="40"/>
      <c r="K23" s="40"/>
      <c r="L23" s="20"/>
      <c r="M23" s="40"/>
      <c r="N23" s="20"/>
      <c r="O23" s="40"/>
      <c r="P23" s="40"/>
      <c r="Q23" s="40"/>
      <c r="R23" s="40"/>
      <c r="S23" s="40"/>
      <c r="T23" s="40"/>
      <c r="U23" s="40"/>
      <c r="V23" s="20"/>
      <c r="W23" s="20"/>
      <c r="X23" s="20"/>
      <c r="Y23" s="20"/>
      <c r="Z23" s="20"/>
      <c r="AA23" s="20"/>
      <c r="AB23" s="20"/>
    </row>
    <row r="24" spans="1:28" ht="25.35" customHeight="1" x14ac:dyDescent="0.25">
      <c r="A24" s="38">
        <v>20</v>
      </c>
      <c r="B24" s="39">
        <v>45616</v>
      </c>
      <c r="C24" s="40"/>
      <c r="D24" s="40"/>
      <c r="E24" s="40"/>
      <c r="F24" s="20"/>
      <c r="G24" s="40"/>
      <c r="H24" s="40"/>
      <c r="I24" s="40"/>
      <c r="J24" s="40"/>
      <c r="K24" s="40"/>
      <c r="L24" s="20"/>
      <c r="M24" s="40"/>
      <c r="N24" s="20"/>
      <c r="O24" s="40"/>
      <c r="P24" s="40"/>
      <c r="Q24" s="40"/>
      <c r="R24" s="40"/>
      <c r="S24" s="40"/>
      <c r="T24" s="40"/>
      <c r="U24" s="40"/>
      <c r="V24" s="20"/>
      <c r="W24" s="20"/>
      <c r="X24" s="20"/>
      <c r="Y24" s="20"/>
      <c r="Z24" s="20"/>
      <c r="AA24" s="20"/>
      <c r="AB24" s="20"/>
    </row>
    <row r="25" spans="1:28" ht="25.35" customHeight="1" x14ac:dyDescent="0.25">
      <c r="A25" s="38">
        <v>21</v>
      </c>
      <c r="B25" s="39">
        <v>45617</v>
      </c>
      <c r="C25" s="40"/>
      <c r="D25" s="40"/>
      <c r="E25" s="40"/>
      <c r="F25" s="20"/>
      <c r="G25" s="40"/>
      <c r="H25" s="40"/>
      <c r="I25" s="40"/>
      <c r="J25" s="40"/>
      <c r="K25" s="40"/>
      <c r="L25" s="20"/>
      <c r="M25" s="40"/>
      <c r="N25" s="20"/>
      <c r="O25" s="40"/>
      <c r="P25" s="40"/>
      <c r="Q25" s="40"/>
      <c r="R25" s="40"/>
      <c r="S25" s="40"/>
      <c r="T25" s="40"/>
      <c r="U25" s="40"/>
      <c r="V25" s="20"/>
      <c r="W25" s="20"/>
      <c r="X25" s="20"/>
      <c r="Y25" s="20"/>
      <c r="Z25" s="20"/>
      <c r="AA25" s="20"/>
      <c r="AB25" s="20"/>
    </row>
    <row r="26" spans="1:28" ht="25.35" customHeight="1" x14ac:dyDescent="0.25">
      <c r="A26" s="38">
        <v>22</v>
      </c>
      <c r="B26" s="39">
        <v>45618</v>
      </c>
      <c r="C26" s="40"/>
      <c r="D26" s="40"/>
      <c r="E26" s="40"/>
      <c r="F26" s="20">
        <f t="shared" si="0"/>
        <v>0</v>
      </c>
      <c r="G26" s="40"/>
      <c r="H26" s="40"/>
      <c r="I26" s="40"/>
      <c r="J26" s="40"/>
      <c r="K26" s="40"/>
      <c r="L26" s="20">
        <f t="shared" si="1"/>
        <v>0</v>
      </c>
      <c r="M26" s="40"/>
      <c r="N26" s="20">
        <f t="shared" si="2"/>
        <v>0</v>
      </c>
      <c r="O26" s="40"/>
      <c r="P26" s="40"/>
      <c r="Q26" s="40"/>
      <c r="R26" s="40"/>
      <c r="S26" s="40"/>
      <c r="T26" s="40"/>
      <c r="U26" s="40"/>
      <c r="V26" s="20"/>
      <c r="W26" s="20"/>
      <c r="X26" s="20"/>
      <c r="Y26" s="20"/>
      <c r="Z26" s="20"/>
      <c r="AA26" s="20">
        <f t="shared" si="3"/>
        <v>0</v>
      </c>
      <c r="AB26" s="20">
        <f t="shared" si="3"/>
        <v>0</v>
      </c>
    </row>
    <row r="27" spans="1:28" ht="25.35" customHeight="1" x14ac:dyDescent="0.25">
      <c r="A27" s="38">
        <v>23</v>
      </c>
      <c r="B27" s="39">
        <v>45619</v>
      </c>
      <c r="C27" s="40"/>
      <c r="D27" s="40"/>
      <c r="E27" s="40"/>
      <c r="F27" s="20">
        <f t="shared" si="0"/>
        <v>0</v>
      </c>
      <c r="G27" s="40"/>
      <c r="H27" s="40"/>
      <c r="I27" s="40"/>
      <c r="J27" s="40"/>
      <c r="K27" s="40"/>
      <c r="L27" s="20">
        <f t="shared" si="1"/>
        <v>0</v>
      </c>
      <c r="M27" s="40"/>
      <c r="N27" s="20">
        <f t="shared" si="2"/>
        <v>0</v>
      </c>
      <c r="O27" s="40"/>
      <c r="P27" s="40"/>
      <c r="Q27" s="40"/>
      <c r="R27" s="40"/>
      <c r="S27" s="40"/>
      <c r="T27" s="40"/>
      <c r="U27" s="40"/>
      <c r="V27" s="20"/>
      <c r="W27" s="20"/>
      <c r="X27" s="20"/>
      <c r="Y27" s="20"/>
      <c r="Z27" s="20"/>
      <c r="AA27" s="20">
        <f t="shared" si="3"/>
        <v>0</v>
      </c>
      <c r="AB27" s="20">
        <f t="shared" si="3"/>
        <v>0</v>
      </c>
    </row>
    <row r="28" spans="1:28" ht="25.35" customHeight="1" x14ac:dyDescent="0.25">
      <c r="A28" s="38">
        <v>24</v>
      </c>
      <c r="B28" s="39">
        <v>45620</v>
      </c>
      <c r="C28" s="40"/>
      <c r="D28" s="40"/>
      <c r="E28" s="40"/>
      <c r="F28" s="20">
        <f t="shared" si="0"/>
        <v>0</v>
      </c>
      <c r="G28" s="40"/>
      <c r="H28" s="40"/>
      <c r="I28" s="40"/>
      <c r="J28" s="40"/>
      <c r="K28" s="40"/>
      <c r="L28" s="20"/>
      <c r="M28" s="40"/>
      <c r="N28" s="20">
        <f t="shared" si="2"/>
        <v>0</v>
      </c>
      <c r="O28" s="40"/>
      <c r="P28" s="40"/>
      <c r="Q28" s="40"/>
      <c r="R28" s="40"/>
      <c r="S28" s="40"/>
      <c r="T28" s="40"/>
      <c r="U28" s="40"/>
      <c r="V28" s="20"/>
      <c r="W28" s="20"/>
      <c r="X28" s="20"/>
      <c r="Y28" s="20"/>
      <c r="Z28" s="20"/>
      <c r="AA28" s="20">
        <f t="shared" si="3"/>
        <v>0</v>
      </c>
      <c r="AB28" s="20">
        <f t="shared" si="3"/>
        <v>0</v>
      </c>
    </row>
    <row r="29" spans="1:28" ht="25.35" customHeight="1" x14ac:dyDescent="0.25">
      <c r="A29" s="38">
        <v>25</v>
      </c>
      <c r="B29" s="39">
        <v>45621</v>
      </c>
      <c r="C29" s="40"/>
      <c r="D29" s="40"/>
      <c r="E29" s="40"/>
      <c r="F29" s="20">
        <f t="shared" si="0"/>
        <v>0</v>
      </c>
      <c r="G29" s="40"/>
      <c r="H29" s="40"/>
      <c r="I29" s="40"/>
      <c r="J29" s="40"/>
      <c r="K29" s="40"/>
      <c r="L29" s="20"/>
      <c r="M29" s="40"/>
      <c r="N29" s="20">
        <f t="shared" si="2"/>
        <v>0</v>
      </c>
      <c r="O29" s="40"/>
      <c r="P29" s="40"/>
      <c r="Q29" s="40"/>
      <c r="R29" s="40"/>
      <c r="S29" s="40"/>
      <c r="T29" s="40"/>
      <c r="U29" s="40"/>
      <c r="V29" s="20"/>
      <c r="W29" s="20"/>
      <c r="X29" s="20"/>
      <c r="Y29" s="20"/>
      <c r="Z29" s="20"/>
      <c r="AA29" s="20">
        <f t="shared" si="3"/>
        <v>0</v>
      </c>
      <c r="AB29" s="20">
        <f t="shared" si="3"/>
        <v>0</v>
      </c>
    </row>
    <row r="30" spans="1:28" ht="25.35" customHeight="1" x14ac:dyDescent="0.25">
      <c r="A30" s="38">
        <v>26</v>
      </c>
      <c r="B30" s="39">
        <v>45622</v>
      </c>
      <c r="C30" s="40"/>
      <c r="D30" s="40"/>
      <c r="E30" s="40"/>
      <c r="F30" s="20">
        <f t="shared" si="0"/>
        <v>0</v>
      </c>
      <c r="G30" s="40"/>
      <c r="H30" s="40"/>
      <c r="I30" s="40"/>
      <c r="J30" s="40"/>
      <c r="K30" s="40"/>
      <c r="L30" s="20"/>
      <c r="M30" s="40"/>
      <c r="N30" s="20">
        <f t="shared" si="2"/>
        <v>0</v>
      </c>
      <c r="O30" s="40"/>
      <c r="P30" s="40"/>
      <c r="Q30" s="40"/>
      <c r="R30" s="40"/>
      <c r="S30" s="40"/>
      <c r="T30" s="40"/>
      <c r="U30" s="40"/>
      <c r="V30" s="20"/>
      <c r="W30" s="20"/>
      <c r="X30" s="20"/>
      <c r="Y30" s="20"/>
      <c r="Z30" s="20"/>
      <c r="AA30" s="20">
        <f t="shared" si="3"/>
        <v>0</v>
      </c>
      <c r="AB30" s="20">
        <f t="shared" si="3"/>
        <v>0</v>
      </c>
    </row>
    <row r="31" spans="1:28" ht="25.35" customHeight="1" x14ac:dyDescent="0.25">
      <c r="A31" s="38">
        <v>27</v>
      </c>
      <c r="B31" s="39">
        <v>45623</v>
      </c>
      <c r="C31" s="40"/>
      <c r="D31" s="40"/>
      <c r="E31" s="40"/>
      <c r="F31" s="20">
        <f t="shared" si="0"/>
        <v>0</v>
      </c>
      <c r="G31" s="40"/>
      <c r="H31" s="40"/>
      <c r="I31" s="40"/>
      <c r="J31" s="40"/>
      <c r="K31" s="40"/>
      <c r="L31" s="20"/>
      <c r="M31" s="40"/>
      <c r="N31" s="20">
        <f t="shared" si="2"/>
        <v>0</v>
      </c>
      <c r="O31" s="40"/>
      <c r="P31" s="40"/>
      <c r="Q31" s="40"/>
      <c r="R31" s="40"/>
      <c r="S31" s="40"/>
      <c r="T31" s="40"/>
      <c r="U31" s="40"/>
      <c r="V31" s="20"/>
      <c r="W31" s="20"/>
      <c r="X31" s="20"/>
      <c r="Y31" s="20"/>
      <c r="Z31" s="20"/>
      <c r="AA31" s="20">
        <f t="shared" si="3"/>
        <v>0</v>
      </c>
      <c r="AB31" s="20">
        <f t="shared" si="3"/>
        <v>0</v>
      </c>
    </row>
    <row r="32" spans="1:28" ht="25.35" customHeight="1" x14ac:dyDescent="0.25">
      <c r="A32" s="38">
        <v>28</v>
      </c>
      <c r="B32" s="39">
        <v>45624</v>
      </c>
      <c r="C32" s="40"/>
      <c r="D32" s="40"/>
      <c r="E32" s="40"/>
      <c r="F32" s="20">
        <f t="shared" si="0"/>
        <v>0</v>
      </c>
      <c r="G32" s="40"/>
      <c r="H32" s="40"/>
      <c r="I32" s="40"/>
      <c r="J32" s="40"/>
      <c r="K32" s="40"/>
      <c r="L32" s="20"/>
      <c r="M32" s="40"/>
      <c r="N32" s="20">
        <f t="shared" si="2"/>
        <v>0</v>
      </c>
      <c r="O32" s="40"/>
      <c r="P32" s="40"/>
      <c r="Q32" s="40"/>
      <c r="R32" s="40"/>
      <c r="S32" s="40"/>
      <c r="T32" s="40"/>
      <c r="U32" s="40"/>
      <c r="V32" s="20"/>
      <c r="W32" s="20"/>
      <c r="X32" s="20"/>
      <c r="Y32" s="20"/>
      <c r="Z32" s="20"/>
      <c r="AA32" s="20">
        <f t="shared" si="3"/>
        <v>0</v>
      </c>
      <c r="AB32" s="20">
        <f t="shared" si="3"/>
        <v>0</v>
      </c>
    </row>
    <row r="33" spans="1:32" ht="25.35" customHeight="1" x14ac:dyDescent="0.25">
      <c r="A33" s="38">
        <v>29</v>
      </c>
      <c r="B33" s="39">
        <v>45625</v>
      </c>
      <c r="C33" s="40"/>
      <c r="D33" s="40"/>
      <c r="E33" s="40"/>
      <c r="F33" s="20">
        <f t="shared" si="0"/>
        <v>0</v>
      </c>
      <c r="G33" s="40"/>
      <c r="H33" s="40"/>
      <c r="I33" s="40"/>
      <c r="J33" s="40"/>
      <c r="K33" s="40"/>
      <c r="L33" s="20"/>
      <c r="M33" s="40"/>
      <c r="N33" s="20">
        <f t="shared" si="2"/>
        <v>0</v>
      </c>
      <c r="O33" s="40"/>
      <c r="P33" s="40"/>
      <c r="Q33" s="40"/>
      <c r="R33" s="40"/>
      <c r="S33" s="40"/>
      <c r="T33" s="40"/>
      <c r="U33" s="40"/>
      <c r="V33" s="20"/>
      <c r="W33" s="20"/>
      <c r="X33" s="20"/>
      <c r="Y33" s="20"/>
      <c r="Z33" s="20"/>
      <c r="AA33" s="20">
        <f t="shared" si="3"/>
        <v>0</v>
      </c>
      <c r="AB33" s="20">
        <f t="shared" si="3"/>
        <v>0</v>
      </c>
    </row>
    <row r="34" spans="1:32" ht="25.35" customHeight="1" x14ac:dyDescent="0.25">
      <c r="A34" s="38">
        <v>30</v>
      </c>
      <c r="B34" s="39">
        <v>45626</v>
      </c>
      <c r="C34" s="40"/>
      <c r="D34" s="40"/>
      <c r="E34" s="40"/>
      <c r="F34" s="20">
        <f t="shared" si="0"/>
        <v>0</v>
      </c>
      <c r="G34" s="40"/>
      <c r="H34" s="40"/>
      <c r="I34" s="40"/>
      <c r="J34" s="40"/>
      <c r="K34" s="40"/>
      <c r="L34" s="20"/>
      <c r="M34" s="40"/>
      <c r="N34" s="20">
        <f t="shared" si="2"/>
        <v>0</v>
      </c>
      <c r="O34" s="40"/>
      <c r="P34" s="40"/>
      <c r="Q34" s="40"/>
      <c r="R34" s="40"/>
      <c r="S34" s="40"/>
      <c r="T34" s="40"/>
      <c r="U34" s="40"/>
      <c r="V34" s="20"/>
      <c r="W34" s="20"/>
      <c r="X34" s="20"/>
      <c r="Y34" s="20"/>
      <c r="Z34" s="20"/>
      <c r="AA34" s="20">
        <f t="shared" si="3"/>
        <v>0</v>
      </c>
      <c r="AB34" s="20">
        <f t="shared" si="3"/>
        <v>0</v>
      </c>
    </row>
    <row r="35" spans="1:32" ht="25.35" customHeight="1" x14ac:dyDescent="0.25">
      <c r="AA35" s="42">
        <f>SUM(AA5:AA34)</f>
        <v>0</v>
      </c>
      <c r="AB35" s="42">
        <f>SUM(AB5:AB34)</f>
        <v>0</v>
      </c>
    </row>
    <row r="36" spans="1:32" ht="25.35" customHeight="1" thickBot="1" x14ac:dyDescent="0.3"/>
    <row r="37" spans="1:32" ht="25.35" customHeight="1" x14ac:dyDescent="0.25">
      <c r="A37" s="28"/>
      <c r="B37" s="29"/>
      <c r="C37" s="516"/>
      <c r="D37" s="516"/>
      <c r="E37" s="516"/>
      <c r="F37" s="516"/>
      <c r="G37" s="516"/>
      <c r="H37" s="516"/>
      <c r="I37" s="516"/>
      <c r="J37" s="516"/>
      <c r="K37" s="516"/>
      <c r="L37" s="516"/>
      <c r="M37" s="516"/>
      <c r="N37" s="516"/>
      <c r="O37" s="516"/>
      <c r="P37" s="516"/>
      <c r="Q37" s="516"/>
      <c r="R37" s="516"/>
      <c r="S37" s="516"/>
      <c r="T37" s="516"/>
      <c r="U37" s="516"/>
      <c r="V37" s="516"/>
      <c r="W37" s="516"/>
      <c r="X37" s="516"/>
      <c r="Y37" s="516"/>
      <c r="Z37" s="516"/>
      <c r="AA37" s="516"/>
      <c r="AB37" s="516"/>
      <c r="AC37" s="4"/>
      <c r="AD37" s="4" t="s">
        <v>135</v>
      </c>
      <c r="AE37" s="4">
        <f>AA71</f>
        <v>0</v>
      </c>
      <c r="AF37" s="4"/>
    </row>
    <row r="38" spans="1:32" ht="25.35" customHeight="1" x14ac:dyDescent="0.25">
      <c r="A38" s="505" t="s">
        <v>1</v>
      </c>
      <c r="B38" s="506" t="s">
        <v>0</v>
      </c>
      <c r="C38" s="507"/>
      <c r="D38" s="507"/>
      <c r="E38" s="507"/>
      <c r="F38" s="507"/>
      <c r="G38" s="507"/>
      <c r="H38" s="507"/>
      <c r="I38" s="507"/>
      <c r="J38" s="507"/>
      <c r="K38" s="507"/>
      <c r="L38" s="507"/>
      <c r="M38" s="507"/>
      <c r="N38" s="507"/>
      <c r="O38" s="507"/>
      <c r="P38" s="507"/>
      <c r="Q38" s="507"/>
      <c r="R38" s="507"/>
      <c r="S38" s="507"/>
      <c r="T38" s="507"/>
      <c r="U38" s="507"/>
      <c r="V38" s="507"/>
      <c r="W38" s="507"/>
      <c r="X38" s="507"/>
      <c r="Y38" s="507"/>
      <c r="Z38" s="507"/>
      <c r="AA38" s="507"/>
      <c r="AB38" s="507"/>
      <c r="AC38" s="27"/>
      <c r="AD38" s="4" t="s">
        <v>137</v>
      </c>
      <c r="AE38" s="27">
        <f>AB71</f>
        <v>0</v>
      </c>
      <c r="AF38" s="27"/>
    </row>
    <row r="39" spans="1:32" ht="25.35" customHeight="1" x14ac:dyDescent="0.25">
      <c r="A39" s="505"/>
      <c r="B39" s="506"/>
      <c r="C39" s="508" t="s">
        <v>37</v>
      </c>
      <c r="D39" s="509"/>
      <c r="E39" s="510" t="s">
        <v>50</v>
      </c>
      <c r="F39" s="510"/>
      <c r="G39" s="511" t="s">
        <v>52</v>
      </c>
      <c r="H39" s="511"/>
      <c r="I39" s="512" t="s">
        <v>56</v>
      </c>
      <c r="J39" s="512"/>
      <c r="K39" s="510" t="s">
        <v>58</v>
      </c>
      <c r="L39" s="510"/>
      <c r="M39" s="511" t="s">
        <v>60</v>
      </c>
      <c r="N39" s="511"/>
      <c r="O39" s="513" t="s">
        <v>42</v>
      </c>
      <c r="P39" s="514"/>
      <c r="Q39" s="515" t="s">
        <v>45</v>
      </c>
      <c r="R39" s="515"/>
      <c r="S39" s="511" t="s">
        <v>48</v>
      </c>
      <c r="T39" s="511"/>
      <c r="U39" s="512" t="s">
        <v>55</v>
      </c>
      <c r="V39" s="512"/>
      <c r="W39" s="511" t="s">
        <v>39</v>
      </c>
      <c r="X39" s="511"/>
      <c r="Y39" s="511" t="s">
        <v>11</v>
      </c>
      <c r="Z39" s="511"/>
      <c r="AA39" s="517" t="s">
        <v>138</v>
      </c>
      <c r="AB39" s="517"/>
      <c r="AC39" s="27"/>
      <c r="AD39" s="27"/>
      <c r="AE39" s="27"/>
      <c r="AF39" s="27"/>
    </row>
    <row r="40" spans="1:32" ht="25.35" customHeight="1" x14ac:dyDescent="0.25">
      <c r="A40" s="505"/>
      <c r="B40" s="506"/>
      <c r="C40" s="34" t="s">
        <v>3</v>
      </c>
      <c r="D40" s="34" t="s">
        <v>4</v>
      </c>
      <c r="E40" s="23" t="s">
        <v>3</v>
      </c>
      <c r="F40" s="23" t="s">
        <v>4</v>
      </c>
      <c r="G40" s="35" t="s">
        <v>3</v>
      </c>
      <c r="H40" s="35" t="s">
        <v>4</v>
      </c>
      <c r="I40" s="19" t="s">
        <v>3</v>
      </c>
      <c r="J40" s="19" t="s">
        <v>4</v>
      </c>
      <c r="K40" s="23" t="s">
        <v>3</v>
      </c>
      <c r="L40" s="23" t="s">
        <v>4</v>
      </c>
      <c r="M40" s="35" t="s">
        <v>3</v>
      </c>
      <c r="N40" s="35" t="s">
        <v>4</v>
      </c>
      <c r="O40" s="35" t="s">
        <v>3</v>
      </c>
      <c r="P40" s="35" t="s">
        <v>4</v>
      </c>
      <c r="Q40" s="36" t="s">
        <v>3</v>
      </c>
      <c r="R40" s="36" t="s">
        <v>4</v>
      </c>
      <c r="S40" s="35" t="s">
        <v>3</v>
      </c>
      <c r="T40" s="35" t="s">
        <v>4</v>
      </c>
      <c r="U40" s="19" t="s">
        <v>3</v>
      </c>
      <c r="V40" s="19" t="s">
        <v>4</v>
      </c>
      <c r="W40" s="35" t="s">
        <v>3</v>
      </c>
      <c r="X40" s="35" t="s">
        <v>4</v>
      </c>
      <c r="Y40" s="35" t="s">
        <v>3</v>
      </c>
      <c r="Z40" s="35" t="s">
        <v>4</v>
      </c>
      <c r="AA40" s="22" t="s">
        <v>3</v>
      </c>
      <c r="AB40" s="22" t="s">
        <v>4</v>
      </c>
      <c r="AC40" s="27"/>
      <c r="AD40" s="27"/>
      <c r="AE40" s="27"/>
      <c r="AF40" s="27"/>
    </row>
    <row r="41" spans="1:32" s="41" customFormat="1" ht="25.35" customHeight="1" x14ac:dyDescent="0.25">
      <c r="A41" s="38">
        <v>1</v>
      </c>
      <c r="B41" s="39">
        <v>45627</v>
      </c>
      <c r="C41" s="26"/>
      <c r="D41" s="26">
        <f>C41*14</f>
        <v>0</v>
      </c>
      <c r="E41" s="26"/>
      <c r="F41" s="26">
        <f>E41*14</f>
        <v>0</v>
      </c>
      <c r="G41" s="26"/>
      <c r="H41" s="26"/>
      <c r="I41" s="26"/>
      <c r="J41" s="26"/>
      <c r="K41" s="26"/>
      <c r="L41" s="26">
        <f>K41*24</f>
        <v>0</v>
      </c>
      <c r="M41" s="26"/>
      <c r="N41" s="26">
        <f>M41*14</f>
        <v>0</v>
      </c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>
        <f>C41+E41+G41+I41+K41+M41+O41+Q41+S41+U41+W41+Y41</f>
        <v>0</v>
      </c>
      <c r="AB41" s="26">
        <f>D41+F41+H41+J41+L41+N41+P41+R41+T41+V41+X41+Z41</f>
        <v>0</v>
      </c>
      <c r="AC41" s="4"/>
      <c r="AD41" s="4"/>
      <c r="AE41" s="4"/>
      <c r="AF41" s="4"/>
    </row>
    <row r="42" spans="1:32" s="41" customFormat="1" ht="25.35" customHeight="1" x14ac:dyDescent="0.25">
      <c r="A42" s="38">
        <v>2</v>
      </c>
      <c r="B42" s="39">
        <v>45628</v>
      </c>
      <c r="C42" s="26"/>
      <c r="D42" s="26">
        <f t="shared" ref="D42:D71" si="4">C42*14</f>
        <v>0</v>
      </c>
      <c r="E42" s="26"/>
      <c r="F42" s="26">
        <f t="shared" ref="F42:F70" si="5">E42*14</f>
        <v>0</v>
      </c>
      <c r="G42" s="26"/>
      <c r="H42" s="26"/>
      <c r="I42" s="26"/>
      <c r="J42" s="26"/>
      <c r="K42" s="26"/>
      <c r="L42" s="26">
        <f t="shared" ref="L42:L60" si="6">K42*24</f>
        <v>0</v>
      </c>
      <c r="M42" s="26"/>
      <c r="N42" s="26">
        <f t="shared" ref="N42:N70" si="7">M42*14</f>
        <v>0</v>
      </c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>
        <f t="shared" ref="AA42:AB70" si="8">C42+E42+G42+I42+K42+M42+O42+Q42+S42+U42+W42+Y42</f>
        <v>0</v>
      </c>
      <c r="AB42" s="26">
        <f t="shared" si="8"/>
        <v>0</v>
      </c>
      <c r="AC42" s="4"/>
      <c r="AD42" s="4"/>
      <c r="AE42" s="4"/>
      <c r="AF42" s="4"/>
    </row>
    <row r="43" spans="1:32" s="41" customFormat="1" ht="25.35" customHeight="1" x14ac:dyDescent="0.25">
      <c r="A43" s="38">
        <v>3</v>
      </c>
      <c r="B43" s="39">
        <v>45629</v>
      </c>
      <c r="C43" s="26"/>
      <c r="D43" s="26">
        <f t="shared" si="4"/>
        <v>0</v>
      </c>
      <c r="E43" s="26"/>
      <c r="F43" s="26">
        <f t="shared" si="5"/>
        <v>0</v>
      </c>
      <c r="G43" s="26"/>
      <c r="H43" s="26"/>
      <c r="I43" s="26"/>
      <c r="J43" s="26"/>
      <c r="K43" s="26"/>
      <c r="L43" s="26">
        <f t="shared" si="6"/>
        <v>0</v>
      </c>
      <c r="M43" s="26"/>
      <c r="N43" s="26">
        <f t="shared" si="7"/>
        <v>0</v>
      </c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>
        <f t="shared" si="8"/>
        <v>0</v>
      </c>
      <c r="AB43" s="26">
        <f t="shared" si="8"/>
        <v>0</v>
      </c>
      <c r="AC43" s="4"/>
      <c r="AD43" s="4"/>
      <c r="AE43" s="4"/>
      <c r="AF43" s="4"/>
    </row>
    <row r="44" spans="1:32" s="41" customFormat="1" ht="25.35" customHeight="1" x14ac:dyDescent="0.25">
      <c r="A44" s="38">
        <v>4</v>
      </c>
      <c r="B44" s="39">
        <v>45630</v>
      </c>
      <c r="C44" s="26"/>
      <c r="D44" s="26">
        <f t="shared" si="4"/>
        <v>0</v>
      </c>
      <c r="E44" s="26"/>
      <c r="F44" s="26">
        <f t="shared" si="5"/>
        <v>0</v>
      </c>
      <c r="G44" s="26"/>
      <c r="H44" s="26"/>
      <c r="I44" s="26"/>
      <c r="J44" s="26"/>
      <c r="K44" s="26"/>
      <c r="L44" s="26">
        <f t="shared" si="6"/>
        <v>0</v>
      </c>
      <c r="M44" s="26"/>
      <c r="N44" s="26">
        <f t="shared" si="7"/>
        <v>0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>
        <f t="shared" si="8"/>
        <v>0</v>
      </c>
      <c r="AB44" s="26">
        <f t="shared" si="8"/>
        <v>0</v>
      </c>
      <c r="AC44" s="4"/>
      <c r="AD44" s="4"/>
      <c r="AE44" s="4"/>
      <c r="AF44" s="4"/>
    </row>
    <row r="45" spans="1:32" s="41" customFormat="1" ht="25.35" customHeight="1" x14ac:dyDescent="0.25">
      <c r="A45" s="38">
        <v>5</v>
      </c>
      <c r="B45" s="39">
        <v>45631</v>
      </c>
      <c r="C45" s="26"/>
      <c r="D45" s="26">
        <f t="shared" si="4"/>
        <v>0</v>
      </c>
      <c r="E45" s="26"/>
      <c r="F45" s="26">
        <f t="shared" si="5"/>
        <v>0</v>
      </c>
      <c r="G45" s="26"/>
      <c r="H45" s="26"/>
      <c r="I45" s="26"/>
      <c r="J45" s="26"/>
      <c r="K45" s="26"/>
      <c r="L45" s="26">
        <f t="shared" si="6"/>
        <v>0</v>
      </c>
      <c r="M45" s="26"/>
      <c r="N45" s="26">
        <f t="shared" si="7"/>
        <v>0</v>
      </c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>
        <f t="shared" si="8"/>
        <v>0</v>
      </c>
      <c r="AB45" s="26">
        <f t="shared" si="8"/>
        <v>0</v>
      </c>
      <c r="AC45" s="4"/>
      <c r="AD45" s="4"/>
      <c r="AE45" s="4"/>
      <c r="AF45" s="4"/>
    </row>
    <row r="46" spans="1:32" s="41" customFormat="1" ht="25.35" customHeight="1" x14ac:dyDescent="0.5">
      <c r="A46" s="38">
        <v>6</v>
      </c>
      <c r="B46" s="39">
        <v>45632</v>
      </c>
      <c r="C46" s="26"/>
      <c r="D46" s="26">
        <f t="shared" si="4"/>
        <v>0</v>
      </c>
      <c r="E46" s="26"/>
      <c r="F46" s="26">
        <f t="shared" si="5"/>
        <v>0</v>
      </c>
      <c r="G46" s="26"/>
      <c r="H46" s="26"/>
      <c r="I46" s="26"/>
      <c r="J46" s="26"/>
      <c r="K46" s="17"/>
      <c r="L46" s="26">
        <f t="shared" si="6"/>
        <v>0</v>
      </c>
      <c r="M46" s="26"/>
      <c r="N46" s="26">
        <f t="shared" si="7"/>
        <v>0</v>
      </c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>
        <f t="shared" si="8"/>
        <v>0</v>
      </c>
      <c r="AB46" s="26">
        <f t="shared" si="8"/>
        <v>0</v>
      </c>
      <c r="AC46" s="4"/>
      <c r="AD46" s="4"/>
      <c r="AE46" s="4"/>
      <c r="AF46" s="4"/>
    </row>
    <row r="47" spans="1:32" s="41" customFormat="1" ht="25.35" customHeight="1" x14ac:dyDescent="0.25">
      <c r="A47" s="38">
        <v>7</v>
      </c>
      <c r="B47" s="39">
        <v>45633</v>
      </c>
      <c r="C47" s="26"/>
      <c r="D47" s="26">
        <f t="shared" si="4"/>
        <v>0</v>
      </c>
      <c r="E47" s="26"/>
      <c r="F47" s="26">
        <f t="shared" si="5"/>
        <v>0</v>
      </c>
      <c r="G47" s="26"/>
      <c r="H47" s="26"/>
      <c r="I47" s="26"/>
      <c r="J47" s="26"/>
      <c r="K47" s="26"/>
      <c r="L47" s="26">
        <f t="shared" si="6"/>
        <v>0</v>
      </c>
      <c r="M47" s="26"/>
      <c r="N47" s="26">
        <f t="shared" si="7"/>
        <v>0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>
        <f t="shared" si="8"/>
        <v>0</v>
      </c>
      <c r="AB47" s="26">
        <f t="shared" si="8"/>
        <v>0</v>
      </c>
      <c r="AC47" s="4"/>
      <c r="AD47" s="4"/>
      <c r="AE47" s="4"/>
      <c r="AF47" s="4"/>
    </row>
    <row r="48" spans="1:32" s="41" customFormat="1" ht="25.35" customHeight="1" x14ac:dyDescent="0.25">
      <c r="A48" s="38">
        <v>8</v>
      </c>
      <c r="B48" s="39">
        <v>45634</v>
      </c>
      <c r="C48" s="26"/>
      <c r="D48" s="26">
        <f t="shared" si="4"/>
        <v>0</v>
      </c>
      <c r="E48" s="26"/>
      <c r="F48" s="26">
        <f t="shared" si="5"/>
        <v>0</v>
      </c>
      <c r="G48" s="26"/>
      <c r="H48" s="26"/>
      <c r="I48" s="26"/>
      <c r="J48" s="26"/>
      <c r="K48" s="26"/>
      <c r="L48" s="26">
        <f t="shared" si="6"/>
        <v>0</v>
      </c>
      <c r="M48" s="26"/>
      <c r="N48" s="26">
        <f t="shared" si="7"/>
        <v>0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>
        <f t="shared" si="8"/>
        <v>0</v>
      </c>
      <c r="AB48" s="26">
        <f t="shared" si="8"/>
        <v>0</v>
      </c>
      <c r="AC48" s="4"/>
      <c r="AD48" s="4"/>
      <c r="AE48" s="4"/>
      <c r="AF48" s="4"/>
    </row>
    <row r="49" spans="1:32" s="41" customFormat="1" ht="25.35" customHeight="1" x14ac:dyDescent="0.25">
      <c r="A49" s="38">
        <v>9</v>
      </c>
      <c r="B49" s="39">
        <v>45635</v>
      </c>
      <c r="C49" s="26"/>
      <c r="D49" s="26">
        <f t="shared" si="4"/>
        <v>0</v>
      </c>
      <c r="E49" s="26"/>
      <c r="F49" s="26">
        <f t="shared" si="5"/>
        <v>0</v>
      </c>
      <c r="G49" s="26"/>
      <c r="H49" s="26"/>
      <c r="I49" s="26"/>
      <c r="J49" s="26"/>
      <c r="K49" s="26"/>
      <c r="L49" s="26">
        <f t="shared" si="6"/>
        <v>0</v>
      </c>
      <c r="M49" s="26"/>
      <c r="N49" s="26">
        <f t="shared" si="7"/>
        <v>0</v>
      </c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>
        <f t="shared" si="8"/>
        <v>0</v>
      </c>
      <c r="AB49" s="26">
        <f t="shared" si="8"/>
        <v>0</v>
      </c>
      <c r="AC49" s="4"/>
      <c r="AD49" s="4"/>
      <c r="AE49" s="4"/>
      <c r="AF49" s="4"/>
    </row>
    <row r="50" spans="1:32" s="41" customFormat="1" ht="25.35" customHeight="1" x14ac:dyDescent="0.25">
      <c r="A50" s="38">
        <v>10</v>
      </c>
      <c r="B50" s="39">
        <v>45636</v>
      </c>
      <c r="C50" s="26"/>
      <c r="D50" s="26">
        <f t="shared" si="4"/>
        <v>0</v>
      </c>
      <c r="E50" s="26"/>
      <c r="F50" s="26">
        <f t="shared" si="5"/>
        <v>0</v>
      </c>
      <c r="G50" s="26"/>
      <c r="H50" s="26"/>
      <c r="I50" s="26"/>
      <c r="J50" s="26"/>
      <c r="K50" s="26"/>
      <c r="L50" s="26">
        <f t="shared" si="6"/>
        <v>0</v>
      </c>
      <c r="M50" s="26"/>
      <c r="N50" s="26">
        <f t="shared" si="7"/>
        <v>0</v>
      </c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>
        <f>C50+E50+G50+I50+K50+M50+O50+Q50+S50+U50+W50+Y50</f>
        <v>0</v>
      </c>
      <c r="AB50" s="26">
        <f>D50+F50+H50+J50+L50+N50+P50+R50+T50+V50+X50+Z50</f>
        <v>0</v>
      </c>
      <c r="AC50" s="4"/>
      <c r="AD50" s="4"/>
      <c r="AE50" s="4"/>
      <c r="AF50" s="4"/>
    </row>
    <row r="51" spans="1:32" s="41" customFormat="1" ht="25.35" customHeight="1" x14ac:dyDescent="0.25">
      <c r="A51" s="38">
        <v>11</v>
      </c>
      <c r="B51" s="39">
        <v>45637</v>
      </c>
      <c r="C51" s="26"/>
      <c r="D51" s="26">
        <f t="shared" si="4"/>
        <v>0</v>
      </c>
      <c r="E51" s="26"/>
      <c r="F51" s="26">
        <f t="shared" si="5"/>
        <v>0</v>
      </c>
      <c r="G51" s="26"/>
      <c r="H51" s="26"/>
      <c r="I51" s="26"/>
      <c r="J51" s="26"/>
      <c r="K51" s="26"/>
      <c r="L51" s="26">
        <f t="shared" si="6"/>
        <v>0</v>
      </c>
      <c r="M51" s="26"/>
      <c r="N51" s="26">
        <f t="shared" si="7"/>
        <v>0</v>
      </c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>
        <f t="shared" si="8"/>
        <v>0</v>
      </c>
      <c r="AB51" s="26">
        <f t="shared" si="8"/>
        <v>0</v>
      </c>
      <c r="AC51" s="4"/>
      <c r="AD51" s="4"/>
      <c r="AE51" s="4"/>
      <c r="AF51" s="4"/>
    </row>
    <row r="52" spans="1:32" s="41" customFormat="1" ht="25.35" customHeight="1" x14ac:dyDescent="0.25">
      <c r="A52" s="38">
        <v>12</v>
      </c>
      <c r="B52" s="39">
        <v>45638</v>
      </c>
      <c r="C52" s="26"/>
      <c r="D52" s="26">
        <f t="shared" si="4"/>
        <v>0</v>
      </c>
      <c r="E52" s="26"/>
      <c r="F52" s="26">
        <f t="shared" si="5"/>
        <v>0</v>
      </c>
      <c r="G52" s="26"/>
      <c r="H52" s="26"/>
      <c r="I52" s="26"/>
      <c r="J52" s="26"/>
      <c r="K52" s="26"/>
      <c r="L52" s="26">
        <f t="shared" si="6"/>
        <v>0</v>
      </c>
      <c r="M52" s="26"/>
      <c r="N52" s="26">
        <f t="shared" si="7"/>
        <v>0</v>
      </c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>
        <f t="shared" si="8"/>
        <v>0</v>
      </c>
      <c r="AB52" s="26">
        <f t="shared" si="8"/>
        <v>0</v>
      </c>
      <c r="AC52" s="4"/>
      <c r="AD52" s="4"/>
      <c r="AE52" s="4"/>
      <c r="AF52" s="4"/>
    </row>
    <row r="53" spans="1:32" s="41" customFormat="1" ht="25.35" customHeight="1" x14ac:dyDescent="0.25">
      <c r="A53" s="38">
        <v>13</v>
      </c>
      <c r="B53" s="39">
        <v>45639</v>
      </c>
      <c r="C53" s="26"/>
      <c r="D53" s="26">
        <f t="shared" si="4"/>
        <v>0</v>
      </c>
      <c r="E53" s="26"/>
      <c r="F53" s="26">
        <f t="shared" si="5"/>
        <v>0</v>
      </c>
      <c r="G53" s="26"/>
      <c r="H53" s="26"/>
      <c r="I53" s="26"/>
      <c r="J53" s="26"/>
      <c r="K53" s="26"/>
      <c r="L53" s="26">
        <f t="shared" si="6"/>
        <v>0</v>
      </c>
      <c r="M53" s="26"/>
      <c r="N53" s="26">
        <f t="shared" si="7"/>
        <v>0</v>
      </c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>
        <f t="shared" si="8"/>
        <v>0</v>
      </c>
      <c r="AB53" s="26">
        <f t="shared" si="8"/>
        <v>0</v>
      </c>
      <c r="AC53" s="4"/>
      <c r="AD53" s="4"/>
      <c r="AE53" s="4"/>
      <c r="AF53" s="4"/>
    </row>
    <row r="54" spans="1:32" s="41" customFormat="1" ht="25.35" customHeight="1" x14ac:dyDescent="0.25">
      <c r="A54" s="38">
        <v>14</v>
      </c>
      <c r="B54" s="39">
        <v>45640</v>
      </c>
      <c r="C54" s="26"/>
      <c r="D54" s="26">
        <f t="shared" si="4"/>
        <v>0</v>
      </c>
      <c r="E54" s="26"/>
      <c r="F54" s="26">
        <f t="shared" si="5"/>
        <v>0</v>
      </c>
      <c r="G54" s="26"/>
      <c r="H54" s="26"/>
      <c r="I54" s="26"/>
      <c r="J54" s="26"/>
      <c r="K54" s="26"/>
      <c r="L54" s="26">
        <f t="shared" si="6"/>
        <v>0</v>
      </c>
      <c r="M54" s="26"/>
      <c r="N54" s="26">
        <f t="shared" si="7"/>
        <v>0</v>
      </c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>
        <f t="shared" si="8"/>
        <v>0</v>
      </c>
      <c r="AB54" s="26">
        <f t="shared" si="8"/>
        <v>0</v>
      </c>
      <c r="AC54" s="4"/>
      <c r="AD54" s="4"/>
      <c r="AE54" s="4"/>
      <c r="AF54" s="4"/>
    </row>
    <row r="55" spans="1:32" s="41" customFormat="1" ht="25.35" customHeight="1" x14ac:dyDescent="0.25">
      <c r="A55" s="38">
        <v>15</v>
      </c>
      <c r="B55" s="39">
        <v>45641</v>
      </c>
      <c r="C55" s="26"/>
      <c r="D55" s="26">
        <f t="shared" si="4"/>
        <v>0</v>
      </c>
      <c r="E55" s="26"/>
      <c r="F55" s="26">
        <f t="shared" si="5"/>
        <v>0</v>
      </c>
      <c r="G55" s="26"/>
      <c r="H55" s="26"/>
      <c r="I55" s="26"/>
      <c r="J55" s="26"/>
      <c r="K55" s="26"/>
      <c r="L55" s="26">
        <f t="shared" si="6"/>
        <v>0</v>
      </c>
      <c r="M55" s="26"/>
      <c r="N55" s="26">
        <f t="shared" si="7"/>
        <v>0</v>
      </c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>
        <f t="shared" si="8"/>
        <v>0</v>
      </c>
      <c r="AB55" s="26">
        <f t="shared" si="8"/>
        <v>0</v>
      </c>
      <c r="AC55" s="4"/>
      <c r="AD55" s="4"/>
      <c r="AE55" s="4"/>
      <c r="AF55" s="4"/>
    </row>
    <row r="56" spans="1:32" s="41" customFormat="1" ht="25.35" customHeight="1" x14ac:dyDescent="0.25">
      <c r="A56" s="38">
        <v>16</v>
      </c>
      <c r="B56" s="39">
        <v>45642</v>
      </c>
      <c r="C56" s="26"/>
      <c r="D56" s="26">
        <f t="shared" si="4"/>
        <v>0</v>
      </c>
      <c r="E56" s="26"/>
      <c r="F56" s="26">
        <f t="shared" si="5"/>
        <v>0</v>
      </c>
      <c r="G56" s="26"/>
      <c r="H56" s="26"/>
      <c r="I56" s="26"/>
      <c r="J56" s="26"/>
      <c r="K56" s="26"/>
      <c r="L56" s="26">
        <f t="shared" si="6"/>
        <v>0</v>
      </c>
      <c r="M56" s="26"/>
      <c r="N56" s="26">
        <f t="shared" si="7"/>
        <v>0</v>
      </c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>
        <f t="shared" si="8"/>
        <v>0</v>
      </c>
      <c r="AB56" s="26">
        <f t="shared" si="8"/>
        <v>0</v>
      </c>
      <c r="AC56" s="4"/>
      <c r="AD56" s="4"/>
      <c r="AE56" s="4"/>
      <c r="AF56" s="4"/>
    </row>
    <row r="57" spans="1:32" s="41" customFormat="1" ht="25.35" customHeight="1" x14ac:dyDescent="0.25">
      <c r="A57" s="38">
        <v>17</v>
      </c>
      <c r="B57" s="39">
        <v>45643</v>
      </c>
      <c r="C57" s="26"/>
      <c r="D57" s="26">
        <f t="shared" si="4"/>
        <v>0</v>
      </c>
      <c r="E57" s="26"/>
      <c r="F57" s="26">
        <f t="shared" si="5"/>
        <v>0</v>
      </c>
      <c r="G57" s="26"/>
      <c r="H57" s="26"/>
      <c r="I57" s="26"/>
      <c r="J57" s="26"/>
      <c r="K57" s="26"/>
      <c r="L57" s="26">
        <f t="shared" si="6"/>
        <v>0</v>
      </c>
      <c r="M57" s="26"/>
      <c r="N57" s="26">
        <f t="shared" si="7"/>
        <v>0</v>
      </c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>
        <f t="shared" si="8"/>
        <v>0</v>
      </c>
      <c r="AB57" s="26">
        <f t="shared" si="8"/>
        <v>0</v>
      </c>
      <c r="AC57" s="4"/>
      <c r="AD57" s="4"/>
      <c r="AE57" s="4"/>
      <c r="AF57" s="4"/>
    </row>
    <row r="58" spans="1:32" s="41" customFormat="1" ht="25.35" customHeight="1" x14ac:dyDescent="0.25">
      <c r="A58" s="38">
        <v>18</v>
      </c>
      <c r="B58" s="39">
        <v>45644</v>
      </c>
      <c r="C58" s="26"/>
      <c r="D58" s="26">
        <f t="shared" si="4"/>
        <v>0</v>
      </c>
      <c r="E58" s="26"/>
      <c r="F58" s="26">
        <f t="shared" si="5"/>
        <v>0</v>
      </c>
      <c r="G58" s="26"/>
      <c r="H58" s="26"/>
      <c r="I58" s="26"/>
      <c r="J58" s="26"/>
      <c r="K58" s="26"/>
      <c r="L58" s="26">
        <f t="shared" si="6"/>
        <v>0</v>
      </c>
      <c r="M58" s="26"/>
      <c r="N58" s="26">
        <f t="shared" si="7"/>
        <v>0</v>
      </c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>
        <f t="shared" si="8"/>
        <v>0</v>
      </c>
      <c r="AB58" s="26">
        <f t="shared" si="8"/>
        <v>0</v>
      </c>
      <c r="AC58" s="4"/>
      <c r="AD58" s="4"/>
      <c r="AE58" s="4"/>
      <c r="AF58" s="4"/>
    </row>
    <row r="59" spans="1:32" s="41" customFormat="1" ht="25.35" customHeight="1" x14ac:dyDescent="0.25">
      <c r="A59" s="38">
        <v>19</v>
      </c>
      <c r="B59" s="39">
        <v>45645</v>
      </c>
      <c r="C59" s="26"/>
      <c r="D59" s="26">
        <f t="shared" si="4"/>
        <v>0</v>
      </c>
      <c r="E59" s="26"/>
      <c r="F59" s="26">
        <f t="shared" si="5"/>
        <v>0</v>
      </c>
      <c r="G59" s="26"/>
      <c r="H59" s="26"/>
      <c r="I59" s="26"/>
      <c r="J59" s="26"/>
      <c r="K59" s="26"/>
      <c r="L59" s="26">
        <f t="shared" si="6"/>
        <v>0</v>
      </c>
      <c r="M59" s="26"/>
      <c r="N59" s="26">
        <f t="shared" si="7"/>
        <v>0</v>
      </c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>
        <f t="shared" si="8"/>
        <v>0</v>
      </c>
      <c r="AB59" s="26">
        <f t="shared" si="8"/>
        <v>0</v>
      </c>
      <c r="AC59" s="4"/>
      <c r="AD59" s="4"/>
      <c r="AE59" s="4"/>
      <c r="AF59" s="4"/>
    </row>
    <row r="60" spans="1:32" s="41" customFormat="1" ht="25.35" customHeight="1" x14ac:dyDescent="0.25">
      <c r="A60" s="38">
        <v>20</v>
      </c>
      <c r="B60" s="39">
        <v>45646</v>
      </c>
      <c r="C60" s="26"/>
      <c r="D60" s="26">
        <f t="shared" si="4"/>
        <v>0</v>
      </c>
      <c r="E60" s="26"/>
      <c r="F60" s="26">
        <f t="shared" si="5"/>
        <v>0</v>
      </c>
      <c r="G60" s="26"/>
      <c r="H60" s="26"/>
      <c r="I60" s="26"/>
      <c r="J60" s="26"/>
      <c r="K60" s="26"/>
      <c r="L60" s="26">
        <f t="shared" si="6"/>
        <v>0</v>
      </c>
      <c r="M60" s="26"/>
      <c r="N60" s="26">
        <f t="shared" si="7"/>
        <v>0</v>
      </c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>
        <f t="shared" si="8"/>
        <v>0</v>
      </c>
      <c r="AB60" s="26">
        <f t="shared" si="8"/>
        <v>0</v>
      </c>
      <c r="AC60" s="4"/>
      <c r="AD60" s="4"/>
      <c r="AE60" s="4"/>
      <c r="AF60" s="4"/>
    </row>
    <row r="61" spans="1:32" s="41" customFormat="1" ht="25.35" customHeight="1" x14ac:dyDescent="0.25">
      <c r="A61" s="38">
        <v>21</v>
      </c>
      <c r="B61" s="39">
        <v>45647</v>
      </c>
      <c r="C61" s="26"/>
      <c r="D61" s="26">
        <f t="shared" si="4"/>
        <v>0</v>
      </c>
      <c r="E61" s="26"/>
      <c r="F61" s="26">
        <f t="shared" si="5"/>
        <v>0</v>
      </c>
      <c r="G61" s="26"/>
      <c r="H61" s="26"/>
      <c r="I61" s="26"/>
      <c r="J61" s="26"/>
      <c r="K61" s="26"/>
      <c r="L61" s="26"/>
      <c r="M61" s="26"/>
      <c r="N61" s="26">
        <f t="shared" si="7"/>
        <v>0</v>
      </c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>
        <f t="shared" si="8"/>
        <v>0</v>
      </c>
      <c r="AB61" s="26">
        <f t="shared" si="8"/>
        <v>0</v>
      </c>
      <c r="AC61" s="4"/>
      <c r="AD61" s="4"/>
      <c r="AE61" s="4"/>
      <c r="AF61" s="4"/>
    </row>
    <row r="62" spans="1:32" s="41" customFormat="1" ht="25.35" customHeight="1" x14ac:dyDescent="0.25">
      <c r="A62" s="38">
        <v>22</v>
      </c>
      <c r="B62" s="39">
        <v>45648</v>
      </c>
      <c r="C62" s="26"/>
      <c r="D62" s="26">
        <f t="shared" si="4"/>
        <v>0</v>
      </c>
      <c r="E62" s="26"/>
      <c r="F62" s="26">
        <f t="shared" si="5"/>
        <v>0</v>
      </c>
      <c r="G62" s="26"/>
      <c r="H62" s="26"/>
      <c r="I62" s="26"/>
      <c r="J62" s="26"/>
      <c r="K62" s="26"/>
      <c r="L62" s="26"/>
      <c r="M62" s="26"/>
      <c r="N62" s="26">
        <f t="shared" si="7"/>
        <v>0</v>
      </c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>
        <f t="shared" si="8"/>
        <v>0</v>
      </c>
      <c r="AB62" s="26">
        <f t="shared" si="8"/>
        <v>0</v>
      </c>
      <c r="AC62" s="4"/>
      <c r="AD62" s="4"/>
      <c r="AE62" s="4"/>
      <c r="AF62" s="4"/>
    </row>
    <row r="63" spans="1:32" s="41" customFormat="1" ht="25.35" customHeight="1" x14ac:dyDescent="0.25">
      <c r="A63" s="38">
        <v>23</v>
      </c>
      <c r="B63" s="39">
        <v>45649</v>
      </c>
      <c r="C63" s="26"/>
      <c r="D63" s="26">
        <f t="shared" si="4"/>
        <v>0</v>
      </c>
      <c r="E63" s="26"/>
      <c r="F63" s="26">
        <f t="shared" si="5"/>
        <v>0</v>
      </c>
      <c r="G63" s="26"/>
      <c r="H63" s="26"/>
      <c r="I63" s="26"/>
      <c r="J63" s="26"/>
      <c r="K63" s="26"/>
      <c r="L63" s="26"/>
      <c r="M63" s="26"/>
      <c r="N63" s="26">
        <f t="shared" si="7"/>
        <v>0</v>
      </c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>
        <f t="shared" si="8"/>
        <v>0</v>
      </c>
      <c r="AB63" s="26">
        <f t="shared" si="8"/>
        <v>0</v>
      </c>
      <c r="AC63" s="4"/>
      <c r="AD63" s="4"/>
      <c r="AE63" s="4"/>
      <c r="AF63" s="4"/>
    </row>
    <row r="64" spans="1:32" s="41" customFormat="1" ht="25.35" customHeight="1" x14ac:dyDescent="0.25">
      <c r="A64" s="38">
        <v>24</v>
      </c>
      <c r="B64" s="39">
        <v>45650</v>
      </c>
      <c r="C64" s="26"/>
      <c r="D64" s="26">
        <f t="shared" si="4"/>
        <v>0</v>
      </c>
      <c r="E64" s="26"/>
      <c r="F64" s="26">
        <f t="shared" si="5"/>
        <v>0</v>
      </c>
      <c r="G64" s="26"/>
      <c r="H64" s="26"/>
      <c r="I64" s="26"/>
      <c r="J64" s="26"/>
      <c r="K64" s="26"/>
      <c r="L64" s="26"/>
      <c r="M64" s="26"/>
      <c r="N64" s="26">
        <f t="shared" si="7"/>
        <v>0</v>
      </c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>
        <f t="shared" si="8"/>
        <v>0</v>
      </c>
      <c r="AB64" s="26">
        <f t="shared" si="8"/>
        <v>0</v>
      </c>
      <c r="AC64" s="4"/>
      <c r="AD64" s="4"/>
      <c r="AE64" s="4"/>
      <c r="AF64" s="4"/>
    </row>
    <row r="65" spans="1:32" s="41" customFormat="1" ht="25.35" customHeight="1" x14ac:dyDescent="0.25">
      <c r="A65" s="38">
        <v>25</v>
      </c>
      <c r="B65" s="39">
        <v>45651</v>
      </c>
      <c r="C65" s="4"/>
      <c r="D65" s="26">
        <f t="shared" si="4"/>
        <v>0</v>
      </c>
      <c r="E65" s="26"/>
      <c r="F65" s="26">
        <f t="shared" si="5"/>
        <v>0</v>
      </c>
      <c r="G65" s="26"/>
      <c r="H65" s="26"/>
      <c r="I65" s="26"/>
      <c r="J65" s="26"/>
      <c r="K65" s="26"/>
      <c r="L65" s="26"/>
      <c r="M65" s="26"/>
      <c r="N65" s="26">
        <f t="shared" si="7"/>
        <v>0</v>
      </c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>
        <f t="shared" si="8"/>
        <v>0</v>
      </c>
      <c r="AB65" s="26">
        <f t="shared" si="8"/>
        <v>0</v>
      </c>
      <c r="AC65" s="4"/>
      <c r="AD65" s="4"/>
      <c r="AE65" s="4"/>
      <c r="AF65" s="4"/>
    </row>
    <row r="66" spans="1:32" s="41" customFormat="1" ht="25.35" customHeight="1" x14ac:dyDescent="0.25">
      <c r="A66" s="38">
        <v>26</v>
      </c>
      <c r="B66" s="39">
        <v>45652</v>
      </c>
      <c r="C66" s="26"/>
      <c r="D66" s="26">
        <f t="shared" si="4"/>
        <v>0</v>
      </c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>
        <f t="shared" si="8"/>
        <v>0</v>
      </c>
      <c r="AB66" s="26">
        <f t="shared" si="8"/>
        <v>0</v>
      </c>
      <c r="AC66" s="4"/>
      <c r="AD66" s="4"/>
      <c r="AE66" s="4"/>
      <c r="AF66" s="4"/>
    </row>
    <row r="67" spans="1:32" s="41" customFormat="1" ht="25.35" customHeight="1" x14ac:dyDescent="0.25">
      <c r="A67" s="38">
        <v>27</v>
      </c>
      <c r="B67" s="39">
        <v>45653</v>
      </c>
      <c r="C67" s="26"/>
      <c r="D67" s="26">
        <f t="shared" si="4"/>
        <v>0</v>
      </c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>
        <f t="shared" si="8"/>
        <v>0</v>
      </c>
      <c r="AB67" s="26">
        <f t="shared" si="8"/>
        <v>0</v>
      </c>
      <c r="AC67" s="4"/>
      <c r="AD67" s="4"/>
      <c r="AE67" s="4"/>
      <c r="AF67" s="4"/>
    </row>
    <row r="68" spans="1:32" s="41" customFormat="1" ht="25.35" customHeight="1" x14ac:dyDescent="0.25">
      <c r="A68" s="38">
        <v>28</v>
      </c>
      <c r="B68" s="39">
        <v>45654</v>
      </c>
      <c r="C68" s="26"/>
      <c r="D68" s="26">
        <f t="shared" si="4"/>
        <v>0</v>
      </c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>
        <f t="shared" si="8"/>
        <v>0</v>
      </c>
      <c r="AB68" s="26">
        <f t="shared" si="8"/>
        <v>0</v>
      </c>
      <c r="AC68" s="4"/>
      <c r="AD68" s="4"/>
      <c r="AE68" s="4"/>
      <c r="AF68" s="4"/>
    </row>
    <row r="69" spans="1:32" s="41" customFormat="1" ht="25.35" customHeight="1" x14ac:dyDescent="0.25">
      <c r="A69" s="38">
        <v>29</v>
      </c>
      <c r="B69" s="39">
        <v>45655</v>
      </c>
      <c r="C69" s="26"/>
      <c r="D69" s="26">
        <f t="shared" si="4"/>
        <v>0</v>
      </c>
      <c r="E69" s="26"/>
      <c r="F69" s="26">
        <f t="shared" si="5"/>
        <v>0</v>
      </c>
      <c r="G69" s="26"/>
      <c r="H69" s="26"/>
      <c r="I69" s="26"/>
      <c r="J69" s="26"/>
      <c r="K69" s="26"/>
      <c r="L69" s="26"/>
      <c r="M69" s="26"/>
      <c r="N69" s="26">
        <f t="shared" si="7"/>
        <v>0</v>
      </c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>
        <f t="shared" si="8"/>
        <v>0</v>
      </c>
      <c r="AB69" s="26">
        <f t="shared" si="8"/>
        <v>0</v>
      </c>
      <c r="AC69" s="4"/>
      <c r="AD69" s="4"/>
      <c r="AE69" s="4"/>
      <c r="AF69" s="4"/>
    </row>
    <row r="70" spans="1:32" s="41" customFormat="1" ht="25.35" customHeight="1" x14ac:dyDescent="0.25">
      <c r="A70" s="38">
        <v>30</v>
      </c>
      <c r="B70" s="39">
        <v>45656</v>
      </c>
      <c r="C70" s="26"/>
      <c r="D70" s="26">
        <f t="shared" si="4"/>
        <v>0</v>
      </c>
      <c r="E70" s="26"/>
      <c r="F70" s="26">
        <f t="shared" si="5"/>
        <v>0</v>
      </c>
      <c r="G70" s="26"/>
      <c r="H70" s="26"/>
      <c r="I70" s="26"/>
      <c r="J70" s="26"/>
      <c r="K70" s="26"/>
      <c r="L70" s="26"/>
      <c r="M70" s="26"/>
      <c r="N70" s="26">
        <f t="shared" si="7"/>
        <v>0</v>
      </c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>
        <f t="shared" si="8"/>
        <v>0</v>
      </c>
      <c r="AB70" s="26">
        <f t="shared" si="8"/>
        <v>0</v>
      </c>
      <c r="AC70" s="4"/>
      <c r="AD70" s="4"/>
      <c r="AE70" s="4"/>
      <c r="AF70" s="4"/>
    </row>
    <row r="71" spans="1:32" s="41" customFormat="1" ht="25.35" customHeight="1" x14ac:dyDescent="0.25">
      <c r="B71" s="14"/>
      <c r="C71" s="4"/>
      <c r="D71" s="26">
        <f t="shared" si="4"/>
        <v>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3">
        <f>SUM(AA41:AA70)</f>
        <v>0</v>
      </c>
      <c r="AB71" s="43">
        <f>SUM(AB41:AB70)</f>
        <v>0</v>
      </c>
      <c r="AC71" s="4"/>
      <c r="AD71" s="4"/>
      <c r="AE71" s="4"/>
      <c r="AF71" s="4"/>
    </row>
    <row r="72" spans="1:32" s="41" customFormat="1" ht="25.35" customHeight="1" x14ac:dyDescent="0.25">
      <c r="B72" s="1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41" customFormat="1" ht="25.35" customHeight="1" x14ac:dyDescent="0.25">
      <c r="B73" s="14"/>
    </row>
    <row r="74" spans="1:32" s="41" customFormat="1" ht="25.35" customHeight="1" x14ac:dyDescent="0.25">
      <c r="B74" s="14"/>
    </row>
    <row r="75" spans="1:32" s="41" customFormat="1" ht="25.35" customHeight="1" x14ac:dyDescent="0.25">
      <c r="B75" s="14"/>
    </row>
    <row r="76" spans="1:32" s="41" customFormat="1" ht="25.35" customHeight="1" x14ac:dyDescent="0.25">
      <c r="B76" s="14"/>
    </row>
    <row r="77" spans="1:32" s="41" customFormat="1" ht="25.35" customHeight="1" x14ac:dyDescent="0.25">
      <c r="B77" s="14"/>
    </row>
    <row r="78" spans="1:32" s="41" customFormat="1" ht="25.35" customHeight="1" x14ac:dyDescent="0.25">
      <c r="B78" s="14"/>
    </row>
    <row r="79" spans="1:32" s="41" customFormat="1" ht="25.35" customHeight="1" x14ac:dyDescent="0.25">
      <c r="B79" s="14"/>
    </row>
    <row r="80" spans="1:32" s="41" customFormat="1" ht="25.35" customHeight="1" x14ac:dyDescent="0.25">
      <c r="B80" s="14"/>
    </row>
    <row r="81" spans="2:2" s="41" customFormat="1" ht="25.35" customHeight="1" x14ac:dyDescent="0.25">
      <c r="B81" s="14"/>
    </row>
    <row r="82" spans="2:2" s="41" customFormat="1" ht="25.35" customHeight="1" x14ac:dyDescent="0.25">
      <c r="B82" s="14"/>
    </row>
    <row r="83" spans="2:2" s="41" customFormat="1" ht="25.35" customHeight="1" x14ac:dyDescent="0.25">
      <c r="B83" s="14"/>
    </row>
    <row r="84" spans="2:2" s="41" customFormat="1" ht="25.35" customHeight="1" x14ac:dyDescent="0.25">
      <c r="B84" s="14"/>
    </row>
    <row r="85" spans="2:2" s="41" customFormat="1" ht="25.35" customHeight="1" x14ac:dyDescent="0.25">
      <c r="B85" s="14"/>
    </row>
    <row r="86" spans="2:2" s="41" customFormat="1" ht="25.35" customHeight="1" x14ac:dyDescent="0.25">
      <c r="B86" s="14"/>
    </row>
    <row r="87" spans="2:2" s="41" customFormat="1" ht="25.35" customHeight="1" x14ac:dyDescent="0.25">
      <c r="B87" s="14"/>
    </row>
    <row r="88" spans="2:2" s="41" customFormat="1" ht="25.35" customHeight="1" x14ac:dyDescent="0.25">
      <c r="B88" s="14"/>
    </row>
    <row r="89" spans="2:2" s="41" customFormat="1" ht="25.35" customHeight="1" x14ac:dyDescent="0.25">
      <c r="B89" s="14"/>
    </row>
    <row r="90" spans="2:2" s="41" customFormat="1" ht="25.35" customHeight="1" x14ac:dyDescent="0.25">
      <c r="B90" s="14"/>
    </row>
    <row r="91" spans="2:2" s="41" customFormat="1" ht="25.35" customHeight="1" x14ac:dyDescent="0.25">
      <c r="B91" s="14"/>
    </row>
    <row r="92" spans="2:2" s="41" customFormat="1" ht="25.35" customHeight="1" x14ac:dyDescent="0.25">
      <c r="B92" s="14"/>
    </row>
    <row r="93" spans="2:2" s="41" customFormat="1" ht="25.35" customHeight="1" x14ac:dyDescent="0.25">
      <c r="B93" s="14"/>
    </row>
    <row r="94" spans="2:2" s="41" customFormat="1" ht="25.35" customHeight="1" x14ac:dyDescent="0.25">
      <c r="B94" s="14"/>
    </row>
    <row r="95" spans="2:2" s="41" customFormat="1" ht="25.35" customHeight="1" x14ac:dyDescent="0.25">
      <c r="B95" s="14"/>
    </row>
    <row r="96" spans="2:2" s="41" customFormat="1" ht="25.35" customHeight="1" x14ac:dyDescent="0.25">
      <c r="B96" s="14"/>
    </row>
    <row r="97" spans="2:2" s="41" customFormat="1" ht="25.35" customHeight="1" x14ac:dyDescent="0.25">
      <c r="B97" s="14"/>
    </row>
    <row r="98" spans="2:2" s="41" customFormat="1" ht="25.35" customHeight="1" x14ac:dyDescent="0.25">
      <c r="B98" s="14"/>
    </row>
    <row r="99" spans="2:2" s="41" customFormat="1" ht="25.35" customHeight="1" x14ac:dyDescent="0.25">
      <c r="B99" s="14"/>
    </row>
    <row r="100" spans="2:2" s="41" customFormat="1" ht="25.35" customHeight="1" x14ac:dyDescent="0.25">
      <c r="B100" s="14"/>
    </row>
    <row r="101" spans="2:2" s="41" customFormat="1" ht="25.35" customHeight="1" x14ac:dyDescent="0.25">
      <c r="B101" s="14"/>
    </row>
    <row r="102" spans="2:2" s="41" customFormat="1" ht="25.35" customHeight="1" x14ac:dyDescent="0.25">
      <c r="B102" s="14"/>
    </row>
    <row r="103" spans="2:2" s="41" customFormat="1" ht="25.35" customHeight="1" x14ac:dyDescent="0.25">
      <c r="B103" s="14"/>
    </row>
  </sheetData>
  <mergeCells count="34">
    <mergeCell ref="A2:A4"/>
    <mergeCell ref="B2:B4"/>
    <mergeCell ref="C2:AB2"/>
    <mergeCell ref="C3:D3"/>
    <mergeCell ref="E3:F3"/>
    <mergeCell ref="G3:H3"/>
    <mergeCell ref="I3:J3"/>
    <mergeCell ref="K3:L3"/>
    <mergeCell ref="M3:N3"/>
    <mergeCell ref="AA3:AB3"/>
    <mergeCell ref="O3:P3"/>
    <mergeCell ref="Q3:R3"/>
    <mergeCell ref="C1:AB1"/>
    <mergeCell ref="Y39:Z39"/>
    <mergeCell ref="AA39:AB39"/>
    <mergeCell ref="C37:AB37"/>
    <mergeCell ref="S3:T3"/>
    <mergeCell ref="Y3:Z3"/>
    <mergeCell ref="U3:V3"/>
    <mergeCell ref="W3:X3"/>
    <mergeCell ref="A38:A40"/>
    <mergeCell ref="B38:B40"/>
    <mergeCell ref="C38:AB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</mergeCells>
  <hyperlinks>
    <hyperlink ref="C1:AB1" location="DailySales!A1" display="DailySales!A1" xr:uid="{DC26F93F-06BC-4A5B-B316-622A9536504F}"/>
  </hyperlink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E483-27F4-444E-96E2-47833891A776}">
  <sheetPr>
    <tabColor theme="8" tint="0.39997558519241921"/>
  </sheetPr>
  <dimension ref="A1:AI103"/>
  <sheetViews>
    <sheetView zoomScale="82" zoomScaleNormal="82" workbookViewId="0">
      <pane xSplit="2" ySplit="4" topLeftCell="C40" activePane="bottomRight" state="frozen"/>
      <selection sqref="A1:E1"/>
      <selection pane="topRight" sqref="A1:E1"/>
      <selection pane="bottomLeft" sqref="A1:E1"/>
      <selection pane="bottomRight" activeCell="C37" sqref="C37:AB37"/>
    </sheetView>
  </sheetViews>
  <sheetFormatPr defaultColWidth="9.140625" defaultRowHeight="18" x14ac:dyDescent="0.25"/>
  <cols>
    <col min="1" max="1" width="9.140625" style="41"/>
    <col min="2" max="2" width="12.42578125" style="14" customWidth="1"/>
    <col min="3" max="4" width="11.42578125" style="18" customWidth="1"/>
    <col min="5" max="5" width="11.42578125" style="18" bestFit="1" customWidth="1"/>
    <col min="6" max="6" width="11.42578125" style="18" customWidth="1"/>
    <col min="7" max="10" width="9.28515625" style="18" bestFit="1" customWidth="1"/>
    <col min="11" max="11" width="9.140625" style="18"/>
    <col min="12" max="13" width="9.28515625" style="18" bestFit="1" customWidth="1"/>
    <col min="14" max="14" width="9.85546875" style="18" bestFit="1" customWidth="1"/>
    <col min="15" max="17" width="9.28515625" style="18" bestFit="1" customWidth="1"/>
    <col min="18" max="18" width="9.85546875" style="18" bestFit="1" customWidth="1"/>
    <col min="19" max="20" width="9.28515625" style="18" bestFit="1" customWidth="1"/>
    <col min="21" max="21" width="9.140625" style="18"/>
    <col min="22" max="22" width="9.28515625" style="18" bestFit="1" customWidth="1"/>
    <col min="23" max="23" width="9.140625" style="18"/>
    <col min="24" max="24" width="9.28515625" style="18" bestFit="1" customWidth="1"/>
    <col min="25" max="25" width="9.140625" style="18"/>
    <col min="26" max="26" width="9.28515625" style="18" bestFit="1" customWidth="1"/>
    <col min="27" max="27" width="9.85546875" style="18" bestFit="1" customWidth="1"/>
    <col min="28" max="28" width="11" style="18" bestFit="1" customWidth="1"/>
    <col min="29" max="29" width="9.140625" style="18"/>
    <col min="30" max="30" width="10.7109375" style="18" customWidth="1"/>
    <col min="31" max="31" width="11.85546875" style="18" customWidth="1"/>
    <col min="32" max="16384" width="9.140625" style="18"/>
  </cols>
  <sheetData>
    <row r="1" spans="1:34" x14ac:dyDescent="0.25">
      <c r="A1" s="28"/>
      <c r="B1" s="29"/>
      <c r="C1" s="516" t="s">
        <v>140</v>
      </c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  <c r="R1" s="516"/>
      <c r="S1" s="516"/>
      <c r="T1" s="516"/>
      <c r="U1" s="516"/>
      <c r="V1" s="516"/>
      <c r="W1" s="516"/>
      <c r="X1" s="516"/>
      <c r="Y1" s="516"/>
      <c r="Z1" s="516"/>
      <c r="AA1" s="516"/>
      <c r="AB1" s="516"/>
      <c r="AD1" s="18" t="s">
        <v>135</v>
      </c>
      <c r="AE1" s="18">
        <f>AA35</f>
        <v>0</v>
      </c>
      <c r="AG1" s="30">
        <v>12</v>
      </c>
      <c r="AH1" s="31">
        <v>14</v>
      </c>
    </row>
    <row r="2" spans="1:34" s="21" customFormat="1" x14ac:dyDescent="0.25">
      <c r="A2" s="505" t="s">
        <v>1</v>
      </c>
      <c r="B2" s="506" t="s">
        <v>0</v>
      </c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  <c r="R2" s="507"/>
      <c r="S2" s="507"/>
      <c r="T2" s="507"/>
      <c r="U2" s="507"/>
      <c r="V2" s="507"/>
      <c r="W2" s="507"/>
      <c r="X2" s="507"/>
      <c r="Y2" s="507"/>
      <c r="Z2" s="507"/>
      <c r="AA2" s="507"/>
      <c r="AB2" s="507"/>
      <c r="AD2" s="18" t="s">
        <v>137</v>
      </c>
      <c r="AE2" s="21">
        <f>AB35</f>
        <v>0</v>
      </c>
      <c r="AG2" s="32">
        <v>24</v>
      </c>
      <c r="AH2" s="33">
        <v>40</v>
      </c>
    </row>
    <row r="3" spans="1:34" s="21" customFormat="1" ht="38.450000000000003" customHeight="1" x14ac:dyDescent="0.25">
      <c r="A3" s="505"/>
      <c r="B3" s="506"/>
      <c r="C3" s="508" t="s">
        <v>37</v>
      </c>
      <c r="D3" s="509"/>
      <c r="E3" s="510" t="s">
        <v>50</v>
      </c>
      <c r="F3" s="510"/>
      <c r="G3" s="511" t="s">
        <v>52</v>
      </c>
      <c r="H3" s="511"/>
      <c r="I3" s="512" t="s">
        <v>56</v>
      </c>
      <c r="J3" s="512"/>
      <c r="K3" s="510" t="s">
        <v>58</v>
      </c>
      <c r="L3" s="510"/>
      <c r="M3" s="511" t="s">
        <v>60</v>
      </c>
      <c r="N3" s="511"/>
      <c r="O3" s="513" t="s">
        <v>42</v>
      </c>
      <c r="P3" s="514"/>
      <c r="Q3" s="515" t="s">
        <v>45</v>
      </c>
      <c r="R3" s="515"/>
      <c r="S3" s="511" t="s">
        <v>48</v>
      </c>
      <c r="T3" s="511"/>
      <c r="U3" s="512" t="s">
        <v>55</v>
      </c>
      <c r="V3" s="512"/>
      <c r="W3" s="511" t="s">
        <v>39</v>
      </c>
      <c r="X3" s="511"/>
      <c r="Y3" s="511" t="s">
        <v>11</v>
      </c>
      <c r="Z3" s="511"/>
      <c r="AA3" s="517" t="s">
        <v>138</v>
      </c>
      <c r="AB3" s="517"/>
    </row>
    <row r="4" spans="1:34" s="27" customFormat="1" x14ac:dyDescent="0.25">
      <c r="A4" s="505"/>
      <c r="B4" s="506"/>
      <c r="C4" s="34" t="s">
        <v>3</v>
      </c>
      <c r="D4" s="34" t="s">
        <v>4</v>
      </c>
      <c r="E4" s="23" t="s">
        <v>3</v>
      </c>
      <c r="F4" s="23" t="s">
        <v>4</v>
      </c>
      <c r="G4" s="35" t="s">
        <v>3</v>
      </c>
      <c r="H4" s="35" t="s">
        <v>4</v>
      </c>
      <c r="I4" s="19" t="s">
        <v>3</v>
      </c>
      <c r="J4" s="19" t="s">
        <v>4</v>
      </c>
      <c r="K4" s="23" t="s">
        <v>3</v>
      </c>
      <c r="L4" s="23" t="s">
        <v>4</v>
      </c>
      <c r="M4" s="35" t="s">
        <v>3</v>
      </c>
      <c r="N4" s="35" t="s">
        <v>4</v>
      </c>
      <c r="O4" s="35" t="s">
        <v>3</v>
      </c>
      <c r="P4" s="35" t="s">
        <v>4</v>
      </c>
      <c r="Q4" s="36" t="s">
        <v>3</v>
      </c>
      <c r="R4" s="36" t="s">
        <v>4</v>
      </c>
      <c r="S4" s="35" t="s">
        <v>3</v>
      </c>
      <c r="T4" s="35" t="s">
        <v>4</v>
      </c>
      <c r="U4" s="19" t="s">
        <v>3</v>
      </c>
      <c r="V4" s="19" t="s">
        <v>4</v>
      </c>
      <c r="W4" s="35" t="s">
        <v>3</v>
      </c>
      <c r="X4" s="35" t="s">
        <v>4</v>
      </c>
      <c r="Y4" s="35" t="s">
        <v>3</v>
      </c>
      <c r="Z4" s="35" t="s">
        <v>4</v>
      </c>
      <c r="AA4" s="22" t="s">
        <v>3</v>
      </c>
      <c r="AB4" s="22" t="s">
        <v>4</v>
      </c>
      <c r="AG4" s="37"/>
    </row>
    <row r="5" spans="1:34" ht="25.35" customHeight="1" x14ac:dyDescent="0.25">
      <c r="A5" s="38">
        <v>1</v>
      </c>
      <c r="B5" s="39">
        <v>45597</v>
      </c>
      <c r="C5" s="20"/>
      <c r="D5" s="20"/>
      <c r="E5" s="20"/>
      <c r="F5" s="20">
        <f>E5*14</f>
        <v>0</v>
      </c>
      <c r="G5" s="20"/>
      <c r="H5" s="20"/>
      <c r="I5" s="20"/>
      <c r="J5" s="20"/>
      <c r="K5" s="20"/>
      <c r="L5" s="20">
        <f>K5*24</f>
        <v>0</v>
      </c>
      <c r="M5" s="20"/>
      <c r="N5" s="20">
        <f>M5*14</f>
        <v>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>
        <f>C5+E5+G5+I5+K5+M5+O5+Q5+S5+U5+W5+Y5</f>
        <v>0</v>
      </c>
      <c r="AB5" s="20">
        <f>D5+F5+H5+J5+L5+N5+P5+R5+T5+V5+X5+Z5</f>
        <v>0</v>
      </c>
    </row>
    <row r="6" spans="1:34" ht="25.35" customHeight="1" x14ac:dyDescent="0.25">
      <c r="A6" s="38">
        <v>2</v>
      </c>
      <c r="B6" s="39">
        <v>45598</v>
      </c>
      <c r="C6" s="20"/>
      <c r="D6" s="20"/>
      <c r="E6" s="20"/>
      <c r="F6" s="20">
        <f t="shared" ref="F6:F34" si="0">E6*14</f>
        <v>0</v>
      </c>
      <c r="G6" s="20"/>
      <c r="H6" s="20"/>
      <c r="I6" s="20"/>
      <c r="J6" s="20"/>
      <c r="K6" s="20"/>
      <c r="L6" s="20">
        <f t="shared" ref="L6:L27" si="1">K6*24</f>
        <v>0</v>
      </c>
      <c r="M6" s="20"/>
      <c r="N6" s="20">
        <f t="shared" ref="N6:N34" si="2">M6*14</f>
        <v>0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>
        <f t="shared" ref="AA6:AB34" si="3">C6+E6+G6+I6+K6+M6+O6+Q6+S6+U6+W6+Y6</f>
        <v>0</v>
      </c>
      <c r="AB6" s="20">
        <f t="shared" si="3"/>
        <v>0</v>
      </c>
    </row>
    <row r="7" spans="1:34" ht="25.35" customHeight="1" x14ac:dyDescent="0.25">
      <c r="A7" s="38">
        <v>3</v>
      </c>
      <c r="B7" s="39">
        <v>45599</v>
      </c>
      <c r="C7" s="20"/>
      <c r="D7" s="20"/>
      <c r="E7" s="20"/>
      <c r="F7" s="20">
        <f t="shared" si="0"/>
        <v>0</v>
      </c>
      <c r="G7" s="20"/>
      <c r="H7" s="20"/>
      <c r="I7" s="20"/>
      <c r="J7" s="20"/>
      <c r="K7" s="20"/>
      <c r="L7" s="20">
        <f t="shared" si="1"/>
        <v>0</v>
      </c>
      <c r="M7" s="20"/>
      <c r="N7" s="20">
        <f t="shared" si="2"/>
        <v>0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>
        <f t="shared" si="3"/>
        <v>0</v>
      </c>
      <c r="AB7" s="20">
        <f t="shared" si="3"/>
        <v>0</v>
      </c>
    </row>
    <row r="8" spans="1:34" ht="25.35" customHeight="1" x14ac:dyDescent="0.25">
      <c r="A8" s="38">
        <v>4</v>
      </c>
      <c r="B8" s="39">
        <v>45600</v>
      </c>
      <c r="C8" s="20"/>
      <c r="D8" s="20"/>
      <c r="E8" s="20"/>
      <c r="F8" s="20">
        <f t="shared" si="0"/>
        <v>0</v>
      </c>
      <c r="G8" s="20"/>
      <c r="H8" s="20"/>
      <c r="I8" s="20"/>
      <c r="J8" s="20"/>
      <c r="K8" s="20"/>
      <c r="L8" s="20">
        <f t="shared" si="1"/>
        <v>0</v>
      </c>
      <c r="M8" s="20"/>
      <c r="N8" s="20">
        <f t="shared" si="2"/>
        <v>0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f t="shared" si="3"/>
        <v>0</v>
      </c>
      <c r="AB8" s="20">
        <f t="shared" si="3"/>
        <v>0</v>
      </c>
    </row>
    <row r="9" spans="1:34" ht="25.35" customHeight="1" x14ac:dyDescent="0.25">
      <c r="A9" s="38">
        <v>5</v>
      </c>
      <c r="B9" s="39">
        <v>45601</v>
      </c>
      <c r="C9" s="20"/>
      <c r="D9" s="20"/>
      <c r="E9" s="20"/>
      <c r="F9" s="20">
        <f t="shared" si="0"/>
        <v>0</v>
      </c>
      <c r="G9" s="20"/>
      <c r="H9" s="20"/>
      <c r="I9" s="20"/>
      <c r="J9" s="20"/>
      <c r="K9" s="20"/>
      <c r="L9" s="20">
        <f t="shared" si="1"/>
        <v>0</v>
      </c>
      <c r="M9" s="20"/>
      <c r="N9" s="20">
        <f t="shared" si="2"/>
        <v>0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>
        <f t="shared" si="3"/>
        <v>0</v>
      </c>
      <c r="AB9" s="20">
        <f t="shared" si="3"/>
        <v>0</v>
      </c>
    </row>
    <row r="10" spans="1:34" ht="25.35" customHeight="1" x14ac:dyDescent="0.5">
      <c r="A10" s="38">
        <v>6</v>
      </c>
      <c r="B10" s="39">
        <v>45602</v>
      </c>
      <c r="C10" s="20"/>
      <c r="D10" s="20"/>
      <c r="E10" s="20"/>
      <c r="F10" s="20">
        <f t="shared" si="0"/>
        <v>0</v>
      </c>
      <c r="G10" s="20"/>
      <c r="H10" s="20"/>
      <c r="I10" s="20"/>
      <c r="J10" s="20"/>
      <c r="K10" s="17"/>
      <c r="L10" s="20">
        <f t="shared" si="1"/>
        <v>0</v>
      </c>
      <c r="M10" s="20"/>
      <c r="N10" s="20">
        <f t="shared" si="2"/>
        <v>0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>
        <f t="shared" si="3"/>
        <v>0</v>
      </c>
      <c r="AB10" s="20">
        <f t="shared" si="3"/>
        <v>0</v>
      </c>
    </row>
    <row r="11" spans="1:34" ht="25.35" customHeight="1" x14ac:dyDescent="0.25">
      <c r="A11" s="38">
        <v>7</v>
      </c>
      <c r="B11" s="39">
        <v>45603</v>
      </c>
      <c r="C11" s="20"/>
      <c r="D11" s="20"/>
      <c r="E11" s="20"/>
      <c r="F11" s="20">
        <f t="shared" si="0"/>
        <v>0</v>
      </c>
      <c r="G11" s="20"/>
      <c r="H11" s="20"/>
      <c r="I11" s="20"/>
      <c r="J11" s="20"/>
      <c r="K11" s="20"/>
      <c r="L11" s="20">
        <f t="shared" si="1"/>
        <v>0</v>
      </c>
      <c r="M11" s="20"/>
      <c r="N11" s="20">
        <f t="shared" si="2"/>
        <v>0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>
        <f t="shared" si="3"/>
        <v>0</v>
      </c>
      <c r="AB11" s="20">
        <f t="shared" si="3"/>
        <v>0</v>
      </c>
    </row>
    <row r="12" spans="1:34" ht="25.35" customHeight="1" x14ac:dyDescent="0.25">
      <c r="A12" s="38">
        <v>8</v>
      </c>
      <c r="B12" s="39">
        <v>45604</v>
      </c>
      <c r="C12" s="20"/>
      <c r="D12" s="20"/>
      <c r="E12" s="20"/>
      <c r="F12" s="20">
        <f t="shared" si="0"/>
        <v>0</v>
      </c>
      <c r="G12" s="20"/>
      <c r="H12" s="20"/>
      <c r="I12" s="20"/>
      <c r="J12" s="20"/>
      <c r="K12" s="20"/>
      <c r="L12" s="20">
        <f t="shared" si="1"/>
        <v>0</v>
      </c>
      <c r="M12" s="20"/>
      <c r="N12" s="20">
        <f t="shared" si="2"/>
        <v>0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>
        <f t="shared" si="3"/>
        <v>0</v>
      </c>
      <c r="AB12" s="20">
        <f t="shared" si="3"/>
        <v>0</v>
      </c>
    </row>
    <row r="13" spans="1:34" ht="25.35" customHeight="1" x14ac:dyDescent="0.25">
      <c r="A13" s="38">
        <v>9</v>
      </c>
      <c r="B13" s="39">
        <v>45605</v>
      </c>
      <c r="C13" s="20"/>
      <c r="D13" s="20"/>
      <c r="E13" s="20"/>
      <c r="F13" s="20">
        <f t="shared" si="0"/>
        <v>0</v>
      </c>
      <c r="G13" s="20"/>
      <c r="H13" s="20"/>
      <c r="I13" s="20"/>
      <c r="J13" s="20"/>
      <c r="K13" s="20"/>
      <c r="L13" s="20">
        <f t="shared" si="1"/>
        <v>0</v>
      </c>
      <c r="M13" s="20"/>
      <c r="N13" s="20">
        <f t="shared" si="2"/>
        <v>0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>
        <f t="shared" si="3"/>
        <v>0</v>
      </c>
      <c r="AB13" s="20">
        <f t="shared" si="3"/>
        <v>0</v>
      </c>
    </row>
    <row r="14" spans="1:34" ht="25.35" customHeight="1" x14ac:dyDescent="0.25">
      <c r="A14" s="38">
        <v>10</v>
      </c>
      <c r="B14" s="39">
        <v>45606</v>
      </c>
      <c r="C14" s="20"/>
      <c r="D14" s="20"/>
      <c r="E14" s="20"/>
      <c r="F14" s="20">
        <f t="shared" si="0"/>
        <v>0</v>
      </c>
      <c r="G14" s="20"/>
      <c r="H14" s="20"/>
      <c r="I14" s="20"/>
      <c r="J14" s="20"/>
      <c r="K14" s="20"/>
      <c r="L14" s="20">
        <f t="shared" si="1"/>
        <v>0</v>
      </c>
      <c r="M14" s="20"/>
      <c r="N14" s="20">
        <f t="shared" si="2"/>
        <v>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>
        <f>C14+E14+G14+I14+K14+M14+O14+Q14+S14+U14+W14+Y14</f>
        <v>0</v>
      </c>
      <c r="AB14" s="20">
        <f>D14+F14+H14+J14+L14+N14+P14+R14+T14+V14+X14+Z14</f>
        <v>0</v>
      </c>
    </row>
    <row r="15" spans="1:34" ht="25.35" customHeight="1" x14ac:dyDescent="0.25">
      <c r="A15" s="38">
        <v>11</v>
      </c>
      <c r="B15" s="39">
        <v>45607</v>
      </c>
      <c r="C15" s="20"/>
      <c r="D15" s="20"/>
      <c r="E15" s="20"/>
      <c r="F15" s="20">
        <f t="shared" si="0"/>
        <v>0</v>
      </c>
      <c r="G15" s="20"/>
      <c r="H15" s="20"/>
      <c r="I15" s="20"/>
      <c r="J15" s="20"/>
      <c r="K15" s="20"/>
      <c r="L15" s="20">
        <f t="shared" si="1"/>
        <v>0</v>
      </c>
      <c r="M15" s="20"/>
      <c r="N15" s="20">
        <f t="shared" si="2"/>
        <v>0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>
        <f t="shared" si="3"/>
        <v>0</v>
      </c>
      <c r="AB15" s="20">
        <f t="shared" si="3"/>
        <v>0</v>
      </c>
    </row>
    <row r="16" spans="1:34" ht="25.35" customHeight="1" x14ac:dyDescent="0.25">
      <c r="A16" s="38">
        <v>12</v>
      </c>
      <c r="B16" s="39">
        <v>45608</v>
      </c>
      <c r="C16" s="20"/>
      <c r="D16" s="20"/>
      <c r="E16" s="20"/>
      <c r="F16" s="20">
        <f t="shared" si="0"/>
        <v>0</v>
      </c>
      <c r="G16" s="20"/>
      <c r="H16" s="20"/>
      <c r="I16" s="20"/>
      <c r="J16" s="20"/>
      <c r="K16" s="20"/>
      <c r="L16" s="20">
        <f t="shared" si="1"/>
        <v>0</v>
      </c>
      <c r="M16" s="20"/>
      <c r="N16" s="20">
        <f t="shared" si="2"/>
        <v>0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>
        <f t="shared" si="3"/>
        <v>0</v>
      </c>
      <c r="AB16" s="20">
        <f t="shared" si="3"/>
        <v>0</v>
      </c>
    </row>
    <row r="17" spans="1:28" ht="25.35" customHeight="1" x14ac:dyDescent="0.25">
      <c r="A17" s="38">
        <v>13</v>
      </c>
      <c r="B17" s="39">
        <v>45609</v>
      </c>
      <c r="C17" s="20"/>
      <c r="D17" s="20"/>
      <c r="E17" s="20"/>
      <c r="F17" s="20">
        <f t="shared" si="0"/>
        <v>0</v>
      </c>
      <c r="G17" s="20"/>
      <c r="H17" s="20"/>
      <c r="I17" s="20"/>
      <c r="J17" s="20"/>
      <c r="K17" s="20"/>
      <c r="L17" s="20">
        <f t="shared" si="1"/>
        <v>0</v>
      </c>
      <c r="M17" s="20"/>
      <c r="N17" s="20">
        <f t="shared" si="2"/>
        <v>0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>
        <f t="shared" si="3"/>
        <v>0</v>
      </c>
      <c r="AB17" s="20">
        <f t="shared" si="3"/>
        <v>0</v>
      </c>
    </row>
    <row r="18" spans="1:28" ht="25.35" customHeight="1" x14ac:dyDescent="0.25">
      <c r="A18" s="38">
        <v>14</v>
      </c>
      <c r="B18" s="39">
        <v>45610</v>
      </c>
      <c r="C18" s="20"/>
      <c r="D18" s="20"/>
      <c r="E18" s="20"/>
      <c r="F18" s="20">
        <f t="shared" si="0"/>
        <v>0</v>
      </c>
      <c r="G18" s="20"/>
      <c r="H18" s="20"/>
      <c r="I18" s="20"/>
      <c r="J18" s="20"/>
      <c r="K18" s="20"/>
      <c r="L18" s="20">
        <f t="shared" si="1"/>
        <v>0</v>
      </c>
      <c r="M18" s="20"/>
      <c r="N18" s="20">
        <f t="shared" si="2"/>
        <v>0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>
        <f t="shared" si="3"/>
        <v>0</v>
      </c>
      <c r="AB18" s="20">
        <f t="shared" si="3"/>
        <v>0</v>
      </c>
    </row>
    <row r="19" spans="1:28" ht="25.35" customHeight="1" x14ac:dyDescent="0.25">
      <c r="A19" s="38">
        <v>15</v>
      </c>
      <c r="B19" s="39">
        <v>45611</v>
      </c>
      <c r="C19" s="40"/>
      <c r="D19" s="40"/>
      <c r="E19" s="40"/>
      <c r="F19" s="20">
        <f t="shared" si="0"/>
        <v>0</v>
      </c>
      <c r="G19" s="40"/>
      <c r="H19" s="40"/>
      <c r="I19" s="40"/>
      <c r="J19" s="40"/>
      <c r="K19" s="40"/>
      <c r="L19" s="20">
        <f t="shared" si="1"/>
        <v>0</v>
      </c>
      <c r="M19" s="40"/>
      <c r="N19" s="20">
        <f t="shared" si="2"/>
        <v>0</v>
      </c>
      <c r="O19" s="40"/>
      <c r="P19" s="40"/>
      <c r="Q19" s="40"/>
      <c r="R19" s="40"/>
      <c r="S19" s="40"/>
      <c r="T19" s="40"/>
      <c r="U19" s="40"/>
      <c r="V19" s="20"/>
      <c r="W19" s="20"/>
      <c r="X19" s="20"/>
      <c r="Y19" s="20"/>
      <c r="Z19" s="20"/>
      <c r="AA19" s="20">
        <f t="shared" si="3"/>
        <v>0</v>
      </c>
      <c r="AB19" s="20">
        <f t="shared" si="3"/>
        <v>0</v>
      </c>
    </row>
    <row r="20" spans="1:28" ht="25.35" customHeight="1" x14ac:dyDescent="0.25">
      <c r="A20" s="38">
        <v>16</v>
      </c>
      <c r="B20" s="39">
        <v>45612</v>
      </c>
      <c r="C20" s="40"/>
      <c r="D20" s="40"/>
      <c r="E20" s="40"/>
      <c r="F20" s="20">
        <f t="shared" si="0"/>
        <v>0</v>
      </c>
      <c r="G20" s="40"/>
      <c r="H20" s="40"/>
      <c r="I20" s="40"/>
      <c r="J20" s="40"/>
      <c r="K20" s="40"/>
      <c r="L20" s="20">
        <f t="shared" si="1"/>
        <v>0</v>
      </c>
      <c r="M20" s="40"/>
      <c r="N20" s="20">
        <f t="shared" si="2"/>
        <v>0</v>
      </c>
      <c r="O20" s="40"/>
      <c r="P20" s="40"/>
      <c r="Q20" s="40"/>
      <c r="R20" s="40"/>
      <c r="S20" s="40"/>
      <c r="T20" s="40"/>
      <c r="U20" s="40"/>
      <c r="V20" s="20"/>
      <c r="W20" s="20"/>
      <c r="X20" s="20"/>
      <c r="Y20" s="20"/>
      <c r="Z20" s="20"/>
      <c r="AA20" s="20">
        <f t="shared" si="3"/>
        <v>0</v>
      </c>
      <c r="AB20" s="20">
        <f t="shared" si="3"/>
        <v>0</v>
      </c>
    </row>
    <row r="21" spans="1:28" ht="25.35" customHeight="1" x14ac:dyDescent="0.25">
      <c r="A21" s="38">
        <v>17</v>
      </c>
      <c r="B21" s="39">
        <v>45613</v>
      </c>
      <c r="C21" s="40"/>
      <c r="D21" s="40"/>
      <c r="E21" s="40"/>
      <c r="F21" s="20">
        <f t="shared" si="0"/>
        <v>0</v>
      </c>
      <c r="G21" s="40"/>
      <c r="H21" s="40"/>
      <c r="I21" s="40"/>
      <c r="J21" s="40"/>
      <c r="K21" s="40"/>
      <c r="L21" s="20">
        <f t="shared" si="1"/>
        <v>0</v>
      </c>
      <c r="M21" s="40"/>
      <c r="N21" s="20">
        <f t="shared" si="2"/>
        <v>0</v>
      </c>
      <c r="O21" s="40"/>
      <c r="P21" s="40"/>
      <c r="Q21" s="40"/>
      <c r="R21" s="40"/>
      <c r="S21" s="40"/>
      <c r="T21" s="40"/>
      <c r="U21" s="40"/>
      <c r="V21" s="20"/>
      <c r="W21" s="20"/>
      <c r="X21" s="20"/>
      <c r="Y21" s="20"/>
      <c r="Z21" s="20"/>
      <c r="AA21" s="20">
        <f t="shared" si="3"/>
        <v>0</v>
      </c>
      <c r="AB21" s="20">
        <f t="shared" si="3"/>
        <v>0</v>
      </c>
    </row>
    <row r="22" spans="1:28" ht="25.35" customHeight="1" x14ac:dyDescent="0.25">
      <c r="A22" s="38">
        <v>18</v>
      </c>
      <c r="B22" s="39">
        <v>45614</v>
      </c>
      <c r="C22" s="40"/>
      <c r="D22" s="40"/>
      <c r="E22" s="40"/>
      <c r="F22" s="20">
        <f t="shared" si="0"/>
        <v>0</v>
      </c>
      <c r="G22" s="40"/>
      <c r="H22" s="40"/>
      <c r="I22" s="40"/>
      <c r="J22" s="40"/>
      <c r="K22" s="40"/>
      <c r="L22" s="20">
        <f t="shared" si="1"/>
        <v>0</v>
      </c>
      <c r="M22" s="40"/>
      <c r="N22" s="20">
        <f t="shared" si="2"/>
        <v>0</v>
      </c>
      <c r="O22" s="40"/>
      <c r="P22" s="40"/>
      <c r="Q22" s="40"/>
      <c r="R22" s="40"/>
      <c r="S22" s="40"/>
      <c r="T22" s="40"/>
      <c r="U22" s="40"/>
      <c r="V22" s="20"/>
      <c r="W22" s="20"/>
      <c r="X22" s="20"/>
      <c r="Y22" s="20"/>
      <c r="Z22" s="20"/>
      <c r="AA22" s="20">
        <f t="shared" si="3"/>
        <v>0</v>
      </c>
      <c r="AB22" s="20">
        <f t="shared" si="3"/>
        <v>0</v>
      </c>
    </row>
    <row r="23" spans="1:28" ht="25.35" customHeight="1" x14ac:dyDescent="0.25">
      <c r="A23" s="38">
        <v>19</v>
      </c>
      <c r="B23" s="39">
        <v>45615</v>
      </c>
      <c r="C23" s="40"/>
      <c r="D23" s="40"/>
      <c r="E23" s="40"/>
      <c r="F23" s="20"/>
      <c r="G23" s="40"/>
      <c r="H23" s="40"/>
      <c r="I23" s="40"/>
      <c r="J23" s="40"/>
      <c r="K23" s="40"/>
      <c r="L23" s="20"/>
      <c r="M23" s="40"/>
      <c r="N23" s="20"/>
      <c r="O23" s="40"/>
      <c r="P23" s="40"/>
      <c r="Q23" s="40"/>
      <c r="R23" s="40"/>
      <c r="S23" s="40"/>
      <c r="T23" s="40"/>
      <c r="U23" s="40"/>
      <c r="V23" s="20"/>
      <c r="W23" s="20"/>
      <c r="X23" s="20"/>
      <c r="Y23" s="20"/>
      <c r="Z23" s="20"/>
      <c r="AA23" s="20"/>
      <c r="AB23" s="20"/>
    </row>
    <row r="24" spans="1:28" ht="25.35" customHeight="1" x14ac:dyDescent="0.25">
      <c r="A24" s="38">
        <v>20</v>
      </c>
      <c r="B24" s="39">
        <v>45616</v>
      </c>
      <c r="C24" s="40"/>
      <c r="D24" s="40"/>
      <c r="E24" s="40"/>
      <c r="F24" s="20"/>
      <c r="G24" s="40"/>
      <c r="H24" s="40"/>
      <c r="I24" s="40"/>
      <c r="J24" s="40"/>
      <c r="K24" s="40"/>
      <c r="L24" s="20"/>
      <c r="M24" s="40"/>
      <c r="N24" s="20"/>
      <c r="O24" s="40"/>
      <c r="P24" s="40"/>
      <c r="Q24" s="40"/>
      <c r="R24" s="40"/>
      <c r="S24" s="40"/>
      <c r="T24" s="40"/>
      <c r="U24" s="40"/>
      <c r="V24" s="20"/>
      <c r="W24" s="20"/>
      <c r="X24" s="20"/>
      <c r="Y24" s="20"/>
      <c r="Z24" s="20"/>
      <c r="AA24" s="20"/>
      <c r="AB24" s="20"/>
    </row>
    <row r="25" spans="1:28" ht="25.35" customHeight="1" x14ac:dyDescent="0.25">
      <c r="A25" s="38">
        <v>21</v>
      </c>
      <c r="B25" s="39">
        <v>45617</v>
      </c>
      <c r="C25" s="40"/>
      <c r="D25" s="40"/>
      <c r="E25" s="40"/>
      <c r="F25" s="20"/>
      <c r="G25" s="40"/>
      <c r="H25" s="40"/>
      <c r="I25" s="40"/>
      <c r="J25" s="40"/>
      <c r="K25" s="40"/>
      <c r="L25" s="20"/>
      <c r="M25" s="40"/>
      <c r="N25" s="20"/>
      <c r="O25" s="40"/>
      <c r="P25" s="40"/>
      <c r="Q25" s="40"/>
      <c r="R25" s="40"/>
      <c r="S25" s="40"/>
      <c r="T25" s="40"/>
      <c r="U25" s="40"/>
      <c r="V25" s="20"/>
      <c r="W25" s="20"/>
      <c r="X25" s="20"/>
      <c r="Y25" s="20"/>
      <c r="Z25" s="20"/>
      <c r="AA25" s="20"/>
      <c r="AB25" s="20"/>
    </row>
    <row r="26" spans="1:28" ht="25.35" customHeight="1" x14ac:dyDescent="0.25">
      <c r="A26" s="38">
        <v>22</v>
      </c>
      <c r="B26" s="39">
        <v>45618</v>
      </c>
      <c r="C26" s="40"/>
      <c r="D26" s="40"/>
      <c r="E26" s="40"/>
      <c r="F26" s="20">
        <f t="shared" si="0"/>
        <v>0</v>
      </c>
      <c r="G26" s="40"/>
      <c r="H26" s="40"/>
      <c r="I26" s="40"/>
      <c r="J26" s="40"/>
      <c r="K26" s="40"/>
      <c r="L26" s="20">
        <f t="shared" si="1"/>
        <v>0</v>
      </c>
      <c r="M26" s="40"/>
      <c r="N26" s="20">
        <f t="shared" si="2"/>
        <v>0</v>
      </c>
      <c r="O26" s="40"/>
      <c r="P26" s="40"/>
      <c r="Q26" s="40"/>
      <c r="R26" s="40"/>
      <c r="S26" s="40"/>
      <c r="T26" s="40"/>
      <c r="U26" s="40"/>
      <c r="V26" s="20"/>
      <c r="W26" s="20"/>
      <c r="X26" s="20"/>
      <c r="Y26" s="20"/>
      <c r="Z26" s="20"/>
      <c r="AA26" s="20">
        <f t="shared" si="3"/>
        <v>0</v>
      </c>
      <c r="AB26" s="20">
        <f t="shared" si="3"/>
        <v>0</v>
      </c>
    </row>
    <row r="27" spans="1:28" ht="25.35" customHeight="1" x14ac:dyDescent="0.25">
      <c r="A27" s="38">
        <v>23</v>
      </c>
      <c r="B27" s="39">
        <v>45619</v>
      </c>
      <c r="C27" s="40"/>
      <c r="D27" s="40"/>
      <c r="E27" s="40"/>
      <c r="F27" s="20">
        <f t="shared" si="0"/>
        <v>0</v>
      </c>
      <c r="G27" s="40"/>
      <c r="H27" s="40"/>
      <c r="I27" s="40"/>
      <c r="J27" s="40"/>
      <c r="K27" s="40"/>
      <c r="L27" s="20">
        <f t="shared" si="1"/>
        <v>0</v>
      </c>
      <c r="M27" s="40"/>
      <c r="N27" s="20">
        <f t="shared" si="2"/>
        <v>0</v>
      </c>
      <c r="O27" s="40"/>
      <c r="P27" s="40"/>
      <c r="Q27" s="40"/>
      <c r="R27" s="40"/>
      <c r="S27" s="40"/>
      <c r="T27" s="40"/>
      <c r="U27" s="40"/>
      <c r="V27" s="20"/>
      <c r="W27" s="20"/>
      <c r="X27" s="20"/>
      <c r="Y27" s="20"/>
      <c r="Z27" s="20"/>
      <c r="AA27" s="20">
        <f t="shared" si="3"/>
        <v>0</v>
      </c>
      <c r="AB27" s="20">
        <f t="shared" si="3"/>
        <v>0</v>
      </c>
    </row>
    <row r="28" spans="1:28" ht="25.35" customHeight="1" x14ac:dyDescent="0.25">
      <c r="A28" s="38">
        <v>24</v>
      </c>
      <c r="B28" s="39">
        <v>45620</v>
      </c>
      <c r="C28" s="40"/>
      <c r="D28" s="40"/>
      <c r="E28" s="40"/>
      <c r="F28" s="20">
        <f t="shared" si="0"/>
        <v>0</v>
      </c>
      <c r="G28" s="40"/>
      <c r="H28" s="40"/>
      <c r="I28" s="40"/>
      <c r="J28" s="40"/>
      <c r="K28" s="40"/>
      <c r="L28" s="20"/>
      <c r="M28" s="40"/>
      <c r="N28" s="20">
        <f t="shared" si="2"/>
        <v>0</v>
      </c>
      <c r="O28" s="40"/>
      <c r="P28" s="40"/>
      <c r="Q28" s="40"/>
      <c r="R28" s="40"/>
      <c r="S28" s="40"/>
      <c r="T28" s="40"/>
      <c r="U28" s="40"/>
      <c r="V28" s="20"/>
      <c r="W28" s="20"/>
      <c r="X28" s="20"/>
      <c r="Y28" s="20"/>
      <c r="Z28" s="20"/>
      <c r="AA28" s="20">
        <f t="shared" si="3"/>
        <v>0</v>
      </c>
      <c r="AB28" s="20">
        <f t="shared" si="3"/>
        <v>0</v>
      </c>
    </row>
    <row r="29" spans="1:28" ht="25.35" customHeight="1" x14ac:dyDescent="0.25">
      <c r="A29" s="38">
        <v>25</v>
      </c>
      <c r="B29" s="39">
        <v>45621</v>
      </c>
      <c r="C29" s="40"/>
      <c r="D29" s="40"/>
      <c r="E29" s="40"/>
      <c r="F29" s="20">
        <f t="shared" si="0"/>
        <v>0</v>
      </c>
      <c r="G29" s="40"/>
      <c r="H29" s="40"/>
      <c r="I29" s="40"/>
      <c r="J29" s="40"/>
      <c r="K29" s="40"/>
      <c r="L29" s="20"/>
      <c r="M29" s="40"/>
      <c r="N29" s="20">
        <f t="shared" si="2"/>
        <v>0</v>
      </c>
      <c r="O29" s="40"/>
      <c r="P29" s="40"/>
      <c r="Q29" s="40"/>
      <c r="R29" s="40"/>
      <c r="S29" s="40"/>
      <c r="T29" s="40"/>
      <c r="U29" s="40"/>
      <c r="V29" s="20"/>
      <c r="W29" s="20"/>
      <c r="X29" s="20"/>
      <c r="Y29" s="20"/>
      <c r="Z29" s="20"/>
      <c r="AA29" s="20">
        <f t="shared" si="3"/>
        <v>0</v>
      </c>
      <c r="AB29" s="20">
        <f t="shared" si="3"/>
        <v>0</v>
      </c>
    </row>
    <row r="30" spans="1:28" ht="25.35" customHeight="1" x14ac:dyDescent="0.25">
      <c r="A30" s="38">
        <v>26</v>
      </c>
      <c r="B30" s="39">
        <v>45622</v>
      </c>
      <c r="C30" s="40"/>
      <c r="D30" s="40"/>
      <c r="E30" s="40"/>
      <c r="F30" s="20">
        <f t="shared" si="0"/>
        <v>0</v>
      </c>
      <c r="G30" s="40"/>
      <c r="H30" s="40"/>
      <c r="I30" s="40"/>
      <c r="J30" s="40"/>
      <c r="K30" s="40"/>
      <c r="L30" s="20"/>
      <c r="M30" s="40"/>
      <c r="N30" s="20">
        <f t="shared" si="2"/>
        <v>0</v>
      </c>
      <c r="O30" s="40"/>
      <c r="P30" s="40"/>
      <c r="Q30" s="40"/>
      <c r="R30" s="40"/>
      <c r="S30" s="40"/>
      <c r="T30" s="40"/>
      <c r="U30" s="40"/>
      <c r="V30" s="20"/>
      <c r="W30" s="20"/>
      <c r="X30" s="20"/>
      <c r="Y30" s="20"/>
      <c r="Z30" s="20"/>
      <c r="AA30" s="20">
        <f t="shared" si="3"/>
        <v>0</v>
      </c>
      <c r="AB30" s="20">
        <f t="shared" si="3"/>
        <v>0</v>
      </c>
    </row>
    <row r="31" spans="1:28" ht="25.35" customHeight="1" x14ac:dyDescent="0.25">
      <c r="A31" s="38">
        <v>27</v>
      </c>
      <c r="B31" s="39">
        <v>45623</v>
      </c>
      <c r="C31" s="40"/>
      <c r="D31" s="40"/>
      <c r="E31" s="40"/>
      <c r="F31" s="20">
        <f t="shared" si="0"/>
        <v>0</v>
      </c>
      <c r="G31" s="40"/>
      <c r="H31" s="40"/>
      <c r="I31" s="40"/>
      <c r="J31" s="40"/>
      <c r="K31" s="40"/>
      <c r="L31" s="20"/>
      <c r="M31" s="40"/>
      <c r="N31" s="20">
        <f t="shared" si="2"/>
        <v>0</v>
      </c>
      <c r="O31" s="40"/>
      <c r="P31" s="40"/>
      <c r="Q31" s="40"/>
      <c r="R31" s="40"/>
      <c r="S31" s="40"/>
      <c r="T31" s="40"/>
      <c r="U31" s="40"/>
      <c r="V31" s="20"/>
      <c r="W31" s="20"/>
      <c r="X31" s="20"/>
      <c r="Y31" s="20"/>
      <c r="Z31" s="20"/>
      <c r="AA31" s="20">
        <f t="shared" si="3"/>
        <v>0</v>
      </c>
      <c r="AB31" s="20">
        <f t="shared" si="3"/>
        <v>0</v>
      </c>
    </row>
    <row r="32" spans="1:28" ht="25.35" customHeight="1" x14ac:dyDescent="0.25">
      <c r="A32" s="38">
        <v>28</v>
      </c>
      <c r="B32" s="39">
        <v>45624</v>
      </c>
      <c r="C32" s="40"/>
      <c r="D32" s="40"/>
      <c r="E32" s="40"/>
      <c r="F32" s="20">
        <f t="shared" si="0"/>
        <v>0</v>
      </c>
      <c r="G32" s="40"/>
      <c r="H32" s="40"/>
      <c r="I32" s="40"/>
      <c r="J32" s="40"/>
      <c r="K32" s="40"/>
      <c r="L32" s="20"/>
      <c r="M32" s="40"/>
      <c r="N32" s="20">
        <f t="shared" si="2"/>
        <v>0</v>
      </c>
      <c r="O32" s="40"/>
      <c r="P32" s="40"/>
      <c r="Q32" s="40"/>
      <c r="R32" s="40"/>
      <c r="S32" s="40"/>
      <c r="T32" s="40"/>
      <c r="U32" s="40"/>
      <c r="V32" s="20"/>
      <c r="W32" s="20"/>
      <c r="X32" s="20"/>
      <c r="Y32" s="20"/>
      <c r="Z32" s="20"/>
      <c r="AA32" s="20">
        <f t="shared" si="3"/>
        <v>0</v>
      </c>
      <c r="AB32" s="20">
        <f t="shared" si="3"/>
        <v>0</v>
      </c>
    </row>
    <row r="33" spans="1:35" ht="25.35" customHeight="1" x14ac:dyDescent="0.25">
      <c r="A33" s="38">
        <v>29</v>
      </c>
      <c r="B33" s="39">
        <v>45625</v>
      </c>
      <c r="C33" s="40"/>
      <c r="D33" s="40"/>
      <c r="E33" s="40"/>
      <c r="F33" s="20">
        <f t="shared" si="0"/>
        <v>0</v>
      </c>
      <c r="G33" s="40"/>
      <c r="H33" s="40"/>
      <c r="I33" s="40"/>
      <c r="J33" s="40"/>
      <c r="K33" s="40"/>
      <c r="L33" s="20"/>
      <c r="M33" s="40"/>
      <c r="N33" s="20">
        <f t="shared" si="2"/>
        <v>0</v>
      </c>
      <c r="O33" s="40"/>
      <c r="P33" s="40"/>
      <c r="Q33" s="40"/>
      <c r="R33" s="40"/>
      <c r="S33" s="40"/>
      <c r="T33" s="40"/>
      <c r="U33" s="40"/>
      <c r="V33" s="20"/>
      <c r="W33" s="20"/>
      <c r="X33" s="20"/>
      <c r="Y33" s="20"/>
      <c r="Z33" s="20"/>
      <c r="AA33" s="20">
        <f t="shared" si="3"/>
        <v>0</v>
      </c>
      <c r="AB33" s="20">
        <f t="shared" si="3"/>
        <v>0</v>
      </c>
    </row>
    <row r="34" spans="1:35" ht="25.35" customHeight="1" x14ac:dyDescent="0.25">
      <c r="A34" s="38">
        <v>30</v>
      </c>
      <c r="B34" s="39">
        <v>45626</v>
      </c>
      <c r="C34" s="40"/>
      <c r="D34" s="40"/>
      <c r="E34" s="40"/>
      <c r="F34" s="20">
        <f t="shared" si="0"/>
        <v>0</v>
      </c>
      <c r="G34" s="40"/>
      <c r="H34" s="40"/>
      <c r="I34" s="40"/>
      <c r="J34" s="40"/>
      <c r="K34" s="40"/>
      <c r="L34" s="20"/>
      <c r="M34" s="40"/>
      <c r="N34" s="20">
        <f t="shared" si="2"/>
        <v>0</v>
      </c>
      <c r="O34" s="40"/>
      <c r="P34" s="40"/>
      <c r="Q34" s="40"/>
      <c r="R34" s="40"/>
      <c r="S34" s="40"/>
      <c r="T34" s="40"/>
      <c r="U34" s="40"/>
      <c r="V34" s="20"/>
      <c r="W34" s="20"/>
      <c r="X34" s="20"/>
      <c r="Y34" s="20"/>
      <c r="Z34" s="20"/>
      <c r="AA34" s="20">
        <f t="shared" si="3"/>
        <v>0</v>
      </c>
      <c r="AB34" s="20">
        <f t="shared" si="3"/>
        <v>0</v>
      </c>
    </row>
    <row r="35" spans="1:35" ht="25.35" customHeight="1" thickBot="1" x14ac:dyDescent="0.3">
      <c r="AA35" s="42">
        <f>SUM(AA5:AA34)</f>
        <v>0</v>
      </c>
      <c r="AB35" s="42">
        <f>SUM(AB5:AB34)</f>
        <v>0</v>
      </c>
    </row>
    <row r="36" spans="1:35" ht="25.35" customHeight="1" x14ac:dyDescent="0.25">
      <c r="A36" s="28"/>
      <c r="B36" s="29"/>
      <c r="C36" s="516"/>
      <c r="D36" s="516"/>
      <c r="E36" s="516"/>
      <c r="F36" s="516"/>
      <c r="G36" s="516"/>
      <c r="H36" s="516"/>
      <c r="I36" s="516"/>
      <c r="J36" s="516"/>
      <c r="K36" s="516"/>
      <c r="L36" s="516"/>
      <c r="M36" s="516"/>
      <c r="N36" s="516"/>
      <c r="O36" s="516"/>
      <c r="P36" s="516"/>
      <c r="Q36" s="516"/>
      <c r="R36" s="516"/>
      <c r="S36" s="516"/>
      <c r="T36" s="516"/>
      <c r="U36" s="516"/>
      <c r="V36" s="516"/>
      <c r="W36" s="516"/>
      <c r="X36" s="516"/>
      <c r="Y36" s="516"/>
      <c r="Z36" s="516"/>
      <c r="AA36" s="516"/>
      <c r="AB36" s="516"/>
      <c r="AC36" s="4"/>
      <c r="AD36" s="4" t="s">
        <v>135</v>
      </c>
      <c r="AE36" s="4">
        <f>AA70</f>
        <v>0</v>
      </c>
      <c r="AF36" s="4"/>
      <c r="AG36" s="30">
        <v>12</v>
      </c>
      <c r="AH36" s="31">
        <v>14</v>
      </c>
      <c r="AI36" s="4"/>
    </row>
    <row r="37" spans="1:35" ht="25.35" customHeight="1" x14ac:dyDescent="0.25">
      <c r="A37" s="505" t="s">
        <v>1</v>
      </c>
      <c r="B37" s="506" t="s">
        <v>0</v>
      </c>
      <c r="C37" s="518" t="s">
        <v>143</v>
      </c>
      <c r="D37" s="519"/>
      <c r="E37" s="519"/>
      <c r="F37" s="519"/>
      <c r="G37" s="519"/>
      <c r="H37" s="519"/>
      <c r="I37" s="519"/>
      <c r="J37" s="519"/>
      <c r="K37" s="519"/>
      <c r="L37" s="519"/>
      <c r="M37" s="519"/>
      <c r="N37" s="519"/>
      <c r="O37" s="519"/>
      <c r="P37" s="519"/>
      <c r="Q37" s="519"/>
      <c r="R37" s="519"/>
      <c r="S37" s="519"/>
      <c r="T37" s="519"/>
      <c r="U37" s="519"/>
      <c r="V37" s="519"/>
      <c r="W37" s="519"/>
      <c r="X37" s="519"/>
      <c r="Y37" s="519"/>
      <c r="Z37" s="519"/>
      <c r="AA37" s="519"/>
      <c r="AB37" s="519"/>
      <c r="AC37" s="27"/>
      <c r="AD37" s="4" t="s">
        <v>137</v>
      </c>
      <c r="AE37" s="27">
        <f>AB70</f>
        <v>0</v>
      </c>
      <c r="AF37" s="27"/>
      <c r="AG37" s="32">
        <v>24</v>
      </c>
      <c r="AH37" s="33">
        <v>40</v>
      </c>
      <c r="AI37" s="27"/>
    </row>
    <row r="38" spans="1:35" ht="25.35" customHeight="1" x14ac:dyDescent="0.25">
      <c r="A38" s="505"/>
      <c r="B38" s="506"/>
      <c r="C38" s="508" t="s">
        <v>37</v>
      </c>
      <c r="D38" s="509"/>
      <c r="E38" s="510" t="s">
        <v>50</v>
      </c>
      <c r="F38" s="510"/>
      <c r="G38" s="511" t="s">
        <v>52</v>
      </c>
      <c r="H38" s="511"/>
      <c r="I38" s="512" t="s">
        <v>56</v>
      </c>
      <c r="J38" s="512"/>
      <c r="K38" s="510" t="s">
        <v>58</v>
      </c>
      <c r="L38" s="510"/>
      <c r="M38" s="511" t="s">
        <v>60</v>
      </c>
      <c r="N38" s="511"/>
      <c r="O38" s="513" t="s">
        <v>42</v>
      </c>
      <c r="P38" s="514"/>
      <c r="Q38" s="515" t="s">
        <v>45</v>
      </c>
      <c r="R38" s="515"/>
      <c r="S38" s="511" t="s">
        <v>48</v>
      </c>
      <c r="T38" s="511"/>
      <c r="U38" s="512" t="s">
        <v>55</v>
      </c>
      <c r="V38" s="512"/>
      <c r="W38" s="511" t="s">
        <v>39</v>
      </c>
      <c r="X38" s="511"/>
      <c r="Y38" s="511" t="s">
        <v>11</v>
      </c>
      <c r="Z38" s="511"/>
      <c r="AA38" s="517" t="s">
        <v>138</v>
      </c>
      <c r="AB38" s="517"/>
      <c r="AC38" s="27"/>
      <c r="AD38" s="27"/>
      <c r="AE38" s="27"/>
      <c r="AF38" s="27"/>
      <c r="AG38" s="27"/>
      <c r="AH38" s="27"/>
      <c r="AI38" s="27"/>
    </row>
    <row r="39" spans="1:35" ht="25.35" customHeight="1" x14ac:dyDescent="0.25">
      <c r="A39" s="505"/>
      <c r="B39" s="506"/>
      <c r="C39" s="34" t="s">
        <v>3</v>
      </c>
      <c r="D39" s="34" t="s">
        <v>4</v>
      </c>
      <c r="E39" s="23" t="s">
        <v>3</v>
      </c>
      <c r="F39" s="23" t="s">
        <v>4</v>
      </c>
      <c r="G39" s="35" t="s">
        <v>3</v>
      </c>
      <c r="H39" s="35" t="s">
        <v>4</v>
      </c>
      <c r="I39" s="19" t="s">
        <v>3</v>
      </c>
      <c r="J39" s="19" t="s">
        <v>4</v>
      </c>
      <c r="K39" s="23" t="s">
        <v>3</v>
      </c>
      <c r="L39" s="23" t="s">
        <v>4</v>
      </c>
      <c r="M39" s="35" t="s">
        <v>3</v>
      </c>
      <c r="N39" s="35" t="s">
        <v>4</v>
      </c>
      <c r="O39" s="35" t="s">
        <v>3</v>
      </c>
      <c r="P39" s="35" t="s">
        <v>4</v>
      </c>
      <c r="Q39" s="36" t="s">
        <v>3</v>
      </c>
      <c r="R39" s="36" t="s">
        <v>4</v>
      </c>
      <c r="S39" s="35" t="s">
        <v>3</v>
      </c>
      <c r="T39" s="35" t="s">
        <v>4</v>
      </c>
      <c r="U39" s="19" t="s">
        <v>3</v>
      </c>
      <c r="V39" s="19" t="s">
        <v>4</v>
      </c>
      <c r="W39" s="35" t="s">
        <v>3</v>
      </c>
      <c r="X39" s="35" t="s">
        <v>4</v>
      </c>
      <c r="Y39" s="35" t="s">
        <v>3</v>
      </c>
      <c r="Z39" s="35" t="s">
        <v>4</v>
      </c>
      <c r="AA39" s="22" t="s">
        <v>3</v>
      </c>
      <c r="AB39" s="22" t="s">
        <v>4</v>
      </c>
      <c r="AC39" s="27"/>
      <c r="AD39" s="27"/>
      <c r="AE39" s="27"/>
      <c r="AF39" s="27"/>
      <c r="AG39" s="37"/>
      <c r="AH39" s="27"/>
      <c r="AI39" s="27"/>
    </row>
    <row r="40" spans="1:35" ht="25.35" customHeight="1" x14ac:dyDescent="0.25">
      <c r="A40" s="38">
        <v>1</v>
      </c>
      <c r="B40" s="39">
        <v>45627</v>
      </c>
      <c r="C40" s="26"/>
      <c r="D40" s="26">
        <f>C40*14</f>
        <v>0</v>
      </c>
      <c r="E40" s="26"/>
      <c r="F40" s="26">
        <f>E40*14</f>
        <v>0</v>
      </c>
      <c r="G40" s="26"/>
      <c r="H40" s="26"/>
      <c r="I40" s="26"/>
      <c r="J40" s="26"/>
      <c r="K40" s="26"/>
      <c r="L40" s="26">
        <f>K40*24</f>
        <v>0</v>
      </c>
      <c r="M40" s="26"/>
      <c r="N40" s="26">
        <f>M40*14</f>
        <v>0</v>
      </c>
      <c r="O40" s="26"/>
      <c r="P40" s="26"/>
      <c r="Q40" s="26"/>
      <c r="R40" s="26"/>
      <c r="S40" s="26"/>
      <c r="T40" s="26"/>
      <c r="U40" s="26"/>
      <c r="V40" s="26"/>
      <c r="W40" s="26"/>
      <c r="X40" s="26">
        <f>W40*12</f>
        <v>0</v>
      </c>
      <c r="Y40" s="26"/>
      <c r="Z40" s="26"/>
      <c r="AA40" s="26">
        <f>C40+E40+G40+I40+K40+M40+O40+Q40+S40+U40+W40+Y40</f>
        <v>0</v>
      </c>
      <c r="AB40" s="26">
        <f>D40+F40+H40+J40+L40+N40+P40+R40+T40+V40+X40+Z40</f>
        <v>0</v>
      </c>
      <c r="AC40" s="4"/>
      <c r="AD40" s="4"/>
      <c r="AE40" s="4"/>
      <c r="AF40" s="4"/>
      <c r="AG40" s="4"/>
      <c r="AH40" s="4"/>
      <c r="AI40" s="4"/>
    </row>
    <row r="41" spans="1:35" s="41" customFormat="1" ht="25.35" customHeight="1" x14ac:dyDescent="0.25">
      <c r="A41" s="38">
        <v>2</v>
      </c>
      <c r="B41" s="39">
        <v>45628</v>
      </c>
      <c r="C41" s="26"/>
      <c r="D41" s="26">
        <f t="shared" ref="D41:D69" si="4">C41*14</f>
        <v>0</v>
      </c>
      <c r="E41" s="26"/>
      <c r="F41" s="26">
        <f t="shared" ref="F41:F69" si="5">E41*14</f>
        <v>0</v>
      </c>
      <c r="G41" s="26"/>
      <c r="H41" s="26"/>
      <c r="I41" s="26"/>
      <c r="J41" s="26"/>
      <c r="K41" s="26"/>
      <c r="L41" s="26">
        <f t="shared" ref="L41:L69" si="6">K41*24</f>
        <v>0</v>
      </c>
      <c r="M41" s="26"/>
      <c r="N41" s="26">
        <f t="shared" ref="N41:N69" si="7">M41*14</f>
        <v>0</v>
      </c>
      <c r="O41" s="26"/>
      <c r="P41" s="26"/>
      <c r="Q41" s="26"/>
      <c r="R41" s="26"/>
      <c r="S41" s="26"/>
      <c r="T41" s="26"/>
      <c r="U41" s="26"/>
      <c r="V41" s="26"/>
      <c r="W41" s="26"/>
      <c r="X41" s="26">
        <f t="shared" ref="X41:X69" si="8">W41*12</f>
        <v>0</v>
      </c>
      <c r="Y41" s="26"/>
      <c r="Z41" s="26"/>
      <c r="AA41" s="26">
        <f t="shared" ref="AA41:AB69" si="9">C41+E41+G41+I41+K41+M41+O41+Q41+S41+U41+W41+Y41</f>
        <v>0</v>
      </c>
      <c r="AB41" s="26">
        <f t="shared" si="9"/>
        <v>0</v>
      </c>
      <c r="AC41" s="4"/>
      <c r="AD41" s="4"/>
      <c r="AE41" s="4"/>
      <c r="AF41" s="4"/>
      <c r="AG41" s="4"/>
      <c r="AH41" s="4"/>
      <c r="AI41" s="4"/>
    </row>
    <row r="42" spans="1:35" s="41" customFormat="1" ht="25.35" customHeight="1" x14ac:dyDescent="0.25">
      <c r="A42" s="38">
        <v>3</v>
      </c>
      <c r="B42" s="39">
        <v>45629</v>
      </c>
      <c r="C42" s="26"/>
      <c r="D42" s="26">
        <f t="shared" si="4"/>
        <v>0</v>
      </c>
      <c r="E42" s="26"/>
      <c r="F42" s="26">
        <f t="shared" si="5"/>
        <v>0</v>
      </c>
      <c r="G42" s="26"/>
      <c r="H42" s="26"/>
      <c r="I42" s="26"/>
      <c r="J42" s="26"/>
      <c r="K42" s="26"/>
      <c r="L42" s="26">
        <f t="shared" si="6"/>
        <v>0</v>
      </c>
      <c r="M42" s="26"/>
      <c r="N42" s="26">
        <f t="shared" si="7"/>
        <v>0</v>
      </c>
      <c r="O42" s="26"/>
      <c r="P42" s="26"/>
      <c r="Q42" s="26"/>
      <c r="R42" s="26"/>
      <c r="S42" s="26"/>
      <c r="T42" s="26"/>
      <c r="U42" s="26"/>
      <c r="V42" s="26"/>
      <c r="W42" s="26"/>
      <c r="X42" s="26">
        <f t="shared" si="8"/>
        <v>0</v>
      </c>
      <c r="Y42" s="26"/>
      <c r="Z42" s="26"/>
      <c r="AA42" s="26">
        <f t="shared" si="9"/>
        <v>0</v>
      </c>
      <c r="AB42" s="26">
        <f t="shared" si="9"/>
        <v>0</v>
      </c>
      <c r="AC42" s="4"/>
      <c r="AD42" s="4"/>
      <c r="AE42" s="4"/>
      <c r="AF42" s="4"/>
      <c r="AG42" s="4"/>
      <c r="AH42" s="4"/>
      <c r="AI42" s="4"/>
    </row>
    <row r="43" spans="1:35" s="41" customFormat="1" ht="25.35" customHeight="1" x14ac:dyDescent="0.25">
      <c r="A43" s="38">
        <v>4</v>
      </c>
      <c r="B43" s="39">
        <v>45630</v>
      </c>
      <c r="C43" s="26"/>
      <c r="D43" s="26">
        <f t="shared" si="4"/>
        <v>0</v>
      </c>
      <c r="E43" s="26"/>
      <c r="F43" s="26">
        <f t="shared" si="5"/>
        <v>0</v>
      </c>
      <c r="G43" s="26"/>
      <c r="H43" s="26"/>
      <c r="I43" s="26"/>
      <c r="J43" s="26"/>
      <c r="K43" s="26"/>
      <c r="L43" s="26">
        <f t="shared" si="6"/>
        <v>0</v>
      </c>
      <c r="M43" s="26"/>
      <c r="N43" s="26">
        <f t="shared" si="7"/>
        <v>0</v>
      </c>
      <c r="O43" s="26"/>
      <c r="P43" s="26"/>
      <c r="Q43" s="26"/>
      <c r="R43" s="26"/>
      <c r="S43" s="26"/>
      <c r="T43" s="26"/>
      <c r="U43" s="26"/>
      <c r="V43" s="26"/>
      <c r="W43" s="26"/>
      <c r="X43" s="26">
        <f t="shared" si="8"/>
        <v>0</v>
      </c>
      <c r="Y43" s="26"/>
      <c r="Z43" s="26"/>
      <c r="AA43" s="26">
        <f t="shared" si="9"/>
        <v>0</v>
      </c>
      <c r="AB43" s="26">
        <f t="shared" si="9"/>
        <v>0</v>
      </c>
      <c r="AC43" s="4"/>
      <c r="AD43" s="4"/>
      <c r="AE43" s="4"/>
      <c r="AF43" s="4"/>
      <c r="AG43" s="4"/>
      <c r="AH43" s="4"/>
      <c r="AI43" s="4"/>
    </row>
    <row r="44" spans="1:35" s="41" customFormat="1" ht="25.35" customHeight="1" x14ac:dyDescent="0.25">
      <c r="A44" s="38">
        <v>5</v>
      </c>
      <c r="B44" s="39">
        <v>45631</v>
      </c>
      <c r="C44" s="26"/>
      <c r="D44" s="26">
        <f t="shared" si="4"/>
        <v>0</v>
      </c>
      <c r="E44" s="26"/>
      <c r="F44" s="26">
        <f t="shared" si="5"/>
        <v>0</v>
      </c>
      <c r="G44" s="26"/>
      <c r="H44" s="26"/>
      <c r="I44" s="26"/>
      <c r="J44" s="26"/>
      <c r="K44" s="26"/>
      <c r="L44" s="26">
        <f t="shared" si="6"/>
        <v>0</v>
      </c>
      <c r="M44" s="26"/>
      <c r="N44" s="26">
        <f t="shared" si="7"/>
        <v>0</v>
      </c>
      <c r="O44" s="26"/>
      <c r="P44" s="26"/>
      <c r="Q44" s="26"/>
      <c r="R44" s="26"/>
      <c r="S44" s="26"/>
      <c r="T44" s="26"/>
      <c r="U44" s="26"/>
      <c r="V44" s="26"/>
      <c r="W44" s="26"/>
      <c r="X44" s="26">
        <f t="shared" si="8"/>
        <v>0</v>
      </c>
      <c r="Y44" s="26"/>
      <c r="Z44" s="26"/>
      <c r="AA44" s="26">
        <f t="shared" si="9"/>
        <v>0</v>
      </c>
      <c r="AB44" s="26">
        <f t="shared" si="9"/>
        <v>0</v>
      </c>
      <c r="AC44" s="4"/>
      <c r="AD44" s="4"/>
      <c r="AE44" s="4"/>
      <c r="AF44" s="4"/>
      <c r="AG44" s="4"/>
      <c r="AH44" s="4"/>
      <c r="AI44" s="4"/>
    </row>
    <row r="45" spans="1:35" s="41" customFormat="1" ht="25.35" customHeight="1" x14ac:dyDescent="0.5">
      <c r="A45" s="38">
        <v>6</v>
      </c>
      <c r="B45" s="39">
        <v>45632</v>
      </c>
      <c r="C45" s="26"/>
      <c r="D45" s="26">
        <f t="shared" si="4"/>
        <v>0</v>
      </c>
      <c r="E45" s="26"/>
      <c r="F45" s="26">
        <f t="shared" si="5"/>
        <v>0</v>
      </c>
      <c r="G45" s="26"/>
      <c r="H45" s="26"/>
      <c r="I45" s="26"/>
      <c r="J45" s="26"/>
      <c r="K45" s="17"/>
      <c r="L45" s="26">
        <f t="shared" si="6"/>
        <v>0</v>
      </c>
      <c r="M45" s="26"/>
      <c r="N45" s="26">
        <f t="shared" si="7"/>
        <v>0</v>
      </c>
      <c r="O45" s="26"/>
      <c r="P45" s="26"/>
      <c r="Q45" s="26"/>
      <c r="R45" s="26"/>
      <c r="S45" s="26"/>
      <c r="T45" s="26"/>
      <c r="U45" s="26"/>
      <c r="V45" s="26"/>
      <c r="W45" s="26"/>
      <c r="X45" s="26">
        <f t="shared" si="8"/>
        <v>0</v>
      </c>
      <c r="Y45" s="26"/>
      <c r="Z45" s="26"/>
      <c r="AA45" s="26">
        <f t="shared" si="9"/>
        <v>0</v>
      </c>
      <c r="AB45" s="26">
        <f t="shared" si="9"/>
        <v>0</v>
      </c>
      <c r="AC45" s="4"/>
      <c r="AD45" s="4"/>
      <c r="AE45" s="4"/>
      <c r="AF45" s="4"/>
      <c r="AG45" s="4"/>
      <c r="AH45" s="4"/>
      <c r="AI45" s="4"/>
    </row>
    <row r="46" spans="1:35" s="41" customFormat="1" ht="25.35" customHeight="1" x14ac:dyDescent="0.25">
      <c r="A46" s="38">
        <v>7</v>
      </c>
      <c r="B46" s="39">
        <v>45633</v>
      </c>
      <c r="C46" s="26"/>
      <c r="D46" s="26">
        <f t="shared" si="4"/>
        <v>0</v>
      </c>
      <c r="E46" s="26"/>
      <c r="F46" s="26">
        <f t="shared" si="5"/>
        <v>0</v>
      </c>
      <c r="G46" s="26"/>
      <c r="H46" s="26"/>
      <c r="I46" s="26"/>
      <c r="J46" s="26"/>
      <c r="K46" s="26"/>
      <c r="L46" s="26">
        <f t="shared" si="6"/>
        <v>0</v>
      </c>
      <c r="M46" s="26"/>
      <c r="N46" s="26">
        <f t="shared" si="7"/>
        <v>0</v>
      </c>
      <c r="O46" s="26"/>
      <c r="P46" s="26"/>
      <c r="Q46" s="26"/>
      <c r="R46" s="26"/>
      <c r="S46" s="26"/>
      <c r="T46" s="26"/>
      <c r="U46" s="26"/>
      <c r="V46" s="26"/>
      <c r="W46" s="26"/>
      <c r="X46" s="26">
        <f t="shared" si="8"/>
        <v>0</v>
      </c>
      <c r="Y46" s="26"/>
      <c r="Z46" s="26"/>
      <c r="AA46" s="26">
        <f t="shared" si="9"/>
        <v>0</v>
      </c>
      <c r="AB46" s="26">
        <f t="shared" si="9"/>
        <v>0</v>
      </c>
      <c r="AC46" s="4"/>
      <c r="AD46" s="4"/>
      <c r="AE46" s="4"/>
      <c r="AF46" s="4"/>
      <c r="AG46" s="4"/>
      <c r="AH46" s="4"/>
      <c r="AI46" s="4"/>
    </row>
    <row r="47" spans="1:35" s="41" customFormat="1" ht="25.35" customHeight="1" x14ac:dyDescent="0.25">
      <c r="A47" s="38">
        <v>8</v>
      </c>
      <c r="B47" s="39">
        <v>45634</v>
      </c>
      <c r="C47" s="26"/>
      <c r="D47" s="26">
        <f t="shared" si="4"/>
        <v>0</v>
      </c>
      <c r="E47" s="26"/>
      <c r="F47" s="26">
        <f t="shared" si="5"/>
        <v>0</v>
      </c>
      <c r="G47" s="26"/>
      <c r="H47" s="26"/>
      <c r="I47" s="26"/>
      <c r="J47" s="26"/>
      <c r="K47" s="26"/>
      <c r="L47" s="26">
        <f t="shared" si="6"/>
        <v>0</v>
      </c>
      <c r="M47" s="26"/>
      <c r="N47" s="26">
        <f t="shared" si="7"/>
        <v>0</v>
      </c>
      <c r="O47" s="26"/>
      <c r="P47" s="26"/>
      <c r="Q47" s="26"/>
      <c r="R47" s="26"/>
      <c r="S47" s="26"/>
      <c r="T47" s="26"/>
      <c r="U47" s="26"/>
      <c r="V47" s="26"/>
      <c r="W47" s="26"/>
      <c r="X47" s="26">
        <f t="shared" si="8"/>
        <v>0</v>
      </c>
      <c r="Y47" s="26"/>
      <c r="Z47" s="26"/>
      <c r="AA47" s="26">
        <f t="shared" si="9"/>
        <v>0</v>
      </c>
      <c r="AB47" s="26">
        <f t="shared" si="9"/>
        <v>0</v>
      </c>
      <c r="AC47" s="4"/>
      <c r="AD47" s="4"/>
      <c r="AE47" s="4"/>
      <c r="AF47" s="4"/>
      <c r="AG47" s="4"/>
      <c r="AH47" s="4"/>
      <c r="AI47" s="4"/>
    </row>
    <row r="48" spans="1:35" s="41" customFormat="1" ht="25.35" customHeight="1" x14ac:dyDescent="0.25">
      <c r="A48" s="38">
        <v>9</v>
      </c>
      <c r="B48" s="39">
        <v>45635</v>
      </c>
      <c r="C48" s="26"/>
      <c r="D48" s="26">
        <f t="shared" si="4"/>
        <v>0</v>
      </c>
      <c r="E48" s="26"/>
      <c r="F48" s="26">
        <f t="shared" si="5"/>
        <v>0</v>
      </c>
      <c r="G48" s="26"/>
      <c r="H48" s="26"/>
      <c r="I48" s="26"/>
      <c r="J48" s="26"/>
      <c r="K48" s="26"/>
      <c r="L48" s="26">
        <f t="shared" si="6"/>
        <v>0</v>
      </c>
      <c r="M48" s="26"/>
      <c r="N48" s="26">
        <f t="shared" si="7"/>
        <v>0</v>
      </c>
      <c r="O48" s="26"/>
      <c r="P48" s="26"/>
      <c r="Q48" s="26"/>
      <c r="R48" s="26"/>
      <c r="S48" s="26"/>
      <c r="T48" s="26"/>
      <c r="U48" s="26"/>
      <c r="V48" s="26"/>
      <c r="W48" s="26"/>
      <c r="X48" s="26">
        <f t="shared" si="8"/>
        <v>0</v>
      </c>
      <c r="Y48" s="26"/>
      <c r="Z48" s="26"/>
      <c r="AA48" s="26">
        <f t="shared" si="9"/>
        <v>0</v>
      </c>
      <c r="AB48" s="26">
        <f t="shared" si="9"/>
        <v>0</v>
      </c>
      <c r="AC48" s="4"/>
      <c r="AD48" s="4"/>
      <c r="AE48" s="4"/>
      <c r="AF48" s="4"/>
      <c r="AG48" s="4"/>
      <c r="AH48" s="4"/>
      <c r="AI48" s="4"/>
    </row>
    <row r="49" spans="1:35" s="41" customFormat="1" ht="25.35" customHeight="1" x14ac:dyDescent="0.25">
      <c r="A49" s="38">
        <v>10</v>
      </c>
      <c r="B49" s="39">
        <v>45636</v>
      </c>
      <c r="C49" s="26"/>
      <c r="D49" s="26">
        <f t="shared" si="4"/>
        <v>0</v>
      </c>
      <c r="E49" s="26"/>
      <c r="F49" s="26">
        <f t="shared" si="5"/>
        <v>0</v>
      </c>
      <c r="G49" s="26"/>
      <c r="H49" s="26"/>
      <c r="I49" s="26"/>
      <c r="J49" s="26"/>
      <c r="K49" s="26"/>
      <c r="L49" s="26">
        <f t="shared" si="6"/>
        <v>0</v>
      </c>
      <c r="M49" s="26"/>
      <c r="N49" s="26">
        <f t="shared" si="7"/>
        <v>0</v>
      </c>
      <c r="O49" s="26"/>
      <c r="P49" s="26"/>
      <c r="Q49" s="26"/>
      <c r="R49" s="26"/>
      <c r="S49" s="26"/>
      <c r="T49" s="26"/>
      <c r="U49" s="26"/>
      <c r="V49" s="26"/>
      <c r="W49" s="26"/>
      <c r="X49" s="26">
        <f t="shared" si="8"/>
        <v>0</v>
      </c>
      <c r="Y49" s="26"/>
      <c r="Z49" s="26"/>
      <c r="AA49" s="26">
        <f>C49+E49+G49+I49+K49+M49+O49+Q49+S49+U49+W49+Y49</f>
        <v>0</v>
      </c>
      <c r="AB49" s="26">
        <f>D49+F49+H49+J49+L49+N49+P49+R49+T49+V49+X49+Z49</f>
        <v>0</v>
      </c>
      <c r="AC49" s="4"/>
      <c r="AD49" s="4"/>
      <c r="AE49" s="4"/>
      <c r="AF49" s="4"/>
      <c r="AG49" s="4"/>
      <c r="AH49" s="4"/>
      <c r="AI49" s="4"/>
    </row>
    <row r="50" spans="1:35" s="41" customFormat="1" ht="25.35" customHeight="1" x14ac:dyDescent="0.25">
      <c r="A50" s="38">
        <v>11</v>
      </c>
      <c r="B50" s="39">
        <v>45637</v>
      </c>
      <c r="C50" s="26"/>
      <c r="D50" s="26">
        <f t="shared" si="4"/>
        <v>0</v>
      </c>
      <c r="E50" s="26"/>
      <c r="F50" s="26">
        <f t="shared" si="5"/>
        <v>0</v>
      </c>
      <c r="G50" s="26"/>
      <c r="H50" s="26"/>
      <c r="I50" s="26"/>
      <c r="J50" s="26"/>
      <c r="K50" s="26"/>
      <c r="L50" s="26">
        <f t="shared" si="6"/>
        <v>0</v>
      </c>
      <c r="M50" s="26"/>
      <c r="N50" s="26">
        <f t="shared" si="7"/>
        <v>0</v>
      </c>
      <c r="O50" s="26"/>
      <c r="P50" s="26"/>
      <c r="Q50" s="26"/>
      <c r="R50" s="26"/>
      <c r="S50" s="26"/>
      <c r="T50" s="26"/>
      <c r="U50" s="26"/>
      <c r="V50" s="26"/>
      <c r="W50" s="26"/>
      <c r="X50" s="26">
        <f t="shared" si="8"/>
        <v>0</v>
      </c>
      <c r="Y50" s="26"/>
      <c r="Z50" s="26"/>
      <c r="AA50" s="26">
        <f t="shared" si="9"/>
        <v>0</v>
      </c>
      <c r="AB50" s="26">
        <f t="shared" si="9"/>
        <v>0</v>
      </c>
      <c r="AC50" s="4"/>
      <c r="AD50" s="4"/>
      <c r="AE50" s="4"/>
      <c r="AF50" s="4"/>
      <c r="AG50" s="4"/>
      <c r="AH50" s="4"/>
      <c r="AI50" s="4"/>
    </row>
    <row r="51" spans="1:35" s="41" customFormat="1" ht="25.35" customHeight="1" x14ac:dyDescent="0.25">
      <c r="A51" s="38">
        <v>12</v>
      </c>
      <c r="B51" s="39">
        <v>45638</v>
      </c>
      <c r="C51" s="26"/>
      <c r="D51" s="26">
        <f t="shared" si="4"/>
        <v>0</v>
      </c>
      <c r="E51" s="26"/>
      <c r="F51" s="26">
        <f t="shared" si="5"/>
        <v>0</v>
      </c>
      <c r="G51" s="26"/>
      <c r="H51" s="26"/>
      <c r="I51" s="26"/>
      <c r="J51" s="26"/>
      <c r="K51" s="26"/>
      <c r="L51" s="26">
        <f t="shared" si="6"/>
        <v>0</v>
      </c>
      <c r="M51" s="26"/>
      <c r="N51" s="26">
        <f t="shared" si="7"/>
        <v>0</v>
      </c>
      <c r="O51" s="26"/>
      <c r="P51" s="26"/>
      <c r="Q51" s="26"/>
      <c r="R51" s="26"/>
      <c r="S51" s="26"/>
      <c r="T51" s="26"/>
      <c r="U51" s="26"/>
      <c r="V51" s="26"/>
      <c r="W51" s="26"/>
      <c r="X51" s="26">
        <f t="shared" si="8"/>
        <v>0</v>
      </c>
      <c r="Y51" s="26"/>
      <c r="Z51" s="26"/>
      <c r="AA51" s="26">
        <f t="shared" si="9"/>
        <v>0</v>
      </c>
      <c r="AB51" s="26">
        <f t="shared" si="9"/>
        <v>0</v>
      </c>
      <c r="AC51" s="4"/>
      <c r="AD51" s="4"/>
      <c r="AE51" s="4"/>
      <c r="AF51" s="4"/>
      <c r="AG51" s="4"/>
      <c r="AH51" s="4"/>
      <c r="AI51" s="4"/>
    </row>
    <row r="52" spans="1:35" s="41" customFormat="1" ht="25.35" customHeight="1" x14ac:dyDescent="0.25">
      <c r="A52" s="38">
        <v>13</v>
      </c>
      <c r="B52" s="39">
        <v>45639</v>
      </c>
      <c r="C52" s="26"/>
      <c r="D52" s="26">
        <f t="shared" si="4"/>
        <v>0</v>
      </c>
      <c r="E52" s="26"/>
      <c r="F52" s="26">
        <f t="shared" si="5"/>
        <v>0</v>
      </c>
      <c r="G52" s="26"/>
      <c r="H52" s="26"/>
      <c r="I52" s="26"/>
      <c r="J52" s="26"/>
      <c r="K52" s="26"/>
      <c r="L52" s="26">
        <f t="shared" si="6"/>
        <v>0</v>
      </c>
      <c r="M52" s="26"/>
      <c r="N52" s="26">
        <f t="shared" si="7"/>
        <v>0</v>
      </c>
      <c r="O52" s="26"/>
      <c r="P52" s="26"/>
      <c r="Q52" s="26"/>
      <c r="R52" s="26"/>
      <c r="S52" s="26"/>
      <c r="T52" s="26"/>
      <c r="U52" s="26"/>
      <c r="V52" s="26"/>
      <c r="W52" s="26"/>
      <c r="X52" s="26">
        <f t="shared" si="8"/>
        <v>0</v>
      </c>
      <c r="Y52" s="26"/>
      <c r="Z52" s="26"/>
      <c r="AA52" s="26">
        <f t="shared" si="9"/>
        <v>0</v>
      </c>
      <c r="AB52" s="26">
        <f t="shared" si="9"/>
        <v>0</v>
      </c>
      <c r="AC52" s="4"/>
      <c r="AD52" s="4"/>
      <c r="AE52" s="4"/>
      <c r="AF52" s="4"/>
      <c r="AG52" s="4"/>
      <c r="AH52" s="4"/>
      <c r="AI52" s="4"/>
    </row>
    <row r="53" spans="1:35" s="41" customFormat="1" ht="25.35" customHeight="1" x14ac:dyDescent="0.25">
      <c r="A53" s="38">
        <v>14</v>
      </c>
      <c r="B53" s="39">
        <v>45640</v>
      </c>
      <c r="C53" s="26"/>
      <c r="D53" s="26">
        <f t="shared" si="4"/>
        <v>0</v>
      </c>
      <c r="E53" s="26"/>
      <c r="F53" s="26">
        <f t="shared" si="5"/>
        <v>0</v>
      </c>
      <c r="G53" s="26"/>
      <c r="H53" s="26"/>
      <c r="I53" s="26"/>
      <c r="J53" s="26"/>
      <c r="K53" s="26"/>
      <c r="L53" s="26">
        <f t="shared" si="6"/>
        <v>0</v>
      </c>
      <c r="M53" s="26"/>
      <c r="N53" s="26">
        <f t="shared" si="7"/>
        <v>0</v>
      </c>
      <c r="O53" s="26"/>
      <c r="P53" s="26"/>
      <c r="Q53" s="26"/>
      <c r="R53" s="26"/>
      <c r="S53" s="26"/>
      <c r="T53" s="26"/>
      <c r="U53" s="26"/>
      <c r="V53" s="26"/>
      <c r="W53" s="26"/>
      <c r="X53" s="26">
        <f t="shared" si="8"/>
        <v>0</v>
      </c>
      <c r="Y53" s="26"/>
      <c r="Z53" s="26"/>
      <c r="AA53" s="26">
        <f t="shared" si="9"/>
        <v>0</v>
      </c>
      <c r="AB53" s="26">
        <f t="shared" si="9"/>
        <v>0</v>
      </c>
      <c r="AC53" s="4"/>
      <c r="AD53" s="4"/>
      <c r="AE53" s="4"/>
      <c r="AF53" s="4"/>
      <c r="AG53" s="4"/>
      <c r="AH53" s="4"/>
      <c r="AI53" s="4"/>
    </row>
    <row r="54" spans="1:35" s="41" customFormat="1" ht="25.35" customHeight="1" x14ac:dyDescent="0.25">
      <c r="A54" s="38">
        <v>15</v>
      </c>
      <c r="B54" s="39">
        <v>45641</v>
      </c>
      <c r="C54" s="26"/>
      <c r="D54" s="26">
        <f t="shared" si="4"/>
        <v>0</v>
      </c>
      <c r="E54" s="26"/>
      <c r="F54" s="26">
        <f t="shared" si="5"/>
        <v>0</v>
      </c>
      <c r="G54" s="26"/>
      <c r="H54" s="26"/>
      <c r="I54" s="26"/>
      <c r="J54" s="26"/>
      <c r="K54" s="26"/>
      <c r="L54" s="26">
        <f t="shared" si="6"/>
        <v>0</v>
      </c>
      <c r="M54" s="26"/>
      <c r="N54" s="26">
        <f t="shared" si="7"/>
        <v>0</v>
      </c>
      <c r="O54" s="26"/>
      <c r="P54" s="26"/>
      <c r="Q54" s="26"/>
      <c r="R54" s="26"/>
      <c r="S54" s="26"/>
      <c r="T54" s="26"/>
      <c r="U54" s="26"/>
      <c r="V54" s="26"/>
      <c r="W54" s="26"/>
      <c r="X54" s="26">
        <f t="shared" si="8"/>
        <v>0</v>
      </c>
      <c r="Y54" s="26"/>
      <c r="Z54" s="26"/>
      <c r="AA54" s="26">
        <f t="shared" si="9"/>
        <v>0</v>
      </c>
      <c r="AB54" s="26">
        <f t="shared" si="9"/>
        <v>0</v>
      </c>
      <c r="AC54" s="4"/>
      <c r="AD54" s="4"/>
      <c r="AE54" s="4"/>
      <c r="AF54" s="4"/>
      <c r="AG54" s="4"/>
      <c r="AH54" s="4"/>
      <c r="AI54" s="4"/>
    </row>
    <row r="55" spans="1:35" s="41" customFormat="1" ht="25.35" customHeight="1" x14ac:dyDescent="0.25">
      <c r="A55" s="38">
        <v>16</v>
      </c>
      <c r="B55" s="39">
        <v>45642</v>
      </c>
      <c r="C55" s="26"/>
      <c r="D55" s="26">
        <f t="shared" si="4"/>
        <v>0</v>
      </c>
      <c r="E55" s="26"/>
      <c r="F55" s="26">
        <f t="shared" si="5"/>
        <v>0</v>
      </c>
      <c r="G55" s="26"/>
      <c r="H55" s="26"/>
      <c r="I55" s="26"/>
      <c r="J55" s="26"/>
      <c r="K55" s="26"/>
      <c r="L55" s="26">
        <f t="shared" si="6"/>
        <v>0</v>
      </c>
      <c r="M55" s="26"/>
      <c r="N55" s="26">
        <f t="shared" si="7"/>
        <v>0</v>
      </c>
      <c r="O55" s="26"/>
      <c r="P55" s="26"/>
      <c r="Q55" s="26"/>
      <c r="R55" s="26"/>
      <c r="S55" s="26"/>
      <c r="T55" s="26"/>
      <c r="U55" s="26"/>
      <c r="V55" s="26"/>
      <c r="W55" s="26"/>
      <c r="X55" s="26">
        <f t="shared" si="8"/>
        <v>0</v>
      </c>
      <c r="Y55" s="26"/>
      <c r="Z55" s="26"/>
      <c r="AA55" s="26">
        <f t="shared" si="9"/>
        <v>0</v>
      </c>
      <c r="AB55" s="26">
        <f t="shared" si="9"/>
        <v>0</v>
      </c>
      <c r="AC55" s="4"/>
      <c r="AD55" s="4"/>
      <c r="AE55" s="4"/>
      <c r="AF55" s="4"/>
      <c r="AG55" s="4"/>
      <c r="AH55" s="4"/>
      <c r="AI55" s="4"/>
    </row>
    <row r="56" spans="1:35" s="41" customFormat="1" ht="25.35" customHeight="1" x14ac:dyDescent="0.25">
      <c r="A56" s="38">
        <v>17</v>
      </c>
      <c r="B56" s="39">
        <v>45643</v>
      </c>
      <c r="C56" s="26"/>
      <c r="D56" s="26">
        <f t="shared" si="4"/>
        <v>0</v>
      </c>
      <c r="E56" s="26"/>
      <c r="F56" s="26">
        <f t="shared" si="5"/>
        <v>0</v>
      </c>
      <c r="G56" s="26"/>
      <c r="H56" s="26"/>
      <c r="I56" s="26"/>
      <c r="J56" s="26"/>
      <c r="K56" s="26"/>
      <c r="L56" s="26">
        <f t="shared" si="6"/>
        <v>0</v>
      </c>
      <c r="M56" s="26"/>
      <c r="N56" s="26">
        <f t="shared" si="7"/>
        <v>0</v>
      </c>
      <c r="O56" s="26"/>
      <c r="P56" s="26"/>
      <c r="Q56" s="26"/>
      <c r="R56" s="26"/>
      <c r="S56" s="26"/>
      <c r="T56" s="26"/>
      <c r="U56" s="26"/>
      <c r="V56" s="26"/>
      <c r="W56" s="26"/>
      <c r="X56" s="26">
        <f t="shared" si="8"/>
        <v>0</v>
      </c>
      <c r="Y56" s="26"/>
      <c r="Z56" s="26"/>
      <c r="AA56" s="26">
        <f t="shared" si="9"/>
        <v>0</v>
      </c>
      <c r="AB56" s="26">
        <f t="shared" si="9"/>
        <v>0</v>
      </c>
      <c r="AC56" s="4"/>
      <c r="AD56" s="4"/>
      <c r="AE56" s="4"/>
      <c r="AF56" s="4"/>
      <c r="AG56" s="4"/>
      <c r="AH56" s="4"/>
      <c r="AI56" s="4"/>
    </row>
    <row r="57" spans="1:35" s="41" customFormat="1" ht="25.35" customHeight="1" x14ac:dyDescent="0.25">
      <c r="A57" s="38">
        <v>18</v>
      </c>
      <c r="B57" s="39">
        <v>45644</v>
      </c>
      <c r="C57" s="26"/>
      <c r="D57" s="26">
        <f t="shared" si="4"/>
        <v>0</v>
      </c>
      <c r="E57" s="26"/>
      <c r="F57" s="26">
        <f t="shared" si="5"/>
        <v>0</v>
      </c>
      <c r="G57" s="26"/>
      <c r="H57" s="26"/>
      <c r="I57" s="26"/>
      <c r="J57" s="26"/>
      <c r="K57" s="26"/>
      <c r="L57" s="26">
        <f t="shared" si="6"/>
        <v>0</v>
      </c>
      <c r="M57" s="26"/>
      <c r="N57" s="26">
        <f t="shared" si="7"/>
        <v>0</v>
      </c>
      <c r="O57" s="26"/>
      <c r="P57" s="26"/>
      <c r="Q57" s="26"/>
      <c r="R57" s="26"/>
      <c r="S57" s="26"/>
      <c r="T57" s="26"/>
      <c r="U57" s="26"/>
      <c r="V57" s="26"/>
      <c r="W57" s="26"/>
      <c r="X57" s="26">
        <f t="shared" si="8"/>
        <v>0</v>
      </c>
      <c r="Y57" s="26"/>
      <c r="Z57" s="26"/>
      <c r="AA57" s="26">
        <f t="shared" si="9"/>
        <v>0</v>
      </c>
      <c r="AB57" s="26">
        <f t="shared" si="9"/>
        <v>0</v>
      </c>
      <c r="AC57" s="4"/>
      <c r="AD57" s="4"/>
      <c r="AE57" s="4"/>
      <c r="AF57" s="4"/>
      <c r="AG57" s="4"/>
      <c r="AH57" s="4"/>
      <c r="AI57" s="4"/>
    </row>
    <row r="58" spans="1:35" s="41" customFormat="1" ht="25.35" customHeight="1" x14ac:dyDescent="0.25">
      <c r="A58" s="38">
        <v>19</v>
      </c>
      <c r="B58" s="39">
        <v>45645</v>
      </c>
      <c r="C58" s="26"/>
      <c r="D58" s="26">
        <f t="shared" si="4"/>
        <v>0</v>
      </c>
      <c r="E58" s="26"/>
      <c r="F58" s="26">
        <f t="shared" si="5"/>
        <v>0</v>
      </c>
      <c r="G58" s="26"/>
      <c r="H58" s="26"/>
      <c r="I58" s="26"/>
      <c r="J58" s="26"/>
      <c r="K58" s="26"/>
      <c r="L58" s="26">
        <f t="shared" si="6"/>
        <v>0</v>
      </c>
      <c r="M58" s="26"/>
      <c r="N58" s="26">
        <f t="shared" si="7"/>
        <v>0</v>
      </c>
      <c r="O58" s="26"/>
      <c r="P58" s="26"/>
      <c r="Q58" s="26"/>
      <c r="R58" s="26"/>
      <c r="S58" s="26"/>
      <c r="T58" s="26"/>
      <c r="U58" s="26"/>
      <c r="V58" s="26"/>
      <c r="W58" s="26"/>
      <c r="X58" s="26">
        <f t="shared" si="8"/>
        <v>0</v>
      </c>
      <c r="Y58" s="26"/>
      <c r="Z58" s="26"/>
      <c r="AA58" s="26">
        <f t="shared" si="9"/>
        <v>0</v>
      </c>
      <c r="AB58" s="26">
        <f t="shared" si="9"/>
        <v>0</v>
      </c>
      <c r="AC58" s="4"/>
      <c r="AD58" s="4"/>
      <c r="AE58" s="4"/>
      <c r="AF58" s="4"/>
      <c r="AG58" s="4"/>
      <c r="AH58" s="4"/>
      <c r="AI58" s="4"/>
    </row>
    <row r="59" spans="1:35" s="41" customFormat="1" ht="25.35" customHeight="1" x14ac:dyDescent="0.25">
      <c r="A59" s="38">
        <v>20</v>
      </c>
      <c r="B59" s="39">
        <v>45646</v>
      </c>
      <c r="C59" s="26"/>
      <c r="D59" s="26">
        <f t="shared" si="4"/>
        <v>0</v>
      </c>
      <c r="E59" s="26"/>
      <c r="F59" s="26">
        <f t="shared" si="5"/>
        <v>0</v>
      </c>
      <c r="G59" s="26"/>
      <c r="H59" s="26"/>
      <c r="I59" s="26"/>
      <c r="J59" s="26"/>
      <c r="K59" s="26"/>
      <c r="L59" s="26">
        <f t="shared" si="6"/>
        <v>0</v>
      </c>
      <c r="M59" s="26"/>
      <c r="N59" s="26">
        <f t="shared" si="7"/>
        <v>0</v>
      </c>
      <c r="O59" s="26"/>
      <c r="P59" s="26"/>
      <c r="Q59" s="26"/>
      <c r="R59" s="26"/>
      <c r="S59" s="26"/>
      <c r="T59" s="26"/>
      <c r="U59" s="26"/>
      <c r="V59" s="26"/>
      <c r="W59" s="26"/>
      <c r="X59" s="26">
        <f t="shared" si="8"/>
        <v>0</v>
      </c>
      <c r="Y59" s="26"/>
      <c r="Z59" s="26"/>
      <c r="AA59" s="26">
        <f t="shared" si="9"/>
        <v>0</v>
      </c>
      <c r="AB59" s="26">
        <f t="shared" si="9"/>
        <v>0</v>
      </c>
      <c r="AC59" s="4"/>
      <c r="AD59" s="4"/>
      <c r="AE59" s="4"/>
      <c r="AF59" s="4"/>
      <c r="AG59" s="4"/>
      <c r="AH59" s="4"/>
      <c r="AI59" s="4"/>
    </row>
    <row r="60" spans="1:35" s="41" customFormat="1" ht="25.35" customHeight="1" x14ac:dyDescent="0.25">
      <c r="A60" s="38">
        <v>21</v>
      </c>
      <c r="B60" s="39">
        <v>45647</v>
      </c>
      <c r="C60" s="26"/>
      <c r="D60" s="26">
        <f t="shared" si="4"/>
        <v>0</v>
      </c>
      <c r="E60" s="26"/>
      <c r="F60" s="26">
        <f t="shared" si="5"/>
        <v>0</v>
      </c>
      <c r="G60" s="26"/>
      <c r="H60" s="26"/>
      <c r="I60" s="26"/>
      <c r="J60" s="26"/>
      <c r="K60" s="26"/>
      <c r="L60" s="26"/>
      <c r="M60" s="26"/>
      <c r="N60" s="26">
        <f t="shared" si="7"/>
        <v>0</v>
      </c>
      <c r="O60" s="26"/>
      <c r="P60" s="26"/>
      <c r="Q60" s="26"/>
      <c r="R60" s="26"/>
      <c r="S60" s="26"/>
      <c r="T60" s="26"/>
      <c r="U60" s="26"/>
      <c r="V60" s="26"/>
      <c r="W60" s="26"/>
      <c r="X60" s="26">
        <f t="shared" si="8"/>
        <v>0</v>
      </c>
      <c r="Y60" s="26"/>
      <c r="Z60" s="26"/>
      <c r="AA60" s="26">
        <f t="shared" si="9"/>
        <v>0</v>
      </c>
      <c r="AB60" s="26">
        <f t="shared" si="9"/>
        <v>0</v>
      </c>
      <c r="AC60" s="4"/>
      <c r="AD60" s="4"/>
      <c r="AE60" s="4"/>
      <c r="AF60" s="4"/>
      <c r="AG60" s="4"/>
      <c r="AH60" s="4"/>
      <c r="AI60" s="4"/>
    </row>
    <row r="61" spans="1:35" s="41" customFormat="1" ht="25.35" customHeight="1" x14ac:dyDescent="0.25">
      <c r="A61" s="38">
        <v>22</v>
      </c>
      <c r="B61" s="39">
        <v>45648</v>
      </c>
      <c r="C61" s="26"/>
      <c r="D61" s="26">
        <f t="shared" si="4"/>
        <v>0</v>
      </c>
      <c r="E61" s="26"/>
      <c r="F61" s="26">
        <f t="shared" si="5"/>
        <v>0</v>
      </c>
      <c r="G61" s="26"/>
      <c r="H61" s="26"/>
      <c r="I61" s="26"/>
      <c r="J61" s="26"/>
      <c r="K61" s="26"/>
      <c r="L61" s="26"/>
      <c r="M61" s="26"/>
      <c r="N61" s="26">
        <f t="shared" si="7"/>
        <v>0</v>
      </c>
      <c r="O61" s="26"/>
      <c r="P61" s="26"/>
      <c r="Q61" s="26"/>
      <c r="R61" s="26"/>
      <c r="S61" s="26"/>
      <c r="T61" s="26"/>
      <c r="U61" s="26"/>
      <c r="V61" s="26"/>
      <c r="W61" s="26"/>
      <c r="X61" s="26">
        <f t="shared" si="8"/>
        <v>0</v>
      </c>
      <c r="Y61" s="26"/>
      <c r="Z61" s="26"/>
      <c r="AA61" s="26">
        <f t="shared" si="9"/>
        <v>0</v>
      </c>
      <c r="AB61" s="26">
        <f t="shared" si="9"/>
        <v>0</v>
      </c>
      <c r="AC61" s="4"/>
      <c r="AD61" s="4"/>
      <c r="AE61" s="4"/>
      <c r="AF61" s="4"/>
      <c r="AG61" s="4"/>
      <c r="AH61" s="4"/>
      <c r="AI61" s="4"/>
    </row>
    <row r="62" spans="1:35" s="41" customFormat="1" ht="25.35" customHeight="1" x14ac:dyDescent="0.25">
      <c r="A62" s="38">
        <v>23</v>
      </c>
      <c r="B62" s="39">
        <v>45649</v>
      </c>
      <c r="C62" s="26"/>
      <c r="D62" s="26">
        <f t="shared" si="4"/>
        <v>0</v>
      </c>
      <c r="E62" s="26"/>
      <c r="F62" s="26">
        <f t="shared" si="5"/>
        <v>0</v>
      </c>
      <c r="G62" s="26"/>
      <c r="H62" s="26"/>
      <c r="I62" s="26"/>
      <c r="J62" s="26"/>
      <c r="K62" s="26"/>
      <c r="L62" s="26"/>
      <c r="M62" s="26"/>
      <c r="N62" s="26">
        <f t="shared" si="7"/>
        <v>0</v>
      </c>
      <c r="O62" s="26"/>
      <c r="P62" s="26"/>
      <c r="Q62" s="26"/>
      <c r="R62" s="26"/>
      <c r="S62" s="26"/>
      <c r="T62" s="26"/>
      <c r="U62" s="26"/>
      <c r="V62" s="26"/>
      <c r="W62" s="26"/>
      <c r="X62" s="26">
        <f t="shared" si="8"/>
        <v>0</v>
      </c>
      <c r="Y62" s="26"/>
      <c r="Z62" s="26"/>
      <c r="AA62" s="26">
        <f t="shared" si="9"/>
        <v>0</v>
      </c>
      <c r="AB62" s="26">
        <f t="shared" si="9"/>
        <v>0</v>
      </c>
      <c r="AC62" s="4"/>
      <c r="AD62" s="4"/>
      <c r="AE62" s="4"/>
      <c r="AF62" s="4"/>
      <c r="AG62" s="4"/>
      <c r="AH62" s="4"/>
      <c r="AI62" s="4"/>
    </row>
    <row r="63" spans="1:35" s="41" customFormat="1" ht="25.35" customHeight="1" x14ac:dyDescent="0.25">
      <c r="A63" s="38">
        <v>24</v>
      </c>
      <c r="B63" s="39">
        <v>45650</v>
      </c>
      <c r="C63" s="26"/>
      <c r="D63" s="26">
        <f t="shared" si="4"/>
        <v>0</v>
      </c>
      <c r="E63" s="26"/>
      <c r="F63" s="26">
        <f t="shared" si="5"/>
        <v>0</v>
      </c>
      <c r="G63" s="26"/>
      <c r="H63" s="26"/>
      <c r="I63" s="26"/>
      <c r="J63" s="26"/>
      <c r="K63" s="26"/>
      <c r="L63" s="26"/>
      <c r="M63" s="26"/>
      <c r="N63" s="26">
        <f t="shared" si="7"/>
        <v>0</v>
      </c>
      <c r="O63" s="26"/>
      <c r="P63" s="26"/>
      <c r="Q63" s="26"/>
      <c r="R63" s="26"/>
      <c r="S63" s="26"/>
      <c r="T63" s="26"/>
      <c r="U63" s="26"/>
      <c r="V63" s="26"/>
      <c r="W63" s="26"/>
      <c r="X63" s="26">
        <f t="shared" si="8"/>
        <v>0</v>
      </c>
      <c r="Y63" s="26"/>
      <c r="Z63" s="26"/>
      <c r="AA63" s="26">
        <f t="shared" si="9"/>
        <v>0</v>
      </c>
      <c r="AB63" s="26">
        <f t="shared" si="9"/>
        <v>0</v>
      </c>
      <c r="AC63" s="4"/>
      <c r="AD63" s="4"/>
      <c r="AE63" s="4"/>
      <c r="AF63" s="4"/>
      <c r="AG63" s="4"/>
      <c r="AH63" s="4"/>
      <c r="AI63" s="4"/>
    </row>
    <row r="64" spans="1:35" s="41" customFormat="1" ht="25.35" customHeight="1" x14ac:dyDescent="0.25">
      <c r="A64" s="38">
        <v>25</v>
      </c>
      <c r="B64" s="39">
        <v>45651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4"/>
      <c r="AD64" s="4"/>
      <c r="AE64" s="4"/>
      <c r="AF64" s="4"/>
      <c r="AG64" s="4"/>
      <c r="AH64" s="4"/>
      <c r="AI64" s="4"/>
    </row>
    <row r="65" spans="1:35" s="41" customFormat="1" ht="25.35" customHeight="1" x14ac:dyDescent="0.25">
      <c r="A65" s="38">
        <v>26</v>
      </c>
      <c r="B65" s="39">
        <v>45652</v>
      </c>
      <c r="C65" s="26"/>
      <c r="D65" s="26">
        <f t="shared" si="4"/>
        <v>0</v>
      </c>
      <c r="E65" s="26"/>
      <c r="F65" s="26">
        <f t="shared" si="5"/>
        <v>0</v>
      </c>
      <c r="G65" s="26"/>
      <c r="H65" s="26"/>
      <c r="I65" s="26"/>
      <c r="J65" s="26"/>
      <c r="K65" s="26"/>
      <c r="L65" s="26"/>
      <c r="M65" s="26"/>
      <c r="N65" s="26">
        <f t="shared" si="7"/>
        <v>0</v>
      </c>
      <c r="O65" s="26"/>
      <c r="P65" s="26"/>
      <c r="Q65" s="26"/>
      <c r="R65" s="26"/>
      <c r="S65" s="26"/>
      <c r="T65" s="26"/>
      <c r="U65" s="26"/>
      <c r="V65" s="26"/>
      <c r="W65" s="26"/>
      <c r="X65" s="26">
        <f t="shared" si="8"/>
        <v>0</v>
      </c>
      <c r="Y65" s="26"/>
      <c r="Z65" s="26"/>
      <c r="AA65" s="26">
        <f t="shared" si="9"/>
        <v>0</v>
      </c>
      <c r="AB65" s="26">
        <f t="shared" si="9"/>
        <v>0</v>
      </c>
      <c r="AC65" s="4"/>
      <c r="AD65" s="4"/>
      <c r="AE65" s="4"/>
      <c r="AF65" s="4"/>
      <c r="AG65" s="4"/>
      <c r="AH65" s="4"/>
      <c r="AI65" s="4"/>
    </row>
    <row r="66" spans="1:35" s="41" customFormat="1" ht="25.35" customHeight="1" x14ac:dyDescent="0.25">
      <c r="A66" s="38">
        <v>27</v>
      </c>
      <c r="B66" s="39">
        <v>45653</v>
      </c>
      <c r="C66" s="26"/>
      <c r="D66" s="26">
        <f t="shared" si="4"/>
        <v>0</v>
      </c>
      <c r="E66" s="26"/>
      <c r="F66" s="26">
        <f t="shared" si="5"/>
        <v>0</v>
      </c>
      <c r="G66" s="26"/>
      <c r="H66" s="26"/>
      <c r="I66" s="26"/>
      <c r="J66" s="26"/>
      <c r="K66" s="26"/>
      <c r="L66" s="26"/>
      <c r="M66" s="26"/>
      <c r="N66" s="26">
        <f t="shared" si="7"/>
        <v>0</v>
      </c>
      <c r="O66" s="26"/>
      <c r="P66" s="26"/>
      <c r="Q66" s="26"/>
      <c r="R66" s="26"/>
      <c r="S66" s="26"/>
      <c r="T66" s="26"/>
      <c r="U66" s="26"/>
      <c r="V66" s="26"/>
      <c r="W66" s="26"/>
      <c r="X66" s="26">
        <f t="shared" si="8"/>
        <v>0</v>
      </c>
      <c r="Y66" s="26"/>
      <c r="Z66" s="26"/>
      <c r="AA66" s="26">
        <f t="shared" si="9"/>
        <v>0</v>
      </c>
      <c r="AB66" s="26">
        <f t="shared" si="9"/>
        <v>0</v>
      </c>
      <c r="AC66" s="4"/>
      <c r="AD66" s="4"/>
      <c r="AE66" s="4"/>
      <c r="AF66" s="4"/>
      <c r="AG66" s="4"/>
      <c r="AH66" s="4"/>
      <c r="AI66" s="4"/>
    </row>
    <row r="67" spans="1:35" s="41" customFormat="1" ht="25.35" customHeight="1" x14ac:dyDescent="0.25">
      <c r="A67" s="38">
        <v>28</v>
      </c>
      <c r="B67" s="39">
        <v>45654</v>
      </c>
      <c r="C67" s="26"/>
      <c r="D67" s="26">
        <f t="shared" si="4"/>
        <v>0</v>
      </c>
      <c r="E67" s="26"/>
      <c r="F67" s="26">
        <f t="shared" si="5"/>
        <v>0</v>
      </c>
      <c r="G67" s="26"/>
      <c r="H67" s="26"/>
      <c r="I67" s="26"/>
      <c r="J67" s="26"/>
      <c r="K67" s="26"/>
      <c r="L67" s="26"/>
      <c r="M67" s="26"/>
      <c r="N67" s="26">
        <f t="shared" si="7"/>
        <v>0</v>
      </c>
      <c r="O67" s="26"/>
      <c r="P67" s="26"/>
      <c r="Q67" s="26"/>
      <c r="R67" s="26"/>
      <c r="S67" s="26"/>
      <c r="T67" s="26"/>
      <c r="U67" s="26"/>
      <c r="V67" s="26"/>
      <c r="W67" s="26"/>
      <c r="X67" s="26">
        <f t="shared" si="8"/>
        <v>0</v>
      </c>
      <c r="Y67" s="26"/>
      <c r="Z67" s="26"/>
      <c r="AA67" s="26">
        <f t="shared" si="9"/>
        <v>0</v>
      </c>
      <c r="AB67" s="26">
        <f t="shared" si="9"/>
        <v>0</v>
      </c>
      <c r="AC67" s="4"/>
      <c r="AD67" s="4"/>
      <c r="AE67" s="4"/>
      <c r="AF67" s="4"/>
      <c r="AG67" s="4"/>
      <c r="AH67" s="4"/>
      <c r="AI67" s="4"/>
    </row>
    <row r="68" spans="1:35" s="41" customFormat="1" ht="25.35" customHeight="1" x14ac:dyDescent="0.25">
      <c r="A68" s="38">
        <v>29</v>
      </c>
      <c r="B68" s="39">
        <v>45655</v>
      </c>
      <c r="C68" s="26"/>
      <c r="D68" s="26">
        <f t="shared" si="4"/>
        <v>0</v>
      </c>
      <c r="E68" s="26"/>
      <c r="F68" s="26">
        <f t="shared" si="5"/>
        <v>0</v>
      </c>
      <c r="G68" s="26"/>
      <c r="H68" s="26"/>
      <c r="I68" s="26"/>
      <c r="J68" s="26"/>
      <c r="K68" s="26"/>
      <c r="L68" s="26">
        <f t="shared" si="6"/>
        <v>0</v>
      </c>
      <c r="M68" s="26"/>
      <c r="N68" s="26">
        <f t="shared" si="7"/>
        <v>0</v>
      </c>
      <c r="O68" s="26"/>
      <c r="P68" s="26"/>
      <c r="Q68" s="26"/>
      <c r="R68" s="26"/>
      <c r="S68" s="26"/>
      <c r="T68" s="26"/>
      <c r="U68" s="26"/>
      <c r="V68" s="26"/>
      <c r="W68" s="26"/>
      <c r="X68" s="26">
        <f t="shared" si="8"/>
        <v>0</v>
      </c>
      <c r="Y68" s="26"/>
      <c r="Z68" s="26"/>
      <c r="AA68" s="26">
        <f t="shared" si="9"/>
        <v>0</v>
      </c>
      <c r="AB68" s="26">
        <f t="shared" si="9"/>
        <v>0</v>
      </c>
      <c r="AC68" s="4"/>
      <c r="AD68" s="4"/>
      <c r="AE68" s="4"/>
      <c r="AF68" s="4"/>
      <c r="AG68" s="4"/>
      <c r="AH68" s="4"/>
      <c r="AI68" s="4"/>
    </row>
    <row r="69" spans="1:35" s="41" customFormat="1" ht="25.35" customHeight="1" x14ac:dyDescent="0.25">
      <c r="A69" s="38">
        <v>30</v>
      </c>
      <c r="B69" s="39">
        <v>45656</v>
      </c>
      <c r="C69" s="26"/>
      <c r="D69" s="26">
        <f t="shared" si="4"/>
        <v>0</v>
      </c>
      <c r="E69" s="26"/>
      <c r="F69" s="26">
        <f t="shared" si="5"/>
        <v>0</v>
      </c>
      <c r="G69" s="26"/>
      <c r="H69" s="26"/>
      <c r="I69" s="26"/>
      <c r="J69" s="26"/>
      <c r="K69" s="26"/>
      <c r="L69" s="26">
        <f t="shared" si="6"/>
        <v>0</v>
      </c>
      <c r="M69" s="26"/>
      <c r="N69" s="26">
        <f t="shared" si="7"/>
        <v>0</v>
      </c>
      <c r="O69" s="26"/>
      <c r="P69" s="26"/>
      <c r="Q69" s="26"/>
      <c r="R69" s="26"/>
      <c r="S69" s="26"/>
      <c r="T69" s="26"/>
      <c r="U69" s="26"/>
      <c r="V69" s="26"/>
      <c r="W69" s="26"/>
      <c r="X69" s="26">
        <f t="shared" si="8"/>
        <v>0</v>
      </c>
      <c r="Y69" s="26"/>
      <c r="Z69" s="26"/>
      <c r="AA69" s="26">
        <f t="shared" si="9"/>
        <v>0</v>
      </c>
      <c r="AB69" s="26">
        <f t="shared" si="9"/>
        <v>0</v>
      </c>
      <c r="AC69" s="4"/>
      <c r="AD69" s="4"/>
      <c r="AE69" s="4"/>
      <c r="AF69" s="4"/>
      <c r="AG69" s="4"/>
      <c r="AH69" s="4"/>
      <c r="AI69" s="4"/>
    </row>
    <row r="70" spans="1:35" s="41" customFormat="1" ht="25.35" customHeight="1" x14ac:dyDescent="0.25">
      <c r="B70" s="1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3">
        <f>SUM(AA40:AA69)</f>
        <v>0</v>
      </c>
      <c r="AB70" s="43">
        <f>SUM(AB40:AB69)</f>
        <v>0</v>
      </c>
      <c r="AC70" s="4"/>
      <c r="AD70" s="4"/>
      <c r="AE70" s="4"/>
      <c r="AF70" s="4"/>
      <c r="AG70" s="4"/>
      <c r="AH70" s="4"/>
      <c r="AI70" s="4"/>
    </row>
    <row r="71" spans="1:35" s="41" customFormat="1" ht="25.35" customHeight="1" x14ac:dyDescent="0.25">
      <c r="B71" s="14"/>
    </row>
    <row r="72" spans="1:35" s="41" customFormat="1" ht="25.35" customHeight="1" x14ac:dyDescent="0.25">
      <c r="B72" s="14"/>
    </row>
    <row r="73" spans="1:35" s="41" customFormat="1" ht="25.35" customHeight="1" x14ac:dyDescent="0.25">
      <c r="B73" s="14"/>
    </row>
    <row r="74" spans="1:35" s="41" customFormat="1" ht="25.35" customHeight="1" x14ac:dyDescent="0.25">
      <c r="B74" s="14"/>
    </row>
    <row r="75" spans="1:35" s="41" customFormat="1" ht="25.35" customHeight="1" x14ac:dyDescent="0.25">
      <c r="B75" s="14"/>
    </row>
    <row r="76" spans="1:35" s="41" customFormat="1" ht="25.35" customHeight="1" x14ac:dyDescent="0.25">
      <c r="B76" s="14"/>
    </row>
    <row r="77" spans="1:35" s="41" customFormat="1" ht="25.35" customHeight="1" x14ac:dyDescent="0.25">
      <c r="B77" s="14"/>
    </row>
    <row r="78" spans="1:35" s="41" customFormat="1" ht="25.35" customHeight="1" x14ac:dyDescent="0.25">
      <c r="B78" s="14"/>
    </row>
    <row r="79" spans="1:35" s="41" customFormat="1" ht="25.35" customHeight="1" x14ac:dyDescent="0.25">
      <c r="B79" s="14"/>
    </row>
    <row r="80" spans="1:35" s="41" customFormat="1" ht="25.35" customHeight="1" x14ac:dyDescent="0.25">
      <c r="B80" s="14"/>
    </row>
    <row r="81" spans="2:2" s="41" customFormat="1" ht="25.35" customHeight="1" x14ac:dyDescent="0.25">
      <c r="B81" s="14"/>
    </row>
    <row r="82" spans="2:2" s="41" customFormat="1" ht="25.35" customHeight="1" x14ac:dyDescent="0.25">
      <c r="B82" s="14"/>
    </row>
    <row r="83" spans="2:2" s="41" customFormat="1" ht="25.35" customHeight="1" x14ac:dyDescent="0.25">
      <c r="B83" s="14"/>
    </row>
    <row r="84" spans="2:2" s="41" customFormat="1" ht="25.35" customHeight="1" x14ac:dyDescent="0.25">
      <c r="B84" s="14"/>
    </row>
    <row r="85" spans="2:2" s="41" customFormat="1" ht="25.35" customHeight="1" x14ac:dyDescent="0.25">
      <c r="B85" s="14"/>
    </row>
    <row r="86" spans="2:2" s="41" customFormat="1" ht="25.35" customHeight="1" x14ac:dyDescent="0.25">
      <c r="B86" s="14"/>
    </row>
    <row r="87" spans="2:2" s="41" customFormat="1" ht="25.35" customHeight="1" x14ac:dyDescent="0.25">
      <c r="B87" s="14"/>
    </row>
    <row r="88" spans="2:2" s="41" customFormat="1" ht="25.35" customHeight="1" x14ac:dyDescent="0.25">
      <c r="B88" s="14"/>
    </row>
    <row r="89" spans="2:2" s="41" customFormat="1" ht="25.35" customHeight="1" x14ac:dyDescent="0.25">
      <c r="B89" s="14"/>
    </row>
    <row r="90" spans="2:2" s="41" customFormat="1" ht="25.35" customHeight="1" x14ac:dyDescent="0.25">
      <c r="B90" s="14"/>
    </row>
    <row r="91" spans="2:2" s="41" customFormat="1" ht="25.35" customHeight="1" x14ac:dyDescent="0.25">
      <c r="B91" s="14"/>
    </row>
    <row r="92" spans="2:2" s="41" customFormat="1" ht="25.35" customHeight="1" x14ac:dyDescent="0.25">
      <c r="B92" s="14"/>
    </row>
    <row r="93" spans="2:2" s="41" customFormat="1" ht="25.35" customHeight="1" x14ac:dyDescent="0.25">
      <c r="B93" s="14"/>
    </row>
    <row r="94" spans="2:2" s="41" customFormat="1" ht="25.35" customHeight="1" x14ac:dyDescent="0.25">
      <c r="B94" s="14"/>
    </row>
    <row r="95" spans="2:2" s="41" customFormat="1" ht="25.35" customHeight="1" x14ac:dyDescent="0.25">
      <c r="B95" s="14"/>
    </row>
    <row r="96" spans="2:2" s="41" customFormat="1" ht="25.35" customHeight="1" x14ac:dyDescent="0.25">
      <c r="B96" s="14"/>
    </row>
    <row r="97" spans="2:2" s="41" customFormat="1" ht="25.35" customHeight="1" x14ac:dyDescent="0.25">
      <c r="B97" s="14"/>
    </row>
    <row r="98" spans="2:2" s="41" customFormat="1" ht="25.35" customHeight="1" x14ac:dyDescent="0.25">
      <c r="B98" s="14"/>
    </row>
    <row r="99" spans="2:2" s="41" customFormat="1" ht="25.35" customHeight="1" x14ac:dyDescent="0.25">
      <c r="B99" s="14"/>
    </row>
    <row r="100" spans="2:2" s="41" customFormat="1" ht="25.35" customHeight="1" x14ac:dyDescent="0.25">
      <c r="B100" s="14"/>
    </row>
    <row r="101" spans="2:2" s="41" customFormat="1" ht="25.35" customHeight="1" x14ac:dyDescent="0.25">
      <c r="B101" s="14"/>
    </row>
    <row r="102" spans="2:2" s="41" customFormat="1" ht="25.35" customHeight="1" x14ac:dyDescent="0.25">
      <c r="B102" s="14"/>
    </row>
    <row r="103" spans="2:2" s="41" customFormat="1" ht="25.35" customHeight="1" x14ac:dyDescent="0.25">
      <c r="B103" s="14"/>
    </row>
  </sheetData>
  <mergeCells count="34">
    <mergeCell ref="A2:A4"/>
    <mergeCell ref="B2:B4"/>
    <mergeCell ref="C2:AB2"/>
    <mergeCell ref="C3:D3"/>
    <mergeCell ref="E3:F3"/>
    <mergeCell ref="G3:H3"/>
    <mergeCell ref="I3:J3"/>
    <mergeCell ref="K3:L3"/>
    <mergeCell ref="M3:N3"/>
    <mergeCell ref="AA3:AB3"/>
    <mergeCell ref="O3:P3"/>
    <mergeCell ref="Q3:R3"/>
    <mergeCell ref="C1:AB1"/>
    <mergeCell ref="Y38:Z38"/>
    <mergeCell ref="AA38:AB38"/>
    <mergeCell ref="C36:AB36"/>
    <mergeCell ref="S3:T3"/>
    <mergeCell ref="Y3:Z3"/>
    <mergeCell ref="U3:V3"/>
    <mergeCell ref="W3:X3"/>
    <mergeCell ref="A37:A39"/>
    <mergeCell ref="B37:B39"/>
    <mergeCell ref="C37:AB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</mergeCells>
  <hyperlinks>
    <hyperlink ref="C1:AB1" location="DailySales!A1" display="DailySales!A1" xr:uid="{313D753B-8CA2-491D-966D-9BAAD570A54D}"/>
    <hyperlink ref="C37:AB37" location="'2-FollowUpSales'!A1" display="'2-FollowUpSales'!A37" xr:uid="{7035035E-9577-40D9-86B0-0E8717B8B1F6}"/>
  </hyperlink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11D1-D0DE-41A3-BB5A-19E44D324B8C}">
  <sheetPr>
    <tabColor theme="8" tint="0.39997558519241921"/>
  </sheetPr>
  <dimension ref="A1:AH102"/>
  <sheetViews>
    <sheetView zoomScale="82" zoomScaleNormal="82" workbookViewId="0">
      <pane xSplit="2" ySplit="4" topLeftCell="C5" activePane="bottomRight" state="frozen"/>
      <selection sqref="A1:E1"/>
      <selection pane="topRight" sqref="A1:E1"/>
      <selection pane="bottomLeft" sqref="A1:E1"/>
      <selection pane="bottomRight"/>
    </sheetView>
  </sheetViews>
  <sheetFormatPr defaultColWidth="9.140625" defaultRowHeight="18" x14ac:dyDescent="0.25"/>
  <cols>
    <col min="1" max="1" width="9.140625" style="41"/>
    <col min="2" max="2" width="12.42578125" style="14" customWidth="1"/>
    <col min="3" max="4" width="11.42578125" style="18" customWidth="1"/>
    <col min="5" max="5" width="11.42578125" style="18" bestFit="1" customWidth="1"/>
    <col min="6" max="6" width="11.42578125" style="18" customWidth="1"/>
    <col min="7" max="10" width="9.28515625" style="18" bestFit="1" customWidth="1"/>
    <col min="11" max="11" width="9.140625" style="18"/>
    <col min="12" max="13" width="9.28515625" style="18" bestFit="1" customWidth="1"/>
    <col min="14" max="14" width="9.85546875" style="18" bestFit="1" customWidth="1"/>
    <col min="15" max="17" width="9.28515625" style="18" bestFit="1" customWidth="1"/>
    <col min="18" max="18" width="9.85546875" style="18" bestFit="1" customWidth="1"/>
    <col min="19" max="20" width="9.28515625" style="18" bestFit="1" customWidth="1"/>
    <col min="21" max="21" width="9.140625" style="18"/>
    <col min="22" max="22" width="9.28515625" style="18" bestFit="1" customWidth="1"/>
    <col min="23" max="23" width="9.140625" style="18"/>
    <col min="24" max="24" width="9.28515625" style="18" bestFit="1" customWidth="1"/>
    <col min="25" max="25" width="9.140625" style="18"/>
    <col min="26" max="26" width="9.28515625" style="18" bestFit="1" customWidth="1"/>
    <col min="27" max="27" width="9.85546875" style="18" bestFit="1" customWidth="1"/>
    <col min="28" max="28" width="11" style="18" bestFit="1" customWidth="1"/>
    <col min="29" max="29" width="9.140625" style="18"/>
    <col min="30" max="30" width="10.7109375" style="18" customWidth="1"/>
    <col min="31" max="31" width="11.85546875" style="18" customWidth="1"/>
    <col min="32" max="16384" width="9.140625" style="18"/>
  </cols>
  <sheetData>
    <row r="1" spans="1:34" x14ac:dyDescent="0.25">
      <c r="A1" s="28"/>
      <c r="B1" s="29"/>
      <c r="C1" s="529" t="s">
        <v>139</v>
      </c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  <c r="R1" s="516"/>
      <c r="S1" s="516"/>
      <c r="T1" s="516"/>
      <c r="U1" s="516"/>
      <c r="V1" s="516"/>
      <c r="W1" s="516"/>
      <c r="X1" s="516"/>
      <c r="Y1" s="516"/>
      <c r="Z1" s="516"/>
      <c r="AA1" s="516"/>
      <c r="AB1" s="516"/>
      <c r="AD1" s="18" t="s">
        <v>135</v>
      </c>
      <c r="AE1" s="18">
        <f>AA34</f>
        <v>0</v>
      </c>
      <c r="AG1" s="30">
        <v>12</v>
      </c>
      <c r="AH1" s="31">
        <v>14</v>
      </c>
    </row>
    <row r="2" spans="1:34" s="21" customFormat="1" x14ac:dyDescent="0.25">
      <c r="A2" s="505" t="s">
        <v>1</v>
      </c>
      <c r="B2" s="506" t="s">
        <v>0</v>
      </c>
      <c r="C2" s="522" t="s">
        <v>136</v>
      </c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  <c r="V2" s="522"/>
      <c r="W2" s="522"/>
      <c r="X2" s="522"/>
      <c r="Y2" s="522"/>
      <c r="Z2" s="522"/>
      <c r="AA2" s="522"/>
      <c r="AB2" s="522"/>
      <c r="AD2" s="18" t="s">
        <v>137</v>
      </c>
      <c r="AE2" s="21">
        <f>AB34</f>
        <v>0</v>
      </c>
      <c r="AG2" s="32">
        <v>24</v>
      </c>
      <c r="AH2" s="33">
        <v>40</v>
      </c>
    </row>
    <row r="3" spans="1:34" s="21" customFormat="1" ht="38.450000000000003" customHeight="1" x14ac:dyDescent="0.25">
      <c r="A3" s="505"/>
      <c r="B3" s="506"/>
      <c r="C3" s="508" t="s">
        <v>37</v>
      </c>
      <c r="D3" s="509"/>
      <c r="E3" s="523" t="s">
        <v>50</v>
      </c>
      <c r="F3" s="524"/>
      <c r="G3" s="513" t="s">
        <v>52</v>
      </c>
      <c r="H3" s="514"/>
      <c r="I3" s="508" t="s">
        <v>56</v>
      </c>
      <c r="J3" s="509"/>
      <c r="K3" s="523" t="s">
        <v>58</v>
      </c>
      <c r="L3" s="524"/>
      <c r="M3" s="513" t="s">
        <v>60</v>
      </c>
      <c r="N3" s="514"/>
      <c r="O3" s="513" t="s">
        <v>42</v>
      </c>
      <c r="P3" s="514"/>
      <c r="Q3" s="527" t="s">
        <v>45</v>
      </c>
      <c r="R3" s="528"/>
      <c r="S3" s="513" t="s">
        <v>48</v>
      </c>
      <c r="T3" s="514"/>
      <c r="U3" s="508" t="s">
        <v>55</v>
      </c>
      <c r="V3" s="509"/>
      <c r="W3" s="513" t="s">
        <v>39</v>
      </c>
      <c r="X3" s="514"/>
      <c r="Y3" s="513" t="s">
        <v>11</v>
      </c>
      <c r="Z3" s="514"/>
      <c r="AA3" s="525" t="s">
        <v>138</v>
      </c>
      <c r="AB3" s="526"/>
    </row>
    <row r="4" spans="1:34" s="27" customFormat="1" x14ac:dyDescent="0.25">
      <c r="A4" s="520"/>
      <c r="B4" s="521"/>
      <c r="C4" s="34" t="s">
        <v>3</v>
      </c>
      <c r="D4" s="34" t="s">
        <v>4</v>
      </c>
      <c r="E4" s="23" t="s">
        <v>3</v>
      </c>
      <c r="F4" s="23" t="s">
        <v>4</v>
      </c>
      <c r="G4" s="35" t="s">
        <v>3</v>
      </c>
      <c r="H4" s="35" t="s">
        <v>4</v>
      </c>
      <c r="I4" s="19" t="s">
        <v>3</v>
      </c>
      <c r="J4" s="19" t="s">
        <v>4</v>
      </c>
      <c r="K4" s="23" t="s">
        <v>3</v>
      </c>
      <c r="L4" s="23" t="s">
        <v>4</v>
      </c>
      <c r="M4" s="35" t="s">
        <v>3</v>
      </c>
      <c r="N4" s="35" t="s">
        <v>4</v>
      </c>
      <c r="O4" s="35" t="s">
        <v>3</v>
      </c>
      <c r="P4" s="35" t="s">
        <v>4</v>
      </c>
      <c r="Q4" s="36" t="s">
        <v>3</v>
      </c>
      <c r="R4" s="36" t="s">
        <v>4</v>
      </c>
      <c r="S4" s="35" t="s">
        <v>3</v>
      </c>
      <c r="T4" s="35" t="s">
        <v>4</v>
      </c>
      <c r="U4" s="19" t="s">
        <v>3</v>
      </c>
      <c r="V4" s="19" t="s">
        <v>4</v>
      </c>
      <c r="W4" s="35" t="s">
        <v>3</v>
      </c>
      <c r="X4" s="35" t="s">
        <v>4</v>
      </c>
      <c r="Y4" s="35" t="s">
        <v>3</v>
      </c>
      <c r="Z4" s="35" t="s">
        <v>4</v>
      </c>
      <c r="AA4" s="22" t="s">
        <v>3</v>
      </c>
      <c r="AB4" s="22" t="s">
        <v>4</v>
      </c>
      <c r="AG4" s="37"/>
    </row>
    <row r="5" spans="1:34" ht="25.35" customHeight="1" x14ac:dyDescent="0.25">
      <c r="A5" s="38">
        <v>1</v>
      </c>
      <c r="B5" s="39">
        <v>45597</v>
      </c>
      <c r="C5" s="20"/>
      <c r="D5" s="20">
        <f>C5*14</f>
        <v>0</v>
      </c>
      <c r="E5" s="20"/>
      <c r="F5" s="20">
        <f>E5*14</f>
        <v>0</v>
      </c>
      <c r="G5" s="20"/>
      <c r="H5" s="20"/>
      <c r="I5" s="20"/>
      <c r="J5" s="20"/>
      <c r="K5" s="20"/>
      <c r="L5" s="20">
        <f>K5*24</f>
        <v>0</v>
      </c>
      <c r="M5" s="20"/>
      <c r="N5" s="20">
        <f>M5*14</f>
        <v>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>
        <f>C5+E5+G5+I5+K5+M5+O5+Q5+S5+U5+W5+Y5</f>
        <v>0</v>
      </c>
      <c r="AB5" s="20">
        <f>D5+F5+H5+J5+L5+N5+P5+R5+T5+V5+X5+Z5</f>
        <v>0</v>
      </c>
    </row>
    <row r="6" spans="1:34" ht="25.35" customHeight="1" x14ac:dyDescent="0.25">
      <c r="A6" s="38">
        <v>2</v>
      </c>
      <c r="B6" s="39">
        <v>45598</v>
      </c>
      <c r="C6" s="20"/>
      <c r="D6" s="20">
        <f t="shared" ref="D6:D33" si="0">C6*14</f>
        <v>0</v>
      </c>
      <c r="E6" s="20"/>
      <c r="F6" s="20">
        <f t="shared" ref="F6:F33" si="1">E6*14</f>
        <v>0</v>
      </c>
      <c r="G6" s="20"/>
      <c r="H6" s="20"/>
      <c r="I6" s="20"/>
      <c r="J6" s="20"/>
      <c r="K6" s="20"/>
      <c r="L6" s="20">
        <f t="shared" ref="L6:L33" si="2">K6*24</f>
        <v>0</v>
      </c>
      <c r="M6" s="20"/>
      <c r="N6" s="20">
        <f t="shared" ref="N6:N33" si="3">M6*14</f>
        <v>0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>
        <f t="shared" ref="AA6:AB33" si="4">C6+E6+G6+I6+K6+M6+O6+Q6+S6+U6+W6+Y6</f>
        <v>0</v>
      </c>
      <c r="AB6" s="20">
        <f t="shared" si="4"/>
        <v>0</v>
      </c>
    </row>
    <row r="7" spans="1:34" ht="25.35" customHeight="1" x14ac:dyDescent="0.25">
      <c r="A7" s="38">
        <v>3</v>
      </c>
      <c r="B7" s="39">
        <v>45599</v>
      </c>
      <c r="C7" s="20"/>
      <c r="D7" s="20">
        <f t="shared" si="0"/>
        <v>0</v>
      </c>
      <c r="E7" s="20"/>
      <c r="F7" s="20">
        <f t="shared" si="1"/>
        <v>0</v>
      </c>
      <c r="G7" s="20"/>
      <c r="H7" s="20"/>
      <c r="I7" s="20"/>
      <c r="J7" s="20"/>
      <c r="K7" s="20"/>
      <c r="L7" s="20">
        <f t="shared" si="2"/>
        <v>0</v>
      </c>
      <c r="M7" s="20"/>
      <c r="N7" s="20">
        <f t="shared" si="3"/>
        <v>0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>
        <f t="shared" si="4"/>
        <v>0</v>
      </c>
      <c r="AB7" s="20">
        <f t="shared" si="4"/>
        <v>0</v>
      </c>
    </row>
    <row r="8" spans="1:34" ht="25.35" customHeight="1" x14ac:dyDescent="0.25">
      <c r="A8" s="38">
        <v>4</v>
      </c>
      <c r="B8" s="39">
        <v>45600</v>
      </c>
      <c r="C8" s="20"/>
      <c r="D8" s="20">
        <f t="shared" si="0"/>
        <v>0</v>
      </c>
      <c r="E8" s="20"/>
      <c r="F8" s="20">
        <f t="shared" si="1"/>
        <v>0</v>
      </c>
      <c r="G8" s="20"/>
      <c r="H8" s="20"/>
      <c r="I8" s="20"/>
      <c r="J8" s="20"/>
      <c r="K8" s="20"/>
      <c r="L8" s="20">
        <f t="shared" si="2"/>
        <v>0</v>
      </c>
      <c r="M8" s="20"/>
      <c r="N8" s="20">
        <f t="shared" si="3"/>
        <v>0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f t="shared" si="4"/>
        <v>0</v>
      </c>
      <c r="AB8" s="20">
        <f t="shared" si="4"/>
        <v>0</v>
      </c>
    </row>
    <row r="9" spans="1:34" ht="25.35" customHeight="1" x14ac:dyDescent="0.25">
      <c r="A9" s="38">
        <v>5</v>
      </c>
      <c r="B9" s="39">
        <v>45601</v>
      </c>
      <c r="C9" s="20"/>
      <c r="D9" s="20">
        <f t="shared" si="0"/>
        <v>0</v>
      </c>
      <c r="E9" s="20"/>
      <c r="F9" s="20">
        <f t="shared" si="1"/>
        <v>0</v>
      </c>
      <c r="G9" s="20"/>
      <c r="H9" s="20"/>
      <c r="I9" s="20"/>
      <c r="J9" s="20"/>
      <c r="K9" s="20"/>
      <c r="L9" s="20">
        <f t="shared" si="2"/>
        <v>0</v>
      </c>
      <c r="M9" s="20"/>
      <c r="N9" s="20">
        <f t="shared" si="3"/>
        <v>0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>
        <f t="shared" si="4"/>
        <v>0</v>
      </c>
      <c r="AB9" s="20">
        <f t="shared" si="4"/>
        <v>0</v>
      </c>
    </row>
    <row r="10" spans="1:34" ht="25.35" customHeight="1" x14ac:dyDescent="0.5">
      <c r="A10" s="38">
        <v>6</v>
      </c>
      <c r="B10" s="39">
        <v>45602</v>
      </c>
      <c r="C10" s="20"/>
      <c r="D10" s="20">
        <f t="shared" si="0"/>
        <v>0</v>
      </c>
      <c r="E10" s="20"/>
      <c r="F10" s="20">
        <f t="shared" si="1"/>
        <v>0</v>
      </c>
      <c r="G10" s="20"/>
      <c r="H10" s="20"/>
      <c r="I10" s="20"/>
      <c r="J10" s="20"/>
      <c r="K10" s="17"/>
      <c r="L10" s="20">
        <f t="shared" si="2"/>
        <v>0</v>
      </c>
      <c r="M10" s="20"/>
      <c r="N10" s="20">
        <f t="shared" si="3"/>
        <v>0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>
        <f t="shared" si="4"/>
        <v>0</v>
      </c>
      <c r="AB10" s="20">
        <f t="shared" si="4"/>
        <v>0</v>
      </c>
    </row>
    <row r="11" spans="1:34" ht="25.35" customHeight="1" x14ac:dyDescent="0.25">
      <c r="A11" s="38">
        <v>7</v>
      </c>
      <c r="B11" s="39">
        <v>45603</v>
      </c>
      <c r="C11" s="20"/>
      <c r="D11" s="20">
        <f t="shared" si="0"/>
        <v>0</v>
      </c>
      <c r="E11" s="20"/>
      <c r="F11" s="20">
        <f t="shared" si="1"/>
        <v>0</v>
      </c>
      <c r="G11" s="20"/>
      <c r="H11" s="20"/>
      <c r="I11" s="20"/>
      <c r="J11" s="20"/>
      <c r="K11" s="20"/>
      <c r="L11" s="20">
        <f t="shared" si="2"/>
        <v>0</v>
      </c>
      <c r="M11" s="20"/>
      <c r="N11" s="20">
        <f t="shared" si="3"/>
        <v>0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>
        <f t="shared" si="4"/>
        <v>0</v>
      </c>
      <c r="AB11" s="20">
        <f t="shared" si="4"/>
        <v>0</v>
      </c>
    </row>
    <row r="12" spans="1:34" ht="25.35" customHeight="1" x14ac:dyDescent="0.25">
      <c r="A12" s="38">
        <v>8</v>
      </c>
      <c r="B12" s="39">
        <v>45604</v>
      </c>
      <c r="C12" s="20"/>
      <c r="D12" s="20">
        <f t="shared" si="0"/>
        <v>0</v>
      </c>
      <c r="E12" s="20"/>
      <c r="F12" s="20">
        <f t="shared" si="1"/>
        <v>0</v>
      </c>
      <c r="G12" s="20"/>
      <c r="H12" s="20"/>
      <c r="I12" s="20"/>
      <c r="J12" s="20"/>
      <c r="K12" s="20"/>
      <c r="L12" s="20">
        <f t="shared" si="2"/>
        <v>0</v>
      </c>
      <c r="M12" s="20"/>
      <c r="N12" s="20">
        <f t="shared" si="3"/>
        <v>0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>
        <f t="shared" si="4"/>
        <v>0</v>
      </c>
      <c r="AB12" s="20">
        <f t="shared" si="4"/>
        <v>0</v>
      </c>
    </row>
    <row r="13" spans="1:34" ht="25.35" customHeight="1" x14ac:dyDescent="0.25">
      <c r="A13" s="38">
        <v>9</v>
      </c>
      <c r="B13" s="39">
        <v>45605</v>
      </c>
      <c r="C13" s="20"/>
      <c r="D13" s="20">
        <f t="shared" si="0"/>
        <v>0</v>
      </c>
      <c r="E13" s="20"/>
      <c r="F13" s="20">
        <f t="shared" si="1"/>
        <v>0</v>
      </c>
      <c r="G13" s="20"/>
      <c r="H13" s="20"/>
      <c r="I13" s="20"/>
      <c r="J13" s="20"/>
      <c r="K13" s="20"/>
      <c r="L13" s="20">
        <f t="shared" si="2"/>
        <v>0</v>
      </c>
      <c r="M13" s="20"/>
      <c r="N13" s="20">
        <f t="shared" si="3"/>
        <v>0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>
        <f t="shared" si="4"/>
        <v>0</v>
      </c>
      <c r="AB13" s="20">
        <f t="shared" si="4"/>
        <v>0</v>
      </c>
    </row>
    <row r="14" spans="1:34" ht="25.35" customHeight="1" x14ac:dyDescent="0.25">
      <c r="A14" s="38">
        <v>10</v>
      </c>
      <c r="B14" s="39">
        <v>45606</v>
      </c>
      <c r="C14" s="20"/>
      <c r="D14" s="20">
        <f t="shared" si="0"/>
        <v>0</v>
      </c>
      <c r="E14" s="20"/>
      <c r="F14" s="20">
        <f t="shared" si="1"/>
        <v>0</v>
      </c>
      <c r="G14" s="20"/>
      <c r="H14" s="20"/>
      <c r="I14" s="20"/>
      <c r="J14" s="20"/>
      <c r="K14" s="20"/>
      <c r="L14" s="20">
        <f t="shared" si="2"/>
        <v>0</v>
      </c>
      <c r="M14" s="20"/>
      <c r="N14" s="20">
        <f t="shared" si="3"/>
        <v>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>
        <f>C14+E14+G14+I14+K14+M14+O14+Q14+S14+U14+W14+Y14</f>
        <v>0</v>
      </c>
      <c r="AB14" s="20">
        <f>D14+F14+H14+J14+L14+N14+P14+R14+T14+V14+X14+Z14</f>
        <v>0</v>
      </c>
    </row>
    <row r="15" spans="1:34" ht="25.35" customHeight="1" x14ac:dyDescent="0.25">
      <c r="A15" s="38">
        <v>11</v>
      </c>
      <c r="B15" s="39">
        <v>45607</v>
      </c>
      <c r="C15" s="20"/>
      <c r="D15" s="20">
        <f t="shared" si="0"/>
        <v>0</v>
      </c>
      <c r="E15" s="20"/>
      <c r="F15" s="20">
        <f t="shared" si="1"/>
        <v>0</v>
      </c>
      <c r="G15" s="20"/>
      <c r="H15" s="20"/>
      <c r="I15" s="20"/>
      <c r="J15" s="20"/>
      <c r="K15" s="20"/>
      <c r="L15" s="20">
        <f t="shared" si="2"/>
        <v>0</v>
      </c>
      <c r="M15" s="20"/>
      <c r="N15" s="20">
        <f t="shared" si="3"/>
        <v>0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>
        <f t="shared" si="4"/>
        <v>0</v>
      </c>
      <c r="AB15" s="20">
        <f t="shared" si="4"/>
        <v>0</v>
      </c>
    </row>
    <row r="16" spans="1:34" ht="25.35" customHeight="1" x14ac:dyDescent="0.25">
      <c r="A16" s="38">
        <v>12</v>
      </c>
      <c r="B16" s="39">
        <v>45608</v>
      </c>
      <c r="C16" s="20"/>
      <c r="D16" s="20">
        <f t="shared" si="0"/>
        <v>0</v>
      </c>
      <c r="E16" s="20"/>
      <c r="F16" s="20">
        <f t="shared" si="1"/>
        <v>0</v>
      </c>
      <c r="G16" s="20"/>
      <c r="H16" s="20"/>
      <c r="I16" s="20"/>
      <c r="J16" s="20"/>
      <c r="K16" s="20"/>
      <c r="L16" s="20">
        <f t="shared" si="2"/>
        <v>0</v>
      </c>
      <c r="M16" s="20"/>
      <c r="N16" s="20">
        <f t="shared" si="3"/>
        <v>0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>
        <f t="shared" si="4"/>
        <v>0</v>
      </c>
      <c r="AB16" s="20">
        <f t="shared" si="4"/>
        <v>0</v>
      </c>
    </row>
    <row r="17" spans="1:28" ht="25.35" customHeight="1" x14ac:dyDescent="0.25">
      <c r="A17" s="38">
        <v>13</v>
      </c>
      <c r="B17" s="39">
        <v>45609</v>
      </c>
      <c r="C17" s="20"/>
      <c r="D17" s="20">
        <f t="shared" si="0"/>
        <v>0</v>
      </c>
      <c r="E17" s="20"/>
      <c r="F17" s="20">
        <f t="shared" si="1"/>
        <v>0</v>
      </c>
      <c r="G17" s="20"/>
      <c r="H17" s="20"/>
      <c r="I17" s="20"/>
      <c r="J17" s="20"/>
      <c r="K17" s="20"/>
      <c r="L17" s="20">
        <f t="shared" si="2"/>
        <v>0</v>
      </c>
      <c r="M17" s="20"/>
      <c r="N17" s="20">
        <f t="shared" si="3"/>
        <v>0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>
        <f t="shared" si="4"/>
        <v>0</v>
      </c>
      <c r="AB17" s="20">
        <f t="shared" si="4"/>
        <v>0</v>
      </c>
    </row>
    <row r="18" spans="1:28" ht="25.35" customHeight="1" x14ac:dyDescent="0.25">
      <c r="A18" s="38">
        <v>14</v>
      </c>
      <c r="B18" s="39">
        <v>45610</v>
      </c>
      <c r="C18" s="20"/>
      <c r="D18" s="20">
        <f t="shared" si="0"/>
        <v>0</v>
      </c>
      <c r="E18" s="20"/>
      <c r="F18" s="20">
        <f t="shared" si="1"/>
        <v>0</v>
      </c>
      <c r="G18" s="20"/>
      <c r="H18" s="20"/>
      <c r="I18" s="20"/>
      <c r="J18" s="20"/>
      <c r="K18" s="20"/>
      <c r="L18" s="20">
        <f t="shared" si="2"/>
        <v>0</v>
      </c>
      <c r="M18" s="20"/>
      <c r="N18" s="20">
        <f t="shared" si="3"/>
        <v>0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>
        <f t="shared" si="4"/>
        <v>0</v>
      </c>
      <c r="AB18" s="20">
        <f t="shared" si="4"/>
        <v>0</v>
      </c>
    </row>
    <row r="19" spans="1:28" ht="25.35" customHeight="1" x14ac:dyDescent="0.25">
      <c r="A19" s="38">
        <v>15</v>
      </c>
      <c r="B19" s="39">
        <v>45611</v>
      </c>
      <c r="C19" s="40"/>
      <c r="D19" s="20">
        <f t="shared" si="0"/>
        <v>0</v>
      </c>
      <c r="E19" s="40"/>
      <c r="F19" s="20">
        <f t="shared" si="1"/>
        <v>0</v>
      </c>
      <c r="G19" s="40"/>
      <c r="H19" s="40"/>
      <c r="I19" s="40"/>
      <c r="J19" s="40"/>
      <c r="K19" s="40"/>
      <c r="L19" s="20">
        <f t="shared" si="2"/>
        <v>0</v>
      </c>
      <c r="M19" s="40"/>
      <c r="N19" s="20">
        <f t="shared" si="3"/>
        <v>0</v>
      </c>
      <c r="O19" s="40"/>
      <c r="P19" s="40"/>
      <c r="Q19" s="40"/>
      <c r="R19" s="40"/>
      <c r="S19" s="40"/>
      <c r="T19" s="40"/>
      <c r="U19" s="40"/>
      <c r="V19" s="20"/>
      <c r="W19" s="20"/>
      <c r="X19" s="20"/>
      <c r="Y19" s="20"/>
      <c r="Z19" s="20"/>
      <c r="AA19" s="20">
        <f t="shared" si="4"/>
        <v>0</v>
      </c>
      <c r="AB19" s="20">
        <f t="shared" si="4"/>
        <v>0</v>
      </c>
    </row>
    <row r="20" spans="1:28" ht="25.35" customHeight="1" x14ac:dyDescent="0.25">
      <c r="A20" s="38">
        <v>16</v>
      </c>
      <c r="B20" s="39">
        <v>45612</v>
      </c>
      <c r="C20" s="40"/>
      <c r="D20" s="20">
        <f t="shared" si="0"/>
        <v>0</v>
      </c>
      <c r="E20" s="40"/>
      <c r="F20" s="20">
        <f t="shared" si="1"/>
        <v>0</v>
      </c>
      <c r="G20" s="40"/>
      <c r="H20" s="40"/>
      <c r="I20" s="40"/>
      <c r="J20" s="40"/>
      <c r="K20" s="40"/>
      <c r="L20" s="20">
        <f t="shared" si="2"/>
        <v>0</v>
      </c>
      <c r="M20" s="40"/>
      <c r="N20" s="20">
        <f t="shared" si="3"/>
        <v>0</v>
      </c>
      <c r="O20" s="40"/>
      <c r="P20" s="40"/>
      <c r="Q20" s="40"/>
      <c r="R20" s="40"/>
      <c r="S20" s="40"/>
      <c r="T20" s="40"/>
      <c r="U20" s="40"/>
      <c r="V20" s="20"/>
      <c r="W20" s="20"/>
      <c r="X20" s="20"/>
      <c r="Y20" s="20"/>
      <c r="Z20" s="20"/>
      <c r="AA20" s="20">
        <f t="shared" si="4"/>
        <v>0</v>
      </c>
      <c r="AB20" s="20">
        <f t="shared" si="4"/>
        <v>0</v>
      </c>
    </row>
    <row r="21" spans="1:28" ht="25.35" customHeight="1" x14ac:dyDescent="0.25">
      <c r="A21" s="38">
        <v>17</v>
      </c>
      <c r="B21" s="39">
        <v>45613</v>
      </c>
      <c r="C21" s="40"/>
      <c r="D21" s="20">
        <f t="shared" si="0"/>
        <v>0</v>
      </c>
      <c r="E21" s="40"/>
      <c r="F21" s="20">
        <f t="shared" si="1"/>
        <v>0</v>
      </c>
      <c r="G21" s="40"/>
      <c r="H21" s="40"/>
      <c r="I21" s="40"/>
      <c r="J21" s="40"/>
      <c r="K21" s="40"/>
      <c r="L21" s="20">
        <f t="shared" si="2"/>
        <v>0</v>
      </c>
      <c r="M21" s="40"/>
      <c r="N21" s="20">
        <f t="shared" si="3"/>
        <v>0</v>
      </c>
      <c r="O21" s="40"/>
      <c r="P21" s="40"/>
      <c r="Q21" s="40"/>
      <c r="R21" s="40"/>
      <c r="S21" s="40"/>
      <c r="T21" s="40"/>
      <c r="U21" s="40"/>
      <c r="V21" s="20"/>
      <c r="W21" s="20"/>
      <c r="X21" s="20"/>
      <c r="Y21" s="20"/>
      <c r="Z21" s="20"/>
      <c r="AA21" s="20">
        <f t="shared" si="4"/>
        <v>0</v>
      </c>
      <c r="AB21" s="20">
        <f t="shared" si="4"/>
        <v>0</v>
      </c>
    </row>
    <row r="22" spans="1:28" ht="25.35" customHeight="1" x14ac:dyDescent="0.25">
      <c r="A22" s="38">
        <v>18</v>
      </c>
      <c r="B22" s="39">
        <v>45614</v>
      </c>
      <c r="C22" s="40"/>
      <c r="D22" s="20">
        <f t="shared" si="0"/>
        <v>0</v>
      </c>
      <c r="E22" s="40"/>
      <c r="F22" s="20">
        <f t="shared" si="1"/>
        <v>0</v>
      </c>
      <c r="G22" s="40"/>
      <c r="H22" s="40"/>
      <c r="I22" s="40"/>
      <c r="J22" s="40"/>
      <c r="K22" s="40"/>
      <c r="L22" s="20">
        <f t="shared" si="2"/>
        <v>0</v>
      </c>
      <c r="M22" s="40"/>
      <c r="N22" s="20">
        <f t="shared" si="3"/>
        <v>0</v>
      </c>
      <c r="O22" s="40"/>
      <c r="P22" s="40"/>
      <c r="Q22" s="40"/>
      <c r="R22" s="40"/>
      <c r="S22" s="40"/>
      <c r="T22" s="40"/>
      <c r="U22" s="40"/>
      <c r="V22" s="20"/>
      <c r="W22" s="20"/>
      <c r="X22" s="20"/>
      <c r="Y22" s="20"/>
      <c r="Z22" s="20"/>
      <c r="AA22" s="20">
        <f t="shared" si="4"/>
        <v>0</v>
      </c>
      <c r="AB22" s="20">
        <f t="shared" si="4"/>
        <v>0</v>
      </c>
    </row>
    <row r="23" spans="1:28" ht="25.35" customHeight="1" x14ac:dyDescent="0.25">
      <c r="A23" s="38">
        <v>19</v>
      </c>
      <c r="B23" s="39">
        <v>45615</v>
      </c>
      <c r="C23" s="40"/>
      <c r="D23" s="20">
        <f t="shared" si="0"/>
        <v>0</v>
      </c>
      <c r="E23" s="40"/>
      <c r="F23" s="20">
        <f t="shared" si="1"/>
        <v>0</v>
      </c>
      <c r="G23" s="40"/>
      <c r="H23" s="40"/>
      <c r="I23" s="40"/>
      <c r="J23" s="40"/>
      <c r="K23" s="40"/>
      <c r="L23" s="20">
        <f t="shared" si="2"/>
        <v>0</v>
      </c>
      <c r="M23" s="40"/>
      <c r="N23" s="20">
        <f t="shared" si="3"/>
        <v>0</v>
      </c>
      <c r="O23" s="40"/>
      <c r="P23" s="40"/>
      <c r="Q23" s="40"/>
      <c r="R23" s="40"/>
      <c r="S23" s="40"/>
      <c r="T23" s="40"/>
      <c r="U23" s="40"/>
      <c r="V23" s="20"/>
      <c r="W23" s="20"/>
      <c r="X23" s="20"/>
      <c r="Y23" s="20"/>
      <c r="Z23" s="20"/>
      <c r="AA23" s="20">
        <f t="shared" si="4"/>
        <v>0</v>
      </c>
      <c r="AB23" s="20">
        <f t="shared" si="4"/>
        <v>0</v>
      </c>
    </row>
    <row r="24" spans="1:28" ht="25.35" customHeight="1" x14ac:dyDescent="0.25">
      <c r="A24" s="38">
        <v>20</v>
      </c>
      <c r="B24" s="39">
        <v>45616</v>
      </c>
      <c r="C24" s="40"/>
      <c r="D24" s="20">
        <f t="shared" si="0"/>
        <v>0</v>
      </c>
      <c r="E24" s="40"/>
      <c r="F24" s="20">
        <f t="shared" si="1"/>
        <v>0</v>
      </c>
      <c r="G24" s="40"/>
      <c r="H24" s="40"/>
      <c r="I24" s="40"/>
      <c r="J24" s="40"/>
      <c r="K24" s="40"/>
      <c r="L24" s="20">
        <f t="shared" si="2"/>
        <v>0</v>
      </c>
      <c r="M24" s="40"/>
      <c r="N24" s="20">
        <f t="shared" si="3"/>
        <v>0</v>
      </c>
      <c r="O24" s="40"/>
      <c r="P24" s="40"/>
      <c r="Q24" s="40"/>
      <c r="R24" s="40"/>
      <c r="S24" s="40"/>
      <c r="T24" s="40"/>
      <c r="U24" s="40"/>
      <c r="V24" s="20"/>
      <c r="W24" s="20"/>
      <c r="X24" s="20"/>
      <c r="Y24" s="20"/>
      <c r="Z24" s="20"/>
      <c r="AA24" s="20">
        <f t="shared" si="4"/>
        <v>0</v>
      </c>
      <c r="AB24" s="20">
        <f t="shared" si="4"/>
        <v>0</v>
      </c>
    </row>
    <row r="25" spans="1:28" ht="25.35" customHeight="1" x14ac:dyDescent="0.25">
      <c r="A25" s="38">
        <v>21</v>
      </c>
      <c r="B25" s="39">
        <v>45617</v>
      </c>
      <c r="C25" s="40"/>
      <c r="D25" s="20">
        <f t="shared" si="0"/>
        <v>0</v>
      </c>
      <c r="E25" s="40"/>
      <c r="F25" s="20">
        <f t="shared" si="1"/>
        <v>0</v>
      </c>
      <c r="G25" s="40"/>
      <c r="H25" s="40"/>
      <c r="I25" s="40"/>
      <c r="J25" s="40"/>
      <c r="K25" s="40"/>
      <c r="L25" s="20"/>
      <c r="M25" s="40"/>
      <c r="N25" s="20">
        <f t="shared" si="3"/>
        <v>0</v>
      </c>
      <c r="O25" s="40"/>
      <c r="P25" s="40"/>
      <c r="Q25" s="40"/>
      <c r="R25" s="40"/>
      <c r="S25" s="40"/>
      <c r="T25" s="40"/>
      <c r="U25" s="40"/>
      <c r="V25" s="20"/>
      <c r="W25" s="20"/>
      <c r="X25" s="20"/>
      <c r="Y25" s="20"/>
      <c r="Z25" s="20"/>
      <c r="AA25" s="20">
        <f t="shared" si="4"/>
        <v>0</v>
      </c>
      <c r="AB25" s="20">
        <f t="shared" si="4"/>
        <v>0</v>
      </c>
    </row>
    <row r="26" spans="1:28" ht="25.35" customHeight="1" x14ac:dyDescent="0.25">
      <c r="A26" s="38">
        <v>22</v>
      </c>
      <c r="B26" s="39">
        <v>45618</v>
      </c>
      <c r="C26" s="40"/>
      <c r="D26" s="20">
        <f t="shared" si="0"/>
        <v>0</v>
      </c>
      <c r="E26" s="40"/>
      <c r="F26" s="20">
        <f t="shared" si="1"/>
        <v>0</v>
      </c>
      <c r="G26" s="40"/>
      <c r="H26" s="40"/>
      <c r="I26" s="40"/>
      <c r="J26" s="40"/>
      <c r="K26" s="40"/>
      <c r="L26" s="20"/>
      <c r="M26" s="40"/>
      <c r="N26" s="20">
        <f t="shared" si="3"/>
        <v>0</v>
      </c>
      <c r="O26" s="40"/>
      <c r="P26" s="40"/>
      <c r="Q26" s="40"/>
      <c r="R26" s="40"/>
      <c r="S26" s="40"/>
      <c r="T26" s="40"/>
      <c r="U26" s="40"/>
      <c r="V26" s="20"/>
      <c r="W26" s="20"/>
      <c r="X26" s="20"/>
      <c r="Y26" s="20"/>
      <c r="Z26" s="20"/>
      <c r="AA26" s="20">
        <f t="shared" si="4"/>
        <v>0</v>
      </c>
      <c r="AB26" s="20">
        <f t="shared" si="4"/>
        <v>0</v>
      </c>
    </row>
    <row r="27" spans="1:28" ht="25.35" customHeight="1" x14ac:dyDescent="0.25">
      <c r="A27" s="38">
        <v>23</v>
      </c>
      <c r="B27" s="39">
        <v>45619</v>
      </c>
      <c r="C27" s="40"/>
      <c r="D27" s="20">
        <f t="shared" si="0"/>
        <v>0</v>
      </c>
      <c r="E27" s="40"/>
      <c r="F27" s="20">
        <f t="shared" si="1"/>
        <v>0</v>
      </c>
      <c r="G27" s="40"/>
      <c r="H27" s="40"/>
      <c r="I27" s="40"/>
      <c r="J27" s="40"/>
      <c r="K27" s="40"/>
      <c r="L27" s="20"/>
      <c r="M27" s="40"/>
      <c r="N27" s="20">
        <f t="shared" si="3"/>
        <v>0</v>
      </c>
      <c r="O27" s="40"/>
      <c r="P27" s="40"/>
      <c r="Q27" s="40"/>
      <c r="R27" s="40"/>
      <c r="S27" s="40"/>
      <c r="T27" s="40"/>
      <c r="U27" s="40"/>
      <c r="V27" s="20"/>
      <c r="W27" s="20"/>
      <c r="X27" s="20"/>
      <c r="Y27" s="20"/>
      <c r="Z27" s="20"/>
      <c r="AA27" s="20">
        <f t="shared" si="4"/>
        <v>0</v>
      </c>
      <c r="AB27" s="20">
        <f t="shared" si="4"/>
        <v>0</v>
      </c>
    </row>
    <row r="28" spans="1:28" ht="25.35" customHeight="1" x14ac:dyDescent="0.25">
      <c r="A28" s="38">
        <v>24</v>
      </c>
      <c r="B28" s="39">
        <v>45620</v>
      </c>
      <c r="C28" s="40"/>
      <c r="D28" s="20">
        <f t="shared" si="0"/>
        <v>0</v>
      </c>
      <c r="E28" s="40"/>
      <c r="F28" s="20">
        <f t="shared" si="1"/>
        <v>0</v>
      </c>
      <c r="G28" s="40"/>
      <c r="H28" s="40"/>
      <c r="I28" s="40"/>
      <c r="J28" s="40"/>
      <c r="K28" s="40"/>
      <c r="L28" s="20"/>
      <c r="M28" s="40"/>
      <c r="N28" s="20">
        <f t="shared" si="3"/>
        <v>0</v>
      </c>
      <c r="O28" s="40"/>
      <c r="P28" s="40"/>
      <c r="Q28" s="40"/>
      <c r="R28" s="40"/>
      <c r="S28" s="40"/>
      <c r="T28" s="40"/>
      <c r="U28" s="40"/>
      <c r="V28" s="20"/>
      <c r="W28" s="20"/>
      <c r="X28" s="20"/>
      <c r="Y28" s="20"/>
      <c r="Z28" s="20"/>
      <c r="AA28" s="20">
        <f t="shared" si="4"/>
        <v>0</v>
      </c>
      <c r="AB28" s="20">
        <f t="shared" si="4"/>
        <v>0</v>
      </c>
    </row>
    <row r="29" spans="1:28" ht="25.35" customHeight="1" x14ac:dyDescent="0.25">
      <c r="A29" s="38">
        <v>25</v>
      </c>
      <c r="B29" s="39">
        <v>45621</v>
      </c>
      <c r="C29" s="40"/>
      <c r="D29" s="20">
        <f t="shared" si="0"/>
        <v>0</v>
      </c>
      <c r="E29" s="40"/>
      <c r="F29" s="20">
        <f t="shared" si="1"/>
        <v>0</v>
      </c>
      <c r="G29" s="40"/>
      <c r="H29" s="40"/>
      <c r="I29" s="40"/>
      <c r="J29" s="40"/>
      <c r="K29" s="40"/>
      <c r="L29" s="20"/>
      <c r="M29" s="40"/>
      <c r="N29" s="20">
        <f t="shared" si="3"/>
        <v>0</v>
      </c>
      <c r="O29" s="40"/>
      <c r="P29" s="40"/>
      <c r="Q29" s="40"/>
      <c r="R29" s="40"/>
      <c r="S29" s="40"/>
      <c r="T29" s="40"/>
      <c r="U29" s="40"/>
      <c r="V29" s="20"/>
      <c r="W29" s="20"/>
      <c r="X29" s="20"/>
      <c r="Y29" s="20"/>
      <c r="Z29" s="20"/>
      <c r="AA29" s="20">
        <f t="shared" si="4"/>
        <v>0</v>
      </c>
      <c r="AB29" s="20">
        <f t="shared" si="4"/>
        <v>0</v>
      </c>
    </row>
    <row r="30" spans="1:28" ht="25.35" customHeight="1" x14ac:dyDescent="0.25">
      <c r="A30" s="38">
        <v>26</v>
      </c>
      <c r="B30" s="39">
        <v>45622</v>
      </c>
      <c r="C30" s="40"/>
      <c r="D30" s="20">
        <f t="shared" si="0"/>
        <v>0</v>
      </c>
      <c r="E30" s="40"/>
      <c r="F30" s="20">
        <f t="shared" si="1"/>
        <v>0</v>
      </c>
      <c r="G30" s="40"/>
      <c r="H30" s="40"/>
      <c r="I30" s="40"/>
      <c r="J30" s="40"/>
      <c r="K30" s="40"/>
      <c r="L30" s="20"/>
      <c r="M30" s="40"/>
      <c r="N30" s="20">
        <f t="shared" si="3"/>
        <v>0</v>
      </c>
      <c r="O30" s="40"/>
      <c r="P30" s="40"/>
      <c r="Q30" s="40"/>
      <c r="R30" s="40"/>
      <c r="S30" s="40"/>
      <c r="T30" s="40"/>
      <c r="U30" s="40"/>
      <c r="V30" s="20"/>
      <c r="W30" s="20"/>
      <c r="X30" s="20"/>
      <c r="Y30" s="20"/>
      <c r="Z30" s="20"/>
      <c r="AA30" s="20">
        <f t="shared" si="4"/>
        <v>0</v>
      </c>
      <c r="AB30" s="20">
        <f t="shared" si="4"/>
        <v>0</v>
      </c>
    </row>
    <row r="31" spans="1:28" ht="25.35" customHeight="1" x14ac:dyDescent="0.25">
      <c r="A31" s="38">
        <v>27</v>
      </c>
      <c r="B31" s="39">
        <v>45623</v>
      </c>
      <c r="C31" s="40"/>
      <c r="D31" s="20">
        <f t="shared" si="0"/>
        <v>0</v>
      </c>
      <c r="E31" s="40"/>
      <c r="F31" s="20">
        <f t="shared" si="1"/>
        <v>0</v>
      </c>
      <c r="G31" s="40"/>
      <c r="H31" s="40"/>
      <c r="I31" s="40"/>
      <c r="J31" s="40"/>
      <c r="K31" s="40"/>
      <c r="L31" s="20"/>
      <c r="M31" s="40"/>
      <c r="N31" s="20">
        <f t="shared" si="3"/>
        <v>0</v>
      </c>
      <c r="O31" s="40"/>
      <c r="P31" s="40"/>
      <c r="Q31" s="40"/>
      <c r="R31" s="40"/>
      <c r="S31" s="40"/>
      <c r="T31" s="40"/>
      <c r="U31" s="40"/>
      <c r="V31" s="20"/>
      <c r="W31" s="20"/>
      <c r="X31" s="20"/>
      <c r="Y31" s="20"/>
      <c r="Z31" s="20"/>
      <c r="AA31" s="20">
        <f t="shared" si="4"/>
        <v>0</v>
      </c>
      <c r="AB31" s="20">
        <f t="shared" si="4"/>
        <v>0</v>
      </c>
    </row>
    <row r="32" spans="1:28" ht="25.35" customHeight="1" x14ac:dyDescent="0.25">
      <c r="A32" s="38">
        <v>28</v>
      </c>
      <c r="B32" s="39">
        <v>45624</v>
      </c>
      <c r="C32" s="40"/>
      <c r="D32" s="20">
        <f t="shared" si="0"/>
        <v>0</v>
      </c>
      <c r="E32" s="40"/>
      <c r="F32" s="20">
        <f t="shared" si="1"/>
        <v>0</v>
      </c>
      <c r="G32" s="40"/>
      <c r="H32" s="40"/>
      <c r="I32" s="40"/>
      <c r="J32" s="40"/>
      <c r="K32" s="40"/>
      <c r="L32" s="20">
        <f t="shared" si="2"/>
        <v>0</v>
      </c>
      <c r="M32" s="40"/>
      <c r="N32" s="20">
        <f t="shared" si="3"/>
        <v>0</v>
      </c>
      <c r="O32" s="40"/>
      <c r="P32" s="40"/>
      <c r="Q32" s="40"/>
      <c r="R32" s="40"/>
      <c r="S32" s="40"/>
      <c r="T32" s="40"/>
      <c r="U32" s="40"/>
      <c r="V32" s="20"/>
      <c r="W32" s="20"/>
      <c r="X32" s="20"/>
      <c r="Y32" s="20"/>
      <c r="Z32" s="20"/>
      <c r="AA32" s="20">
        <f t="shared" si="4"/>
        <v>0</v>
      </c>
      <c r="AB32" s="20">
        <f t="shared" si="4"/>
        <v>0</v>
      </c>
    </row>
    <row r="33" spans="1:28" ht="25.35" customHeight="1" x14ac:dyDescent="0.25">
      <c r="A33" s="38">
        <v>29</v>
      </c>
      <c r="B33" s="39">
        <v>45625</v>
      </c>
      <c r="C33" s="40"/>
      <c r="D33" s="20">
        <f t="shared" si="0"/>
        <v>0</v>
      </c>
      <c r="E33" s="40"/>
      <c r="F33" s="20">
        <f t="shared" si="1"/>
        <v>0</v>
      </c>
      <c r="G33" s="40"/>
      <c r="H33" s="40"/>
      <c r="I33" s="40"/>
      <c r="J33" s="40"/>
      <c r="K33" s="40"/>
      <c r="L33" s="20">
        <f t="shared" si="2"/>
        <v>0</v>
      </c>
      <c r="M33" s="40"/>
      <c r="N33" s="20">
        <f t="shared" si="3"/>
        <v>0</v>
      </c>
      <c r="O33" s="40"/>
      <c r="P33" s="40"/>
      <c r="Q33" s="40"/>
      <c r="R33" s="40"/>
      <c r="S33" s="40"/>
      <c r="T33" s="40"/>
      <c r="U33" s="40"/>
      <c r="V33" s="20"/>
      <c r="W33" s="20"/>
      <c r="X33" s="20"/>
      <c r="Y33" s="20"/>
      <c r="Z33" s="20"/>
      <c r="AA33" s="20">
        <f t="shared" si="4"/>
        <v>0</v>
      </c>
      <c r="AB33" s="20">
        <f t="shared" si="4"/>
        <v>0</v>
      </c>
    </row>
    <row r="34" spans="1:28" ht="25.35" customHeight="1" x14ac:dyDescent="0.25">
      <c r="AA34" s="42">
        <f>SUM(AA5:AA33)</f>
        <v>0</v>
      </c>
      <c r="AB34" s="42">
        <f>SUM(AB5:AB33)</f>
        <v>0</v>
      </c>
    </row>
    <row r="35" spans="1:28" ht="25.35" customHeight="1" x14ac:dyDescent="0.25"/>
    <row r="36" spans="1:28" ht="25.35" customHeight="1" x14ac:dyDescent="0.25"/>
    <row r="37" spans="1:28" ht="25.35" customHeight="1" x14ac:dyDescent="0.25"/>
    <row r="38" spans="1:28" ht="25.35" customHeight="1" x14ac:dyDescent="0.25"/>
    <row r="39" spans="1:28" ht="25.35" customHeight="1" x14ac:dyDescent="0.25"/>
    <row r="40" spans="1:28" s="41" customFormat="1" ht="25.35" customHeight="1" x14ac:dyDescent="0.25">
      <c r="B40" s="14"/>
    </row>
    <row r="41" spans="1:28" s="41" customFormat="1" ht="25.35" customHeight="1" x14ac:dyDescent="0.25">
      <c r="B41" s="14"/>
    </row>
    <row r="42" spans="1:28" s="41" customFormat="1" ht="25.35" customHeight="1" x14ac:dyDescent="0.25">
      <c r="B42" s="14"/>
    </row>
    <row r="43" spans="1:28" s="41" customFormat="1" ht="25.35" customHeight="1" x14ac:dyDescent="0.25">
      <c r="B43" s="14"/>
    </row>
    <row r="44" spans="1:28" s="41" customFormat="1" ht="25.35" customHeight="1" x14ac:dyDescent="0.25">
      <c r="B44" s="14"/>
    </row>
    <row r="45" spans="1:28" s="41" customFormat="1" ht="25.35" customHeight="1" x14ac:dyDescent="0.25">
      <c r="B45" s="14"/>
    </row>
    <row r="46" spans="1:28" s="41" customFormat="1" ht="25.35" customHeight="1" x14ac:dyDescent="0.25">
      <c r="B46" s="14"/>
    </row>
    <row r="47" spans="1:28" s="41" customFormat="1" ht="25.35" customHeight="1" x14ac:dyDescent="0.25">
      <c r="B47" s="14"/>
    </row>
    <row r="48" spans="1:28" s="41" customFormat="1" ht="25.35" customHeight="1" x14ac:dyDescent="0.25">
      <c r="B48" s="14"/>
    </row>
    <row r="49" spans="2:2" s="41" customFormat="1" ht="25.35" customHeight="1" x14ac:dyDescent="0.25">
      <c r="B49" s="14"/>
    </row>
    <row r="50" spans="2:2" s="41" customFormat="1" ht="25.35" customHeight="1" x14ac:dyDescent="0.25">
      <c r="B50" s="14"/>
    </row>
    <row r="51" spans="2:2" s="41" customFormat="1" ht="25.35" customHeight="1" x14ac:dyDescent="0.25">
      <c r="B51" s="14"/>
    </row>
    <row r="52" spans="2:2" s="41" customFormat="1" ht="25.35" customHeight="1" x14ac:dyDescent="0.25">
      <c r="B52" s="14"/>
    </row>
    <row r="53" spans="2:2" s="41" customFormat="1" ht="25.35" customHeight="1" x14ac:dyDescent="0.25">
      <c r="B53" s="14"/>
    </row>
    <row r="54" spans="2:2" s="41" customFormat="1" ht="25.35" customHeight="1" x14ac:dyDescent="0.25">
      <c r="B54" s="14"/>
    </row>
    <row r="55" spans="2:2" s="41" customFormat="1" ht="25.35" customHeight="1" x14ac:dyDescent="0.25">
      <c r="B55" s="14"/>
    </row>
    <row r="56" spans="2:2" s="41" customFormat="1" ht="25.35" customHeight="1" x14ac:dyDescent="0.25">
      <c r="B56" s="14"/>
    </row>
    <row r="57" spans="2:2" s="41" customFormat="1" ht="25.35" customHeight="1" x14ac:dyDescent="0.25">
      <c r="B57" s="14"/>
    </row>
    <row r="58" spans="2:2" s="41" customFormat="1" ht="25.35" customHeight="1" x14ac:dyDescent="0.25">
      <c r="B58" s="14"/>
    </row>
    <row r="59" spans="2:2" s="41" customFormat="1" ht="25.35" customHeight="1" x14ac:dyDescent="0.25">
      <c r="B59" s="14"/>
    </row>
    <row r="60" spans="2:2" s="41" customFormat="1" ht="25.35" customHeight="1" x14ac:dyDescent="0.25">
      <c r="B60" s="14"/>
    </row>
    <row r="61" spans="2:2" s="41" customFormat="1" ht="25.35" customHeight="1" x14ac:dyDescent="0.25">
      <c r="B61" s="14"/>
    </row>
    <row r="62" spans="2:2" s="41" customFormat="1" ht="25.35" customHeight="1" x14ac:dyDescent="0.25">
      <c r="B62" s="14"/>
    </row>
    <row r="63" spans="2:2" s="41" customFormat="1" ht="25.35" customHeight="1" x14ac:dyDescent="0.25">
      <c r="B63" s="14"/>
    </row>
    <row r="64" spans="2:2" s="41" customFormat="1" ht="25.35" customHeight="1" x14ac:dyDescent="0.25">
      <c r="B64" s="14"/>
    </row>
    <row r="65" spans="2:2" s="41" customFormat="1" ht="25.35" customHeight="1" x14ac:dyDescent="0.25">
      <c r="B65" s="14"/>
    </row>
    <row r="66" spans="2:2" s="41" customFormat="1" ht="25.35" customHeight="1" x14ac:dyDescent="0.25">
      <c r="B66" s="14"/>
    </row>
    <row r="67" spans="2:2" s="41" customFormat="1" ht="25.35" customHeight="1" x14ac:dyDescent="0.25">
      <c r="B67" s="14"/>
    </row>
    <row r="68" spans="2:2" s="41" customFormat="1" ht="25.35" customHeight="1" x14ac:dyDescent="0.25">
      <c r="B68" s="14"/>
    </row>
    <row r="69" spans="2:2" s="41" customFormat="1" ht="25.35" customHeight="1" x14ac:dyDescent="0.25">
      <c r="B69" s="14"/>
    </row>
    <row r="70" spans="2:2" s="41" customFormat="1" ht="25.35" customHeight="1" x14ac:dyDescent="0.25">
      <c r="B70" s="14"/>
    </row>
    <row r="71" spans="2:2" s="41" customFormat="1" ht="25.35" customHeight="1" x14ac:dyDescent="0.25">
      <c r="B71" s="14"/>
    </row>
    <row r="72" spans="2:2" s="41" customFormat="1" ht="25.35" customHeight="1" x14ac:dyDescent="0.25">
      <c r="B72" s="14"/>
    </row>
    <row r="73" spans="2:2" s="41" customFormat="1" ht="25.35" customHeight="1" x14ac:dyDescent="0.25">
      <c r="B73" s="14"/>
    </row>
    <row r="74" spans="2:2" s="41" customFormat="1" ht="25.35" customHeight="1" x14ac:dyDescent="0.25">
      <c r="B74" s="14"/>
    </row>
    <row r="75" spans="2:2" s="41" customFormat="1" ht="25.35" customHeight="1" x14ac:dyDescent="0.25">
      <c r="B75" s="14"/>
    </row>
    <row r="76" spans="2:2" s="41" customFormat="1" ht="25.35" customHeight="1" x14ac:dyDescent="0.25">
      <c r="B76" s="14"/>
    </row>
    <row r="77" spans="2:2" s="41" customFormat="1" ht="25.35" customHeight="1" x14ac:dyDescent="0.25">
      <c r="B77" s="14"/>
    </row>
    <row r="78" spans="2:2" s="41" customFormat="1" ht="25.35" customHeight="1" x14ac:dyDescent="0.25">
      <c r="B78" s="14"/>
    </row>
    <row r="79" spans="2:2" s="41" customFormat="1" ht="25.35" customHeight="1" x14ac:dyDescent="0.25">
      <c r="B79" s="14"/>
    </row>
    <row r="80" spans="2:2" s="41" customFormat="1" ht="25.35" customHeight="1" x14ac:dyDescent="0.25">
      <c r="B80" s="14"/>
    </row>
    <row r="81" spans="2:2" s="41" customFormat="1" ht="25.35" customHeight="1" x14ac:dyDescent="0.25">
      <c r="B81" s="14"/>
    </row>
    <row r="82" spans="2:2" s="41" customFormat="1" ht="25.35" customHeight="1" x14ac:dyDescent="0.25">
      <c r="B82" s="14"/>
    </row>
    <row r="83" spans="2:2" s="41" customFormat="1" ht="25.35" customHeight="1" x14ac:dyDescent="0.25">
      <c r="B83" s="14"/>
    </row>
    <row r="84" spans="2:2" s="41" customFormat="1" ht="25.35" customHeight="1" x14ac:dyDescent="0.25">
      <c r="B84" s="14"/>
    </row>
    <row r="85" spans="2:2" s="41" customFormat="1" ht="25.35" customHeight="1" x14ac:dyDescent="0.25">
      <c r="B85" s="14"/>
    </row>
    <row r="86" spans="2:2" s="41" customFormat="1" ht="25.35" customHeight="1" x14ac:dyDescent="0.25">
      <c r="B86" s="14"/>
    </row>
    <row r="87" spans="2:2" s="41" customFormat="1" ht="25.35" customHeight="1" x14ac:dyDescent="0.25">
      <c r="B87" s="14"/>
    </row>
    <row r="88" spans="2:2" s="41" customFormat="1" ht="25.35" customHeight="1" x14ac:dyDescent="0.25">
      <c r="B88" s="14"/>
    </row>
    <row r="89" spans="2:2" s="41" customFormat="1" ht="25.35" customHeight="1" x14ac:dyDescent="0.25">
      <c r="B89" s="14"/>
    </row>
    <row r="90" spans="2:2" s="41" customFormat="1" ht="25.35" customHeight="1" x14ac:dyDescent="0.25">
      <c r="B90" s="14"/>
    </row>
    <row r="91" spans="2:2" s="41" customFormat="1" ht="25.35" customHeight="1" x14ac:dyDescent="0.25">
      <c r="B91" s="14"/>
    </row>
    <row r="92" spans="2:2" s="41" customFormat="1" ht="25.35" customHeight="1" x14ac:dyDescent="0.25">
      <c r="B92" s="14"/>
    </row>
    <row r="93" spans="2:2" s="41" customFormat="1" ht="25.35" customHeight="1" x14ac:dyDescent="0.25">
      <c r="B93" s="14"/>
    </row>
    <row r="94" spans="2:2" s="41" customFormat="1" ht="25.35" customHeight="1" x14ac:dyDescent="0.25">
      <c r="B94" s="14"/>
    </row>
    <row r="95" spans="2:2" s="41" customFormat="1" ht="25.35" customHeight="1" x14ac:dyDescent="0.25">
      <c r="B95" s="14"/>
    </row>
    <row r="96" spans="2:2" s="41" customFormat="1" ht="25.35" customHeight="1" x14ac:dyDescent="0.25">
      <c r="B96" s="14"/>
    </row>
    <row r="97" spans="2:2" s="41" customFormat="1" ht="25.35" customHeight="1" x14ac:dyDescent="0.25">
      <c r="B97" s="14"/>
    </row>
    <row r="98" spans="2:2" s="41" customFormat="1" ht="25.35" customHeight="1" x14ac:dyDescent="0.25">
      <c r="B98" s="14"/>
    </row>
    <row r="99" spans="2:2" s="41" customFormat="1" ht="25.35" customHeight="1" x14ac:dyDescent="0.25">
      <c r="B99" s="14"/>
    </row>
    <row r="100" spans="2:2" s="41" customFormat="1" ht="25.35" customHeight="1" x14ac:dyDescent="0.25">
      <c r="B100" s="14"/>
    </row>
    <row r="101" spans="2:2" s="41" customFormat="1" ht="25.35" customHeight="1" x14ac:dyDescent="0.25">
      <c r="B101" s="14"/>
    </row>
    <row r="102" spans="2:2" s="41" customFormat="1" ht="25.35" customHeight="1" x14ac:dyDescent="0.25">
      <c r="B102" s="14"/>
    </row>
  </sheetData>
  <mergeCells count="17">
    <mergeCell ref="C1:AB1"/>
    <mergeCell ref="A2:A4"/>
    <mergeCell ref="B2:B4"/>
    <mergeCell ref="C2:AB2"/>
    <mergeCell ref="C3:D3"/>
    <mergeCell ref="E3:F3"/>
    <mergeCell ref="G3:H3"/>
    <mergeCell ref="I3:J3"/>
    <mergeCell ref="K3:L3"/>
    <mergeCell ref="M3:N3"/>
    <mergeCell ref="AA3:AB3"/>
    <mergeCell ref="O3:P3"/>
    <mergeCell ref="Q3:R3"/>
    <mergeCell ref="S3:T3"/>
    <mergeCell ref="U3:V3"/>
    <mergeCell ref="W3:X3"/>
    <mergeCell ref="Y3:Z3"/>
  </mergeCells>
  <hyperlinks>
    <hyperlink ref="C1:AB1" location="'2-FollowUpSales'!A1" display="'2-FollowUpSales'!A1" xr:uid="{45B2AF59-14D6-4AF5-B162-8436B72AE69F}"/>
  </hyperlink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5E5D-B325-495B-BAE1-3057ED324DE2}">
  <dimension ref="A1:AJ73"/>
  <sheetViews>
    <sheetView topLeftCell="B14" workbookViewId="0">
      <selection activeCell="A41" sqref="A41:XFD70"/>
    </sheetView>
  </sheetViews>
  <sheetFormatPr defaultColWidth="9.140625" defaultRowHeight="18" x14ac:dyDescent="0.25"/>
  <cols>
    <col min="1" max="1" width="9.140625" style="41"/>
    <col min="2" max="2" width="12.42578125" style="14" customWidth="1"/>
    <col min="3" max="4" width="11.42578125" style="4" customWidth="1"/>
    <col min="5" max="5" width="11.42578125" style="4" bestFit="1" customWidth="1"/>
    <col min="6" max="6" width="11.42578125" style="4" customWidth="1"/>
    <col min="7" max="10" width="9.28515625" style="4" bestFit="1" customWidth="1"/>
    <col min="11" max="11" width="9.140625" style="4"/>
    <col min="12" max="13" width="9.28515625" style="4" bestFit="1" customWidth="1"/>
    <col min="14" max="14" width="9.85546875" style="4" bestFit="1" customWidth="1"/>
    <col min="15" max="17" width="9.28515625" style="4" bestFit="1" customWidth="1"/>
    <col min="18" max="18" width="9.85546875" style="4" bestFit="1" customWidth="1"/>
    <col min="19" max="20" width="9.28515625" style="4" bestFit="1" customWidth="1"/>
    <col min="21" max="21" width="9.140625" style="4"/>
    <col min="22" max="22" width="9.28515625" style="4" bestFit="1" customWidth="1"/>
    <col min="23" max="23" width="9.140625" style="4"/>
    <col min="24" max="24" width="9.28515625" style="4" bestFit="1" customWidth="1"/>
    <col min="25" max="25" width="9.140625" style="4"/>
    <col min="26" max="26" width="9.28515625" style="4" bestFit="1" customWidth="1"/>
    <col min="27" max="27" width="9.85546875" style="4" bestFit="1" customWidth="1"/>
    <col min="28" max="28" width="11" style="4" bestFit="1" customWidth="1"/>
    <col min="29" max="29" width="9.140625" style="4"/>
    <col min="30" max="30" width="10.7109375" style="4" customWidth="1"/>
    <col min="31" max="31" width="11.85546875" style="4" customWidth="1"/>
    <col min="32" max="16384" width="9.140625" style="4"/>
  </cols>
  <sheetData>
    <row r="1" spans="1:34" x14ac:dyDescent="0.25">
      <c r="A1" s="28"/>
      <c r="B1" s="29"/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  <c r="R1" s="516"/>
      <c r="S1" s="516"/>
      <c r="T1" s="516"/>
      <c r="U1" s="516"/>
      <c r="V1" s="516"/>
      <c r="W1" s="516"/>
      <c r="X1" s="516"/>
      <c r="Y1" s="516"/>
      <c r="Z1" s="516"/>
      <c r="AA1" s="516"/>
      <c r="AB1" s="516"/>
      <c r="AD1" s="4" t="s">
        <v>135</v>
      </c>
      <c r="AE1" s="4">
        <f>AA35</f>
        <v>0</v>
      </c>
      <c r="AG1" s="30">
        <v>12</v>
      </c>
      <c r="AH1" s="31">
        <v>14</v>
      </c>
    </row>
    <row r="2" spans="1:34" s="27" customFormat="1" x14ac:dyDescent="0.25">
      <c r="A2" s="505" t="s">
        <v>1</v>
      </c>
      <c r="B2" s="506" t="s">
        <v>0</v>
      </c>
      <c r="C2" s="529" t="s">
        <v>139</v>
      </c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6"/>
      <c r="T2" s="516"/>
      <c r="U2" s="516"/>
      <c r="V2" s="516"/>
      <c r="W2" s="516"/>
      <c r="X2" s="516"/>
      <c r="Y2" s="516"/>
      <c r="Z2" s="516"/>
      <c r="AA2" s="516"/>
      <c r="AB2" s="516"/>
      <c r="AD2" s="4" t="s">
        <v>137</v>
      </c>
      <c r="AE2" s="27">
        <f>AB35</f>
        <v>0</v>
      </c>
      <c r="AG2" s="32">
        <v>24</v>
      </c>
      <c r="AH2" s="33">
        <v>40</v>
      </c>
    </row>
    <row r="3" spans="1:34" s="27" customFormat="1" ht="38.450000000000003" customHeight="1" x14ac:dyDescent="0.25">
      <c r="A3" s="505"/>
      <c r="B3" s="506"/>
      <c r="C3" s="508" t="s">
        <v>37</v>
      </c>
      <c r="D3" s="509"/>
      <c r="E3" s="510" t="s">
        <v>50</v>
      </c>
      <c r="F3" s="510"/>
      <c r="G3" s="511" t="s">
        <v>52</v>
      </c>
      <c r="H3" s="511"/>
      <c r="I3" s="512" t="s">
        <v>56</v>
      </c>
      <c r="J3" s="512"/>
      <c r="K3" s="510" t="s">
        <v>58</v>
      </c>
      <c r="L3" s="510"/>
      <c r="M3" s="511" t="s">
        <v>60</v>
      </c>
      <c r="N3" s="511"/>
      <c r="O3" s="513" t="s">
        <v>42</v>
      </c>
      <c r="P3" s="514"/>
      <c r="Q3" s="515" t="s">
        <v>45</v>
      </c>
      <c r="R3" s="515"/>
      <c r="S3" s="511" t="s">
        <v>48</v>
      </c>
      <c r="T3" s="511"/>
      <c r="U3" s="512" t="s">
        <v>55</v>
      </c>
      <c r="V3" s="512"/>
      <c r="W3" s="511" t="s">
        <v>39</v>
      </c>
      <c r="X3" s="511"/>
      <c r="Y3" s="511" t="s">
        <v>11</v>
      </c>
      <c r="Z3" s="511"/>
      <c r="AA3" s="517" t="s">
        <v>138</v>
      </c>
      <c r="AB3" s="517"/>
    </row>
    <row r="4" spans="1:34" s="27" customFormat="1" x14ac:dyDescent="0.25">
      <c r="A4" s="505"/>
      <c r="B4" s="506"/>
      <c r="C4" s="34" t="s">
        <v>3</v>
      </c>
      <c r="D4" s="34" t="s">
        <v>4</v>
      </c>
      <c r="E4" s="23" t="s">
        <v>3</v>
      </c>
      <c r="F4" s="23" t="s">
        <v>4</v>
      </c>
      <c r="G4" s="35" t="s">
        <v>3</v>
      </c>
      <c r="H4" s="35" t="s">
        <v>4</v>
      </c>
      <c r="I4" s="19" t="s">
        <v>3</v>
      </c>
      <c r="J4" s="19" t="s">
        <v>4</v>
      </c>
      <c r="K4" s="23" t="s">
        <v>3</v>
      </c>
      <c r="L4" s="23" t="s">
        <v>4</v>
      </c>
      <c r="M4" s="35" t="s">
        <v>3</v>
      </c>
      <c r="N4" s="35" t="s">
        <v>4</v>
      </c>
      <c r="O4" s="35" t="s">
        <v>3</v>
      </c>
      <c r="P4" s="35" t="s">
        <v>4</v>
      </c>
      <c r="Q4" s="36" t="s">
        <v>3</v>
      </c>
      <c r="R4" s="36" t="s">
        <v>4</v>
      </c>
      <c r="S4" s="35" t="s">
        <v>3</v>
      </c>
      <c r="T4" s="35" t="s">
        <v>4</v>
      </c>
      <c r="U4" s="19" t="s">
        <v>3</v>
      </c>
      <c r="V4" s="19" t="s">
        <v>4</v>
      </c>
      <c r="W4" s="35" t="s">
        <v>3</v>
      </c>
      <c r="X4" s="35" t="s">
        <v>4</v>
      </c>
      <c r="Y4" s="35" t="s">
        <v>3</v>
      </c>
      <c r="Z4" s="35" t="s">
        <v>4</v>
      </c>
      <c r="AA4" s="22" t="s">
        <v>3</v>
      </c>
      <c r="AB4" s="22" t="s">
        <v>4</v>
      </c>
      <c r="AG4" s="37"/>
    </row>
    <row r="5" spans="1:34" ht="25.35" customHeight="1" x14ac:dyDescent="0.25">
      <c r="A5" s="38">
        <v>1</v>
      </c>
      <c r="B5" s="39">
        <v>45597</v>
      </c>
      <c r="C5" s="26"/>
      <c r="D5" s="26"/>
      <c r="E5" s="26"/>
      <c r="F5" s="26">
        <f>E5*14</f>
        <v>0</v>
      </c>
      <c r="G5" s="26"/>
      <c r="H5" s="26"/>
      <c r="I5" s="26"/>
      <c r="J5" s="26"/>
      <c r="K5" s="26"/>
      <c r="L5" s="26">
        <f>K5*24</f>
        <v>0</v>
      </c>
      <c r="M5" s="26"/>
      <c r="N5" s="26">
        <f>M5*14</f>
        <v>0</v>
      </c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>
        <f>C5+E5+G5+I5+K5+M5+O5+Q5+S5+U5+W5+Y5</f>
        <v>0</v>
      </c>
      <c r="AB5" s="26">
        <f>D5+F5+H5+J5+L5+N5+P5+R5+T5+V5+X5+Z5</f>
        <v>0</v>
      </c>
    </row>
    <row r="6" spans="1:34" ht="25.35" customHeight="1" x14ac:dyDescent="0.25">
      <c r="A6" s="38">
        <v>2</v>
      </c>
      <c r="B6" s="39">
        <v>45598</v>
      </c>
      <c r="C6" s="26"/>
      <c r="D6" s="26"/>
      <c r="E6" s="26"/>
      <c r="F6" s="26">
        <f t="shared" ref="F6:F34" si="0">E6*14</f>
        <v>0</v>
      </c>
      <c r="G6" s="26"/>
      <c r="H6" s="26"/>
      <c r="I6" s="26"/>
      <c r="J6" s="26"/>
      <c r="K6" s="26"/>
      <c r="L6" s="26">
        <f t="shared" ref="L6:L34" si="1">K6*24</f>
        <v>0</v>
      </c>
      <c r="M6" s="26"/>
      <c r="N6" s="26">
        <f t="shared" ref="N6:N34" si="2">M6*14</f>
        <v>0</v>
      </c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>
        <f t="shared" ref="AA6:AB34" si="3">C6+E6+G6+I6+K6+M6+O6+Q6+S6+U6+W6+Y6</f>
        <v>0</v>
      </c>
      <c r="AB6" s="26">
        <f t="shared" si="3"/>
        <v>0</v>
      </c>
    </row>
    <row r="7" spans="1:34" ht="25.35" customHeight="1" x14ac:dyDescent="0.25">
      <c r="A7" s="38">
        <v>3</v>
      </c>
      <c r="B7" s="39">
        <v>45599</v>
      </c>
      <c r="C7" s="26"/>
      <c r="D7" s="26"/>
      <c r="E7" s="26"/>
      <c r="F7" s="26">
        <f t="shared" si="0"/>
        <v>0</v>
      </c>
      <c r="G7" s="26"/>
      <c r="H7" s="26"/>
      <c r="I7" s="26"/>
      <c r="J7" s="26"/>
      <c r="K7" s="26"/>
      <c r="L7" s="26">
        <f t="shared" si="1"/>
        <v>0</v>
      </c>
      <c r="M7" s="26"/>
      <c r="N7" s="26">
        <f t="shared" si="2"/>
        <v>0</v>
      </c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>
        <f t="shared" si="3"/>
        <v>0</v>
      </c>
      <c r="AB7" s="26">
        <f t="shared" si="3"/>
        <v>0</v>
      </c>
    </row>
    <row r="8" spans="1:34" ht="25.35" customHeight="1" x14ac:dyDescent="0.25">
      <c r="A8" s="38">
        <v>4</v>
      </c>
      <c r="B8" s="39">
        <v>45600</v>
      </c>
      <c r="C8" s="26"/>
      <c r="D8" s="26"/>
      <c r="E8" s="26"/>
      <c r="F8" s="26">
        <f t="shared" si="0"/>
        <v>0</v>
      </c>
      <c r="G8" s="26"/>
      <c r="H8" s="26"/>
      <c r="I8" s="26"/>
      <c r="J8" s="26"/>
      <c r="K8" s="26"/>
      <c r="L8" s="26">
        <f t="shared" si="1"/>
        <v>0</v>
      </c>
      <c r="M8" s="26"/>
      <c r="N8" s="26">
        <f t="shared" si="2"/>
        <v>0</v>
      </c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>
        <f t="shared" si="3"/>
        <v>0</v>
      </c>
      <c r="AB8" s="26">
        <f t="shared" si="3"/>
        <v>0</v>
      </c>
    </row>
    <row r="9" spans="1:34" ht="25.35" customHeight="1" x14ac:dyDescent="0.25">
      <c r="A9" s="38">
        <v>5</v>
      </c>
      <c r="B9" s="39">
        <v>45601</v>
      </c>
      <c r="C9" s="26"/>
      <c r="D9" s="26"/>
      <c r="E9" s="26"/>
      <c r="F9" s="26">
        <f t="shared" si="0"/>
        <v>0</v>
      </c>
      <c r="G9" s="26"/>
      <c r="H9" s="26"/>
      <c r="I9" s="26"/>
      <c r="J9" s="26"/>
      <c r="K9" s="26"/>
      <c r="L9" s="26">
        <f t="shared" si="1"/>
        <v>0</v>
      </c>
      <c r="M9" s="26"/>
      <c r="N9" s="26">
        <f t="shared" si="2"/>
        <v>0</v>
      </c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>
        <f t="shared" si="3"/>
        <v>0</v>
      </c>
      <c r="AB9" s="26">
        <f t="shared" si="3"/>
        <v>0</v>
      </c>
    </row>
    <row r="10" spans="1:34" ht="25.35" customHeight="1" x14ac:dyDescent="0.5">
      <c r="A10" s="38">
        <v>6</v>
      </c>
      <c r="B10" s="39">
        <v>45602</v>
      </c>
      <c r="C10" s="26"/>
      <c r="D10" s="26"/>
      <c r="E10" s="26"/>
      <c r="F10" s="26">
        <f t="shared" si="0"/>
        <v>0</v>
      </c>
      <c r="G10" s="26"/>
      <c r="H10" s="26"/>
      <c r="I10" s="26"/>
      <c r="J10" s="26"/>
      <c r="K10" s="17"/>
      <c r="L10" s="26">
        <f t="shared" si="1"/>
        <v>0</v>
      </c>
      <c r="M10" s="26"/>
      <c r="N10" s="26">
        <f t="shared" si="2"/>
        <v>0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>
        <f t="shared" si="3"/>
        <v>0</v>
      </c>
      <c r="AB10" s="26">
        <f t="shared" si="3"/>
        <v>0</v>
      </c>
    </row>
    <row r="11" spans="1:34" ht="25.35" customHeight="1" x14ac:dyDescent="0.25">
      <c r="A11" s="38">
        <v>7</v>
      </c>
      <c r="B11" s="39">
        <v>45603</v>
      </c>
      <c r="C11" s="26"/>
      <c r="D11" s="26"/>
      <c r="E11" s="26"/>
      <c r="F11" s="26">
        <f t="shared" si="0"/>
        <v>0</v>
      </c>
      <c r="G11" s="26"/>
      <c r="H11" s="26"/>
      <c r="I11" s="26"/>
      <c r="J11" s="26"/>
      <c r="K11" s="26"/>
      <c r="L11" s="26">
        <f t="shared" si="1"/>
        <v>0</v>
      </c>
      <c r="M11" s="26"/>
      <c r="N11" s="26">
        <f t="shared" si="2"/>
        <v>0</v>
      </c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>
        <f t="shared" si="3"/>
        <v>0</v>
      </c>
      <c r="AB11" s="26">
        <f t="shared" si="3"/>
        <v>0</v>
      </c>
    </row>
    <row r="12" spans="1:34" ht="25.35" customHeight="1" x14ac:dyDescent="0.25">
      <c r="A12" s="38">
        <v>8</v>
      </c>
      <c r="B12" s="39">
        <v>45604</v>
      </c>
      <c r="C12" s="26"/>
      <c r="D12" s="26"/>
      <c r="E12" s="26"/>
      <c r="F12" s="26">
        <f t="shared" si="0"/>
        <v>0</v>
      </c>
      <c r="G12" s="26"/>
      <c r="H12" s="26"/>
      <c r="I12" s="26"/>
      <c r="J12" s="26"/>
      <c r="K12" s="26"/>
      <c r="L12" s="26">
        <f t="shared" si="1"/>
        <v>0</v>
      </c>
      <c r="M12" s="26"/>
      <c r="N12" s="26">
        <f t="shared" si="2"/>
        <v>0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>
        <f t="shared" si="3"/>
        <v>0</v>
      </c>
      <c r="AB12" s="26">
        <f t="shared" si="3"/>
        <v>0</v>
      </c>
    </row>
    <row r="13" spans="1:34" ht="25.35" customHeight="1" x14ac:dyDescent="0.25">
      <c r="A13" s="38">
        <v>9</v>
      </c>
      <c r="B13" s="39">
        <v>45605</v>
      </c>
      <c r="C13" s="26"/>
      <c r="D13" s="26"/>
      <c r="E13" s="26"/>
      <c r="F13" s="26">
        <f t="shared" si="0"/>
        <v>0</v>
      </c>
      <c r="G13" s="26"/>
      <c r="H13" s="26"/>
      <c r="I13" s="26"/>
      <c r="J13" s="26"/>
      <c r="K13" s="26"/>
      <c r="L13" s="26">
        <f t="shared" si="1"/>
        <v>0</v>
      </c>
      <c r="M13" s="26"/>
      <c r="N13" s="26">
        <f t="shared" si="2"/>
        <v>0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>
        <f t="shared" si="3"/>
        <v>0</v>
      </c>
      <c r="AB13" s="26">
        <f t="shared" si="3"/>
        <v>0</v>
      </c>
    </row>
    <row r="14" spans="1:34" ht="25.35" customHeight="1" x14ac:dyDescent="0.25">
      <c r="A14" s="38">
        <v>10</v>
      </c>
      <c r="B14" s="39">
        <v>45606</v>
      </c>
      <c r="C14" s="26"/>
      <c r="D14" s="26"/>
      <c r="E14" s="26"/>
      <c r="F14" s="26">
        <f t="shared" si="0"/>
        <v>0</v>
      </c>
      <c r="G14" s="26"/>
      <c r="H14" s="26"/>
      <c r="I14" s="26"/>
      <c r="J14" s="26"/>
      <c r="K14" s="26"/>
      <c r="L14" s="26">
        <f t="shared" si="1"/>
        <v>0</v>
      </c>
      <c r="M14" s="26"/>
      <c r="N14" s="26">
        <f t="shared" si="2"/>
        <v>0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>
        <f>C14+E14+G14+I14+K14+M14+O14+Q14+S14+U14+W14+Y14</f>
        <v>0</v>
      </c>
      <c r="AB14" s="26">
        <f>D14+F14+H14+J14+L14+N14+P14+R14+T14+V14+X14+Z14</f>
        <v>0</v>
      </c>
    </row>
    <row r="15" spans="1:34" ht="25.35" customHeight="1" x14ac:dyDescent="0.25">
      <c r="A15" s="38">
        <v>11</v>
      </c>
      <c r="B15" s="39">
        <v>45607</v>
      </c>
      <c r="C15" s="26"/>
      <c r="D15" s="26"/>
      <c r="E15" s="26"/>
      <c r="F15" s="26">
        <f t="shared" si="0"/>
        <v>0</v>
      </c>
      <c r="G15" s="26"/>
      <c r="H15" s="26"/>
      <c r="I15" s="26"/>
      <c r="J15" s="26"/>
      <c r="K15" s="26"/>
      <c r="L15" s="26">
        <f t="shared" si="1"/>
        <v>0</v>
      </c>
      <c r="M15" s="26"/>
      <c r="N15" s="26">
        <f t="shared" si="2"/>
        <v>0</v>
      </c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>
        <f t="shared" si="3"/>
        <v>0</v>
      </c>
      <c r="AB15" s="26">
        <f t="shared" si="3"/>
        <v>0</v>
      </c>
    </row>
    <row r="16" spans="1:34" ht="25.35" customHeight="1" x14ac:dyDescent="0.25">
      <c r="A16" s="38">
        <v>12</v>
      </c>
      <c r="B16" s="39">
        <v>45608</v>
      </c>
      <c r="C16" s="26"/>
      <c r="D16" s="26"/>
      <c r="E16" s="26"/>
      <c r="F16" s="26">
        <f t="shared" si="0"/>
        <v>0</v>
      </c>
      <c r="G16" s="26"/>
      <c r="H16" s="26"/>
      <c r="I16" s="26"/>
      <c r="J16" s="26"/>
      <c r="K16" s="26"/>
      <c r="L16" s="26">
        <f t="shared" si="1"/>
        <v>0</v>
      </c>
      <c r="M16" s="26"/>
      <c r="N16" s="26">
        <f t="shared" si="2"/>
        <v>0</v>
      </c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>
        <f t="shared" si="3"/>
        <v>0</v>
      </c>
      <c r="AB16" s="26">
        <f t="shared" si="3"/>
        <v>0</v>
      </c>
    </row>
    <row r="17" spans="1:28" ht="25.35" customHeight="1" x14ac:dyDescent="0.25">
      <c r="A17" s="38">
        <v>13</v>
      </c>
      <c r="B17" s="39">
        <v>45609</v>
      </c>
      <c r="C17" s="26"/>
      <c r="D17" s="26"/>
      <c r="E17" s="26"/>
      <c r="F17" s="26">
        <f t="shared" si="0"/>
        <v>0</v>
      </c>
      <c r="G17" s="26"/>
      <c r="H17" s="26"/>
      <c r="I17" s="26"/>
      <c r="J17" s="26"/>
      <c r="K17" s="26"/>
      <c r="L17" s="26">
        <f t="shared" si="1"/>
        <v>0</v>
      </c>
      <c r="M17" s="26"/>
      <c r="N17" s="26">
        <f t="shared" si="2"/>
        <v>0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>
        <f t="shared" si="3"/>
        <v>0</v>
      </c>
      <c r="AB17" s="26">
        <f t="shared" si="3"/>
        <v>0</v>
      </c>
    </row>
    <row r="18" spans="1:28" ht="25.35" customHeight="1" x14ac:dyDescent="0.25">
      <c r="A18" s="38">
        <v>14</v>
      </c>
      <c r="B18" s="39">
        <v>45610</v>
      </c>
      <c r="C18" s="26"/>
      <c r="D18" s="26"/>
      <c r="E18" s="26"/>
      <c r="F18" s="26">
        <f t="shared" si="0"/>
        <v>0</v>
      </c>
      <c r="G18" s="26"/>
      <c r="H18" s="26"/>
      <c r="I18" s="26"/>
      <c r="J18" s="26"/>
      <c r="K18" s="26"/>
      <c r="L18" s="26">
        <f t="shared" si="1"/>
        <v>0</v>
      </c>
      <c r="M18" s="26"/>
      <c r="N18" s="26">
        <f t="shared" si="2"/>
        <v>0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>
        <f t="shared" si="3"/>
        <v>0</v>
      </c>
      <c r="AB18" s="26">
        <f t="shared" si="3"/>
        <v>0</v>
      </c>
    </row>
    <row r="19" spans="1:28" ht="25.35" customHeight="1" x14ac:dyDescent="0.25">
      <c r="A19" s="38">
        <v>16</v>
      </c>
      <c r="B19" s="39">
        <v>45611</v>
      </c>
      <c r="C19" s="26"/>
      <c r="D19" s="26"/>
      <c r="E19" s="26"/>
      <c r="F19" s="26">
        <f t="shared" si="0"/>
        <v>0</v>
      </c>
      <c r="G19" s="26"/>
      <c r="H19" s="26"/>
      <c r="I19" s="26"/>
      <c r="J19" s="26"/>
      <c r="K19" s="26"/>
      <c r="L19" s="26">
        <f t="shared" si="1"/>
        <v>0</v>
      </c>
      <c r="M19" s="26"/>
      <c r="N19" s="26">
        <f t="shared" si="2"/>
        <v>0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>
        <f t="shared" si="3"/>
        <v>0</v>
      </c>
      <c r="AB19" s="26">
        <f t="shared" si="3"/>
        <v>0</v>
      </c>
    </row>
    <row r="20" spans="1:28" ht="25.35" customHeight="1" x14ac:dyDescent="0.25">
      <c r="A20" s="38">
        <v>17</v>
      </c>
      <c r="B20" s="39">
        <v>45612</v>
      </c>
      <c r="C20" s="26"/>
      <c r="D20" s="26"/>
      <c r="E20" s="26"/>
      <c r="F20" s="26">
        <f t="shared" si="0"/>
        <v>0</v>
      </c>
      <c r="G20" s="26"/>
      <c r="H20" s="26"/>
      <c r="I20" s="26"/>
      <c r="J20" s="26"/>
      <c r="K20" s="26"/>
      <c r="L20" s="26">
        <f t="shared" si="1"/>
        <v>0</v>
      </c>
      <c r="M20" s="26"/>
      <c r="N20" s="26">
        <f t="shared" si="2"/>
        <v>0</v>
      </c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>
        <f t="shared" si="3"/>
        <v>0</v>
      </c>
      <c r="AB20" s="26">
        <f t="shared" si="3"/>
        <v>0</v>
      </c>
    </row>
    <row r="21" spans="1:28" ht="25.35" customHeight="1" x14ac:dyDescent="0.25">
      <c r="A21" s="38">
        <v>18</v>
      </c>
      <c r="B21" s="39">
        <v>45613</v>
      </c>
      <c r="C21" s="26"/>
      <c r="D21" s="26"/>
      <c r="E21" s="26"/>
      <c r="F21" s="26">
        <f t="shared" si="0"/>
        <v>0</v>
      </c>
      <c r="G21" s="26"/>
      <c r="H21" s="26"/>
      <c r="I21" s="26"/>
      <c r="J21" s="26"/>
      <c r="K21" s="26"/>
      <c r="L21" s="26">
        <f t="shared" si="1"/>
        <v>0</v>
      </c>
      <c r="M21" s="26"/>
      <c r="N21" s="26">
        <f t="shared" si="2"/>
        <v>0</v>
      </c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>
        <f t="shared" si="3"/>
        <v>0</v>
      </c>
      <c r="AB21" s="26">
        <f t="shared" si="3"/>
        <v>0</v>
      </c>
    </row>
    <row r="22" spans="1:28" ht="25.35" customHeight="1" x14ac:dyDescent="0.25">
      <c r="A22" s="38">
        <v>19</v>
      </c>
      <c r="B22" s="39">
        <v>45614</v>
      </c>
      <c r="C22" s="26"/>
      <c r="D22" s="26"/>
      <c r="E22" s="26"/>
      <c r="F22" s="26">
        <f t="shared" si="0"/>
        <v>0</v>
      </c>
      <c r="G22" s="26"/>
      <c r="H22" s="26"/>
      <c r="I22" s="26"/>
      <c r="J22" s="26"/>
      <c r="K22" s="26"/>
      <c r="L22" s="26">
        <f t="shared" si="1"/>
        <v>0</v>
      </c>
      <c r="M22" s="26"/>
      <c r="N22" s="26">
        <f t="shared" si="2"/>
        <v>0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>
        <f t="shared" si="3"/>
        <v>0</v>
      </c>
      <c r="AB22" s="26">
        <f t="shared" si="3"/>
        <v>0</v>
      </c>
    </row>
    <row r="23" spans="1:28" ht="25.35" customHeight="1" x14ac:dyDescent="0.25">
      <c r="A23" s="38">
        <v>20</v>
      </c>
      <c r="B23" s="39">
        <v>45615</v>
      </c>
      <c r="C23" s="26"/>
      <c r="D23" s="26"/>
      <c r="E23" s="26"/>
      <c r="F23" s="26">
        <f t="shared" si="0"/>
        <v>0</v>
      </c>
      <c r="G23" s="26"/>
      <c r="H23" s="26"/>
      <c r="I23" s="26"/>
      <c r="J23" s="26"/>
      <c r="K23" s="26"/>
      <c r="L23" s="26">
        <f t="shared" si="1"/>
        <v>0</v>
      </c>
      <c r="M23" s="26"/>
      <c r="N23" s="26">
        <f t="shared" si="2"/>
        <v>0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>
        <f t="shared" si="3"/>
        <v>0</v>
      </c>
      <c r="AB23" s="26">
        <f t="shared" si="3"/>
        <v>0</v>
      </c>
    </row>
    <row r="24" spans="1:28" ht="25.35" customHeight="1" x14ac:dyDescent="0.25">
      <c r="A24" s="38">
        <v>21</v>
      </c>
      <c r="B24" s="39">
        <v>45616</v>
      </c>
      <c r="C24" s="26"/>
      <c r="D24" s="26"/>
      <c r="E24" s="26"/>
      <c r="F24" s="26">
        <f t="shared" si="0"/>
        <v>0</v>
      </c>
      <c r="G24" s="26"/>
      <c r="H24" s="26"/>
      <c r="I24" s="26"/>
      <c r="J24" s="26"/>
      <c r="K24" s="26"/>
      <c r="L24" s="26">
        <f t="shared" si="1"/>
        <v>0</v>
      </c>
      <c r="M24" s="26"/>
      <c r="N24" s="26">
        <f t="shared" si="2"/>
        <v>0</v>
      </c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>
        <f t="shared" si="3"/>
        <v>0</v>
      </c>
      <c r="AB24" s="26">
        <f t="shared" si="3"/>
        <v>0</v>
      </c>
    </row>
    <row r="25" spans="1:28" ht="25.35" customHeight="1" x14ac:dyDescent="0.25">
      <c r="A25" s="38">
        <v>22</v>
      </c>
      <c r="B25" s="39">
        <v>45617</v>
      </c>
      <c r="C25" s="26"/>
      <c r="D25" s="26"/>
      <c r="E25" s="26"/>
      <c r="F25" s="26">
        <f t="shared" si="0"/>
        <v>0</v>
      </c>
      <c r="G25" s="26"/>
      <c r="H25" s="26"/>
      <c r="I25" s="26"/>
      <c r="J25" s="26"/>
      <c r="K25" s="26"/>
      <c r="L25" s="26"/>
      <c r="M25" s="26"/>
      <c r="N25" s="26">
        <f t="shared" si="2"/>
        <v>0</v>
      </c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>
        <f t="shared" si="3"/>
        <v>0</v>
      </c>
      <c r="AB25" s="26">
        <f t="shared" si="3"/>
        <v>0</v>
      </c>
    </row>
    <row r="26" spans="1:28" ht="25.35" customHeight="1" x14ac:dyDescent="0.25">
      <c r="A26" s="38">
        <v>23</v>
      </c>
      <c r="B26" s="39">
        <v>45618</v>
      </c>
      <c r="C26" s="26"/>
      <c r="D26" s="26"/>
      <c r="E26" s="26"/>
      <c r="F26" s="26">
        <f t="shared" si="0"/>
        <v>0</v>
      </c>
      <c r="G26" s="26"/>
      <c r="H26" s="26"/>
      <c r="I26" s="26"/>
      <c r="J26" s="26"/>
      <c r="K26" s="26"/>
      <c r="L26" s="26"/>
      <c r="M26" s="26"/>
      <c r="N26" s="26">
        <f t="shared" si="2"/>
        <v>0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>
        <f t="shared" si="3"/>
        <v>0</v>
      </c>
      <c r="AB26" s="26">
        <f t="shared" si="3"/>
        <v>0</v>
      </c>
    </row>
    <row r="27" spans="1:28" ht="25.35" customHeight="1" x14ac:dyDescent="0.25">
      <c r="A27" s="38">
        <v>24</v>
      </c>
      <c r="B27" s="39">
        <v>45619</v>
      </c>
      <c r="C27" s="26"/>
      <c r="D27" s="26"/>
      <c r="E27" s="26"/>
      <c r="F27" s="26">
        <f t="shared" si="0"/>
        <v>0</v>
      </c>
      <c r="G27" s="26"/>
      <c r="H27" s="26"/>
      <c r="I27" s="26"/>
      <c r="J27" s="26"/>
      <c r="K27" s="26"/>
      <c r="L27" s="26"/>
      <c r="M27" s="26"/>
      <c r="N27" s="26">
        <f t="shared" si="2"/>
        <v>0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>
        <f t="shared" si="3"/>
        <v>0</v>
      </c>
      <c r="AB27" s="26">
        <f t="shared" si="3"/>
        <v>0</v>
      </c>
    </row>
    <row r="28" spans="1:28" ht="25.35" customHeight="1" x14ac:dyDescent="0.25">
      <c r="A28" s="38">
        <v>25</v>
      </c>
      <c r="B28" s="39">
        <v>45620</v>
      </c>
      <c r="C28" s="26"/>
      <c r="D28" s="26"/>
      <c r="E28" s="26"/>
      <c r="F28" s="26">
        <f t="shared" si="0"/>
        <v>0</v>
      </c>
      <c r="G28" s="26"/>
      <c r="H28" s="26"/>
      <c r="I28" s="26"/>
      <c r="J28" s="26"/>
      <c r="K28" s="26"/>
      <c r="L28" s="26"/>
      <c r="M28" s="26"/>
      <c r="N28" s="26">
        <f t="shared" si="2"/>
        <v>0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>
        <f t="shared" si="3"/>
        <v>0</v>
      </c>
      <c r="AB28" s="26">
        <f t="shared" si="3"/>
        <v>0</v>
      </c>
    </row>
    <row r="29" spans="1:28" ht="25.35" customHeight="1" x14ac:dyDescent="0.25">
      <c r="A29" s="38">
        <v>26</v>
      </c>
      <c r="B29" s="39">
        <v>45621</v>
      </c>
      <c r="C29" s="26"/>
      <c r="D29" s="26"/>
      <c r="E29" s="26"/>
      <c r="F29" s="26">
        <f t="shared" si="0"/>
        <v>0</v>
      </c>
      <c r="G29" s="26"/>
      <c r="H29" s="26"/>
      <c r="I29" s="26"/>
      <c r="J29" s="26"/>
      <c r="K29" s="26"/>
      <c r="L29" s="26"/>
      <c r="M29" s="26"/>
      <c r="N29" s="26">
        <f t="shared" si="2"/>
        <v>0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>
        <f t="shared" si="3"/>
        <v>0</v>
      </c>
      <c r="AB29" s="26">
        <f t="shared" si="3"/>
        <v>0</v>
      </c>
    </row>
    <row r="30" spans="1:28" ht="25.35" customHeight="1" x14ac:dyDescent="0.25">
      <c r="A30" s="38">
        <v>27</v>
      </c>
      <c r="B30" s="39">
        <v>45622</v>
      </c>
      <c r="C30" s="26"/>
      <c r="D30" s="26"/>
      <c r="E30" s="26"/>
      <c r="F30" s="26">
        <f t="shared" si="0"/>
        <v>0</v>
      </c>
      <c r="G30" s="26"/>
      <c r="H30" s="26"/>
      <c r="I30" s="26"/>
      <c r="J30" s="26"/>
      <c r="K30" s="26"/>
      <c r="L30" s="26"/>
      <c r="M30" s="26"/>
      <c r="N30" s="26">
        <f t="shared" si="2"/>
        <v>0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>
        <f t="shared" si="3"/>
        <v>0</v>
      </c>
      <c r="AB30" s="26">
        <f t="shared" si="3"/>
        <v>0</v>
      </c>
    </row>
    <row r="31" spans="1:28" ht="25.35" customHeight="1" x14ac:dyDescent="0.25">
      <c r="A31" s="38">
        <v>28</v>
      </c>
      <c r="B31" s="39">
        <v>45623</v>
      </c>
      <c r="C31" s="26"/>
      <c r="D31" s="26"/>
      <c r="E31" s="26"/>
      <c r="F31" s="26">
        <f t="shared" si="0"/>
        <v>0</v>
      </c>
      <c r="G31" s="26"/>
      <c r="H31" s="26"/>
      <c r="I31" s="26"/>
      <c r="J31" s="26"/>
      <c r="K31" s="26"/>
      <c r="L31" s="26"/>
      <c r="M31" s="26"/>
      <c r="N31" s="26">
        <f t="shared" si="2"/>
        <v>0</v>
      </c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>
        <f t="shared" si="3"/>
        <v>0</v>
      </c>
      <c r="AB31" s="26">
        <f t="shared" si="3"/>
        <v>0</v>
      </c>
    </row>
    <row r="32" spans="1:28" ht="25.35" customHeight="1" x14ac:dyDescent="0.25">
      <c r="A32" s="38">
        <v>29</v>
      </c>
      <c r="B32" s="39">
        <v>45624</v>
      </c>
      <c r="C32" s="26"/>
      <c r="D32" s="26"/>
      <c r="E32" s="26"/>
      <c r="F32" s="26">
        <f t="shared" si="0"/>
        <v>0</v>
      </c>
      <c r="G32" s="26"/>
      <c r="H32" s="26"/>
      <c r="I32" s="26"/>
      <c r="J32" s="26"/>
      <c r="K32" s="26"/>
      <c r="L32" s="26">
        <f t="shared" si="1"/>
        <v>0</v>
      </c>
      <c r="M32" s="26"/>
      <c r="N32" s="26">
        <f t="shared" si="2"/>
        <v>0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>
        <f t="shared" si="3"/>
        <v>0</v>
      </c>
      <c r="AB32" s="26">
        <f t="shared" si="3"/>
        <v>0</v>
      </c>
    </row>
    <row r="33" spans="1:36" ht="25.35" customHeight="1" x14ac:dyDescent="0.25">
      <c r="A33" s="38">
        <v>31</v>
      </c>
      <c r="B33" s="39">
        <v>45626</v>
      </c>
      <c r="C33" s="26"/>
      <c r="D33" s="26"/>
      <c r="E33" s="26"/>
      <c r="F33" s="26">
        <f t="shared" si="0"/>
        <v>0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>
        <f t="shared" si="3"/>
        <v>0</v>
      </c>
      <c r="AB33" s="26">
        <f t="shared" si="3"/>
        <v>0</v>
      </c>
    </row>
    <row r="34" spans="1:36" ht="25.35" customHeight="1" x14ac:dyDescent="0.25">
      <c r="A34" s="38">
        <v>30</v>
      </c>
      <c r="B34" s="39">
        <v>45625</v>
      </c>
      <c r="C34" s="26"/>
      <c r="D34" s="26"/>
      <c r="E34" s="26"/>
      <c r="F34" s="26">
        <f t="shared" si="0"/>
        <v>0</v>
      </c>
      <c r="G34" s="26"/>
      <c r="H34" s="26"/>
      <c r="I34" s="26"/>
      <c r="J34" s="26"/>
      <c r="K34" s="26"/>
      <c r="L34" s="26">
        <f t="shared" si="1"/>
        <v>0</v>
      </c>
      <c r="M34" s="26"/>
      <c r="N34" s="26">
        <f t="shared" si="2"/>
        <v>0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>
        <f t="shared" si="3"/>
        <v>0</v>
      </c>
      <c r="AB34" s="26">
        <f t="shared" si="3"/>
        <v>0</v>
      </c>
    </row>
    <row r="35" spans="1:36" ht="25.35" customHeight="1" thickBot="1" x14ac:dyDescent="0.3">
      <c r="A35" s="4"/>
      <c r="B35" s="4"/>
      <c r="AA35" s="43">
        <f>SUM(AA5:AA34)</f>
        <v>0</v>
      </c>
      <c r="AB35" s="43">
        <f>SUM(AB5:AB34)</f>
        <v>0</v>
      </c>
    </row>
    <row r="36" spans="1:36" ht="25.35" customHeight="1" x14ac:dyDescent="0.25">
      <c r="A36" s="28"/>
      <c r="B36" s="29"/>
      <c r="C36" s="516"/>
      <c r="D36" s="516"/>
      <c r="E36" s="516"/>
      <c r="F36" s="516"/>
      <c r="G36" s="516"/>
      <c r="H36" s="516"/>
      <c r="I36" s="516"/>
      <c r="J36" s="516"/>
      <c r="K36" s="516"/>
      <c r="L36" s="516"/>
      <c r="M36" s="516"/>
      <c r="N36" s="516"/>
      <c r="O36" s="516"/>
      <c r="P36" s="516"/>
      <c r="Q36" s="516"/>
      <c r="R36" s="516"/>
      <c r="S36" s="516"/>
      <c r="T36" s="516"/>
      <c r="U36" s="516"/>
      <c r="V36" s="516"/>
      <c r="W36" s="516"/>
      <c r="X36" s="516"/>
      <c r="Y36" s="516"/>
      <c r="Z36" s="516"/>
      <c r="AA36" s="516"/>
      <c r="AB36" s="516"/>
      <c r="AC36" s="18"/>
      <c r="AD36" s="18" t="s">
        <v>135</v>
      </c>
      <c r="AE36" s="18">
        <f>Z41</f>
        <v>0</v>
      </c>
      <c r="AF36" s="18"/>
      <c r="AG36" s="30">
        <v>12</v>
      </c>
      <c r="AH36" s="31">
        <v>14</v>
      </c>
      <c r="AI36" s="18"/>
      <c r="AJ36" s="18"/>
    </row>
    <row r="37" spans="1:36" ht="25.35" customHeight="1" x14ac:dyDescent="0.25">
      <c r="A37" s="505" t="s">
        <v>1</v>
      </c>
      <c r="B37" s="506" t="s">
        <v>0</v>
      </c>
      <c r="C37" s="529" t="s">
        <v>139</v>
      </c>
      <c r="D37" s="516"/>
      <c r="E37" s="516"/>
      <c r="F37" s="516"/>
      <c r="G37" s="516"/>
      <c r="H37" s="516"/>
      <c r="I37" s="516"/>
      <c r="J37" s="516"/>
      <c r="K37" s="516"/>
      <c r="L37" s="516"/>
      <c r="M37" s="516"/>
      <c r="N37" s="516"/>
      <c r="O37" s="516"/>
      <c r="P37" s="516"/>
      <c r="Q37" s="516"/>
      <c r="R37" s="516"/>
      <c r="S37" s="516"/>
      <c r="T37" s="516"/>
      <c r="U37" s="516"/>
      <c r="V37" s="516"/>
      <c r="W37" s="516"/>
      <c r="X37" s="516"/>
      <c r="Y37" s="516"/>
      <c r="Z37" s="516"/>
      <c r="AA37" s="516"/>
      <c r="AB37" s="516"/>
      <c r="AC37" s="21"/>
      <c r="AD37" s="18" t="s">
        <v>137</v>
      </c>
      <c r="AE37" s="21">
        <f>AA41</f>
        <v>0</v>
      </c>
      <c r="AF37" s="21"/>
      <c r="AG37" s="32">
        <v>24</v>
      </c>
      <c r="AH37" s="33">
        <v>40</v>
      </c>
      <c r="AI37" s="21"/>
      <c r="AJ37" s="21"/>
    </row>
    <row r="38" spans="1:36" ht="25.35" customHeight="1" x14ac:dyDescent="0.25">
      <c r="A38" s="505"/>
      <c r="B38" s="506"/>
      <c r="C38" s="508" t="s">
        <v>37</v>
      </c>
      <c r="D38" s="509"/>
      <c r="E38" s="510" t="s">
        <v>50</v>
      </c>
      <c r="F38" s="510"/>
      <c r="G38" s="511" t="s">
        <v>52</v>
      </c>
      <c r="H38" s="511"/>
      <c r="I38" s="512" t="s">
        <v>56</v>
      </c>
      <c r="J38" s="512"/>
      <c r="K38" s="510" t="s">
        <v>58</v>
      </c>
      <c r="L38" s="510"/>
      <c r="M38" s="511" t="s">
        <v>60</v>
      </c>
      <c r="N38" s="511"/>
      <c r="O38" s="513" t="s">
        <v>42</v>
      </c>
      <c r="P38" s="514"/>
      <c r="Q38" s="515" t="s">
        <v>45</v>
      </c>
      <c r="R38" s="515"/>
      <c r="S38" s="511" t="s">
        <v>48</v>
      </c>
      <c r="T38" s="511"/>
      <c r="U38" s="512" t="s">
        <v>55</v>
      </c>
      <c r="V38" s="512"/>
      <c r="W38" s="511" t="s">
        <v>39</v>
      </c>
      <c r="X38" s="511"/>
      <c r="Y38" s="511" t="s">
        <v>11</v>
      </c>
      <c r="Z38" s="511"/>
      <c r="AA38" s="517" t="s">
        <v>138</v>
      </c>
      <c r="AB38" s="517"/>
      <c r="AC38" s="21"/>
      <c r="AD38" s="21"/>
      <c r="AE38" s="21"/>
      <c r="AF38" s="21"/>
      <c r="AG38" s="21"/>
      <c r="AH38" s="21"/>
      <c r="AI38" s="21"/>
      <c r="AJ38" s="21"/>
    </row>
    <row r="39" spans="1:36" ht="25.35" customHeight="1" x14ac:dyDescent="0.25">
      <c r="A39" s="505"/>
      <c r="B39" s="506"/>
      <c r="C39" s="34" t="s">
        <v>3</v>
      </c>
      <c r="D39" s="34" t="s">
        <v>4</v>
      </c>
      <c r="E39" s="23" t="s">
        <v>3</v>
      </c>
      <c r="F39" s="23" t="s">
        <v>4</v>
      </c>
      <c r="G39" s="35" t="s">
        <v>3</v>
      </c>
      <c r="H39" s="35" t="s">
        <v>4</v>
      </c>
      <c r="I39" s="19" t="s">
        <v>3</v>
      </c>
      <c r="J39" s="19" t="s">
        <v>4</v>
      </c>
      <c r="K39" s="23" t="s">
        <v>3</v>
      </c>
      <c r="L39" s="23" t="s">
        <v>4</v>
      </c>
      <c r="M39" s="35" t="s">
        <v>3</v>
      </c>
      <c r="N39" s="35" t="s">
        <v>4</v>
      </c>
      <c r="O39" s="35" t="s">
        <v>3</v>
      </c>
      <c r="P39" s="35" t="s">
        <v>4</v>
      </c>
      <c r="Q39" s="36" t="s">
        <v>3</v>
      </c>
      <c r="R39" s="36" t="s">
        <v>4</v>
      </c>
      <c r="S39" s="35" t="s">
        <v>3</v>
      </c>
      <c r="T39" s="35" t="s">
        <v>4</v>
      </c>
      <c r="U39" s="19" t="s">
        <v>3</v>
      </c>
      <c r="V39" s="19" t="s">
        <v>4</v>
      </c>
      <c r="W39" s="35" t="s">
        <v>3</v>
      </c>
      <c r="X39" s="35" t="s">
        <v>4</v>
      </c>
      <c r="Y39" s="35" t="s">
        <v>3</v>
      </c>
      <c r="Z39" s="35" t="s">
        <v>4</v>
      </c>
      <c r="AA39" s="22" t="s">
        <v>3</v>
      </c>
      <c r="AB39" s="22" t="s">
        <v>4</v>
      </c>
      <c r="AC39" s="27"/>
      <c r="AD39" s="27"/>
      <c r="AE39" s="27"/>
      <c r="AF39" s="27"/>
      <c r="AG39" s="37"/>
      <c r="AH39" s="27"/>
      <c r="AI39" s="27"/>
      <c r="AJ39" s="27"/>
    </row>
    <row r="40" spans="1:36" ht="25.35" customHeight="1" x14ac:dyDescent="0.25">
      <c r="A40" s="38">
        <v>1</v>
      </c>
      <c r="B40" s="39">
        <v>45627</v>
      </c>
      <c r="C40" s="20"/>
      <c r="D40" s="20">
        <f>C40*14</f>
        <v>0</v>
      </c>
      <c r="E40" s="20"/>
      <c r="F40" s="20">
        <f>E40*14</f>
        <v>0</v>
      </c>
      <c r="G40" s="20"/>
      <c r="H40" s="20"/>
      <c r="I40" s="20"/>
      <c r="J40" s="20"/>
      <c r="K40" s="20"/>
      <c r="L40" s="20">
        <f>K40*24</f>
        <v>0</v>
      </c>
      <c r="M40" s="20"/>
      <c r="N40" s="20">
        <f>M40*14</f>
        <v>0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>
        <f>C40+E40+G40+I40+K40+M40+O40+Q40+S40+U40+W40+Y40</f>
        <v>0</v>
      </c>
      <c r="AB40" s="20">
        <f>D40+F40+H40+J40+L40+N40+P40+R40+T40+V40+X40+Z40</f>
        <v>0</v>
      </c>
      <c r="AC40" s="18"/>
      <c r="AD40" s="18"/>
      <c r="AE40" s="18"/>
      <c r="AF40" s="18"/>
      <c r="AG40" s="18"/>
      <c r="AH40" s="18"/>
      <c r="AI40" s="18"/>
      <c r="AJ40" s="18"/>
    </row>
    <row r="41" spans="1:36" s="41" customFormat="1" ht="25.35" customHeight="1" x14ac:dyDescent="0.25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42">
        <f>SUM(AA40:AA40)</f>
        <v>0</v>
      </c>
      <c r="AA41" s="42">
        <f>SUM(AB40:AB40)</f>
        <v>0</v>
      </c>
      <c r="AB41" s="18"/>
      <c r="AC41" s="18"/>
      <c r="AD41" s="18"/>
      <c r="AE41" s="18"/>
      <c r="AF41" s="18"/>
      <c r="AG41" s="18"/>
      <c r="AH41" s="18"/>
      <c r="AI41" s="18"/>
      <c r="AJ41" s="18"/>
    </row>
    <row r="42" spans="1:36" s="41" customFormat="1" ht="25.35" customHeight="1" x14ac:dyDescent="0.25">
      <c r="B42" s="14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</row>
    <row r="43" spans="1:36" s="41" customFormat="1" ht="25.35" customHeight="1" x14ac:dyDescent="0.25">
      <c r="B43" s="14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</row>
    <row r="44" spans="1:36" s="41" customFormat="1" ht="25.35" customHeight="1" x14ac:dyDescent="0.25">
      <c r="B44" s="14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</row>
    <row r="45" spans="1:36" s="41" customFormat="1" ht="25.35" customHeight="1" x14ac:dyDescent="0.25">
      <c r="B45" s="14"/>
    </row>
    <row r="46" spans="1:36" s="41" customFormat="1" ht="25.35" customHeight="1" x14ac:dyDescent="0.25">
      <c r="B46" s="14"/>
    </row>
    <row r="47" spans="1:36" s="41" customFormat="1" ht="25.35" customHeight="1" x14ac:dyDescent="0.25">
      <c r="B47" s="14"/>
    </row>
    <row r="48" spans="1:36" s="41" customFormat="1" ht="25.35" customHeight="1" x14ac:dyDescent="0.25">
      <c r="B48" s="14"/>
    </row>
    <row r="49" spans="2:2" s="41" customFormat="1" ht="25.35" customHeight="1" x14ac:dyDescent="0.25">
      <c r="B49" s="14"/>
    </row>
    <row r="50" spans="2:2" s="41" customFormat="1" ht="25.35" customHeight="1" x14ac:dyDescent="0.25">
      <c r="B50" s="14"/>
    </row>
    <row r="51" spans="2:2" s="41" customFormat="1" ht="25.35" customHeight="1" x14ac:dyDescent="0.25">
      <c r="B51" s="14"/>
    </row>
    <row r="52" spans="2:2" s="41" customFormat="1" ht="25.35" customHeight="1" x14ac:dyDescent="0.25">
      <c r="B52" s="14"/>
    </row>
    <row r="53" spans="2:2" s="41" customFormat="1" ht="25.35" customHeight="1" x14ac:dyDescent="0.25">
      <c r="B53" s="14"/>
    </row>
    <row r="54" spans="2:2" s="41" customFormat="1" ht="25.35" customHeight="1" x14ac:dyDescent="0.25">
      <c r="B54" s="14"/>
    </row>
    <row r="55" spans="2:2" s="41" customFormat="1" ht="25.35" customHeight="1" x14ac:dyDescent="0.25">
      <c r="B55" s="14"/>
    </row>
    <row r="56" spans="2:2" s="41" customFormat="1" ht="25.35" customHeight="1" x14ac:dyDescent="0.25">
      <c r="B56" s="14"/>
    </row>
    <row r="57" spans="2:2" s="41" customFormat="1" ht="25.35" customHeight="1" x14ac:dyDescent="0.25">
      <c r="B57" s="14"/>
    </row>
    <row r="58" spans="2:2" s="41" customFormat="1" ht="25.35" customHeight="1" x14ac:dyDescent="0.25">
      <c r="B58" s="14"/>
    </row>
    <row r="59" spans="2:2" s="41" customFormat="1" ht="25.35" customHeight="1" x14ac:dyDescent="0.25">
      <c r="B59" s="14"/>
    </row>
    <row r="60" spans="2:2" s="41" customFormat="1" ht="25.35" customHeight="1" x14ac:dyDescent="0.25">
      <c r="B60" s="14"/>
    </row>
    <row r="61" spans="2:2" s="41" customFormat="1" ht="25.35" customHeight="1" x14ac:dyDescent="0.25">
      <c r="B61" s="14"/>
    </row>
    <row r="62" spans="2:2" s="41" customFormat="1" ht="25.35" customHeight="1" x14ac:dyDescent="0.25">
      <c r="B62" s="14"/>
    </row>
    <row r="63" spans="2:2" s="41" customFormat="1" ht="25.35" customHeight="1" x14ac:dyDescent="0.25">
      <c r="B63" s="14"/>
    </row>
    <row r="64" spans="2:2" s="41" customFormat="1" ht="25.35" customHeight="1" x14ac:dyDescent="0.25">
      <c r="B64" s="14"/>
    </row>
    <row r="65" spans="2:2" s="41" customFormat="1" ht="25.35" customHeight="1" x14ac:dyDescent="0.25">
      <c r="B65" s="14"/>
    </row>
    <row r="66" spans="2:2" s="41" customFormat="1" ht="25.35" customHeight="1" x14ac:dyDescent="0.25">
      <c r="B66" s="14"/>
    </row>
    <row r="67" spans="2:2" s="41" customFormat="1" ht="25.35" customHeight="1" x14ac:dyDescent="0.25">
      <c r="B67" s="14"/>
    </row>
    <row r="68" spans="2:2" s="41" customFormat="1" ht="25.35" customHeight="1" x14ac:dyDescent="0.25">
      <c r="B68" s="14"/>
    </row>
    <row r="69" spans="2:2" s="41" customFormat="1" ht="25.35" customHeight="1" x14ac:dyDescent="0.25">
      <c r="B69" s="14"/>
    </row>
    <row r="70" spans="2:2" s="41" customFormat="1" ht="25.35" customHeight="1" x14ac:dyDescent="0.25">
      <c r="B70" s="14"/>
    </row>
    <row r="71" spans="2:2" s="41" customFormat="1" ht="25.35" customHeight="1" x14ac:dyDescent="0.25">
      <c r="B71" s="14"/>
    </row>
    <row r="72" spans="2:2" s="41" customFormat="1" ht="25.35" customHeight="1" x14ac:dyDescent="0.25">
      <c r="B72" s="14"/>
    </row>
    <row r="73" spans="2:2" s="41" customFormat="1" ht="25.35" customHeight="1" x14ac:dyDescent="0.25">
      <c r="B73" s="14"/>
    </row>
  </sheetData>
  <mergeCells count="34">
    <mergeCell ref="A37:A39"/>
    <mergeCell ref="B37:B39"/>
    <mergeCell ref="C37:AB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AA38:AB38"/>
    <mergeCell ref="C1:AB1"/>
    <mergeCell ref="C36:AB36"/>
    <mergeCell ref="W38:X38"/>
    <mergeCell ref="Y38:Z38"/>
    <mergeCell ref="S3:T3"/>
    <mergeCell ref="Y3:Z3"/>
    <mergeCell ref="U3:V3"/>
    <mergeCell ref="W3:X3"/>
    <mergeCell ref="A2:A4"/>
    <mergeCell ref="B2:B4"/>
    <mergeCell ref="C2:AB2"/>
    <mergeCell ref="C3:D3"/>
    <mergeCell ref="E3:F3"/>
    <mergeCell ref="G3:H3"/>
    <mergeCell ref="I3:J3"/>
    <mergeCell ref="K3:L3"/>
    <mergeCell ref="M3:N3"/>
    <mergeCell ref="AA3:AB3"/>
    <mergeCell ref="O3:P3"/>
    <mergeCell ref="Q3:R3"/>
  </mergeCells>
  <hyperlinks>
    <hyperlink ref="C2:AB2" location="'2-FollowUpSales'!A1" display="'2-FollowUpSales'!A1" xr:uid="{5A4EF09C-407C-4A95-9042-8C981EE7AACB}"/>
    <hyperlink ref="C37:AB37" location="'2-FollowUpSales'!A1" display="'2-FollowUpSales'!A1" xr:uid="{3FB83061-58DF-4EA2-97D8-9DDA90BD4EB3}"/>
  </hyperlink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8B0D-2E5D-4CAE-B4BC-75A15A6D2BFE}">
  <dimension ref="A1:AH103"/>
  <sheetViews>
    <sheetView topLeftCell="G20" workbookViewId="0">
      <selection activeCell="A36" sqref="A36:AG72"/>
    </sheetView>
  </sheetViews>
  <sheetFormatPr defaultColWidth="9.140625" defaultRowHeight="18" x14ac:dyDescent="0.25"/>
  <cols>
    <col min="1" max="1" width="9.140625" style="41"/>
    <col min="2" max="2" width="12.42578125" style="14" customWidth="1"/>
    <col min="3" max="4" width="11.42578125" style="4" customWidth="1"/>
    <col min="5" max="5" width="11.42578125" style="4" bestFit="1" customWidth="1"/>
    <col min="6" max="6" width="11.42578125" style="4" customWidth="1"/>
    <col min="7" max="10" width="9.28515625" style="4" bestFit="1" customWidth="1"/>
    <col min="11" max="11" width="9.140625" style="4"/>
    <col min="12" max="13" width="9.28515625" style="4" bestFit="1" customWidth="1"/>
    <col min="14" max="14" width="9.85546875" style="4" bestFit="1" customWidth="1"/>
    <col min="15" max="17" width="9.28515625" style="4" bestFit="1" customWidth="1"/>
    <col min="18" max="18" width="9.85546875" style="4" bestFit="1" customWidth="1"/>
    <col min="19" max="20" width="9.28515625" style="4" bestFit="1" customWidth="1"/>
    <col min="21" max="21" width="9.140625" style="4"/>
    <col min="22" max="22" width="9.28515625" style="4" bestFit="1" customWidth="1"/>
    <col min="23" max="23" width="9.140625" style="4"/>
    <col min="24" max="24" width="9.28515625" style="4" bestFit="1" customWidth="1"/>
    <col min="25" max="25" width="9.140625" style="4"/>
    <col min="26" max="26" width="9.28515625" style="4" bestFit="1" customWidth="1"/>
    <col min="27" max="27" width="9.85546875" style="4" bestFit="1" customWidth="1"/>
    <col min="28" max="28" width="11" style="4" bestFit="1" customWidth="1"/>
    <col min="29" max="29" width="9.140625" style="4"/>
    <col min="30" max="30" width="10.7109375" style="4" customWidth="1"/>
    <col min="31" max="31" width="11.85546875" style="4" customWidth="1"/>
    <col min="32" max="16384" width="9.140625" style="4"/>
  </cols>
  <sheetData>
    <row r="1" spans="1:34" x14ac:dyDescent="0.25">
      <c r="A1" s="28"/>
      <c r="B1" s="29"/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  <c r="R1" s="516"/>
      <c r="S1" s="516"/>
      <c r="T1" s="516"/>
      <c r="U1" s="516"/>
      <c r="V1" s="516"/>
      <c r="W1" s="516"/>
      <c r="X1" s="516"/>
      <c r="Y1" s="516"/>
      <c r="Z1" s="516"/>
      <c r="AA1" s="516"/>
      <c r="AB1" s="516"/>
      <c r="AD1" s="4" t="s">
        <v>135</v>
      </c>
      <c r="AE1" s="4">
        <f>AA35</f>
        <v>0</v>
      </c>
      <c r="AG1" s="30">
        <v>12</v>
      </c>
      <c r="AH1" s="31">
        <v>14</v>
      </c>
    </row>
    <row r="2" spans="1:34" s="27" customFormat="1" x14ac:dyDescent="0.25">
      <c r="A2" s="505" t="s">
        <v>1</v>
      </c>
      <c r="B2" s="506" t="s">
        <v>0</v>
      </c>
      <c r="C2" s="529" t="s">
        <v>139</v>
      </c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6"/>
      <c r="T2" s="516"/>
      <c r="U2" s="516"/>
      <c r="V2" s="516"/>
      <c r="W2" s="516"/>
      <c r="X2" s="516"/>
      <c r="Y2" s="516"/>
      <c r="Z2" s="516"/>
      <c r="AA2" s="516"/>
      <c r="AB2" s="516"/>
      <c r="AD2" s="4" t="s">
        <v>137</v>
      </c>
      <c r="AE2" s="27">
        <f>AB35</f>
        <v>0</v>
      </c>
      <c r="AG2" s="32">
        <v>24</v>
      </c>
      <c r="AH2" s="33">
        <v>40</v>
      </c>
    </row>
    <row r="3" spans="1:34" s="27" customFormat="1" ht="38.450000000000003" customHeight="1" x14ac:dyDescent="0.25">
      <c r="A3" s="505"/>
      <c r="B3" s="506"/>
      <c r="C3" s="508" t="s">
        <v>37</v>
      </c>
      <c r="D3" s="509"/>
      <c r="E3" s="510" t="s">
        <v>50</v>
      </c>
      <c r="F3" s="510"/>
      <c r="G3" s="511" t="s">
        <v>52</v>
      </c>
      <c r="H3" s="511"/>
      <c r="I3" s="512" t="s">
        <v>56</v>
      </c>
      <c r="J3" s="512"/>
      <c r="K3" s="510" t="s">
        <v>58</v>
      </c>
      <c r="L3" s="510"/>
      <c r="M3" s="511" t="s">
        <v>60</v>
      </c>
      <c r="N3" s="511"/>
      <c r="O3" s="513" t="s">
        <v>42</v>
      </c>
      <c r="P3" s="514"/>
      <c r="Q3" s="515" t="s">
        <v>45</v>
      </c>
      <c r="R3" s="515"/>
      <c r="S3" s="511" t="s">
        <v>48</v>
      </c>
      <c r="T3" s="511"/>
      <c r="U3" s="512" t="s">
        <v>55</v>
      </c>
      <c r="V3" s="512"/>
      <c r="W3" s="511" t="s">
        <v>39</v>
      </c>
      <c r="X3" s="511"/>
      <c r="Y3" s="511" t="s">
        <v>11</v>
      </c>
      <c r="Z3" s="511"/>
      <c r="AA3" s="517" t="s">
        <v>138</v>
      </c>
      <c r="AB3" s="517"/>
    </row>
    <row r="4" spans="1:34" s="27" customFormat="1" x14ac:dyDescent="0.25">
      <c r="A4" s="505"/>
      <c r="B4" s="506"/>
      <c r="C4" s="34" t="s">
        <v>3</v>
      </c>
      <c r="D4" s="34" t="s">
        <v>4</v>
      </c>
      <c r="E4" s="23" t="s">
        <v>3</v>
      </c>
      <c r="F4" s="23" t="s">
        <v>4</v>
      </c>
      <c r="G4" s="35" t="s">
        <v>3</v>
      </c>
      <c r="H4" s="35" t="s">
        <v>4</v>
      </c>
      <c r="I4" s="19" t="s">
        <v>3</v>
      </c>
      <c r="J4" s="19" t="s">
        <v>4</v>
      </c>
      <c r="K4" s="23" t="s">
        <v>3</v>
      </c>
      <c r="L4" s="23" t="s">
        <v>4</v>
      </c>
      <c r="M4" s="35" t="s">
        <v>3</v>
      </c>
      <c r="N4" s="35" t="s">
        <v>4</v>
      </c>
      <c r="O4" s="35" t="s">
        <v>3</v>
      </c>
      <c r="P4" s="35" t="s">
        <v>4</v>
      </c>
      <c r="Q4" s="36" t="s">
        <v>3</v>
      </c>
      <c r="R4" s="36" t="s">
        <v>4</v>
      </c>
      <c r="S4" s="35" t="s">
        <v>3</v>
      </c>
      <c r="T4" s="35" t="s">
        <v>4</v>
      </c>
      <c r="U4" s="19" t="s">
        <v>3</v>
      </c>
      <c r="V4" s="19" t="s">
        <v>4</v>
      </c>
      <c r="W4" s="35" t="s">
        <v>3</v>
      </c>
      <c r="X4" s="35" t="s">
        <v>4</v>
      </c>
      <c r="Y4" s="35" t="s">
        <v>3</v>
      </c>
      <c r="Z4" s="35" t="s">
        <v>4</v>
      </c>
      <c r="AA4" s="22" t="s">
        <v>3</v>
      </c>
      <c r="AB4" s="22" t="s">
        <v>4</v>
      </c>
      <c r="AG4" s="37"/>
    </row>
    <row r="5" spans="1:34" ht="25.35" customHeight="1" x14ac:dyDescent="0.25">
      <c r="A5" s="38">
        <v>1</v>
      </c>
      <c r="B5" s="39">
        <v>45597</v>
      </c>
      <c r="C5" s="26"/>
      <c r="D5" s="26"/>
      <c r="E5" s="26"/>
      <c r="F5" s="26">
        <f>E5*14</f>
        <v>0</v>
      </c>
      <c r="G5" s="26"/>
      <c r="H5" s="26"/>
      <c r="I5" s="26"/>
      <c r="J5" s="26"/>
      <c r="K5" s="26"/>
      <c r="L5" s="26">
        <f>K5*24</f>
        <v>0</v>
      </c>
      <c r="M5" s="26"/>
      <c r="N5" s="26">
        <f>M5*14</f>
        <v>0</v>
      </c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>
        <f>C5+E5+G5+I5+K5+M5+O5+Q5+S5+U5+W5+Y5</f>
        <v>0</v>
      </c>
      <c r="AB5" s="26">
        <f>D5+F5+H5+J5+L5+N5+P5+R5+T5+V5+X5+Z5</f>
        <v>0</v>
      </c>
    </row>
    <row r="6" spans="1:34" ht="25.35" customHeight="1" x14ac:dyDescent="0.25">
      <c r="A6" s="38">
        <v>2</v>
      </c>
      <c r="B6" s="39">
        <v>45598</v>
      </c>
      <c r="C6" s="26"/>
      <c r="D6" s="26"/>
      <c r="E6" s="26"/>
      <c r="F6" s="26">
        <f t="shared" ref="F6:F34" si="0">E6*14</f>
        <v>0</v>
      </c>
      <c r="G6" s="26"/>
      <c r="H6" s="26"/>
      <c r="I6" s="26"/>
      <c r="J6" s="26"/>
      <c r="K6" s="26"/>
      <c r="L6" s="26">
        <f t="shared" ref="L6:L34" si="1">K6*24</f>
        <v>0</v>
      </c>
      <c r="M6" s="26"/>
      <c r="N6" s="26">
        <f t="shared" ref="N6:N34" si="2">M6*14</f>
        <v>0</v>
      </c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>
        <f t="shared" ref="AA6:AB34" si="3">C6+E6+G6+I6+K6+M6+O6+Q6+S6+U6+W6+Y6</f>
        <v>0</v>
      </c>
      <c r="AB6" s="26">
        <f t="shared" si="3"/>
        <v>0</v>
      </c>
    </row>
    <row r="7" spans="1:34" ht="25.35" customHeight="1" x14ac:dyDescent="0.25">
      <c r="A7" s="38">
        <v>3</v>
      </c>
      <c r="B7" s="39">
        <v>45599</v>
      </c>
      <c r="C7" s="26"/>
      <c r="D7" s="26"/>
      <c r="E7" s="26"/>
      <c r="F7" s="26">
        <f t="shared" si="0"/>
        <v>0</v>
      </c>
      <c r="G7" s="26"/>
      <c r="H7" s="26"/>
      <c r="I7" s="26"/>
      <c r="J7" s="26"/>
      <c r="K7" s="26"/>
      <c r="L7" s="26">
        <f t="shared" si="1"/>
        <v>0</v>
      </c>
      <c r="M7" s="26"/>
      <c r="N7" s="26">
        <f t="shared" si="2"/>
        <v>0</v>
      </c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>
        <f t="shared" si="3"/>
        <v>0</v>
      </c>
      <c r="AB7" s="26">
        <f t="shared" si="3"/>
        <v>0</v>
      </c>
    </row>
    <row r="8" spans="1:34" ht="25.35" customHeight="1" x14ac:dyDescent="0.25">
      <c r="A8" s="38">
        <v>4</v>
      </c>
      <c r="B8" s="39">
        <v>45600</v>
      </c>
      <c r="C8" s="26"/>
      <c r="D8" s="26"/>
      <c r="E8" s="26"/>
      <c r="F8" s="26">
        <f t="shared" si="0"/>
        <v>0</v>
      </c>
      <c r="G8" s="26"/>
      <c r="H8" s="26"/>
      <c r="I8" s="26"/>
      <c r="J8" s="26"/>
      <c r="K8" s="26"/>
      <c r="L8" s="26">
        <f t="shared" si="1"/>
        <v>0</v>
      </c>
      <c r="M8" s="26"/>
      <c r="N8" s="26">
        <f t="shared" si="2"/>
        <v>0</v>
      </c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>
        <f t="shared" si="3"/>
        <v>0</v>
      </c>
      <c r="AB8" s="26">
        <f t="shared" si="3"/>
        <v>0</v>
      </c>
    </row>
    <row r="9" spans="1:34" ht="25.35" customHeight="1" x14ac:dyDescent="0.25">
      <c r="A9" s="38">
        <v>5</v>
      </c>
      <c r="B9" s="39">
        <v>45601</v>
      </c>
      <c r="C9" s="26"/>
      <c r="D9" s="26"/>
      <c r="E9" s="26"/>
      <c r="F9" s="26">
        <f t="shared" si="0"/>
        <v>0</v>
      </c>
      <c r="G9" s="26"/>
      <c r="H9" s="26"/>
      <c r="I9" s="26"/>
      <c r="J9" s="26"/>
      <c r="K9" s="26"/>
      <c r="L9" s="26">
        <f t="shared" si="1"/>
        <v>0</v>
      </c>
      <c r="M9" s="26"/>
      <c r="N9" s="26">
        <f t="shared" si="2"/>
        <v>0</v>
      </c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>
        <f t="shared" si="3"/>
        <v>0</v>
      </c>
      <c r="AB9" s="26">
        <f t="shared" si="3"/>
        <v>0</v>
      </c>
    </row>
    <row r="10" spans="1:34" ht="25.35" customHeight="1" x14ac:dyDescent="0.5">
      <c r="A10" s="38">
        <v>6</v>
      </c>
      <c r="B10" s="39">
        <v>45602</v>
      </c>
      <c r="C10" s="26"/>
      <c r="D10" s="26"/>
      <c r="E10" s="26"/>
      <c r="F10" s="26">
        <f t="shared" si="0"/>
        <v>0</v>
      </c>
      <c r="G10" s="26"/>
      <c r="H10" s="26"/>
      <c r="I10" s="26"/>
      <c r="J10" s="26"/>
      <c r="K10" s="17"/>
      <c r="L10" s="26">
        <f t="shared" si="1"/>
        <v>0</v>
      </c>
      <c r="M10" s="26"/>
      <c r="N10" s="26">
        <f t="shared" si="2"/>
        <v>0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>
        <f t="shared" si="3"/>
        <v>0</v>
      </c>
      <c r="AB10" s="26">
        <f t="shared" si="3"/>
        <v>0</v>
      </c>
    </row>
    <row r="11" spans="1:34" ht="25.35" customHeight="1" x14ac:dyDescent="0.25">
      <c r="A11" s="38">
        <v>7</v>
      </c>
      <c r="B11" s="39">
        <v>45603</v>
      </c>
      <c r="C11" s="26"/>
      <c r="D11" s="26"/>
      <c r="E11" s="26"/>
      <c r="F11" s="26">
        <f t="shared" si="0"/>
        <v>0</v>
      </c>
      <c r="G11" s="26"/>
      <c r="H11" s="26"/>
      <c r="I11" s="26"/>
      <c r="J11" s="26"/>
      <c r="K11" s="26"/>
      <c r="L11" s="26">
        <f t="shared" si="1"/>
        <v>0</v>
      </c>
      <c r="M11" s="26"/>
      <c r="N11" s="26">
        <f t="shared" si="2"/>
        <v>0</v>
      </c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>
        <f t="shared" si="3"/>
        <v>0</v>
      </c>
      <c r="AB11" s="26">
        <f t="shared" si="3"/>
        <v>0</v>
      </c>
    </row>
    <row r="12" spans="1:34" ht="25.35" customHeight="1" x14ac:dyDescent="0.25">
      <c r="A12" s="38">
        <v>8</v>
      </c>
      <c r="B12" s="39">
        <v>45604</v>
      </c>
      <c r="C12" s="26"/>
      <c r="D12" s="26"/>
      <c r="E12" s="26"/>
      <c r="F12" s="26">
        <f t="shared" si="0"/>
        <v>0</v>
      </c>
      <c r="G12" s="26"/>
      <c r="H12" s="26"/>
      <c r="I12" s="26"/>
      <c r="J12" s="26"/>
      <c r="K12" s="26"/>
      <c r="L12" s="26">
        <f t="shared" si="1"/>
        <v>0</v>
      </c>
      <c r="M12" s="26"/>
      <c r="N12" s="26">
        <f t="shared" si="2"/>
        <v>0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>
        <f t="shared" si="3"/>
        <v>0</v>
      </c>
      <c r="AB12" s="26">
        <f t="shared" si="3"/>
        <v>0</v>
      </c>
    </row>
    <row r="13" spans="1:34" ht="25.35" customHeight="1" x14ac:dyDescent="0.25">
      <c r="A13" s="38">
        <v>9</v>
      </c>
      <c r="B13" s="39">
        <v>45605</v>
      </c>
      <c r="C13" s="26"/>
      <c r="D13" s="26"/>
      <c r="E13" s="26"/>
      <c r="F13" s="26">
        <f t="shared" si="0"/>
        <v>0</v>
      </c>
      <c r="G13" s="26"/>
      <c r="H13" s="26"/>
      <c r="I13" s="26"/>
      <c r="J13" s="26"/>
      <c r="K13" s="26"/>
      <c r="L13" s="26">
        <f t="shared" si="1"/>
        <v>0</v>
      </c>
      <c r="M13" s="26"/>
      <c r="N13" s="26">
        <f t="shared" si="2"/>
        <v>0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>
        <f t="shared" si="3"/>
        <v>0</v>
      </c>
      <c r="AB13" s="26">
        <f t="shared" si="3"/>
        <v>0</v>
      </c>
    </row>
    <row r="14" spans="1:34" ht="25.35" customHeight="1" x14ac:dyDescent="0.25">
      <c r="A14" s="38">
        <v>10</v>
      </c>
      <c r="B14" s="39">
        <v>45606</v>
      </c>
      <c r="C14" s="26"/>
      <c r="D14" s="26"/>
      <c r="E14" s="26"/>
      <c r="F14" s="26">
        <f t="shared" si="0"/>
        <v>0</v>
      </c>
      <c r="G14" s="26"/>
      <c r="H14" s="26"/>
      <c r="I14" s="26"/>
      <c r="J14" s="26"/>
      <c r="K14" s="26"/>
      <c r="L14" s="26">
        <f t="shared" si="1"/>
        <v>0</v>
      </c>
      <c r="M14" s="26"/>
      <c r="N14" s="26">
        <f t="shared" si="2"/>
        <v>0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>
        <f>C14+E14+G14+I14+K14+M14+O14+Q14+S14+U14+W14+Y14</f>
        <v>0</v>
      </c>
      <c r="AB14" s="26">
        <f>D14+F14+H14+J14+L14+N14+P14+R14+T14+V14+X14+Z14</f>
        <v>0</v>
      </c>
    </row>
    <row r="15" spans="1:34" ht="25.35" customHeight="1" x14ac:dyDescent="0.25">
      <c r="A15" s="38">
        <v>11</v>
      </c>
      <c r="B15" s="39">
        <v>45607</v>
      </c>
      <c r="C15" s="26"/>
      <c r="D15" s="26"/>
      <c r="E15" s="26"/>
      <c r="F15" s="26">
        <f t="shared" si="0"/>
        <v>0</v>
      </c>
      <c r="G15" s="26"/>
      <c r="H15" s="26"/>
      <c r="I15" s="26"/>
      <c r="J15" s="26"/>
      <c r="K15" s="26"/>
      <c r="L15" s="26">
        <f t="shared" si="1"/>
        <v>0</v>
      </c>
      <c r="M15" s="26"/>
      <c r="N15" s="26">
        <f t="shared" si="2"/>
        <v>0</v>
      </c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>
        <f t="shared" si="3"/>
        <v>0</v>
      </c>
      <c r="AB15" s="26">
        <f t="shared" si="3"/>
        <v>0</v>
      </c>
    </row>
    <row r="16" spans="1:34" ht="25.35" customHeight="1" x14ac:dyDescent="0.25">
      <c r="A16" s="38">
        <v>12</v>
      </c>
      <c r="B16" s="39">
        <v>45608</v>
      </c>
      <c r="C16" s="26"/>
      <c r="D16" s="26"/>
      <c r="E16" s="26"/>
      <c r="F16" s="26">
        <f t="shared" si="0"/>
        <v>0</v>
      </c>
      <c r="G16" s="26"/>
      <c r="H16" s="26"/>
      <c r="I16" s="26"/>
      <c r="J16" s="26"/>
      <c r="K16" s="26"/>
      <c r="L16" s="26">
        <f t="shared" si="1"/>
        <v>0</v>
      </c>
      <c r="M16" s="26"/>
      <c r="N16" s="26">
        <f t="shared" si="2"/>
        <v>0</v>
      </c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>
        <f t="shared" si="3"/>
        <v>0</v>
      </c>
      <c r="AB16" s="26">
        <f t="shared" si="3"/>
        <v>0</v>
      </c>
    </row>
    <row r="17" spans="1:28" ht="25.35" customHeight="1" x14ac:dyDescent="0.25">
      <c r="A17" s="38">
        <v>13</v>
      </c>
      <c r="B17" s="39">
        <v>45609</v>
      </c>
      <c r="C17" s="26"/>
      <c r="D17" s="26"/>
      <c r="E17" s="26"/>
      <c r="F17" s="26">
        <f t="shared" si="0"/>
        <v>0</v>
      </c>
      <c r="G17" s="26"/>
      <c r="H17" s="26"/>
      <c r="I17" s="26"/>
      <c r="J17" s="26"/>
      <c r="K17" s="26"/>
      <c r="L17" s="26">
        <f t="shared" si="1"/>
        <v>0</v>
      </c>
      <c r="M17" s="26"/>
      <c r="N17" s="26">
        <f t="shared" si="2"/>
        <v>0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>
        <f t="shared" si="3"/>
        <v>0</v>
      </c>
      <c r="AB17" s="26">
        <f t="shared" si="3"/>
        <v>0</v>
      </c>
    </row>
    <row r="18" spans="1:28" ht="25.35" customHeight="1" x14ac:dyDescent="0.25">
      <c r="A18" s="38">
        <v>14</v>
      </c>
      <c r="B18" s="39">
        <v>45610</v>
      </c>
      <c r="C18" s="26"/>
      <c r="D18" s="26"/>
      <c r="E18" s="26"/>
      <c r="F18" s="26">
        <f t="shared" si="0"/>
        <v>0</v>
      </c>
      <c r="G18" s="26"/>
      <c r="H18" s="26"/>
      <c r="I18" s="26"/>
      <c r="J18" s="26"/>
      <c r="K18" s="26"/>
      <c r="L18" s="26">
        <f t="shared" si="1"/>
        <v>0</v>
      </c>
      <c r="M18" s="26"/>
      <c r="N18" s="26">
        <f t="shared" si="2"/>
        <v>0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>
        <f t="shared" si="3"/>
        <v>0</v>
      </c>
      <c r="AB18" s="26">
        <f t="shared" si="3"/>
        <v>0</v>
      </c>
    </row>
    <row r="19" spans="1:28" ht="25.35" customHeight="1" x14ac:dyDescent="0.25">
      <c r="A19" s="38">
        <v>16</v>
      </c>
      <c r="B19" s="39">
        <v>45611</v>
      </c>
      <c r="C19" s="26"/>
      <c r="D19" s="26"/>
      <c r="E19" s="26"/>
      <c r="F19" s="26">
        <f t="shared" si="0"/>
        <v>0</v>
      </c>
      <c r="G19" s="26"/>
      <c r="H19" s="26"/>
      <c r="I19" s="26"/>
      <c r="J19" s="26"/>
      <c r="K19" s="26"/>
      <c r="L19" s="26">
        <f t="shared" si="1"/>
        <v>0</v>
      </c>
      <c r="M19" s="26"/>
      <c r="N19" s="26">
        <f t="shared" si="2"/>
        <v>0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>
        <f t="shared" si="3"/>
        <v>0</v>
      </c>
      <c r="AB19" s="26">
        <f t="shared" si="3"/>
        <v>0</v>
      </c>
    </row>
    <row r="20" spans="1:28" ht="25.35" customHeight="1" x14ac:dyDescent="0.25">
      <c r="A20" s="38">
        <v>17</v>
      </c>
      <c r="B20" s="39">
        <v>45612</v>
      </c>
      <c r="C20" s="26"/>
      <c r="D20" s="26"/>
      <c r="E20" s="26"/>
      <c r="F20" s="26">
        <f t="shared" si="0"/>
        <v>0</v>
      </c>
      <c r="G20" s="26"/>
      <c r="H20" s="26"/>
      <c r="I20" s="26"/>
      <c r="J20" s="26"/>
      <c r="K20" s="26"/>
      <c r="L20" s="26">
        <f t="shared" si="1"/>
        <v>0</v>
      </c>
      <c r="M20" s="26"/>
      <c r="N20" s="26">
        <f t="shared" si="2"/>
        <v>0</v>
      </c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>
        <f t="shared" si="3"/>
        <v>0</v>
      </c>
      <c r="AB20" s="26">
        <f t="shared" si="3"/>
        <v>0</v>
      </c>
    </row>
    <row r="21" spans="1:28" ht="25.35" customHeight="1" x14ac:dyDescent="0.25">
      <c r="A21" s="38">
        <v>18</v>
      </c>
      <c r="B21" s="39">
        <v>45613</v>
      </c>
      <c r="C21" s="26"/>
      <c r="D21" s="26"/>
      <c r="E21" s="26"/>
      <c r="F21" s="26">
        <f t="shared" si="0"/>
        <v>0</v>
      </c>
      <c r="G21" s="26"/>
      <c r="H21" s="26"/>
      <c r="I21" s="26"/>
      <c r="J21" s="26"/>
      <c r="K21" s="26"/>
      <c r="L21" s="26">
        <f t="shared" si="1"/>
        <v>0</v>
      </c>
      <c r="M21" s="26"/>
      <c r="N21" s="26">
        <f t="shared" si="2"/>
        <v>0</v>
      </c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>
        <f t="shared" si="3"/>
        <v>0</v>
      </c>
      <c r="AB21" s="26">
        <f t="shared" si="3"/>
        <v>0</v>
      </c>
    </row>
    <row r="22" spans="1:28" ht="25.35" customHeight="1" x14ac:dyDescent="0.25">
      <c r="A22" s="38">
        <v>19</v>
      </c>
      <c r="B22" s="39">
        <v>45614</v>
      </c>
      <c r="C22" s="26"/>
      <c r="D22" s="26"/>
      <c r="E22" s="26"/>
      <c r="F22" s="26">
        <f t="shared" si="0"/>
        <v>0</v>
      </c>
      <c r="G22" s="26"/>
      <c r="H22" s="26"/>
      <c r="I22" s="26"/>
      <c r="J22" s="26"/>
      <c r="K22" s="26"/>
      <c r="L22" s="26">
        <f t="shared" si="1"/>
        <v>0</v>
      </c>
      <c r="M22" s="26"/>
      <c r="N22" s="26">
        <f t="shared" si="2"/>
        <v>0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>
        <f t="shared" si="3"/>
        <v>0</v>
      </c>
      <c r="AB22" s="26">
        <f t="shared" si="3"/>
        <v>0</v>
      </c>
    </row>
    <row r="23" spans="1:28" ht="25.35" customHeight="1" x14ac:dyDescent="0.25">
      <c r="A23" s="38">
        <v>20</v>
      </c>
      <c r="B23" s="39">
        <v>45615</v>
      </c>
      <c r="C23" s="26"/>
      <c r="D23" s="26"/>
      <c r="E23" s="26"/>
      <c r="F23" s="26">
        <f t="shared" si="0"/>
        <v>0</v>
      </c>
      <c r="G23" s="26"/>
      <c r="H23" s="26"/>
      <c r="I23" s="26"/>
      <c r="J23" s="26"/>
      <c r="K23" s="26"/>
      <c r="L23" s="26">
        <f t="shared" si="1"/>
        <v>0</v>
      </c>
      <c r="M23" s="26"/>
      <c r="N23" s="26">
        <f t="shared" si="2"/>
        <v>0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>
        <f t="shared" si="3"/>
        <v>0</v>
      </c>
      <c r="AB23" s="26">
        <f t="shared" si="3"/>
        <v>0</v>
      </c>
    </row>
    <row r="24" spans="1:28" ht="25.35" customHeight="1" x14ac:dyDescent="0.25">
      <c r="A24" s="38">
        <v>21</v>
      </c>
      <c r="B24" s="39">
        <v>45616</v>
      </c>
      <c r="C24" s="26"/>
      <c r="D24" s="26"/>
      <c r="E24" s="26"/>
      <c r="F24" s="26">
        <f t="shared" si="0"/>
        <v>0</v>
      </c>
      <c r="G24" s="26"/>
      <c r="H24" s="26"/>
      <c r="I24" s="26"/>
      <c r="J24" s="26"/>
      <c r="K24" s="26"/>
      <c r="L24" s="26">
        <f t="shared" si="1"/>
        <v>0</v>
      </c>
      <c r="M24" s="26"/>
      <c r="N24" s="26">
        <f t="shared" si="2"/>
        <v>0</v>
      </c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>
        <f t="shared" si="3"/>
        <v>0</v>
      </c>
      <c r="AB24" s="26">
        <f t="shared" si="3"/>
        <v>0</v>
      </c>
    </row>
    <row r="25" spans="1:28" ht="25.35" customHeight="1" x14ac:dyDescent="0.25">
      <c r="A25" s="38">
        <v>22</v>
      </c>
      <c r="B25" s="39">
        <v>45617</v>
      </c>
      <c r="C25" s="26"/>
      <c r="D25" s="26"/>
      <c r="E25" s="26"/>
      <c r="F25" s="26">
        <f t="shared" si="0"/>
        <v>0</v>
      </c>
      <c r="G25" s="26"/>
      <c r="H25" s="26"/>
      <c r="I25" s="26"/>
      <c r="J25" s="26"/>
      <c r="K25" s="26"/>
      <c r="L25" s="26"/>
      <c r="M25" s="26"/>
      <c r="N25" s="26">
        <f t="shared" si="2"/>
        <v>0</v>
      </c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>
        <f t="shared" si="3"/>
        <v>0</v>
      </c>
      <c r="AB25" s="26">
        <f t="shared" si="3"/>
        <v>0</v>
      </c>
    </row>
    <row r="26" spans="1:28" ht="25.35" customHeight="1" x14ac:dyDescent="0.25">
      <c r="A26" s="38">
        <v>23</v>
      </c>
      <c r="B26" s="39">
        <v>45618</v>
      </c>
      <c r="C26" s="26"/>
      <c r="D26" s="26"/>
      <c r="E26" s="26"/>
      <c r="F26" s="26">
        <f t="shared" si="0"/>
        <v>0</v>
      </c>
      <c r="G26" s="26"/>
      <c r="H26" s="26"/>
      <c r="I26" s="26"/>
      <c r="J26" s="26"/>
      <c r="K26" s="26"/>
      <c r="L26" s="26"/>
      <c r="M26" s="26"/>
      <c r="N26" s="26">
        <f t="shared" si="2"/>
        <v>0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>
        <f t="shared" si="3"/>
        <v>0</v>
      </c>
      <c r="AB26" s="26">
        <f t="shared" si="3"/>
        <v>0</v>
      </c>
    </row>
    <row r="27" spans="1:28" ht="25.35" customHeight="1" x14ac:dyDescent="0.25">
      <c r="A27" s="38">
        <v>24</v>
      </c>
      <c r="B27" s="39">
        <v>45619</v>
      </c>
      <c r="C27" s="26"/>
      <c r="D27" s="26"/>
      <c r="E27" s="26"/>
      <c r="F27" s="26">
        <f t="shared" si="0"/>
        <v>0</v>
      </c>
      <c r="G27" s="26"/>
      <c r="H27" s="26"/>
      <c r="I27" s="26"/>
      <c r="J27" s="26"/>
      <c r="K27" s="26"/>
      <c r="L27" s="26"/>
      <c r="M27" s="26"/>
      <c r="N27" s="26">
        <f t="shared" si="2"/>
        <v>0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>
        <f t="shared" si="3"/>
        <v>0</v>
      </c>
      <c r="AB27" s="26">
        <f t="shared" si="3"/>
        <v>0</v>
      </c>
    </row>
    <row r="28" spans="1:28" ht="25.35" customHeight="1" x14ac:dyDescent="0.25">
      <c r="A28" s="38">
        <v>25</v>
      </c>
      <c r="B28" s="39">
        <v>45620</v>
      </c>
      <c r="C28" s="26"/>
      <c r="D28" s="26"/>
      <c r="E28" s="26"/>
      <c r="F28" s="26">
        <f t="shared" si="0"/>
        <v>0</v>
      </c>
      <c r="G28" s="26"/>
      <c r="H28" s="26"/>
      <c r="I28" s="26"/>
      <c r="J28" s="26"/>
      <c r="K28" s="26"/>
      <c r="L28" s="26"/>
      <c r="M28" s="26"/>
      <c r="N28" s="26">
        <f t="shared" si="2"/>
        <v>0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>
        <f t="shared" si="3"/>
        <v>0</v>
      </c>
      <c r="AB28" s="26">
        <f t="shared" si="3"/>
        <v>0</v>
      </c>
    </row>
    <row r="29" spans="1:28" ht="25.35" customHeight="1" x14ac:dyDescent="0.25">
      <c r="A29" s="38">
        <v>26</v>
      </c>
      <c r="B29" s="39">
        <v>45621</v>
      </c>
      <c r="C29" s="26"/>
      <c r="D29" s="26"/>
      <c r="E29" s="26"/>
      <c r="F29" s="26">
        <f t="shared" si="0"/>
        <v>0</v>
      </c>
      <c r="G29" s="26"/>
      <c r="H29" s="26"/>
      <c r="I29" s="26"/>
      <c r="J29" s="26"/>
      <c r="K29" s="26"/>
      <c r="L29" s="26"/>
      <c r="M29" s="26"/>
      <c r="N29" s="26">
        <f t="shared" si="2"/>
        <v>0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>
        <f t="shared" si="3"/>
        <v>0</v>
      </c>
      <c r="AB29" s="26">
        <f t="shared" si="3"/>
        <v>0</v>
      </c>
    </row>
    <row r="30" spans="1:28" ht="25.35" customHeight="1" x14ac:dyDescent="0.25">
      <c r="A30" s="38">
        <v>27</v>
      </c>
      <c r="B30" s="39">
        <v>45622</v>
      </c>
      <c r="C30" s="26"/>
      <c r="D30" s="26"/>
      <c r="E30" s="26"/>
      <c r="F30" s="26">
        <f t="shared" si="0"/>
        <v>0</v>
      </c>
      <c r="G30" s="26"/>
      <c r="H30" s="26"/>
      <c r="I30" s="26"/>
      <c r="J30" s="26"/>
      <c r="K30" s="26"/>
      <c r="L30" s="26"/>
      <c r="M30" s="26"/>
      <c r="N30" s="26">
        <f t="shared" si="2"/>
        <v>0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>
        <f t="shared" si="3"/>
        <v>0</v>
      </c>
      <c r="AB30" s="26">
        <f t="shared" si="3"/>
        <v>0</v>
      </c>
    </row>
    <row r="31" spans="1:28" ht="25.35" customHeight="1" x14ac:dyDescent="0.25">
      <c r="A31" s="38">
        <v>28</v>
      </c>
      <c r="B31" s="39">
        <v>45623</v>
      </c>
      <c r="C31" s="26"/>
      <c r="D31" s="26"/>
      <c r="E31" s="26"/>
      <c r="F31" s="26">
        <f t="shared" si="0"/>
        <v>0</v>
      </c>
      <c r="G31" s="26"/>
      <c r="H31" s="26"/>
      <c r="I31" s="26"/>
      <c r="J31" s="26"/>
      <c r="K31" s="26"/>
      <c r="L31" s="26"/>
      <c r="M31" s="26"/>
      <c r="N31" s="26">
        <f t="shared" si="2"/>
        <v>0</v>
      </c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>
        <f t="shared" si="3"/>
        <v>0</v>
      </c>
      <c r="AB31" s="26">
        <f t="shared" si="3"/>
        <v>0</v>
      </c>
    </row>
    <row r="32" spans="1:28" ht="25.35" customHeight="1" x14ac:dyDescent="0.25">
      <c r="A32" s="38">
        <v>29</v>
      </c>
      <c r="B32" s="39">
        <v>45624</v>
      </c>
      <c r="C32" s="26"/>
      <c r="D32" s="26"/>
      <c r="E32" s="26"/>
      <c r="F32" s="26">
        <f t="shared" si="0"/>
        <v>0</v>
      </c>
      <c r="G32" s="26"/>
      <c r="H32" s="26"/>
      <c r="I32" s="26"/>
      <c r="J32" s="26"/>
      <c r="K32" s="26"/>
      <c r="L32" s="26">
        <f t="shared" si="1"/>
        <v>0</v>
      </c>
      <c r="M32" s="26"/>
      <c r="N32" s="26">
        <f t="shared" si="2"/>
        <v>0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>
        <f t="shared" si="3"/>
        <v>0</v>
      </c>
      <c r="AB32" s="26">
        <f t="shared" si="3"/>
        <v>0</v>
      </c>
    </row>
    <row r="33" spans="1:33" ht="25.35" customHeight="1" x14ac:dyDescent="0.25">
      <c r="A33" s="38">
        <v>31</v>
      </c>
      <c r="B33" s="39">
        <v>45626</v>
      </c>
      <c r="C33" s="26"/>
      <c r="D33" s="26"/>
      <c r="E33" s="26"/>
      <c r="F33" s="26">
        <f t="shared" si="0"/>
        <v>0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>
        <f t="shared" si="3"/>
        <v>0</v>
      </c>
      <c r="AB33" s="26">
        <f t="shared" si="3"/>
        <v>0</v>
      </c>
    </row>
    <row r="34" spans="1:33" ht="25.35" customHeight="1" x14ac:dyDescent="0.25">
      <c r="A34" s="38">
        <v>30</v>
      </c>
      <c r="B34" s="39">
        <v>45625</v>
      </c>
      <c r="C34" s="26"/>
      <c r="D34" s="26"/>
      <c r="E34" s="26"/>
      <c r="F34" s="26">
        <f t="shared" si="0"/>
        <v>0</v>
      </c>
      <c r="G34" s="26"/>
      <c r="H34" s="26"/>
      <c r="I34" s="26"/>
      <c r="J34" s="26"/>
      <c r="K34" s="26"/>
      <c r="L34" s="26">
        <f t="shared" si="1"/>
        <v>0</v>
      </c>
      <c r="M34" s="26"/>
      <c r="N34" s="26">
        <f t="shared" si="2"/>
        <v>0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>
        <f t="shared" si="3"/>
        <v>0</v>
      </c>
      <c r="AB34" s="26">
        <f t="shared" si="3"/>
        <v>0</v>
      </c>
    </row>
    <row r="35" spans="1:33" ht="25.35" customHeight="1" thickBot="1" x14ac:dyDescent="0.3">
      <c r="A35" s="4"/>
      <c r="B35" s="4"/>
      <c r="AA35" s="43">
        <f>SUM(AA5:AA34)</f>
        <v>0</v>
      </c>
      <c r="AB35" s="43">
        <f>SUM(AB5:AB34)</f>
        <v>0</v>
      </c>
    </row>
    <row r="36" spans="1:33" ht="25.35" customHeight="1" x14ac:dyDescent="0.25">
      <c r="A36" s="28"/>
      <c r="B36" s="29"/>
      <c r="C36" s="516"/>
      <c r="D36" s="516"/>
      <c r="E36" s="516"/>
      <c r="F36" s="516"/>
      <c r="G36" s="516"/>
      <c r="H36" s="516"/>
      <c r="I36" s="516"/>
      <c r="J36" s="516"/>
      <c r="K36" s="516"/>
      <c r="L36" s="516"/>
      <c r="M36" s="516"/>
      <c r="N36" s="516"/>
      <c r="O36" s="516"/>
      <c r="P36" s="516"/>
      <c r="Q36" s="516"/>
      <c r="R36" s="516"/>
      <c r="S36" s="516"/>
      <c r="T36" s="516"/>
      <c r="U36" s="516"/>
      <c r="V36" s="516"/>
      <c r="W36" s="516"/>
      <c r="X36" s="516"/>
      <c r="Y36" s="516"/>
      <c r="Z36" s="516"/>
      <c r="AA36" s="516"/>
      <c r="AB36" s="516"/>
      <c r="AC36" s="18"/>
      <c r="AD36" s="18" t="s">
        <v>135</v>
      </c>
      <c r="AE36" s="18">
        <f>AA70</f>
        <v>0</v>
      </c>
      <c r="AF36" s="18"/>
      <c r="AG36" s="30">
        <v>12</v>
      </c>
    </row>
    <row r="37" spans="1:33" ht="25.35" customHeight="1" x14ac:dyDescent="0.25">
      <c r="A37" s="505" t="s">
        <v>1</v>
      </c>
      <c r="B37" s="506" t="s">
        <v>0</v>
      </c>
      <c r="C37" s="529" t="s">
        <v>139</v>
      </c>
      <c r="D37" s="516"/>
      <c r="E37" s="516"/>
      <c r="F37" s="516"/>
      <c r="G37" s="516"/>
      <c r="H37" s="516"/>
      <c r="I37" s="516"/>
      <c r="J37" s="516"/>
      <c r="K37" s="516"/>
      <c r="L37" s="516"/>
      <c r="M37" s="516"/>
      <c r="N37" s="516"/>
      <c r="O37" s="516"/>
      <c r="P37" s="516"/>
      <c r="Q37" s="516"/>
      <c r="R37" s="516"/>
      <c r="S37" s="516"/>
      <c r="T37" s="516"/>
      <c r="U37" s="516"/>
      <c r="V37" s="516"/>
      <c r="W37" s="516"/>
      <c r="X37" s="516"/>
      <c r="Y37" s="516"/>
      <c r="Z37" s="516"/>
      <c r="AA37" s="516"/>
      <c r="AB37" s="516"/>
      <c r="AC37" s="21"/>
      <c r="AD37" s="18" t="s">
        <v>137</v>
      </c>
      <c r="AE37" s="21">
        <f>AB70</f>
        <v>0</v>
      </c>
      <c r="AF37" s="21"/>
      <c r="AG37" s="32">
        <v>24</v>
      </c>
    </row>
    <row r="38" spans="1:33" ht="25.35" customHeight="1" x14ac:dyDescent="0.25">
      <c r="A38" s="505"/>
      <c r="B38" s="506"/>
      <c r="C38" s="508" t="s">
        <v>37</v>
      </c>
      <c r="D38" s="509"/>
      <c r="E38" s="510" t="s">
        <v>50</v>
      </c>
      <c r="F38" s="510"/>
      <c r="G38" s="511" t="s">
        <v>52</v>
      </c>
      <c r="H38" s="511"/>
      <c r="I38" s="512" t="s">
        <v>56</v>
      </c>
      <c r="J38" s="512"/>
      <c r="K38" s="510" t="s">
        <v>58</v>
      </c>
      <c r="L38" s="510"/>
      <c r="M38" s="511" t="s">
        <v>60</v>
      </c>
      <c r="N38" s="511"/>
      <c r="O38" s="513" t="s">
        <v>42</v>
      </c>
      <c r="P38" s="514"/>
      <c r="Q38" s="515" t="s">
        <v>45</v>
      </c>
      <c r="R38" s="515"/>
      <c r="S38" s="511" t="s">
        <v>48</v>
      </c>
      <c r="T38" s="511"/>
      <c r="U38" s="512" t="s">
        <v>55</v>
      </c>
      <c r="V38" s="512"/>
      <c r="W38" s="511" t="s">
        <v>39</v>
      </c>
      <c r="X38" s="511"/>
      <c r="Y38" s="511" t="s">
        <v>11</v>
      </c>
      <c r="Z38" s="511"/>
      <c r="AA38" s="517" t="s">
        <v>138</v>
      </c>
      <c r="AB38" s="517"/>
      <c r="AC38" s="21"/>
      <c r="AD38" s="21"/>
      <c r="AE38" s="21"/>
      <c r="AF38" s="21"/>
      <c r="AG38" s="21"/>
    </row>
    <row r="39" spans="1:33" ht="25.35" customHeight="1" x14ac:dyDescent="0.25">
      <c r="A39" s="505"/>
      <c r="B39" s="506"/>
      <c r="C39" s="34" t="s">
        <v>3</v>
      </c>
      <c r="D39" s="34" t="s">
        <v>4</v>
      </c>
      <c r="E39" s="23" t="s">
        <v>3</v>
      </c>
      <c r="F39" s="23" t="s">
        <v>4</v>
      </c>
      <c r="G39" s="35" t="s">
        <v>3</v>
      </c>
      <c r="H39" s="35" t="s">
        <v>4</v>
      </c>
      <c r="I39" s="19" t="s">
        <v>3</v>
      </c>
      <c r="J39" s="19" t="s">
        <v>4</v>
      </c>
      <c r="K39" s="23" t="s">
        <v>3</v>
      </c>
      <c r="L39" s="23" t="s">
        <v>4</v>
      </c>
      <c r="M39" s="35" t="s">
        <v>3</v>
      </c>
      <c r="N39" s="35" t="s">
        <v>4</v>
      </c>
      <c r="O39" s="35" t="s">
        <v>3</v>
      </c>
      <c r="P39" s="35" t="s">
        <v>4</v>
      </c>
      <c r="Q39" s="36" t="s">
        <v>3</v>
      </c>
      <c r="R39" s="36" t="s">
        <v>4</v>
      </c>
      <c r="S39" s="35" t="s">
        <v>3</v>
      </c>
      <c r="T39" s="35" t="s">
        <v>4</v>
      </c>
      <c r="U39" s="19" t="s">
        <v>3</v>
      </c>
      <c r="V39" s="19" t="s">
        <v>4</v>
      </c>
      <c r="W39" s="35" t="s">
        <v>3</v>
      </c>
      <c r="X39" s="35" t="s">
        <v>4</v>
      </c>
      <c r="Y39" s="35" t="s">
        <v>3</v>
      </c>
      <c r="Z39" s="35" t="s">
        <v>4</v>
      </c>
      <c r="AA39" s="22" t="s">
        <v>3</v>
      </c>
      <c r="AB39" s="22" t="s">
        <v>4</v>
      </c>
      <c r="AC39" s="27"/>
      <c r="AD39" s="27"/>
      <c r="AE39" s="27"/>
      <c r="AF39" s="27"/>
      <c r="AG39" s="37"/>
    </row>
    <row r="40" spans="1:33" ht="25.35" customHeight="1" x14ac:dyDescent="0.25">
      <c r="A40" s="38">
        <v>1</v>
      </c>
      <c r="B40" s="39">
        <v>45627</v>
      </c>
      <c r="C40" s="20"/>
      <c r="D40" s="20"/>
      <c r="E40" s="20"/>
      <c r="F40" s="20">
        <f>E40*14</f>
        <v>0</v>
      </c>
      <c r="G40" s="20"/>
      <c r="H40" s="20"/>
      <c r="I40" s="20"/>
      <c r="J40" s="20"/>
      <c r="K40" s="20"/>
      <c r="L40" s="20">
        <f>K40*24</f>
        <v>0</v>
      </c>
      <c r="M40" s="20"/>
      <c r="N40" s="20">
        <f>M40*14</f>
        <v>0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>
        <f>C40+E40+G40+I40+K40+M40+O40+Q40+S40+U40+W40+Y40</f>
        <v>0</v>
      </c>
      <c r="AB40" s="20">
        <f>D40+F40+H40+J40+L40+N40+P40+R40+T40+V40+X40+Z40</f>
        <v>0</v>
      </c>
      <c r="AC40" s="18"/>
      <c r="AD40" s="18"/>
      <c r="AE40" s="18"/>
      <c r="AF40" s="18"/>
      <c r="AG40" s="18"/>
    </row>
    <row r="41" spans="1:33" s="41" customFormat="1" ht="25.35" customHeight="1" x14ac:dyDescent="0.25">
      <c r="A41" s="38">
        <v>2</v>
      </c>
      <c r="B41" s="39">
        <v>45628</v>
      </c>
      <c r="C41" s="20"/>
      <c r="D41" s="20"/>
      <c r="E41" s="20"/>
      <c r="F41" s="20">
        <f t="shared" ref="F41:F69" si="4">E41*14</f>
        <v>0</v>
      </c>
      <c r="G41" s="20"/>
      <c r="H41" s="20"/>
      <c r="I41" s="20"/>
      <c r="J41" s="20"/>
      <c r="K41" s="20"/>
      <c r="L41" s="20">
        <f t="shared" ref="L41:L69" si="5">K41*24</f>
        <v>0</v>
      </c>
      <c r="M41" s="20"/>
      <c r="N41" s="20">
        <f t="shared" ref="N41:N69" si="6">M41*14</f>
        <v>0</v>
      </c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>
        <f t="shared" ref="AA41:AB69" si="7">C41+E41+G41+I41+K41+M41+O41+Q41+S41+U41+W41+Y41</f>
        <v>0</v>
      </c>
      <c r="AB41" s="20">
        <f t="shared" si="7"/>
        <v>0</v>
      </c>
      <c r="AC41" s="18"/>
      <c r="AD41" s="18"/>
      <c r="AE41" s="18"/>
      <c r="AF41" s="18"/>
      <c r="AG41" s="18"/>
    </row>
    <row r="42" spans="1:33" s="41" customFormat="1" ht="25.35" customHeight="1" x14ac:dyDescent="0.25">
      <c r="A42" s="38">
        <v>3</v>
      </c>
      <c r="B42" s="39">
        <v>45629</v>
      </c>
      <c r="C42" s="20"/>
      <c r="D42" s="20"/>
      <c r="E42" s="20"/>
      <c r="F42" s="20">
        <f t="shared" si="4"/>
        <v>0</v>
      </c>
      <c r="G42" s="20"/>
      <c r="H42" s="20"/>
      <c r="I42" s="20"/>
      <c r="J42" s="20"/>
      <c r="K42" s="20"/>
      <c r="L42" s="20">
        <f t="shared" si="5"/>
        <v>0</v>
      </c>
      <c r="M42" s="20"/>
      <c r="N42" s="20">
        <f t="shared" si="6"/>
        <v>0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>
        <f t="shared" si="7"/>
        <v>0</v>
      </c>
      <c r="AB42" s="20">
        <f t="shared" si="7"/>
        <v>0</v>
      </c>
      <c r="AC42" s="18"/>
      <c r="AD42" s="18"/>
      <c r="AE42" s="18"/>
      <c r="AF42" s="18"/>
      <c r="AG42" s="18"/>
    </row>
    <row r="43" spans="1:33" s="41" customFormat="1" ht="25.35" customHeight="1" x14ac:dyDescent="0.25">
      <c r="A43" s="38">
        <v>4</v>
      </c>
      <c r="B43" s="39">
        <v>45630</v>
      </c>
      <c r="C43" s="20"/>
      <c r="D43" s="20"/>
      <c r="E43" s="20"/>
      <c r="F43" s="20">
        <f t="shared" si="4"/>
        <v>0</v>
      </c>
      <c r="G43" s="20"/>
      <c r="H43" s="20"/>
      <c r="I43" s="20"/>
      <c r="J43" s="20"/>
      <c r="K43" s="20"/>
      <c r="L43" s="20">
        <f t="shared" si="5"/>
        <v>0</v>
      </c>
      <c r="M43" s="20"/>
      <c r="N43" s="20">
        <f t="shared" si="6"/>
        <v>0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>
        <f t="shared" si="7"/>
        <v>0</v>
      </c>
      <c r="AB43" s="20">
        <f t="shared" si="7"/>
        <v>0</v>
      </c>
      <c r="AC43" s="18"/>
      <c r="AD43" s="18"/>
      <c r="AE43" s="18"/>
      <c r="AF43" s="18"/>
      <c r="AG43" s="18"/>
    </row>
    <row r="44" spans="1:33" s="41" customFormat="1" ht="25.35" customHeight="1" x14ac:dyDescent="0.25">
      <c r="A44" s="38">
        <v>5</v>
      </c>
      <c r="B44" s="39">
        <v>45631</v>
      </c>
      <c r="C44" s="20"/>
      <c r="D44" s="20"/>
      <c r="E44" s="20"/>
      <c r="F44" s="20">
        <f t="shared" si="4"/>
        <v>0</v>
      </c>
      <c r="G44" s="20"/>
      <c r="H44" s="20"/>
      <c r="I44" s="20"/>
      <c r="J44" s="20"/>
      <c r="K44" s="20"/>
      <c r="L44" s="20">
        <f t="shared" si="5"/>
        <v>0</v>
      </c>
      <c r="M44" s="20"/>
      <c r="N44" s="20">
        <f t="shared" si="6"/>
        <v>0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>
        <f t="shared" si="7"/>
        <v>0</v>
      </c>
      <c r="AB44" s="20">
        <f t="shared" si="7"/>
        <v>0</v>
      </c>
      <c r="AC44" s="18"/>
      <c r="AD44" s="18"/>
      <c r="AE44" s="18"/>
      <c r="AF44" s="18"/>
      <c r="AG44" s="18"/>
    </row>
    <row r="45" spans="1:33" s="41" customFormat="1" ht="25.35" customHeight="1" x14ac:dyDescent="0.5">
      <c r="A45" s="38">
        <v>6</v>
      </c>
      <c r="B45" s="39">
        <v>45632</v>
      </c>
      <c r="C45" s="20"/>
      <c r="D45" s="20"/>
      <c r="E45" s="20"/>
      <c r="F45" s="20">
        <f t="shared" si="4"/>
        <v>0</v>
      </c>
      <c r="G45" s="20"/>
      <c r="H45" s="20"/>
      <c r="I45" s="20"/>
      <c r="J45" s="20"/>
      <c r="K45" s="17"/>
      <c r="L45" s="20">
        <f t="shared" si="5"/>
        <v>0</v>
      </c>
      <c r="M45" s="20"/>
      <c r="N45" s="20">
        <f t="shared" si="6"/>
        <v>0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>
        <f t="shared" si="7"/>
        <v>0</v>
      </c>
      <c r="AB45" s="20">
        <f t="shared" si="7"/>
        <v>0</v>
      </c>
      <c r="AC45" s="18"/>
      <c r="AD45" s="18"/>
      <c r="AE45" s="18"/>
      <c r="AF45" s="18"/>
      <c r="AG45" s="18"/>
    </row>
    <row r="46" spans="1:33" s="41" customFormat="1" ht="25.35" customHeight="1" x14ac:dyDescent="0.25">
      <c r="A46" s="38">
        <v>7</v>
      </c>
      <c r="B46" s="39">
        <v>45633</v>
      </c>
      <c r="C46" s="20"/>
      <c r="D46" s="20"/>
      <c r="E46" s="20"/>
      <c r="F46" s="20">
        <f t="shared" si="4"/>
        <v>0</v>
      </c>
      <c r="G46" s="20"/>
      <c r="H46" s="20"/>
      <c r="I46" s="20"/>
      <c r="J46" s="20"/>
      <c r="K46" s="20"/>
      <c r="L46" s="20">
        <f t="shared" si="5"/>
        <v>0</v>
      </c>
      <c r="M46" s="20"/>
      <c r="N46" s="20">
        <f t="shared" si="6"/>
        <v>0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>
        <f t="shared" si="7"/>
        <v>0</v>
      </c>
      <c r="AB46" s="20">
        <f t="shared" si="7"/>
        <v>0</v>
      </c>
      <c r="AC46" s="18"/>
      <c r="AD46" s="18"/>
      <c r="AE46" s="18"/>
      <c r="AF46" s="18"/>
      <c r="AG46" s="18"/>
    </row>
    <row r="47" spans="1:33" s="41" customFormat="1" ht="25.35" customHeight="1" x14ac:dyDescent="0.25">
      <c r="A47" s="38">
        <v>8</v>
      </c>
      <c r="B47" s="39">
        <v>45634</v>
      </c>
      <c r="C47" s="20"/>
      <c r="D47" s="20"/>
      <c r="E47" s="20"/>
      <c r="F47" s="20">
        <f t="shared" si="4"/>
        <v>0</v>
      </c>
      <c r="G47" s="20"/>
      <c r="H47" s="20"/>
      <c r="I47" s="20"/>
      <c r="J47" s="20"/>
      <c r="K47" s="20"/>
      <c r="L47" s="20">
        <f t="shared" si="5"/>
        <v>0</v>
      </c>
      <c r="M47" s="20"/>
      <c r="N47" s="20">
        <f t="shared" si="6"/>
        <v>0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>
        <f t="shared" si="7"/>
        <v>0</v>
      </c>
      <c r="AB47" s="20">
        <f t="shared" si="7"/>
        <v>0</v>
      </c>
      <c r="AC47" s="18"/>
      <c r="AD47" s="18"/>
      <c r="AE47" s="18"/>
      <c r="AF47" s="18"/>
      <c r="AG47" s="18"/>
    </row>
    <row r="48" spans="1:33" s="41" customFormat="1" ht="25.35" customHeight="1" x14ac:dyDescent="0.25">
      <c r="A48" s="38">
        <v>9</v>
      </c>
      <c r="B48" s="39">
        <v>45635</v>
      </c>
      <c r="C48" s="20"/>
      <c r="D48" s="20"/>
      <c r="E48" s="20"/>
      <c r="F48" s="20">
        <f t="shared" si="4"/>
        <v>0</v>
      </c>
      <c r="G48" s="20"/>
      <c r="H48" s="20"/>
      <c r="I48" s="20"/>
      <c r="J48" s="20"/>
      <c r="K48" s="20"/>
      <c r="L48" s="20">
        <f t="shared" si="5"/>
        <v>0</v>
      </c>
      <c r="M48" s="20"/>
      <c r="N48" s="20">
        <f t="shared" si="6"/>
        <v>0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>
        <f t="shared" si="7"/>
        <v>0</v>
      </c>
      <c r="AB48" s="20">
        <f t="shared" si="7"/>
        <v>0</v>
      </c>
      <c r="AC48" s="18"/>
      <c r="AD48" s="18"/>
      <c r="AE48" s="18"/>
      <c r="AF48" s="18"/>
      <c r="AG48" s="18"/>
    </row>
    <row r="49" spans="1:33" s="41" customFormat="1" ht="25.35" customHeight="1" x14ac:dyDescent="0.25">
      <c r="A49" s="38">
        <v>10</v>
      </c>
      <c r="B49" s="39">
        <v>45636</v>
      </c>
      <c r="C49" s="20"/>
      <c r="D49" s="20"/>
      <c r="E49" s="20"/>
      <c r="F49" s="20">
        <f t="shared" si="4"/>
        <v>0</v>
      </c>
      <c r="G49" s="20"/>
      <c r="H49" s="20"/>
      <c r="I49" s="20"/>
      <c r="J49" s="20"/>
      <c r="K49" s="20"/>
      <c r="L49" s="20">
        <f t="shared" si="5"/>
        <v>0</v>
      </c>
      <c r="M49" s="20"/>
      <c r="N49" s="20">
        <f t="shared" si="6"/>
        <v>0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>
        <f>C49+E49+G49+I49+K49+M49+O49+Q49+S49+U49+W49+Y49</f>
        <v>0</v>
      </c>
      <c r="AB49" s="20">
        <f>D49+F49+H49+J49+L49+N49+P49+R49+T49+V49+X49+Z49</f>
        <v>0</v>
      </c>
      <c r="AC49" s="18"/>
      <c r="AD49" s="18"/>
      <c r="AE49" s="18"/>
      <c r="AF49" s="18"/>
      <c r="AG49" s="18"/>
    </row>
    <row r="50" spans="1:33" s="41" customFormat="1" ht="25.35" customHeight="1" x14ac:dyDescent="0.25">
      <c r="A50" s="38">
        <v>11</v>
      </c>
      <c r="B50" s="39">
        <v>45637</v>
      </c>
      <c r="C50" s="20"/>
      <c r="D50" s="20"/>
      <c r="E50" s="20"/>
      <c r="F50" s="20">
        <f t="shared" si="4"/>
        <v>0</v>
      </c>
      <c r="G50" s="20"/>
      <c r="H50" s="20"/>
      <c r="I50" s="20"/>
      <c r="J50" s="20"/>
      <c r="K50" s="20"/>
      <c r="L50" s="20">
        <f t="shared" si="5"/>
        <v>0</v>
      </c>
      <c r="M50" s="20"/>
      <c r="N50" s="20">
        <f t="shared" si="6"/>
        <v>0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>
        <f t="shared" si="7"/>
        <v>0</v>
      </c>
      <c r="AB50" s="20">
        <f t="shared" si="7"/>
        <v>0</v>
      </c>
      <c r="AC50" s="18"/>
      <c r="AD50" s="18"/>
      <c r="AE50" s="18"/>
      <c r="AF50" s="18"/>
      <c r="AG50" s="18"/>
    </row>
    <row r="51" spans="1:33" s="41" customFormat="1" ht="25.35" customHeight="1" x14ac:dyDescent="0.25">
      <c r="A51" s="38">
        <v>12</v>
      </c>
      <c r="B51" s="39">
        <v>45638</v>
      </c>
      <c r="C51" s="20"/>
      <c r="D51" s="20"/>
      <c r="E51" s="20"/>
      <c r="F51" s="20">
        <f t="shared" si="4"/>
        <v>0</v>
      </c>
      <c r="G51" s="20"/>
      <c r="H51" s="20"/>
      <c r="I51" s="20"/>
      <c r="J51" s="20"/>
      <c r="K51" s="20"/>
      <c r="L51" s="20">
        <f t="shared" si="5"/>
        <v>0</v>
      </c>
      <c r="M51" s="20"/>
      <c r="N51" s="20">
        <f t="shared" si="6"/>
        <v>0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>
        <f t="shared" si="7"/>
        <v>0</v>
      </c>
      <c r="AB51" s="20">
        <f t="shared" si="7"/>
        <v>0</v>
      </c>
      <c r="AC51" s="18"/>
      <c r="AD51" s="18"/>
      <c r="AE51" s="18"/>
      <c r="AF51" s="18"/>
      <c r="AG51" s="18"/>
    </row>
    <row r="52" spans="1:33" s="41" customFormat="1" ht="25.35" customHeight="1" x14ac:dyDescent="0.25">
      <c r="A52" s="38">
        <v>13</v>
      </c>
      <c r="B52" s="39">
        <v>45639</v>
      </c>
      <c r="C52" s="20"/>
      <c r="D52" s="20"/>
      <c r="E52" s="20"/>
      <c r="F52" s="20">
        <f t="shared" si="4"/>
        <v>0</v>
      </c>
      <c r="G52" s="20"/>
      <c r="H52" s="20"/>
      <c r="I52" s="20"/>
      <c r="J52" s="20"/>
      <c r="K52" s="20"/>
      <c r="L52" s="20">
        <f t="shared" si="5"/>
        <v>0</v>
      </c>
      <c r="M52" s="20"/>
      <c r="N52" s="20">
        <f t="shared" si="6"/>
        <v>0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>
        <f t="shared" si="7"/>
        <v>0</v>
      </c>
      <c r="AB52" s="20">
        <f t="shared" si="7"/>
        <v>0</v>
      </c>
      <c r="AC52" s="18"/>
      <c r="AD52" s="18"/>
      <c r="AE52" s="18"/>
      <c r="AF52" s="18"/>
      <c r="AG52" s="18"/>
    </row>
    <row r="53" spans="1:33" s="41" customFormat="1" ht="25.35" customHeight="1" x14ac:dyDescent="0.25">
      <c r="A53" s="38">
        <v>14</v>
      </c>
      <c r="B53" s="39">
        <v>45640</v>
      </c>
      <c r="C53" s="20"/>
      <c r="D53" s="20"/>
      <c r="E53" s="20"/>
      <c r="F53" s="20">
        <f t="shared" si="4"/>
        <v>0</v>
      </c>
      <c r="G53" s="20"/>
      <c r="H53" s="20"/>
      <c r="I53" s="20"/>
      <c r="J53" s="20"/>
      <c r="K53" s="20"/>
      <c r="L53" s="20">
        <f t="shared" si="5"/>
        <v>0</v>
      </c>
      <c r="M53" s="20"/>
      <c r="N53" s="20">
        <f t="shared" si="6"/>
        <v>0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>
        <f t="shared" si="7"/>
        <v>0</v>
      </c>
      <c r="AB53" s="20">
        <f t="shared" si="7"/>
        <v>0</v>
      </c>
      <c r="AC53" s="18"/>
      <c r="AD53" s="18"/>
      <c r="AE53" s="18"/>
      <c r="AF53" s="18"/>
      <c r="AG53" s="18"/>
    </row>
    <row r="54" spans="1:33" s="41" customFormat="1" ht="25.35" customHeight="1" x14ac:dyDescent="0.25">
      <c r="A54" s="38">
        <v>15</v>
      </c>
      <c r="B54" s="39">
        <v>45641</v>
      </c>
      <c r="C54" s="40"/>
      <c r="D54" s="40"/>
      <c r="E54" s="40"/>
      <c r="F54" s="20">
        <f t="shared" si="4"/>
        <v>0</v>
      </c>
      <c r="G54" s="40"/>
      <c r="H54" s="40"/>
      <c r="I54" s="40"/>
      <c r="J54" s="40"/>
      <c r="K54" s="40"/>
      <c r="L54" s="20">
        <f t="shared" si="5"/>
        <v>0</v>
      </c>
      <c r="M54" s="40"/>
      <c r="N54" s="20">
        <f t="shared" si="6"/>
        <v>0</v>
      </c>
      <c r="O54" s="40"/>
      <c r="P54" s="40"/>
      <c r="Q54" s="40"/>
      <c r="R54" s="40"/>
      <c r="S54" s="40"/>
      <c r="T54" s="40"/>
      <c r="U54" s="40"/>
      <c r="V54" s="20"/>
      <c r="W54" s="20"/>
      <c r="X54" s="20"/>
      <c r="Y54" s="20"/>
      <c r="Z54" s="20"/>
      <c r="AA54" s="20">
        <f t="shared" si="7"/>
        <v>0</v>
      </c>
      <c r="AB54" s="20">
        <f t="shared" si="7"/>
        <v>0</v>
      </c>
      <c r="AC54" s="18"/>
      <c r="AD54" s="18"/>
      <c r="AE54" s="18"/>
      <c r="AF54" s="18"/>
      <c r="AG54" s="18"/>
    </row>
    <row r="55" spans="1:33" s="41" customFormat="1" ht="25.35" customHeight="1" x14ac:dyDescent="0.25">
      <c r="A55" s="38">
        <v>16</v>
      </c>
      <c r="B55" s="39">
        <v>45642</v>
      </c>
      <c r="C55" s="40"/>
      <c r="D55" s="40"/>
      <c r="E55" s="40"/>
      <c r="F55" s="20">
        <f t="shared" si="4"/>
        <v>0</v>
      </c>
      <c r="G55" s="40"/>
      <c r="H55" s="40"/>
      <c r="I55" s="40"/>
      <c r="J55" s="40"/>
      <c r="K55" s="40"/>
      <c r="L55" s="20">
        <f t="shared" si="5"/>
        <v>0</v>
      </c>
      <c r="M55" s="40"/>
      <c r="N55" s="20">
        <f t="shared" si="6"/>
        <v>0</v>
      </c>
      <c r="O55" s="40"/>
      <c r="P55" s="40"/>
      <c r="Q55" s="40"/>
      <c r="R55" s="40"/>
      <c r="S55" s="40"/>
      <c r="T55" s="40"/>
      <c r="U55" s="40"/>
      <c r="V55" s="20"/>
      <c r="W55" s="20"/>
      <c r="X55" s="20"/>
      <c r="Y55" s="20"/>
      <c r="Z55" s="20"/>
      <c r="AA55" s="20">
        <f t="shared" si="7"/>
        <v>0</v>
      </c>
      <c r="AB55" s="20">
        <f t="shared" si="7"/>
        <v>0</v>
      </c>
      <c r="AC55" s="18"/>
      <c r="AD55" s="18"/>
      <c r="AE55" s="18"/>
      <c r="AF55" s="18"/>
      <c r="AG55" s="18"/>
    </row>
    <row r="56" spans="1:33" s="41" customFormat="1" ht="25.35" customHeight="1" x14ac:dyDescent="0.25">
      <c r="A56" s="38">
        <v>17</v>
      </c>
      <c r="B56" s="39">
        <v>45643</v>
      </c>
      <c r="C56" s="40"/>
      <c r="D56" s="40"/>
      <c r="E56" s="40"/>
      <c r="F56" s="20">
        <f t="shared" si="4"/>
        <v>0</v>
      </c>
      <c r="G56" s="40"/>
      <c r="H56" s="40"/>
      <c r="I56" s="40"/>
      <c r="J56" s="40"/>
      <c r="K56" s="40"/>
      <c r="L56" s="20">
        <f t="shared" si="5"/>
        <v>0</v>
      </c>
      <c r="M56" s="40"/>
      <c r="N56" s="20">
        <f t="shared" si="6"/>
        <v>0</v>
      </c>
      <c r="O56" s="40"/>
      <c r="P56" s="40"/>
      <c r="Q56" s="40"/>
      <c r="R56" s="40"/>
      <c r="S56" s="40"/>
      <c r="T56" s="40"/>
      <c r="U56" s="40"/>
      <c r="V56" s="20"/>
      <c r="W56" s="20"/>
      <c r="X56" s="20"/>
      <c r="Y56" s="20"/>
      <c r="Z56" s="20"/>
      <c r="AA56" s="20">
        <f t="shared" si="7"/>
        <v>0</v>
      </c>
      <c r="AB56" s="20">
        <f t="shared" si="7"/>
        <v>0</v>
      </c>
      <c r="AC56" s="18"/>
      <c r="AD56" s="18"/>
      <c r="AE56" s="18"/>
      <c r="AF56" s="18"/>
      <c r="AG56" s="18"/>
    </row>
    <row r="57" spans="1:33" s="41" customFormat="1" ht="25.35" customHeight="1" x14ac:dyDescent="0.25">
      <c r="A57" s="38">
        <v>18</v>
      </c>
      <c r="B57" s="39">
        <v>45644</v>
      </c>
      <c r="C57" s="40"/>
      <c r="D57" s="40"/>
      <c r="E57" s="40"/>
      <c r="F57" s="20">
        <f t="shared" si="4"/>
        <v>0</v>
      </c>
      <c r="G57" s="40"/>
      <c r="H57" s="40"/>
      <c r="I57" s="40"/>
      <c r="J57" s="40"/>
      <c r="K57" s="40"/>
      <c r="L57" s="20">
        <f t="shared" si="5"/>
        <v>0</v>
      </c>
      <c r="M57" s="40"/>
      <c r="N57" s="20">
        <f t="shared" si="6"/>
        <v>0</v>
      </c>
      <c r="O57" s="40"/>
      <c r="P57" s="40"/>
      <c r="Q57" s="40"/>
      <c r="R57" s="40"/>
      <c r="S57" s="40"/>
      <c r="T57" s="40"/>
      <c r="U57" s="40"/>
      <c r="V57" s="20"/>
      <c r="W57" s="20"/>
      <c r="X57" s="20"/>
      <c r="Y57" s="20"/>
      <c r="Z57" s="20"/>
      <c r="AA57" s="20">
        <f t="shared" si="7"/>
        <v>0</v>
      </c>
      <c r="AB57" s="20">
        <f t="shared" si="7"/>
        <v>0</v>
      </c>
      <c r="AC57" s="18"/>
      <c r="AD57" s="18"/>
      <c r="AE57" s="18"/>
      <c r="AF57" s="18"/>
      <c r="AG57" s="18"/>
    </row>
    <row r="58" spans="1:33" s="41" customFormat="1" ht="25.35" customHeight="1" x14ac:dyDescent="0.25">
      <c r="A58" s="38">
        <v>19</v>
      </c>
      <c r="B58" s="39">
        <v>45645</v>
      </c>
      <c r="C58" s="40"/>
      <c r="D58" s="40"/>
      <c r="E58" s="40"/>
      <c r="F58" s="20">
        <f t="shared" si="4"/>
        <v>0</v>
      </c>
      <c r="G58" s="40"/>
      <c r="H58" s="40"/>
      <c r="I58" s="40"/>
      <c r="J58" s="40"/>
      <c r="K58" s="40"/>
      <c r="L58" s="20">
        <f t="shared" si="5"/>
        <v>0</v>
      </c>
      <c r="M58" s="40"/>
      <c r="N58" s="20">
        <f t="shared" si="6"/>
        <v>0</v>
      </c>
      <c r="O58" s="40"/>
      <c r="P58" s="40"/>
      <c r="Q58" s="40"/>
      <c r="R58" s="40"/>
      <c r="S58" s="40"/>
      <c r="T58" s="40"/>
      <c r="U58" s="40"/>
      <c r="V58" s="20"/>
      <c r="W58" s="20"/>
      <c r="X58" s="20"/>
      <c r="Y58" s="20"/>
      <c r="Z58" s="20"/>
      <c r="AA58" s="20">
        <f t="shared" si="7"/>
        <v>0</v>
      </c>
      <c r="AB58" s="20">
        <f t="shared" si="7"/>
        <v>0</v>
      </c>
      <c r="AC58" s="18"/>
      <c r="AD58" s="18"/>
      <c r="AE58" s="18"/>
      <c r="AF58" s="18"/>
      <c r="AG58" s="18"/>
    </row>
    <row r="59" spans="1:33" s="41" customFormat="1" ht="25.35" customHeight="1" x14ac:dyDescent="0.25">
      <c r="A59" s="38">
        <v>20</v>
      </c>
      <c r="B59" s="39">
        <v>45646</v>
      </c>
      <c r="C59" s="40"/>
      <c r="D59" s="40"/>
      <c r="E59" s="40"/>
      <c r="F59" s="20">
        <f t="shared" si="4"/>
        <v>0</v>
      </c>
      <c r="G59" s="40"/>
      <c r="H59" s="40"/>
      <c r="I59" s="40"/>
      <c r="J59" s="40"/>
      <c r="K59" s="40"/>
      <c r="L59" s="20">
        <f t="shared" si="5"/>
        <v>0</v>
      </c>
      <c r="M59" s="40"/>
      <c r="N59" s="20">
        <f t="shared" si="6"/>
        <v>0</v>
      </c>
      <c r="O59" s="40"/>
      <c r="P59" s="40"/>
      <c r="Q59" s="40"/>
      <c r="R59" s="40"/>
      <c r="S59" s="40"/>
      <c r="T59" s="40"/>
      <c r="U59" s="40"/>
      <c r="V59" s="20"/>
      <c r="W59" s="20"/>
      <c r="X59" s="20"/>
      <c r="Y59" s="20"/>
      <c r="Z59" s="20"/>
      <c r="AA59" s="20">
        <f t="shared" si="7"/>
        <v>0</v>
      </c>
      <c r="AB59" s="20">
        <f t="shared" si="7"/>
        <v>0</v>
      </c>
      <c r="AC59" s="18"/>
      <c r="AD59" s="18"/>
      <c r="AE59" s="18"/>
      <c r="AF59" s="18"/>
      <c r="AG59" s="18"/>
    </row>
    <row r="60" spans="1:33" s="41" customFormat="1" ht="25.35" customHeight="1" x14ac:dyDescent="0.25">
      <c r="A60" s="38">
        <v>21</v>
      </c>
      <c r="B60" s="39">
        <v>45647</v>
      </c>
      <c r="C60" s="40"/>
      <c r="D60" s="40"/>
      <c r="E60" s="40"/>
      <c r="F60" s="20">
        <f t="shared" si="4"/>
        <v>0</v>
      </c>
      <c r="G60" s="40"/>
      <c r="H60" s="40"/>
      <c r="I60" s="40"/>
      <c r="J60" s="40"/>
      <c r="K60" s="40"/>
      <c r="L60" s="20"/>
      <c r="M60" s="40"/>
      <c r="N60" s="20">
        <f t="shared" si="6"/>
        <v>0</v>
      </c>
      <c r="O60" s="40"/>
      <c r="P60" s="40"/>
      <c r="Q60" s="40"/>
      <c r="R60" s="40"/>
      <c r="S60" s="40"/>
      <c r="T60" s="40"/>
      <c r="U60" s="40"/>
      <c r="V60" s="20"/>
      <c r="W60" s="20"/>
      <c r="X60" s="20"/>
      <c r="Y60" s="20"/>
      <c r="Z60" s="20"/>
      <c r="AA60" s="20">
        <f t="shared" si="7"/>
        <v>0</v>
      </c>
      <c r="AB60" s="20">
        <f t="shared" si="7"/>
        <v>0</v>
      </c>
      <c r="AC60" s="18"/>
      <c r="AD60" s="18"/>
      <c r="AE60" s="18"/>
      <c r="AF60" s="18"/>
      <c r="AG60" s="18"/>
    </row>
    <row r="61" spans="1:33" s="41" customFormat="1" ht="25.35" customHeight="1" x14ac:dyDescent="0.25">
      <c r="A61" s="38">
        <v>22</v>
      </c>
      <c r="B61" s="39">
        <v>45648</v>
      </c>
      <c r="C61" s="40"/>
      <c r="D61" s="40"/>
      <c r="E61" s="40"/>
      <c r="F61" s="20">
        <f t="shared" si="4"/>
        <v>0</v>
      </c>
      <c r="G61" s="40"/>
      <c r="H61" s="40"/>
      <c r="I61" s="40"/>
      <c r="J61" s="40"/>
      <c r="K61" s="40"/>
      <c r="L61" s="20"/>
      <c r="M61" s="40"/>
      <c r="N61" s="20">
        <f t="shared" si="6"/>
        <v>0</v>
      </c>
      <c r="O61" s="40"/>
      <c r="P61" s="40"/>
      <c r="Q61" s="40"/>
      <c r="R61" s="40"/>
      <c r="S61" s="40"/>
      <c r="T61" s="40"/>
      <c r="U61" s="40"/>
      <c r="V61" s="20"/>
      <c r="W61" s="20"/>
      <c r="X61" s="20"/>
      <c r="Y61" s="20"/>
      <c r="Z61" s="20"/>
      <c r="AA61" s="20">
        <f t="shared" si="7"/>
        <v>0</v>
      </c>
      <c r="AB61" s="20">
        <f t="shared" si="7"/>
        <v>0</v>
      </c>
      <c r="AC61" s="18"/>
      <c r="AD61" s="18"/>
      <c r="AE61" s="18"/>
      <c r="AF61" s="18"/>
      <c r="AG61" s="18"/>
    </row>
    <row r="62" spans="1:33" s="41" customFormat="1" ht="25.35" customHeight="1" x14ac:dyDescent="0.25">
      <c r="A62" s="38">
        <v>23</v>
      </c>
      <c r="B62" s="39">
        <v>45649</v>
      </c>
      <c r="C62" s="40"/>
      <c r="D62" s="40"/>
      <c r="E62" s="40"/>
      <c r="F62" s="20">
        <f t="shared" si="4"/>
        <v>0</v>
      </c>
      <c r="G62" s="40"/>
      <c r="H62" s="40"/>
      <c r="I62" s="40"/>
      <c r="J62" s="40"/>
      <c r="K62" s="40"/>
      <c r="L62" s="20"/>
      <c r="M62" s="40"/>
      <c r="N62" s="20">
        <f t="shared" si="6"/>
        <v>0</v>
      </c>
      <c r="O62" s="40"/>
      <c r="P62" s="40"/>
      <c r="Q62" s="40"/>
      <c r="R62" s="40"/>
      <c r="S62" s="40"/>
      <c r="T62" s="40"/>
      <c r="U62" s="40"/>
      <c r="V62" s="20"/>
      <c r="W62" s="20"/>
      <c r="X62" s="20"/>
      <c r="Y62" s="20"/>
      <c r="Z62" s="20"/>
      <c r="AA62" s="20">
        <f t="shared" si="7"/>
        <v>0</v>
      </c>
      <c r="AB62" s="20">
        <f t="shared" si="7"/>
        <v>0</v>
      </c>
      <c r="AC62" s="18"/>
      <c r="AD62" s="18"/>
      <c r="AE62" s="18"/>
      <c r="AF62" s="18"/>
      <c r="AG62" s="18"/>
    </row>
    <row r="63" spans="1:33" s="41" customFormat="1" ht="25.35" customHeight="1" x14ac:dyDescent="0.25">
      <c r="A63" s="38">
        <v>24</v>
      </c>
      <c r="B63" s="39">
        <v>45650</v>
      </c>
      <c r="C63" s="40"/>
      <c r="D63" s="40"/>
      <c r="E63" s="40"/>
      <c r="F63" s="20">
        <f t="shared" si="4"/>
        <v>0</v>
      </c>
      <c r="G63" s="40"/>
      <c r="H63" s="40"/>
      <c r="I63" s="40"/>
      <c r="J63" s="40"/>
      <c r="K63" s="40"/>
      <c r="L63" s="20"/>
      <c r="M63" s="40"/>
      <c r="N63" s="20">
        <f t="shared" si="6"/>
        <v>0</v>
      </c>
      <c r="O63" s="40"/>
      <c r="P63" s="40"/>
      <c r="Q63" s="40"/>
      <c r="R63" s="40"/>
      <c r="S63" s="40"/>
      <c r="T63" s="40"/>
      <c r="U63" s="40"/>
      <c r="V63" s="20"/>
      <c r="W63" s="20"/>
      <c r="X63" s="20"/>
      <c r="Y63" s="20"/>
      <c r="Z63" s="20"/>
      <c r="AA63" s="20">
        <f t="shared" si="7"/>
        <v>0</v>
      </c>
      <c r="AB63" s="20">
        <f t="shared" si="7"/>
        <v>0</v>
      </c>
      <c r="AC63" s="18"/>
      <c r="AD63" s="18"/>
      <c r="AE63" s="18"/>
      <c r="AF63" s="18"/>
      <c r="AG63" s="18"/>
    </row>
    <row r="64" spans="1:33" s="41" customFormat="1" ht="25.35" customHeight="1" x14ac:dyDescent="0.25">
      <c r="A64" s="38">
        <v>25</v>
      </c>
      <c r="B64" s="39">
        <v>45651</v>
      </c>
      <c r="C64" s="40"/>
      <c r="D64" s="40"/>
      <c r="E64" s="40"/>
      <c r="F64" s="20">
        <f t="shared" si="4"/>
        <v>0</v>
      </c>
      <c r="G64" s="40"/>
      <c r="H64" s="40"/>
      <c r="I64" s="40"/>
      <c r="J64" s="40"/>
      <c r="K64" s="40"/>
      <c r="L64" s="20"/>
      <c r="M64" s="40"/>
      <c r="N64" s="20">
        <f t="shared" si="6"/>
        <v>0</v>
      </c>
      <c r="O64" s="40"/>
      <c r="P64" s="40"/>
      <c r="Q64" s="40"/>
      <c r="R64" s="40"/>
      <c r="S64" s="40"/>
      <c r="T64" s="40"/>
      <c r="U64" s="40"/>
      <c r="V64" s="20"/>
      <c r="W64" s="20"/>
      <c r="X64" s="20"/>
      <c r="Y64" s="20"/>
      <c r="Z64" s="20"/>
      <c r="AA64" s="20">
        <f t="shared" si="7"/>
        <v>0</v>
      </c>
      <c r="AB64" s="20">
        <f t="shared" si="7"/>
        <v>0</v>
      </c>
      <c r="AC64" s="18"/>
      <c r="AD64" s="18"/>
      <c r="AE64" s="18"/>
      <c r="AF64" s="18"/>
      <c r="AG64" s="18"/>
    </row>
    <row r="65" spans="1:33" s="41" customFormat="1" ht="25.35" customHeight="1" x14ac:dyDescent="0.25">
      <c r="A65" s="38">
        <v>26</v>
      </c>
      <c r="B65" s="39">
        <v>45652</v>
      </c>
      <c r="C65" s="40"/>
      <c r="D65" s="40"/>
      <c r="E65" s="40"/>
      <c r="F65" s="20">
        <f t="shared" si="4"/>
        <v>0</v>
      </c>
      <c r="G65" s="40"/>
      <c r="H65" s="40"/>
      <c r="I65" s="40"/>
      <c r="J65" s="40"/>
      <c r="K65" s="40"/>
      <c r="L65" s="20"/>
      <c r="M65" s="40"/>
      <c r="N65" s="20">
        <f t="shared" si="6"/>
        <v>0</v>
      </c>
      <c r="O65" s="40"/>
      <c r="P65" s="40"/>
      <c r="Q65" s="40"/>
      <c r="R65" s="40"/>
      <c r="S65" s="40"/>
      <c r="T65" s="40"/>
      <c r="U65" s="40"/>
      <c r="V65" s="20"/>
      <c r="W65" s="20"/>
      <c r="X65" s="20"/>
      <c r="Y65" s="20"/>
      <c r="Z65" s="20"/>
      <c r="AA65" s="20">
        <f t="shared" si="7"/>
        <v>0</v>
      </c>
      <c r="AB65" s="20">
        <f t="shared" si="7"/>
        <v>0</v>
      </c>
      <c r="AC65" s="18"/>
      <c r="AD65" s="18"/>
      <c r="AE65" s="18"/>
      <c r="AF65" s="18"/>
      <c r="AG65" s="18"/>
    </row>
    <row r="66" spans="1:33" s="41" customFormat="1" ht="25.35" customHeight="1" x14ac:dyDescent="0.25">
      <c r="A66" s="38">
        <v>27</v>
      </c>
      <c r="B66" s="39">
        <v>45653</v>
      </c>
      <c r="C66" s="40"/>
      <c r="D66" s="40"/>
      <c r="E66" s="40"/>
      <c r="F66" s="20">
        <f t="shared" si="4"/>
        <v>0</v>
      </c>
      <c r="G66" s="40"/>
      <c r="H66" s="40"/>
      <c r="I66" s="40"/>
      <c r="J66" s="40"/>
      <c r="K66" s="40"/>
      <c r="L66" s="20"/>
      <c r="M66" s="40"/>
      <c r="N66" s="20">
        <f t="shared" si="6"/>
        <v>0</v>
      </c>
      <c r="O66" s="40"/>
      <c r="P66" s="40"/>
      <c r="Q66" s="40"/>
      <c r="R66" s="40"/>
      <c r="S66" s="40"/>
      <c r="T66" s="40"/>
      <c r="U66" s="40"/>
      <c r="V66" s="20"/>
      <c r="W66" s="20"/>
      <c r="X66" s="20"/>
      <c r="Y66" s="20"/>
      <c r="Z66" s="20"/>
      <c r="AA66" s="20">
        <f t="shared" si="7"/>
        <v>0</v>
      </c>
      <c r="AB66" s="20">
        <f t="shared" si="7"/>
        <v>0</v>
      </c>
      <c r="AC66" s="18"/>
      <c r="AD66" s="18"/>
      <c r="AE66" s="18"/>
      <c r="AF66" s="18"/>
      <c r="AG66" s="18"/>
    </row>
    <row r="67" spans="1:33" s="41" customFormat="1" ht="25.35" customHeight="1" x14ac:dyDescent="0.25">
      <c r="A67" s="38">
        <v>28</v>
      </c>
      <c r="B67" s="39">
        <v>45654</v>
      </c>
      <c r="C67" s="40"/>
      <c r="D67" s="40"/>
      <c r="E67" s="40"/>
      <c r="F67" s="20">
        <f t="shared" si="4"/>
        <v>0</v>
      </c>
      <c r="G67" s="40"/>
      <c r="H67" s="40"/>
      <c r="I67" s="40"/>
      <c r="J67" s="40"/>
      <c r="K67" s="40"/>
      <c r="L67" s="20">
        <f t="shared" si="5"/>
        <v>0</v>
      </c>
      <c r="M67" s="40"/>
      <c r="N67" s="20">
        <f t="shared" si="6"/>
        <v>0</v>
      </c>
      <c r="O67" s="40"/>
      <c r="P67" s="40"/>
      <c r="Q67" s="40"/>
      <c r="R67" s="40"/>
      <c r="S67" s="40"/>
      <c r="T67" s="40"/>
      <c r="U67" s="40"/>
      <c r="V67" s="20"/>
      <c r="W67" s="20"/>
      <c r="X67" s="20"/>
      <c r="Y67" s="20"/>
      <c r="Z67" s="20"/>
      <c r="AA67" s="20">
        <f t="shared" si="7"/>
        <v>0</v>
      </c>
      <c r="AB67" s="20">
        <f t="shared" si="7"/>
        <v>0</v>
      </c>
      <c r="AC67" s="18"/>
      <c r="AD67" s="18"/>
      <c r="AE67" s="18"/>
      <c r="AF67" s="18"/>
      <c r="AG67" s="18"/>
    </row>
    <row r="68" spans="1:33" s="41" customFormat="1" ht="25.35" customHeight="1" x14ac:dyDescent="0.25">
      <c r="A68" s="38">
        <v>29</v>
      </c>
      <c r="B68" s="39">
        <v>45655</v>
      </c>
      <c r="C68" s="40"/>
      <c r="D68" s="40"/>
      <c r="E68" s="40"/>
      <c r="F68" s="20"/>
      <c r="G68" s="40"/>
      <c r="H68" s="40"/>
      <c r="I68" s="40"/>
      <c r="J68" s="40"/>
      <c r="K68" s="40"/>
      <c r="L68" s="20"/>
      <c r="M68" s="40"/>
      <c r="N68" s="20"/>
      <c r="O68" s="40"/>
      <c r="P68" s="40"/>
      <c r="Q68" s="40"/>
      <c r="R68" s="40"/>
      <c r="S68" s="40"/>
      <c r="T68" s="40"/>
      <c r="U68" s="40"/>
      <c r="V68" s="20"/>
      <c r="W68" s="20"/>
      <c r="X68" s="20"/>
      <c r="Y68" s="20"/>
      <c r="Z68" s="20"/>
      <c r="AA68" s="20"/>
      <c r="AB68" s="20"/>
      <c r="AC68" s="18"/>
      <c r="AD68" s="18"/>
      <c r="AE68" s="18"/>
      <c r="AF68" s="18"/>
      <c r="AG68" s="18"/>
    </row>
    <row r="69" spans="1:33" s="41" customFormat="1" ht="25.35" customHeight="1" x14ac:dyDescent="0.25">
      <c r="A69" s="38">
        <v>30</v>
      </c>
      <c r="B69" s="39">
        <v>45656</v>
      </c>
      <c r="C69" s="40"/>
      <c r="D69" s="40"/>
      <c r="E69" s="40"/>
      <c r="F69" s="20">
        <f t="shared" si="4"/>
        <v>0</v>
      </c>
      <c r="G69" s="40"/>
      <c r="H69" s="40"/>
      <c r="I69" s="40"/>
      <c r="J69" s="40"/>
      <c r="K69" s="40"/>
      <c r="L69" s="20">
        <f t="shared" si="5"/>
        <v>0</v>
      </c>
      <c r="M69" s="40"/>
      <c r="N69" s="20">
        <f t="shared" si="6"/>
        <v>0</v>
      </c>
      <c r="O69" s="40"/>
      <c r="P69" s="40"/>
      <c r="Q69" s="40"/>
      <c r="R69" s="40"/>
      <c r="S69" s="40"/>
      <c r="T69" s="40"/>
      <c r="U69" s="40"/>
      <c r="V69" s="20"/>
      <c r="W69" s="20"/>
      <c r="X69" s="20"/>
      <c r="Y69" s="20"/>
      <c r="Z69" s="20"/>
      <c r="AA69" s="20">
        <f t="shared" si="7"/>
        <v>0</v>
      </c>
      <c r="AB69" s="20">
        <f t="shared" si="7"/>
        <v>0</v>
      </c>
      <c r="AC69" s="18"/>
      <c r="AD69" s="18"/>
      <c r="AE69" s="18"/>
      <c r="AF69" s="18"/>
      <c r="AG69" s="18"/>
    </row>
    <row r="70" spans="1:33" s="41" customFormat="1" ht="25.35" customHeight="1" x14ac:dyDescent="0.5">
      <c r="A70" s="3"/>
      <c r="B70" s="3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42">
        <f>SUM(AA40:AA69)</f>
        <v>0</v>
      </c>
      <c r="AB70" s="42">
        <f>SUM(AB40:AB69)</f>
        <v>0</v>
      </c>
      <c r="AC70" s="18"/>
      <c r="AD70" s="18"/>
      <c r="AE70" s="18"/>
      <c r="AF70" s="18"/>
      <c r="AG70" s="18"/>
    </row>
    <row r="71" spans="1:33" s="41" customFormat="1" ht="25.35" customHeight="1" x14ac:dyDescent="0.5">
      <c r="A71" s="3"/>
      <c r="B71" s="3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spans="1:33" s="41" customFormat="1" ht="25.35" customHeight="1" x14ac:dyDescent="0.25">
      <c r="B72" s="14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spans="1:33" s="41" customFormat="1" ht="25.35" customHeight="1" x14ac:dyDescent="0.25">
      <c r="B73" s="14"/>
    </row>
    <row r="74" spans="1:33" s="41" customFormat="1" ht="25.35" customHeight="1" x14ac:dyDescent="0.25">
      <c r="B74" s="14"/>
    </row>
    <row r="75" spans="1:33" s="41" customFormat="1" ht="25.35" customHeight="1" x14ac:dyDescent="0.25">
      <c r="B75" s="14"/>
    </row>
    <row r="76" spans="1:33" s="41" customFormat="1" ht="25.35" customHeight="1" x14ac:dyDescent="0.25">
      <c r="B76" s="14"/>
    </row>
    <row r="77" spans="1:33" s="41" customFormat="1" ht="25.35" customHeight="1" x14ac:dyDescent="0.25">
      <c r="B77" s="14"/>
    </row>
    <row r="78" spans="1:33" s="41" customFormat="1" ht="25.35" customHeight="1" x14ac:dyDescent="0.25">
      <c r="B78" s="14"/>
    </row>
    <row r="79" spans="1:33" s="41" customFormat="1" ht="25.35" customHeight="1" x14ac:dyDescent="0.25">
      <c r="B79" s="14"/>
    </row>
    <row r="80" spans="1:33" s="41" customFormat="1" ht="25.35" customHeight="1" x14ac:dyDescent="0.25">
      <c r="B80" s="14"/>
    </row>
    <row r="81" spans="2:2" s="41" customFormat="1" ht="25.35" customHeight="1" x14ac:dyDescent="0.25">
      <c r="B81" s="14"/>
    </row>
    <row r="82" spans="2:2" s="41" customFormat="1" ht="25.35" customHeight="1" x14ac:dyDescent="0.25">
      <c r="B82" s="14"/>
    </row>
    <row r="83" spans="2:2" s="41" customFormat="1" ht="25.35" customHeight="1" x14ac:dyDescent="0.25">
      <c r="B83" s="14"/>
    </row>
    <row r="84" spans="2:2" s="41" customFormat="1" ht="25.35" customHeight="1" x14ac:dyDescent="0.25">
      <c r="B84" s="14"/>
    </row>
    <row r="85" spans="2:2" s="41" customFormat="1" ht="25.35" customHeight="1" x14ac:dyDescent="0.25">
      <c r="B85" s="14"/>
    </row>
    <row r="86" spans="2:2" s="41" customFormat="1" ht="25.35" customHeight="1" x14ac:dyDescent="0.25">
      <c r="B86" s="14"/>
    </row>
    <row r="87" spans="2:2" s="41" customFormat="1" ht="25.35" customHeight="1" x14ac:dyDescent="0.25">
      <c r="B87" s="14"/>
    </row>
    <row r="88" spans="2:2" s="41" customFormat="1" ht="25.35" customHeight="1" x14ac:dyDescent="0.25">
      <c r="B88" s="14"/>
    </row>
    <row r="89" spans="2:2" s="41" customFormat="1" ht="25.35" customHeight="1" x14ac:dyDescent="0.25">
      <c r="B89" s="14"/>
    </row>
    <row r="90" spans="2:2" s="41" customFormat="1" ht="25.35" customHeight="1" x14ac:dyDescent="0.25">
      <c r="B90" s="14"/>
    </row>
    <row r="91" spans="2:2" s="41" customFormat="1" ht="25.35" customHeight="1" x14ac:dyDescent="0.25">
      <c r="B91" s="14"/>
    </row>
    <row r="92" spans="2:2" s="41" customFormat="1" ht="25.35" customHeight="1" x14ac:dyDescent="0.25">
      <c r="B92" s="14"/>
    </row>
    <row r="93" spans="2:2" s="41" customFormat="1" ht="25.35" customHeight="1" x14ac:dyDescent="0.25">
      <c r="B93" s="14"/>
    </row>
    <row r="94" spans="2:2" s="41" customFormat="1" ht="25.35" customHeight="1" x14ac:dyDescent="0.25">
      <c r="B94" s="14"/>
    </row>
    <row r="95" spans="2:2" s="41" customFormat="1" ht="25.35" customHeight="1" x14ac:dyDescent="0.25">
      <c r="B95" s="14"/>
    </row>
    <row r="96" spans="2:2" s="41" customFormat="1" ht="25.35" customHeight="1" x14ac:dyDescent="0.25">
      <c r="B96" s="14"/>
    </row>
    <row r="97" spans="2:2" s="41" customFormat="1" ht="25.35" customHeight="1" x14ac:dyDescent="0.25">
      <c r="B97" s="14"/>
    </row>
    <row r="98" spans="2:2" s="41" customFormat="1" ht="25.35" customHeight="1" x14ac:dyDescent="0.25">
      <c r="B98" s="14"/>
    </row>
    <row r="99" spans="2:2" s="41" customFormat="1" ht="25.35" customHeight="1" x14ac:dyDescent="0.25">
      <c r="B99" s="14"/>
    </row>
    <row r="100" spans="2:2" s="41" customFormat="1" ht="25.35" customHeight="1" x14ac:dyDescent="0.25">
      <c r="B100" s="14"/>
    </row>
    <row r="101" spans="2:2" s="41" customFormat="1" ht="25.35" customHeight="1" x14ac:dyDescent="0.25">
      <c r="B101" s="14"/>
    </row>
    <row r="102" spans="2:2" s="41" customFormat="1" ht="25.35" customHeight="1" x14ac:dyDescent="0.25">
      <c r="B102" s="14"/>
    </row>
    <row r="103" spans="2:2" s="41" customFormat="1" ht="25.35" customHeight="1" x14ac:dyDescent="0.25">
      <c r="B103" s="14"/>
    </row>
  </sheetData>
  <mergeCells count="34">
    <mergeCell ref="A37:A39"/>
    <mergeCell ref="B37:B39"/>
    <mergeCell ref="C37:AB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AA38:AB38"/>
    <mergeCell ref="C1:AB1"/>
    <mergeCell ref="C36:AB36"/>
    <mergeCell ref="W38:X38"/>
    <mergeCell ref="Y38:Z38"/>
    <mergeCell ref="S3:T3"/>
    <mergeCell ref="Y3:Z3"/>
    <mergeCell ref="U3:V3"/>
    <mergeCell ref="W3:X3"/>
    <mergeCell ref="A2:A4"/>
    <mergeCell ref="B2:B4"/>
    <mergeCell ref="C2:AB2"/>
    <mergeCell ref="C3:D3"/>
    <mergeCell ref="E3:F3"/>
    <mergeCell ref="G3:H3"/>
    <mergeCell ref="I3:J3"/>
    <mergeCell ref="K3:L3"/>
    <mergeCell ref="M3:N3"/>
    <mergeCell ref="AA3:AB3"/>
    <mergeCell ref="O3:P3"/>
    <mergeCell ref="Q3:R3"/>
  </mergeCells>
  <hyperlinks>
    <hyperlink ref="C2:AB2" location="'2-FollowUpSales'!A1" display="'2-FollowUpSales'!A1" xr:uid="{4FB9A1D9-B825-4A1D-BEF1-CA96F9E66F37}"/>
    <hyperlink ref="C37:AB37" location="'2-FollowUpSales'!A1" display="'2-FollowUpSales'!A1" xr:uid="{11BAD22E-8471-46A4-8FEB-11EE1B8CFBAD}"/>
  </hyperlink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B3D087-0F1F-4CAB-967E-FF3F3E3297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</vt:lpstr>
      <vt:lpstr>DailySales</vt:lpstr>
      <vt:lpstr>F_U</vt:lpstr>
      <vt:lpstr>WS_Van</vt:lpstr>
      <vt:lpstr>Follow Up</vt:lpstr>
      <vt:lpstr>WS_Semi</vt:lpstr>
      <vt:lpstr>Cons%</vt:lpstr>
      <vt:lpstr>Yaung Chi Oo</vt:lpstr>
      <vt:lpstr>Ma Thida Oo</vt:lpstr>
      <vt:lpstr>Hein Min Thu</vt:lpstr>
      <vt:lpstr>Ko Htoo Zaw</vt:lpstr>
      <vt:lpstr>Pyae Sone Shin</vt:lpstr>
    </vt:vector>
  </TitlesOfParts>
  <Company>Lynda.com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McBee</dc:creator>
  <cp:lastModifiedBy>User</cp:lastModifiedBy>
  <cp:lastPrinted>2024-12-12T03:44:00Z</cp:lastPrinted>
  <dcterms:created xsi:type="dcterms:W3CDTF">2012-01-24T13:55:30Z</dcterms:created>
  <dcterms:modified xsi:type="dcterms:W3CDTF">2026-03-16T02:59:47Z</dcterms:modified>
</cp:coreProperties>
</file>